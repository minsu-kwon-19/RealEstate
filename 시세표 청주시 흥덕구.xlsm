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경동" sheetId="6" r:id="rId6"/>
    <sheet name="강내면" sheetId="7" r:id="rId7"/>
    <sheet name="강서동" sheetId="8" r:id="rId8"/>
    <sheet name="문암동" sheetId="9" r:id="rId9"/>
    <sheet name="복대동" sheetId="10" r:id="rId10"/>
    <sheet name="봉명동" sheetId="11" r:id="rId11"/>
    <sheet name="비하동" sheetId="12" r:id="rId12"/>
    <sheet name="송절동" sheetId="13" r:id="rId13"/>
    <sheet name="신봉동" sheetId="14" r:id="rId14"/>
    <sheet name="오송읍" sheetId="15" r:id="rId15"/>
    <sheet name="양식" sheetId="16" r:id="rId16"/>
  </sheets>
  <definedNames>
    <definedName name="_xlnm._FilterDatabase" localSheetId="1" hidden="1">단지추출_가격표용!$A$3:$U$227</definedName>
    <definedName name="_xlnm.Print_Area" localSheetId="5">가경동!$A$1:$U$6</definedName>
    <definedName name="_xlnm.Print_Area" localSheetId="6">강내면!$A$1:$U$6</definedName>
    <definedName name="_xlnm.Print_Area" localSheetId="7">강서동!$A$1:$U$6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문암동!$A$1:$U$6</definedName>
    <definedName name="_xlnm.Print_Area" localSheetId="9">복대동!$A$1:$U$6</definedName>
    <definedName name="_xlnm.Print_Area" localSheetId="10">봉명동!$A$1:$U$6</definedName>
    <definedName name="_xlnm.Print_Area" localSheetId="11">비하동!$A$1:$U$6</definedName>
    <definedName name="_xlnm.Print_Area" localSheetId="12">송절동!$A$1:$U$6</definedName>
    <definedName name="_xlnm.Print_Area" localSheetId="13">신봉동!$A$1:$U$6</definedName>
    <definedName name="_xlnm.Print_Area" localSheetId="15">양식!$A$1:$U$6</definedName>
    <definedName name="_xlnm.Print_Area" localSheetId="14">오송읍!$A$1:$U$6</definedName>
    <definedName name="_xlnm.Print_Titles" localSheetId="5">가경동!$1:$3</definedName>
    <definedName name="_xlnm.Print_Titles" localSheetId="6">강내면!$1:$3</definedName>
    <definedName name="_xlnm.Print_Titles" localSheetId="7">강서동!$1:$3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문암동!$1:$3</definedName>
    <definedName name="_xlnm.Print_Titles" localSheetId="9">복대동!$1:$3</definedName>
    <definedName name="_xlnm.Print_Titles" localSheetId="10">봉명동!$1:$3</definedName>
    <definedName name="_xlnm.Print_Titles" localSheetId="11">비하동!$1:$3</definedName>
    <definedName name="_xlnm.Print_Titles" localSheetId="12">송절동!$1:$3</definedName>
    <definedName name="_xlnm.Print_Titles" localSheetId="13">신봉동!$1:$3</definedName>
    <definedName name="_xlnm.Print_Titles" localSheetId="15">양식!$1:$3</definedName>
    <definedName name="_xlnm.Print_Titles" localSheetId="14">오송읍!$1:$3</definedName>
  </definedNames>
  <calcPr calcId="162913"/>
</workbook>
</file>

<file path=xl/calcChain.xml><?xml version="1.0" encoding="utf-8"?>
<calcChain xmlns="http://schemas.openxmlformats.org/spreadsheetml/2006/main">
  <c r="P226" i="2" l="1"/>
  <c r="O226" i="2"/>
  <c r="N226" i="2"/>
  <c r="M226" i="2"/>
  <c r="P46" i="2"/>
  <c r="O46" i="2"/>
  <c r="N46" i="2"/>
  <c r="M46" i="2"/>
  <c r="P225" i="2"/>
  <c r="O225" i="2"/>
  <c r="N225" i="2"/>
  <c r="M225" i="2"/>
  <c r="P8" i="2"/>
  <c r="O8" i="2"/>
  <c r="N8" i="2"/>
  <c r="M8" i="2"/>
  <c r="P17" i="2"/>
  <c r="O17" i="2"/>
  <c r="N17" i="2"/>
  <c r="M17" i="2"/>
  <c r="P224" i="2"/>
  <c r="O224" i="2"/>
  <c r="N224" i="2"/>
  <c r="M224" i="2"/>
  <c r="P96" i="2"/>
  <c r="O96" i="2"/>
  <c r="N96" i="2"/>
  <c r="M96" i="2"/>
  <c r="P122" i="2"/>
  <c r="O122" i="2"/>
  <c r="N122" i="2"/>
  <c r="M122" i="2"/>
  <c r="P99" i="2"/>
  <c r="O99" i="2"/>
  <c r="N99" i="2"/>
  <c r="M99" i="2"/>
  <c r="P112" i="2"/>
  <c r="O112" i="2"/>
  <c r="N112" i="2"/>
  <c r="M112" i="2"/>
  <c r="P133" i="2"/>
  <c r="O133" i="2"/>
  <c r="N133" i="2"/>
  <c r="M133" i="2"/>
  <c r="P100" i="2"/>
  <c r="O100" i="2"/>
  <c r="N100" i="2"/>
  <c r="M100" i="2"/>
  <c r="P223" i="2"/>
  <c r="O223" i="2"/>
  <c r="N223" i="2"/>
  <c r="M223" i="2"/>
  <c r="P222" i="2"/>
  <c r="O222" i="2"/>
  <c r="N222" i="2"/>
  <c r="M222" i="2"/>
  <c r="P63" i="2"/>
  <c r="O63" i="2"/>
  <c r="N63" i="2"/>
  <c r="M63" i="2"/>
  <c r="P221" i="2"/>
  <c r="O221" i="2"/>
  <c r="N221" i="2"/>
  <c r="M221" i="2"/>
  <c r="P82" i="2"/>
  <c r="O82" i="2"/>
  <c r="N82" i="2"/>
  <c r="M82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88" i="2"/>
  <c r="O88" i="2"/>
  <c r="N88" i="2"/>
  <c r="M88" i="2"/>
  <c r="P114" i="2"/>
  <c r="O114" i="2"/>
  <c r="N114" i="2"/>
  <c r="M114" i="2"/>
  <c r="P217" i="2"/>
  <c r="O217" i="2"/>
  <c r="N217" i="2"/>
  <c r="M217" i="2"/>
  <c r="P39" i="2"/>
  <c r="O39" i="2"/>
  <c r="N39" i="2"/>
  <c r="M39" i="2"/>
  <c r="P41" i="2"/>
  <c r="O41" i="2"/>
  <c r="N41" i="2"/>
  <c r="M41" i="2"/>
  <c r="P50" i="2"/>
  <c r="O50" i="2"/>
  <c r="N50" i="2"/>
  <c r="M50" i="2"/>
  <c r="P38" i="2"/>
  <c r="O38" i="2"/>
  <c r="N38" i="2"/>
  <c r="M38" i="2"/>
  <c r="P53" i="2"/>
  <c r="O53" i="2"/>
  <c r="N53" i="2"/>
  <c r="M53" i="2"/>
  <c r="P37" i="2"/>
  <c r="O37" i="2"/>
  <c r="N37" i="2"/>
  <c r="M37" i="2"/>
  <c r="P29" i="2"/>
  <c r="O29" i="2"/>
  <c r="N29" i="2"/>
  <c r="M29" i="2"/>
  <c r="P47" i="2"/>
  <c r="O47" i="2"/>
  <c r="N47" i="2"/>
  <c r="M47" i="2"/>
  <c r="P121" i="2"/>
  <c r="O121" i="2"/>
  <c r="N121" i="2"/>
  <c r="M121" i="2"/>
  <c r="P132" i="2"/>
  <c r="O132" i="2"/>
  <c r="N132" i="2"/>
  <c r="M132" i="2"/>
  <c r="P31" i="2"/>
  <c r="O31" i="2"/>
  <c r="N31" i="2"/>
  <c r="M31" i="2"/>
  <c r="P52" i="2"/>
  <c r="O52" i="2"/>
  <c r="N52" i="2"/>
  <c r="M52" i="2"/>
  <c r="P62" i="2"/>
  <c r="O62" i="2"/>
  <c r="N62" i="2"/>
  <c r="M62" i="2"/>
  <c r="P67" i="2"/>
  <c r="O67" i="2"/>
  <c r="N67" i="2"/>
  <c r="M67" i="2"/>
  <c r="P119" i="2"/>
  <c r="O119" i="2"/>
  <c r="N119" i="2"/>
  <c r="M119" i="2"/>
  <c r="P128" i="2"/>
  <c r="O128" i="2"/>
  <c r="N128" i="2"/>
  <c r="M128" i="2"/>
  <c r="P216" i="2"/>
  <c r="O216" i="2"/>
  <c r="N216" i="2"/>
  <c r="M216" i="2"/>
  <c r="P124" i="2"/>
  <c r="O124" i="2"/>
  <c r="N124" i="2"/>
  <c r="M124" i="2"/>
  <c r="P131" i="2"/>
  <c r="O131" i="2"/>
  <c r="N131" i="2"/>
  <c r="M131" i="2"/>
  <c r="P11" i="2"/>
  <c r="O11" i="2"/>
  <c r="N11" i="2"/>
  <c r="M11" i="2"/>
  <c r="P26" i="2"/>
  <c r="O26" i="2"/>
  <c r="N26" i="2"/>
  <c r="M26" i="2"/>
  <c r="P44" i="2"/>
  <c r="O44" i="2"/>
  <c r="N44" i="2"/>
  <c r="M44" i="2"/>
  <c r="P60" i="2"/>
  <c r="O60" i="2"/>
  <c r="N60" i="2"/>
  <c r="M60" i="2"/>
  <c r="P57" i="2"/>
  <c r="O57" i="2"/>
  <c r="N57" i="2"/>
  <c r="M57" i="2"/>
  <c r="P28" i="2"/>
  <c r="O28" i="2"/>
  <c r="N28" i="2"/>
  <c r="M28" i="2"/>
  <c r="P34" i="2"/>
  <c r="O34" i="2"/>
  <c r="N34" i="2"/>
  <c r="M34" i="2"/>
  <c r="P56" i="2"/>
  <c r="O56" i="2"/>
  <c r="N56" i="2"/>
  <c r="M56" i="2"/>
  <c r="P66" i="2"/>
  <c r="O66" i="2"/>
  <c r="N66" i="2"/>
  <c r="M66" i="2"/>
  <c r="P103" i="2"/>
  <c r="O103" i="2"/>
  <c r="N103" i="2"/>
  <c r="M103" i="2"/>
  <c r="P115" i="2"/>
  <c r="O115" i="2"/>
  <c r="N115" i="2"/>
  <c r="M115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134" i="2"/>
  <c r="O134" i="2"/>
  <c r="N134" i="2"/>
  <c r="M134" i="2"/>
  <c r="P45" i="2"/>
  <c r="O45" i="2"/>
  <c r="N45" i="2"/>
  <c r="M45" i="2"/>
  <c r="P55" i="2"/>
  <c r="O55" i="2"/>
  <c r="N55" i="2"/>
  <c r="M55" i="2"/>
  <c r="P61" i="2"/>
  <c r="O61" i="2"/>
  <c r="N61" i="2"/>
  <c r="M61" i="2"/>
  <c r="P70" i="2"/>
  <c r="O70" i="2"/>
  <c r="N70" i="2"/>
  <c r="M70" i="2"/>
  <c r="P77" i="2"/>
  <c r="O77" i="2"/>
  <c r="N77" i="2"/>
  <c r="M77" i="2"/>
  <c r="P81" i="2"/>
  <c r="O81" i="2"/>
  <c r="N81" i="2"/>
  <c r="M81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19" i="2"/>
  <c r="O19" i="2"/>
  <c r="N19" i="2"/>
  <c r="M19" i="2"/>
  <c r="P24" i="2"/>
  <c r="O24" i="2"/>
  <c r="N24" i="2"/>
  <c r="M24" i="2"/>
  <c r="P35" i="2"/>
  <c r="O35" i="2"/>
  <c r="N35" i="2"/>
  <c r="M35" i="2"/>
  <c r="P43" i="2"/>
  <c r="O43" i="2"/>
  <c r="N43" i="2"/>
  <c r="M43" i="2"/>
  <c r="P73" i="2"/>
  <c r="O73" i="2"/>
  <c r="N73" i="2"/>
  <c r="M73" i="2"/>
  <c r="P79" i="2"/>
  <c r="O79" i="2"/>
  <c r="N79" i="2"/>
  <c r="M79" i="2"/>
  <c r="P104" i="2"/>
  <c r="O104" i="2"/>
  <c r="N104" i="2"/>
  <c r="M104" i="2"/>
  <c r="P126" i="2"/>
  <c r="O126" i="2"/>
  <c r="N126" i="2"/>
  <c r="M126" i="2"/>
  <c r="P130" i="2"/>
  <c r="O130" i="2"/>
  <c r="N130" i="2"/>
  <c r="M130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20" i="2"/>
  <c r="O20" i="2"/>
  <c r="N20" i="2"/>
  <c r="M20" i="2"/>
  <c r="P196" i="2"/>
  <c r="O196" i="2"/>
  <c r="N196" i="2"/>
  <c r="M196" i="2"/>
  <c r="P94" i="2"/>
  <c r="O94" i="2"/>
  <c r="N94" i="2"/>
  <c r="M94" i="2"/>
  <c r="P101" i="2"/>
  <c r="O101" i="2"/>
  <c r="N101" i="2"/>
  <c r="M101" i="2"/>
  <c r="P9" i="2"/>
  <c r="O9" i="2"/>
  <c r="N9" i="2"/>
  <c r="M9" i="2"/>
  <c r="P42" i="2"/>
  <c r="O42" i="2"/>
  <c r="N42" i="2"/>
  <c r="M42" i="2"/>
  <c r="P87" i="2"/>
  <c r="O87" i="2"/>
  <c r="N87" i="2"/>
  <c r="M87" i="2"/>
  <c r="P95" i="2"/>
  <c r="O95" i="2"/>
  <c r="N95" i="2"/>
  <c r="M95" i="2"/>
  <c r="P110" i="2"/>
  <c r="O110" i="2"/>
  <c r="N110" i="2"/>
  <c r="M110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11" i="2"/>
  <c r="O111" i="2"/>
  <c r="N111" i="2"/>
  <c r="M111" i="2"/>
  <c r="P127" i="2"/>
  <c r="O127" i="2"/>
  <c r="N127" i="2"/>
  <c r="M127" i="2"/>
  <c r="P129" i="2"/>
  <c r="O129" i="2"/>
  <c r="N129" i="2"/>
  <c r="M129" i="2"/>
  <c r="P135" i="2"/>
  <c r="O135" i="2"/>
  <c r="N135" i="2"/>
  <c r="M135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84" i="2"/>
  <c r="O84" i="2"/>
  <c r="N84" i="2"/>
  <c r="M84" i="2"/>
  <c r="P13" i="2"/>
  <c r="O13" i="2"/>
  <c r="N13" i="2"/>
  <c r="M13" i="2"/>
  <c r="P15" i="2"/>
  <c r="O15" i="2"/>
  <c r="N15" i="2"/>
  <c r="M15" i="2"/>
  <c r="P18" i="2"/>
  <c r="O18" i="2"/>
  <c r="N18" i="2"/>
  <c r="M18" i="2"/>
  <c r="P33" i="2"/>
  <c r="O33" i="2"/>
  <c r="N33" i="2"/>
  <c r="M33" i="2"/>
  <c r="P40" i="2"/>
  <c r="O40" i="2"/>
  <c r="N40" i="2"/>
  <c r="M40" i="2"/>
  <c r="P36" i="2"/>
  <c r="O36" i="2"/>
  <c r="N36" i="2"/>
  <c r="M36" i="2"/>
  <c r="P59" i="2"/>
  <c r="O59" i="2"/>
  <c r="N59" i="2"/>
  <c r="M59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76" i="2"/>
  <c r="O76" i="2"/>
  <c r="N76" i="2"/>
  <c r="M76" i="2"/>
  <c r="P85" i="2"/>
  <c r="O85" i="2"/>
  <c r="N85" i="2"/>
  <c r="M85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97" i="2"/>
  <c r="O97" i="2"/>
  <c r="N97" i="2"/>
  <c r="M97" i="2"/>
  <c r="P180" i="2"/>
  <c r="O180" i="2"/>
  <c r="N180" i="2"/>
  <c r="M180" i="2"/>
  <c r="P68" i="2"/>
  <c r="O68" i="2"/>
  <c r="N68" i="2"/>
  <c r="M68" i="2"/>
  <c r="P78" i="2"/>
  <c r="O78" i="2"/>
  <c r="N78" i="2"/>
  <c r="M78" i="2"/>
  <c r="P86" i="2"/>
  <c r="O86" i="2"/>
  <c r="N86" i="2"/>
  <c r="M86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227" i="2"/>
  <c r="O227" i="2"/>
  <c r="N227" i="2"/>
  <c r="M227" i="2"/>
  <c r="P27" i="2"/>
  <c r="O27" i="2"/>
  <c r="N27" i="2"/>
  <c r="M27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58" i="2"/>
  <c r="O58" i="2"/>
  <c r="N58" i="2"/>
  <c r="M58" i="2"/>
  <c r="P149" i="2"/>
  <c r="O149" i="2"/>
  <c r="N149" i="2"/>
  <c r="M149" i="2"/>
  <c r="P64" i="2"/>
  <c r="O64" i="2"/>
  <c r="N64" i="2"/>
  <c r="M64" i="2"/>
  <c r="P71" i="2"/>
  <c r="O71" i="2"/>
  <c r="N71" i="2"/>
  <c r="M71" i="2"/>
  <c r="P113" i="2"/>
  <c r="O113" i="2"/>
  <c r="N113" i="2"/>
  <c r="M113" i="2"/>
  <c r="P14" i="2"/>
  <c r="O14" i="2"/>
  <c r="N14" i="2"/>
  <c r="M14" i="2"/>
  <c r="P23" i="2"/>
  <c r="O23" i="2"/>
  <c r="N23" i="2"/>
  <c r="M23" i="2"/>
  <c r="P30" i="2"/>
  <c r="O30" i="2"/>
  <c r="N30" i="2"/>
  <c r="M30" i="2"/>
  <c r="P65" i="2"/>
  <c r="O65" i="2"/>
  <c r="N65" i="2"/>
  <c r="M65" i="2"/>
  <c r="P75" i="2"/>
  <c r="O75" i="2"/>
  <c r="N75" i="2"/>
  <c r="M75" i="2"/>
  <c r="P54" i="2"/>
  <c r="O54" i="2"/>
  <c r="N54" i="2"/>
  <c r="M54" i="2"/>
  <c r="P91" i="2"/>
  <c r="O91" i="2"/>
  <c r="N91" i="2"/>
  <c r="M91" i="2"/>
  <c r="P118" i="2"/>
  <c r="O118" i="2"/>
  <c r="N118" i="2"/>
  <c r="M118" i="2"/>
  <c r="P117" i="2"/>
  <c r="O117" i="2"/>
  <c r="N117" i="2"/>
  <c r="M117" i="2"/>
  <c r="P109" i="2"/>
  <c r="O109" i="2"/>
  <c r="N109" i="2"/>
  <c r="M109" i="2"/>
  <c r="P80" i="2"/>
  <c r="O80" i="2"/>
  <c r="N80" i="2"/>
  <c r="M80" i="2"/>
  <c r="P148" i="2"/>
  <c r="O148" i="2"/>
  <c r="N148" i="2"/>
  <c r="M148" i="2"/>
  <c r="P147" i="2"/>
  <c r="O147" i="2"/>
  <c r="N147" i="2"/>
  <c r="M147" i="2"/>
  <c r="P120" i="2"/>
  <c r="O120" i="2"/>
  <c r="N120" i="2"/>
  <c r="M120" i="2"/>
  <c r="P106" i="2"/>
  <c r="O106" i="2"/>
  <c r="N106" i="2"/>
  <c r="M106" i="2"/>
  <c r="P125" i="2"/>
  <c r="O125" i="2"/>
  <c r="N125" i="2"/>
  <c r="M125" i="2"/>
  <c r="P146" i="2"/>
  <c r="O146" i="2"/>
  <c r="N146" i="2"/>
  <c r="M146" i="2"/>
  <c r="P116" i="2"/>
  <c r="O116" i="2"/>
  <c r="N116" i="2"/>
  <c r="M116" i="2"/>
  <c r="P5" i="2"/>
  <c r="O5" i="2"/>
  <c r="N5" i="2"/>
  <c r="M5" i="2"/>
  <c r="P7" i="2"/>
  <c r="O7" i="2"/>
  <c r="N7" i="2"/>
  <c r="M7" i="2"/>
  <c r="P145" i="2"/>
  <c r="O145" i="2"/>
  <c r="N145" i="2"/>
  <c r="M145" i="2"/>
  <c r="P32" i="2"/>
  <c r="O32" i="2"/>
  <c r="N32" i="2"/>
  <c r="M32" i="2"/>
  <c r="P49" i="2"/>
  <c r="O49" i="2"/>
  <c r="N49" i="2"/>
  <c r="M49" i="2"/>
  <c r="P90" i="2"/>
  <c r="O90" i="2"/>
  <c r="N90" i="2"/>
  <c r="M90" i="2"/>
  <c r="P144" i="2"/>
  <c r="O144" i="2"/>
  <c r="N144" i="2"/>
  <c r="M144" i="2"/>
  <c r="P105" i="2"/>
  <c r="O105" i="2"/>
  <c r="N105" i="2"/>
  <c r="M105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72" i="2"/>
  <c r="O72" i="2"/>
  <c r="N72" i="2"/>
  <c r="M72" i="2"/>
  <c r="P74" i="2"/>
  <c r="O74" i="2"/>
  <c r="N74" i="2"/>
  <c r="M74" i="2"/>
  <c r="P140" i="2"/>
  <c r="O140" i="2"/>
  <c r="N140" i="2"/>
  <c r="M140" i="2"/>
  <c r="P21" i="2"/>
  <c r="O21" i="2"/>
  <c r="N21" i="2"/>
  <c r="M21" i="2"/>
  <c r="P25" i="2"/>
  <c r="O25" i="2"/>
  <c r="N25" i="2"/>
  <c r="M25" i="2"/>
  <c r="P4" i="2"/>
  <c r="O4" i="2"/>
  <c r="N4" i="2"/>
  <c r="M4" i="2"/>
  <c r="P12" i="2"/>
  <c r="O12" i="2"/>
  <c r="N12" i="2"/>
  <c r="M12" i="2"/>
  <c r="P69" i="2"/>
  <c r="O69" i="2"/>
  <c r="N69" i="2"/>
  <c r="M69" i="2"/>
  <c r="P83" i="2"/>
  <c r="O83" i="2"/>
  <c r="N83" i="2"/>
  <c r="M83" i="2"/>
  <c r="P93" i="2"/>
  <c r="O93" i="2"/>
  <c r="N93" i="2"/>
  <c r="M93" i="2"/>
  <c r="P89" i="2"/>
  <c r="O89" i="2"/>
  <c r="N89" i="2"/>
  <c r="M89" i="2"/>
  <c r="P102" i="2"/>
  <c r="O102" i="2"/>
  <c r="N102" i="2"/>
  <c r="M102" i="2"/>
  <c r="P139" i="2"/>
  <c r="O139" i="2"/>
  <c r="N139" i="2"/>
  <c r="M139" i="2"/>
  <c r="P48" i="2"/>
  <c r="O48" i="2"/>
  <c r="N48" i="2"/>
  <c r="M48" i="2"/>
  <c r="P51" i="2"/>
  <c r="O51" i="2"/>
  <c r="N51" i="2"/>
  <c r="M51" i="2"/>
  <c r="P98" i="2"/>
  <c r="O98" i="2"/>
  <c r="N98" i="2"/>
  <c r="M98" i="2"/>
  <c r="P123" i="2"/>
  <c r="O123" i="2"/>
  <c r="N123" i="2"/>
  <c r="M123" i="2"/>
  <c r="P107" i="2"/>
  <c r="O107" i="2"/>
  <c r="N107" i="2"/>
  <c r="M107" i="2"/>
  <c r="P138" i="2"/>
  <c r="O138" i="2"/>
  <c r="N138" i="2"/>
  <c r="M138" i="2"/>
  <c r="P6" i="2"/>
  <c r="O6" i="2"/>
  <c r="N6" i="2"/>
  <c r="M6" i="2"/>
  <c r="P16" i="2"/>
  <c r="O16" i="2"/>
  <c r="N16" i="2"/>
  <c r="M16" i="2"/>
  <c r="P10" i="2"/>
  <c r="O10" i="2"/>
  <c r="N10" i="2"/>
  <c r="M10" i="2"/>
  <c r="P22" i="2"/>
  <c r="O22" i="2"/>
  <c r="N22" i="2"/>
  <c r="M22" i="2"/>
  <c r="P137" i="2"/>
  <c r="O137" i="2"/>
  <c r="N137" i="2"/>
  <c r="M137" i="2"/>
  <c r="P92" i="2"/>
  <c r="O92" i="2"/>
  <c r="N92" i="2"/>
  <c r="M92" i="2"/>
  <c r="P108" i="2"/>
  <c r="O108" i="2"/>
  <c r="N108" i="2"/>
  <c r="M108" i="2"/>
  <c r="P136" i="2"/>
  <c r="O136" i="2"/>
  <c r="N136" i="2"/>
  <c r="M136" i="2"/>
  <c r="AU354" i="1"/>
  <c r="AR354" i="1"/>
  <c r="AP354" i="1"/>
  <c r="AO354" i="1"/>
  <c r="AV354" i="1" s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T353" i="1"/>
  <c r="AP353" i="1"/>
  <c r="AJ353" i="1"/>
  <c r="AI353" i="1"/>
  <c r="AN353" i="1" s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AO353" i="1" s="1"/>
  <c r="AV353" i="1" s="1"/>
  <c r="M353" i="1"/>
  <c r="AR353" i="1" s="1"/>
  <c r="AU352" i="1"/>
  <c r="AR352" i="1"/>
  <c r="AP352" i="1"/>
  <c r="AN352" i="1"/>
  <c r="AI352" i="1"/>
  <c r="AT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O352" i="1" s="1"/>
  <c r="M352" i="1"/>
  <c r="AU351" i="1"/>
  <c r="AP351" i="1"/>
  <c r="AO351" i="1"/>
  <c r="AV351" i="1" s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Q351" i="1" s="1"/>
  <c r="N351" i="1"/>
  <c r="M351" i="1"/>
  <c r="AU350" i="1"/>
  <c r="AR350" i="1"/>
  <c r="AP350" i="1"/>
  <c r="AI350" i="1"/>
  <c r="AT350" i="1" s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M350" i="1"/>
  <c r="AU349" i="1"/>
  <c r="AT349" i="1"/>
  <c r="AP349" i="1"/>
  <c r="AO349" i="1"/>
  <c r="AV349" i="1" s="1"/>
  <c r="AN349" i="1"/>
  <c r="AJ349" i="1"/>
  <c r="AI349" i="1"/>
  <c r="AH349" i="1"/>
  <c r="AF349" i="1"/>
  <c r="AE349" i="1"/>
  <c r="AC349" i="1"/>
  <c r="AA349" i="1"/>
  <c r="Z349" i="1"/>
  <c r="Y349" i="1"/>
  <c r="X349" i="1"/>
  <c r="W349" i="1"/>
  <c r="P349" i="1"/>
  <c r="O349" i="1"/>
  <c r="AD349" i="1" s="1"/>
  <c r="N349" i="1"/>
  <c r="M349" i="1"/>
  <c r="AR349" i="1" s="1"/>
  <c r="AU348" i="1"/>
  <c r="AR348" i="1"/>
  <c r="AP348" i="1"/>
  <c r="AO348" i="1"/>
  <c r="AV348" i="1" s="1"/>
  <c r="AI348" i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T347" i="1"/>
  <c r="AP347" i="1"/>
  <c r="AO347" i="1"/>
  <c r="AV347" i="1" s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M347" i="1"/>
  <c r="AR347" i="1" s="1"/>
  <c r="AU346" i="1"/>
  <c r="AR346" i="1"/>
  <c r="AP346" i="1"/>
  <c r="AN346" i="1"/>
  <c r="AI346" i="1"/>
  <c r="AT346" i="1" s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U345" i="1"/>
  <c r="AP345" i="1"/>
  <c r="AO345" i="1"/>
  <c r="AI345" i="1"/>
  <c r="AN345" i="1" s="1"/>
  <c r="AH345" i="1"/>
  <c r="AF345" i="1"/>
  <c r="AE345" i="1"/>
  <c r="AC345" i="1"/>
  <c r="AA345" i="1"/>
  <c r="Z345" i="1"/>
  <c r="Y345" i="1"/>
  <c r="X345" i="1"/>
  <c r="W345" i="1"/>
  <c r="P345" i="1"/>
  <c r="O345" i="1"/>
  <c r="AQ345" i="1" s="1"/>
  <c r="N345" i="1"/>
  <c r="M345" i="1"/>
  <c r="AU344" i="1"/>
  <c r="AR344" i="1"/>
  <c r="AP344" i="1"/>
  <c r="AI344" i="1"/>
  <c r="AT344" i="1" s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Q343" i="1"/>
  <c r="AP343" i="1"/>
  <c r="AO343" i="1"/>
  <c r="AV343" i="1" s="1"/>
  <c r="AN343" i="1"/>
  <c r="AJ343" i="1"/>
  <c r="AI343" i="1"/>
  <c r="AH343" i="1"/>
  <c r="AF343" i="1"/>
  <c r="AE343" i="1"/>
  <c r="AC343" i="1"/>
  <c r="AA343" i="1"/>
  <c r="Z343" i="1"/>
  <c r="Y343" i="1"/>
  <c r="X343" i="1"/>
  <c r="W343" i="1"/>
  <c r="P343" i="1"/>
  <c r="O343" i="1"/>
  <c r="AD343" i="1" s="1"/>
  <c r="N343" i="1"/>
  <c r="M343" i="1"/>
  <c r="AR343" i="1" s="1"/>
  <c r="AU342" i="1"/>
  <c r="AR342" i="1"/>
  <c r="AP342" i="1"/>
  <c r="AO342" i="1"/>
  <c r="AI342" i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T341" i="1"/>
  <c r="AP341" i="1"/>
  <c r="AO341" i="1"/>
  <c r="AN341" i="1"/>
  <c r="AJ341" i="1"/>
  <c r="AI341" i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M341" i="1"/>
  <c r="AU340" i="1"/>
  <c r="AR340" i="1"/>
  <c r="AP340" i="1"/>
  <c r="AN340" i="1"/>
  <c r="AI340" i="1"/>
  <c r="AT340" i="1" s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M340" i="1"/>
  <c r="AU339" i="1"/>
  <c r="AQ339" i="1"/>
  <c r="AP339" i="1"/>
  <c r="AO339" i="1"/>
  <c r="AI339" i="1"/>
  <c r="AN339" i="1" s="1"/>
  <c r="AH339" i="1"/>
  <c r="AF339" i="1"/>
  <c r="AE339" i="1"/>
  <c r="AC339" i="1"/>
  <c r="AA339" i="1"/>
  <c r="Z339" i="1"/>
  <c r="Y339" i="1"/>
  <c r="X339" i="1"/>
  <c r="W339" i="1"/>
  <c r="P339" i="1"/>
  <c r="O339" i="1"/>
  <c r="AD339" i="1" s="1"/>
  <c r="N339" i="1"/>
  <c r="M339" i="1"/>
  <c r="AU338" i="1"/>
  <c r="AR338" i="1"/>
  <c r="AP338" i="1"/>
  <c r="AI338" i="1"/>
  <c r="AH338" i="1"/>
  <c r="AF338" i="1"/>
  <c r="AE338" i="1"/>
  <c r="AD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P337" i="1"/>
  <c r="AO337" i="1"/>
  <c r="AV337" i="1" s="1"/>
  <c r="AN337" i="1"/>
  <c r="AJ337" i="1"/>
  <c r="AI337" i="1"/>
  <c r="AH337" i="1"/>
  <c r="AF337" i="1"/>
  <c r="AE337" i="1"/>
  <c r="AC337" i="1"/>
  <c r="AA337" i="1"/>
  <c r="Z337" i="1"/>
  <c r="Y337" i="1"/>
  <c r="X337" i="1"/>
  <c r="W337" i="1"/>
  <c r="P337" i="1"/>
  <c r="O337" i="1"/>
  <c r="AD337" i="1" s="1"/>
  <c r="N337" i="1"/>
  <c r="M337" i="1"/>
  <c r="AR337" i="1" s="1"/>
  <c r="AU336" i="1"/>
  <c r="AP336" i="1"/>
  <c r="AO336" i="1"/>
  <c r="AI336" i="1"/>
  <c r="AH336" i="1"/>
  <c r="AF336" i="1"/>
  <c r="AE336" i="1"/>
  <c r="AD336" i="1"/>
  <c r="AA336" i="1"/>
  <c r="Z336" i="1"/>
  <c r="Y336" i="1"/>
  <c r="X336" i="1"/>
  <c r="W336" i="1"/>
  <c r="P336" i="1"/>
  <c r="O336" i="1"/>
  <c r="AQ336" i="1" s="1"/>
  <c r="N336" i="1"/>
  <c r="AC336" i="1" s="1"/>
  <c r="M336" i="1"/>
  <c r="AR336" i="1" s="1"/>
  <c r="AU335" i="1"/>
  <c r="AT335" i="1"/>
  <c r="AP335" i="1"/>
  <c r="AN335" i="1"/>
  <c r="AJ335" i="1"/>
  <c r="AI335" i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AO335" i="1" s="1"/>
  <c r="M335" i="1"/>
  <c r="AU334" i="1"/>
  <c r="AR334" i="1"/>
  <c r="AQ334" i="1"/>
  <c r="AP334" i="1"/>
  <c r="AN334" i="1"/>
  <c r="AI334" i="1"/>
  <c r="AT334" i="1" s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N334" i="1"/>
  <c r="M334" i="1"/>
  <c r="AU333" i="1"/>
  <c r="AP333" i="1"/>
  <c r="AO333" i="1"/>
  <c r="AI333" i="1"/>
  <c r="AH333" i="1"/>
  <c r="AF333" i="1"/>
  <c r="AE333" i="1"/>
  <c r="AC333" i="1"/>
  <c r="AA333" i="1"/>
  <c r="Z333" i="1"/>
  <c r="Y333" i="1"/>
  <c r="X333" i="1"/>
  <c r="W333" i="1"/>
  <c r="P333" i="1"/>
  <c r="O333" i="1"/>
  <c r="AD333" i="1" s="1"/>
  <c r="N333" i="1"/>
  <c r="M333" i="1"/>
  <c r="AB333" i="1" s="1"/>
  <c r="AU332" i="1"/>
  <c r="AT332" i="1"/>
  <c r="AR332" i="1"/>
  <c r="AP332" i="1"/>
  <c r="AJ332" i="1"/>
  <c r="AI332" i="1"/>
  <c r="AN332" i="1" s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T331" i="1"/>
  <c r="AP331" i="1"/>
  <c r="AO331" i="1"/>
  <c r="AV331" i="1" s="1"/>
  <c r="AN331" i="1"/>
  <c r="AJ331" i="1"/>
  <c r="AI331" i="1"/>
  <c r="AH331" i="1"/>
  <c r="AF331" i="1"/>
  <c r="AE331" i="1"/>
  <c r="AC331" i="1"/>
  <c r="AA331" i="1"/>
  <c r="Z331" i="1"/>
  <c r="Y331" i="1"/>
  <c r="X331" i="1"/>
  <c r="W331" i="1"/>
  <c r="P331" i="1"/>
  <c r="O331" i="1"/>
  <c r="AD331" i="1" s="1"/>
  <c r="N331" i="1"/>
  <c r="M331" i="1"/>
  <c r="AR331" i="1" s="1"/>
  <c r="AU330" i="1"/>
  <c r="AP330" i="1"/>
  <c r="AO330" i="1"/>
  <c r="AI330" i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C330" i="1" s="1"/>
  <c r="M330" i="1"/>
  <c r="AR330" i="1" s="1"/>
  <c r="AU329" i="1"/>
  <c r="AT329" i="1"/>
  <c r="AP329" i="1"/>
  <c r="AN329" i="1"/>
  <c r="AJ329" i="1"/>
  <c r="AI329" i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AO329" i="1" s="1"/>
  <c r="AV329" i="1" s="1"/>
  <c r="M329" i="1"/>
  <c r="AU328" i="1"/>
  <c r="AR328" i="1"/>
  <c r="AQ328" i="1"/>
  <c r="AP328" i="1"/>
  <c r="AN328" i="1"/>
  <c r="AI328" i="1"/>
  <c r="AT328" i="1" s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N328" i="1"/>
  <c r="M328" i="1"/>
  <c r="AV327" i="1"/>
  <c r="AU327" i="1"/>
  <c r="AP327" i="1"/>
  <c r="AO327" i="1"/>
  <c r="AI327" i="1"/>
  <c r="AH327" i="1"/>
  <c r="AF327" i="1"/>
  <c r="AE327" i="1"/>
  <c r="AC327" i="1"/>
  <c r="AA327" i="1"/>
  <c r="Z327" i="1"/>
  <c r="Y327" i="1"/>
  <c r="X327" i="1"/>
  <c r="W327" i="1"/>
  <c r="P327" i="1"/>
  <c r="O327" i="1"/>
  <c r="AD327" i="1" s="1"/>
  <c r="N327" i="1"/>
  <c r="M327" i="1"/>
  <c r="AB327" i="1" s="1"/>
  <c r="AU326" i="1"/>
  <c r="AT326" i="1"/>
  <c r="AR326" i="1"/>
  <c r="AP326" i="1"/>
  <c r="AJ326" i="1"/>
  <c r="AI326" i="1"/>
  <c r="AN326" i="1" s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P325" i="1"/>
  <c r="AO325" i="1"/>
  <c r="AV325" i="1" s="1"/>
  <c r="AN325" i="1"/>
  <c r="AJ325" i="1"/>
  <c r="AI325" i="1"/>
  <c r="AH325" i="1"/>
  <c r="AF325" i="1"/>
  <c r="AE325" i="1"/>
  <c r="AC325" i="1"/>
  <c r="AA325" i="1"/>
  <c r="Z325" i="1"/>
  <c r="Y325" i="1"/>
  <c r="X325" i="1"/>
  <c r="W325" i="1"/>
  <c r="P325" i="1"/>
  <c r="O325" i="1"/>
  <c r="AD325" i="1" s="1"/>
  <c r="N325" i="1"/>
  <c r="M325" i="1"/>
  <c r="AR325" i="1" s="1"/>
  <c r="AU324" i="1"/>
  <c r="AP324" i="1"/>
  <c r="AO324" i="1"/>
  <c r="AI324" i="1"/>
  <c r="AH324" i="1"/>
  <c r="AF324" i="1"/>
  <c r="AE324" i="1"/>
  <c r="AD324" i="1"/>
  <c r="AA324" i="1"/>
  <c r="Z324" i="1"/>
  <c r="Y324" i="1"/>
  <c r="X324" i="1"/>
  <c r="W324" i="1"/>
  <c r="P324" i="1"/>
  <c r="O324" i="1"/>
  <c r="AQ324" i="1" s="1"/>
  <c r="N324" i="1"/>
  <c r="AC324" i="1" s="1"/>
  <c r="M324" i="1"/>
  <c r="AR324" i="1" s="1"/>
  <c r="AU323" i="1"/>
  <c r="AT323" i="1"/>
  <c r="AP323" i="1"/>
  <c r="AN323" i="1"/>
  <c r="AJ323" i="1"/>
  <c r="AI323" i="1"/>
  <c r="AH323" i="1"/>
  <c r="AF323" i="1"/>
  <c r="AE323" i="1"/>
  <c r="AC323" i="1"/>
  <c r="AA323" i="1"/>
  <c r="Z323" i="1"/>
  <c r="Y323" i="1"/>
  <c r="X323" i="1"/>
  <c r="W323" i="1"/>
  <c r="P323" i="1"/>
  <c r="O323" i="1"/>
  <c r="N323" i="1"/>
  <c r="AO323" i="1" s="1"/>
  <c r="M323" i="1"/>
  <c r="AU322" i="1"/>
  <c r="AR322" i="1"/>
  <c r="AQ322" i="1"/>
  <c r="AP322" i="1"/>
  <c r="AN322" i="1"/>
  <c r="AI322" i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N322" i="1"/>
  <c r="M322" i="1"/>
  <c r="AU321" i="1"/>
  <c r="AQ321" i="1"/>
  <c r="AP321" i="1"/>
  <c r="AO321" i="1"/>
  <c r="AV321" i="1" s="1"/>
  <c r="AJ321" i="1"/>
  <c r="AI321" i="1"/>
  <c r="AN321" i="1" s="1"/>
  <c r="AH321" i="1"/>
  <c r="AF321" i="1"/>
  <c r="AE321" i="1"/>
  <c r="AC321" i="1"/>
  <c r="AA321" i="1"/>
  <c r="Z321" i="1"/>
  <c r="Y321" i="1"/>
  <c r="X321" i="1"/>
  <c r="W321" i="1"/>
  <c r="P321" i="1"/>
  <c r="O321" i="1"/>
  <c r="AD321" i="1" s="1"/>
  <c r="N321" i="1"/>
  <c r="M321" i="1"/>
  <c r="AU320" i="1"/>
  <c r="AT320" i="1"/>
  <c r="AR320" i="1"/>
  <c r="AP320" i="1"/>
  <c r="AJ320" i="1"/>
  <c r="AI320" i="1"/>
  <c r="AN320" i="1" s="1"/>
  <c r="AH320" i="1"/>
  <c r="AF320" i="1"/>
  <c r="AE320" i="1"/>
  <c r="AD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M320" i="1"/>
  <c r="AU319" i="1"/>
  <c r="AT319" i="1"/>
  <c r="AQ319" i="1"/>
  <c r="AP319" i="1"/>
  <c r="AO319" i="1"/>
  <c r="AN319" i="1"/>
  <c r="AJ319" i="1"/>
  <c r="AI319" i="1"/>
  <c r="AH319" i="1"/>
  <c r="AF319" i="1"/>
  <c r="AE319" i="1"/>
  <c r="AC319" i="1"/>
  <c r="AA319" i="1"/>
  <c r="Z319" i="1"/>
  <c r="Y319" i="1"/>
  <c r="X319" i="1"/>
  <c r="W319" i="1"/>
  <c r="P319" i="1"/>
  <c r="O319" i="1"/>
  <c r="AD319" i="1" s="1"/>
  <c r="N319" i="1"/>
  <c r="M319" i="1"/>
  <c r="AU318" i="1"/>
  <c r="AP318" i="1"/>
  <c r="AO318" i="1"/>
  <c r="AN318" i="1"/>
  <c r="AI318" i="1"/>
  <c r="AH318" i="1"/>
  <c r="AF318" i="1"/>
  <c r="AE318" i="1"/>
  <c r="AD318" i="1"/>
  <c r="AA318" i="1"/>
  <c r="Z318" i="1"/>
  <c r="Y318" i="1"/>
  <c r="X318" i="1"/>
  <c r="W318" i="1"/>
  <c r="P318" i="1"/>
  <c r="O318" i="1"/>
  <c r="AQ318" i="1" s="1"/>
  <c r="N318" i="1"/>
  <c r="AC318" i="1" s="1"/>
  <c r="M318" i="1"/>
  <c r="AB318" i="1" s="1"/>
  <c r="AU317" i="1"/>
  <c r="AT317" i="1"/>
  <c r="AP317" i="1"/>
  <c r="AO317" i="1"/>
  <c r="AN317" i="1"/>
  <c r="AJ317" i="1"/>
  <c r="AI317" i="1"/>
  <c r="AH317" i="1"/>
  <c r="AF317" i="1"/>
  <c r="AE317" i="1"/>
  <c r="AA317" i="1"/>
  <c r="Z317" i="1"/>
  <c r="Y317" i="1"/>
  <c r="X317" i="1"/>
  <c r="W317" i="1"/>
  <c r="P317" i="1"/>
  <c r="O317" i="1"/>
  <c r="AD317" i="1" s="1"/>
  <c r="N317" i="1"/>
  <c r="AC317" i="1" s="1"/>
  <c r="M317" i="1"/>
  <c r="AU316" i="1"/>
  <c r="AR316" i="1"/>
  <c r="AP316" i="1"/>
  <c r="AN316" i="1"/>
  <c r="AI316" i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M316" i="1"/>
  <c r="AU315" i="1"/>
  <c r="AR315" i="1"/>
  <c r="AP315" i="1"/>
  <c r="AO315" i="1"/>
  <c r="AJ315" i="1"/>
  <c r="AI315" i="1"/>
  <c r="AN315" i="1" s="1"/>
  <c r="AH315" i="1"/>
  <c r="AF315" i="1"/>
  <c r="AE315" i="1"/>
  <c r="AC315" i="1"/>
  <c r="AB315" i="1"/>
  <c r="AA315" i="1"/>
  <c r="Z315" i="1"/>
  <c r="Y315" i="1"/>
  <c r="X315" i="1"/>
  <c r="W315" i="1"/>
  <c r="P315" i="1"/>
  <c r="O315" i="1"/>
  <c r="AD315" i="1" s="1"/>
  <c r="N315" i="1"/>
  <c r="M315" i="1"/>
  <c r="AU314" i="1"/>
  <c r="AR314" i="1"/>
  <c r="AP314" i="1"/>
  <c r="AI314" i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T313" i="1"/>
  <c r="AP313" i="1"/>
  <c r="AO313" i="1"/>
  <c r="AN313" i="1"/>
  <c r="AJ313" i="1"/>
  <c r="AI313" i="1"/>
  <c r="AH313" i="1"/>
  <c r="AF313" i="1"/>
  <c r="AE313" i="1"/>
  <c r="AC313" i="1"/>
  <c r="AA313" i="1"/>
  <c r="Z313" i="1"/>
  <c r="Y313" i="1"/>
  <c r="X313" i="1"/>
  <c r="W313" i="1"/>
  <c r="P313" i="1"/>
  <c r="O313" i="1"/>
  <c r="N313" i="1"/>
  <c r="M313" i="1"/>
  <c r="AU312" i="1"/>
  <c r="AP312" i="1"/>
  <c r="AN312" i="1"/>
  <c r="AI312" i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AC312" i="1" s="1"/>
  <c r="M312" i="1"/>
  <c r="AR312" i="1" s="1"/>
  <c r="AV311" i="1"/>
  <c r="AU311" i="1"/>
  <c r="AT311" i="1"/>
  <c r="AQ311" i="1"/>
  <c r="AP311" i="1"/>
  <c r="AN311" i="1"/>
  <c r="AJ311" i="1"/>
  <c r="AI311" i="1"/>
  <c r="AH311" i="1"/>
  <c r="AF311" i="1"/>
  <c r="AE311" i="1"/>
  <c r="AC311" i="1"/>
  <c r="AA311" i="1"/>
  <c r="Z311" i="1"/>
  <c r="Y311" i="1"/>
  <c r="X311" i="1"/>
  <c r="W311" i="1"/>
  <c r="P311" i="1"/>
  <c r="O311" i="1"/>
  <c r="AD311" i="1" s="1"/>
  <c r="N311" i="1"/>
  <c r="AO311" i="1" s="1"/>
  <c r="M311" i="1"/>
  <c r="AU310" i="1"/>
  <c r="AR310" i="1"/>
  <c r="AQ310" i="1"/>
  <c r="AP310" i="1"/>
  <c r="AN310" i="1"/>
  <c r="AI310" i="1"/>
  <c r="AH310" i="1"/>
  <c r="AF310" i="1"/>
  <c r="AE310" i="1"/>
  <c r="AB310" i="1"/>
  <c r="AA310" i="1"/>
  <c r="Z310" i="1"/>
  <c r="Y310" i="1"/>
  <c r="X310" i="1"/>
  <c r="W310" i="1"/>
  <c r="P310" i="1"/>
  <c r="O310" i="1"/>
  <c r="AD310" i="1" s="1"/>
  <c r="N310" i="1"/>
  <c r="M310" i="1"/>
  <c r="AU309" i="1"/>
  <c r="AR309" i="1"/>
  <c r="AP309" i="1"/>
  <c r="AO309" i="1"/>
  <c r="AI309" i="1"/>
  <c r="AN309" i="1" s="1"/>
  <c r="AH309" i="1"/>
  <c r="AF309" i="1"/>
  <c r="AE309" i="1"/>
  <c r="AC309" i="1"/>
  <c r="AA309" i="1"/>
  <c r="Z309" i="1"/>
  <c r="Y309" i="1"/>
  <c r="X309" i="1"/>
  <c r="W309" i="1"/>
  <c r="P309" i="1"/>
  <c r="O309" i="1"/>
  <c r="AD309" i="1" s="1"/>
  <c r="N309" i="1"/>
  <c r="M309" i="1"/>
  <c r="AB309" i="1" s="1"/>
  <c r="AU308" i="1"/>
  <c r="AT308" i="1"/>
  <c r="AR308" i="1"/>
  <c r="AP308" i="1"/>
  <c r="AN308" i="1"/>
  <c r="AJ308" i="1"/>
  <c r="AI308" i="1"/>
  <c r="AH308" i="1"/>
  <c r="AF308" i="1"/>
  <c r="AE308" i="1"/>
  <c r="AD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M308" i="1"/>
  <c r="AU307" i="1"/>
  <c r="AT307" i="1"/>
  <c r="AQ307" i="1"/>
  <c r="AP307" i="1"/>
  <c r="AO307" i="1"/>
  <c r="AN307" i="1"/>
  <c r="AJ307" i="1"/>
  <c r="AI307" i="1"/>
  <c r="AH307" i="1"/>
  <c r="AF307" i="1"/>
  <c r="AE307" i="1"/>
  <c r="AD307" i="1"/>
  <c r="AC307" i="1"/>
  <c r="AA307" i="1"/>
  <c r="Z307" i="1"/>
  <c r="Y307" i="1"/>
  <c r="X307" i="1"/>
  <c r="W307" i="1"/>
  <c r="P307" i="1"/>
  <c r="O307" i="1"/>
  <c r="N307" i="1"/>
  <c r="M307" i="1"/>
  <c r="AU306" i="1"/>
  <c r="AP306" i="1"/>
  <c r="AO306" i="1"/>
  <c r="AI306" i="1"/>
  <c r="AH306" i="1"/>
  <c r="AF306" i="1"/>
  <c r="AE306" i="1"/>
  <c r="AD306" i="1"/>
  <c r="AA306" i="1"/>
  <c r="Z306" i="1"/>
  <c r="Y306" i="1"/>
  <c r="X306" i="1"/>
  <c r="W306" i="1"/>
  <c r="P306" i="1"/>
  <c r="O306" i="1"/>
  <c r="AQ306" i="1" s="1"/>
  <c r="N306" i="1"/>
  <c r="AC306" i="1" s="1"/>
  <c r="M306" i="1"/>
  <c r="AB306" i="1" s="1"/>
  <c r="AU305" i="1"/>
  <c r="AT305" i="1"/>
  <c r="AQ305" i="1"/>
  <c r="AP305" i="1"/>
  <c r="AN305" i="1"/>
  <c r="AJ305" i="1"/>
  <c r="AI305" i="1"/>
  <c r="AH305" i="1"/>
  <c r="AF305" i="1"/>
  <c r="AE305" i="1"/>
  <c r="AC305" i="1"/>
  <c r="AA305" i="1"/>
  <c r="Z305" i="1"/>
  <c r="Y305" i="1"/>
  <c r="X305" i="1"/>
  <c r="W305" i="1"/>
  <c r="P305" i="1"/>
  <c r="O305" i="1"/>
  <c r="AD305" i="1" s="1"/>
  <c r="N305" i="1"/>
  <c r="AO305" i="1" s="1"/>
  <c r="M305" i="1"/>
  <c r="AU304" i="1"/>
  <c r="AR304" i="1"/>
  <c r="AP304" i="1"/>
  <c r="AO304" i="1"/>
  <c r="AN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N304" i="1"/>
  <c r="M304" i="1"/>
  <c r="AB304" i="1" s="1"/>
  <c r="AU303" i="1"/>
  <c r="AR303" i="1"/>
  <c r="AP303" i="1"/>
  <c r="AI303" i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O303" i="1" s="1"/>
  <c r="M303" i="1"/>
  <c r="AU302" i="1"/>
  <c r="AT302" i="1"/>
  <c r="AP302" i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Q302" i="1" s="1"/>
  <c r="N302" i="1"/>
  <c r="AO302" i="1" s="1"/>
  <c r="M302" i="1"/>
  <c r="AR302" i="1" s="1"/>
  <c r="AU301" i="1"/>
  <c r="AR301" i="1"/>
  <c r="AP301" i="1"/>
  <c r="AN301" i="1"/>
  <c r="AI301" i="1"/>
  <c r="AT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C301" i="1" s="1"/>
  <c r="M301" i="1"/>
  <c r="AU300" i="1"/>
  <c r="AT300" i="1"/>
  <c r="AP300" i="1"/>
  <c r="AO300" i="1"/>
  <c r="AJ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U299" i="1"/>
  <c r="AT299" i="1"/>
  <c r="AR299" i="1"/>
  <c r="AP299" i="1"/>
  <c r="AN299" i="1"/>
  <c r="AJ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M299" i="1"/>
  <c r="AU298" i="1"/>
  <c r="AT298" i="1"/>
  <c r="AQ298" i="1"/>
  <c r="AP298" i="1"/>
  <c r="AO298" i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D298" i="1" s="1"/>
  <c r="N298" i="1"/>
  <c r="M298" i="1"/>
  <c r="AR298" i="1" s="1"/>
  <c r="AU297" i="1"/>
  <c r="AR297" i="1"/>
  <c r="AP297" i="1"/>
  <c r="AI297" i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O297" i="1" s="1"/>
  <c r="M297" i="1"/>
  <c r="AU296" i="1"/>
  <c r="AT296" i="1"/>
  <c r="AP296" i="1"/>
  <c r="AJ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Q296" i="1" s="1"/>
  <c r="N296" i="1"/>
  <c r="AO296" i="1" s="1"/>
  <c r="M296" i="1"/>
  <c r="AR296" i="1" s="1"/>
  <c r="AU295" i="1"/>
  <c r="AR295" i="1"/>
  <c r="AP295" i="1"/>
  <c r="AN295" i="1"/>
  <c r="AI295" i="1"/>
  <c r="AT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AC295" i="1" s="1"/>
  <c r="M295" i="1"/>
  <c r="AU294" i="1"/>
  <c r="AT294" i="1"/>
  <c r="AP294" i="1"/>
  <c r="AO294" i="1"/>
  <c r="AJ294" i="1"/>
  <c r="AI294" i="1"/>
  <c r="AN294" i="1" s="1"/>
  <c r="AH294" i="1"/>
  <c r="AF294" i="1"/>
  <c r="AE294" i="1"/>
  <c r="AC294" i="1"/>
  <c r="AA294" i="1"/>
  <c r="Z294" i="1"/>
  <c r="Y294" i="1"/>
  <c r="X294" i="1"/>
  <c r="W294" i="1"/>
  <c r="P294" i="1"/>
  <c r="O294" i="1"/>
  <c r="AD294" i="1" s="1"/>
  <c r="N294" i="1"/>
  <c r="M294" i="1"/>
  <c r="AU293" i="1"/>
  <c r="AT293" i="1"/>
  <c r="AR293" i="1"/>
  <c r="AP293" i="1"/>
  <c r="AN293" i="1"/>
  <c r="AJ293" i="1"/>
  <c r="AI293" i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Q292" i="1"/>
  <c r="AP292" i="1"/>
  <c r="AO292" i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M292" i="1"/>
  <c r="AR292" i="1" s="1"/>
  <c r="AU291" i="1"/>
  <c r="AR291" i="1"/>
  <c r="AP291" i="1"/>
  <c r="AI291" i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U290" i="1"/>
  <c r="AT290" i="1"/>
  <c r="AP290" i="1"/>
  <c r="AJ290" i="1"/>
  <c r="AI290" i="1"/>
  <c r="AN290" i="1" s="1"/>
  <c r="AH290" i="1"/>
  <c r="AF290" i="1"/>
  <c r="AE290" i="1"/>
  <c r="AC290" i="1"/>
  <c r="AA290" i="1"/>
  <c r="Z290" i="1"/>
  <c r="Y290" i="1"/>
  <c r="X290" i="1"/>
  <c r="W290" i="1"/>
  <c r="P290" i="1"/>
  <c r="O290" i="1"/>
  <c r="AQ290" i="1" s="1"/>
  <c r="N290" i="1"/>
  <c r="AO290" i="1" s="1"/>
  <c r="M290" i="1"/>
  <c r="AR290" i="1" s="1"/>
  <c r="AU289" i="1"/>
  <c r="AR289" i="1"/>
  <c r="AP289" i="1"/>
  <c r="AN289" i="1"/>
  <c r="AI289" i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AC289" i="1" s="1"/>
  <c r="M289" i="1"/>
  <c r="AU288" i="1"/>
  <c r="AT288" i="1"/>
  <c r="AP288" i="1"/>
  <c r="AO288" i="1"/>
  <c r="AJ288" i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R287" i="1"/>
  <c r="AP287" i="1"/>
  <c r="AN287" i="1"/>
  <c r="AJ287" i="1"/>
  <c r="AI287" i="1"/>
  <c r="AT287" i="1" s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Q286" i="1"/>
  <c r="AP286" i="1"/>
  <c r="AO286" i="1"/>
  <c r="AN286" i="1"/>
  <c r="AJ286" i="1"/>
  <c r="AI286" i="1"/>
  <c r="AH286" i="1"/>
  <c r="AF286" i="1"/>
  <c r="AE286" i="1"/>
  <c r="AD286" i="1"/>
  <c r="AC286" i="1"/>
  <c r="AA286" i="1"/>
  <c r="Z286" i="1"/>
  <c r="Y286" i="1"/>
  <c r="X286" i="1"/>
  <c r="W286" i="1"/>
  <c r="P286" i="1"/>
  <c r="O286" i="1"/>
  <c r="N286" i="1"/>
  <c r="M286" i="1"/>
  <c r="AU285" i="1"/>
  <c r="AP285" i="1"/>
  <c r="AN285" i="1"/>
  <c r="AI285" i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M285" i="1"/>
  <c r="AR285" i="1" s="1"/>
  <c r="AU284" i="1"/>
  <c r="AT284" i="1"/>
  <c r="AQ284" i="1"/>
  <c r="AP284" i="1"/>
  <c r="AJ284" i="1"/>
  <c r="AI284" i="1"/>
  <c r="AN284" i="1" s="1"/>
  <c r="AH284" i="1"/>
  <c r="AF284" i="1"/>
  <c r="AE284" i="1"/>
  <c r="AA284" i="1"/>
  <c r="Z284" i="1"/>
  <c r="Y284" i="1"/>
  <c r="X284" i="1"/>
  <c r="W284" i="1"/>
  <c r="P284" i="1"/>
  <c r="O284" i="1"/>
  <c r="AD284" i="1" s="1"/>
  <c r="N284" i="1"/>
  <c r="AO284" i="1" s="1"/>
  <c r="M284" i="1"/>
  <c r="AU283" i="1"/>
  <c r="AR283" i="1"/>
  <c r="AP283" i="1"/>
  <c r="AI283" i="1"/>
  <c r="AH283" i="1"/>
  <c r="AF283" i="1"/>
  <c r="AE283" i="1"/>
  <c r="AB283" i="1"/>
  <c r="AA283" i="1"/>
  <c r="Z283" i="1"/>
  <c r="Y283" i="1"/>
  <c r="X283" i="1"/>
  <c r="W283" i="1"/>
  <c r="P283" i="1"/>
  <c r="O283" i="1"/>
  <c r="AQ283" i="1" s="1"/>
  <c r="N283" i="1"/>
  <c r="M283" i="1"/>
  <c r="AU282" i="1"/>
  <c r="AR282" i="1"/>
  <c r="AP282" i="1"/>
  <c r="AO282" i="1"/>
  <c r="AI282" i="1"/>
  <c r="AN282" i="1" s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M282" i="1"/>
  <c r="AB282" i="1" s="1"/>
  <c r="AU281" i="1"/>
  <c r="AR281" i="1"/>
  <c r="AP281" i="1"/>
  <c r="AI281" i="1"/>
  <c r="AH281" i="1"/>
  <c r="AF281" i="1"/>
  <c r="AE281" i="1"/>
  <c r="AD281" i="1"/>
  <c r="AC281" i="1"/>
  <c r="AB281" i="1"/>
  <c r="AA281" i="1"/>
  <c r="Z281" i="1"/>
  <c r="Y281" i="1"/>
  <c r="X281" i="1"/>
  <c r="W281" i="1"/>
  <c r="P281" i="1"/>
  <c r="O281" i="1"/>
  <c r="AQ281" i="1" s="1"/>
  <c r="N281" i="1"/>
  <c r="AO281" i="1" s="1"/>
  <c r="M281" i="1"/>
  <c r="AU280" i="1"/>
  <c r="AT280" i="1"/>
  <c r="AP280" i="1"/>
  <c r="AO280" i="1"/>
  <c r="AN280" i="1"/>
  <c r="AJ280" i="1"/>
  <c r="AI280" i="1"/>
  <c r="AH280" i="1"/>
  <c r="AF280" i="1"/>
  <c r="AE280" i="1"/>
  <c r="AC280" i="1"/>
  <c r="AA280" i="1"/>
  <c r="Z280" i="1"/>
  <c r="Y280" i="1"/>
  <c r="X280" i="1"/>
  <c r="W280" i="1"/>
  <c r="P280" i="1"/>
  <c r="O280" i="1"/>
  <c r="N280" i="1"/>
  <c r="M280" i="1"/>
  <c r="AU279" i="1"/>
  <c r="AP279" i="1"/>
  <c r="AI279" i="1"/>
  <c r="AH279" i="1"/>
  <c r="AF279" i="1"/>
  <c r="AE279" i="1"/>
  <c r="AD279" i="1"/>
  <c r="AA279" i="1"/>
  <c r="Z279" i="1"/>
  <c r="Y279" i="1"/>
  <c r="X279" i="1"/>
  <c r="W279" i="1"/>
  <c r="P279" i="1"/>
  <c r="O279" i="1"/>
  <c r="AQ279" i="1" s="1"/>
  <c r="N279" i="1"/>
  <c r="M279" i="1"/>
  <c r="AB279" i="1" s="1"/>
  <c r="AU278" i="1"/>
  <c r="AT278" i="1"/>
  <c r="AP278" i="1"/>
  <c r="AJ278" i="1"/>
  <c r="AI278" i="1"/>
  <c r="AN278" i="1" s="1"/>
  <c r="AH278" i="1"/>
  <c r="AF278" i="1"/>
  <c r="AE278" i="1"/>
  <c r="AA278" i="1"/>
  <c r="Z278" i="1"/>
  <c r="Y278" i="1"/>
  <c r="X278" i="1"/>
  <c r="W278" i="1"/>
  <c r="P278" i="1"/>
  <c r="O278" i="1"/>
  <c r="N278" i="1"/>
  <c r="AO278" i="1" s="1"/>
  <c r="M278" i="1"/>
  <c r="AU277" i="1"/>
  <c r="AR277" i="1"/>
  <c r="AQ277" i="1"/>
  <c r="AP277" i="1"/>
  <c r="AN277" i="1"/>
  <c r="AI277" i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N277" i="1"/>
  <c r="M277" i="1"/>
  <c r="AU276" i="1"/>
  <c r="AQ276" i="1"/>
  <c r="AP276" i="1"/>
  <c r="AO276" i="1"/>
  <c r="AJ276" i="1"/>
  <c r="AI276" i="1"/>
  <c r="AN276" i="1" s="1"/>
  <c r="AH276" i="1"/>
  <c r="AF276" i="1"/>
  <c r="AE276" i="1"/>
  <c r="AC276" i="1"/>
  <c r="AA276" i="1"/>
  <c r="Z276" i="1"/>
  <c r="Y276" i="1"/>
  <c r="X276" i="1"/>
  <c r="W276" i="1"/>
  <c r="P276" i="1"/>
  <c r="O276" i="1"/>
  <c r="AD276" i="1" s="1"/>
  <c r="N276" i="1"/>
  <c r="M276" i="1"/>
  <c r="AU275" i="1"/>
  <c r="AR275" i="1"/>
  <c r="AP275" i="1"/>
  <c r="AJ275" i="1"/>
  <c r="AI275" i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U274" i="1"/>
  <c r="AT274" i="1"/>
  <c r="AP274" i="1"/>
  <c r="AO274" i="1"/>
  <c r="AV274" i="1" s="1"/>
  <c r="AN274" i="1"/>
  <c r="AJ274" i="1"/>
  <c r="AI274" i="1"/>
  <c r="AH274" i="1"/>
  <c r="AF274" i="1"/>
  <c r="AE274" i="1"/>
  <c r="AC274" i="1"/>
  <c r="AA274" i="1"/>
  <c r="Z274" i="1"/>
  <c r="Y274" i="1"/>
  <c r="X274" i="1"/>
  <c r="W274" i="1"/>
  <c r="P274" i="1"/>
  <c r="O274" i="1"/>
  <c r="N274" i="1"/>
  <c r="M274" i="1"/>
  <c r="AU273" i="1"/>
  <c r="AP273" i="1"/>
  <c r="AO273" i="1"/>
  <c r="AN273" i="1"/>
  <c r="AI273" i="1"/>
  <c r="AH273" i="1"/>
  <c r="AF273" i="1"/>
  <c r="AE273" i="1"/>
  <c r="AD273" i="1"/>
  <c r="AA273" i="1"/>
  <c r="Z273" i="1"/>
  <c r="Y273" i="1"/>
  <c r="X273" i="1"/>
  <c r="W273" i="1"/>
  <c r="P273" i="1"/>
  <c r="O273" i="1"/>
  <c r="AQ273" i="1" s="1"/>
  <c r="N273" i="1"/>
  <c r="AC273" i="1" s="1"/>
  <c r="M273" i="1"/>
  <c r="AB273" i="1" s="1"/>
  <c r="AV272" i="1"/>
  <c r="AU272" i="1"/>
  <c r="AT272" i="1"/>
  <c r="AP272" i="1"/>
  <c r="AO272" i="1"/>
  <c r="AJ272" i="1"/>
  <c r="AI272" i="1"/>
  <c r="AN272" i="1" s="1"/>
  <c r="AH272" i="1"/>
  <c r="AF272" i="1"/>
  <c r="AE272" i="1"/>
  <c r="AC272" i="1"/>
  <c r="AA272" i="1"/>
  <c r="Z272" i="1"/>
  <c r="Y272" i="1"/>
  <c r="X272" i="1"/>
  <c r="W272" i="1"/>
  <c r="P272" i="1"/>
  <c r="O272" i="1"/>
  <c r="N272" i="1"/>
  <c r="M272" i="1"/>
  <c r="AU271" i="1"/>
  <c r="AR271" i="1"/>
  <c r="AP271" i="1"/>
  <c r="AI271" i="1"/>
  <c r="AH271" i="1"/>
  <c r="AF271" i="1"/>
  <c r="AE271" i="1"/>
  <c r="AB271" i="1"/>
  <c r="AA271" i="1"/>
  <c r="Z271" i="1"/>
  <c r="Y271" i="1"/>
  <c r="X271" i="1"/>
  <c r="W271" i="1"/>
  <c r="P271" i="1"/>
  <c r="O271" i="1"/>
  <c r="AQ271" i="1" s="1"/>
  <c r="N271" i="1"/>
  <c r="M271" i="1"/>
  <c r="AU270" i="1"/>
  <c r="AR270" i="1"/>
  <c r="AQ270" i="1"/>
  <c r="AP270" i="1"/>
  <c r="AO270" i="1"/>
  <c r="AV270" i="1" s="1"/>
  <c r="AJ270" i="1"/>
  <c r="AI270" i="1"/>
  <c r="AN270" i="1" s="1"/>
  <c r="AH270" i="1"/>
  <c r="AF270" i="1"/>
  <c r="AE270" i="1"/>
  <c r="AC270" i="1"/>
  <c r="AB270" i="1"/>
  <c r="AA270" i="1"/>
  <c r="Z270" i="1"/>
  <c r="Y270" i="1"/>
  <c r="X270" i="1"/>
  <c r="W270" i="1"/>
  <c r="P270" i="1"/>
  <c r="O270" i="1"/>
  <c r="AD270" i="1" s="1"/>
  <c r="N270" i="1"/>
  <c r="M270" i="1"/>
  <c r="AU269" i="1"/>
  <c r="AT269" i="1"/>
  <c r="AR269" i="1"/>
  <c r="AP269" i="1"/>
  <c r="AN269" i="1"/>
  <c r="AJ269" i="1"/>
  <c r="AI269" i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M269" i="1"/>
  <c r="AB269" i="1" s="1"/>
  <c r="AU268" i="1"/>
  <c r="AT268" i="1"/>
  <c r="AQ268" i="1"/>
  <c r="AP268" i="1"/>
  <c r="AN268" i="1"/>
  <c r="AJ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N268" i="1"/>
  <c r="M268" i="1"/>
  <c r="AU267" i="1"/>
  <c r="AR267" i="1"/>
  <c r="AP267" i="1"/>
  <c r="AO267" i="1"/>
  <c r="AV267" i="1" s="1"/>
  <c r="AI267" i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C267" i="1" s="1"/>
  <c r="M267" i="1"/>
  <c r="AV266" i="1"/>
  <c r="AU266" i="1"/>
  <c r="AR266" i="1"/>
  <c r="AQ266" i="1"/>
  <c r="AP266" i="1"/>
  <c r="AO266" i="1"/>
  <c r="AJ266" i="1"/>
  <c r="AI266" i="1"/>
  <c r="AN266" i="1" s="1"/>
  <c r="AH266" i="1"/>
  <c r="AF266" i="1"/>
  <c r="AE266" i="1"/>
  <c r="AC266" i="1"/>
  <c r="AB266" i="1"/>
  <c r="AA266" i="1"/>
  <c r="Z266" i="1"/>
  <c r="Y266" i="1"/>
  <c r="X266" i="1"/>
  <c r="W266" i="1"/>
  <c r="P266" i="1"/>
  <c r="O266" i="1"/>
  <c r="AD266" i="1" s="1"/>
  <c r="N266" i="1"/>
  <c r="M266" i="1"/>
  <c r="AU265" i="1"/>
  <c r="AT265" i="1"/>
  <c r="AR265" i="1"/>
  <c r="AP265" i="1"/>
  <c r="AI265" i="1"/>
  <c r="AH265" i="1"/>
  <c r="AF265" i="1"/>
  <c r="AE265" i="1"/>
  <c r="AB265" i="1"/>
  <c r="AA265" i="1"/>
  <c r="Z265" i="1"/>
  <c r="Y265" i="1"/>
  <c r="X265" i="1"/>
  <c r="W265" i="1"/>
  <c r="P265" i="1"/>
  <c r="O265" i="1"/>
  <c r="N265" i="1"/>
  <c r="AO265" i="1" s="1"/>
  <c r="AV265" i="1" s="1"/>
  <c r="M265" i="1"/>
  <c r="AU264" i="1"/>
  <c r="AR264" i="1"/>
  <c r="AP264" i="1"/>
  <c r="AO264" i="1"/>
  <c r="AV264" i="1" s="1"/>
  <c r="AI264" i="1"/>
  <c r="AH264" i="1"/>
  <c r="AF264" i="1"/>
  <c r="AE264" i="1"/>
  <c r="AC264" i="1"/>
  <c r="AB264" i="1"/>
  <c r="AA264" i="1"/>
  <c r="Z264" i="1"/>
  <c r="Y264" i="1"/>
  <c r="X264" i="1"/>
  <c r="W264" i="1"/>
  <c r="P264" i="1"/>
  <c r="O264" i="1"/>
  <c r="AD264" i="1" s="1"/>
  <c r="N264" i="1"/>
  <c r="M264" i="1"/>
  <c r="AU263" i="1"/>
  <c r="AP263" i="1"/>
  <c r="AJ263" i="1"/>
  <c r="AI263" i="1"/>
  <c r="AN263" i="1" s="1"/>
  <c r="AH263" i="1"/>
  <c r="AF263" i="1"/>
  <c r="AE263" i="1"/>
  <c r="AD263" i="1"/>
  <c r="AC263" i="1"/>
  <c r="AB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R263" i="1" s="1"/>
  <c r="AU262" i="1"/>
  <c r="AT262" i="1"/>
  <c r="AP262" i="1"/>
  <c r="AO262" i="1"/>
  <c r="AV262" i="1" s="1"/>
  <c r="AN262" i="1"/>
  <c r="AJ262" i="1"/>
  <c r="AI262" i="1"/>
  <c r="AH262" i="1"/>
  <c r="AF262" i="1"/>
  <c r="AE262" i="1"/>
  <c r="AC262" i="1"/>
  <c r="AA262" i="1"/>
  <c r="Z262" i="1"/>
  <c r="Y262" i="1"/>
  <c r="X262" i="1"/>
  <c r="W262" i="1"/>
  <c r="P262" i="1"/>
  <c r="O262" i="1"/>
  <c r="N262" i="1"/>
  <c r="M262" i="1"/>
  <c r="AU261" i="1"/>
  <c r="AQ261" i="1"/>
  <c r="AP261" i="1"/>
  <c r="AN261" i="1"/>
  <c r="AI261" i="1"/>
  <c r="AH261" i="1"/>
  <c r="AF261" i="1"/>
  <c r="AE261" i="1"/>
  <c r="AD261" i="1"/>
  <c r="AA261" i="1"/>
  <c r="Z261" i="1"/>
  <c r="Y261" i="1"/>
  <c r="X261" i="1"/>
  <c r="W261" i="1"/>
  <c r="P261" i="1"/>
  <c r="O261" i="1"/>
  <c r="N261" i="1"/>
  <c r="AC261" i="1" s="1"/>
  <c r="M261" i="1"/>
  <c r="AB261" i="1" s="1"/>
  <c r="AU260" i="1"/>
  <c r="AQ260" i="1"/>
  <c r="AP260" i="1"/>
  <c r="AO260" i="1"/>
  <c r="AV260" i="1" s="1"/>
  <c r="AJ260" i="1"/>
  <c r="AI260" i="1"/>
  <c r="AN260" i="1" s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M260" i="1"/>
  <c r="AR260" i="1" s="1"/>
  <c r="AU259" i="1"/>
  <c r="AR259" i="1"/>
  <c r="AP259" i="1"/>
  <c r="AN259" i="1"/>
  <c r="AJ259" i="1"/>
  <c r="AI259" i="1"/>
  <c r="AT259" i="1" s="1"/>
  <c r="AH259" i="1"/>
  <c r="AF259" i="1"/>
  <c r="AE259" i="1"/>
  <c r="AD259" i="1"/>
  <c r="AC259" i="1"/>
  <c r="AB259" i="1"/>
  <c r="AA259" i="1"/>
  <c r="Z259" i="1"/>
  <c r="Y259" i="1"/>
  <c r="X259" i="1"/>
  <c r="W259" i="1"/>
  <c r="P259" i="1"/>
  <c r="O259" i="1"/>
  <c r="AQ259" i="1" s="1"/>
  <c r="N259" i="1"/>
  <c r="AO259" i="1" s="1"/>
  <c r="AV259" i="1" s="1"/>
  <c r="M259" i="1"/>
  <c r="AU258" i="1"/>
  <c r="AR258" i="1"/>
  <c r="AP258" i="1"/>
  <c r="AO258" i="1"/>
  <c r="AV258" i="1" s="1"/>
  <c r="AI258" i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M258" i="1"/>
  <c r="AV257" i="1"/>
  <c r="AU257" i="1"/>
  <c r="AP257" i="1"/>
  <c r="AO257" i="1"/>
  <c r="AI257" i="1"/>
  <c r="AH257" i="1"/>
  <c r="AF257" i="1"/>
  <c r="AE257" i="1"/>
  <c r="AD257" i="1"/>
  <c r="AC257" i="1"/>
  <c r="AB257" i="1"/>
  <c r="AA257" i="1"/>
  <c r="Z257" i="1"/>
  <c r="Y257" i="1"/>
  <c r="X257" i="1"/>
  <c r="W257" i="1"/>
  <c r="P257" i="1"/>
  <c r="O257" i="1"/>
  <c r="AQ257" i="1" s="1"/>
  <c r="N257" i="1"/>
  <c r="M257" i="1"/>
  <c r="AR257" i="1" s="1"/>
  <c r="AU256" i="1"/>
  <c r="AT256" i="1"/>
  <c r="AP256" i="1"/>
  <c r="AO256" i="1"/>
  <c r="AV256" i="1" s="1"/>
  <c r="AN256" i="1"/>
  <c r="AJ256" i="1"/>
  <c r="AI256" i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AC256" i="1" s="1"/>
  <c r="M256" i="1"/>
  <c r="AU255" i="1"/>
  <c r="AQ255" i="1"/>
  <c r="AP255" i="1"/>
  <c r="AI255" i="1"/>
  <c r="AH255" i="1"/>
  <c r="AF255" i="1"/>
  <c r="AE255" i="1"/>
  <c r="AA255" i="1"/>
  <c r="Z255" i="1"/>
  <c r="Y255" i="1"/>
  <c r="X255" i="1"/>
  <c r="W255" i="1"/>
  <c r="P255" i="1"/>
  <c r="O255" i="1"/>
  <c r="AD255" i="1" s="1"/>
  <c r="N255" i="1"/>
  <c r="AC255" i="1" s="1"/>
  <c r="M255" i="1"/>
  <c r="AR255" i="1" s="1"/>
  <c r="AU254" i="1"/>
  <c r="AR254" i="1"/>
  <c r="AP254" i="1"/>
  <c r="AI254" i="1"/>
  <c r="AH254" i="1"/>
  <c r="AF254" i="1"/>
  <c r="AE254" i="1"/>
  <c r="AA254" i="1"/>
  <c r="Z254" i="1"/>
  <c r="Y254" i="1"/>
  <c r="X254" i="1"/>
  <c r="W254" i="1"/>
  <c r="P254" i="1"/>
  <c r="O254" i="1"/>
  <c r="N254" i="1"/>
  <c r="M254" i="1"/>
  <c r="AB254" i="1" s="1"/>
  <c r="AU253" i="1"/>
  <c r="AR253" i="1"/>
  <c r="AQ253" i="1"/>
  <c r="AP253" i="1"/>
  <c r="AJ253" i="1"/>
  <c r="AI253" i="1"/>
  <c r="AT253" i="1" s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N253" i="1"/>
  <c r="AO253" i="1" s="1"/>
  <c r="AV253" i="1" s="1"/>
  <c r="M253" i="1"/>
  <c r="AU252" i="1"/>
  <c r="AT252" i="1"/>
  <c r="AQ252" i="1"/>
  <c r="AP252" i="1"/>
  <c r="AO252" i="1"/>
  <c r="AV252" i="1" s="1"/>
  <c r="AN252" i="1"/>
  <c r="AJ252" i="1"/>
  <c r="AI252" i="1"/>
  <c r="AH252" i="1"/>
  <c r="AF252" i="1"/>
  <c r="AE252" i="1"/>
  <c r="AD252" i="1"/>
  <c r="AC252" i="1"/>
  <c r="AA252" i="1"/>
  <c r="Z252" i="1"/>
  <c r="Y252" i="1"/>
  <c r="X252" i="1"/>
  <c r="W252" i="1"/>
  <c r="P252" i="1"/>
  <c r="O252" i="1"/>
  <c r="N252" i="1"/>
  <c r="M252" i="1"/>
  <c r="AR252" i="1" s="1"/>
  <c r="AU251" i="1"/>
  <c r="AR251" i="1"/>
  <c r="AP251" i="1"/>
  <c r="AN251" i="1"/>
  <c r="AJ251" i="1"/>
  <c r="AI251" i="1"/>
  <c r="AT251" i="1" s="1"/>
  <c r="AH251" i="1"/>
  <c r="AF251" i="1"/>
  <c r="AE251" i="1"/>
  <c r="AD251" i="1"/>
  <c r="AA251" i="1"/>
  <c r="Z251" i="1"/>
  <c r="Y251" i="1"/>
  <c r="X251" i="1"/>
  <c r="W251" i="1"/>
  <c r="P251" i="1"/>
  <c r="O251" i="1"/>
  <c r="AQ251" i="1" s="1"/>
  <c r="N251" i="1"/>
  <c r="M251" i="1"/>
  <c r="AB251" i="1" s="1"/>
  <c r="AU250" i="1"/>
  <c r="AT250" i="1"/>
  <c r="AQ250" i="1"/>
  <c r="AP250" i="1"/>
  <c r="AN250" i="1"/>
  <c r="AJ250" i="1"/>
  <c r="AI250" i="1"/>
  <c r="AH250" i="1"/>
  <c r="AF250" i="1"/>
  <c r="AE250" i="1"/>
  <c r="AD250" i="1"/>
  <c r="AA250" i="1"/>
  <c r="Z250" i="1"/>
  <c r="Y250" i="1"/>
  <c r="X250" i="1"/>
  <c r="W250" i="1"/>
  <c r="P250" i="1"/>
  <c r="O250" i="1"/>
  <c r="N250" i="1"/>
  <c r="M250" i="1"/>
  <c r="AU249" i="1"/>
  <c r="AR249" i="1"/>
  <c r="AP249" i="1"/>
  <c r="AI249" i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M249" i="1"/>
  <c r="AU248" i="1"/>
  <c r="AR248" i="1"/>
  <c r="AQ248" i="1"/>
  <c r="AP248" i="1"/>
  <c r="AO248" i="1"/>
  <c r="AJ248" i="1"/>
  <c r="AI248" i="1"/>
  <c r="AN248" i="1" s="1"/>
  <c r="AH248" i="1"/>
  <c r="AF248" i="1"/>
  <c r="AE248" i="1"/>
  <c r="AC248" i="1"/>
  <c r="AB248" i="1"/>
  <c r="AA248" i="1"/>
  <c r="Z248" i="1"/>
  <c r="Y248" i="1"/>
  <c r="X248" i="1"/>
  <c r="W248" i="1"/>
  <c r="P248" i="1"/>
  <c r="O248" i="1"/>
  <c r="AD248" i="1" s="1"/>
  <c r="N248" i="1"/>
  <c r="M248" i="1"/>
  <c r="AU247" i="1"/>
  <c r="AT247" i="1"/>
  <c r="AR247" i="1"/>
  <c r="AP247" i="1"/>
  <c r="AN247" i="1"/>
  <c r="AI247" i="1"/>
  <c r="AJ247" i="1" s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AQ247" i="1" s="1"/>
  <c r="N247" i="1"/>
  <c r="AO247" i="1" s="1"/>
  <c r="M247" i="1"/>
  <c r="AU246" i="1"/>
  <c r="AP246" i="1"/>
  <c r="AO246" i="1"/>
  <c r="AJ246" i="1"/>
  <c r="AI246" i="1"/>
  <c r="AN246" i="1" s="1"/>
  <c r="AH246" i="1"/>
  <c r="AF246" i="1"/>
  <c r="AE246" i="1"/>
  <c r="AC246" i="1"/>
  <c r="AB246" i="1"/>
  <c r="AA246" i="1"/>
  <c r="Z246" i="1"/>
  <c r="Y246" i="1"/>
  <c r="X246" i="1"/>
  <c r="W246" i="1"/>
  <c r="P246" i="1"/>
  <c r="O246" i="1"/>
  <c r="AD246" i="1" s="1"/>
  <c r="N246" i="1"/>
  <c r="M246" i="1"/>
  <c r="AR246" i="1" s="1"/>
  <c r="AU245" i="1"/>
  <c r="AT245" i="1"/>
  <c r="AP245" i="1"/>
  <c r="AO245" i="1"/>
  <c r="AJ245" i="1"/>
  <c r="AI245" i="1"/>
  <c r="AN245" i="1" s="1"/>
  <c r="AH245" i="1"/>
  <c r="AF245" i="1"/>
  <c r="AE245" i="1"/>
  <c r="AD245" i="1"/>
  <c r="AA245" i="1"/>
  <c r="Z245" i="1"/>
  <c r="Y245" i="1"/>
  <c r="X245" i="1"/>
  <c r="W245" i="1"/>
  <c r="P245" i="1"/>
  <c r="O245" i="1"/>
  <c r="AQ245" i="1" s="1"/>
  <c r="N245" i="1"/>
  <c r="AC245" i="1" s="1"/>
  <c r="M245" i="1"/>
  <c r="AR245" i="1" s="1"/>
  <c r="AU244" i="1"/>
  <c r="AT244" i="1"/>
  <c r="AP244" i="1"/>
  <c r="AO244" i="1"/>
  <c r="AV244" i="1" s="1"/>
  <c r="AN244" i="1"/>
  <c r="AJ244" i="1"/>
  <c r="AI244" i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AD244" i="1" s="1"/>
  <c r="N244" i="1"/>
  <c r="M244" i="1"/>
  <c r="AR244" i="1" s="1"/>
  <c r="AU243" i="1"/>
  <c r="AT243" i="1"/>
  <c r="AR243" i="1"/>
  <c r="AP243" i="1"/>
  <c r="AN243" i="1"/>
  <c r="AJ243" i="1"/>
  <c r="AI243" i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Q243" i="1" s="1"/>
  <c r="N243" i="1"/>
  <c r="AO243" i="1" s="1"/>
  <c r="M243" i="1"/>
  <c r="AU242" i="1"/>
  <c r="AQ242" i="1"/>
  <c r="AP242" i="1"/>
  <c r="AO242" i="1"/>
  <c r="AI242" i="1"/>
  <c r="AH242" i="1"/>
  <c r="AF242" i="1"/>
  <c r="AE242" i="1"/>
  <c r="AC242" i="1"/>
  <c r="AB242" i="1"/>
  <c r="AA242" i="1"/>
  <c r="Z242" i="1"/>
  <c r="Y242" i="1"/>
  <c r="X242" i="1"/>
  <c r="W242" i="1"/>
  <c r="P242" i="1"/>
  <c r="O242" i="1"/>
  <c r="AD242" i="1" s="1"/>
  <c r="N242" i="1"/>
  <c r="M242" i="1"/>
  <c r="AR242" i="1" s="1"/>
  <c r="AU241" i="1"/>
  <c r="AT241" i="1"/>
  <c r="AP241" i="1"/>
  <c r="AO241" i="1"/>
  <c r="AV241" i="1" s="1"/>
  <c r="AJ241" i="1"/>
  <c r="AI241" i="1"/>
  <c r="AN241" i="1" s="1"/>
  <c r="AH241" i="1"/>
  <c r="AF241" i="1"/>
  <c r="AE241" i="1"/>
  <c r="AD241" i="1"/>
  <c r="AA241" i="1"/>
  <c r="Z241" i="1"/>
  <c r="Y241" i="1"/>
  <c r="X241" i="1"/>
  <c r="W241" i="1"/>
  <c r="P241" i="1"/>
  <c r="O241" i="1"/>
  <c r="AQ241" i="1" s="1"/>
  <c r="N241" i="1"/>
  <c r="AC241" i="1" s="1"/>
  <c r="M241" i="1"/>
  <c r="AR241" i="1" s="1"/>
  <c r="AU240" i="1"/>
  <c r="AT240" i="1"/>
  <c r="AP240" i="1"/>
  <c r="AN240" i="1"/>
  <c r="AJ240" i="1"/>
  <c r="AI240" i="1"/>
  <c r="AH240" i="1"/>
  <c r="AF240" i="1"/>
  <c r="AE240" i="1"/>
  <c r="AC240" i="1"/>
  <c r="AA240" i="1"/>
  <c r="Z240" i="1"/>
  <c r="Y240" i="1"/>
  <c r="X240" i="1"/>
  <c r="W240" i="1"/>
  <c r="P240" i="1"/>
  <c r="O240" i="1"/>
  <c r="AD240" i="1" s="1"/>
  <c r="N240" i="1"/>
  <c r="AO240" i="1" s="1"/>
  <c r="AV240" i="1" s="1"/>
  <c r="M240" i="1"/>
  <c r="AR240" i="1" s="1"/>
  <c r="AV239" i="1"/>
  <c r="AU239" i="1"/>
  <c r="AR239" i="1"/>
  <c r="AQ239" i="1"/>
  <c r="AP239" i="1"/>
  <c r="AO239" i="1"/>
  <c r="AN239" i="1"/>
  <c r="AI239" i="1"/>
  <c r="AH239" i="1"/>
  <c r="AF239" i="1"/>
  <c r="AE239" i="1"/>
  <c r="AB239" i="1"/>
  <c r="AA239" i="1"/>
  <c r="Z239" i="1"/>
  <c r="Y239" i="1"/>
  <c r="X239" i="1"/>
  <c r="W239" i="1"/>
  <c r="P239" i="1"/>
  <c r="O239" i="1"/>
  <c r="AD239" i="1" s="1"/>
  <c r="N239" i="1"/>
  <c r="AC239" i="1" s="1"/>
  <c r="M239" i="1"/>
  <c r="AU238" i="1"/>
  <c r="AT238" i="1"/>
  <c r="AP238" i="1"/>
  <c r="AJ238" i="1"/>
  <c r="AI238" i="1"/>
  <c r="AN238" i="1" s="1"/>
  <c r="AH238" i="1"/>
  <c r="AF238" i="1"/>
  <c r="AE238" i="1"/>
  <c r="AA238" i="1"/>
  <c r="Z238" i="1"/>
  <c r="Y238" i="1"/>
  <c r="X238" i="1"/>
  <c r="W238" i="1"/>
  <c r="P238" i="1"/>
  <c r="O238" i="1"/>
  <c r="AD238" i="1" s="1"/>
  <c r="N238" i="1"/>
  <c r="M238" i="1"/>
  <c r="AR238" i="1" s="1"/>
  <c r="AU237" i="1"/>
  <c r="AT237" i="1"/>
  <c r="AR237" i="1"/>
  <c r="AP237" i="1"/>
  <c r="AN237" i="1"/>
  <c r="AJ237" i="1"/>
  <c r="AI237" i="1"/>
  <c r="AH237" i="1"/>
  <c r="AF237" i="1"/>
  <c r="AE237" i="1"/>
  <c r="AD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U236" i="1"/>
  <c r="AR236" i="1"/>
  <c r="AP236" i="1"/>
  <c r="AO236" i="1"/>
  <c r="AV236" i="1" s="1"/>
  <c r="AI236" i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R235" i="1"/>
  <c r="AP235" i="1"/>
  <c r="AJ235" i="1"/>
  <c r="AI235" i="1"/>
  <c r="AN235" i="1" s="1"/>
  <c r="AH235" i="1"/>
  <c r="AF235" i="1"/>
  <c r="AE235" i="1"/>
  <c r="AD235" i="1"/>
  <c r="AC235" i="1"/>
  <c r="AB235" i="1"/>
  <c r="AA235" i="1"/>
  <c r="Z235" i="1"/>
  <c r="Y235" i="1"/>
  <c r="X235" i="1"/>
  <c r="W235" i="1"/>
  <c r="P235" i="1"/>
  <c r="O235" i="1"/>
  <c r="AQ235" i="1" s="1"/>
  <c r="N235" i="1"/>
  <c r="AO235" i="1" s="1"/>
  <c r="AV235" i="1" s="1"/>
  <c r="M235" i="1"/>
  <c r="AU234" i="1"/>
  <c r="AT234" i="1"/>
  <c r="AQ234" i="1"/>
  <c r="AP234" i="1"/>
  <c r="AN234" i="1"/>
  <c r="AJ234" i="1"/>
  <c r="AI234" i="1"/>
  <c r="AH234" i="1"/>
  <c r="AF234" i="1"/>
  <c r="AE234" i="1"/>
  <c r="AD234" i="1"/>
  <c r="AA234" i="1"/>
  <c r="Z234" i="1"/>
  <c r="Y234" i="1"/>
  <c r="X234" i="1"/>
  <c r="W234" i="1"/>
  <c r="P234" i="1"/>
  <c r="O234" i="1"/>
  <c r="N234" i="1"/>
  <c r="M234" i="1"/>
  <c r="AR234" i="1" s="1"/>
  <c r="AU233" i="1"/>
  <c r="AR233" i="1"/>
  <c r="AP233" i="1"/>
  <c r="AO233" i="1"/>
  <c r="AN233" i="1"/>
  <c r="AI233" i="1"/>
  <c r="AH233" i="1"/>
  <c r="AF233" i="1"/>
  <c r="AE233" i="1"/>
  <c r="AB233" i="1"/>
  <c r="AA233" i="1"/>
  <c r="Z233" i="1"/>
  <c r="Y233" i="1"/>
  <c r="X233" i="1"/>
  <c r="W233" i="1"/>
  <c r="P233" i="1"/>
  <c r="O233" i="1"/>
  <c r="AD233" i="1" s="1"/>
  <c r="N233" i="1"/>
  <c r="AC233" i="1" s="1"/>
  <c r="M233" i="1"/>
  <c r="AU232" i="1"/>
  <c r="AT232" i="1"/>
  <c r="AP232" i="1"/>
  <c r="AJ232" i="1"/>
  <c r="AI232" i="1"/>
  <c r="AN232" i="1" s="1"/>
  <c r="AH232" i="1"/>
  <c r="AF232" i="1"/>
  <c r="AE232" i="1"/>
  <c r="AB232" i="1"/>
  <c r="AA232" i="1"/>
  <c r="Z232" i="1"/>
  <c r="Y232" i="1"/>
  <c r="X232" i="1"/>
  <c r="W232" i="1"/>
  <c r="P232" i="1"/>
  <c r="O232" i="1"/>
  <c r="AD232" i="1" s="1"/>
  <c r="N232" i="1"/>
  <c r="AO232" i="1" s="1"/>
  <c r="M232" i="1"/>
  <c r="AR232" i="1" s="1"/>
  <c r="AV232" i="1" s="1"/>
  <c r="AU231" i="1"/>
  <c r="AT231" i="1"/>
  <c r="AR231" i="1"/>
  <c r="AP231" i="1"/>
  <c r="AN231" i="1"/>
  <c r="AJ231" i="1"/>
  <c r="AI231" i="1"/>
  <c r="AH231" i="1"/>
  <c r="AF231" i="1"/>
  <c r="AE231" i="1"/>
  <c r="AB231" i="1"/>
  <c r="AA231" i="1"/>
  <c r="Z231" i="1"/>
  <c r="Y231" i="1"/>
  <c r="X231" i="1"/>
  <c r="W231" i="1"/>
  <c r="P231" i="1"/>
  <c r="O231" i="1"/>
  <c r="N231" i="1"/>
  <c r="AO231" i="1" s="1"/>
  <c r="M231" i="1"/>
  <c r="AU230" i="1"/>
  <c r="AQ230" i="1"/>
  <c r="AP230" i="1"/>
  <c r="AO230" i="1"/>
  <c r="AN230" i="1"/>
  <c r="AI230" i="1"/>
  <c r="AH230" i="1"/>
  <c r="AF230" i="1"/>
  <c r="AE230" i="1"/>
  <c r="AD230" i="1"/>
  <c r="AC230" i="1"/>
  <c r="AA230" i="1"/>
  <c r="Z230" i="1"/>
  <c r="Y230" i="1"/>
  <c r="X230" i="1"/>
  <c r="W230" i="1"/>
  <c r="P230" i="1"/>
  <c r="O230" i="1"/>
  <c r="N230" i="1"/>
  <c r="M230" i="1"/>
  <c r="AB230" i="1" s="1"/>
  <c r="AU229" i="1"/>
  <c r="AP229" i="1"/>
  <c r="AO229" i="1"/>
  <c r="AJ229" i="1"/>
  <c r="AI229" i="1"/>
  <c r="AN229" i="1" s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M229" i="1"/>
  <c r="AU228" i="1"/>
  <c r="AT228" i="1"/>
  <c r="AQ228" i="1"/>
  <c r="AP228" i="1"/>
  <c r="AN228" i="1"/>
  <c r="AJ228" i="1"/>
  <c r="AI228" i="1"/>
  <c r="AH228" i="1"/>
  <c r="AF228" i="1"/>
  <c r="AE228" i="1"/>
  <c r="AC228" i="1"/>
  <c r="AA228" i="1"/>
  <c r="Z228" i="1"/>
  <c r="Y228" i="1"/>
  <c r="X228" i="1"/>
  <c r="W228" i="1"/>
  <c r="P228" i="1"/>
  <c r="O228" i="1"/>
  <c r="AD228" i="1" s="1"/>
  <c r="N228" i="1"/>
  <c r="AO228" i="1" s="1"/>
  <c r="M228" i="1"/>
  <c r="AR228" i="1" s="1"/>
  <c r="AU227" i="1"/>
  <c r="AR227" i="1"/>
  <c r="AQ227" i="1"/>
  <c r="AP227" i="1"/>
  <c r="AO227" i="1"/>
  <c r="AN227" i="1"/>
  <c r="AI227" i="1"/>
  <c r="AH227" i="1"/>
  <c r="AF227" i="1"/>
  <c r="AE227" i="1"/>
  <c r="AD227" i="1"/>
  <c r="AA227" i="1"/>
  <c r="Z227" i="1"/>
  <c r="Y227" i="1"/>
  <c r="X227" i="1"/>
  <c r="W227" i="1"/>
  <c r="P227" i="1"/>
  <c r="O227" i="1"/>
  <c r="N227" i="1"/>
  <c r="AC227" i="1" s="1"/>
  <c r="M227" i="1"/>
  <c r="AB227" i="1" s="1"/>
  <c r="AU226" i="1"/>
  <c r="AQ226" i="1"/>
  <c r="AP226" i="1"/>
  <c r="AO226" i="1"/>
  <c r="AJ226" i="1"/>
  <c r="AI226" i="1"/>
  <c r="AN226" i="1" s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T225" i="1"/>
  <c r="AR225" i="1"/>
  <c r="AP225" i="1"/>
  <c r="AI225" i="1"/>
  <c r="AJ225" i="1" s="1"/>
  <c r="AH225" i="1"/>
  <c r="AF225" i="1"/>
  <c r="AE225" i="1"/>
  <c r="AD225" i="1"/>
  <c r="AC225" i="1"/>
  <c r="AB225" i="1"/>
  <c r="AA225" i="1"/>
  <c r="Z225" i="1"/>
  <c r="Y225" i="1"/>
  <c r="X225" i="1"/>
  <c r="W225" i="1"/>
  <c r="P225" i="1"/>
  <c r="O225" i="1"/>
  <c r="AQ225" i="1" s="1"/>
  <c r="N225" i="1"/>
  <c r="AO225" i="1" s="1"/>
  <c r="M225" i="1"/>
  <c r="AU224" i="1"/>
  <c r="AT224" i="1"/>
  <c r="AP224" i="1"/>
  <c r="AO224" i="1"/>
  <c r="AJ224" i="1"/>
  <c r="AI224" i="1"/>
  <c r="AN224" i="1" s="1"/>
  <c r="AH224" i="1"/>
  <c r="AF224" i="1"/>
  <c r="AE224" i="1"/>
  <c r="AD224" i="1"/>
  <c r="AC224" i="1"/>
  <c r="AA224" i="1"/>
  <c r="Z224" i="1"/>
  <c r="Y224" i="1"/>
  <c r="X224" i="1"/>
  <c r="W224" i="1"/>
  <c r="P224" i="1"/>
  <c r="O224" i="1"/>
  <c r="AQ224" i="1" s="1"/>
  <c r="N224" i="1"/>
  <c r="M224" i="1"/>
  <c r="AB224" i="1" s="1"/>
  <c r="AU223" i="1"/>
  <c r="AP223" i="1"/>
  <c r="AO223" i="1"/>
  <c r="AV223" i="1" s="1"/>
  <c r="AI223" i="1"/>
  <c r="AN223" i="1" s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M223" i="1"/>
  <c r="AR223" i="1" s="1"/>
  <c r="AU222" i="1"/>
  <c r="AT222" i="1"/>
  <c r="AP222" i="1"/>
  <c r="AO222" i="1"/>
  <c r="AV222" i="1" s="1"/>
  <c r="AN222" i="1"/>
  <c r="AJ222" i="1"/>
  <c r="AI222" i="1"/>
  <c r="AH222" i="1"/>
  <c r="AF222" i="1"/>
  <c r="AE222" i="1"/>
  <c r="AC222" i="1"/>
  <c r="AA222" i="1"/>
  <c r="Z222" i="1"/>
  <c r="Y222" i="1"/>
  <c r="X222" i="1"/>
  <c r="W222" i="1"/>
  <c r="P222" i="1"/>
  <c r="O222" i="1"/>
  <c r="N222" i="1"/>
  <c r="M222" i="1"/>
  <c r="AV221" i="1"/>
  <c r="AU221" i="1"/>
  <c r="AR221" i="1"/>
  <c r="AP221" i="1"/>
  <c r="AN221" i="1"/>
  <c r="AI221" i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D221" i="1" s="1"/>
  <c r="N221" i="1"/>
  <c r="AO221" i="1" s="1"/>
  <c r="M221" i="1"/>
  <c r="AU220" i="1"/>
  <c r="AR220" i="1"/>
  <c r="AQ220" i="1"/>
  <c r="AP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N220" i="1"/>
  <c r="AO220" i="1" s="1"/>
  <c r="M220" i="1"/>
  <c r="AV219" i="1"/>
  <c r="AU219" i="1"/>
  <c r="AT219" i="1"/>
  <c r="AP219" i="1"/>
  <c r="AO219" i="1"/>
  <c r="AJ219" i="1"/>
  <c r="AI219" i="1"/>
  <c r="AN219" i="1" s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B219" i="1" s="1"/>
  <c r="AU218" i="1"/>
  <c r="AT218" i="1"/>
  <c r="AP218" i="1"/>
  <c r="AN218" i="1"/>
  <c r="AJ218" i="1"/>
  <c r="AI218" i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R218" i="1" s="1"/>
  <c r="AU217" i="1"/>
  <c r="AT217" i="1"/>
  <c r="AP217" i="1"/>
  <c r="AO217" i="1"/>
  <c r="AV217" i="1" s="1"/>
  <c r="AN217" i="1"/>
  <c r="AJ217" i="1"/>
  <c r="AI217" i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AC217" i="1" s="1"/>
  <c r="M217" i="1"/>
  <c r="AU216" i="1"/>
  <c r="AP216" i="1"/>
  <c r="AI216" i="1"/>
  <c r="AH216" i="1"/>
  <c r="AF216" i="1"/>
  <c r="AE216" i="1"/>
  <c r="AB216" i="1"/>
  <c r="AA216" i="1"/>
  <c r="Z216" i="1"/>
  <c r="Y216" i="1"/>
  <c r="X216" i="1"/>
  <c r="W216" i="1"/>
  <c r="P216" i="1"/>
  <c r="O216" i="1"/>
  <c r="AQ216" i="1" s="1"/>
  <c r="N216" i="1"/>
  <c r="AC216" i="1" s="1"/>
  <c r="M216" i="1"/>
  <c r="AR216" i="1" s="1"/>
  <c r="AU215" i="1"/>
  <c r="AT215" i="1"/>
  <c r="AR215" i="1"/>
  <c r="AP215" i="1"/>
  <c r="AJ215" i="1"/>
  <c r="AI215" i="1"/>
  <c r="AN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D215" i="1" s="1"/>
  <c r="N215" i="1"/>
  <c r="AO215" i="1" s="1"/>
  <c r="AV215" i="1" s="1"/>
  <c r="M215" i="1"/>
  <c r="AU214" i="1"/>
  <c r="AR214" i="1"/>
  <c r="AQ214" i="1"/>
  <c r="AP214" i="1"/>
  <c r="AI214" i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N214" i="1"/>
  <c r="AO214" i="1" s="1"/>
  <c r="M214" i="1"/>
  <c r="AU213" i="1"/>
  <c r="AT213" i="1"/>
  <c r="AP213" i="1"/>
  <c r="AO213" i="1"/>
  <c r="AJ213" i="1"/>
  <c r="AI213" i="1"/>
  <c r="AN213" i="1" s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B213" i="1" s="1"/>
  <c r="AU212" i="1"/>
  <c r="AT212" i="1"/>
  <c r="AP212" i="1"/>
  <c r="AN212" i="1"/>
  <c r="AJ212" i="1"/>
  <c r="AI212" i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AO212" i="1" s="1"/>
  <c r="M212" i="1"/>
  <c r="AU211" i="1"/>
  <c r="AT211" i="1"/>
  <c r="AP211" i="1"/>
  <c r="AO211" i="1"/>
  <c r="AN211" i="1"/>
  <c r="AJ211" i="1"/>
  <c r="AI211" i="1"/>
  <c r="AH211" i="1"/>
  <c r="AF211" i="1"/>
  <c r="AE211" i="1"/>
  <c r="AA211" i="1"/>
  <c r="Z211" i="1"/>
  <c r="Y211" i="1"/>
  <c r="X211" i="1"/>
  <c r="W211" i="1"/>
  <c r="P211" i="1"/>
  <c r="O211" i="1"/>
  <c r="AD211" i="1" s="1"/>
  <c r="N211" i="1"/>
  <c r="AC211" i="1" s="1"/>
  <c r="M211" i="1"/>
  <c r="AU210" i="1"/>
  <c r="AQ210" i="1"/>
  <c r="AP210" i="1"/>
  <c r="AI210" i="1"/>
  <c r="AH210" i="1"/>
  <c r="AF210" i="1"/>
  <c r="AE210" i="1"/>
  <c r="AA210" i="1"/>
  <c r="Z210" i="1"/>
  <c r="Y210" i="1"/>
  <c r="X210" i="1"/>
  <c r="W210" i="1"/>
  <c r="P210" i="1"/>
  <c r="O210" i="1"/>
  <c r="AD210" i="1" s="1"/>
  <c r="N210" i="1"/>
  <c r="AC210" i="1" s="1"/>
  <c r="M210" i="1"/>
  <c r="AR210" i="1" s="1"/>
  <c r="AU209" i="1"/>
  <c r="AT209" i="1"/>
  <c r="AR209" i="1"/>
  <c r="AQ209" i="1"/>
  <c r="AP209" i="1"/>
  <c r="AJ209" i="1"/>
  <c r="AI209" i="1"/>
  <c r="AN209" i="1" s="1"/>
  <c r="AH209" i="1"/>
  <c r="AF209" i="1"/>
  <c r="AE209" i="1"/>
  <c r="AB209" i="1"/>
  <c r="AA209" i="1"/>
  <c r="Z209" i="1"/>
  <c r="Y209" i="1"/>
  <c r="X209" i="1"/>
  <c r="W209" i="1"/>
  <c r="P209" i="1"/>
  <c r="O209" i="1"/>
  <c r="AD209" i="1" s="1"/>
  <c r="N209" i="1"/>
  <c r="AO209" i="1" s="1"/>
  <c r="AV209" i="1" s="1"/>
  <c r="M209" i="1"/>
  <c r="AU208" i="1"/>
  <c r="AR208" i="1"/>
  <c r="AP208" i="1"/>
  <c r="AI208" i="1"/>
  <c r="AN208" i="1" s="1"/>
  <c r="AH208" i="1"/>
  <c r="AF208" i="1"/>
  <c r="AE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M208" i="1"/>
  <c r="AU207" i="1"/>
  <c r="AR207" i="1"/>
  <c r="AP207" i="1"/>
  <c r="AO207" i="1"/>
  <c r="AI207" i="1"/>
  <c r="AN207" i="1" s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B207" i="1" s="1"/>
  <c r="AU206" i="1"/>
  <c r="AT206" i="1"/>
  <c r="AP206" i="1"/>
  <c r="AN206" i="1"/>
  <c r="AJ206" i="1"/>
  <c r="AI206" i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AO206" i="1" s="1"/>
  <c r="M206" i="1"/>
  <c r="AU205" i="1"/>
  <c r="AT205" i="1"/>
  <c r="AP205" i="1"/>
  <c r="AO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AC205" i="1" s="1"/>
  <c r="M205" i="1"/>
  <c r="AU204" i="1"/>
  <c r="AQ204" i="1"/>
  <c r="AP204" i="1"/>
  <c r="AI204" i="1"/>
  <c r="AH204" i="1"/>
  <c r="AF204" i="1"/>
  <c r="AE204" i="1"/>
  <c r="AA204" i="1"/>
  <c r="Z204" i="1"/>
  <c r="Y204" i="1"/>
  <c r="X204" i="1"/>
  <c r="W204" i="1"/>
  <c r="P204" i="1"/>
  <c r="O204" i="1"/>
  <c r="AD204" i="1" s="1"/>
  <c r="N204" i="1"/>
  <c r="AC204" i="1" s="1"/>
  <c r="M204" i="1"/>
  <c r="AR204" i="1" s="1"/>
  <c r="AU203" i="1"/>
  <c r="AT203" i="1"/>
  <c r="AR203" i="1"/>
  <c r="AQ203" i="1"/>
  <c r="AP203" i="1"/>
  <c r="AJ203" i="1"/>
  <c r="AI203" i="1"/>
  <c r="AN203" i="1" s="1"/>
  <c r="AH203" i="1"/>
  <c r="AF203" i="1"/>
  <c r="AE203" i="1"/>
  <c r="AB203" i="1"/>
  <c r="AA203" i="1"/>
  <c r="Z203" i="1"/>
  <c r="Y203" i="1"/>
  <c r="X203" i="1"/>
  <c r="W203" i="1"/>
  <c r="P203" i="1"/>
  <c r="O203" i="1"/>
  <c r="AD203" i="1" s="1"/>
  <c r="N203" i="1"/>
  <c r="AO203" i="1" s="1"/>
  <c r="AV203" i="1" s="1"/>
  <c r="M203" i="1"/>
  <c r="AU202" i="1"/>
  <c r="AR202" i="1"/>
  <c r="AP202" i="1"/>
  <c r="AI202" i="1"/>
  <c r="AN202" i="1" s="1"/>
  <c r="AH202" i="1"/>
  <c r="AF202" i="1"/>
  <c r="AE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U201" i="1"/>
  <c r="AR201" i="1"/>
  <c r="AP201" i="1"/>
  <c r="AO201" i="1"/>
  <c r="AI201" i="1"/>
  <c r="AN201" i="1" s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B201" i="1" s="1"/>
  <c r="AU200" i="1"/>
  <c r="AT200" i="1"/>
  <c r="AP200" i="1"/>
  <c r="AN200" i="1"/>
  <c r="AJ200" i="1"/>
  <c r="AI200" i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AO200" i="1" s="1"/>
  <c r="M200" i="1"/>
  <c r="AU199" i="1"/>
  <c r="AT199" i="1"/>
  <c r="AP199" i="1"/>
  <c r="AO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AC199" i="1" s="1"/>
  <c r="M199" i="1"/>
  <c r="AU198" i="1"/>
  <c r="AQ198" i="1"/>
  <c r="AP198" i="1"/>
  <c r="AI198" i="1"/>
  <c r="AH198" i="1"/>
  <c r="AF198" i="1"/>
  <c r="AE198" i="1"/>
  <c r="AA198" i="1"/>
  <c r="Z198" i="1"/>
  <c r="Y198" i="1"/>
  <c r="X198" i="1"/>
  <c r="W198" i="1"/>
  <c r="P198" i="1"/>
  <c r="O198" i="1"/>
  <c r="AD198" i="1" s="1"/>
  <c r="N198" i="1"/>
  <c r="AC198" i="1" s="1"/>
  <c r="M198" i="1"/>
  <c r="AR198" i="1" s="1"/>
  <c r="AU197" i="1"/>
  <c r="AT197" i="1"/>
  <c r="AR197" i="1"/>
  <c r="AQ197" i="1"/>
  <c r="AP197" i="1"/>
  <c r="AJ197" i="1"/>
  <c r="AI197" i="1"/>
  <c r="AN197" i="1" s="1"/>
  <c r="AH197" i="1"/>
  <c r="AF197" i="1"/>
  <c r="AE197" i="1"/>
  <c r="AB197" i="1"/>
  <c r="AA197" i="1"/>
  <c r="Z197" i="1"/>
  <c r="Y197" i="1"/>
  <c r="X197" i="1"/>
  <c r="W197" i="1"/>
  <c r="P197" i="1"/>
  <c r="O197" i="1"/>
  <c r="AD197" i="1" s="1"/>
  <c r="N197" i="1"/>
  <c r="AO197" i="1" s="1"/>
  <c r="AV197" i="1" s="1"/>
  <c r="M197" i="1"/>
  <c r="AU196" i="1"/>
  <c r="AR196" i="1"/>
  <c r="AP196" i="1"/>
  <c r="AI196" i="1"/>
  <c r="AN196" i="1" s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M196" i="1"/>
  <c r="AU195" i="1"/>
  <c r="AR195" i="1"/>
  <c r="AP195" i="1"/>
  <c r="AO195" i="1"/>
  <c r="AI195" i="1"/>
  <c r="AN195" i="1" s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B195" i="1" s="1"/>
  <c r="AU194" i="1"/>
  <c r="AT194" i="1"/>
  <c r="AP194" i="1"/>
  <c r="AN194" i="1"/>
  <c r="AJ194" i="1"/>
  <c r="AI194" i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T193" i="1"/>
  <c r="AP193" i="1"/>
  <c r="AO193" i="1"/>
  <c r="AV193" i="1" s="1"/>
  <c r="AN193" i="1"/>
  <c r="AJ193" i="1"/>
  <c r="AI193" i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AC193" i="1" s="1"/>
  <c r="M193" i="1"/>
  <c r="AU192" i="1"/>
  <c r="AQ192" i="1"/>
  <c r="AP192" i="1"/>
  <c r="AI192" i="1"/>
  <c r="AH192" i="1"/>
  <c r="AF192" i="1"/>
  <c r="AE192" i="1"/>
  <c r="AA192" i="1"/>
  <c r="Z192" i="1"/>
  <c r="Y192" i="1"/>
  <c r="X192" i="1"/>
  <c r="W192" i="1"/>
  <c r="P192" i="1"/>
  <c r="O192" i="1"/>
  <c r="AD192" i="1" s="1"/>
  <c r="N192" i="1"/>
  <c r="AC192" i="1" s="1"/>
  <c r="M192" i="1"/>
  <c r="AR192" i="1" s="1"/>
  <c r="AU191" i="1"/>
  <c r="AT191" i="1"/>
  <c r="AR191" i="1"/>
  <c r="AQ191" i="1"/>
  <c r="AP191" i="1"/>
  <c r="AJ191" i="1"/>
  <c r="AI191" i="1"/>
  <c r="AN191" i="1" s="1"/>
  <c r="AH191" i="1"/>
  <c r="AF191" i="1"/>
  <c r="AE191" i="1"/>
  <c r="AB191" i="1"/>
  <c r="AA191" i="1"/>
  <c r="Z191" i="1"/>
  <c r="Y191" i="1"/>
  <c r="X191" i="1"/>
  <c r="W191" i="1"/>
  <c r="P191" i="1"/>
  <c r="O191" i="1"/>
  <c r="AD191" i="1" s="1"/>
  <c r="N191" i="1"/>
  <c r="AO191" i="1" s="1"/>
  <c r="AV191" i="1" s="1"/>
  <c r="M191" i="1"/>
  <c r="AU190" i="1"/>
  <c r="AR190" i="1"/>
  <c r="AP190" i="1"/>
  <c r="AI190" i="1"/>
  <c r="AN190" i="1" s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Q190" i="1" s="1"/>
  <c r="N190" i="1"/>
  <c r="AO190" i="1" s="1"/>
  <c r="M190" i="1"/>
  <c r="AU189" i="1"/>
  <c r="AR189" i="1"/>
  <c r="AP189" i="1"/>
  <c r="AO189" i="1"/>
  <c r="AI189" i="1"/>
  <c r="AN189" i="1" s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AQ189" i="1" s="1"/>
  <c r="N189" i="1"/>
  <c r="M189" i="1"/>
  <c r="AB189" i="1" s="1"/>
  <c r="AU188" i="1"/>
  <c r="AT188" i="1"/>
  <c r="AP188" i="1"/>
  <c r="AN188" i="1"/>
  <c r="AJ188" i="1"/>
  <c r="AI188" i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AO188" i="1" s="1"/>
  <c r="M188" i="1"/>
  <c r="AU187" i="1"/>
  <c r="AT187" i="1"/>
  <c r="AP187" i="1"/>
  <c r="AO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AC187" i="1" s="1"/>
  <c r="M187" i="1"/>
  <c r="AU186" i="1"/>
  <c r="AQ186" i="1"/>
  <c r="AP186" i="1"/>
  <c r="AI186" i="1"/>
  <c r="AH186" i="1"/>
  <c r="AF186" i="1"/>
  <c r="AE186" i="1"/>
  <c r="AA186" i="1"/>
  <c r="Z186" i="1"/>
  <c r="Y186" i="1"/>
  <c r="X186" i="1"/>
  <c r="W186" i="1"/>
  <c r="P186" i="1"/>
  <c r="O186" i="1"/>
  <c r="AD186" i="1" s="1"/>
  <c r="N186" i="1"/>
  <c r="AC186" i="1" s="1"/>
  <c r="M186" i="1"/>
  <c r="AR186" i="1" s="1"/>
  <c r="AU185" i="1"/>
  <c r="AT185" i="1"/>
  <c r="AR185" i="1"/>
  <c r="AQ185" i="1"/>
  <c r="AP185" i="1"/>
  <c r="AJ185" i="1"/>
  <c r="AI185" i="1"/>
  <c r="AN185" i="1" s="1"/>
  <c r="AH185" i="1"/>
  <c r="AF185" i="1"/>
  <c r="AE185" i="1"/>
  <c r="AB185" i="1"/>
  <c r="AA185" i="1"/>
  <c r="Z185" i="1"/>
  <c r="Y185" i="1"/>
  <c r="X185" i="1"/>
  <c r="W185" i="1"/>
  <c r="P185" i="1"/>
  <c r="O185" i="1"/>
  <c r="AD185" i="1" s="1"/>
  <c r="N185" i="1"/>
  <c r="AO185" i="1" s="1"/>
  <c r="AV185" i="1" s="1"/>
  <c r="M185" i="1"/>
  <c r="AU184" i="1"/>
  <c r="AR184" i="1"/>
  <c r="AP184" i="1"/>
  <c r="AI184" i="1"/>
  <c r="AN184" i="1" s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R183" i="1"/>
  <c r="AP183" i="1"/>
  <c r="AO183" i="1"/>
  <c r="AV183" i="1" s="1"/>
  <c r="AI183" i="1"/>
  <c r="AN183" i="1" s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B183" i="1" s="1"/>
  <c r="AU182" i="1"/>
  <c r="AT182" i="1"/>
  <c r="AP182" i="1"/>
  <c r="AN182" i="1"/>
  <c r="AJ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AO182" i="1" s="1"/>
  <c r="AV182" i="1" s="1"/>
  <c r="M182" i="1"/>
  <c r="AU181" i="1"/>
  <c r="AT181" i="1"/>
  <c r="AP181" i="1"/>
  <c r="AO181" i="1"/>
  <c r="AV181" i="1" s="1"/>
  <c r="AN181" i="1"/>
  <c r="AJ181" i="1"/>
  <c r="AI181" i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AC181" i="1" s="1"/>
  <c r="M181" i="1"/>
  <c r="AU180" i="1"/>
  <c r="AQ180" i="1"/>
  <c r="AP180" i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C180" i="1" s="1"/>
  <c r="M180" i="1"/>
  <c r="AR180" i="1" s="1"/>
  <c r="AU179" i="1"/>
  <c r="AQ179" i="1"/>
  <c r="AP179" i="1"/>
  <c r="AO179" i="1"/>
  <c r="AV179" i="1" s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B179" i="1" s="1"/>
  <c r="AU178" i="1"/>
  <c r="AR178" i="1"/>
  <c r="AQ178" i="1"/>
  <c r="AP178" i="1"/>
  <c r="AN178" i="1"/>
  <c r="AI178" i="1"/>
  <c r="AJ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N178" i="1"/>
  <c r="AO178" i="1" s="1"/>
  <c r="M178" i="1"/>
  <c r="AU177" i="1"/>
  <c r="AT177" i="1"/>
  <c r="AP177" i="1"/>
  <c r="AO177" i="1"/>
  <c r="AN177" i="1"/>
  <c r="AJ177" i="1"/>
  <c r="AI177" i="1"/>
  <c r="AH177" i="1"/>
  <c r="AF177" i="1"/>
  <c r="AE177" i="1"/>
  <c r="AC177" i="1"/>
  <c r="AA177" i="1"/>
  <c r="Z177" i="1"/>
  <c r="Y177" i="1"/>
  <c r="X177" i="1"/>
  <c r="W177" i="1"/>
  <c r="P177" i="1"/>
  <c r="O177" i="1"/>
  <c r="AD177" i="1" s="1"/>
  <c r="N177" i="1"/>
  <c r="M177" i="1"/>
  <c r="AU176" i="1"/>
  <c r="AP176" i="1"/>
  <c r="AO176" i="1"/>
  <c r="AJ176" i="1"/>
  <c r="AI176" i="1"/>
  <c r="AN176" i="1" s="1"/>
  <c r="AH176" i="1"/>
  <c r="AF176" i="1"/>
  <c r="AE176" i="1"/>
  <c r="AD176" i="1"/>
  <c r="AC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Q175" i="1"/>
  <c r="AP175" i="1"/>
  <c r="AO175" i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N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T173" i="1"/>
  <c r="AP173" i="1"/>
  <c r="AO173" i="1"/>
  <c r="AI173" i="1"/>
  <c r="AH173" i="1"/>
  <c r="AF173" i="1"/>
  <c r="AE173" i="1"/>
  <c r="AC173" i="1"/>
  <c r="AA173" i="1"/>
  <c r="Z173" i="1"/>
  <c r="Y173" i="1"/>
  <c r="X173" i="1"/>
  <c r="W173" i="1"/>
  <c r="P173" i="1"/>
  <c r="O173" i="1"/>
  <c r="N173" i="1"/>
  <c r="M173" i="1"/>
  <c r="AR173" i="1" s="1"/>
  <c r="AU172" i="1"/>
  <c r="AR172" i="1"/>
  <c r="AQ172" i="1"/>
  <c r="AP172" i="1"/>
  <c r="AN172" i="1"/>
  <c r="AI172" i="1"/>
  <c r="AJ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N172" i="1"/>
  <c r="M172" i="1"/>
  <c r="AU171" i="1"/>
  <c r="AP171" i="1"/>
  <c r="AO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M171" i="1"/>
  <c r="AR171" i="1" s="1"/>
  <c r="AU170" i="1"/>
  <c r="AR170" i="1"/>
  <c r="AP170" i="1"/>
  <c r="AO170" i="1"/>
  <c r="AI170" i="1"/>
  <c r="AN170" i="1" s="1"/>
  <c r="AH170" i="1"/>
  <c r="AF170" i="1"/>
  <c r="AE170" i="1"/>
  <c r="AD170" i="1"/>
  <c r="AC170" i="1"/>
  <c r="AA170" i="1"/>
  <c r="Z170" i="1"/>
  <c r="Y170" i="1"/>
  <c r="X170" i="1"/>
  <c r="W170" i="1"/>
  <c r="P170" i="1"/>
  <c r="O170" i="1"/>
  <c r="AQ170" i="1" s="1"/>
  <c r="N170" i="1"/>
  <c r="M170" i="1"/>
  <c r="AB170" i="1" s="1"/>
  <c r="AU169" i="1"/>
  <c r="AP169" i="1"/>
  <c r="AO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O168" i="1" s="1"/>
  <c r="M168" i="1"/>
  <c r="AU167" i="1"/>
  <c r="AT167" i="1"/>
  <c r="AP167" i="1"/>
  <c r="AO167" i="1"/>
  <c r="AV167" i="1" s="1"/>
  <c r="AN167" i="1"/>
  <c r="AJ167" i="1"/>
  <c r="AI167" i="1"/>
  <c r="AH167" i="1"/>
  <c r="AF167" i="1"/>
  <c r="AE167" i="1"/>
  <c r="AC167" i="1"/>
  <c r="AA167" i="1"/>
  <c r="Z167" i="1"/>
  <c r="Y167" i="1"/>
  <c r="X167" i="1"/>
  <c r="W167" i="1"/>
  <c r="P167" i="1"/>
  <c r="O167" i="1"/>
  <c r="AQ167" i="1" s="1"/>
  <c r="N167" i="1"/>
  <c r="M167" i="1"/>
  <c r="AR167" i="1" s="1"/>
  <c r="AU166" i="1"/>
  <c r="AR166" i="1"/>
  <c r="AP166" i="1"/>
  <c r="AO166" i="1"/>
  <c r="AV166" i="1" s="1"/>
  <c r="AN166" i="1"/>
  <c r="AI166" i="1"/>
  <c r="AT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C166" i="1" s="1"/>
  <c r="M166" i="1"/>
  <c r="AU165" i="1"/>
  <c r="AT165" i="1"/>
  <c r="AP165" i="1"/>
  <c r="AO165" i="1"/>
  <c r="AV165" i="1" s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M165" i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P163" i="1"/>
  <c r="AO163" i="1"/>
  <c r="AV163" i="1" s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T161" i="1"/>
  <c r="AP161" i="1"/>
  <c r="AO161" i="1"/>
  <c r="AV161" i="1" s="1"/>
  <c r="AN161" i="1"/>
  <c r="AJ161" i="1"/>
  <c r="AI161" i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R160" i="1"/>
  <c r="AP160" i="1"/>
  <c r="AI160" i="1"/>
  <c r="AN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C160" i="1" s="1"/>
  <c r="M160" i="1"/>
  <c r="AU159" i="1"/>
  <c r="AT159" i="1"/>
  <c r="AP159" i="1"/>
  <c r="AO159" i="1"/>
  <c r="AV159" i="1" s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M159" i="1"/>
  <c r="AU158" i="1"/>
  <c r="AR158" i="1"/>
  <c r="AP158" i="1"/>
  <c r="AN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Q157" i="1"/>
  <c r="AP157" i="1"/>
  <c r="AO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P155" i="1"/>
  <c r="AO155" i="1"/>
  <c r="AV155" i="1" s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R155" i="1" s="1"/>
  <c r="AU154" i="1"/>
  <c r="AR154" i="1"/>
  <c r="AP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C154" i="1" s="1"/>
  <c r="M154" i="1"/>
  <c r="AV153" i="1"/>
  <c r="AU153" i="1"/>
  <c r="AT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P152" i="1"/>
  <c r="AN152" i="1"/>
  <c r="AI152" i="1"/>
  <c r="AT152" i="1" s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P151" i="1"/>
  <c r="AO151" i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V149" i="1" s="1"/>
  <c r="AN149" i="1"/>
  <c r="AJ149" i="1"/>
  <c r="AI149" i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R148" i="1"/>
  <c r="AP148" i="1"/>
  <c r="AI148" i="1"/>
  <c r="AN148" i="1" s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C148" i="1" s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P146" i="1"/>
  <c r="AN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V145" i="1"/>
  <c r="AU145" i="1"/>
  <c r="AT145" i="1"/>
  <c r="AP145" i="1"/>
  <c r="AO145" i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I144" i="1"/>
  <c r="AT144" i="1" s="1"/>
  <c r="AH144" i="1"/>
  <c r="AF144" i="1"/>
  <c r="AE144" i="1"/>
  <c r="AD144" i="1"/>
  <c r="AC144" i="1"/>
  <c r="AB144" i="1"/>
  <c r="AA144" i="1"/>
  <c r="Z144" i="1"/>
  <c r="Y144" i="1"/>
  <c r="X144" i="1"/>
  <c r="W144" i="1"/>
  <c r="P144" i="1"/>
  <c r="O144" i="1"/>
  <c r="AQ144" i="1" s="1"/>
  <c r="N144" i="1"/>
  <c r="AO144" i="1" s="1"/>
  <c r="M144" i="1"/>
  <c r="AV143" i="1"/>
  <c r="AU143" i="1"/>
  <c r="AT143" i="1"/>
  <c r="AP143" i="1"/>
  <c r="AO143" i="1"/>
  <c r="AN143" i="1"/>
  <c r="AJ143" i="1"/>
  <c r="AI143" i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P142" i="1"/>
  <c r="AI142" i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AC142" i="1" s="1"/>
  <c r="M142" i="1"/>
  <c r="AR142" i="1" s="1"/>
  <c r="AV141" i="1"/>
  <c r="AU141" i="1"/>
  <c r="AT141" i="1"/>
  <c r="AP141" i="1"/>
  <c r="AO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M141" i="1"/>
  <c r="AU140" i="1"/>
  <c r="AR140" i="1"/>
  <c r="AQ140" i="1"/>
  <c r="AP140" i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N140" i="1"/>
  <c r="M140" i="1"/>
  <c r="AU139" i="1"/>
  <c r="AQ139" i="1"/>
  <c r="AP139" i="1"/>
  <c r="AO139" i="1"/>
  <c r="AV139" i="1" s="1"/>
  <c r="AJ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M139" i="1"/>
  <c r="AR139" i="1" s="1"/>
  <c r="AU138" i="1"/>
  <c r="AR138" i="1"/>
  <c r="AP138" i="1"/>
  <c r="AI138" i="1"/>
  <c r="AT138" i="1" s="1"/>
  <c r="AH138" i="1"/>
  <c r="AF138" i="1"/>
  <c r="AE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U137" i="1"/>
  <c r="AT137" i="1"/>
  <c r="AR137" i="1"/>
  <c r="AP137" i="1"/>
  <c r="AO137" i="1"/>
  <c r="AV137" i="1" s="1"/>
  <c r="AN137" i="1"/>
  <c r="AJ137" i="1"/>
  <c r="AI137" i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Q137" i="1" s="1"/>
  <c r="N137" i="1"/>
  <c r="M137" i="1"/>
  <c r="AU136" i="1"/>
  <c r="AR136" i="1"/>
  <c r="AP136" i="1"/>
  <c r="AO136" i="1"/>
  <c r="AV136" i="1" s="1"/>
  <c r="AI136" i="1"/>
  <c r="AN136" i="1" s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O135" i="1"/>
  <c r="AV135" i="1" s="1"/>
  <c r="AN135" i="1"/>
  <c r="AJ135" i="1"/>
  <c r="AI135" i="1"/>
  <c r="AH135" i="1"/>
  <c r="AF135" i="1"/>
  <c r="AE135" i="1"/>
  <c r="AD135" i="1"/>
  <c r="AC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P134" i="1"/>
  <c r="AN134" i="1"/>
  <c r="AI134" i="1"/>
  <c r="AT134" i="1" s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AO134" i="1" s="1"/>
  <c r="AV134" i="1" s="1"/>
  <c r="M134" i="1"/>
  <c r="AR134" i="1" s="1"/>
  <c r="AU133" i="1"/>
  <c r="AP133" i="1"/>
  <c r="AO133" i="1"/>
  <c r="AI133" i="1"/>
  <c r="AN133" i="1" s="1"/>
  <c r="AH133" i="1"/>
  <c r="AF133" i="1"/>
  <c r="AE133" i="1"/>
  <c r="AA133" i="1"/>
  <c r="Z133" i="1"/>
  <c r="Y133" i="1"/>
  <c r="X133" i="1"/>
  <c r="W133" i="1"/>
  <c r="P133" i="1"/>
  <c r="O133" i="1"/>
  <c r="AQ133" i="1" s="1"/>
  <c r="N133" i="1"/>
  <c r="AC133" i="1" s="1"/>
  <c r="M133" i="1"/>
  <c r="AR133" i="1" s="1"/>
  <c r="AU132" i="1"/>
  <c r="AR132" i="1"/>
  <c r="AP132" i="1"/>
  <c r="AI132" i="1"/>
  <c r="AN132" i="1" s="1"/>
  <c r="AH132" i="1"/>
  <c r="AF132" i="1"/>
  <c r="AE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U131" i="1"/>
  <c r="AT131" i="1"/>
  <c r="AR131" i="1"/>
  <c r="AP131" i="1"/>
  <c r="AO131" i="1"/>
  <c r="AV131" i="1" s="1"/>
  <c r="AN131" i="1"/>
  <c r="AJ131" i="1"/>
  <c r="AI131" i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Q131" i="1" s="1"/>
  <c r="N131" i="1"/>
  <c r="M131" i="1"/>
  <c r="AU130" i="1"/>
  <c r="AR130" i="1"/>
  <c r="AP130" i="1"/>
  <c r="AO130" i="1"/>
  <c r="AV130" i="1" s="1"/>
  <c r="AI130" i="1"/>
  <c r="AN130" i="1" s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P129" i="1"/>
  <c r="AO129" i="1"/>
  <c r="AV129" i="1" s="1"/>
  <c r="AN129" i="1"/>
  <c r="AJ129" i="1"/>
  <c r="AI129" i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R129" i="1" s="1"/>
  <c r="AU128" i="1"/>
  <c r="AP128" i="1"/>
  <c r="AN128" i="1"/>
  <c r="AI128" i="1"/>
  <c r="AT128" i="1" s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R128" i="1" s="1"/>
  <c r="AU127" i="1"/>
  <c r="AP127" i="1"/>
  <c r="AO127" i="1"/>
  <c r="AV127" i="1" s="1"/>
  <c r="AI127" i="1"/>
  <c r="AN127" i="1" s="1"/>
  <c r="AH127" i="1"/>
  <c r="AF127" i="1"/>
  <c r="AE127" i="1"/>
  <c r="AA127" i="1"/>
  <c r="Z127" i="1"/>
  <c r="Y127" i="1"/>
  <c r="X127" i="1"/>
  <c r="W127" i="1"/>
  <c r="P127" i="1"/>
  <c r="O127" i="1"/>
  <c r="AQ127" i="1" s="1"/>
  <c r="N127" i="1"/>
  <c r="AC127" i="1" s="1"/>
  <c r="M127" i="1"/>
  <c r="AR127" i="1" s="1"/>
  <c r="AU126" i="1"/>
  <c r="AR126" i="1"/>
  <c r="AP126" i="1"/>
  <c r="AI126" i="1"/>
  <c r="AN126" i="1" s="1"/>
  <c r="AH126" i="1"/>
  <c r="AF126" i="1"/>
  <c r="AE126" i="1"/>
  <c r="AB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U125" i="1"/>
  <c r="AT125" i="1"/>
  <c r="AR125" i="1"/>
  <c r="AP125" i="1"/>
  <c r="AO125" i="1"/>
  <c r="AV125" i="1" s="1"/>
  <c r="AN125" i="1"/>
  <c r="AJ125" i="1"/>
  <c r="AI125" i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Q125" i="1" s="1"/>
  <c r="N125" i="1"/>
  <c r="M125" i="1"/>
  <c r="AU124" i="1"/>
  <c r="AR124" i="1"/>
  <c r="AP124" i="1"/>
  <c r="AO124" i="1"/>
  <c r="AV124" i="1" s="1"/>
  <c r="AI124" i="1"/>
  <c r="AN124" i="1" s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AQ124" i="1" s="1"/>
  <c r="N124" i="1"/>
  <c r="M124" i="1"/>
  <c r="AU123" i="1"/>
  <c r="AT123" i="1"/>
  <c r="AP123" i="1"/>
  <c r="AO123" i="1"/>
  <c r="AV123" i="1" s="1"/>
  <c r="AN123" i="1"/>
  <c r="AJ123" i="1"/>
  <c r="AI123" i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P122" i="1"/>
  <c r="AN122" i="1"/>
  <c r="AI122" i="1"/>
  <c r="AT122" i="1" s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R122" i="1" s="1"/>
  <c r="AU121" i="1"/>
  <c r="AP121" i="1"/>
  <c r="AO121" i="1"/>
  <c r="AV121" i="1" s="1"/>
  <c r="AI121" i="1"/>
  <c r="AN121" i="1" s="1"/>
  <c r="AH121" i="1"/>
  <c r="AF121" i="1"/>
  <c r="AE121" i="1"/>
  <c r="AA121" i="1"/>
  <c r="Z121" i="1"/>
  <c r="Y121" i="1"/>
  <c r="X121" i="1"/>
  <c r="W121" i="1"/>
  <c r="P121" i="1"/>
  <c r="O121" i="1"/>
  <c r="AQ121" i="1" s="1"/>
  <c r="N121" i="1"/>
  <c r="AC121" i="1" s="1"/>
  <c r="M121" i="1"/>
  <c r="AR121" i="1" s="1"/>
  <c r="AU120" i="1"/>
  <c r="AR120" i="1"/>
  <c r="AP120" i="1"/>
  <c r="AI120" i="1"/>
  <c r="AN120" i="1" s="1"/>
  <c r="AH120" i="1"/>
  <c r="AF120" i="1"/>
  <c r="AE120" i="1"/>
  <c r="AB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U119" i="1"/>
  <c r="AT119" i="1"/>
  <c r="AR119" i="1"/>
  <c r="AP119" i="1"/>
  <c r="AO119" i="1"/>
  <c r="AV119" i="1" s="1"/>
  <c r="AN119" i="1"/>
  <c r="AJ119" i="1"/>
  <c r="AI119" i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Q119" i="1" s="1"/>
  <c r="N119" i="1"/>
  <c r="M119" i="1"/>
  <c r="AU118" i="1"/>
  <c r="AR118" i="1"/>
  <c r="AP118" i="1"/>
  <c r="AO118" i="1"/>
  <c r="AV118" i="1" s="1"/>
  <c r="AI118" i="1"/>
  <c r="AN118" i="1" s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AQ118" i="1" s="1"/>
  <c r="N118" i="1"/>
  <c r="M118" i="1"/>
  <c r="AU117" i="1"/>
  <c r="AT117" i="1"/>
  <c r="AP117" i="1"/>
  <c r="AO117" i="1"/>
  <c r="AV117" i="1" s="1"/>
  <c r="AN117" i="1"/>
  <c r="AJ117" i="1"/>
  <c r="AI117" i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P116" i="1"/>
  <c r="AN116" i="1"/>
  <c r="AI116" i="1"/>
  <c r="AT116" i="1" s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R116" i="1" s="1"/>
  <c r="AU115" i="1"/>
  <c r="AP115" i="1"/>
  <c r="AO115" i="1"/>
  <c r="AV115" i="1" s="1"/>
  <c r="AI115" i="1"/>
  <c r="AN115" i="1" s="1"/>
  <c r="AH115" i="1"/>
  <c r="AF115" i="1"/>
  <c r="AE115" i="1"/>
  <c r="AA115" i="1"/>
  <c r="Z115" i="1"/>
  <c r="Y115" i="1"/>
  <c r="X115" i="1"/>
  <c r="W115" i="1"/>
  <c r="P115" i="1"/>
  <c r="O115" i="1"/>
  <c r="AQ115" i="1" s="1"/>
  <c r="N115" i="1"/>
  <c r="AC115" i="1" s="1"/>
  <c r="M115" i="1"/>
  <c r="AR115" i="1" s="1"/>
  <c r="AU114" i="1"/>
  <c r="AR114" i="1"/>
  <c r="AP114" i="1"/>
  <c r="AI114" i="1"/>
  <c r="AN114" i="1" s="1"/>
  <c r="AH114" i="1"/>
  <c r="AF114" i="1"/>
  <c r="AE114" i="1"/>
  <c r="AB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U113" i="1"/>
  <c r="AT113" i="1"/>
  <c r="AR113" i="1"/>
  <c r="AP113" i="1"/>
  <c r="AO113" i="1"/>
  <c r="AV113" i="1" s="1"/>
  <c r="AN113" i="1"/>
  <c r="AJ113" i="1"/>
  <c r="AI113" i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Q113" i="1" s="1"/>
  <c r="N113" i="1"/>
  <c r="M113" i="1"/>
  <c r="AU112" i="1"/>
  <c r="AR112" i="1"/>
  <c r="AP112" i="1"/>
  <c r="AO112" i="1"/>
  <c r="AV112" i="1" s="1"/>
  <c r="AI112" i="1"/>
  <c r="AN112" i="1" s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AQ112" i="1" s="1"/>
  <c r="N112" i="1"/>
  <c r="M112" i="1"/>
  <c r="AU111" i="1"/>
  <c r="AT111" i="1"/>
  <c r="AP111" i="1"/>
  <c r="AO111" i="1"/>
  <c r="AV111" i="1" s="1"/>
  <c r="AN111" i="1"/>
  <c r="AJ111" i="1"/>
  <c r="AI111" i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P110" i="1"/>
  <c r="AN110" i="1"/>
  <c r="AI110" i="1"/>
  <c r="AT110" i="1" s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AO110" i="1" s="1"/>
  <c r="AV110" i="1" s="1"/>
  <c r="M110" i="1"/>
  <c r="AR110" i="1" s="1"/>
  <c r="AU109" i="1"/>
  <c r="AP109" i="1"/>
  <c r="AO109" i="1"/>
  <c r="AV109" i="1" s="1"/>
  <c r="AI109" i="1"/>
  <c r="AN109" i="1" s="1"/>
  <c r="AH109" i="1"/>
  <c r="AF109" i="1"/>
  <c r="AE109" i="1"/>
  <c r="AA109" i="1"/>
  <c r="Z109" i="1"/>
  <c r="Y109" i="1"/>
  <c r="X109" i="1"/>
  <c r="W109" i="1"/>
  <c r="P109" i="1"/>
  <c r="O109" i="1"/>
  <c r="AQ109" i="1" s="1"/>
  <c r="N109" i="1"/>
  <c r="AC109" i="1" s="1"/>
  <c r="M109" i="1"/>
  <c r="AR109" i="1" s="1"/>
  <c r="AU108" i="1"/>
  <c r="AR108" i="1"/>
  <c r="AP108" i="1"/>
  <c r="AI108" i="1"/>
  <c r="AN108" i="1" s="1"/>
  <c r="AH108" i="1"/>
  <c r="AF108" i="1"/>
  <c r="AE108" i="1"/>
  <c r="AB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U107" i="1"/>
  <c r="AT107" i="1"/>
  <c r="AR107" i="1"/>
  <c r="AP107" i="1"/>
  <c r="AO107" i="1"/>
  <c r="AV107" i="1" s="1"/>
  <c r="AN107" i="1"/>
  <c r="AJ107" i="1"/>
  <c r="AI107" i="1"/>
  <c r="AH107" i="1"/>
  <c r="AF107" i="1"/>
  <c r="AE107" i="1"/>
  <c r="AC107" i="1"/>
  <c r="AB107" i="1"/>
  <c r="AA107" i="1"/>
  <c r="Z107" i="1"/>
  <c r="Y107" i="1"/>
  <c r="X107" i="1"/>
  <c r="W107" i="1"/>
  <c r="P107" i="1"/>
  <c r="O107" i="1"/>
  <c r="AQ107" i="1" s="1"/>
  <c r="N107" i="1"/>
  <c r="M107" i="1"/>
  <c r="AU106" i="1"/>
  <c r="AR106" i="1"/>
  <c r="AP106" i="1"/>
  <c r="AO106" i="1"/>
  <c r="AV106" i="1" s="1"/>
  <c r="AI106" i="1"/>
  <c r="AN106" i="1" s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M106" i="1"/>
  <c r="AU105" i="1"/>
  <c r="AT105" i="1"/>
  <c r="AP105" i="1"/>
  <c r="AO105" i="1"/>
  <c r="AV105" i="1" s="1"/>
  <c r="AN105" i="1"/>
  <c r="AJ105" i="1"/>
  <c r="AI105" i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P104" i="1"/>
  <c r="AN104" i="1"/>
  <c r="AI104" i="1"/>
  <c r="AT104" i="1" s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R104" i="1" s="1"/>
  <c r="AU103" i="1"/>
  <c r="AP103" i="1"/>
  <c r="AO103" i="1"/>
  <c r="AV103" i="1" s="1"/>
  <c r="AI103" i="1"/>
  <c r="AN103" i="1" s="1"/>
  <c r="AH103" i="1"/>
  <c r="AF103" i="1"/>
  <c r="AE103" i="1"/>
  <c r="AA103" i="1"/>
  <c r="Z103" i="1"/>
  <c r="Y103" i="1"/>
  <c r="X103" i="1"/>
  <c r="W103" i="1"/>
  <c r="P103" i="1"/>
  <c r="O103" i="1"/>
  <c r="AQ103" i="1" s="1"/>
  <c r="N103" i="1"/>
  <c r="AC103" i="1" s="1"/>
  <c r="M103" i="1"/>
  <c r="AR103" i="1" s="1"/>
  <c r="AU102" i="1"/>
  <c r="AR102" i="1"/>
  <c r="AP102" i="1"/>
  <c r="AI102" i="1"/>
  <c r="AN102" i="1" s="1"/>
  <c r="AH102" i="1"/>
  <c r="AF102" i="1"/>
  <c r="AE102" i="1"/>
  <c r="AB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U101" i="1"/>
  <c r="AT101" i="1"/>
  <c r="AR101" i="1"/>
  <c r="AP101" i="1"/>
  <c r="AO101" i="1"/>
  <c r="AV101" i="1" s="1"/>
  <c r="AN101" i="1"/>
  <c r="AJ101" i="1"/>
  <c r="AI101" i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Q101" i="1" s="1"/>
  <c r="N101" i="1"/>
  <c r="M101" i="1"/>
  <c r="AU100" i="1"/>
  <c r="AR100" i="1"/>
  <c r="AP100" i="1"/>
  <c r="AO100" i="1"/>
  <c r="AV100" i="1" s="1"/>
  <c r="AI100" i="1"/>
  <c r="AN100" i="1" s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O99" i="1"/>
  <c r="AV99" i="1" s="1"/>
  <c r="AN99" i="1"/>
  <c r="AJ99" i="1"/>
  <c r="AI99" i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R99" i="1" s="1"/>
  <c r="AU98" i="1"/>
  <c r="AP98" i="1"/>
  <c r="AN98" i="1"/>
  <c r="AI98" i="1"/>
  <c r="AT98" i="1" s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R98" i="1" s="1"/>
  <c r="AU97" i="1"/>
  <c r="AP97" i="1"/>
  <c r="AO97" i="1"/>
  <c r="AV97" i="1" s="1"/>
  <c r="AI97" i="1"/>
  <c r="AN97" i="1" s="1"/>
  <c r="AH97" i="1"/>
  <c r="AF97" i="1"/>
  <c r="AE97" i="1"/>
  <c r="AA97" i="1"/>
  <c r="Z97" i="1"/>
  <c r="Y97" i="1"/>
  <c r="X97" i="1"/>
  <c r="W97" i="1"/>
  <c r="P97" i="1"/>
  <c r="O97" i="1"/>
  <c r="AQ97" i="1" s="1"/>
  <c r="N97" i="1"/>
  <c r="AC97" i="1" s="1"/>
  <c r="M97" i="1"/>
  <c r="AR97" i="1" s="1"/>
  <c r="AU96" i="1"/>
  <c r="AR96" i="1"/>
  <c r="AP96" i="1"/>
  <c r="AI96" i="1"/>
  <c r="AN96" i="1" s="1"/>
  <c r="AH96" i="1"/>
  <c r="AF96" i="1"/>
  <c r="AE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R95" i="1"/>
  <c r="AP95" i="1"/>
  <c r="AO95" i="1"/>
  <c r="AV95" i="1" s="1"/>
  <c r="AN95" i="1"/>
  <c r="AJ95" i="1"/>
  <c r="AI95" i="1"/>
  <c r="AH95" i="1"/>
  <c r="AF95" i="1"/>
  <c r="AE95" i="1"/>
  <c r="AC95" i="1"/>
  <c r="AB95" i="1"/>
  <c r="AA95" i="1"/>
  <c r="Z95" i="1"/>
  <c r="Y95" i="1"/>
  <c r="X95" i="1"/>
  <c r="W95" i="1"/>
  <c r="P95" i="1"/>
  <c r="O95" i="1"/>
  <c r="AD95" i="1" s="1"/>
  <c r="N95" i="1"/>
  <c r="M95" i="1"/>
  <c r="AU94" i="1"/>
  <c r="AR94" i="1"/>
  <c r="AP94" i="1"/>
  <c r="AO94" i="1"/>
  <c r="AI94" i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P93" i="1"/>
  <c r="AO93" i="1"/>
  <c r="AV93" i="1" s="1"/>
  <c r="AN93" i="1"/>
  <c r="AJ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P92" i="1"/>
  <c r="AN92" i="1"/>
  <c r="AI92" i="1"/>
  <c r="AT92" i="1" s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R92" i="1" s="1"/>
  <c r="AU91" i="1"/>
  <c r="AP91" i="1"/>
  <c r="AO91" i="1"/>
  <c r="AV91" i="1" s="1"/>
  <c r="AI91" i="1"/>
  <c r="AN91" i="1" s="1"/>
  <c r="AH91" i="1"/>
  <c r="AF91" i="1"/>
  <c r="AE91" i="1"/>
  <c r="AA91" i="1"/>
  <c r="Z91" i="1"/>
  <c r="Y91" i="1"/>
  <c r="X91" i="1"/>
  <c r="W91" i="1"/>
  <c r="P91" i="1"/>
  <c r="O91" i="1"/>
  <c r="N91" i="1"/>
  <c r="AC91" i="1" s="1"/>
  <c r="M91" i="1"/>
  <c r="AU90" i="1"/>
  <c r="AR90" i="1"/>
  <c r="AP90" i="1"/>
  <c r="AI90" i="1"/>
  <c r="AH90" i="1"/>
  <c r="AF90" i="1"/>
  <c r="AE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R89" i="1"/>
  <c r="AQ89" i="1"/>
  <c r="AP89" i="1"/>
  <c r="AO89" i="1"/>
  <c r="AV89" i="1" s="1"/>
  <c r="AN89" i="1"/>
  <c r="AJ89" i="1"/>
  <c r="AI89" i="1"/>
  <c r="AH89" i="1"/>
  <c r="AF89" i="1"/>
  <c r="AE89" i="1"/>
  <c r="AC89" i="1"/>
  <c r="AB89" i="1"/>
  <c r="AA89" i="1"/>
  <c r="Z89" i="1"/>
  <c r="Y89" i="1"/>
  <c r="X89" i="1"/>
  <c r="W89" i="1"/>
  <c r="P89" i="1"/>
  <c r="O89" i="1"/>
  <c r="AD89" i="1" s="1"/>
  <c r="N89" i="1"/>
  <c r="M89" i="1"/>
  <c r="AU88" i="1"/>
  <c r="AR88" i="1"/>
  <c r="AP88" i="1"/>
  <c r="AO88" i="1"/>
  <c r="AN88" i="1"/>
  <c r="AI88" i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P87" i="1"/>
  <c r="AO87" i="1"/>
  <c r="AN87" i="1"/>
  <c r="AJ87" i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U86" i="1"/>
  <c r="AP86" i="1"/>
  <c r="AN86" i="1"/>
  <c r="AI86" i="1"/>
  <c r="AT86" i="1" s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Q85" i="1"/>
  <c r="AP85" i="1"/>
  <c r="AO85" i="1"/>
  <c r="AI85" i="1"/>
  <c r="AN85" i="1" s="1"/>
  <c r="AH85" i="1"/>
  <c r="AF85" i="1"/>
  <c r="AE85" i="1"/>
  <c r="AA85" i="1"/>
  <c r="Z85" i="1"/>
  <c r="Y85" i="1"/>
  <c r="X85" i="1"/>
  <c r="W85" i="1"/>
  <c r="P85" i="1"/>
  <c r="O85" i="1"/>
  <c r="AD85" i="1" s="1"/>
  <c r="N85" i="1"/>
  <c r="AC85" i="1" s="1"/>
  <c r="M85" i="1"/>
  <c r="AU84" i="1"/>
  <c r="AR84" i="1"/>
  <c r="AP84" i="1"/>
  <c r="AI84" i="1"/>
  <c r="AH84" i="1"/>
  <c r="AF84" i="1"/>
  <c r="AE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R83" i="1"/>
  <c r="AP83" i="1"/>
  <c r="AO83" i="1"/>
  <c r="AV83" i="1" s="1"/>
  <c r="AN83" i="1"/>
  <c r="AJ83" i="1"/>
  <c r="AI83" i="1"/>
  <c r="AH83" i="1"/>
  <c r="AF83" i="1"/>
  <c r="AE83" i="1"/>
  <c r="AC83" i="1"/>
  <c r="AB83" i="1"/>
  <c r="AA83" i="1"/>
  <c r="Z83" i="1"/>
  <c r="Y83" i="1"/>
  <c r="X83" i="1"/>
  <c r="W83" i="1"/>
  <c r="P83" i="1"/>
  <c r="O83" i="1"/>
  <c r="AD83" i="1" s="1"/>
  <c r="N83" i="1"/>
  <c r="M83" i="1"/>
  <c r="AU82" i="1"/>
  <c r="AR82" i="1"/>
  <c r="AP82" i="1"/>
  <c r="AO82" i="1"/>
  <c r="AN82" i="1"/>
  <c r="AI82" i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P81" i="1"/>
  <c r="AO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U80" i="1"/>
  <c r="AP80" i="1"/>
  <c r="AN80" i="1"/>
  <c r="AI80" i="1"/>
  <c r="AT80" i="1" s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M80" i="1"/>
  <c r="AR80" i="1" s="1"/>
  <c r="AU79" i="1"/>
  <c r="AP79" i="1"/>
  <c r="AO79" i="1"/>
  <c r="AI79" i="1"/>
  <c r="AN79" i="1" s="1"/>
  <c r="AH79" i="1"/>
  <c r="AF79" i="1"/>
  <c r="AE79" i="1"/>
  <c r="AA79" i="1"/>
  <c r="Z79" i="1"/>
  <c r="Y79" i="1"/>
  <c r="X79" i="1"/>
  <c r="W79" i="1"/>
  <c r="P79" i="1"/>
  <c r="O79" i="1"/>
  <c r="AD79" i="1" s="1"/>
  <c r="N79" i="1"/>
  <c r="AC79" i="1" s="1"/>
  <c r="M79" i="1"/>
  <c r="AU78" i="1"/>
  <c r="AR78" i="1"/>
  <c r="AP78" i="1"/>
  <c r="AI78" i="1"/>
  <c r="AH78" i="1"/>
  <c r="AF78" i="1"/>
  <c r="AE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R77" i="1"/>
  <c r="AP77" i="1"/>
  <c r="AO77" i="1"/>
  <c r="AN77" i="1"/>
  <c r="AJ77" i="1"/>
  <c r="AI77" i="1"/>
  <c r="AH77" i="1"/>
  <c r="AF77" i="1"/>
  <c r="AE77" i="1"/>
  <c r="AC77" i="1"/>
  <c r="AB77" i="1"/>
  <c r="AA77" i="1"/>
  <c r="Z77" i="1"/>
  <c r="Y77" i="1"/>
  <c r="X77" i="1"/>
  <c r="W77" i="1"/>
  <c r="P77" i="1"/>
  <c r="O77" i="1"/>
  <c r="AD77" i="1" s="1"/>
  <c r="N77" i="1"/>
  <c r="M77" i="1"/>
  <c r="AU76" i="1"/>
  <c r="AR76" i="1"/>
  <c r="AP76" i="1"/>
  <c r="AO76" i="1"/>
  <c r="AV76" i="1" s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M76" i="1"/>
  <c r="AU75" i="1"/>
  <c r="AT75" i="1"/>
  <c r="AP75" i="1"/>
  <c r="AO75" i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U74" i="1"/>
  <c r="AP74" i="1"/>
  <c r="AN74" i="1"/>
  <c r="AI74" i="1"/>
  <c r="AT74" i="1" s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M74" i="1"/>
  <c r="AR74" i="1" s="1"/>
  <c r="AU73" i="1"/>
  <c r="AQ73" i="1"/>
  <c r="AP73" i="1"/>
  <c r="AO73" i="1"/>
  <c r="AI73" i="1"/>
  <c r="AN73" i="1" s="1"/>
  <c r="AH73" i="1"/>
  <c r="AF73" i="1"/>
  <c r="AE73" i="1"/>
  <c r="AA73" i="1"/>
  <c r="Z73" i="1"/>
  <c r="Y73" i="1"/>
  <c r="X73" i="1"/>
  <c r="W73" i="1"/>
  <c r="P73" i="1"/>
  <c r="O73" i="1"/>
  <c r="AD73" i="1" s="1"/>
  <c r="N73" i="1"/>
  <c r="AC73" i="1" s="1"/>
  <c r="M73" i="1"/>
  <c r="AU72" i="1"/>
  <c r="AR72" i="1"/>
  <c r="AP72" i="1"/>
  <c r="AI72" i="1"/>
  <c r="AH72" i="1"/>
  <c r="AF72" i="1"/>
  <c r="AE72" i="1"/>
  <c r="AB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R71" i="1"/>
  <c r="AQ71" i="1"/>
  <c r="AP71" i="1"/>
  <c r="AO71" i="1"/>
  <c r="AN71" i="1"/>
  <c r="AJ71" i="1"/>
  <c r="AI71" i="1"/>
  <c r="AH71" i="1"/>
  <c r="AF71" i="1"/>
  <c r="AE71" i="1"/>
  <c r="AC71" i="1"/>
  <c r="AB71" i="1"/>
  <c r="AA71" i="1"/>
  <c r="Z71" i="1"/>
  <c r="Y71" i="1"/>
  <c r="X71" i="1"/>
  <c r="W71" i="1"/>
  <c r="P71" i="1"/>
  <c r="O71" i="1"/>
  <c r="AD71" i="1" s="1"/>
  <c r="N71" i="1"/>
  <c r="M71" i="1"/>
  <c r="AU70" i="1"/>
  <c r="AR70" i="1"/>
  <c r="AP70" i="1"/>
  <c r="AO70" i="1"/>
  <c r="AN70" i="1"/>
  <c r="AI70" i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M70" i="1"/>
  <c r="AU69" i="1"/>
  <c r="AT69" i="1"/>
  <c r="AP69" i="1"/>
  <c r="AO69" i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U68" i="1"/>
  <c r="AP68" i="1"/>
  <c r="AN68" i="1"/>
  <c r="AI68" i="1"/>
  <c r="AT68" i="1" s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M68" i="1"/>
  <c r="AR68" i="1" s="1"/>
  <c r="AU67" i="1"/>
  <c r="AQ67" i="1"/>
  <c r="AP67" i="1"/>
  <c r="AO67" i="1"/>
  <c r="AV67" i="1" s="1"/>
  <c r="AI67" i="1"/>
  <c r="AN67" i="1" s="1"/>
  <c r="AH67" i="1"/>
  <c r="AF67" i="1"/>
  <c r="AE67" i="1"/>
  <c r="AA67" i="1"/>
  <c r="Z67" i="1"/>
  <c r="Y67" i="1"/>
  <c r="X67" i="1"/>
  <c r="W67" i="1"/>
  <c r="P67" i="1"/>
  <c r="O67" i="1"/>
  <c r="AD67" i="1" s="1"/>
  <c r="N67" i="1"/>
  <c r="AC67" i="1" s="1"/>
  <c r="M67" i="1"/>
  <c r="AU66" i="1"/>
  <c r="AR66" i="1"/>
  <c r="AP66" i="1"/>
  <c r="AI66" i="1"/>
  <c r="AH66" i="1"/>
  <c r="AF66" i="1"/>
  <c r="AE66" i="1"/>
  <c r="AB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R65" i="1"/>
  <c r="AP65" i="1"/>
  <c r="AO65" i="1"/>
  <c r="AV65" i="1" s="1"/>
  <c r="AN65" i="1"/>
  <c r="AJ65" i="1"/>
  <c r="AI65" i="1"/>
  <c r="AH65" i="1"/>
  <c r="AF65" i="1"/>
  <c r="AE65" i="1"/>
  <c r="AC65" i="1"/>
  <c r="AB65" i="1"/>
  <c r="AA65" i="1"/>
  <c r="Z65" i="1"/>
  <c r="Y65" i="1"/>
  <c r="X65" i="1"/>
  <c r="W65" i="1"/>
  <c r="P65" i="1"/>
  <c r="O65" i="1"/>
  <c r="AD65" i="1" s="1"/>
  <c r="N65" i="1"/>
  <c r="M65" i="1"/>
  <c r="AU64" i="1"/>
  <c r="AR64" i="1"/>
  <c r="AP64" i="1"/>
  <c r="AO64" i="1"/>
  <c r="AN64" i="1"/>
  <c r="AI64" i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M64" i="1"/>
  <c r="AV63" i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P62" i="1"/>
  <c r="AN62" i="1"/>
  <c r="AI62" i="1"/>
  <c r="AT62" i="1" s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M62" i="1"/>
  <c r="AR62" i="1" s="1"/>
  <c r="AU61" i="1"/>
  <c r="AP61" i="1"/>
  <c r="AO61" i="1"/>
  <c r="AI61" i="1"/>
  <c r="AN61" i="1" s="1"/>
  <c r="AH61" i="1"/>
  <c r="AF61" i="1"/>
  <c r="AE61" i="1"/>
  <c r="AA61" i="1"/>
  <c r="Z61" i="1"/>
  <c r="Y61" i="1"/>
  <c r="X61" i="1"/>
  <c r="W61" i="1"/>
  <c r="P61" i="1"/>
  <c r="O61" i="1"/>
  <c r="AD61" i="1" s="1"/>
  <c r="N61" i="1"/>
  <c r="AC61" i="1" s="1"/>
  <c r="M61" i="1"/>
  <c r="AU60" i="1"/>
  <c r="AR60" i="1"/>
  <c r="AP60" i="1"/>
  <c r="AI60" i="1"/>
  <c r="AH60" i="1"/>
  <c r="AF60" i="1"/>
  <c r="AE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R59" i="1"/>
  <c r="AP59" i="1"/>
  <c r="AN59" i="1"/>
  <c r="AJ59" i="1"/>
  <c r="AI59" i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AO59" i="1" s="1"/>
  <c r="M59" i="1"/>
  <c r="AU58" i="1"/>
  <c r="AR58" i="1"/>
  <c r="AP58" i="1"/>
  <c r="AO58" i="1"/>
  <c r="AN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M58" i="1"/>
  <c r="AV57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P56" i="1"/>
  <c r="AN56" i="1"/>
  <c r="AI56" i="1"/>
  <c r="AT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P55" i="1"/>
  <c r="AO55" i="1"/>
  <c r="AI55" i="1"/>
  <c r="AN55" i="1" s="1"/>
  <c r="AH55" i="1"/>
  <c r="AF55" i="1"/>
  <c r="AE55" i="1"/>
  <c r="AA55" i="1"/>
  <c r="Z55" i="1"/>
  <c r="Y55" i="1"/>
  <c r="X55" i="1"/>
  <c r="W55" i="1"/>
  <c r="P55" i="1"/>
  <c r="O55" i="1"/>
  <c r="AD55" i="1" s="1"/>
  <c r="N55" i="1"/>
  <c r="AC55" i="1" s="1"/>
  <c r="M55" i="1"/>
  <c r="AU54" i="1"/>
  <c r="AR54" i="1"/>
  <c r="AP54" i="1"/>
  <c r="AI54" i="1"/>
  <c r="AH54" i="1"/>
  <c r="AF54" i="1"/>
  <c r="AE54" i="1"/>
  <c r="AB54" i="1"/>
  <c r="AA54" i="1"/>
  <c r="Z54" i="1"/>
  <c r="Y54" i="1"/>
  <c r="X54" i="1"/>
  <c r="W54" i="1"/>
  <c r="P54" i="1"/>
  <c r="O54" i="1"/>
  <c r="AQ54" i="1" s="1"/>
  <c r="N54" i="1"/>
  <c r="M54" i="1"/>
  <c r="AU53" i="1"/>
  <c r="AT53" i="1"/>
  <c r="AR53" i="1"/>
  <c r="AP53" i="1"/>
  <c r="AJ53" i="1"/>
  <c r="AI53" i="1"/>
  <c r="AN53" i="1" s="1"/>
  <c r="AH53" i="1"/>
  <c r="AF53" i="1"/>
  <c r="AE53" i="1"/>
  <c r="AC53" i="1"/>
  <c r="AB53" i="1"/>
  <c r="AA53" i="1"/>
  <c r="Z53" i="1"/>
  <c r="Y53" i="1"/>
  <c r="X53" i="1"/>
  <c r="W53" i="1"/>
  <c r="P53" i="1"/>
  <c r="O53" i="1"/>
  <c r="AD53" i="1" s="1"/>
  <c r="N53" i="1"/>
  <c r="AO53" i="1" s="1"/>
  <c r="AV53" i="1" s="1"/>
  <c r="M53" i="1"/>
  <c r="AU52" i="1"/>
  <c r="AR52" i="1"/>
  <c r="AP52" i="1"/>
  <c r="AO52" i="1"/>
  <c r="AN52" i="1"/>
  <c r="AI52" i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M52" i="1"/>
  <c r="AU51" i="1"/>
  <c r="AT51" i="1"/>
  <c r="AP51" i="1"/>
  <c r="AO51" i="1"/>
  <c r="AV51" i="1" s="1"/>
  <c r="AN51" i="1"/>
  <c r="AJ51" i="1"/>
  <c r="AI51" i="1"/>
  <c r="AH51" i="1"/>
  <c r="AF51" i="1"/>
  <c r="AE51" i="1"/>
  <c r="AD51" i="1"/>
  <c r="AC51" i="1"/>
  <c r="AA51" i="1"/>
  <c r="Z51" i="1"/>
  <c r="Y51" i="1"/>
  <c r="X51" i="1"/>
  <c r="W51" i="1"/>
  <c r="P51" i="1"/>
  <c r="O51" i="1"/>
  <c r="AQ51" i="1" s="1"/>
  <c r="N51" i="1"/>
  <c r="M51" i="1"/>
  <c r="AU50" i="1"/>
  <c r="AP50" i="1"/>
  <c r="AN50" i="1"/>
  <c r="AI50" i="1"/>
  <c r="AT50" i="1" s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M50" i="1"/>
  <c r="AR50" i="1" s="1"/>
  <c r="AU49" i="1"/>
  <c r="AQ49" i="1"/>
  <c r="AP49" i="1"/>
  <c r="AO49" i="1"/>
  <c r="AV49" i="1" s="1"/>
  <c r="AI49" i="1"/>
  <c r="AN49" i="1" s="1"/>
  <c r="AH49" i="1"/>
  <c r="AF49" i="1"/>
  <c r="AE49" i="1"/>
  <c r="AA49" i="1"/>
  <c r="Z49" i="1"/>
  <c r="Y49" i="1"/>
  <c r="X49" i="1"/>
  <c r="W49" i="1"/>
  <c r="P49" i="1"/>
  <c r="O49" i="1"/>
  <c r="AD49" i="1" s="1"/>
  <c r="N49" i="1"/>
  <c r="AC49" i="1" s="1"/>
  <c r="M49" i="1"/>
  <c r="AU48" i="1"/>
  <c r="AR48" i="1"/>
  <c r="AP48" i="1"/>
  <c r="AI48" i="1"/>
  <c r="AH48" i="1"/>
  <c r="AF48" i="1"/>
  <c r="AE48" i="1"/>
  <c r="AB48" i="1"/>
  <c r="AA48" i="1"/>
  <c r="Z48" i="1"/>
  <c r="Y48" i="1"/>
  <c r="X48" i="1"/>
  <c r="W48" i="1"/>
  <c r="P48" i="1"/>
  <c r="O48" i="1"/>
  <c r="AQ48" i="1" s="1"/>
  <c r="N48" i="1"/>
  <c r="M48" i="1"/>
  <c r="AU47" i="1"/>
  <c r="AT47" i="1"/>
  <c r="AR47" i="1"/>
  <c r="AQ47" i="1"/>
  <c r="AP47" i="1"/>
  <c r="AJ47" i="1"/>
  <c r="AI47" i="1"/>
  <c r="AN47" i="1" s="1"/>
  <c r="AH47" i="1"/>
  <c r="AF47" i="1"/>
  <c r="AE47" i="1"/>
  <c r="AC47" i="1"/>
  <c r="AB47" i="1"/>
  <c r="AA47" i="1"/>
  <c r="Z47" i="1"/>
  <c r="Y47" i="1"/>
  <c r="X47" i="1"/>
  <c r="W47" i="1"/>
  <c r="P47" i="1"/>
  <c r="O47" i="1"/>
  <c r="AD47" i="1" s="1"/>
  <c r="N47" i="1"/>
  <c r="AO47" i="1" s="1"/>
  <c r="AV47" i="1" s="1"/>
  <c r="M47" i="1"/>
  <c r="AU46" i="1"/>
  <c r="AR46" i="1"/>
  <c r="AP46" i="1"/>
  <c r="AO46" i="1"/>
  <c r="AI46" i="1"/>
  <c r="AN46" i="1" s="1"/>
  <c r="AH46" i="1"/>
  <c r="AF46" i="1"/>
  <c r="AE46" i="1"/>
  <c r="AD46" i="1"/>
  <c r="AC46" i="1"/>
  <c r="AB46" i="1"/>
  <c r="AA46" i="1"/>
  <c r="Z46" i="1"/>
  <c r="Y46" i="1"/>
  <c r="X46" i="1"/>
  <c r="W46" i="1"/>
  <c r="P46" i="1"/>
  <c r="O46" i="1"/>
  <c r="AQ46" i="1" s="1"/>
  <c r="N46" i="1"/>
  <c r="M46" i="1"/>
  <c r="AU45" i="1"/>
  <c r="AT45" i="1"/>
  <c r="AP45" i="1"/>
  <c r="AO45" i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U44" i="1"/>
  <c r="AT44" i="1"/>
  <c r="AP44" i="1"/>
  <c r="AN44" i="1"/>
  <c r="AJ44" i="1"/>
  <c r="AI44" i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M44" i="1"/>
  <c r="AU43" i="1"/>
  <c r="AP43" i="1"/>
  <c r="AI43" i="1"/>
  <c r="AN43" i="1" s="1"/>
  <c r="AH43" i="1"/>
  <c r="AF43" i="1"/>
  <c r="AE43" i="1"/>
  <c r="AA43" i="1"/>
  <c r="Z43" i="1"/>
  <c r="Y43" i="1"/>
  <c r="X43" i="1"/>
  <c r="W43" i="1"/>
  <c r="P43" i="1"/>
  <c r="O43" i="1"/>
  <c r="AD43" i="1" s="1"/>
  <c r="N43" i="1"/>
  <c r="AC43" i="1" s="1"/>
  <c r="M43" i="1"/>
  <c r="AU42" i="1"/>
  <c r="AP42" i="1"/>
  <c r="AJ42" i="1"/>
  <c r="AI42" i="1"/>
  <c r="AH42" i="1"/>
  <c r="AF42" i="1"/>
  <c r="AE42" i="1"/>
  <c r="AC42" i="1"/>
  <c r="AB42" i="1"/>
  <c r="AA42" i="1"/>
  <c r="Z42" i="1"/>
  <c r="Y42" i="1"/>
  <c r="X42" i="1"/>
  <c r="W42" i="1"/>
  <c r="P42" i="1"/>
  <c r="O42" i="1"/>
  <c r="AD42" i="1" s="1"/>
  <c r="N42" i="1"/>
  <c r="AO42" i="1" s="1"/>
  <c r="AV42" i="1" s="1"/>
  <c r="M42" i="1"/>
  <c r="AR42" i="1" s="1"/>
  <c r="AU41" i="1"/>
  <c r="AR41" i="1"/>
  <c r="AP41" i="1"/>
  <c r="AI41" i="1"/>
  <c r="AN41" i="1" s="1"/>
  <c r="AH41" i="1"/>
  <c r="AF41" i="1"/>
  <c r="AE41" i="1"/>
  <c r="AB41" i="1"/>
  <c r="AA41" i="1"/>
  <c r="Z41" i="1"/>
  <c r="Y41" i="1"/>
  <c r="X41" i="1"/>
  <c r="W41" i="1"/>
  <c r="P41" i="1"/>
  <c r="O41" i="1"/>
  <c r="AQ41" i="1" s="1"/>
  <c r="N41" i="1"/>
  <c r="AO41" i="1" s="1"/>
  <c r="M41" i="1"/>
  <c r="AU40" i="1"/>
  <c r="AT40" i="1"/>
  <c r="AR40" i="1"/>
  <c r="AP40" i="1"/>
  <c r="AO40" i="1"/>
  <c r="AV40" i="1" s="1"/>
  <c r="AJ40" i="1"/>
  <c r="AI40" i="1"/>
  <c r="AN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Q40" i="1" s="1"/>
  <c r="N40" i="1"/>
  <c r="M40" i="1"/>
  <c r="AU39" i="1"/>
  <c r="AR39" i="1"/>
  <c r="AP39" i="1"/>
  <c r="AJ39" i="1"/>
  <c r="AI39" i="1"/>
  <c r="AT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T38" i="1"/>
  <c r="AR38" i="1"/>
  <c r="AP38" i="1"/>
  <c r="AN38" i="1"/>
  <c r="AJ38" i="1"/>
  <c r="AI38" i="1"/>
  <c r="AH38" i="1"/>
  <c r="AF38" i="1"/>
  <c r="AE38" i="1"/>
  <c r="AD38" i="1"/>
  <c r="AC38" i="1"/>
  <c r="AB38" i="1"/>
  <c r="AA38" i="1"/>
  <c r="Z38" i="1"/>
  <c r="Y38" i="1"/>
  <c r="X38" i="1"/>
  <c r="W38" i="1"/>
  <c r="P38" i="1"/>
  <c r="O38" i="1"/>
  <c r="AQ38" i="1" s="1"/>
  <c r="N38" i="1"/>
  <c r="AO38" i="1" s="1"/>
  <c r="AV38" i="1" s="1"/>
  <c r="M38" i="1"/>
  <c r="AU37" i="1"/>
  <c r="AP37" i="1"/>
  <c r="AO37" i="1"/>
  <c r="AI37" i="1"/>
  <c r="AN37" i="1" s="1"/>
  <c r="AH37" i="1"/>
  <c r="AF37" i="1"/>
  <c r="AE37" i="1"/>
  <c r="AD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T36" i="1"/>
  <c r="AP36" i="1"/>
  <c r="AN36" i="1"/>
  <c r="AJ36" i="1"/>
  <c r="AI36" i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R36" i="1" s="1"/>
  <c r="AU35" i="1"/>
  <c r="AT35" i="1"/>
  <c r="AP35" i="1"/>
  <c r="AN35" i="1"/>
  <c r="AJ35" i="1"/>
  <c r="AI35" i="1"/>
  <c r="AH35" i="1"/>
  <c r="AF35" i="1"/>
  <c r="AE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R35" i="1" s="1"/>
  <c r="AU34" i="1"/>
  <c r="AR34" i="1"/>
  <c r="AP34" i="1"/>
  <c r="AO34" i="1"/>
  <c r="AI34" i="1"/>
  <c r="AN34" i="1" s="1"/>
  <c r="AH34" i="1"/>
  <c r="AF34" i="1"/>
  <c r="AE34" i="1"/>
  <c r="AB34" i="1"/>
  <c r="AA34" i="1"/>
  <c r="Z34" i="1"/>
  <c r="Y34" i="1"/>
  <c r="X34" i="1"/>
  <c r="W34" i="1"/>
  <c r="P34" i="1"/>
  <c r="O34" i="1"/>
  <c r="AQ34" i="1" s="1"/>
  <c r="N34" i="1"/>
  <c r="AC34" i="1" s="1"/>
  <c r="M34" i="1"/>
  <c r="AU33" i="1"/>
  <c r="AT33" i="1"/>
  <c r="AR33" i="1"/>
  <c r="AP33" i="1"/>
  <c r="AJ33" i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T32" i="1"/>
  <c r="AR32" i="1"/>
  <c r="AP32" i="1"/>
  <c r="AN32" i="1"/>
  <c r="AJ32" i="1"/>
  <c r="AI32" i="1"/>
  <c r="AH32" i="1"/>
  <c r="AF32" i="1"/>
  <c r="AE32" i="1"/>
  <c r="AD32" i="1"/>
  <c r="AC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P31" i="1"/>
  <c r="AO31" i="1"/>
  <c r="AI31" i="1"/>
  <c r="AN31" i="1" s="1"/>
  <c r="AH31" i="1"/>
  <c r="AF31" i="1"/>
  <c r="AE31" i="1"/>
  <c r="AD31" i="1"/>
  <c r="AC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T30" i="1"/>
  <c r="AP30" i="1"/>
  <c r="AN30" i="1"/>
  <c r="AJ30" i="1"/>
  <c r="AI30" i="1"/>
  <c r="AH30" i="1"/>
  <c r="AF30" i="1"/>
  <c r="AE30" i="1"/>
  <c r="AD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R30" i="1" s="1"/>
  <c r="AU29" i="1"/>
  <c r="AT29" i="1"/>
  <c r="AP29" i="1"/>
  <c r="AN29" i="1"/>
  <c r="AJ29" i="1"/>
  <c r="AI29" i="1"/>
  <c r="AH29" i="1"/>
  <c r="AF29" i="1"/>
  <c r="AE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R29" i="1" s="1"/>
  <c r="AU28" i="1"/>
  <c r="AR28" i="1"/>
  <c r="AP28" i="1"/>
  <c r="AO28" i="1"/>
  <c r="AI28" i="1"/>
  <c r="AN28" i="1" s="1"/>
  <c r="AH28" i="1"/>
  <c r="AF28" i="1"/>
  <c r="AE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T27" i="1"/>
  <c r="AR27" i="1"/>
  <c r="AP27" i="1"/>
  <c r="AJ27" i="1"/>
  <c r="AI27" i="1"/>
  <c r="AN27" i="1" s="1"/>
  <c r="AH27" i="1"/>
  <c r="AF27" i="1"/>
  <c r="AE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R26" i="1"/>
  <c r="AP26" i="1"/>
  <c r="AN26" i="1"/>
  <c r="AJ26" i="1"/>
  <c r="AI26" i="1"/>
  <c r="AH26" i="1"/>
  <c r="AF26" i="1"/>
  <c r="AE26" i="1"/>
  <c r="AD26" i="1"/>
  <c r="AC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P25" i="1"/>
  <c r="AO25" i="1"/>
  <c r="AI25" i="1"/>
  <c r="AN25" i="1" s="1"/>
  <c r="AH25" i="1"/>
  <c r="AF25" i="1"/>
  <c r="AE25" i="1"/>
  <c r="AD25" i="1"/>
  <c r="AC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T24" i="1"/>
  <c r="AP24" i="1"/>
  <c r="AN24" i="1"/>
  <c r="AJ24" i="1"/>
  <c r="AI24" i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R24" i="1" s="1"/>
  <c r="AU23" i="1"/>
  <c r="AT23" i="1"/>
  <c r="AP23" i="1"/>
  <c r="AN23" i="1"/>
  <c r="AJ23" i="1"/>
  <c r="AI23" i="1"/>
  <c r="AH23" i="1"/>
  <c r="AF23" i="1"/>
  <c r="AE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R23" i="1" s="1"/>
  <c r="AU22" i="1"/>
  <c r="AR22" i="1"/>
  <c r="AP22" i="1"/>
  <c r="AO22" i="1"/>
  <c r="AI22" i="1"/>
  <c r="AN22" i="1" s="1"/>
  <c r="AH22" i="1"/>
  <c r="AF22" i="1"/>
  <c r="AE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T21" i="1"/>
  <c r="AR21" i="1"/>
  <c r="AP21" i="1"/>
  <c r="AJ21" i="1"/>
  <c r="AI21" i="1"/>
  <c r="AN21" i="1" s="1"/>
  <c r="AH21" i="1"/>
  <c r="AF21" i="1"/>
  <c r="AE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T20" i="1"/>
  <c r="AR20" i="1"/>
  <c r="AP20" i="1"/>
  <c r="AN20" i="1"/>
  <c r="AJ20" i="1"/>
  <c r="AI20" i="1"/>
  <c r="AH20" i="1"/>
  <c r="AF20" i="1"/>
  <c r="AE20" i="1"/>
  <c r="AD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P19" i="1"/>
  <c r="AO19" i="1"/>
  <c r="AI19" i="1"/>
  <c r="AN19" i="1" s="1"/>
  <c r="AH19" i="1"/>
  <c r="AF19" i="1"/>
  <c r="AE19" i="1"/>
  <c r="AD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T18" i="1"/>
  <c r="AP18" i="1"/>
  <c r="AN18" i="1"/>
  <c r="AJ18" i="1"/>
  <c r="AI18" i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R18" i="1" s="1"/>
  <c r="AU17" i="1"/>
  <c r="AT17" i="1"/>
  <c r="AP17" i="1"/>
  <c r="AN17" i="1"/>
  <c r="AJ17" i="1"/>
  <c r="AI17" i="1"/>
  <c r="AH17" i="1"/>
  <c r="AF17" i="1"/>
  <c r="AE17" i="1"/>
  <c r="AA17" i="1"/>
  <c r="Z17" i="1"/>
  <c r="Y17" i="1"/>
  <c r="X17" i="1"/>
  <c r="W17" i="1"/>
  <c r="P17" i="1"/>
  <c r="O17" i="1"/>
  <c r="AD17" i="1" s="1"/>
  <c r="N17" i="1"/>
  <c r="AO17" i="1" s="1"/>
  <c r="M17" i="1"/>
  <c r="AR17" i="1" s="1"/>
  <c r="AU16" i="1"/>
  <c r="AR16" i="1"/>
  <c r="AP16" i="1"/>
  <c r="AO16" i="1"/>
  <c r="AI16" i="1"/>
  <c r="AN16" i="1" s="1"/>
  <c r="AH16" i="1"/>
  <c r="AF16" i="1"/>
  <c r="AE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T15" i="1"/>
  <c r="AR15" i="1"/>
  <c r="AP15" i="1"/>
  <c r="AJ15" i="1"/>
  <c r="AI15" i="1"/>
  <c r="AN15" i="1" s="1"/>
  <c r="AH15" i="1"/>
  <c r="AF15" i="1"/>
  <c r="AE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T14" i="1"/>
  <c r="AR14" i="1"/>
  <c r="AP14" i="1"/>
  <c r="AN14" i="1"/>
  <c r="AJ14" i="1"/>
  <c r="AI14" i="1"/>
  <c r="AH14" i="1"/>
  <c r="AF14" i="1"/>
  <c r="AE14" i="1"/>
  <c r="AD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V13" i="1"/>
  <c r="AU13" i="1"/>
  <c r="AP13" i="1"/>
  <c r="AO13" i="1"/>
  <c r="AI13" i="1"/>
  <c r="AN13" i="1" s="1"/>
  <c r="AH13" i="1"/>
  <c r="AF13" i="1"/>
  <c r="AE13" i="1"/>
  <c r="AD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T12" i="1"/>
  <c r="AP12" i="1"/>
  <c r="AN12" i="1"/>
  <c r="AJ12" i="1"/>
  <c r="AI12" i="1"/>
  <c r="AH12" i="1"/>
  <c r="AF12" i="1"/>
  <c r="AE12" i="1"/>
  <c r="AD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T11" i="1"/>
  <c r="AP11" i="1"/>
  <c r="AN11" i="1"/>
  <c r="AJ11" i="1"/>
  <c r="AI11" i="1"/>
  <c r="AH11" i="1"/>
  <c r="AF11" i="1"/>
  <c r="AE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R11" i="1" s="1"/>
  <c r="AU10" i="1"/>
  <c r="AR10" i="1"/>
  <c r="AP10" i="1"/>
  <c r="AO10" i="1"/>
  <c r="AI10" i="1"/>
  <c r="AN10" i="1" s="1"/>
  <c r="AH10" i="1"/>
  <c r="AF10" i="1"/>
  <c r="AE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T9" i="1"/>
  <c r="AR9" i="1"/>
  <c r="AP9" i="1"/>
  <c r="AJ9" i="1"/>
  <c r="AI9" i="1"/>
  <c r="AN9" i="1" s="1"/>
  <c r="AH9" i="1"/>
  <c r="AF9" i="1"/>
  <c r="AE9" i="1"/>
  <c r="AC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T8" i="1"/>
  <c r="AR8" i="1"/>
  <c r="AP8" i="1"/>
  <c r="AN8" i="1"/>
  <c r="AJ8" i="1"/>
  <c r="AI8" i="1"/>
  <c r="AH8" i="1"/>
  <c r="AF8" i="1"/>
  <c r="AE8" i="1"/>
  <c r="AD8" i="1"/>
  <c r="AC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P7" i="1"/>
  <c r="AO7" i="1"/>
  <c r="AI7" i="1"/>
  <c r="AN7" i="1" s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T6" i="1"/>
  <c r="AP6" i="1"/>
  <c r="AN6" i="1"/>
  <c r="AJ6" i="1"/>
  <c r="AI6" i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O6" i="1" s="1"/>
  <c r="M6" i="1"/>
  <c r="AR6" i="1" s="1"/>
  <c r="AU5" i="1"/>
  <c r="AT5" i="1"/>
  <c r="AP5" i="1"/>
  <c r="AN5" i="1"/>
  <c r="AJ5" i="1"/>
  <c r="AI5" i="1"/>
  <c r="AH5" i="1"/>
  <c r="AF5" i="1"/>
  <c r="AE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R5" i="1" s="1"/>
  <c r="AU4" i="1"/>
  <c r="AR4" i="1"/>
  <c r="AP4" i="1"/>
  <c r="AO4" i="1"/>
  <c r="AV4" i="1" s="1"/>
  <c r="AI4" i="1"/>
  <c r="AN4" i="1" s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AC4" i="1" s="1"/>
  <c r="M4" i="1"/>
  <c r="AP6" i="16"/>
  <c r="AI6" i="16"/>
  <c r="AN6" i="16" s="1"/>
  <c r="AH6" i="16"/>
  <c r="AF6" i="16"/>
  <c r="AE6" i="16"/>
  <c r="AD6" i="16"/>
  <c r="AB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I5" i="16"/>
  <c r="AH5" i="16"/>
  <c r="W5" i="16"/>
  <c r="AI4" i="16"/>
  <c r="AU3" i="16"/>
  <c r="AO3" i="16"/>
  <c r="AI3" i="16"/>
  <c r="AH3" i="16"/>
  <c r="AN2" i="16"/>
  <c r="AM2" i="16"/>
  <c r="AL2" i="16"/>
  <c r="AK2" i="16"/>
  <c r="AJ2" i="16"/>
  <c r="AH2" i="16"/>
  <c r="AA2" i="16"/>
  <c r="A2" i="16"/>
  <c r="AU1" i="16"/>
  <c r="AU6" i="16" s="1"/>
  <c r="AR1" i="16"/>
  <c r="AR3" i="16" s="1"/>
  <c r="AQ1" i="16"/>
  <c r="AQ3" i="16" s="1"/>
  <c r="AP1" i="16"/>
  <c r="AP3" i="16" s="1"/>
  <c r="AO1" i="16"/>
  <c r="AJ1" i="16"/>
  <c r="AH1" i="16"/>
  <c r="AA1" i="16"/>
  <c r="A1" i="16"/>
  <c r="AT13" i="15"/>
  <c r="AP13" i="15"/>
  <c r="AO13" i="15"/>
  <c r="AV13" i="15" s="1"/>
  <c r="AJ13" i="15"/>
  <c r="AI13" i="15"/>
  <c r="AN13" i="15" s="1"/>
  <c r="AH13" i="15"/>
  <c r="AF13" i="15"/>
  <c r="AE13" i="15"/>
  <c r="AC13" i="15"/>
  <c r="AA13" i="15"/>
  <c r="Z13" i="15"/>
  <c r="Y13" i="15"/>
  <c r="X13" i="15"/>
  <c r="W13" i="15"/>
  <c r="P13" i="15"/>
  <c r="O13" i="15"/>
  <c r="AD13" i="15" s="1"/>
  <c r="N13" i="15"/>
  <c r="M13" i="15"/>
  <c r="AI12" i="15"/>
  <c r="AH12" i="15"/>
  <c r="W12" i="15"/>
  <c r="AU11" i="15"/>
  <c r="AT11" i="15"/>
  <c r="AQ11" i="15"/>
  <c r="AN11" i="15"/>
  <c r="AJ11" i="15"/>
  <c r="AI11" i="15"/>
  <c r="AH11" i="15"/>
  <c r="AF11" i="15"/>
  <c r="AE11" i="15"/>
  <c r="AD11" i="15"/>
  <c r="AC11" i="15"/>
  <c r="AA11" i="15"/>
  <c r="Z11" i="15"/>
  <c r="Y11" i="15"/>
  <c r="X11" i="15"/>
  <c r="W11" i="15"/>
  <c r="P11" i="15"/>
  <c r="O11" i="15"/>
  <c r="N11" i="15"/>
  <c r="AO11" i="15" s="1"/>
  <c r="M11" i="15"/>
  <c r="AU10" i="15"/>
  <c r="AI10" i="15"/>
  <c r="AH10" i="15"/>
  <c r="AF10" i="15"/>
  <c r="AE10" i="15"/>
  <c r="AD10" i="15"/>
  <c r="AA10" i="15"/>
  <c r="Z10" i="15"/>
  <c r="Y10" i="15"/>
  <c r="X10" i="15"/>
  <c r="W10" i="15"/>
  <c r="P10" i="15"/>
  <c r="O10" i="15"/>
  <c r="AQ10" i="15" s="1"/>
  <c r="N10" i="15"/>
  <c r="AC10" i="15" s="1"/>
  <c r="M10" i="15"/>
  <c r="AI9" i="15"/>
  <c r="AH9" i="15"/>
  <c r="W9" i="15"/>
  <c r="AU8" i="15"/>
  <c r="AR8" i="15"/>
  <c r="AP8" i="15"/>
  <c r="AI8" i="15"/>
  <c r="AN8" i="15" s="1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M8" i="15"/>
  <c r="AU7" i="15"/>
  <c r="AT7" i="15"/>
  <c r="AO7" i="15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M7" i="15"/>
  <c r="AU6" i="15"/>
  <c r="AO6" i="15"/>
  <c r="AI6" i="15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C6" i="15" s="1"/>
  <c r="M6" i="15"/>
  <c r="AR6" i="15" s="1"/>
  <c r="AI5" i="15"/>
  <c r="AH5" i="15"/>
  <c r="W5" i="15"/>
  <c r="AI4" i="15"/>
  <c r="AU3" i="15"/>
  <c r="AQ3" i="15"/>
  <c r="AO3" i="15"/>
  <c r="AI3" i="15"/>
  <c r="AH3" i="15"/>
  <c r="AN2" i="15"/>
  <c r="AN7" i="15" s="1"/>
  <c r="AM2" i="15"/>
  <c r="AL2" i="15"/>
  <c r="AK2" i="15"/>
  <c r="AJ2" i="15"/>
  <c r="AH2" i="15"/>
  <c r="AA2" i="15"/>
  <c r="A2" i="15"/>
  <c r="AU1" i="15"/>
  <c r="AU13" i="15" s="1"/>
  <c r="AR1" i="15"/>
  <c r="AR3" i="15" s="1"/>
  <c r="AQ1" i="15"/>
  <c r="AP1" i="15"/>
  <c r="AO1" i="15"/>
  <c r="AO10" i="15" s="1"/>
  <c r="AJ1" i="15"/>
  <c r="AA1" i="15"/>
  <c r="A1" i="15"/>
  <c r="AH1" i="15" s="1"/>
  <c r="AU38" i="14"/>
  <c r="AT38" i="14"/>
  <c r="AP38" i="14"/>
  <c r="AO38" i="14"/>
  <c r="AV38" i="14" s="1"/>
  <c r="AI38" i="14"/>
  <c r="AH38" i="14"/>
  <c r="AF38" i="14"/>
  <c r="AE38" i="14"/>
  <c r="AC38" i="14"/>
  <c r="AA38" i="14"/>
  <c r="Z38" i="14"/>
  <c r="Y38" i="14"/>
  <c r="X38" i="14"/>
  <c r="W38" i="14"/>
  <c r="P38" i="14"/>
  <c r="O38" i="14"/>
  <c r="AQ38" i="14" s="1"/>
  <c r="N38" i="14"/>
  <c r="M38" i="14"/>
  <c r="AP37" i="14"/>
  <c r="AI37" i="14"/>
  <c r="AH37" i="14"/>
  <c r="AF37" i="14"/>
  <c r="AE37" i="14"/>
  <c r="AD37" i="14"/>
  <c r="AA37" i="14"/>
  <c r="Z37" i="14"/>
  <c r="Y37" i="14"/>
  <c r="X37" i="14"/>
  <c r="W37" i="14"/>
  <c r="P37" i="14"/>
  <c r="O37" i="14"/>
  <c r="AQ37" i="14" s="1"/>
  <c r="N37" i="14"/>
  <c r="AC37" i="14" s="1"/>
  <c r="M37" i="14"/>
  <c r="AB37" i="14" s="1"/>
  <c r="AT36" i="14"/>
  <c r="AP36" i="14"/>
  <c r="AI36" i="14"/>
  <c r="AH36" i="14"/>
  <c r="AF36" i="14"/>
  <c r="AE36" i="14"/>
  <c r="AA36" i="14"/>
  <c r="Z36" i="14"/>
  <c r="Y36" i="14"/>
  <c r="X36" i="14"/>
  <c r="W36" i="14"/>
  <c r="P36" i="14"/>
  <c r="O36" i="14"/>
  <c r="N36" i="14"/>
  <c r="AO36" i="14" s="1"/>
  <c r="AV36" i="14" s="1"/>
  <c r="M36" i="14"/>
  <c r="AR35" i="14"/>
  <c r="AP35" i="14"/>
  <c r="AI35" i="14"/>
  <c r="AH35" i="14"/>
  <c r="AF35" i="14"/>
  <c r="AE35" i="14"/>
  <c r="AD35" i="14"/>
  <c r="AB35" i="14"/>
  <c r="AA35" i="14"/>
  <c r="Z35" i="14"/>
  <c r="Y35" i="14"/>
  <c r="X35" i="14"/>
  <c r="W35" i="14"/>
  <c r="P35" i="14"/>
  <c r="O35" i="14"/>
  <c r="AQ35" i="14" s="1"/>
  <c r="N35" i="14"/>
  <c r="M35" i="14"/>
  <c r="AT34" i="14"/>
  <c r="AI34" i="14"/>
  <c r="AH34" i="14"/>
  <c r="AF34" i="14"/>
  <c r="AE34" i="14"/>
  <c r="AC34" i="14"/>
  <c r="AB34" i="14"/>
  <c r="AA34" i="14"/>
  <c r="Z34" i="14"/>
  <c r="Y34" i="14"/>
  <c r="X34" i="14"/>
  <c r="W34" i="14"/>
  <c r="P34" i="14"/>
  <c r="O34" i="14"/>
  <c r="AD34" i="14" s="1"/>
  <c r="N34" i="14"/>
  <c r="M34" i="14"/>
  <c r="AR34" i="14" s="1"/>
  <c r="AI33" i="14"/>
  <c r="AH33" i="14"/>
  <c r="W33" i="14"/>
  <c r="AT32" i="14"/>
  <c r="AP32" i="14"/>
  <c r="AO32" i="14"/>
  <c r="AV32" i="14" s="1"/>
  <c r="AI32" i="14"/>
  <c r="AH32" i="14"/>
  <c r="AF32" i="14"/>
  <c r="AE32" i="14"/>
  <c r="AC32" i="14"/>
  <c r="AA32" i="14"/>
  <c r="Z32" i="14"/>
  <c r="Y32" i="14"/>
  <c r="X32" i="14"/>
  <c r="W32" i="14"/>
  <c r="P32" i="14"/>
  <c r="O32" i="14"/>
  <c r="AD32" i="14" s="1"/>
  <c r="N32" i="14"/>
  <c r="M32" i="14"/>
  <c r="AP31" i="14"/>
  <c r="AI31" i="14"/>
  <c r="AH31" i="14"/>
  <c r="AF31" i="14"/>
  <c r="AE31" i="14"/>
  <c r="AB31" i="14"/>
  <c r="AA31" i="14"/>
  <c r="Z31" i="14"/>
  <c r="Y31" i="14"/>
  <c r="X31" i="14"/>
  <c r="W31" i="14"/>
  <c r="P31" i="14"/>
  <c r="O31" i="14"/>
  <c r="N31" i="14"/>
  <c r="M31" i="14"/>
  <c r="AQ30" i="14"/>
  <c r="AP30" i="14"/>
  <c r="AI30" i="14"/>
  <c r="AN30" i="14" s="1"/>
  <c r="AH30" i="14"/>
  <c r="AF30" i="14"/>
  <c r="AE30" i="14"/>
  <c r="AA30" i="14"/>
  <c r="Z30" i="14"/>
  <c r="Y30" i="14"/>
  <c r="X30" i="14"/>
  <c r="W30" i="14"/>
  <c r="P30" i="14"/>
  <c r="O30" i="14"/>
  <c r="AD30" i="14" s="1"/>
  <c r="N30" i="14"/>
  <c r="AO30" i="14" s="1"/>
  <c r="M30" i="14"/>
  <c r="AR29" i="14"/>
  <c r="AQ29" i="14"/>
  <c r="AP29" i="14"/>
  <c r="AN29" i="14"/>
  <c r="AI29" i="14"/>
  <c r="AJ29" i="14" s="1"/>
  <c r="AH29" i="14"/>
  <c r="AF29" i="14"/>
  <c r="AE29" i="14"/>
  <c r="AD29" i="14"/>
  <c r="AB29" i="14"/>
  <c r="AA29" i="14"/>
  <c r="Z29" i="14"/>
  <c r="Y29" i="14"/>
  <c r="X29" i="14"/>
  <c r="W29" i="14"/>
  <c r="P29" i="14"/>
  <c r="O29" i="14"/>
  <c r="N29" i="14"/>
  <c r="M29" i="14"/>
  <c r="AR28" i="14"/>
  <c r="AQ28" i="14"/>
  <c r="AN28" i="14"/>
  <c r="AI28" i="14"/>
  <c r="AH28" i="14"/>
  <c r="AF28" i="14"/>
  <c r="AE28" i="14"/>
  <c r="AD28" i="14"/>
  <c r="AC28" i="14"/>
  <c r="AB28" i="14"/>
  <c r="AA28" i="14"/>
  <c r="Z28" i="14"/>
  <c r="Y28" i="14"/>
  <c r="X28" i="14"/>
  <c r="W28" i="14"/>
  <c r="P28" i="14"/>
  <c r="O28" i="14"/>
  <c r="N28" i="14"/>
  <c r="M28" i="14"/>
  <c r="AR27" i="14"/>
  <c r="AP27" i="14"/>
  <c r="AN27" i="14"/>
  <c r="AI27" i="14"/>
  <c r="AJ27" i="14" s="1"/>
  <c r="AH27" i="14"/>
  <c r="AF27" i="14"/>
  <c r="AE27" i="14"/>
  <c r="AD27" i="14"/>
  <c r="AB27" i="14"/>
  <c r="AA27" i="14"/>
  <c r="Z27" i="14"/>
  <c r="Y27" i="14"/>
  <c r="X27" i="14"/>
  <c r="W27" i="14"/>
  <c r="P27" i="14"/>
  <c r="O27" i="14"/>
  <c r="AQ27" i="14" s="1"/>
  <c r="N27" i="14"/>
  <c r="M27" i="14"/>
  <c r="AT26" i="14"/>
  <c r="AQ26" i="14"/>
  <c r="AP26" i="14"/>
  <c r="AN26" i="14"/>
  <c r="AI26" i="14"/>
  <c r="AH26" i="14"/>
  <c r="AF26" i="14"/>
  <c r="AE26" i="14"/>
  <c r="AD26" i="14"/>
  <c r="AA26" i="14"/>
  <c r="Z26" i="14"/>
  <c r="Y26" i="14"/>
  <c r="X26" i="14"/>
  <c r="W26" i="14"/>
  <c r="P26" i="14"/>
  <c r="O26" i="14"/>
  <c r="N26" i="14"/>
  <c r="M26" i="14"/>
  <c r="AP25" i="14"/>
  <c r="AO25" i="14"/>
  <c r="AI25" i="14"/>
  <c r="AH25" i="14"/>
  <c r="AF25" i="14"/>
  <c r="AE25" i="14"/>
  <c r="AA25" i="14"/>
  <c r="Z25" i="14"/>
  <c r="Y25" i="14"/>
  <c r="X25" i="14"/>
  <c r="W25" i="14"/>
  <c r="P25" i="14"/>
  <c r="O25" i="14"/>
  <c r="AQ25" i="14" s="1"/>
  <c r="N25" i="14"/>
  <c r="AC25" i="14" s="1"/>
  <c r="M25" i="14"/>
  <c r="AR25" i="14" s="1"/>
  <c r="AQ24" i="14"/>
  <c r="AP24" i="14"/>
  <c r="AI24" i="14"/>
  <c r="AN24" i="14" s="1"/>
  <c r="AH24" i="14"/>
  <c r="AF24" i="14"/>
  <c r="AE24" i="14"/>
  <c r="AC24" i="14"/>
  <c r="AA24" i="14"/>
  <c r="Z24" i="14"/>
  <c r="Y24" i="14"/>
  <c r="X24" i="14"/>
  <c r="W24" i="14"/>
  <c r="P24" i="14"/>
  <c r="O24" i="14"/>
  <c r="AD24" i="14" s="1"/>
  <c r="N24" i="14"/>
  <c r="M24" i="14"/>
  <c r="AR24" i="14" s="1"/>
  <c r="AR23" i="14"/>
  <c r="AP23" i="14"/>
  <c r="AN23" i="14"/>
  <c r="AI23" i="14"/>
  <c r="AJ23" i="14" s="1"/>
  <c r="AH23" i="14"/>
  <c r="AF23" i="14"/>
  <c r="AE23" i="14"/>
  <c r="AB23" i="14"/>
  <c r="AA23" i="14"/>
  <c r="Z23" i="14"/>
  <c r="Y23" i="14"/>
  <c r="X23" i="14"/>
  <c r="W23" i="14"/>
  <c r="P23" i="14"/>
  <c r="O23" i="14"/>
  <c r="N23" i="14"/>
  <c r="M23" i="14"/>
  <c r="AR22" i="14"/>
  <c r="AN22" i="14"/>
  <c r="AI22" i="14"/>
  <c r="AH22" i="14"/>
  <c r="AF22" i="14"/>
  <c r="AE22" i="14"/>
  <c r="AC22" i="14"/>
  <c r="AB22" i="14"/>
  <c r="AA22" i="14"/>
  <c r="Z22" i="14"/>
  <c r="Y22" i="14"/>
  <c r="X22" i="14"/>
  <c r="W22" i="14"/>
  <c r="P22" i="14"/>
  <c r="O22" i="14"/>
  <c r="AQ22" i="14" s="1"/>
  <c r="N22" i="14"/>
  <c r="M22" i="14"/>
  <c r="AI21" i="14"/>
  <c r="AH21" i="14"/>
  <c r="W21" i="14"/>
  <c r="AV20" i="14"/>
  <c r="AT20" i="14"/>
  <c r="AP20" i="14"/>
  <c r="AO20" i="14"/>
  <c r="AI20" i="14"/>
  <c r="AN20" i="14" s="1"/>
  <c r="AH20" i="14"/>
  <c r="AF20" i="14"/>
  <c r="AE20" i="14"/>
  <c r="AC20" i="14"/>
  <c r="AB20" i="14"/>
  <c r="AA20" i="14"/>
  <c r="Z20" i="14"/>
  <c r="Y20" i="14"/>
  <c r="X20" i="14"/>
  <c r="W20" i="14"/>
  <c r="P20" i="14"/>
  <c r="O20" i="14"/>
  <c r="AD20" i="14" s="1"/>
  <c r="N20" i="14"/>
  <c r="M20" i="14"/>
  <c r="AR20" i="14" s="1"/>
  <c r="AR19" i="14"/>
  <c r="AQ19" i="14"/>
  <c r="AP19" i="14"/>
  <c r="AN19" i="14"/>
  <c r="AI19" i="14"/>
  <c r="AJ19" i="14" s="1"/>
  <c r="AH19" i="14"/>
  <c r="AF19" i="14"/>
  <c r="AE19" i="14"/>
  <c r="AB19" i="14"/>
  <c r="AA19" i="14"/>
  <c r="Z19" i="14"/>
  <c r="Y19" i="14"/>
  <c r="X19" i="14"/>
  <c r="W19" i="14"/>
  <c r="P19" i="14"/>
  <c r="O19" i="14"/>
  <c r="AD19" i="14" s="1"/>
  <c r="N19" i="14"/>
  <c r="M19" i="14"/>
  <c r="AI18" i="14"/>
  <c r="AH18" i="14"/>
  <c r="W18" i="14"/>
  <c r="AQ17" i="14"/>
  <c r="AP17" i="14"/>
  <c r="AI17" i="14"/>
  <c r="AH17" i="14"/>
  <c r="AF17" i="14"/>
  <c r="AE17" i="14"/>
  <c r="AB17" i="14"/>
  <c r="AA17" i="14"/>
  <c r="Z17" i="14"/>
  <c r="Y17" i="14"/>
  <c r="X17" i="14"/>
  <c r="W17" i="14"/>
  <c r="P17" i="14"/>
  <c r="O17" i="14"/>
  <c r="AD17" i="14" s="1"/>
  <c r="N17" i="14"/>
  <c r="AC17" i="14" s="1"/>
  <c r="M17" i="14"/>
  <c r="AR17" i="14" s="1"/>
  <c r="AQ16" i="14"/>
  <c r="AP16" i="14"/>
  <c r="AI16" i="14"/>
  <c r="AH16" i="14"/>
  <c r="AF16" i="14"/>
  <c r="AE16" i="14"/>
  <c r="AC16" i="14"/>
  <c r="AA16" i="14"/>
  <c r="Z16" i="14"/>
  <c r="Y16" i="14"/>
  <c r="X16" i="14"/>
  <c r="W16" i="14"/>
  <c r="P16" i="14"/>
  <c r="O16" i="14"/>
  <c r="AD16" i="14" s="1"/>
  <c r="N16" i="14"/>
  <c r="AO16" i="14" s="1"/>
  <c r="AV16" i="14" s="1"/>
  <c r="M16" i="14"/>
  <c r="AB16" i="14" s="1"/>
  <c r="AP15" i="14"/>
  <c r="AN15" i="14"/>
  <c r="AI15" i="14"/>
  <c r="AT15" i="14" s="1"/>
  <c r="AH15" i="14"/>
  <c r="AF15" i="14"/>
  <c r="AE15" i="14"/>
  <c r="AD15" i="14"/>
  <c r="AB15" i="14"/>
  <c r="AA15" i="14"/>
  <c r="Z15" i="14"/>
  <c r="Y15" i="14"/>
  <c r="X15" i="14"/>
  <c r="W15" i="14"/>
  <c r="P15" i="14"/>
  <c r="O15" i="14"/>
  <c r="N15" i="14"/>
  <c r="AC15" i="14" s="1"/>
  <c r="M15" i="14"/>
  <c r="AI14" i="14"/>
  <c r="AH14" i="14"/>
  <c r="W14" i="14"/>
  <c r="AQ13" i="14"/>
  <c r="AP13" i="14"/>
  <c r="AI13" i="14"/>
  <c r="AH13" i="14"/>
  <c r="AF13" i="14"/>
  <c r="AE13" i="14"/>
  <c r="AD13" i="14"/>
  <c r="AA13" i="14"/>
  <c r="Z13" i="14"/>
  <c r="Y13" i="14"/>
  <c r="X13" i="14"/>
  <c r="W13" i="14"/>
  <c r="P13" i="14"/>
  <c r="O13" i="14"/>
  <c r="N13" i="14"/>
  <c r="AC13" i="14" s="1"/>
  <c r="M13" i="14"/>
  <c r="AT12" i="14"/>
  <c r="AP12" i="14"/>
  <c r="AO12" i="14"/>
  <c r="AV12" i="14" s="1"/>
  <c r="AI12" i="14"/>
  <c r="AH12" i="14"/>
  <c r="AF12" i="14"/>
  <c r="AE12" i="14"/>
  <c r="AC12" i="14"/>
  <c r="AA12" i="14"/>
  <c r="Z12" i="14"/>
  <c r="Y12" i="14"/>
  <c r="X12" i="14"/>
  <c r="W12" i="14"/>
  <c r="P12" i="14"/>
  <c r="O12" i="14"/>
  <c r="N12" i="14"/>
  <c r="M12" i="14"/>
  <c r="AR12" i="14" s="1"/>
  <c r="AU11" i="14"/>
  <c r="AQ11" i="14"/>
  <c r="AP11" i="14"/>
  <c r="AI11" i="14"/>
  <c r="AN11" i="14" s="1"/>
  <c r="AH11" i="14"/>
  <c r="AF11" i="14"/>
  <c r="AE11" i="14"/>
  <c r="AD11" i="14"/>
  <c r="AB11" i="14"/>
  <c r="AA11" i="14"/>
  <c r="Z11" i="14"/>
  <c r="Y11" i="14"/>
  <c r="X11" i="14"/>
  <c r="W11" i="14"/>
  <c r="P11" i="14"/>
  <c r="O11" i="14"/>
  <c r="N11" i="14"/>
  <c r="AO11" i="14" s="1"/>
  <c r="AV11" i="14" s="1"/>
  <c r="M11" i="14"/>
  <c r="AI10" i="14"/>
  <c r="AH10" i="14"/>
  <c r="W10" i="14"/>
  <c r="AU9" i="14"/>
  <c r="AP9" i="14"/>
  <c r="AO9" i="14"/>
  <c r="AI9" i="14"/>
  <c r="AH9" i="14"/>
  <c r="AF9" i="14"/>
  <c r="AE9" i="14"/>
  <c r="AA9" i="14"/>
  <c r="Z9" i="14"/>
  <c r="Y9" i="14"/>
  <c r="X9" i="14"/>
  <c r="W9" i="14"/>
  <c r="P9" i="14"/>
  <c r="O9" i="14"/>
  <c r="AQ9" i="14" s="1"/>
  <c r="N9" i="14"/>
  <c r="AC9" i="14" s="1"/>
  <c r="M9" i="14"/>
  <c r="AR9" i="14" s="1"/>
  <c r="AT8" i="14"/>
  <c r="AQ8" i="14"/>
  <c r="AP8" i="14"/>
  <c r="AJ8" i="14"/>
  <c r="AI8" i="14"/>
  <c r="AN8" i="14" s="1"/>
  <c r="AH8" i="14"/>
  <c r="AF8" i="14"/>
  <c r="AE8" i="14"/>
  <c r="AC8" i="14"/>
  <c r="AA8" i="14"/>
  <c r="Z8" i="14"/>
  <c r="Y8" i="14"/>
  <c r="X8" i="14"/>
  <c r="W8" i="14"/>
  <c r="P8" i="14"/>
  <c r="O8" i="14"/>
  <c r="AD8" i="14" s="1"/>
  <c r="N8" i="14"/>
  <c r="M8" i="14"/>
  <c r="AR7" i="14"/>
  <c r="AQ7" i="14"/>
  <c r="AP7" i="14"/>
  <c r="AN7" i="14"/>
  <c r="AI7" i="14"/>
  <c r="AJ7" i="14" s="1"/>
  <c r="AH7" i="14"/>
  <c r="AF7" i="14"/>
  <c r="AE7" i="14"/>
  <c r="AD7" i="14"/>
  <c r="AB7" i="14"/>
  <c r="AA7" i="14"/>
  <c r="Z7" i="14"/>
  <c r="Y7" i="14"/>
  <c r="X7" i="14"/>
  <c r="W7" i="14"/>
  <c r="P7" i="14"/>
  <c r="O7" i="14"/>
  <c r="N7" i="14"/>
  <c r="M7" i="14"/>
  <c r="AP6" i="14"/>
  <c r="AO6" i="14"/>
  <c r="AV6" i="14" s="1"/>
  <c r="AI6" i="14"/>
  <c r="AH6" i="14"/>
  <c r="AF6" i="14"/>
  <c r="AE6" i="14"/>
  <c r="AC6" i="14"/>
  <c r="AB6" i="14"/>
  <c r="AA6" i="14"/>
  <c r="Z6" i="14"/>
  <c r="Y6" i="14"/>
  <c r="X6" i="14"/>
  <c r="W6" i="14"/>
  <c r="P6" i="14"/>
  <c r="O6" i="14"/>
  <c r="AD6" i="14" s="1"/>
  <c r="N6" i="14"/>
  <c r="M6" i="14"/>
  <c r="AR6" i="14" s="1"/>
  <c r="AI5" i="14"/>
  <c r="AH5" i="14"/>
  <c r="W5" i="14"/>
  <c r="AI4" i="14"/>
  <c r="AQ3" i="14"/>
  <c r="AP3" i="14"/>
  <c r="AI3" i="14"/>
  <c r="AH3" i="14"/>
  <c r="AN2" i="14"/>
  <c r="AN32" i="14" s="1"/>
  <c r="AM2" i="14"/>
  <c r="AL2" i="14"/>
  <c r="AK2" i="14"/>
  <c r="AJ2" i="14"/>
  <c r="AA2" i="14"/>
  <c r="A2" i="14"/>
  <c r="AU1" i="14"/>
  <c r="AU17" i="14" s="1"/>
  <c r="AR1" i="14"/>
  <c r="AR15" i="14" s="1"/>
  <c r="AQ1" i="14"/>
  <c r="AQ15" i="14" s="1"/>
  <c r="AP1" i="14"/>
  <c r="AP34" i="14" s="1"/>
  <c r="AO1" i="14"/>
  <c r="AH1" i="14"/>
  <c r="AH2" i="14" s="1"/>
  <c r="AA1" i="14"/>
  <c r="A1" i="14"/>
  <c r="AJ1" i="14" s="1"/>
  <c r="AU28" i="13"/>
  <c r="AJ28" i="13"/>
  <c r="AI28" i="13"/>
  <c r="AN28" i="13" s="1"/>
  <c r="AH28" i="13"/>
  <c r="AF28" i="13"/>
  <c r="AE28" i="13"/>
  <c r="AD28" i="13"/>
  <c r="AC28" i="13"/>
  <c r="AB28" i="13"/>
  <c r="AA28" i="13"/>
  <c r="Z28" i="13"/>
  <c r="Y28" i="13"/>
  <c r="X28" i="13"/>
  <c r="W28" i="13"/>
  <c r="P28" i="13"/>
  <c r="O28" i="13"/>
  <c r="N28" i="13"/>
  <c r="AO28" i="13" s="1"/>
  <c r="M28" i="13"/>
  <c r="AT27" i="13"/>
  <c r="AI27" i="13"/>
  <c r="AN27" i="13" s="1"/>
  <c r="AH27" i="13"/>
  <c r="AF27" i="13"/>
  <c r="AE27" i="13"/>
  <c r="AD27" i="13"/>
  <c r="AC27" i="13"/>
  <c r="AB27" i="13"/>
  <c r="AA27" i="13"/>
  <c r="Z27" i="13"/>
  <c r="Y27" i="13"/>
  <c r="X27" i="13"/>
  <c r="W27" i="13"/>
  <c r="P27" i="13"/>
  <c r="O27" i="13"/>
  <c r="N27" i="13"/>
  <c r="M27" i="13"/>
  <c r="AR27" i="13" s="1"/>
  <c r="AT26" i="13"/>
  <c r="AP26" i="13"/>
  <c r="AI26" i="13"/>
  <c r="AN26" i="13" s="1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N26" i="13"/>
  <c r="AO26" i="13" s="1"/>
  <c r="M26" i="13"/>
  <c r="AR26" i="13" s="1"/>
  <c r="AU25" i="13"/>
  <c r="AT25" i="13"/>
  <c r="AJ25" i="13"/>
  <c r="AI25" i="13"/>
  <c r="AH25" i="13"/>
  <c r="AF25" i="13"/>
  <c r="AE25" i="13"/>
  <c r="AC25" i="13"/>
  <c r="AA25" i="13"/>
  <c r="Z25" i="13"/>
  <c r="Y25" i="13"/>
  <c r="X25" i="13"/>
  <c r="W25" i="13"/>
  <c r="P25" i="13"/>
  <c r="O25" i="13"/>
  <c r="N25" i="13"/>
  <c r="AO25" i="13" s="1"/>
  <c r="M25" i="13"/>
  <c r="AR24" i="13"/>
  <c r="AI24" i="13"/>
  <c r="AH24" i="13"/>
  <c r="AF24" i="13"/>
  <c r="AE24" i="13"/>
  <c r="AD24" i="13"/>
  <c r="AA24" i="13"/>
  <c r="Z24" i="13"/>
  <c r="Y24" i="13"/>
  <c r="X24" i="13"/>
  <c r="W24" i="13"/>
  <c r="P24" i="13"/>
  <c r="O24" i="13"/>
  <c r="N24" i="13"/>
  <c r="M24" i="13"/>
  <c r="AB24" i="13" s="1"/>
  <c r="AT23" i="13"/>
  <c r="AP23" i="13"/>
  <c r="AI23" i="13"/>
  <c r="AH23" i="13"/>
  <c r="AF23" i="13"/>
  <c r="AE23" i="13"/>
  <c r="AA23" i="13"/>
  <c r="Z23" i="13"/>
  <c r="Y23" i="13"/>
  <c r="X23" i="13"/>
  <c r="W23" i="13"/>
  <c r="P23" i="13"/>
  <c r="O23" i="13"/>
  <c r="N23" i="13"/>
  <c r="M23" i="13"/>
  <c r="AI22" i="13"/>
  <c r="AH22" i="13"/>
  <c r="W22" i="13"/>
  <c r="AT21" i="13"/>
  <c r="AP21" i="13"/>
  <c r="AN21" i="13"/>
  <c r="AI21" i="13"/>
  <c r="AH21" i="13"/>
  <c r="AF21" i="13"/>
  <c r="AE21" i="13"/>
  <c r="AD21" i="13"/>
  <c r="AC21" i="13"/>
  <c r="AA21" i="13"/>
  <c r="Z21" i="13"/>
  <c r="Y21" i="13"/>
  <c r="X21" i="13"/>
  <c r="W21" i="13"/>
  <c r="P21" i="13"/>
  <c r="O21" i="13"/>
  <c r="N21" i="13"/>
  <c r="AO21" i="13" s="1"/>
  <c r="AV21" i="13" s="1"/>
  <c r="M21" i="13"/>
  <c r="AU20" i="13"/>
  <c r="AO20" i="13"/>
  <c r="AN20" i="13"/>
  <c r="AI20" i="13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N20" i="13"/>
  <c r="AC20" i="13" s="1"/>
  <c r="M20" i="13"/>
  <c r="AR20" i="13" s="1"/>
  <c r="AT19" i="13"/>
  <c r="AP19" i="13"/>
  <c r="AI19" i="13"/>
  <c r="AN19" i="13" s="1"/>
  <c r="AH19" i="13"/>
  <c r="AF19" i="13"/>
  <c r="AE19" i="13"/>
  <c r="AA19" i="13"/>
  <c r="Z19" i="13"/>
  <c r="Y19" i="13"/>
  <c r="X19" i="13"/>
  <c r="W19" i="13"/>
  <c r="P19" i="13"/>
  <c r="O19" i="13"/>
  <c r="N19" i="13"/>
  <c r="AO19" i="13" s="1"/>
  <c r="M19" i="13"/>
  <c r="AI18" i="13"/>
  <c r="AH18" i="13"/>
  <c r="W18" i="13"/>
  <c r="AU17" i="13"/>
  <c r="AT17" i="13"/>
  <c r="AP17" i="13"/>
  <c r="AN17" i="13"/>
  <c r="AI17" i="13"/>
  <c r="AH17" i="13"/>
  <c r="AF17" i="13"/>
  <c r="AE17" i="13"/>
  <c r="AD17" i="13"/>
  <c r="AC17" i="13"/>
  <c r="AA17" i="13"/>
  <c r="Z17" i="13"/>
  <c r="Y17" i="13"/>
  <c r="X17" i="13"/>
  <c r="W17" i="13"/>
  <c r="P17" i="13"/>
  <c r="O17" i="13"/>
  <c r="N17" i="13"/>
  <c r="AO17" i="13" s="1"/>
  <c r="AV17" i="13" s="1"/>
  <c r="M17" i="13"/>
  <c r="AU16" i="13"/>
  <c r="AO16" i="13"/>
  <c r="AN16" i="13"/>
  <c r="AI16" i="13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N16" i="13"/>
  <c r="AC16" i="13" s="1"/>
  <c r="M16" i="13"/>
  <c r="AR16" i="13" s="1"/>
  <c r="AT15" i="13"/>
  <c r="AP15" i="13"/>
  <c r="AI15" i="13"/>
  <c r="AN15" i="13" s="1"/>
  <c r="AH15" i="13"/>
  <c r="AF15" i="13"/>
  <c r="AE15" i="13"/>
  <c r="AA15" i="13"/>
  <c r="Z15" i="13"/>
  <c r="Y15" i="13"/>
  <c r="X15" i="13"/>
  <c r="W15" i="13"/>
  <c r="P15" i="13"/>
  <c r="O15" i="13"/>
  <c r="N15" i="13"/>
  <c r="M15" i="13"/>
  <c r="AI14" i="13"/>
  <c r="AH14" i="13"/>
  <c r="W14" i="13"/>
  <c r="AU13" i="13"/>
  <c r="AT13" i="13"/>
  <c r="AN13" i="13"/>
  <c r="AI13" i="13"/>
  <c r="AH13" i="13"/>
  <c r="AF13" i="13"/>
  <c r="AE13" i="13"/>
  <c r="AD13" i="13"/>
  <c r="AC13" i="13"/>
  <c r="AA13" i="13"/>
  <c r="Z13" i="13"/>
  <c r="Y13" i="13"/>
  <c r="X13" i="13"/>
  <c r="W13" i="13"/>
  <c r="P13" i="13"/>
  <c r="O13" i="13"/>
  <c r="N13" i="13"/>
  <c r="AO13" i="13" s="1"/>
  <c r="M13" i="13"/>
  <c r="AR13" i="13" s="1"/>
  <c r="AU12" i="13"/>
  <c r="AR12" i="13"/>
  <c r="AO12" i="13"/>
  <c r="AI12" i="13"/>
  <c r="AH12" i="13"/>
  <c r="AF12" i="13"/>
  <c r="AE12" i="13"/>
  <c r="AD12" i="13"/>
  <c r="AA12" i="13"/>
  <c r="Z12" i="13"/>
  <c r="Y12" i="13"/>
  <c r="X12" i="13"/>
  <c r="W12" i="13"/>
  <c r="P12" i="13"/>
  <c r="O12" i="13"/>
  <c r="N12" i="13"/>
  <c r="AC12" i="13" s="1"/>
  <c r="M12" i="13"/>
  <c r="AB12" i="13" s="1"/>
  <c r="AT11" i="13"/>
  <c r="AO11" i="13"/>
  <c r="AI11" i="13"/>
  <c r="AN11" i="13" s="1"/>
  <c r="AH11" i="13"/>
  <c r="AF11" i="13"/>
  <c r="AE11" i="13"/>
  <c r="AC11" i="13"/>
  <c r="AA11" i="13"/>
  <c r="Z11" i="13"/>
  <c r="Y11" i="13"/>
  <c r="X11" i="13"/>
  <c r="W11" i="13"/>
  <c r="P11" i="13"/>
  <c r="O11" i="13"/>
  <c r="N11" i="13"/>
  <c r="M11" i="13"/>
  <c r="AI10" i="13"/>
  <c r="AH10" i="13"/>
  <c r="W10" i="13"/>
  <c r="AU9" i="13"/>
  <c r="AT9" i="13"/>
  <c r="AN9" i="13"/>
  <c r="AJ9" i="13"/>
  <c r="AI9" i="13"/>
  <c r="AH9" i="13"/>
  <c r="AF9" i="13"/>
  <c r="AE9" i="13"/>
  <c r="AC9" i="13"/>
  <c r="AA9" i="13"/>
  <c r="Z9" i="13"/>
  <c r="Y9" i="13"/>
  <c r="X9" i="13"/>
  <c r="W9" i="13"/>
  <c r="P9" i="13"/>
  <c r="O9" i="13"/>
  <c r="AD9" i="13" s="1"/>
  <c r="N9" i="13"/>
  <c r="AO9" i="13" s="1"/>
  <c r="M9" i="13"/>
  <c r="AR9" i="13" s="1"/>
  <c r="AU8" i="13"/>
  <c r="AR8" i="13"/>
  <c r="AO8" i="13"/>
  <c r="AN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N8" i="13"/>
  <c r="AC8" i="13" s="1"/>
  <c r="M8" i="13"/>
  <c r="AR7" i="13"/>
  <c r="AO7" i="13"/>
  <c r="AI7" i="13"/>
  <c r="AN7" i="13" s="1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AC7" i="13" s="1"/>
  <c r="M7" i="13"/>
  <c r="AU6" i="13"/>
  <c r="AR6" i="13"/>
  <c r="AP6" i="13"/>
  <c r="AI6" i="13"/>
  <c r="AH6" i="13"/>
  <c r="AF6" i="13"/>
  <c r="AE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U3" i="13"/>
  <c r="AQ3" i="13"/>
  <c r="AO3" i="13"/>
  <c r="AI3" i="13"/>
  <c r="AH3" i="13"/>
  <c r="AN2" i="13"/>
  <c r="AN25" i="13" s="1"/>
  <c r="AM2" i="13"/>
  <c r="AL2" i="13"/>
  <c r="AK2" i="13"/>
  <c r="AJ2" i="13"/>
  <c r="AA2" i="13"/>
  <c r="A2" i="13"/>
  <c r="AU1" i="13"/>
  <c r="AU27" i="13" s="1"/>
  <c r="AR1" i="13"/>
  <c r="AQ1" i="13"/>
  <c r="AQ9" i="13" s="1"/>
  <c r="AP1" i="13"/>
  <c r="AP9" i="13" s="1"/>
  <c r="AO1" i="13"/>
  <c r="AO27" i="13" s="1"/>
  <c r="AA1" i="13"/>
  <c r="A1" i="13"/>
  <c r="AI35" i="12"/>
  <c r="AH35" i="12"/>
  <c r="AF35" i="12"/>
  <c r="AE35" i="12"/>
  <c r="AD35" i="12"/>
  <c r="AC35" i="12"/>
  <c r="AA35" i="12"/>
  <c r="Z35" i="12"/>
  <c r="Y35" i="12"/>
  <c r="X35" i="12"/>
  <c r="W35" i="12"/>
  <c r="P35" i="12"/>
  <c r="O35" i="12"/>
  <c r="AQ35" i="12" s="1"/>
  <c r="N35" i="12"/>
  <c r="M35" i="12"/>
  <c r="AT34" i="12"/>
  <c r="AJ34" i="12"/>
  <c r="AI34" i="12"/>
  <c r="AH34" i="12"/>
  <c r="AF34" i="12"/>
  <c r="AE34" i="12"/>
  <c r="AD34" i="12"/>
  <c r="AC34" i="12"/>
  <c r="AA34" i="12"/>
  <c r="Z34" i="12"/>
  <c r="Y34" i="12"/>
  <c r="X34" i="12"/>
  <c r="W34" i="12"/>
  <c r="P34" i="12"/>
  <c r="O34" i="12"/>
  <c r="AQ34" i="12" s="1"/>
  <c r="N34" i="12"/>
  <c r="M34" i="12"/>
  <c r="AI33" i="12"/>
  <c r="AH33" i="12"/>
  <c r="W33" i="12"/>
  <c r="AU32" i="12"/>
  <c r="AN32" i="12"/>
  <c r="AI32" i="12"/>
  <c r="AT32" i="12" s="1"/>
  <c r="AH32" i="12"/>
  <c r="AF32" i="12"/>
  <c r="AE32" i="12"/>
  <c r="AD32" i="12"/>
  <c r="AC32" i="12"/>
  <c r="AB32" i="12"/>
  <c r="AA32" i="12"/>
  <c r="Z32" i="12"/>
  <c r="Y32" i="12"/>
  <c r="X32" i="12"/>
  <c r="W32" i="12"/>
  <c r="P32" i="12"/>
  <c r="O32" i="12"/>
  <c r="N32" i="12"/>
  <c r="M32" i="12"/>
  <c r="AI31" i="12"/>
  <c r="AH31" i="12"/>
  <c r="AF31" i="12"/>
  <c r="AE31" i="12"/>
  <c r="AD31" i="12"/>
  <c r="AC31" i="12"/>
  <c r="AA31" i="12"/>
  <c r="Z31" i="12"/>
  <c r="Y31" i="12"/>
  <c r="X31" i="12"/>
  <c r="W31" i="12"/>
  <c r="P31" i="12"/>
  <c r="O31" i="12"/>
  <c r="AQ31" i="12" s="1"/>
  <c r="N31" i="12"/>
  <c r="M31" i="12"/>
  <c r="AB31" i="12" s="1"/>
  <c r="AU30" i="12"/>
  <c r="AT30" i="12"/>
  <c r="AJ30" i="12"/>
  <c r="AI30" i="12"/>
  <c r="AH30" i="12"/>
  <c r="AF30" i="12"/>
  <c r="AE30" i="12"/>
  <c r="AD30" i="12"/>
  <c r="AA30" i="12"/>
  <c r="Z30" i="12"/>
  <c r="Y30" i="12"/>
  <c r="X30" i="12"/>
  <c r="W30" i="12"/>
  <c r="P30" i="12"/>
  <c r="O30" i="12"/>
  <c r="N30" i="12"/>
  <c r="M30" i="12"/>
  <c r="AU29" i="12"/>
  <c r="AN29" i="12"/>
  <c r="AI29" i="12"/>
  <c r="AT29" i="12" s="1"/>
  <c r="AH29" i="12"/>
  <c r="AF29" i="12"/>
  <c r="AE29" i="12"/>
  <c r="AA29" i="12"/>
  <c r="Z29" i="12"/>
  <c r="Y29" i="12"/>
  <c r="X29" i="12"/>
  <c r="W29" i="12"/>
  <c r="P29" i="12"/>
  <c r="O29" i="12"/>
  <c r="N29" i="12"/>
  <c r="AC29" i="12" s="1"/>
  <c r="M29" i="12"/>
  <c r="AI28" i="12"/>
  <c r="AH28" i="12"/>
  <c r="W28" i="12"/>
  <c r="AJ27" i="12"/>
  <c r="AI27" i="12"/>
  <c r="AH27" i="12"/>
  <c r="AF27" i="12"/>
  <c r="AE27" i="12"/>
  <c r="AD27" i="12"/>
  <c r="AC27" i="12"/>
  <c r="AB27" i="12"/>
  <c r="AA27" i="12"/>
  <c r="Z27" i="12"/>
  <c r="Y27" i="12"/>
  <c r="X27" i="12"/>
  <c r="W27" i="12"/>
  <c r="P27" i="12"/>
  <c r="O27" i="12"/>
  <c r="AQ27" i="12" s="1"/>
  <c r="N27" i="12"/>
  <c r="M27" i="12"/>
  <c r="AU26" i="12"/>
  <c r="AT26" i="12"/>
  <c r="AI26" i="12"/>
  <c r="AH26" i="12"/>
  <c r="AF26" i="12"/>
  <c r="AE26" i="12"/>
  <c r="AD26" i="12"/>
  <c r="AA26" i="12"/>
  <c r="Z26" i="12"/>
  <c r="Y26" i="12"/>
  <c r="X26" i="12"/>
  <c r="W26" i="12"/>
  <c r="P26" i="12"/>
  <c r="O26" i="12"/>
  <c r="N26" i="12"/>
  <c r="M26" i="12"/>
  <c r="AI25" i="12"/>
  <c r="AH25" i="12"/>
  <c r="W25" i="12"/>
  <c r="AQ24" i="12"/>
  <c r="AP24" i="12"/>
  <c r="AO24" i="12"/>
  <c r="AV24" i="12" s="1"/>
  <c r="AI24" i="12"/>
  <c r="AH24" i="12"/>
  <c r="AF24" i="12"/>
  <c r="AE24" i="12"/>
  <c r="AD24" i="12"/>
  <c r="AC24" i="12"/>
  <c r="AB24" i="12"/>
  <c r="AA24" i="12"/>
  <c r="Z24" i="12"/>
  <c r="Y24" i="12"/>
  <c r="X24" i="12"/>
  <c r="W24" i="12"/>
  <c r="P24" i="12"/>
  <c r="O24" i="12"/>
  <c r="N24" i="12"/>
  <c r="M24" i="12"/>
  <c r="AJ23" i="12"/>
  <c r="AI23" i="12"/>
  <c r="AH23" i="12"/>
  <c r="AF23" i="12"/>
  <c r="AE23" i="12"/>
  <c r="AD23" i="12"/>
  <c r="AC23" i="12"/>
  <c r="AB23" i="12"/>
  <c r="AA23" i="12"/>
  <c r="Z23" i="12"/>
  <c r="Y23" i="12"/>
  <c r="X23" i="12"/>
  <c r="W23" i="12"/>
  <c r="P23" i="12"/>
  <c r="O23" i="12"/>
  <c r="AQ23" i="12" s="1"/>
  <c r="N23" i="12"/>
  <c r="M23" i="12"/>
  <c r="AU22" i="12"/>
  <c r="AT22" i="12"/>
  <c r="AP22" i="12"/>
  <c r="AN22" i="12"/>
  <c r="AI22" i="12"/>
  <c r="AH22" i="12"/>
  <c r="AF22" i="12"/>
  <c r="AE22" i="12"/>
  <c r="AD22" i="12"/>
  <c r="AA22" i="12"/>
  <c r="Z22" i="12"/>
  <c r="Y22" i="12"/>
  <c r="X22" i="12"/>
  <c r="W22" i="12"/>
  <c r="P22" i="12"/>
  <c r="O22" i="12"/>
  <c r="N22" i="12"/>
  <c r="AO22" i="12" s="1"/>
  <c r="AV22" i="12" s="1"/>
  <c r="M22" i="12"/>
  <c r="AU21" i="12"/>
  <c r="AI21" i="12"/>
  <c r="AT21" i="12" s="1"/>
  <c r="AH21" i="12"/>
  <c r="AF21" i="12"/>
  <c r="AE21" i="12"/>
  <c r="AA21" i="12"/>
  <c r="Z21" i="12"/>
  <c r="Y21" i="12"/>
  <c r="X21" i="12"/>
  <c r="W21" i="12"/>
  <c r="P21" i="12"/>
  <c r="O21" i="12"/>
  <c r="AQ21" i="12" s="1"/>
  <c r="N21" i="12"/>
  <c r="AC21" i="12" s="1"/>
  <c r="M21" i="12"/>
  <c r="AI20" i="12"/>
  <c r="AH20" i="12"/>
  <c r="W20" i="12"/>
  <c r="AT19" i="12"/>
  <c r="AO19" i="12"/>
  <c r="AI19" i="12"/>
  <c r="AH19" i="12"/>
  <c r="AF19" i="12"/>
  <c r="AE19" i="12"/>
  <c r="AD19" i="12"/>
  <c r="AC19" i="12"/>
  <c r="AA19" i="12"/>
  <c r="Z19" i="12"/>
  <c r="Y19" i="12"/>
  <c r="X19" i="12"/>
  <c r="W19" i="12"/>
  <c r="P19" i="12"/>
  <c r="O19" i="12"/>
  <c r="AQ19" i="12" s="1"/>
  <c r="N19" i="12"/>
  <c r="M19" i="12"/>
  <c r="AB19" i="12" s="1"/>
  <c r="AU18" i="12"/>
  <c r="AT18" i="12"/>
  <c r="AJ18" i="12"/>
  <c r="AI18" i="12"/>
  <c r="AH18" i="12"/>
  <c r="AF18" i="12"/>
  <c r="AE18" i="12"/>
  <c r="AD18" i="12"/>
  <c r="AA18" i="12"/>
  <c r="Z18" i="12"/>
  <c r="Y18" i="12"/>
  <c r="X18" i="12"/>
  <c r="W18" i="12"/>
  <c r="P18" i="12"/>
  <c r="O18" i="12"/>
  <c r="N18" i="12"/>
  <c r="M18" i="12"/>
  <c r="AU17" i="12"/>
  <c r="AN17" i="12"/>
  <c r="AI17" i="12"/>
  <c r="AT17" i="12" s="1"/>
  <c r="AH17" i="12"/>
  <c r="AF17" i="12"/>
  <c r="AE17" i="12"/>
  <c r="AA17" i="12"/>
  <c r="Z17" i="12"/>
  <c r="Y17" i="12"/>
  <c r="X17" i="12"/>
  <c r="W17" i="12"/>
  <c r="P17" i="12"/>
  <c r="O17" i="12"/>
  <c r="N17" i="12"/>
  <c r="AC17" i="12" s="1"/>
  <c r="M17" i="12"/>
  <c r="AO16" i="12"/>
  <c r="AI16" i="12"/>
  <c r="AH16" i="12"/>
  <c r="AF16" i="12"/>
  <c r="AE16" i="12"/>
  <c r="AB16" i="12"/>
  <c r="AA16" i="12"/>
  <c r="Z16" i="12"/>
  <c r="Y16" i="12"/>
  <c r="X16" i="12"/>
  <c r="W16" i="12"/>
  <c r="P16" i="12"/>
  <c r="O16" i="12"/>
  <c r="AQ16" i="12" s="1"/>
  <c r="N16" i="12"/>
  <c r="AC16" i="12" s="1"/>
  <c r="M16" i="12"/>
  <c r="AT15" i="12"/>
  <c r="AQ15" i="12"/>
  <c r="AJ15" i="12"/>
  <c r="AI15" i="12"/>
  <c r="AH15" i="12"/>
  <c r="AF15" i="12"/>
  <c r="AE15" i="12"/>
  <c r="AC15" i="12"/>
  <c r="AB15" i="12"/>
  <c r="AA15" i="12"/>
  <c r="Z15" i="12"/>
  <c r="Y15" i="12"/>
  <c r="X15" i="12"/>
  <c r="W15" i="12"/>
  <c r="P15" i="12"/>
  <c r="O15" i="12"/>
  <c r="AD15" i="12" s="1"/>
  <c r="N15" i="12"/>
  <c r="M15" i="12"/>
  <c r="AI14" i="12"/>
  <c r="AH14" i="12"/>
  <c r="W14" i="12"/>
  <c r="AQ13" i="12"/>
  <c r="AO13" i="12"/>
  <c r="AI13" i="12"/>
  <c r="AT13" i="12" s="1"/>
  <c r="AH13" i="12"/>
  <c r="AF13" i="12"/>
  <c r="AE13" i="12"/>
  <c r="AD13" i="12"/>
  <c r="AA13" i="12"/>
  <c r="Z13" i="12"/>
  <c r="Y13" i="12"/>
  <c r="X13" i="12"/>
  <c r="W13" i="12"/>
  <c r="P13" i="12"/>
  <c r="O13" i="12"/>
  <c r="N13" i="12"/>
  <c r="AC13" i="12" s="1"/>
  <c r="M13" i="12"/>
  <c r="AP12" i="12"/>
  <c r="AI12" i="12"/>
  <c r="AH12" i="12"/>
  <c r="AF12" i="12"/>
  <c r="AE12" i="12"/>
  <c r="AB12" i="12"/>
  <c r="AA12" i="12"/>
  <c r="Z12" i="12"/>
  <c r="Y12" i="12"/>
  <c r="X12" i="12"/>
  <c r="W12" i="12"/>
  <c r="P12" i="12"/>
  <c r="O12" i="12"/>
  <c r="AQ12" i="12" s="1"/>
  <c r="N12" i="12"/>
  <c r="M12" i="12"/>
  <c r="AI11" i="12"/>
  <c r="AH11" i="12"/>
  <c r="W11" i="12"/>
  <c r="AU10" i="12"/>
  <c r="AT10" i="12"/>
  <c r="AN10" i="12"/>
  <c r="AJ10" i="12"/>
  <c r="AI10" i="12"/>
  <c r="AH10" i="12"/>
  <c r="AF10" i="12"/>
  <c r="AE10" i="12"/>
  <c r="AD10" i="12"/>
  <c r="AC10" i="12"/>
  <c r="AA10" i="12"/>
  <c r="Z10" i="12"/>
  <c r="Y10" i="12"/>
  <c r="X10" i="12"/>
  <c r="W10" i="12"/>
  <c r="P10" i="12"/>
  <c r="O10" i="12"/>
  <c r="AQ10" i="12" s="1"/>
  <c r="N10" i="12"/>
  <c r="M10" i="12"/>
  <c r="AU9" i="12"/>
  <c r="AQ9" i="12"/>
  <c r="AP9" i="12"/>
  <c r="AI9" i="12"/>
  <c r="AT9" i="12" s="1"/>
  <c r="AH9" i="12"/>
  <c r="AF9" i="12"/>
  <c r="AE9" i="12"/>
  <c r="AA9" i="12"/>
  <c r="Z9" i="12"/>
  <c r="Y9" i="12"/>
  <c r="X9" i="12"/>
  <c r="W9" i="12"/>
  <c r="P9" i="12"/>
  <c r="O9" i="12"/>
  <c r="AD9" i="12" s="1"/>
  <c r="N9" i="12"/>
  <c r="AC9" i="12" s="1"/>
  <c r="M9" i="12"/>
  <c r="AI8" i="12"/>
  <c r="AH8" i="12"/>
  <c r="AF8" i="12"/>
  <c r="AE8" i="12"/>
  <c r="AA8" i="12"/>
  <c r="Z8" i="12"/>
  <c r="Y8" i="12"/>
  <c r="X8" i="12"/>
  <c r="W8" i="12"/>
  <c r="P8" i="12"/>
  <c r="O8" i="12"/>
  <c r="N8" i="12"/>
  <c r="AC8" i="12" s="1"/>
  <c r="M8" i="12"/>
  <c r="AB8" i="12" s="1"/>
  <c r="AQ7" i="12"/>
  <c r="AP7" i="12"/>
  <c r="AN7" i="12"/>
  <c r="AI7" i="12"/>
  <c r="AJ7" i="12" s="1"/>
  <c r="AH7" i="12"/>
  <c r="AF7" i="12"/>
  <c r="AE7" i="12"/>
  <c r="AD7" i="12"/>
  <c r="AB7" i="12"/>
  <c r="AA7" i="12"/>
  <c r="Z7" i="12"/>
  <c r="Y7" i="12"/>
  <c r="X7" i="12"/>
  <c r="W7" i="12"/>
  <c r="P7" i="12"/>
  <c r="O7" i="12"/>
  <c r="N7" i="12"/>
  <c r="M7" i="12"/>
  <c r="AQ6" i="12"/>
  <c r="AN6" i="12"/>
  <c r="AI6" i="12"/>
  <c r="AJ6" i="12" s="1"/>
  <c r="AH6" i="12"/>
  <c r="AF6" i="12"/>
  <c r="AE6" i="12"/>
  <c r="AD6" i="12"/>
  <c r="AC6" i="12"/>
  <c r="AA6" i="12"/>
  <c r="Z6" i="12"/>
  <c r="Y6" i="12"/>
  <c r="X6" i="12"/>
  <c r="W6" i="12"/>
  <c r="P6" i="12"/>
  <c r="O6" i="12"/>
  <c r="N6" i="12"/>
  <c r="M6" i="12"/>
  <c r="AB6" i="12" s="1"/>
  <c r="AI5" i="12"/>
  <c r="AH5" i="12"/>
  <c r="W5" i="12"/>
  <c r="AI4" i="12"/>
  <c r="AQ3" i="12"/>
  <c r="AP3" i="12"/>
  <c r="AI3" i="12"/>
  <c r="AH3" i="12"/>
  <c r="AN2" i="12"/>
  <c r="AN26" i="12" s="1"/>
  <c r="AM2" i="12"/>
  <c r="AL2" i="12"/>
  <c r="AK2" i="12"/>
  <c r="AJ2" i="12"/>
  <c r="AJ26" i="12" s="1"/>
  <c r="AA2" i="12"/>
  <c r="A2" i="12"/>
  <c r="AU1" i="12"/>
  <c r="AR1" i="12"/>
  <c r="AR31" i="12" s="1"/>
  <c r="AQ1" i="12"/>
  <c r="AQ32" i="12" s="1"/>
  <c r="AP1" i="12"/>
  <c r="AP26" i="12" s="1"/>
  <c r="AO1" i="12"/>
  <c r="AO32" i="12" s="1"/>
  <c r="AJ1" i="12"/>
  <c r="AH1" i="12"/>
  <c r="AH2" i="12" s="1"/>
  <c r="AA1" i="12"/>
  <c r="A1" i="12"/>
  <c r="AT55" i="11"/>
  <c r="AQ55" i="11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AD55" i="11" s="1"/>
  <c r="N55" i="11"/>
  <c r="M55" i="11"/>
  <c r="AI54" i="11"/>
  <c r="AH54" i="11"/>
  <c r="AF54" i="11"/>
  <c r="AE54" i="11"/>
  <c r="AD54" i="11"/>
  <c r="AC54" i="11"/>
  <c r="AB54" i="11"/>
  <c r="AA54" i="11"/>
  <c r="Z54" i="11"/>
  <c r="Y54" i="11"/>
  <c r="X54" i="11"/>
  <c r="W54" i="11"/>
  <c r="P54" i="11"/>
  <c r="O54" i="11"/>
  <c r="AQ54" i="11" s="1"/>
  <c r="N54" i="11"/>
  <c r="M54" i="11"/>
  <c r="AT53" i="11"/>
  <c r="AP53" i="11"/>
  <c r="AI53" i="11"/>
  <c r="AH53" i="11"/>
  <c r="AF53" i="11"/>
  <c r="AE53" i="11"/>
  <c r="AD53" i="11"/>
  <c r="AA53" i="11"/>
  <c r="Z53" i="11"/>
  <c r="Y53" i="11"/>
  <c r="X53" i="11"/>
  <c r="W53" i="11"/>
  <c r="P53" i="11"/>
  <c r="O53" i="11"/>
  <c r="N53" i="11"/>
  <c r="AO53" i="11" s="1"/>
  <c r="AV53" i="11" s="1"/>
  <c r="M53" i="11"/>
  <c r="AQ52" i="11"/>
  <c r="AP52" i="11"/>
  <c r="AI52" i="11"/>
  <c r="AT52" i="11" s="1"/>
  <c r="AH52" i="11"/>
  <c r="AF52" i="11"/>
  <c r="AE52" i="11"/>
  <c r="AA52" i="11"/>
  <c r="Z52" i="11"/>
  <c r="Y52" i="11"/>
  <c r="X52" i="11"/>
  <c r="W52" i="11"/>
  <c r="P52" i="11"/>
  <c r="O52" i="11"/>
  <c r="AD52" i="11" s="1"/>
  <c r="N52" i="11"/>
  <c r="M52" i="11"/>
  <c r="AI51" i="11"/>
  <c r="AH51" i="11"/>
  <c r="AF51" i="11"/>
  <c r="AE51" i="11"/>
  <c r="AA51" i="11"/>
  <c r="Z51" i="11"/>
  <c r="Y51" i="11"/>
  <c r="X51" i="11"/>
  <c r="W51" i="11"/>
  <c r="P51" i="11"/>
  <c r="O51" i="11"/>
  <c r="AD51" i="11" s="1"/>
  <c r="N51" i="11"/>
  <c r="AC51" i="11" s="1"/>
  <c r="M51" i="11"/>
  <c r="AB51" i="11" s="1"/>
  <c r="AP50" i="11"/>
  <c r="AI50" i="11"/>
  <c r="AH50" i="11"/>
  <c r="AF50" i="11"/>
  <c r="AE50" i="11"/>
  <c r="AB50" i="11"/>
  <c r="AA50" i="11"/>
  <c r="Z50" i="11"/>
  <c r="Y50" i="11"/>
  <c r="X50" i="11"/>
  <c r="W50" i="11"/>
  <c r="P50" i="11"/>
  <c r="O50" i="11"/>
  <c r="AD50" i="11" s="1"/>
  <c r="N50" i="11"/>
  <c r="AO50" i="11" s="1"/>
  <c r="AV50" i="11" s="1"/>
  <c r="M50" i="11"/>
  <c r="AT49" i="11"/>
  <c r="AP49" i="11"/>
  <c r="AO49" i="11"/>
  <c r="AV49" i="11" s="1"/>
  <c r="AJ49" i="11"/>
  <c r="AI49" i="11"/>
  <c r="AH49" i="11"/>
  <c r="AF49" i="11"/>
  <c r="AE49" i="11"/>
  <c r="AD49" i="11"/>
  <c r="AC49" i="11"/>
  <c r="AB49" i="11"/>
  <c r="AA49" i="11"/>
  <c r="Z49" i="11"/>
  <c r="Y49" i="11"/>
  <c r="X49" i="11"/>
  <c r="W49" i="11"/>
  <c r="P49" i="11"/>
  <c r="O49" i="11"/>
  <c r="AQ49" i="11" s="1"/>
  <c r="N49" i="11"/>
  <c r="M49" i="11"/>
  <c r="AP48" i="11"/>
  <c r="AO48" i="11"/>
  <c r="AV48" i="11" s="1"/>
  <c r="AI48" i="11"/>
  <c r="AH48" i="11"/>
  <c r="AF48" i="11"/>
  <c r="AE48" i="11"/>
  <c r="AD48" i="11"/>
  <c r="AC48" i="11"/>
  <c r="AB48" i="11"/>
  <c r="AA48" i="11"/>
  <c r="Z48" i="11"/>
  <c r="Y48" i="11"/>
  <c r="X48" i="11"/>
  <c r="W48" i="11"/>
  <c r="P48" i="11"/>
  <c r="O48" i="11"/>
  <c r="AQ48" i="11" s="1"/>
  <c r="N48" i="11"/>
  <c r="M48" i="11"/>
  <c r="AT47" i="11"/>
  <c r="AP47" i="11"/>
  <c r="AI47" i="11"/>
  <c r="AH47" i="11"/>
  <c r="AF47" i="11"/>
  <c r="AE47" i="11"/>
  <c r="AD47" i="11"/>
  <c r="AA47" i="11"/>
  <c r="Z47" i="11"/>
  <c r="Y47" i="11"/>
  <c r="X47" i="11"/>
  <c r="W47" i="11"/>
  <c r="P47" i="11"/>
  <c r="O47" i="11"/>
  <c r="N47" i="11"/>
  <c r="AO47" i="11" s="1"/>
  <c r="AV47" i="11" s="1"/>
  <c r="M47" i="11"/>
  <c r="AQ46" i="11"/>
  <c r="AP46" i="11"/>
  <c r="AI46" i="11"/>
  <c r="AT46" i="11" s="1"/>
  <c r="AH46" i="11"/>
  <c r="AF46" i="11"/>
  <c r="AE46" i="11"/>
  <c r="AA46" i="11"/>
  <c r="Z46" i="11"/>
  <c r="Y46" i="11"/>
  <c r="X46" i="11"/>
  <c r="W46" i="11"/>
  <c r="P46" i="11"/>
  <c r="O46" i="11"/>
  <c r="AD46" i="11" s="1"/>
  <c r="N46" i="11"/>
  <c r="M46" i="11"/>
  <c r="AI45" i="11"/>
  <c r="AH45" i="11"/>
  <c r="W45" i="11"/>
  <c r="AU44" i="11"/>
  <c r="AP44" i="11"/>
  <c r="AO44" i="11"/>
  <c r="AV44" i="11" s="1"/>
  <c r="AI44" i="11"/>
  <c r="AH44" i="11"/>
  <c r="AF44" i="11"/>
  <c r="AE44" i="11"/>
  <c r="AD44" i="11"/>
  <c r="AC44" i="11"/>
  <c r="AA44" i="11"/>
  <c r="Z44" i="11"/>
  <c r="Y44" i="11"/>
  <c r="X44" i="11"/>
  <c r="W44" i="11"/>
  <c r="P44" i="11"/>
  <c r="O44" i="11"/>
  <c r="AQ44" i="11" s="1"/>
  <c r="N44" i="11"/>
  <c r="M44" i="11"/>
  <c r="AT43" i="11"/>
  <c r="AP43" i="11"/>
  <c r="AO43" i="11"/>
  <c r="AV43" i="11" s="1"/>
  <c r="AI43" i="11"/>
  <c r="AH43" i="11"/>
  <c r="AF43" i="11"/>
  <c r="AE43" i="11"/>
  <c r="AD43" i="11"/>
  <c r="AA43" i="11"/>
  <c r="Z43" i="11"/>
  <c r="Y43" i="11"/>
  <c r="X43" i="11"/>
  <c r="W43" i="11"/>
  <c r="P43" i="11"/>
  <c r="O43" i="11"/>
  <c r="AQ43" i="11" s="1"/>
  <c r="N43" i="11"/>
  <c r="AC43" i="11" s="1"/>
  <c r="M43" i="11"/>
  <c r="AQ42" i="11"/>
  <c r="AP42" i="11"/>
  <c r="AI42" i="11"/>
  <c r="AT42" i="11" s="1"/>
  <c r="AH42" i="11"/>
  <c r="AF42" i="11"/>
  <c r="AE42" i="11"/>
  <c r="AA42" i="11"/>
  <c r="Z42" i="11"/>
  <c r="Y42" i="11"/>
  <c r="X42" i="11"/>
  <c r="W42" i="11"/>
  <c r="P42" i="11"/>
  <c r="O42" i="11"/>
  <c r="AD42" i="11" s="1"/>
  <c r="N42" i="11"/>
  <c r="M42" i="11"/>
  <c r="AP41" i="11"/>
  <c r="AO41" i="11"/>
  <c r="AV41" i="11" s="1"/>
  <c r="AI41" i="11"/>
  <c r="AH41" i="11"/>
  <c r="AF41" i="11"/>
  <c r="AE41" i="11"/>
  <c r="AB41" i="11"/>
  <c r="AA41" i="11"/>
  <c r="Z41" i="11"/>
  <c r="Y41" i="11"/>
  <c r="X41" i="11"/>
  <c r="W41" i="11"/>
  <c r="P41" i="11"/>
  <c r="O41" i="11"/>
  <c r="AD41" i="11" s="1"/>
  <c r="N41" i="11"/>
  <c r="AC41" i="11" s="1"/>
  <c r="M41" i="11"/>
  <c r="AI40" i="11"/>
  <c r="AH40" i="11"/>
  <c r="W40" i="11"/>
  <c r="AT39" i="11"/>
  <c r="AP39" i="11"/>
  <c r="AO39" i="11"/>
  <c r="AV39" i="11" s="1"/>
  <c r="AI39" i="11"/>
  <c r="AH39" i="11"/>
  <c r="AF39" i="11"/>
  <c r="AE39" i="11"/>
  <c r="AD39" i="11"/>
  <c r="AA39" i="11"/>
  <c r="Z39" i="11"/>
  <c r="Y39" i="11"/>
  <c r="X39" i="11"/>
  <c r="W39" i="11"/>
  <c r="P39" i="11"/>
  <c r="O39" i="11"/>
  <c r="AQ39" i="11" s="1"/>
  <c r="N39" i="11"/>
  <c r="AC39" i="11" s="1"/>
  <c r="M39" i="11"/>
  <c r="AI38" i="11"/>
  <c r="AH38" i="11"/>
  <c r="W38" i="11"/>
  <c r="AT37" i="11"/>
  <c r="AP37" i="11"/>
  <c r="AI37" i="11"/>
  <c r="AH37" i="11"/>
  <c r="AF37" i="11"/>
  <c r="AE37" i="11"/>
  <c r="AD37" i="11"/>
  <c r="AC37" i="11"/>
  <c r="AB37" i="11"/>
  <c r="AA37" i="11"/>
  <c r="Z37" i="11"/>
  <c r="Y37" i="11"/>
  <c r="X37" i="11"/>
  <c r="W37" i="11"/>
  <c r="P37" i="11"/>
  <c r="O37" i="11"/>
  <c r="AQ37" i="11" s="1"/>
  <c r="N37" i="11"/>
  <c r="AO37" i="11" s="1"/>
  <c r="AV37" i="11" s="1"/>
  <c r="M37" i="11"/>
  <c r="AV36" i="11"/>
  <c r="AP36" i="11"/>
  <c r="AO36" i="11"/>
  <c r="AI36" i="1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N36" i="11"/>
  <c r="M36" i="11"/>
  <c r="AT35" i="11"/>
  <c r="AP35" i="11"/>
  <c r="AJ35" i="11"/>
  <c r="AI35" i="11"/>
  <c r="AH35" i="11"/>
  <c r="AF35" i="11"/>
  <c r="AE35" i="11"/>
  <c r="AD35" i="11"/>
  <c r="AC35" i="11"/>
  <c r="AA35" i="11"/>
  <c r="Z35" i="11"/>
  <c r="Y35" i="11"/>
  <c r="X35" i="11"/>
  <c r="W35" i="11"/>
  <c r="P35" i="11"/>
  <c r="O35" i="11"/>
  <c r="AQ35" i="11" s="1"/>
  <c r="N35" i="11"/>
  <c r="AO35" i="11" s="1"/>
  <c r="AV35" i="11" s="1"/>
  <c r="M35" i="11"/>
  <c r="AU34" i="11"/>
  <c r="AP34" i="11"/>
  <c r="AI34" i="11"/>
  <c r="AT34" i="11" s="1"/>
  <c r="AH34" i="11"/>
  <c r="AF34" i="11"/>
  <c r="AE34" i="11"/>
  <c r="AA34" i="11"/>
  <c r="Z34" i="11"/>
  <c r="Y34" i="11"/>
  <c r="X34" i="11"/>
  <c r="W34" i="11"/>
  <c r="P34" i="11"/>
  <c r="O34" i="11"/>
  <c r="N34" i="11"/>
  <c r="M34" i="11"/>
  <c r="AV33" i="11"/>
  <c r="AQ33" i="11"/>
  <c r="AP33" i="11"/>
  <c r="AO33" i="11"/>
  <c r="AI33" i="11"/>
  <c r="AH33" i="11"/>
  <c r="AF33" i="11"/>
  <c r="AE33" i="11"/>
  <c r="AA33" i="11"/>
  <c r="Z33" i="11"/>
  <c r="Y33" i="11"/>
  <c r="X33" i="11"/>
  <c r="W33" i="11"/>
  <c r="P33" i="11"/>
  <c r="O33" i="11"/>
  <c r="AD33" i="11" s="1"/>
  <c r="N33" i="11"/>
  <c r="AC33" i="11" s="1"/>
  <c r="M33" i="11"/>
  <c r="AP32" i="11"/>
  <c r="AI32" i="11"/>
  <c r="AH32" i="11"/>
  <c r="AF32" i="11"/>
  <c r="AE32" i="11"/>
  <c r="AC32" i="11"/>
  <c r="AB32" i="11"/>
  <c r="AA32" i="11"/>
  <c r="Z32" i="11"/>
  <c r="Y32" i="11"/>
  <c r="X32" i="11"/>
  <c r="W32" i="11"/>
  <c r="P32" i="11"/>
  <c r="O32" i="11"/>
  <c r="AD32" i="11" s="1"/>
  <c r="N32" i="11"/>
  <c r="AO32" i="11" s="1"/>
  <c r="AV32" i="11" s="1"/>
  <c r="M32" i="11"/>
  <c r="AT31" i="11"/>
  <c r="AP31" i="11"/>
  <c r="AI31" i="11"/>
  <c r="AH31" i="11"/>
  <c r="AF31" i="11"/>
  <c r="AE31" i="11"/>
  <c r="AC31" i="11"/>
  <c r="AB31" i="11"/>
  <c r="AA31" i="11"/>
  <c r="Z31" i="11"/>
  <c r="Y31" i="11"/>
  <c r="X31" i="11"/>
  <c r="W31" i="11"/>
  <c r="P31" i="11"/>
  <c r="O31" i="11"/>
  <c r="AQ31" i="11" s="1"/>
  <c r="N31" i="11"/>
  <c r="AO31" i="11" s="1"/>
  <c r="AV31" i="11" s="1"/>
  <c r="M31" i="11"/>
  <c r="AV30" i="11"/>
  <c r="AP30" i="11"/>
  <c r="AO30" i="1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N30" i="11"/>
  <c r="M30" i="11"/>
  <c r="AT29" i="11"/>
  <c r="AP29" i="11"/>
  <c r="AJ29" i="11"/>
  <c r="AI29" i="11"/>
  <c r="AH29" i="11"/>
  <c r="AF29" i="11"/>
  <c r="AE29" i="11"/>
  <c r="AD29" i="11"/>
  <c r="AC29" i="11"/>
  <c r="AA29" i="11"/>
  <c r="Z29" i="11"/>
  <c r="Y29" i="11"/>
  <c r="X29" i="11"/>
  <c r="W29" i="11"/>
  <c r="P29" i="11"/>
  <c r="O29" i="11"/>
  <c r="AQ29" i="11" s="1"/>
  <c r="N29" i="11"/>
  <c r="AO29" i="11" s="1"/>
  <c r="AV29" i="11" s="1"/>
  <c r="M29" i="11"/>
  <c r="AU28" i="11"/>
  <c r="AT28" i="11"/>
  <c r="AQ28" i="11"/>
  <c r="AP28" i="11"/>
  <c r="AI28" i="11"/>
  <c r="AH28" i="11"/>
  <c r="AF28" i="11"/>
  <c r="AE28" i="11"/>
  <c r="AD28" i="11"/>
  <c r="AA28" i="11"/>
  <c r="Z28" i="11"/>
  <c r="Y28" i="11"/>
  <c r="X28" i="11"/>
  <c r="W28" i="11"/>
  <c r="P28" i="11"/>
  <c r="O28" i="11"/>
  <c r="N28" i="11"/>
  <c r="M28" i="11"/>
  <c r="AI27" i="11"/>
  <c r="AH27" i="11"/>
  <c r="W27" i="11"/>
  <c r="AI26" i="11"/>
  <c r="AH26" i="11"/>
  <c r="AF26" i="11"/>
  <c r="AE26" i="11"/>
  <c r="AD26" i="11"/>
  <c r="AC26" i="11"/>
  <c r="AA26" i="11"/>
  <c r="Z26" i="11"/>
  <c r="Y26" i="11"/>
  <c r="X26" i="11"/>
  <c r="W26" i="11"/>
  <c r="P26" i="11"/>
  <c r="O26" i="11"/>
  <c r="N26" i="11"/>
  <c r="M26" i="11"/>
  <c r="AR26" i="11" s="1"/>
  <c r="AI25" i="11"/>
  <c r="AH25" i="11"/>
  <c r="W25" i="11"/>
  <c r="AP24" i="11"/>
  <c r="AI24" i="11"/>
  <c r="AT24" i="11" s="1"/>
  <c r="AH24" i="11"/>
  <c r="AF24" i="11"/>
  <c r="AE24" i="11"/>
  <c r="AB24" i="11"/>
  <c r="AA24" i="11"/>
  <c r="Z24" i="11"/>
  <c r="Y24" i="11"/>
  <c r="X24" i="11"/>
  <c r="W24" i="11"/>
  <c r="P24" i="11"/>
  <c r="O24" i="11"/>
  <c r="AD24" i="11" s="1"/>
  <c r="N24" i="11"/>
  <c r="AO24" i="11" s="1"/>
  <c r="AV24" i="11" s="1"/>
  <c r="M24" i="11"/>
  <c r="AT23" i="11"/>
  <c r="AI23" i="11"/>
  <c r="AJ23" i="11" s="1"/>
  <c r="AH23" i="11"/>
  <c r="AF23" i="11"/>
  <c r="AE23" i="11"/>
  <c r="AC23" i="11"/>
  <c r="AB23" i="11"/>
  <c r="AA23" i="11"/>
  <c r="Z23" i="11"/>
  <c r="Y23" i="11"/>
  <c r="X23" i="11"/>
  <c r="W23" i="11"/>
  <c r="P23" i="11"/>
  <c r="O23" i="11"/>
  <c r="AQ23" i="11" s="1"/>
  <c r="N23" i="11"/>
  <c r="M23" i="11"/>
  <c r="AT22" i="11"/>
  <c r="AJ22" i="11"/>
  <c r="AI22" i="11"/>
  <c r="AH22" i="11"/>
  <c r="AF22" i="11"/>
  <c r="AE22" i="11"/>
  <c r="AD22" i="11"/>
  <c r="AC22" i="11"/>
  <c r="AB22" i="11"/>
  <c r="AA22" i="11"/>
  <c r="Z22" i="11"/>
  <c r="Y22" i="11"/>
  <c r="X22" i="11"/>
  <c r="W22" i="11"/>
  <c r="P22" i="11"/>
  <c r="O22" i="11"/>
  <c r="AQ22" i="11" s="1"/>
  <c r="N22" i="11"/>
  <c r="M22" i="11"/>
  <c r="AU21" i="11"/>
  <c r="AT21" i="11"/>
  <c r="AO21" i="11"/>
  <c r="AJ21" i="11"/>
  <c r="AI21" i="11"/>
  <c r="AH21" i="11"/>
  <c r="AF21" i="11"/>
  <c r="AE21" i="11"/>
  <c r="AD21" i="11"/>
  <c r="AC21" i="11"/>
  <c r="AA21" i="11"/>
  <c r="Z21" i="11"/>
  <c r="Y21" i="11"/>
  <c r="X21" i="11"/>
  <c r="W21" i="11"/>
  <c r="P21" i="11"/>
  <c r="O21" i="11"/>
  <c r="AQ21" i="11" s="1"/>
  <c r="N21" i="11"/>
  <c r="M21" i="11"/>
  <c r="AT20" i="11"/>
  <c r="AQ20" i="11"/>
  <c r="AI20" i="11"/>
  <c r="AH20" i="11"/>
  <c r="AF20" i="11"/>
  <c r="AE20" i="11"/>
  <c r="AD20" i="11"/>
  <c r="AA20" i="11"/>
  <c r="Z20" i="11"/>
  <c r="Y20" i="11"/>
  <c r="X20" i="11"/>
  <c r="W20" i="11"/>
  <c r="P20" i="11"/>
  <c r="O20" i="11"/>
  <c r="N20" i="11"/>
  <c r="M20" i="11"/>
  <c r="AU19" i="11"/>
  <c r="AP19" i="11"/>
  <c r="AI19" i="11"/>
  <c r="AH19" i="11"/>
  <c r="AF19" i="11"/>
  <c r="AE19" i="11"/>
  <c r="AA19" i="11"/>
  <c r="Z19" i="11"/>
  <c r="Y19" i="11"/>
  <c r="X19" i="11"/>
  <c r="W19" i="11"/>
  <c r="P19" i="11"/>
  <c r="O19" i="11"/>
  <c r="N19" i="11"/>
  <c r="AC19" i="11" s="1"/>
  <c r="M19" i="11"/>
  <c r="AI18" i="11"/>
  <c r="AH18" i="11"/>
  <c r="AF18" i="11"/>
  <c r="AE18" i="11"/>
  <c r="AD18" i="11"/>
  <c r="AB18" i="11"/>
  <c r="AA18" i="11"/>
  <c r="Z18" i="11"/>
  <c r="Y18" i="11"/>
  <c r="X18" i="11"/>
  <c r="W18" i="11"/>
  <c r="P18" i="11"/>
  <c r="O18" i="11"/>
  <c r="AQ18" i="11" s="1"/>
  <c r="N18" i="11"/>
  <c r="AC18" i="11" s="1"/>
  <c r="M18" i="11"/>
  <c r="AR18" i="11" s="1"/>
  <c r="AT17" i="11"/>
  <c r="AJ17" i="11"/>
  <c r="AI17" i="11"/>
  <c r="AH17" i="11"/>
  <c r="AF17" i="11"/>
  <c r="AE17" i="11"/>
  <c r="AA17" i="11"/>
  <c r="Z17" i="11"/>
  <c r="Y17" i="11"/>
  <c r="X17" i="11"/>
  <c r="W17" i="11"/>
  <c r="P17" i="11"/>
  <c r="O17" i="11"/>
  <c r="AQ17" i="11" s="1"/>
  <c r="N17" i="11"/>
  <c r="M17" i="11"/>
  <c r="AU16" i="11"/>
  <c r="AI16" i="11"/>
  <c r="AH16" i="11"/>
  <c r="AF16" i="11"/>
  <c r="AE16" i="11"/>
  <c r="AB16" i="11"/>
  <c r="AA16" i="11"/>
  <c r="Z16" i="11"/>
  <c r="Y16" i="11"/>
  <c r="X16" i="11"/>
  <c r="W16" i="11"/>
  <c r="P16" i="11"/>
  <c r="O16" i="11"/>
  <c r="AQ16" i="11" s="1"/>
  <c r="N16" i="11"/>
  <c r="AC16" i="11" s="1"/>
  <c r="M16" i="11"/>
  <c r="AJ15" i="11"/>
  <c r="AI15" i="11"/>
  <c r="AT15" i="11" s="1"/>
  <c r="AH15" i="11"/>
  <c r="AF15" i="11"/>
  <c r="AE15" i="11"/>
  <c r="AC15" i="11"/>
  <c r="AB15" i="11"/>
  <c r="AA15" i="11"/>
  <c r="Z15" i="11"/>
  <c r="Y15" i="11"/>
  <c r="X15" i="11"/>
  <c r="W15" i="11"/>
  <c r="P15" i="11"/>
  <c r="O15" i="11"/>
  <c r="AD15" i="11" s="1"/>
  <c r="N15" i="11"/>
  <c r="M15" i="11"/>
  <c r="AI14" i="11"/>
  <c r="AH14" i="11"/>
  <c r="W14" i="11"/>
  <c r="AT13" i="11"/>
  <c r="AP13" i="11"/>
  <c r="AJ13" i="11"/>
  <c r="AI13" i="11"/>
  <c r="AH13" i="11"/>
  <c r="AF13" i="11"/>
  <c r="AE13" i="11"/>
  <c r="AA13" i="11"/>
  <c r="Z13" i="11"/>
  <c r="Y13" i="11"/>
  <c r="X13" i="11"/>
  <c r="W13" i="11"/>
  <c r="P13" i="11"/>
  <c r="O13" i="11"/>
  <c r="AD13" i="11" s="1"/>
  <c r="N13" i="11"/>
  <c r="AO13" i="11" s="1"/>
  <c r="AV13" i="11" s="1"/>
  <c r="M13" i="11"/>
  <c r="AU12" i="11"/>
  <c r="AP12" i="11"/>
  <c r="AO12" i="11"/>
  <c r="AV12" i="11" s="1"/>
  <c r="AN12" i="11"/>
  <c r="AI12" i="1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AC12" i="11" s="1"/>
  <c r="M12" i="11"/>
  <c r="AV11" i="11"/>
  <c r="AT11" i="11"/>
  <c r="AP11" i="11"/>
  <c r="AO11" i="11"/>
  <c r="AI11" i="11"/>
  <c r="AH11" i="11"/>
  <c r="AF11" i="11"/>
  <c r="AE11" i="11"/>
  <c r="AC11" i="11"/>
  <c r="AA11" i="11"/>
  <c r="Z11" i="11"/>
  <c r="Y11" i="11"/>
  <c r="X11" i="11"/>
  <c r="W11" i="11"/>
  <c r="P11" i="11"/>
  <c r="O11" i="11"/>
  <c r="AD11" i="11" s="1"/>
  <c r="N11" i="11"/>
  <c r="M11" i="11"/>
  <c r="AB11" i="11" s="1"/>
  <c r="AI10" i="11"/>
  <c r="AH10" i="11"/>
  <c r="W10" i="11"/>
  <c r="AT9" i="11"/>
  <c r="AQ9" i="11"/>
  <c r="AP9" i="11"/>
  <c r="AJ9" i="11"/>
  <c r="AI9" i="11"/>
  <c r="AH9" i="11"/>
  <c r="AF9" i="11"/>
  <c r="AE9" i="11"/>
  <c r="AC9" i="11"/>
  <c r="AA9" i="11"/>
  <c r="Z9" i="11"/>
  <c r="Y9" i="11"/>
  <c r="X9" i="11"/>
  <c r="W9" i="11"/>
  <c r="P9" i="11"/>
  <c r="O9" i="11"/>
  <c r="AD9" i="11" s="1"/>
  <c r="N9" i="11"/>
  <c r="AO9" i="11" s="1"/>
  <c r="AV9" i="11" s="1"/>
  <c r="M9" i="11"/>
  <c r="AU8" i="11"/>
  <c r="AQ8" i="11"/>
  <c r="AP8" i="11"/>
  <c r="AO8" i="11"/>
  <c r="AV8" i="11" s="1"/>
  <c r="AI8" i="11"/>
  <c r="AH8" i="11"/>
  <c r="AF8" i="11"/>
  <c r="AE8" i="11"/>
  <c r="AB8" i="11"/>
  <c r="AA8" i="11"/>
  <c r="Z8" i="11"/>
  <c r="Y8" i="11"/>
  <c r="X8" i="11"/>
  <c r="W8" i="11"/>
  <c r="P8" i="11"/>
  <c r="O8" i="11"/>
  <c r="AD8" i="11" s="1"/>
  <c r="N8" i="11"/>
  <c r="AC8" i="11" s="1"/>
  <c r="M8" i="11"/>
  <c r="AI7" i="11"/>
  <c r="AH7" i="11"/>
  <c r="W7" i="11"/>
  <c r="AV6" i="11"/>
  <c r="AP6" i="11"/>
  <c r="AO6" i="11"/>
  <c r="AI6" i="1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B6" i="11" s="1"/>
  <c r="AI5" i="11"/>
  <c r="AH5" i="11"/>
  <c r="W5" i="11"/>
  <c r="AI4" i="11"/>
  <c r="AU3" i="11"/>
  <c r="AQ3" i="11"/>
  <c r="AO3" i="11"/>
  <c r="AI3" i="11"/>
  <c r="AH3" i="11"/>
  <c r="AN2" i="11"/>
  <c r="AN31" i="11" s="1"/>
  <c r="AM2" i="11"/>
  <c r="AL2" i="11"/>
  <c r="AK2" i="11"/>
  <c r="AJ2" i="11"/>
  <c r="AJ28" i="11" s="1"/>
  <c r="AH2" i="11"/>
  <c r="AA2" i="11"/>
  <c r="A2" i="11"/>
  <c r="AU1" i="11"/>
  <c r="AR1" i="11"/>
  <c r="AQ1" i="11"/>
  <c r="AP1" i="11"/>
  <c r="AP17" i="11" s="1"/>
  <c r="AO1" i="11"/>
  <c r="AO18" i="11" s="1"/>
  <c r="AJ1" i="11"/>
  <c r="AH1" i="11"/>
  <c r="AA1" i="11"/>
  <c r="A1" i="11"/>
  <c r="AP129" i="10"/>
  <c r="AO129" i="10"/>
  <c r="AV129" i="10" s="1"/>
  <c r="AI129" i="10"/>
  <c r="AT129" i="10" s="1"/>
  <c r="AH129" i="10"/>
  <c r="AF129" i="10"/>
  <c r="AE129" i="10"/>
  <c r="AD129" i="10"/>
  <c r="AC129" i="10"/>
  <c r="AA129" i="10"/>
  <c r="Z129" i="10"/>
  <c r="Y129" i="10"/>
  <c r="X129" i="10"/>
  <c r="W129" i="10"/>
  <c r="P129" i="10"/>
  <c r="O129" i="10"/>
  <c r="N129" i="10"/>
  <c r="M129" i="10"/>
  <c r="AI128" i="10"/>
  <c r="AH128" i="10"/>
  <c r="AF128" i="10"/>
  <c r="AE128" i="10"/>
  <c r="AD128" i="10"/>
  <c r="AA128" i="10"/>
  <c r="Z128" i="10"/>
  <c r="Y128" i="10"/>
  <c r="X128" i="10"/>
  <c r="W128" i="10"/>
  <c r="P128" i="10"/>
  <c r="O128" i="10"/>
  <c r="N128" i="10"/>
  <c r="AC128" i="10" s="1"/>
  <c r="M128" i="10"/>
  <c r="AB128" i="10" s="1"/>
  <c r="AT127" i="10"/>
  <c r="AI127" i="10"/>
  <c r="AH127" i="10"/>
  <c r="AF127" i="10"/>
  <c r="AE127" i="10"/>
  <c r="AA127" i="10"/>
  <c r="Z127" i="10"/>
  <c r="Y127" i="10"/>
  <c r="X127" i="10"/>
  <c r="W127" i="10"/>
  <c r="P127" i="10"/>
  <c r="O127" i="10"/>
  <c r="AD127" i="10" s="1"/>
  <c r="N127" i="10"/>
  <c r="M127" i="10"/>
  <c r="AI126" i="10"/>
  <c r="AH126" i="10"/>
  <c r="AF126" i="10"/>
  <c r="AE126" i="10"/>
  <c r="AA126" i="10"/>
  <c r="Z126" i="10"/>
  <c r="Y126" i="10"/>
  <c r="X126" i="10"/>
  <c r="W126" i="10"/>
  <c r="P126" i="10"/>
  <c r="O126" i="10"/>
  <c r="N126" i="10"/>
  <c r="AC126" i="10" s="1"/>
  <c r="M126" i="10"/>
  <c r="AR126" i="10" s="1"/>
  <c r="AI125" i="10"/>
  <c r="AT125" i="10" s="1"/>
  <c r="AH125" i="10"/>
  <c r="AF125" i="10"/>
  <c r="AE125" i="10"/>
  <c r="AC125" i="10"/>
  <c r="AB125" i="10"/>
  <c r="AA125" i="10"/>
  <c r="Z125" i="10"/>
  <c r="Y125" i="10"/>
  <c r="X125" i="10"/>
  <c r="W125" i="10"/>
  <c r="P125" i="10"/>
  <c r="O125" i="10"/>
  <c r="AD125" i="10" s="1"/>
  <c r="N125" i="10"/>
  <c r="M125" i="10"/>
  <c r="AT124" i="10"/>
  <c r="AI124" i="10"/>
  <c r="AH124" i="10"/>
  <c r="AF124" i="10"/>
  <c r="AE124" i="10"/>
  <c r="AB124" i="10"/>
  <c r="AA124" i="10"/>
  <c r="Z124" i="10"/>
  <c r="Y124" i="10"/>
  <c r="X124" i="10"/>
  <c r="W124" i="10"/>
  <c r="P124" i="10"/>
  <c r="O124" i="10"/>
  <c r="AD124" i="10" s="1"/>
  <c r="N124" i="10"/>
  <c r="M124" i="10"/>
  <c r="AI123" i="10"/>
  <c r="AH123" i="10"/>
  <c r="AF123" i="10"/>
  <c r="AE123" i="10"/>
  <c r="AD123" i="10"/>
  <c r="AC123" i="10"/>
  <c r="AA123" i="10"/>
  <c r="Z123" i="10"/>
  <c r="Y123" i="10"/>
  <c r="X123" i="10"/>
  <c r="W123" i="10"/>
  <c r="P123" i="10"/>
  <c r="O123" i="10"/>
  <c r="N123" i="10"/>
  <c r="M123" i="10"/>
  <c r="AB123" i="10" s="1"/>
  <c r="AI122" i="10"/>
  <c r="AH122" i="10"/>
  <c r="W122" i="10"/>
  <c r="AT121" i="10"/>
  <c r="AI121" i="10"/>
  <c r="AH121" i="10"/>
  <c r="AF121" i="10"/>
  <c r="AE121" i="10"/>
  <c r="AA121" i="10"/>
  <c r="Z121" i="10"/>
  <c r="Y121" i="10"/>
  <c r="X121" i="10"/>
  <c r="W121" i="10"/>
  <c r="P121" i="10"/>
  <c r="O121" i="10"/>
  <c r="AD121" i="10" s="1"/>
  <c r="N121" i="10"/>
  <c r="M121" i="10"/>
  <c r="AB121" i="10" s="1"/>
  <c r="AT120" i="10"/>
  <c r="AI120" i="10"/>
  <c r="AH120" i="10"/>
  <c r="AF120" i="10"/>
  <c r="AE120" i="10"/>
  <c r="AD120" i="10"/>
  <c r="AC120" i="10"/>
  <c r="AB120" i="10"/>
  <c r="AA120" i="10"/>
  <c r="Z120" i="10"/>
  <c r="Y120" i="10"/>
  <c r="X120" i="10"/>
  <c r="W120" i="10"/>
  <c r="P120" i="10"/>
  <c r="O120" i="10"/>
  <c r="N120" i="10"/>
  <c r="M120" i="10"/>
  <c r="AI119" i="10"/>
  <c r="AH119" i="10"/>
  <c r="W119" i="10"/>
  <c r="AI118" i="10"/>
  <c r="AH118" i="10"/>
  <c r="AF118" i="10"/>
  <c r="AE118" i="10"/>
  <c r="AD118" i="10"/>
  <c r="AA118" i="10"/>
  <c r="Z118" i="10"/>
  <c r="Y118" i="10"/>
  <c r="X118" i="10"/>
  <c r="W118" i="10"/>
  <c r="P118" i="10"/>
  <c r="O118" i="10"/>
  <c r="N118" i="10"/>
  <c r="AC118" i="10" s="1"/>
  <c r="M118" i="10"/>
  <c r="AB118" i="10" s="1"/>
  <c r="AI117" i="10"/>
  <c r="AH117" i="10"/>
  <c r="AF117" i="10"/>
  <c r="AE117" i="10"/>
  <c r="AC117" i="10"/>
  <c r="AB117" i="10"/>
  <c r="AA117" i="10"/>
  <c r="Z117" i="10"/>
  <c r="Y117" i="10"/>
  <c r="X117" i="10"/>
  <c r="W117" i="10"/>
  <c r="P117" i="10"/>
  <c r="O117" i="10"/>
  <c r="AD117" i="10" s="1"/>
  <c r="N117" i="10"/>
  <c r="M117" i="10"/>
  <c r="AI116" i="10"/>
  <c r="AH116" i="10"/>
  <c r="W116" i="10"/>
  <c r="AT115" i="10"/>
  <c r="AI115" i="10"/>
  <c r="AH115" i="10"/>
  <c r="AF115" i="10"/>
  <c r="AE115" i="10"/>
  <c r="AD115" i="10"/>
  <c r="AA115" i="10"/>
  <c r="Z115" i="10"/>
  <c r="Y115" i="10"/>
  <c r="X115" i="10"/>
  <c r="W115" i="10"/>
  <c r="P115" i="10"/>
  <c r="O115" i="10"/>
  <c r="N115" i="10"/>
  <c r="AC115" i="10" s="1"/>
  <c r="M115" i="10"/>
  <c r="AP114" i="10"/>
  <c r="AI114" i="10"/>
  <c r="AT114" i="10" s="1"/>
  <c r="AH114" i="10"/>
  <c r="AF114" i="10"/>
  <c r="AE114" i="10"/>
  <c r="AD114" i="10"/>
  <c r="AA114" i="10"/>
  <c r="Z114" i="10"/>
  <c r="Y114" i="10"/>
  <c r="X114" i="10"/>
  <c r="W114" i="10"/>
  <c r="P114" i="10"/>
  <c r="O114" i="10"/>
  <c r="N114" i="10"/>
  <c r="AC114" i="10" s="1"/>
  <c r="M114" i="10"/>
  <c r="AR114" i="10" s="1"/>
  <c r="AP113" i="10"/>
  <c r="AO113" i="10"/>
  <c r="AV113" i="10" s="1"/>
  <c r="AI113" i="10"/>
  <c r="AH113" i="10"/>
  <c r="AF113" i="10"/>
  <c r="AE113" i="10"/>
  <c r="AA113" i="10"/>
  <c r="Z113" i="10"/>
  <c r="Y113" i="10"/>
  <c r="X113" i="10"/>
  <c r="W113" i="10"/>
  <c r="P113" i="10"/>
  <c r="O113" i="10"/>
  <c r="AD113" i="10" s="1"/>
  <c r="N113" i="10"/>
  <c r="AC113" i="10" s="1"/>
  <c r="M113" i="10"/>
  <c r="AP112" i="10"/>
  <c r="AI112" i="10"/>
  <c r="AH112" i="10"/>
  <c r="AF112" i="10"/>
  <c r="AE112" i="10"/>
  <c r="AB112" i="10"/>
  <c r="AA112" i="10"/>
  <c r="Z112" i="10"/>
  <c r="Y112" i="10"/>
  <c r="X112" i="10"/>
  <c r="W112" i="10"/>
  <c r="P112" i="10"/>
  <c r="O112" i="10"/>
  <c r="AD112" i="10" s="1"/>
  <c r="N112" i="10"/>
  <c r="AO112" i="10" s="1"/>
  <c r="AV112" i="10" s="1"/>
  <c r="M112" i="10"/>
  <c r="AI111" i="10"/>
  <c r="AH111" i="10"/>
  <c r="AF111" i="10"/>
  <c r="AE111" i="10"/>
  <c r="AC111" i="10"/>
  <c r="AB111" i="10"/>
  <c r="AA111" i="10"/>
  <c r="Z111" i="10"/>
  <c r="Y111" i="10"/>
  <c r="X111" i="10"/>
  <c r="W111" i="10"/>
  <c r="P111" i="10"/>
  <c r="O111" i="10"/>
  <c r="AD111" i="10" s="1"/>
  <c r="N111" i="10"/>
  <c r="M111" i="10"/>
  <c r="AI110" i="10"/>
  <c r="AH110" i="10"/>
  <c r="W110" i="10"/>
  <c r="AT109" i="10"/>
  <c r="AP109" i="10"/>
  <c r="AO109" i="10"/>
  <c r="AV109" i="10" s="1"/>
  <c r="AI109" i="10"/>
  <c r="AH109" i="10"/>
  <c r="AF109" i="10"/>
  <c r="AE109" i="10"/>
  <c r="AA109" i="10"/>
  <c r="Z109" i="10"/>
  <c r="Y109" i="10"/>
  <c r="X109" i="10"/>
  <c r="W109" i="10"/>
  <c r="P109" i="10"/>
  <c r="O109" i="10"/>
  <c r="AD109" i="10" s="1"/>
  <c r="N109" i="10"/>
  <c r="AC109" i="10" s="1"/>
  <c r="M109" i="10"/>
  <c r="AP108" i="10"/>
  <c r="AI108" i="10"/>
  <c r="AN108" i="10" s="1"/>
  <c r="AH108" i="10"/>
  <c r="AF108" i="10"/>
  <c r="AE108" i="10"/>
  <c r="AB108" i="10"/>
  <c r="AA108" i="10"/>
  <c r="Z108" i="10"/>
  <c r="Y108" i="10"/>
  <c r="X108" i="10"/>
  <c r="W108" i="10"/>
  <c r="P108" i="10"/>
  <c r="O108" i="10"/>
  <c r="AD108" i="10" s="1"/>
  <c r="N108" i="10"/>
  <c r="AO108" i="10" s="1"/>
  <c r="AV108" i="10" s="1"/>
  <c r="M108" i="10"/>
  <c r="AP107" i="10"/>
  <c r="AI107" i="10"/>
  <c r="AH107" i="10"/>
  <c r="AF107" i="10"/>
  <c r="AE107" i="10"/>
  <c r="AC107" i="10"/>
  <c r="AB107" i="10"/>
  <c r="AA107" i="10"/>
  <c r="Z107" i="10"/>
  <c r="Y107" i="10"/>
  <c r="X107" i="10"/>
  <c r="W107" i="10"/>
  <c r="P107" i="10"/>
  <c r="O107" i="10"/>
  <c r="AD107" i="10" s="1"/>
  <c r="N107" i="10"/>
  <c r="AO107" i="10" s="1"/>
  <c r="AV107" i="10" s="1"/>
  <c r="M107" i="10"/>
  <c r="AI106" i="10"/>
  <c r="AH106" i="10"/>
  <c r="W106" i="10"/>
  <c r="AT105" i="10"/>
  <c r="AP105" i="10"/>
  <c r="AO105" i="10"/>
  <c r="AV105" i="10" s="1"/>
  <c r="AI105" i="10"/>
  <c r="AN105" i="10" s="1"/>
  <c r="AH105" i="10"/>
  <c r="AF105" i="10"/>
  <c r="AE105" i="10"/>
  <c r="AA105" i="10"/>
  <c r="Z105" i="10"/>
  <c r="Y105" i="10"/>
  <c r="X105" i="10"/>
  <c r="W105" i="10"/>
  <c r="P105" i="10"/>
  <c r="O105" i="10"/>
  <c r="AD105" i="10" s="1"/>
  <c r="N105" i="10"/>
  <c r="AC105" i="10" s="1"/>
  <c r="M105" i="10"/>
  <c r="AR105" i="10" s="1"/>
  <c r="AP104" i="10"/>
  <c r="AI104" i="10"/>
  <c r="AH104" i="10"/>
  <c r="AF104" i="10"/>
  <c r="AE104" i="10"/>
  <c r="AB104" i="10"/>
  <c r="AA104" i="10"/>
  <c r="Z104" i="10"/>
  <c r="Y104" i="10"/>
  <c r="X104" i="10"/>
  <c r="W104" i="10"/>
  <c r="P104" i="10"/>
  <c r="O104" i="10"/>
  <c r="AD104" i="10" s="1"/>
  <c r="N104" i="10"/>
  <c r="AO104" i="10" s="1"/>
  <c r="AV104" i="10" s="1"/>
  <c r="M104" i="10"/>
  <c r="AI103" i="10"/>
  <c r="AH103" i="10"/>
  <c r="W103" i="10"/>
  <c r="AI102" i="10"/>
  <c r="AT102" i="10" s="1"/>
  <c r="AH102" i="10"/>
  <c r="AF102" i="10"/>
  <c r="AE102" i="10"/>
  <c r="AD102" i="10"/>
  <c r="AA102" i="10"/>
  <c r="Z102" i="10"/>
  <c r="Y102" i="10"/>
  <c r="X102" i="10"/>
  <c r="W102" i="10"/>
  <c r="P102" i="10"/>
  <c r="O102" i="10"/>
  <c r="AQ102" i="10" s="1"/>
  <c r="N102" i="10"/>
  <c r="AC102" i="10" s="1"/>
  <c r="M102" i="10"/>
  <c r="AT101" i="10"/>
  <c r="AI101" i="10"/>
  <c r="AH101" i="10"/>
  <c r="AF101" i="10"/>
  <c r="AE101" i="10"/>
  <c r="AA101" i="10"/>
  <c r="Z101" i="10"/>
  <c r="Y101" i="10"/>
  <c r="X101" i="10"/>
  <c r="W101" i="10"/>
  <c r="P101" i="10"/>
  <c r="O101" i="10"/>
  <c r="AD101" i="10" s="1"/>
  <c r="N101" i="10"/>
  <c r="AC101" i="10" s="1"/>
  <c r="M101" i="10"/>
  <c r="AI100" i="10"/>
  <c r="AH100" i="10"/>
  <c r="AF100" i="10"/>
  <c r="AE100" i="10"/>
  <c r="AB100" i="10"/>
  <c r="AA100" i="10"/>
  <c r="Z100" i="10"/>
  <c r="Y100" i="10"/>
  <c r="X100" i="10"/>
  <c r="W100" i="10"/>
  <c r="P100" i="10"/>
  <c r="O100" i="10"/>
  <c r="AD100" i="10" s="1"/>
  <c r="N100" i="10"/>
  <c r="M100" i="10"/>
  <c r="AI99" i="10"/>
  <c r="AH99" i="10"/>
  <c r="W99" i="10"/>
  <c r="AI98" i="10"/>
  <c r="AT98" i="10" s="1"/>
  <c r="AH98" i="10"/>
  <c r="AF98" i="10"/>
  <c r="AE98" i="10"/>
  <c r="AD98" i="10"/>
  <c r="AA98" i="10"/>
  <c r="Z98" i="10"/>
  <c r="Y98" i="10"/>
  <c r="X98" i="10"/>
  <c r="W98" i="10"/>
  <c r="P98" i="10"/>
  <c r="O98" i="10"/>
  <c r="N98" i="10"/>
  <c r="AC98" i="10" s="1"/>
  <c r="M98" i="10"/>
  <c r="AT97" i="10"/>
  <c r="AP97" i="10"/>
  <c r="AO97" i="10"/>
  <c r="AV97" i="10" s="1"/>
  <c r="AI97" i="10"/>
  <c r="AH97" i="10"/>
  <c r="AF97" i="10"/>
  <c r="AE97" i="10"/>
  <c r="AA97" i="10"/>
  <c r="Z97" i="10"/>
  <c r="Y97" i="10"/>
  <c r="X97" i="10"/>
  <c r="W97" i="10"/>
  <c r="P97" i="10"/>
  <c r="O97" i="10"/>
  <c r="AD97" i="10" s="1"/>
  <c r="N97" i="10"/>
  <c r="AC97" i="10" s="1"/>
  <c r="M97" i="10"/>
  <c r="AI96" i="10"/>
  <c r="AH96" i="10"/>
  <c r="AF96" i="10"/>
  <c r="AE96" i="10"/>
  <c r="AB96" i="10"/>
  <c r="AA96" i="10"/>
  <c r="Z96" i="10"/>
  <c r="Y96" i="10"/>
  <c r="X96" i="10"/>
  <c r="W96" i="10"/>
  <c r="P96" i="10"/>
  <c r="O96" i="10"/>
  <c r="AD96" i="10" s="1"/>
  <c r="N96" i="10"/>
  <c r="M96" i="10"/>
  <c r="AI95" i="10"/>
  <c r="AH95" i="10"/>
  <c r="W95" i="10"/>
  <c r="AI94" i="10"/>
  <c r="AT94" i="10" s="1"/>
  <c r="AH94" i="10"/>
  <c r="AF94" i="10"/>
  <c r="AE94" i="10"/>
  <c r="AD94" i="10"/>
  <c r="AA94" i="10"/>
  <c r="Z94" i="10"/>
  <c r="Y94" i="10"/>
  <c r="X94" i="10"/>
  <c r="W94" i="10"/>
  <c r="P94" i="10"/>
  <c r="O94" i="10"/>
  <c r="N94" i="10"/>
  <c r="AC94" i="10" s="1"/>
  <c r="M94" i="10"/>
  <c r="AT93" i="10"/>
  <c r="AI93" i="10"/>
  <c r="AN93" i="10" s="1"/>
  <c r="AH93" i="10"/>
  <c r="AF93" i="10"/>
  <c r="AE93" i="10"/>
  <c r="AA93" i="10"/>
  <c r="Z93" i="10"/>
  <c r="Y93" i="10"/>
  <c r="X93" i="10"/>
  <c r="W93" i="10"/>
  <c r="P93" i="10"/>
  <c r="O93" i="10"/>
  <c r="AD93" i="10" s="1"/>
  <c r="N93" i="10"/>
  <c r="AC93" i="10" s="1"/>
  <c r="M93" i="10"/>
  <c r="AR93" i="10" s="1"/>
  <c r="AI92" i="10"/>
  <c r="AH92" i="10"/>
  <c r="W92" i="10"/>
  <c r="AT91" i="10"/>
  <c r="AI91" i="10"/>
  <c r="AH91" i="10"/>
  <c r="AF91" i="10"/>
  <c r="AE91" i="10"/>
  <c r="AD91" i="10"/>
  <c r="AC91" i="10"/>
  <c r="AA91" i="10"/>
  <c r="Z91" i="10"/>
  <c r="Y91" i="10"/>
  <c r="X91" i="10"/>
  <c r="W91" i="10"/>
  <c r="P91" i="10"/>
  <c r="O91" i="10"/>
  <c r="N91" i="10"/>
  <c r="M91" i="10"/>
  <c r="AI90" i="10"/>
  <c r="AT90" i="10" s="1"/>
  <c r="AH90" i="10"/>
  <c r="AF90" i="10"/>
  <c r="AE90" i="10"/>
  <c r="AD90" i="10"/>
  <c r="AA90" i="10"/>
  <c r="Z90" i="10"/>
  <c r="Y90" i="10"/>
  <c r="X90" i="10"/>
  <c r="W90" i="10"/>
  <c r="P90" i="10"/>
  <c r="O90" i="10"/>
  <c r="N90" i="10"/>
  <c r="AC90" i="10" s="1"/>
  <c r="M90" i="10"/>
  <c r="AI89" i="10"/>
  <c r="AH89" i="10"/>
  <c r="W89" i="10"/>
  <c r="AP88" i="10"/>
  <c r="AI88" i="10"/>
  <c r="AH88" i="10"/>
  <c r="AF88" i="10"/>
  <c r="AE88" i="10"/>
  <c r="AD88" i="10"/>
  <c r="AC88" i="10"/>
  <c r="AB88" i="10"/>
  <c r="AA88" i="10"/>
  <c r="Z88" i="10"/>
  <c r="Y88" i="10"/>
  <c r="X88" i="10"/>
  <c r="W88" i="10"/>
  <c r="P88" i="10"/>
  <c r="O88" i="10"/>
  <c r="N88" i="10"/>
  <c r="AO88" i="10" s="1"/>
  <c r="AV88" i="10" s="1"/>
  <c r="M88" i="10"/>
  <c r="AT87" i="10"/>
  <c r="AI87" i="10"/>
  <c r="AH87" i="10"/>
  <c r="AF87" i="10"/>
  <c r="AE87" i="10"/>
  <c r="AD87" i="10"/>
  <c r="AC87" i="10"/>
  <c r="AA87" i="10"/>
  <c r="Z87" i="10"/>
  <c r="Y87" i="10"/>
  <c r="X87" i="10"/>
  <c r="W87" i="10"/>
  <c r="P87" i="10"/>
  <c r="O87" i="10"/>
  <c r="N87" i="10"/>
  <c r="M87" i="10"/>
  <c r="AP86" i="10"/>
  <c r="AI86" i="10"/>
  <c r="AT86" i="10" s="1"/>
  <c r="AH86" i="10"/>
  <c r="AF86" i="10"/>
  <c r="AE86" i="10"/>
  <c r="AD86" i="10"/>
  <c r="AA86" i="10"/>
  <c r="Z86" i="10"/>
  <c r="Y86" i="10"/>
  <c r="X86" i="10"/>
  <c r="W86" i="10"/>
  <c r="P86" i="10"/>
  <c r="O86" i="10"/>
  <c r="N86" i="10"/>
  <c r="AC86" i="10" s="1"/>
  <c r="M86" i="10"/>
  <c r="AR86" i="10" s="1"/>
  <c r="AT85" i="10"/>
  <c r="AI85" i="10"/>
  <c r="AH85" i="10"/>
  <c r="AF85" i="10"/>
  <c r="AE85" i="10"/>
  <c r="AA85" i="10"/>
  <c r="Z85" i="10"/>
  <c r="Y85" i="10"/>
  <c r="X85" i="10"/>
  <c r="W85" i="10"/>
  <c r="P85" i="10"/>
  <c r="O85" i="10"/>
  <c r="AD85" i="10" s="1"/>
  <c r="N85" i="10"/>
  <c r="AC85" i="10" s="1"/>
  <c r="M85" i="10"/>
  <c r="AI84" i="10"/>
  <c r="AH84" i="10"/>
  <c r="AF84" i="10"/>
  <c r="AE84" i="10"/>
  <c r="AB84" i="10"/>
  <c r="AA84" i="10"/>
  <c r="Z84" i="10"/>
  <c r="Y84" i="10"/>
  <c r="X84" i="10"/>
  <c r="W84" i="10"/>
  <c r="P84" i="10"/>
  <c r="O84" i="10"/>
  <c r="AD84" i="10" s="1"/>
  <c r="N84" i="10"/>
  <c r="M84" i="10"/>
  <c r="AI83" i="10"/>
  <c r="AH83" i="10"/>
  <c r="W83" i="10"/>
  <c r="AI82" i="10"/>
  <c r="AT82" i="10" s="1"/>
  <c r="AH82" i="10"/>
  <c r="AF82" i="10"/>
  <c r="AE82" i="10"/>
  <c r="AD82" i="10"/>
  <c r="AA82" i="10"/>
  <c r="Z82" i="10"/>
  <c r="Y82" i="10"/>
  <c r="X82" i="10"/>
  <c r="W82" i="10"/>
  <c r="P82" i="10"/>
  <c r="O82" i="10"/>
  <c r="N82" i="10"/>
  <c r="AC82" i="10" s="1"/>
  <c r="M82" i="10"/>
  <c r="AT81" i="10"/>
  <c r="AI81" i="10"/>
  <c r="AH81" i="10"/>
  <c r="AF81" i="10"/>
  <c r="AE81" i="10"/>
  <c r="AA81" i="10"/>
  <c r="Z81" i="10"/>
  <c r="Y81" i="10"/>
  <c r="X81" i="10"/>
  <c r="W81" i="10"/>
  <c r="P81" i="10"/>
  <c r="O81" i="10"/>
  <c r="AD81" i="10" s="1"/>
  <c r="N81" i="10"/>
  <c r="AC81" i="10" s="1"/>
  <c r="M81" i="10"/>
  <c r="AP80" i="10"/>
  <c r="AI80" i="10"/>
  <c r="AH80" i="10"/>
  <c r="AF80" i="10"/>
  <c r="AE80" i="10"/>
  <c r="AB80" i="10"/>
  <c r="AA80" i="10"/>
  <c r="Z80" i="10"/>
  <c r="Y80" i="10"/>
  <c r="X80" i="10"/>
  <c r="W80" i="10"/>
  <c r="P80" i="10"/>
  <c r="O80" i="10"/>
  <c r="AD80" i="10" s="1"/>
  <c r="N80" i="10"/>
  <c r="AO80" i="10" s="1"/>
  <c r="AV80" i="10" s="1"/>
  <c r="M80" i="10"/>
  <c r="AT79" i="10"/>
  <c r="AI79" i="10"/>
  <c r="AH79" i="10"/>
  <c r="AF79" i="10"/>
  <c r="AE79" i="10"/>
  <c r="AC79" i="10"/>
  <c r="AB79" i="10"/>
  <c r="AA79" i="10"/>
  <c r="Z79" i="10"/>
  <c r="Y79" i="10"/>
  <c r="X79" i="10"/>
  <c r="W79" i="10"/>
  <c r="P79" i="10"/>
  <c r="O79" i="10"/>
  <c r="AD79" i="10" s="1"/>
  <c r="N79" i="10"/>
  <c r="M79" i="10"/>
  <c r="AI78" i="10"/>
  <c r="AT78" i="10" s="1"/>
  <c r="AH78" i="10"/>
  <c r="AF78" i="10"/>
  <c r="AE78" i="10"/>
  <c r="AD78" i="10"/>
  <c r="AC78" i="10"/>
  <c r="AB78" i="10"/>
  <c r="AA78" i="10"/>
  <c r="Z78" i="10"/>
  <c r="Y78" i="10"/>
  <c r="X78" i="10"/>
  <c r="W78" i="10"/>
  <c r="P78" i="10"/>
  <c r="O78" i="10"/>
  <c r="N78" i="10"/>
  <c r="M78" i="10"/>
  <c r="AI77" i="10"/>
  <c r="AH77" i="10"/>
  <c r="W77" i="10"/>
  <c r="AP76" i="10"/>
  <c r="AI76" i="10"/>
  <c r="AH76" i="10"/>
  <c r="AF76" i="10"/>
  <c r="AE76" i="10"/>
  <c r="AB76" i="10"/>
  <c r="AA76" i="10"/>
  <c r="Z76" i="10"/>
  <c r="Y76" i="10"/>
  <c r="X76" i="10"/>
  <c r="W76" i="10"/>
  <c r="P76" i="10"/>
  <c r="O76" i="10"/>
  <c r="AD76" i="10" s="1"/>
  <c r="N76" i="10"/>
  <c r="AO76" i="10" s="1"/>
  <c r="AV76" i="10" s="1"/>
  <c r="M76" i="10"/>
  <c r="AT75" i="10"/>
  <c r="AP75" i="10"/>
  <c r="AO75" i="10"/>
  <c r="AV75" i="10" s="1"/>
  <c r="AI75" i="10"/>
  <c r="AH75" i="10"/>
  <c r="AF75" i="10"/>
  <c r="AE75" i="10"/>
  <c r="AC75" i="10"/>
  <c r="AB75" i="10"/>
  <c r="AA75" i="10"/>
  <c r="Z75" i="10"/>
  <c r="Y75" i="10"/>
  <c r="X75" i="10"/>
  <c r="W75" i="10"/>
  <c r="P75" i="10"/>
  <c r="O75" i="10"/>
  <c r="AD75" i="10" s="1"/>
  <c r="N75" i="10"/>
  <c r="M75" i="10"/>
  <c r="AP74" i="10"/>
  <c r="AI74" i="10"/>
  <c r="AT74" i="10" s="1"/>
  <c r="AH74" i="10"/>
  <c r="AF74" i="10"/>
  <c r="AE74" i="10"/>
  <c r="AD74" i="10"/>
  <c r="AC74" i="10"/>
  <c r="AB74" i="10"/>
  <c r="AA74" i="10"/>
  <c r="Z74" i="10"/>
  <c r="Y74" i="10"/>
  <c r="X74" i="10"/>
  <c r="W74" i="10"/>
  <c r="P74" i="10"/>
  <c r="O74" i="10"/>
  <c r="N74" i="10"/>
  <c r="AO74" i="10" s="1"/>
  <c r="AV74" i="10" s="1"/>
  <c r="M74" i="10"/>
  <c r="AT73" i="10"/>
  <c r="AP73" i="10"/>
  <c r="AO73" i="10"/>
  <c r="AV73" i="10" s="1"/>
  <c r="AI73" i="10"/>
  <c r="AH73" i="10"/>
  <c r="AF73" i="10"/>
  <c r="AE73" i="10"/>
  <c r="AD73" i="10"/>
  <c r="AC73" i="10"/>
  <c r="AA73" i="10"/>
  <c r="Z73" i="10"/>
  <c r="Y73" i="10"/>
  <c r="X73" i="10"/>
  <c r="W73" i="10"/>
  <c r="P73" i="10"/>
  <c r="O73" i="10"/>
  <c r="N73" i="10"/>
  <c r="M73" i="10"/>
  <c r="AI72" i="10"/>
  <c r="AH72" i="10"/>
  <c r="W72" i="10"/>
  <c r="AT71" i="10"/>
  <c r="AI71" i="10"/>
  <c r="AH71" i="10"/>
  <c r="AF71" i="10"/>
  <c r="AE71" i="10"/>
  <c r="AC71" i="10"/>
  <c r="AB71" i="10"/>
  <c r="AA71" i="10"/>
  <c r="Z71" i="10"/>
  <c r="Y71" i="10"/>
  <c r="X71" i="10"/>
  <c r="W71" i="10"/>
  <c r="P71" i="10"/>
  <c r="O71" i="10"/>
  <c r="AD71" i="10" s="1"/>
  <c r="N71" i="10"/>
  <c r="M71" i="10"/>
  <c r="AI70" i="10"/>
  <c r="AH70" i="10"/>
  <c r="AF70" i="10"/>
  <c r="AE70" i="10"/>
  <c r="AD70" i="10"/>
  <c r="AC70" i="10"/>
  <c r="AB70" i="10"/>
  <c r="AA70" i="10"/>
  <c r="Z70" i="10"/>
  <c r="Y70" i="10"/>
  <c r="X70" i="10"/>
  <c r="W70" i="10"/>
  <c r="P70" i="10"/>
  <c r="O70" i="10"/>
  <c r="AQ70" i="10" s="1"/>
  <c r="N70" i="10"/>
  <c r="M70" i="10"/>
  <c r="AT69" i="10"/>
  <c r="AI69" i="10"/>
  <c r="AH69" i="10"/>
  <c r="AF69" i="10"/>
  <c r="AE69" i="10"/>
  <c r="AC69" i="10"/>
  <c r="AA69" i="10"/>
  <c r="Z69" i="10"/>
  <c r="Y69" i="10"/>
  <c r="X69" i="10"/>
  <c r="W69" i="10"/>
  <c r="P69" i="10"/>
  <c r="O69" i="10"/>
  <c r="N69" i="10"/>
  <c r="M69" i="10"/>
  <c r="AI68" i="10"/>
  <c r="AT68" i="10" s="1"/>
  <c r="AH68" i="10"/>
  <c r="AF68" i="10"/>
  <c r="AE68" i="10"/>
  <c r="AD68" i="10"/>
  <c r="AA68" i="10"/>
  <c r="Z68" i="10"/>
  <c r="Y68" i="10"/>
  <c r="X68" i="10"/>
  <c r="W68" i="10"/>
  <c r="P68" i="10"/>
  <c r="O68" i="10"/>
  <c r="N68" i="10"/>
  <c r="AC68" i="10" s="1"/>
  <c r="M68" i="10"/>
  <c r="AI67" i="10"/>
  <c r="AH67" i="10"/>
  <c r="W67" i="10"/>
  <c r="AP66" i="10"/>
  <c r="AI66" i="10"/>
  <c r="AN66" i="10" s="1"/>
  <c r="AH66" i="10"/>
  <c r="AF66" i="10"/>
  <c r="AE66" i="10"/>
  <c r="AD66" i="10"/>
  <c r="AB66" i="10"/>
  <c r="AA66" i="10"/>
  <c r="Z66" i="10"/>
  <c r="Y66" i="10"/>
  <c r="X66" i="10"/>
  <c r="W66" i="10"/>
  <c r="P66" i="10"/>
  <c r="O66" i="10"/>
  <c r="AQ66" i="10" s="1"/>
  <c r="N66" i="10"/>
  <c r="AO66" i="10" s="1"/>
  <c r="AV66" i="10" s="1"/>
  <c r="M66" i="10"/>
  <c r="AT65" i="10"/>
  <c r="AP65" i="10"/>
  <c r="AO65" i="10"/>
  <c r="AV65" i="10" s="1"/>
  <c r="AI65" i="10"/>
  <c r="AN65" i="10" s="1"/>
  <c r="AH65" i="10"/>
  <c r="AF65" i="10"/>
  <c r="AE65" i="10"/>
  <c r="AC65" i="10"/>
  <c r="AA65" i="10"/>
  <c r="Z65" i="10"/>
  <c r="Y65" i="10"/>
  <c r="X65" i="10"/>
  <c r="W65" i="10"/>
  <c r="P65" i="10"/>
  <c r="O65" i="10"/>
  <c r="N65" i="10"/>
  <c r="M65" i="10"/>
  <c r="AP64" i="10"/>
  <c r="AI64" i="10"/>
  <c r="AT64" i="10" s="1"/>
  <c r="AH64" i="10"/>
  <c r="AF64" i="10"/>
  <c r="AE64" i="10"/>
  <c r="AD64" i="10"/>
  <c r="AB64" i="10"/>
  <c r="AA64" i="10"/>
  <c r="Z64" i="10"/>
  <c r="Y64" i="10"/>
  <c r="X64" i="10"/>
  <c r="W64" i="10"/>
  <c r="P64" i="10"/>
  <c r="O64" i="10"/>
  <c r="N64" i="10"/>
  <c r="AC64" i="10" s="1"/>
  <c r="M64" i="10"/>
  <c r="AT63" i="10"/>
  <c r="AP63" i="10"/>
  <c r="AO63" i="10"/>
  <c r="AV63" i="10" s="1"/>
  <c r="AI63" i="10"/>
  <c r="AH63" i="10"/>
  <c r="AF63" i="10"/>
  <c r="AE63" i="10"/>
  <c r="AC63" i="10"/>
  <c r="AA63" i="10"/>
  <c r="Z63" i="10"/>
  <c r="Y63" i="10"/>
  <c r="X63" i="10"/>
  <c r="W63" i="10"/>
  <c r="P63" i="10"/>
  <c r="O63" i="10"/>
  <c r="AD63" i="10" s="1"/>
  <c r="N63" i="10"/>
  <c r="M63" i="10"/>
  <c r="AP62" i="10"/>
  <c r="AI62" i="10"/>
  <c r="AN62" i="10" s="1"/>
  <c r="AH62" i="10"/>
  <c r="AF62" i="10"/>
  <c r="AE62" i="10"/>
  <c r="AD62" i="10"/>
  <c r="AB62" i="10"/>
  <c r="AA62" i="10"/>
  <c r="Z62" i="10"/>
  <c r="Y62" i="10"/>
  <c r="X62" i="10"/>
  <c r="W62" i="10"/>
  <c r="P62" i="10"/>
  <c r="O62" i="10"/>
  <c r="AQ62" i="10" s="1"/>
  <c r="N62" i="10"/>
  <c r="AO62" i="10" s="1"/>
  <c r="AV62" i="10" s="1"/>
  <c r="M62" i="10"/>
  <c r="AT61" i="10"/>
  <c r="AP61" i="10"/>
  <c r="AO61" i="10"/>
  <c r="AV61" i="10" s="1"/>
  <c r="AI61" i="10"/>
  <c r="AN61" i="10" s="1"/>
  <c r="AH61" i="10"/>
  <c r="AF61" i="10"/>
  <c r="AE61" i="10"/>
  <c r="AC61" i="10"/>
  <c r="AA61" i="10"/>
  <c r="Z61" i="10"/>
  <c r="Y61" i="10"/>
  <c r="X61" i="10"/>
  <c r="W61" i="10"/>
  <c r="P61" i="10"/>
  <c r="O61" i="10"/>
  <c r="AD61" i="10" s="1"/>
  <c r="N61" i="10"/>
  <c r="M61" i="10"/>
  <c r="AP60" i="10"/>
  <c r="AI60" i="10"/>
  <c r="AH60" i="10"/>
  <c r="AF60" i="10"/>
  <c r="AE60" i="10"/>
  <c r="AD60" i="10"/>
  <c r="AB60" i="10"/>
  <c r="AA60" i="10"/>
  <c r="Z60" i="10"/>
  <c r="Y60" i="10"/>
  <c r="X60" i="10"/>
  <c r="W60" i="10"/>
  <c r="P60" i="10"/>
  <c r="O60" i="10"/>
  <c r="N60" i="10"/>
  <c r="AO60" i="10" s="1"/>
  <c r="AV60" i="10" s="1"/>
  <c r="M60" i="10"/>
  <c r="AI59" i="10"/>
  <c r="AH59" i="10"/>
  <c r="W59" i="10"/>
  <c r="AP58" i="10"/>
  <c r="AI58" i="10"/>
  <c r="AH58" i="10"/>
  <c r="AF58" i="10"/>
  <c r="AE58" i="10"/>
  <c r="AD58" i="10"/>
  <c r="AB58" i="10"/>
  <c r="AA58" i="10"/>
  <c r="Z58" i="10"/>
  <c r="Y58" i="10"/>
  <c r="X58" i="10"/>
  <c r="W58" i="10"/>
  <c r="P58" i="10"/>
  <c r="O58" i="10"/>
  <c r="N58" i="10"/>
  <c r="M58" i="10"/>
  <c r="AI57" i="10"/>
  <c r="AH57" i="10"/>
  <c r="W57" i="10"/>
  <c r="AI56" i="10"/>
  <c r="AT56" i="10" s="1"/>
  <c r="AH56" i="10"/>
  <c r="AF56" i="10"/>
  <c r="AE56" i="10"/>
  <c r="AD56" i="10"/>
  <c r="AB56" i="10"/>
  <c r="AA56" i="10"/>
  <c r="Z56" i="10"/>
  <c r="Y56" i="10"/>
  <c r="X56" i="10"/>
  <c r="W56" i="10"/>
  <c r="P56" i="10"/>
  <c r="O56" i="10"/>
  <c r="AQ56" i="10" s="1"/>
  <c r="N56" i="10"/>
  <c r="M56" i="10"/>
  <c r="AT55" i="10"/>
  <c r="AO55" i="10"/>
  <c r="AI55" i="10"/>
  <c r="AH55" i="10"/>
  <c r="AF55" i="10"/>
  <c r="AE55" i="10"/>
  <c r="AC55" i="10"/>
  <c r="AA55" i="10"/>
  <c r="Z55" i="10"/>
  <c r="Y55" i="10"/>
  <c r="X55" i="10"/>
  <c r="W55" i="10"/>
  <c r="P55" i="10"/>
  <c r="O55" i="10"/>
  <c r="N55" i="10"/>
  <c r="M55" i="10"/>
  <c r="AI54" i="10"/>
  <c r="AH54" i="10"/>
  <c r="W54" i="10"/>
  <c r="AT53" i="10"/>
  <c r="AI53" i="10"/>
  <c r="AH53" i="10"/>
  <c r="AF53" i="10"/>
  <c r="AE53" i="10"/>
  <c r="AC53" i="10"/>
  <c r="AA53" i="10"/>
  <c r="Z53" i="10"/>
  <c r="Y53" i="10"/>
  <c r="X53" i="10"/>
  <c r="W53" i="10"/>
  <c r="P53" i="10"/>
  <c r="O53" i="10"/>
  <c r="N53" i="10"/>
  <c r="M53" i="10"/>
  <c r="AU52" i="10"/>
  <c r="AI52" i="10"/>
  <c r="AT52" i="10" s="1"/>
  <c r="AH52" i="10"/>
  <c r="AF52" i="10"/>
  <c r="AE52" i="10"/>
  <c r="AD52" i="10"/>
  <c r="AB52" i="10"/>
  <c r="AA52" i="10"/>
  <c r="Z52" i="10"/>
  <c r="Y52" i="10"/>
  <c r="X52" i="10"/>
  <c r="W52" i="10"/>
  <c r="P52" i="10"/>
  <c r="O52" i="10"/>
  <c r="N52" i="10"/>
  <c r="M52" i="10"/>
  <c r="AT51" i="10"/>
  <c r="AI51" i="10"/>
  <c r="AH51" i="10"/>
  <c r="AF51" i="10"/>
  <c r="AE51" i="10"/>
  <c r="AC51" i="10"/>
  <c r="AA51" i="10"/>
  <c r="Z51" i="10"/>
  <c r="Y51" i="10"/>
  <c r="X51" i="10"/>
  <c r="W51" i="10"/>
  <c r="P51" i="10"/>
  <c r="O51" i="10"/>
  <c r="AD51" i="10" s="1"/>
  <c r="N51" i="10"/>
  <c r="M51" i="10"/>
  <c r="AR50" i="10"/>
  <c r="AI50" i="10"/>
  <c r="AH50" i="10"/>
  <c r="AF50" i="10"/>
  <c r="AE50" i="10"/>
  <c r="AD50" i="10"/>
  <c r="AB50" i="10"/>
  <c r="AA50" i="10"/>
  <c r="Z50" i="10"/>
  <c r="Y50" i="10"/>
  <c r="X50" i="10"/>
  <c r="W50" i="10"/>
  <c r="P50" i="10"/>
  <c r="O50" i="10"/>
  <c r="N50" i="10"/>
  <c r="M50" i="10"/>
  <c r="AT49" i="10"/>
  <c r="AQ49" i="10"/>
  <c r="AI49" i="10"/>
  <c r="AH49" i="10"/>
  <c r="AF49" i="10"/>
  <c r="AE49" i="10"/>
  <c r="AC49" i="10"/>
  <c r="AA49" i="10"/>
  <c r="Z49" i="10"/>
  <c r="Y49" i="10"/>
  <c r="X49" i="10"/>
  <c r="W49" i="10"/>
  <c r="P49" i="10"/>
  <c r="O49" i="10"/>
  <c r="AD49" i="10" s="1"/>
  <c r="N49" i="10"/>
  <c r="M49" i="10"/>
  <c r="AN48" i="10"/>
  <c r="AI48" i="10"/>
  <c r="AH48" i="10"/>
  <c r="AF48" i="10"/>
  <c r="AE48" i="10"/>
  <c r="AD48" i="10"/>
  <c r="AB48" i="10"/>
  <c r="AA48" i="10"/>
  <c r="Z48" i="10"/>
  <c r="Y48" i="10"/>
  <c r="X48" i="10"/>
  <c r="W48" i="10"/>
  <c r="P48" i="10"/>
  <c r="O48" i="10"/>
  <c r="N48" i="10"/>
  <c r="M48" i="10"/>
  <c r="AI47" i="10"/>
  <c r="AH47" i="10"/>
  <c r="W47" i="10"/>
  <c r="AI46" i="10"/>
  <c r="AH46" i="10"/>
  <c r="AF46" i="10"/>
  <c r="AE46" i="10"/>
  <c r="AD46" i="10"/>
  <c r="AB46" i="10"/>
  <c r="AA46" i="10"/>
  <c r="Z46" i="10"/>
  <c r="Y46" i="10"/>
  <c r="X46" i="10"/>
  <c r="W46" i="10"/>
  <c r="P46" i="10"/>
  <c r="O46" i="10"/>
  <c r="N46" i="10"/>
  <c r="M46" i="10"/>
  <c r="AT45" i="10"/>
  <c r="AI45" i="10"/>
  <c r="AH45" i="10"/>
  <c r="AF45" i="10"/>
  <c r="AE45" i="10"/>
  <c r="AC45" i="10"/>
  <c r="AA45" i="10"/>
  <c r="Z45" i="10"/>
  <c r="Y45" i="10"/>
  <c r="X45" i="10"/>
  <c r="W45" i="10"/>
  <c r="P45" i="10"/>
  <c r="O45" i="10"/>
  <c r="AD45" i="10" s="1"/>
  <c r="N45" i="10"/>
  <c r="M45" i="10"/>
  <c r="AR44" i="10"/>
  <c r="AI44" i="10"/>
  <c r="AH44" i="10"/>
  <c r="AF44" i="10"/>
  <c r="AE44" i="10"/>
  <c r="AD44" i="10"/>
  <c r="AB44" i="10"/>
  <c r="AA44" i="10"/>
  <c r="Z44" i="10"/>
  <c r="Y44" i="10"/>
  <c r="X44" i="10"/>
  <c r="W44" i="10"/>
  <c r="P44" i="10"/>
  <c r="O44" i="10"/>
  <c r="N44" i="10"/>
  <c r="M44" i="10"/>
  <c r="AT43" i="10"/>
  <c r="AI43" i="10"/>
  <c r="AH43" i="10"/>
  <c r="AF43" i="10"/>
  <c r="AE43" i="10"/>
  <c r="AC43" i="10"/>
  <c r="AA43" i="10"/>
  <c r="Z43" i="10"/>
  <c r="Y43" i="10"/>
  <c r="X43" i="10"/>
  <c r="W43" i="10"/>
  <c r="P43" i="10"/>
  <c r="O43" i="10"/>
  <c r="N43" i="10"/>
  <c r="M43" i="10"/>
  <c r="AI42" i="10"/>
  <c r="AH42" i="10"/>
  <c r="W42" i="10"/>
  <c r="AT41" i="10"/>
  <c r="AP41" i="10"/>
  <c r="AO41" i="10"/>
  <c r="AV41" i="10" s="1"/>
  <c r="AJ41" i="10"/>
  <c r="AI41" i="10"/>
  <c r="AH41" i="10"/>
  <c r="AF41" i="10"/>
  <c r="AE41" i="10"/>
  <c r="AC41" i="10"/>
  <c r="AA41" i="10"/>
  <c r="Z41" i="10"/>
  <c r="Y41" i="10"/>
  <c r="X41" i="10"/>
  <c r="W41" i="10"/>
  <c r="P41" i="10"/>
  <c r="O41" i="10"/>
  <c r="N41" i="10"/>
  <c r="M41" i="10"/>
  <c r="AP40" i="10"/>
  <c r="AN40" i="10"/>
  <c r="AI40" i="10"/>
  <c r="AH40" i="10"/>
  <c r="AF40" i="10"/>
  <c r="AE40" i="10"/>
  <c r="AD40" i="10"/>
  <c r="AB40" i="10"/>
  <c r="AA40" i="10"/>
  <c r="Z40" i="10"/>
  <c r="Y40" i="10"/>
  <c r="X40" i="10"/>
  <c r="W40" i="10"/>
  <c r="P40" i="10"/>
  <c r="O40" i="10"/>
  <c r="N40" i="10"/>
  <c r="AO40" i="10" s="1"/>
  <c r="AV40" i="10" s="1"/>
  <c r="M40" i="10"/>
  <c r="AT39" i="10"/>
  <c r="AP39" i="10"/>
  <c r="AO39" i="10"/>
  <c r="AV39" i="10" s="1"/>
  <c r="AI39" i="10"/>
  <c r="AH39" i="10"/>
  <c r="AF39" i="10"/>
  <c r="AE39" i="10"/>
  <c r="AC39" i="10"/>
  <c r="AA39" i="10"/>
  <c r="Z39" i="10"/>
  <c r="Y39" i="10"/>
  <c r="X39" i="10"/>
  <c r="W39" i="10"/>
  <c r="P39" i="10"/>
  <c r="O39" i="10"/>
  <c r="N39" i="10"/>
  <c r="M39" i="10"/>
  <c r="AR38" i="10"/>
  <c r="AP38" i="10"/>
  <c r="AI38" i="10"/>
  <c r="AH38" i="10"/>
  <c r="AF38" i="10"/>
  <c r="AE38" i="10"/>
  <c r="AD38" i="10"/>
  <c r="AB38" i="10"/>
  <c r="AA38" i="10"/>
  <c r="Z38" i="10"/>
  <c r="Y38" i="10"/>
  <c r="X38" i="10"/>
  <c r="W38" i="10"/>
  <c r="P38" i="10"/>
  <c r="O38" i="10"/>
  <c r="N38" i="10"/>
  <c r="M38" i="10"/>
  <c r="AV37" i="10"/>
  <c r="AT37" i="10"/>
  <c r="AP37" i="10"/>
  <c r="AO37" i="10"/>
  <c r="AI37" i="10"/>
  <c r="AH37" i="10"/>
  <c r="AF37" i="10"/>
  <c r="AE37" i="10"/>
  <c r="AC37" i="10"/>
  <c r="AA37" i="10"/>
  <c r="Z37" i="10"/>
  <c r="Y37" i="10"/>
  <c r="X37" i="10"/>
  <c r="W37" i="10"/>
  <c r="P37" i="10"/>
  <c r="O37" i="10"/>
  <c r="N37" i="10"/>
  <c r="M37" i="10"/>
  <c r="AP36" i="10"/>
  <c r="AO36" i="10"/>
  <c r="AV36" i="10" s="1"/>
  <c r="AI36" i="10"/>
  <c r="AH36" i="10"/>
  <c r="AF36" i="10"/>
  <c r="AE36" i="10"/>
  <c r="AD36" i="10"/>
  <c r="AB36" i="10"/>
  <c r="AA36" i="10"/>
  <c r="Z36" i="10"/>
  <c r="Y36" i="10"/>
  <c r="X36" i="10"/>
  <c r="W36" i="10"/>
  <c r="P36" i="10"/>
  <c r="O36" i="10"/>
  <c r="N36" i="10"/>
  <c r="AC36" i="10" s="1"/>
  <c r="M36" i="10"/>
  <c r="AR36" i="10" s="1"/>
  <c r="AT35" i="10"/>
  <c r="AP35" i="10"/>
  <c r="AI35" i="10"/>
  <c r="AH35" i="10"/>
  <c r="AF35" i="10"/>
  <c r="AE35" i="10"/>
  <c r="AA35" i="10"/>
  <c r="Z35" i="10"/>
  <c r="Y35" i="10"/>
  <c r="X35" i="10"/>
  <c r="W35" i="10"/>
  <c r="P35" i="10"/>
  <c r="O35" i="10"/>
  <c r="AD35" i="10" s="1"/>
  <c r="N35" i="10"/>
  <c r="M35" i="10"/>
  <c r="AP34" i="10"/>
  <c r="AN34" i="10"/>
  <c r="AI34" i="10"/>
  <c r="AH34" i="10"/>
  <c r="AF34" i="10"/>
  <c r="AE34" i="10"/>
  <c r="AB34" i="10"/>
  <c r="AA34" i="10"/>
  <c r="Z34" i="10"/>
  <c r="Y34" i="10"/>
  <c r="X34" i="10"/>
  <c r="W34" i="10"/>
  <c r="P34" i="10"/>
  <c r="O34" i="10"/>
  <c r="N34" i="10"/>
  <c r="M34" i="10"/>
  <c r="AI33" i="10"/>
  <c r="AH33" i="10"/>
  <c r="W33" i="10"/>
  <c r="AI32" i="10"/>
  <c r="AH32" i="10"/>
  <c r="AF32" i="10"/>
  <c r="AE32" i="10"/>
  <c r="AD32" i="10"/>
  <c r="AB32" i="10"/>
  <c r="AA32" i="10"/>
  <c r="Z32" i="10"/>
  <c r="Y32" i="10"/>
  <c r="X32" i="10"/>
  <c r="W32" i="10"/>
  <c r="P32" i="10"/>
  <c r="O32" i="10"/>
  <c r="AQ32" i="10" s="1"/>
  <c r="N32" i="10"/>
  <c r="AC32" i="10" s="1"/>
  <c r="M32" i="10"/>
  <c r="AR32" i="10" s="1"/>
  <c r="AT31" i="10"/>
  <c r="AQ31" i="10"/>
  <c r="AP31" i="10"/>
  <c r="AI31" i="10"/>
  <c r="AH31" i="10"/>
  <c r="AF31" i="10"/>
  <c r="AE31" i="10"/>
  <c r="AC31" i="10"/>
  <c r="AA31" i="10"/>
  <c r="Z31" i="10"/>
  <c r="Y31" i="10"/>
  <c r="X31" i="10"/>
  <c r="W31" i="10"/>
  <c r="P31" i="10"/>
  <c r="O31" i="10"/>
  <c r="AD31" i="10" s="1"/>
  <c r="N31" i="10"/>
  <c r="M31" i="10"/>
  <c r="AI30" i="10"/>
  <c r="AH30" i="10"/>
  <c r="W30" i="10"/>
  <c r="AR29" i="10"/>
  <c r="AP29" i="10"/>
  <c r="AO29" i="10"/>
  <c r="AV29" i="10" s="1"/>
  <c r="AI29" i="10"/>
  <c r="AN29" i="10" s="1"/>
  <c r="AH29" i="10"/>
  <c r="AF29" i="10"/>
  <c r="AE29" i="10"/>
  <c r="AC29" i="10"/>
  <c r="AB29" i="10"/>
  <c r="AA29" i="10"/>
  <c r="Z29" i="10"/>
  <c r="Y29" i="10"/>
  <c r="X29" i="10"/>
  <c r="W29" i="10"/>
  <c r="P29" i="10"/>
  <c r="O29" i="10"/>
  <c r="AD29" i="10" s="1"/>
  <c r="N29" i="10"/>
  <c r="M29" i="10"/>
  <c r="AT28" i="10"/>
  <c r="AP28" i="10"/>
  <c r="AN28" i="10"/>
  <c r="AJ28" i="10"/>
  <c r="AI28" i="10"/>
  <c r="AH28" i="10"/>
  <c r="AF28" i="10"/>
  <c r="AE28" i="10"/>
  <c r="AD28" i="10"/>
  <c r="AC28" i="10"/>
  <c r="AB28" i="10"/>
  <c r="AA28" i="10"/>
  <c r="Z28" i="10"/>
  <c r="Y28" i="10"/>
  <c r="X28" i="10"/>
  <c r="W28" i="10"/>
  <c r="P28" i="10"/>
  <c r="O28" i="10"/>
  <c r="AQ28" i="10" s="1"/>
  <c r="N28" i="10"/>
  <c r="AO28" i="10" s="1"/>
  <c r="AV28" i="10" s="1"/>
  <c r="M28" i="10"/>
  <c r="AV27" i="10"/>
  <c r="AU27" i="10"/>
  <c r="AT27" i="10"/>
  <c r="AP27" i="10"/>
  <c r="AO27" i="10"/>
  <c r="AN27" i="10"/>
  <c r="AI27" i="10"/>
  <c r="AH27" i="10"/>
  <c r="AF27" i="10"/>
  <c r="AE27" i="10"/>
  <c r="AD27" i="10"/>
  <c r="AC27" i="10"/>
  <c r="AA27" i="10"/>
  <c r="Z27" i="10"/>
  <c r="Y27" i="10"/>
  <c r="X27" i="10"/>
  <c r="W27" i="10"/>
  <c r="P27" i="10"/>
  <c r="O27" i="10"/>
  <c r="AQ27" i="10" s="1"/>
  <c r="N27" i="10"/>
  <c r="M27" i="10"/>
  <c r="AP26" i="10"/>
  <c r="AI26" i="10"/>
  <c r="AT26" i="10" s="1"/>
  <c r="AH26" i="10"/>
  <c r="AF26" i="10"/>
  <c r="AE26" i="10"/>
  <c r="AD26" i="10"/>
  <c r="AA26" i="10"/>
  <c r="Z26" i="10"/>
  <c r="Y26" i="10"/>
  <c r="X26" i="10"/>
  <c r="W26" i="10"/>
  <c r="P26" i="10"/>
  <c r="O26" i="10"/>
  <c r="AQ26" i="10" s="1"/>
  <c r="N26" i="10"/>
  <c r="AC26" i="10" s="1"/>
  <c r="M26" i="10"/>
  <c r="AT25" i="10"/>
  <c r="AP25" i="10"/>
  <c r="AI25" i="10"/>
  <c r="AN25" i="10" s="1"/>
  <c r="AH25" i="10"/>
  <c r="AF25" i="10"/>
  <c r="AE25" i="10"/>
  <c r="AA25" i="10"/>
  <c r="Z25" i="10"/>
  <c r="Y25" i="10"/>
  <c r="X25" i="10"/>
  <c r="W25" i="10"/>
  <c r="P25" i="10"/>
  <c r="O25" i="10"/>
  <c r="AD25" i="10" s="1"/>
  <c r="N25" i="10"/>
  <c r="M25" i="10"/>
  <c r="AR25" i="10" s="1"/>
  <c r="AI24" i="10"/>
  <c r="AH24" i="10"/>
  <c r="W24" i="10"/>
  <c r="AT23" i="10"/>
  <c r="AO23" i="10"/>
  <c r="AN23" i="10"/>
  <c r="AI23" i="10"/>
  <c r="AH23" i="10"/>
  <c r="AF23" i="10"/>
  <c r="AE23" i="10"/>
  <c r="AD23" i="10"/>
  <c r="AC23" i="10"/>
  <c r="AA23" i="10"/>
  <c r="Z23" i="10"/>
  <c r="Y23" i="10"/>
  <c r="X23" i="10"/>
  <c r="W23" i="10"/>
  <c r="P23" i="10"/>
  <c r="O23" i="10"/>
  <c r="AQ23" i="10" s="1"/>
  <c r="N23" i="10"/>
  <c r="M23" i="10"/>
  <c r="AP22" i="10"/>
  <c r="AI22" i="10"/>
  <c r="AT22" i="10" s="1"/>
  <c r="AH22" i="10"/>
  <c r="AF22" i="10"/>
  <c r="AE22" i="10"/>
  <c r="AD22" i="10"/>
  <c r="AA22" i="10"/>
  <c r="Z22" i="10"/>
  <c r="Y22" i="10"/>
  <c r="X22" i="10"/>
  <c r="W22" i="10"/>
  <c r="P22" i="10"/>
  <c r="O22" i="10"/>
  <c r="AQ22" i="10" s="1"/>
  <c r="N22" i="10"/>
  <c r="M22" i="10"/>
  <c r="AI21" i="10"/>
  <c r="AH21" i="10"/>
  <c r="W21" i="10"/>
  <c r="AU20" i="10"/>
  <c r="AT20" i="10"/>
  <c r="AP20" i="10"/>
  <c r="AN20" i="10"/>
  <c r="AJ20" i="10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AQ20" i="10" s="1"/>
  <c r="N20" i="10"/>
  <c r="AO20" i="10" s="1"/>
  <c r="AV20" i="10" s="1"/>
  <c r="M20" i="10"/>
  <c r="AT19" i="10"/>
  <c r="AO19" i="10"/>
  <c r="AN19" i="10"/>
  <c r="AI19" i="10"/>
  <c r="AH19" i="10"/>
  <c r="AF19" i="10"/>
  <c r="AE19" i="10"/>
  <c r="AD19" i="10"/>
  <c r="AC19" i="10"/>
  <c r="AA19" i="10"/>
  <c r="Z19" i="10"/>
  <c r="Y19" i="10"/>
  <c r="X19" i="10"/>
  <c r="W19" i="10"/>
  <c r="P19" i="10"/>
  <c r="O19" i="10"/>
  <c r="AQ19" i="10" s="1"/>
  <c r="N19" i="10"/>
  <c r="M19" i="10"/>
  <c r="AP18" i="10"/>
  <c r="AO18" i="10"/>
  <c r="AI18" i="10"/>
  <c r="AT18" i="10" s="1"/>
  <c r="AH18" i="10"/>
  <c r="AF18" i="10"/>
  <c r="AE18" i="10"/>
  <c r="AD18" i="10"/>
  <c r="AA18" i="10"/>
  <c r="Z18" i="10"/>
  <c r="Y18" i="10"/>
  <c r="X18" i="10"/>
  <c r="W18" i="10"/>
  <c r="P18" i="10"/>
  <c r="O18" i="10"/>
  <c r="AQ18" i="10" s="1"/>
  <c r="N18" i="10"/>
  <c r="AC18" i="10" s="1"/>
  <c r="M18" i="10"/>
  <c r="AT17" i="10"/>
  <c r="AP17" i="10"/>
  <c r="AI17" i="10"/>
  <c r="AN17" i="10" s="1"/>
  <c r="AH17" i="10"/>
  <c r="AF17" i="10"/>
  <c r="AE17" i="10"/>
  <c r="AA17" i="10"/>
  <c r="Z17" i="10"/>
  <c r="Y17" i="10"/>
  <c r="X17" i="10"/>
  <c r="W17" i="10"/>
  <c r="P17" i="10"/>
  <c r="O17" i="10"/>
  <c r="AD17" i="10" s="1"/>
  <c r="N17" i="10"/>
  <c r="M17" i="10"/>
  <c r="AR17" i="10" s="1"/>
  <c r="AR16" i="10"/>
  <c r="AQ16" i="10"/>
  <c r="AP16" i="10"/>
  <c r="AI16" i="10"/>
  <c r="AH16" i="10"/>
  <c r="AF16" i="10"/>
  <c r="AE16" i="10"/>
  <c r="AB16" i="10"/>
  <c r="AA16" i="10"/>
  <c r="Z16" i="10"/>
  <c r="Y16" i="10"/>
  <c r="X16" i="10"/>
  <c r="W16" i="10"/>
  <c r="P16" i="10"/>
  <c r="O16" i="10"/>
  <c r="AD16" i="10" s="1"/>
  <c r="N16" i="10"/>
  <c r="AO16" i="10" s="1"/>
  <c r="AV16" i="10" s="1"/>
  <c r="M16" i="10"/>
  <c r="AT15" i="10"/>
  <c r="AR15" i="10"/>
  <c r="AJ15" i="10"/>
  <c r="AI15" i="10"/>
  <c r="AN15" i="10" s="1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D15" i="10" s="1"/>
  <c r="N15" i="10"/>
  <c r="M15" i="10"/>
  <c r="AI14" i="10"/>
  <c r="AH14" i="10"/>
  <c r="W14" i="10"/>
  <c r="AT13" i="10"/>
  <c r="AP13" i="10"/>
  <c r="AI13" i="10"/>
  <c r="AN13" i="10" s="1"/>
  <c r="AH13" i="10"/>
  <c r="AF13" i="10"/>
  <c r="AE13" i="10"/>
  <c r="AA13" i="10"/>
  <c r="Z13" i="10"/>
  <c r="Y13" i="10"/>
  <c r="X13" i="10"/>
  <c r="W13" i="10"/>
  <c r="P13" i="10"/>
  <c r="O13" i="10"/>
  <c r="AD13" i="10" s="1"/>
  <c r="N13" i="10"/>
  <c r="M13" i="10"/>
  <c r="AR13" i="10" s="1"/>
  <c r="AR12" i="10"/>
  <c r="AQ12" i="10"/>
  <c r="AP12" i="10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AD12" i="10" s="1"/>
  <c r="N12" i="10"/>
  <c r="AO12" i="10" s="1"/>
  <c r="AV12" i="10" s="1"/>
  <c r="M12" i="10"/>
  <c r="AT11" i="10"/>
  <c r="AR11" i="10"/>
  <c r="AP11" i="10"/>
  <c r="AO11" i="10"/>
  <c r="AV11" i="10" s="1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D11" i="10" s="1"/>
  <c r="N11" i="10"/>
  <c r="M11" i="10"/>
  <c r="AT10" i="10"/>
  <c r="AP10" i="10"/>
  <c r="AN10" i="10"/>
  <c r="AJ10" i="10"/>
  <c r="AI10" i="10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V9" i="10"/>
  <c r="AU9" i="10"/>
  <c r="AT9" i="10"/>
  <c r="AP9" i="10"/>
  <c r="AO9" i="10"/>
  <c r="AN9" i="10"/>
  <c r="AJ9" i="10"/>
  <c r="AI9" i="10"/>
  <c r="AH9" i="10"/>
  <c r="AF9" i="10"/>
  <c r="AE9" i="10"/>
  <c r="AD9" i="10"/>
  <c r="AA9" i="10"/>
  <c r="Z9" i="10"/>
  <c r="Y9" i="10"/>
  <c r="X9" i="10"/>
  <c r="W9" i="10"/>
  <c r="P9" i="10"/>
  <c r="O9" i="10"/>
  <c r="AQ9" i="10" s="1"/>
  <c r="N9" i="10"/>
  <c r="AC9" i="10" s="1"/>
  <c r="M9" i="10"/>
  <c r="AI8" i="10"/>
  <c r="AH8" i="10"/>
  <c r="W8" i="10"/>
  <c r="AT7" i="10"/>
  <c r="AR7" i="10"/>
  <c r="AP7" i="10"/>
  <c r="AO7" i="10"/>
  <c r="AV7" i="10" s="1"/>
  <c r="AI7" i="10"/>
  <c r="AN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D7" i="10" s="1"/>
  <c r="N7" i="10"/>
  <c r="M7" i="10"/>
  <c r="AT6" i="10"/>
  <c r="AP6" i="10"/>
  <c r="AO6" i="10"/>
  <c r="AV6" i="10" s="1"/>
  <c r="AN6" i="10"/>
  <c r="AJ6" i="10"/>
  <c r="AI6" i="10"/>
  <c r="AH6" i="10"/>
  <c r="AF6" i="10"/>
  <c r="AE6" i="10"/>
  <c r="AD6" i="10"/>
  <c r="AC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Q3" i="10"/>
  <c r="AP3" i="10"/>
  <c r="AO3" i="10"/>
  <c r="AI3" i="10"/>
  <c r="AH3" i="10"/>
  <c r="AN2" i="10"/>
  <c r="AN44" i="10" s="1"/>
  <c r="AM2" i="10"/>
  <c r="AL2" i="10"/>
  <c r="AK2" i="10"/>
  <c r="AJ2" i="10"/>
  <c r="AJ25" i="10" s="1"/>
  <c r="AA2" i="10"/>
  <c r="A2" i="10"/>
  <c r="AU1" i="10"/>
  <c r="AR1" i="10"/>
  <c r="AQ1" i="10"/>
  <c r="AQ45" i="10" s="1"/>
  <c r="AP1" i="10"/>
  <c r="AP23" i="10" s="1"/>
  <c r="AO1" i="10"/>
  <c r="AO43" i="10" s="1"/>
  <c r="AJ1" i="10"/>
  <c r="AH1" i="10"/>
  <c r="AH2" i="10" s="1"/>
  <c r="AA1" i="10"/>
  <c r="A1" i="10"/>
  <c r="AT10" i="9"/>
  <c r="AR10" i="9"/>
  <c r="AP10" i="9"/>
  <c r="AO10" i="9"/>
  <c r="AV10" i="9" s="1"/>
  <c r="AI10" i="9"/>
  <c r="AN10" i="9" s="1"/>
  <c r="AH10" i="9"/>
  <c r="AF10" i="9"/>
  <c r="AE10" i="9"/>
  <c r="AC10" i="9"/>
  <c r="AB10" i="9"/>
  <c r="AA10" i="9"/>
  <c r="Z10" i="9"/>
  <c r="Y10" i="9"/>
  <c r="X10" i="9"/>
  <c r="W10" i="9"/>
  <c r="P10" i="9"/>
  <c r="O10" i="9"/>
  <c r="AD10" i="9" s="1"/>
  <c r="N10" i="9"/>
  <c r="M10" i="9"/>
  <c r="AU9" i="9"/>
  <c r="AT9" i="9"/>
  <c r="AP9" i="9"/>
  <c r="AO9" i="9"/>
  <c r="AV9" i="9" s="1"/>
  <c r="AN9" i="9"/>
  <c r="AJ9" i="9"/>
  <c r="AI9" i="9"/>
  <c r="AH9" i="9"/>
  <c r="AF9" i="9"/>
  <c r="AE9" i="9"/>
  <c r="AD9" i="9"/>
  <c r="AC9" i="9"/>
  <c r="AB9" i="9"/>
  <c r="AA9" i="9"/>
  <c r="Z9" i="9"/>
  <c r="Y9" i="9"/>
  <c r="X9" i="9"/>
  <c r="W9" i="9"/>
  <c r="P9" i="9"/>
  <c r="O9" i="9"/>
  <c r="N9" i="9"/>
  <c r="M9" i="9"/>
  <c r="AU8" i="9"/>
  <c r="AT8" i="9"/>
  <c r="AO8" i="9"/>
  <c r="AN8" i="9"/>
  <c r="AI8" i="9"/>
  <c r="AH8" i="9"/>
  <c r="AF8" i="9"/>
  <c r="AE8" i="9"/>
  <c r="AD8" i="9"/>
  <c r="AC8" i="9"/>
  <c r="AA8" i="9"/>
  <c r="Z8" i="9"/>
  <c r="Y8" i="9"/>
  <c r="X8" i="9"/>
  <c r="W8" i="9"/>
  <c r="P8" i="9"/>
  <c r="O8" i="9"/>
  <c r="AQ8" i="9" s="1"/>
  <c r="N8" i="9"/>
  <c r="M8" i="9"/>
  <c r="AP7" i="9"/>
  <c r="AI7" i="9"/>
  <c r="AT7" i="9" s="1"/>
  <c r="AH7" i="9"/>
  <c r="AF7" i="9"/>
  <c r="AE7" i="9"/>
  <c r="AA7" i="9"/>
  <c r="Z7" i="9"/>
  <c r="Y7" i="9"/>
  <c r="X7" i="9"/>
  <c r="W7" i="9"/>
  <c r="P7" i="9"/>
  <c r="O7" i="9"/>
  <c r="N7" i="9"/>
  <c r="AC7" i="9" s="1"/>
  <c r="M7" i="9"/>
  <c r="AP6" i="9"/>
  <c r="AI6" i="9"/>
  <c r="AN6" i="9" s="1"/>
  <c r="AH6" i="9"/>
  <c r="AF6" i="9"/>
  <c r="AE6" i="9"/>
  <c r="AA6" i="9"/>
  <c r="Z6" i="9"/>
  <c r="Y6" i="9"/>
  <c r="X6" i="9"/>
  <c r="W6" i="9"/>
  <c r="P6" i="9"/>
  <c r="O6" i="9"/>
  <c r="AD6" i="9" s="1"/>
  <c r="N6" i="9"/>
  <c r="M6" i="9"/>
  <c r="AR6" i="9" s="1"/>
  <c r="AI5" i="9"/>
  <c r="AH5" i="9"/>
  <c r="W5" i="9"/>
  <c r="AI4" i="9"/>
  <c r="AU3" i="9"/>
  <c r="AO3" i="9"/>
  <c r="AI3" i="9"/>
  <c r="AH3" i="9"/>
  <c r="AN2" i="9"/>
  <c r="AN7" i="9" s="1"/>
  <c r="AM2" i="9"/>
  <c r="AL2" i="9"/>
  <c r="AK2" i="9"/>
  <c r="AJ2" i="9"/>
  <c r="AJ8" i="9" s="1"/>
  <c r="AA2" i="9"/>
  <c r="A2" i="9"/>
  <c r="AU1" i="9"/>
  <c r="AU6" i="9" s="1"/>
  <c r="AR1" i="9"/>
  <c r="AR9" i="9" s="1"/>
  <c r="AQ1" i="9"/>
  <c r="AQ3" i="9" s="1"/>
  <c r="AP1" i="9"/>
  <c r="AO1" i="9"/>
  <c r="AA1" i="9"/>
  <c r="A1" i="9"/>
  <c r="AP26" i="8"/>
  <c r="AI26" i="8"/>
  <c r="AT26" i="8" s="1"/>
  <c r="AH26" i="8"/>
  <c r="AF26" i="8"/>
  <c r="AE26" i="8"/>
  <c r="AA26" i="8"/>
  <c r="Z26" i="8"/>
  <c r="Y26" i="8"/>
  <c r="X26" i="8"/>
  <c r="W26" i="8"/>
  <c r="P26" i="8"/>
  <c r="O26" i="8"/>
  <c r="N26" i="8"/>
  <c r="AC26" i="8" s="1"/>
  <c r="M26" i="8"/>
  <c r="AP25" i="8"/>
  <c r="AI25" i="8"/>
  <c r="AH25" i="8"/>
  <c r="AF25" i="8"/>
  <c r="AE25" i="8"/>
  <c r="AB25" i="8"/>
  <c r="AA25" i="8"/>
  <c r="Z25" i="8"/>
  <c r="Y25" i="8"/>
  <c r="X25" i="8"/>
  <c r="W25" i="8"/>
  <c r="P25" i="8"/>
  <c r="O25" i="8"/>
  <c r="N25" i="8"/>
  <c r="M25" i="8"/>
  <c r="AP24" i="8"/>
  <c r="AI24" i="8"/>
  <c r="AH24" i="8"/>
  <c r="AF24" i="8"/>
  <c r="AE24" i="8"/>
  <c r="AC24" i="8"/>
  <c r="AB24" i="8"/>
  <c r="AA24" i="8"/>
  <c r="Z24" i="8"/>
  <c r="Y24" i="8"/>
  <c r="X24" i="8"/>
  <c r="W24" i="8"/>
  <c r="P24" i="8"/>
  <c r="O24" i="8"/>
  <c r="N24" i="8"/>
  <c r="AO24" i="8" s="1"/>
  <c r="AV24" i="8" s="1"/>
  <c r="M24" i="8"/>
  <c r="AI23" i="8"/>
  <c r="AH23" i="8"/>
  <c r="W23" i="8"/>
  <c r="AP22" i="8"/>
  <c r="AI22" i="8"/>
  <c r="AT22" i="8" s="1"/>
  <c r="AH22" i="8"/>
  <c r="AF22" i="8"/>
  <c r="AE22" i="8"/>
  <c r="AA22" i="8"/>
  <c r="Z22" i="8"/>
  <c r="Y22" i="8"/>
  <c r="X22" i="8"/>
  <c r="W22" i="8"/>
  <c r="P22" i="8"/>
  <c r="O22" i="8"/>
  <c r="N22" i="8"/>
  <c r="AC22" i="8" s="1"/>
  <c r="M22" i="8"/>
  <c r="AI21" i="8"/>
  <c r="AH21" i="8"/>
  <c r="W21" i="8"/>
  <c r="AU20" i="8"/>
  <c r="AT20" i="8"/>
  <c r="AP20" i="8"/>
  <c r="AO20" i="8"/>
  <c r="AV20" i="8" s="1"/>
  <c r="AN20" i="8"/>
  <c r="AJ20" i="8"/>
  <c r="AI20" i="8"/>
  <c r="AH20" i="8"/>
  <c r="AF20" i="8"/>
  <c r="AE20" i="8"/>
  <c r="AD20" i="8"/>
  <c r="AC20" i="8"/>
  <c r="AA20" i="8"/>
  <c r="Z20" i="8"/>
  <c r="Y20" i="8"/>
  <c r="X20" i="8"/>
  <c r="W20" i="8"/>
  <c r="P20" i="8"/>
  <c r="O20" i="8"/>
  <c r="N20" i="8"/>
  <c r="M20" i="8"/>
  <c r="AV19" i="8"/>
  <c r="AU19" i="8"/>
  <c r="AT19" i="8"/>
  <c r="AP19" i="8"/>
  <c r="AO19" i="8"/>
  <c r="AI19" i="8"/>
  <c r="AH19" i="8"/>
  <c r="AF19" i="8"/>
  <c r="AE19" i="8"/>
  <c r="AD19" i="8"/>
  <c r="AA19" i="8"/>
  <c r="Z19" i="8"/>
  <c r="Y19" i="8"/>
  <c r="X19" i="8"/>
  <c r="W19" i="8"/>
  <c r="P19" i="8"/>
  <c r="O19" i="8"/>
  <c r="N19" i="8"/>
  <c r="AC19" i="8" s="1"/>
  <c r="M19" i="8"/>
  <c r="AI18" i="8"/>
  <c r="AH18" i="8"/>
  <c r="W18" i="8"/>
  <c r="AR17" i="8"/>
  <c r="AP17" i="8"/>
  <c r="AO17" i="8"/>
  <c r="AV17" i="8" s="1"/>
  <c r="AI17" i="8"/>
  <c r="AH17" i="8"/>
  <c r="AF17" i="8"/>
  <c r="AE17" i="8"/>
  <c r="AD17" i="8"/>
  <c r="AC17" i="8"/>
  <c r="AB17" i="8"/>
  <c r="AA17" i="8"/>
  <c r="Z17" i="8"/>
  <c r="Y17" i="8"/>
  <c r="X17" i="8"/>
  <c r="W17" i="8"/>
  <c r="P17" i="8"/>
  <c r="O17" i="8"/>
  <c r="N17" i="8"/>
  <c r="M17" i="8"/>
  <c r="AU16" i="8"/>
  <c r="AT16" i="8"/>
  <c r="AP16" i="8"/>
  <c r="AO16" i="8"/>
  <c r="AV16" i="8" s="1"/>
  <c r="AJ16" i="8"/>
  <c r="AI16" i="8"/>
  <c r="AH16" i="8"/>
  <c r="AF16" i="8"/>
  <c r="AE16" i="8"/>
  <c r="AD16" i="8"/>
  <c r="AC16" i="8"/>
  <c r="AA16" i="8"/>
  <c r="Z16" i="8"/>
  <c r="Y16" i="8"/>
  <c r="X16" i="8"/>
  <c r="W16" i="8"/>
  <c r="P16" i="8"/>
  <c r="O16" i="8"/>
  <c r="AQ16" i="8" s="1"/>
  <c r="N16" i="8"/>
  <c r="M16" i="8"/>
  <c r="AU15" i="8"/>
  <c r="AT15" i="8"/>
  <c r="AP15" i="8"/>
  <c r="AO15" i="8"/>
  <c r="AV15" i="8" s="1"/>
  <c r="AI15" i="8"/>
  <c r="AH15" i="8"/>
  <c r="AF15" i="8"/>
  <c r="AE15" i="8"/>
  <c r="AA15" i="8"/>
  <c r="Z15" i="8"/>
  <c r="Y15" i="8"/>
  <c r="X15" i="8"/>
  <c r="W15" i="8"/>
  <c r="P15" i="8"/>
  <c r="O15" i="8"/>
  <c r="N15" i="8"/>
  <c r="AC15" i="8" s="1"/>
  <c r="M15" i="8"/>
  <c r="AP14" i="8"/>
  <c r="AI14" i="8"/>
  <c r="AH14" i="8"/>
  <c r="AF14" i="8"/>
  <c r="AE14" i="8"/>
  <c r="AA14" i="8"/>
  <c r="Z14" i="8"/>
  <c r="Y14" i="8"/>
  <c r="X14" i="8"/>
  <c r="W14" i="8"/>
  <c r="P14" i="8"/>
  <c r="O14" i="8"/>
  <c r="AQ14" i="8" s="1"/>
  <c r="N14" i="8"/>
  <c r="AC14" i="8" s="1"/>
  <c r="M14" i="8"/>
  <c r="AB14" i="8" s="1"/>
  <c r="AQ13" i="8"/>
  <c r="AP13" i="8"/>
  <c r="AO13" i="8"/>
  <c r="AV13" i="8" s="1"/>
  <c r="AI13" i="8"/>
  <c r="AH13" i="8"/>
  <c r="AF13" i="8"/>
  <c r="AE13" i="8"/>
  <c r="AC13" i="8"/>
  <c r="AA13" i="8"/>
  <c r="Z13" i="8"/>
  <c r="Y13" i="8"/>
  <c r="X13" i="8"/>
  <c r="W13" i="8"/>
  <c r="P13" i="8"/>
  <c r="O13" i="8"/>
  <c r="AD13" i="8" s="1"/>
  <c r="N13" i="8"/>
  <c r="M13" i="8"/>
  <c r="AR13" i="8" s="1"/>
  <c r="AU12" i="8"/>
  <c r="AP12" i="8"/>
  <c r="AI12" i="8"/>
  <c r="AT12" i="8" s="1"/>
  <c r="AH12" i="8"/>
  <c r="AF12" i="8"/>
  <c r="AE12" i="8"/>
  <c r="AD12" i="8"/>
  <c r="AC12" i="8"/>
  <c r="AB12" i="8"/>
  <c r="AA12" i="8"/>
  <c r="Z12" i="8"/>
  <c r="Y12" i="8"/>
  <c r="X12" i="8"/>
  <c r="W12" i="8"/>
  <c r="P12" i="8"/>
  <c r="O12" i="8"/>
  <c r="N12" i="8"/>
  <c r="AO12" i="8" s="1"/>
  <c r="AV12" i="8" s="1"/>
  <c r="M12" i="8"/>
  <c r="AU11" i="8"/>
  <c r="AT11" i="8"/>
  <c r="AP11" i="8"/>
  <c r="AO11" i="8"/>
  <c r="AV11" i="8" s="1"/>
  <c r="AN11" i="8"/>
  <c r="AJ11" i="8"/>
  <c r="AI11" i="8"/>
  <c r="AH11" i="8"/>
  <c r="AF11" i="8"/>
  <c r="AE11" i="8"/>
  <c r="AD11" i="8"/>
  <c r="AC11" i="8"/>
  <c r="AA11" i="8"/>
  <c r="Z11" i="8"/>
  <c r="Y11" i="8"/>
  <c r="X11" i="8"/>
  <c r="W11" i="8"/>
  <c r="P11" i="8"/>
  <c r="O11" i="8"/>
  <c r="AQ11" i="8" s="1"/>
  <c r="N11" i="8"/>
  <c r="M11" i="8"/>
  <c r="AR11" i="8" s="1"/>
  <c r="AI10" i="8"/>
  <c r="AH10" i="8"/>
  <c r="W10" i="8"/>
  <c r="AQ9" i="8"/>
  <c r="AP9" i="8"/>
  <c r="AI9" i="8"/>
  <c r="AJ9" i="8" s="1"/>
  <c r="AH9" i="8"/>
  <c r="AF9" i="8"/>
  <c r="AE9" i="8"/>
  <c r="AA9" i="8"/>
  <c r="Z9" i="8"/>
  <c r="Y9" i="8"/>
  <c r="X9" i="8"/>
  <c r="W9" i="8"/>
  <c r="P9" i="8"/>
  <c r="O9" i="8"/>
  <c r="AD9" i="8" s="1"/>
  <c r="N9" i="8"/>
  <c r="AO9" i="8" s="1"/>
  <c r="AV9" i="8" s="1"/>
  <c r="M9" i="8"/>
  <c r="AR9" i="8" s="1"/>
  <c r="AI8" i="8"/>
  <c r="AH8" i="8"/>
  <c r="W8" i="8"/>
  <c r="AU7" i="8"/>
  <c r="AT7" i="8"/>
  <c r="AQ7" i="8"/>
  <c r="AP7" i="8"/>
  <c r="AJ7" i="8"/>
  <c r="AI7" i="8"/>
  <c r="AH7" i="8"/>
  <c r="AF7" i="8"/>
  <c r="AE7" i="8"/>
  <c r="AA7" i="8"/>
  <c r="Z7" i="8"/>
  <c r="Y7" i="8"/>
  <c r="X7" i="8"/>
  <c r="W7" i="8"/>
  <c r="P7" i="8"/>
  <c r="O7" i="8"/>
  <c r="AD7" i="8" s="1"/>
  <c r="N7" i="8"/>
  <c r="M7" i="8"/>
  <c r="AU6" i="8"/>
  <c r="AQ6" i="8"/>
  <c r="AP6" i="8"/>
  <c r="AI6" i="8"/>
  <c r="AN6" i="8" s="1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R6" i="8" s="1"/>
  <c r="AI5" i="8"/>
  <c r="AH5" i="8"/>
  <c r="W5" i="8"/>
  <c r="AI4" i="8"/>
  <c r="AU3" i="8"/>
  <c r="AR3" i="8"/>
  <c r="AQ3" i="8"/>
  <c r="AI3" i="8"/>
  <c r="AH3" i="8"/>
  <c r="AN2" i="8"/>
  <c r="AN15" i="8" s="1"/>
  <c r="AM2" i="8"/>
  <c r="AL2" i="8"/>
  <c r="AK2" i="8"/>
  <c r="AJ2" i="8"/>
  <c r="AA2" i="8"/>
  <c r="A2" i="8"/>
  <c r="AU1" i="8"/>
  <c r="AU25" i="8" s="1"/>
  <c r="AR1" i="8"/>
  <c r="AR25" i="8" s="1"/>
  <c r="AQ1" i="8"/>
  <c r="AQ12" i="8" s="1"/>
  <c r="AP1" i="8"/>
  <c r="AP3" i="8" s="1"/>
  <c r="AO1" i="8"/>
  <c r="AO3" i="8" s="1"/>
  <c r="AJ1" i="8"/>
  <c r="AH1" i="8"/>
  <c r="AH2" i="8" s="1"/>
  <c r="AA1" i="8"/>
  <c r="A1" i="8"/>
  <c r="AR30" i="7"/>
  <c r="AP30" i="7"/>
  <c r="AO30" i="7"/>
  <c r="AV30" i="7" s="1"/>
  <c r="AI30" i="7"/>
  <c r="AH30" i="7"/>
  <c r="AF30" i="7"/>
  <c r="AE30" i="7"/>
  <c r="AD30" i="7"/>
  <c r="AC30" i="7"/>
  <c r="AB30" i="7"/>
  <c r="AA30" i="7"/>
  <c r="Z30" i="7"/>
  <c r="Y30" i="7"/>
  <c r="X30" i="7"/>
  <c r="W30" i="7"/>
  <c r="P30" i="7"/>
  <c r="O30" i="7"/>
  <c r="AQ30" i="7" s="1"/>
  <c r="N30" i="7"/>
  <c r="M30" i="7"/>
  <c r="AT29" i="7"/>
  <c r="AP29" i="7"/>
  <c r="AO29" i="7"/>
  <c r="AV29" i="7" s="1"/>
  <c r="AN29" i="7"/>
  <c r="AJ29" i="7"/>
  <c r="AI29" i="7"/>
  <c r="AH29" i="7"/>
  <c r="AF29" i="7"/>
  <c r="AE29" i="7"/>
  <c r="AD29" i="7"/>
  <c r="AC29" i="7"/>
  <c r="AA29" i="7"/>
  <c r="Z29" i="7"/>
  <c r="Y29" i="7"/>
  <c r="X29" i="7"/>
  <c r="W29" i="7"/>
  <c r="P29" i="7"/>
  <c r="O29" i="7"/>
  <c r="AQ29" i="7" s="1"/>
  <c r="N29" i="7"/>
  <c r="M29" i="7"/>
  <c r="AR29" i="7" s="1"/>
  <c r="AU28" i="7"/>
  <c r="AP28" i="7"/>
  <c r="AO28" i="7"/>
  <c r="AV28" i="7" s="1"/>
  <c r="AN28" i="7"/>
  <c r="AI28" i="7"/>
  <c r="AT28" i="7" s="1"/>
  <c r="AH28" i="7"/>
  <c r="AF28" i="7"/>
  <c r="AE28" i="7"/>
  <c r="AD28" i="7"/>
  <c r="AA28" i="7"/>
  <c r="Z28" i="7"/>
  <c r="Y28" i="7"/>
  <c r="X28" i="7"/>
  <c r="W28" i="7"/>
  <c r="P28" i="7"/>
  <c r="O28" i="7"/>
  <c r="AQ28" i="7" s="1"/>
  <c r="N28" i="7"/>
  <c r="AC28" i="7" s="1"/>
  <c r="M28" i="7"/>
  <c r="AR28" i="7" s="1"/>
  <c r="AV27" i="7"/>
  <c r="AP27" i="7"/>
  <c r="AO27" i="7"/>
  <c r="AI27" i="7"/>
  <c r="AN27" i="7" s="1"/>
  <c r="AH27" i="7"/>
  <c r="AF27" i="7"/>
  <c r="AE27" i="7"/>
  <c r="AA27" i="7"/>
  <c r="Z27" i="7"/>
  <c r="Y27" i="7"/>
  <c r="X27" i="7"/>
  <c r="W27" i="7"/>
  <c r="P27" i="7"/>
  <c r="O27" i="7"/>
  <c r="AQ27" i="7" s="1"/>
  <c r="N27" i="7"/>
  <c r="AC27" i="7" s="1"/>
  <c r="M27" i="7"/>
  <c r="AP26" i="7"/>
  <c r="AI26" i="7"/>
  <c r="AT26" i="7" s="1"/>
  <c r="AH26" i="7"/>
  <c r="AF26" i="7"/>
  <c r="AE26" i="7"/>
  <c r="AB26" i="7"/>
  <c r="AA26" i="7"/>
  <c r="Z26" i="7"/>
  <c r="Y26" i="7"/>
  <c r="X26" i="7"/>
  <c r="W26" i="7"/>
  <c r="P26" i="7"/>
  <c r="O26" i="7"/>
  <c r="AQ26" i="7" s="1"/>
  <c r="N26" i="7"/>
  <c r="M26" i="7"/>
  <c r="AR25" i="7"/>
  <c r="AP25" i="7"/>
  <c r="AO25" i="7"/>
  <c r="AV25" i="7" s="1"/>
  <c r="AI25" i="7"/>
  <c r="AN25" i="7" s="1"/>
  <c r="AH25" i="7"/>
  <c r="AF25" i="7"/>
  <c r="AE25" i="7"/>
  <c r="AC25" i="7"/>
  <c r="AB25" i="7"/>
  <c r="AA25" i="7"/>
  <c r="Z25" i="7"/>
  <c r="Y25" i="7"/>
  <c r="X25" i="7"/>
  <c r="W25" i="7"/>
  <c r="P25" i="7"/>
  <c r="O25" i="7"/>
  <c r="N25" i="7"/>
  <c r="M25" i="7"/>
  <c r="AI24" i="7"/>
  <c r="AH24" i="7"/>
  <c r="W24" i="7"/>
  <c r="AV23" i="7"/>
  <c r="AP23" i="7"/>
  <c r="AO23" i="7"/>
  <c r="AI23" i="7"/>
  <c r="AN23" i="7" s="1"/>
  <c r="AH23" i="7"/>
  <c r="AF23" i="7"/>
  <c r="AE23" i="7"/>
  <c r="AA23" i="7"/>
  <c r="Z23" i="7"/>
  <c r="Y23" i="7"/>
  <c r="X23" i="7"/>
  <c r="W23" i="7"/>
  <c r="P23" i="7"/>
  <c r="O23" i="7"/>
  <c r="AQ23" i="7" s="1"/>
  <c r="N23" i="7"/>
  <c r="AC23" i="7" s="1"/>
  <c r="M23" i="7"/>
  <c r="AI22" i="7"/>
  <c r="AH22" i="7"/>
  <c r="W22" i="7"/>
  <c r="AU21" i="7"/>
  <c r="AT21" i="7"/>
  <c r="AP21" i="7"/>
  <c r="AN21" i="7"/>
  <c r="AJ21" i="7"/>
  <c r="AI21" i="7"/>
  <c r="AH21" i="7"/>
  <c r="AF21" i="7"/>
  <c r="AE21" i="7"/>
  <c r="AD21" i="7"/>
  <c r="AC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R21" i="7" s="1"/>
  <c r="AU20" i="7"/>
  <c r="AP20" i="7"/>
  <c r="AO20" i="7"/>
  <c r="AV20" i="7" s="1"/>
  <c r="AN20" i="7"/>
  <c r="AI20" i="7"/>
  <c r="AT20" i="7" s="1"/>
  <c r="AH20" i="7"/>
  <c r="AF20" i="7"/>
  <c r="AE20" i="7"/>
  <c r="AD20" i="7"/>
  <c r="AA20" i="7"/>
  <c r="Z20" i="7"/>
  <c r="Y20" i="7"/>
  <c r="X20" i="7"/>
  <c r="W20" i="7"/>
  <c r="P20" i="7"/>
  <c r="O20" i="7"/>
  <c r="AQ20" i="7" s="1"/>
  <c r="N20" i="7"/>
  <c r="AC20" i="7" s="1"/>
  <c r="M20" i="7"/>
  <c r="AR20" i="7" s="1"/>
  <c r="AI19" i="7"/>
  <c r="AH19" i="7"/>
  <c r="W19" i="7"/>
  <c r="AR18" i="7"/>
  <c r="AP18" i="7"/>
  <c r="AO18" i="7"/>
  <c r="AV18" i="7" s="1"/>
  <c r="AI18" i="7"/>
  <c r="AH18" i="7"/>
  <c r="AF18" i="7"/>
  <c r="AE18" i="7"/>
  <c r="AD18" i="7"/>
  <c r="AC18" i="7"/>
  <c r="AB18" i="7"/>
  <c r="AA18" i="7"/>
  <c r="Z18" i="7"/>
  <c r="Y18" i="7"/>
  <c r="X18" i="7"/>
  <c r="W18" i="7"/>
  <c r="P18" i="7"/>
  <c r="O18" i="7"/>
  <c r="AQ18" i="7" s="1"/>
  <c r="N18" i="7"/>
  <c r="M18" i="7"/>
  <c r="AU17" i="7"/>
  <c r="AT17" i="7"/>
  <c r="AP17" i="7"/>
  <c r="AN17" i="7"/>
  <c r="AJ17" i="7"/>
  <c r="AI17" i="7"/>
  <c r="AH17" i="7"/>
  <c r="AF17" i="7"/>
  <c r="AE17" i="7"/>
  <c r="AD17" i="7"/>
  <c r="AC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R17" i="7" s="1"/>
  <c r="AI16" i="7"/>
  <c r="AH16" i="7"/>
  <c r="W16" i="7"/>
  <c r="AR15" i="7"/>
  <c r="AQ15" i="7"/>
  <c r="AP15" i="7"/>
  <c r="AO15" i="7"/>
  <c r="AV15" i="7" s="1"/>
  <c r="AI15" i="7"/>
  <c r="AN15" i="7" s="1"/>
  <c r="AH15" i="7"/>
  <c r="AF15" i="7"/>
  <c r="AE15" i="7"/>
  <c r="AC15" i="7"/>
  <c r="AB15" i="7"/>
  <c r="AA15" i="7"/>
  <c r="Z15" i="7"/>
  <c r="Y15" i="7"/>
  <c r="X15" i="7"/>
  <c r="W15" i="7"/>
  <c r="P15" i="7"/>
  <c r="O15" i="7"/>
  <c r="AD15" i="7" s="1"/>
  <c r="N15" i="7"/>
  <c r="M15" i="7"/>
  <c r="AR14" i="7"/>
  <c r="AP14" i="7"/>
  <c r="AO14" i="7"/>
  <c r="AV14" i="7" s="1"/>
  <c r="AI14" i="7"/>
  <c r="AH14" i="7"/>
  <c r="AF14" i="7"/>
  <c r="AE14" i="7"/>
  <c r="AD14" i="7"/>
  <c r="AC14" i="7"/>
  <c r="AB14" i="7"/>
  <c r="AA14" i="7"/>
  <c r="Z14" i="7"/>
  <c r="Y14" i="7"/>
  <c r="X14" i="7"/>
  <c r="W14" i="7"/>
  <c r="P14" i="7"/>
  <c r="O14" i="7"/>
  <c r="AQ14" i="7" s="1"/>
  <c r="N14" i="7"/>
  <c r="M14" i="7"/>
  <c r="AU13" i="7"/>
  <c r="AT13" i="7"/>
  <c r="AP13" i="7"/>
  <c r="AN13" i="7"/>
  <c r="AJ13" i="7"/>
  <c r="AI13" i="7"/>
  <c r="AH13" i="7"/>
  <c r="AF13" i="7"/>
  <c r="AE13" i="7"/>
  <c r="AD13" i="7"/>
  <c r="AC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R13" i="7" s="1"/>
  <c r="AU12" i="7"/>
  <c r="AP12" i="7"/>
  <c r="AO12" i="7"/>
  <c r="AV12" i="7" s="1"/>
  <c r="AN12" i="7"/>
  <c r="AI12" i="7"/>
  <c r="AT12" i="7" s="1"/>
  <c r="AH12" i="7"/>
  <c r="AF12" i="7"/>
  <c r="AE12" i="7"/>
  <c r="AD12" i="7"/>
  <c r="AA12" i="7"/>
  <c r="Z12" i="7"/>
  <c r="Y12" i="7"/>
  <c r="X12" i="7"/>
  <c r="W12" i="7"/>
  <c r="P12" i="7"/>
  <c r="O12" i="7"/>
  <c r="AQ12" i="7" s="1"/>
  <c r="N12" i="7"/>
  <c r="AC12" i="7" s="1"/>
  <c r="M12" i="7"/>
  <c r="AR12" i="7" s="1"/>
  <c r="AI11" i="7"/>
  <c r="AH11" i="7"/>
  <c r="W11" i="7"/>
  <c r="AR10" i="7"/>
  <c r="AP10" i="7"/>
  <c r="AO10" i="7"/>
  <c r="AV10" i="7" s="1"/>
  <c r="AI10" i="7"/>
  <c r="AH10" i="7"/>
  <c r="AF10" i="7"/>
  <c r="AE10" i="7"/>
  <c r="AD10" i="7"/>
  <c r="AC10" i="7"/>
  <c r="AB10" i="7"/>
  <c r="AA10" i="7"/>
  <c r="Z10" i="7"/>
  <c r="Y10" i="7"/>
  <c r="X10" i="7"/>
  <c r="W10" i="7"/>
  <c r="P10" i="7"/>
  <c r="O10" i="7"/>
  <c r="AQ10" i="7" s="1"/>
  <c r="N10" i="7"/>
  <c r="M10" i="7"/>
  <c r="AU9" i="7"/>
  <c r="AT9" i="7"/>
  <c r="AP9" i="7"/>
  <c r="AN9" i="7"/>
  <c r="AJ9" i="7"/>
  <c r="AI9" i="7"/>
  <c r="AH9" i="7"/>
  <c r="AF9" i="7"/>
  <c r="AE9" i="7"/>
  <c r="AD9" i="7"/>
  <c r="AC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R9" i="7" s="1"/>
  <c r="AU8" i="7"/>
  <c r="AP8" i="7"/>
  <c r="AO8" i="7"/>
  <c r="AV8" i="7" s="1"/>
  <c r="AN8" i="7"/>
  <c r="AI8" i="7"/>
  <c r="AT8" i="7" s="1"/>
  <c r="AH8" i="7"/>
  <c r="AF8" i="7"/>
  <c r="AE8" i="7"/>
  <c r="AD8" i="7"/>
  <c r="AA8" i="7"/>
  <c r="Z8" i="7"/>
  <c r="Y8" i="7"/>
  <c r="X8" i="7"/>
  <c r="W8" i="7"/>
  <c r="P8" i="7"/>
  <c r="O8" i="7"/>
  <c r="AQ8" i="7" s="1"/>
  <c r="N8" i="7"/>
  <c r="AC8" i="7" s="1"/>
  <c r="M8" i="7"/>
  <c r="AR8" i="7" s="1"/>
  <c r="AP7" i="7"/>
  <c r="AO7" i="7"/>
  <c r="AV7" i="7" s="1"/>
  <c r="AI7" i="7"/>
  <c r="AN7" i="7" s="1"/>
  <c r="AH7" i="7"/>
  <c r="AF7" i="7"/>
  <c r="AE7" i="7"/>
  <c r="AA7" i="7"/>
  <c r="Z7" i="7"/>
  <c r="Y7" i="7"/>
  <c r="X7" i="7"/>
  <c r="W7" i="7"/>
  <c r="P7" i="7"/>
  <c r="O7" i="7"/>
  <c r="AQ7" i="7" s="1"/>
  <c r="N7" i="7"/>
  <c r="AC7" i="7" s="1"/>
  <c r="M7" i="7"/>
  <c r="AP6" i="7"/>
  <c r="AI6" i="7"/>
  <c r="AT6" i="7" s="1"/>
  <c r="AH6" i="7"/>
  <c r="AF6" i="7"/>
  <c r="AE6" i="7"/>
  <c r="AB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U3" i="7"/>
  <c r="AO3" i="7"/>
  <c r="AI3" i="7"/>
  <c r="AH3" i="7"/>
  <c r="AN2" i="7"/>
  <c r="AM2" i="7"/>
  <c r="AL2" i="7"/>
  <c r="AK2" i="7"/>
  <c r="AJ2" i="7"/>
  <c r="AH2" i="7"/>
  <c r="AA2" i="7"/>
  <c r="A2" i="7"/>
  <c r="AU1" i="7"/>
  <c r="AU25" i="7" s="1"/>
  <c r="AR1" i="7"/>
  <c r="AR26" i="7" s="1"/>
  <c r="AQ1" i="7"/>
  <c r="AQ3" i="7" s="1"/>
  <c r="AP1" i="7"/>
  <c r="AP3" i="7" s="1"/>
  <c r="AO1" i="7"/>
  <c r="AA1" i="7"/>
  <c r="A1" i="7"/>
  <c r="AH1" i="7" s="1"/>
  <c r="AI125" i="6"/>
  <c r="AN125" i="6" s="1"/>
  <c r="AH125" i="6"/>
  <c r="AF125" i="6"/>
  <c r="AE125" i="6"/>
  <c r="AA125" i="6"/>
  <c r="Z125" i="6"/>
  <c r="Y125" i="6"/>
  <c r="X125" i="6"/>
  <c r="W125" i="6"/>
  <c r="P125" i="6"/>
  <c r="O125" i="6"/>
  <c r="N125" i="6"/>
  <c r="AC125" i="6" s="1"/>
  <c r="M125" i="6"/>
  <c r="AI124" i="6"/>
  <c r="AT124" i="6" s="1"/>
  <c r="AH124" i="6"/>
  <c r="AF124" i="6"/>
  <c r="AE124" i="6"/>
  <c r="AB124" i="6"/>
  <c r="AA124" i="6"/>
  <c r="Z124" i="6"/>
  <c r="Y124" i="6"/>
  <c r="X124" i="6"/>
  <c r="W124" i="6"/>
  <c r="P124" i="6"/>
  <c r="O124" i="6"/>
  <c r="N124" i="6"/>
  <c r="M124" i="6"/>
  <c r="AI123" i="6"/>
  <c r="AH123" i="6"/>
  <c r="AF123" i="6"/>
  <c r="AE123" i="6"/>
  <c r="AC123" i="6"/>
  <c r="AB123" i="6"/>
  <c r="AA123" i="6"/>
  <c r="Z123" i="6"/>
  <c r="Y123" i="6"/>
  <c r="X123" i="6"/>
  <c r="W123" i="6"/>
  <c r="P123" i="6"/>
  <c r="O123" i="6"/>
  <c r="AD123" i="6" s="1"/>
  <c r="N123" i="6"/>
  <c r="M123" i="6"/>
  <c r="AP122" i="6"/>
  <c r="AO122" i="6"/>
  <c r="AV122" i="6" s="1"/>
  <c r="AI122" i="6"/>
  <c r="AH122" i="6"/>
  <c r="AF122" i="6"/>
  <c r="AE122" i="6"/>
  <c r="AD122" i="6"/>
  <c r="AC122" i="6"/>
  <c r="AB122" i="6"/>
  <c r="AA122" i="6"/>
  <c r="Z122" i="6"/>
  <c r="Y122" i="6"/>
  <c r="X122" i="6"/>
  <c r="W122" i="6"/>
  <c r="P122" i="6"/>
  <c r="O122" i="6"/>
  <c r="AQ122" i="6" s="1"/>
  <c r="N122" i="6"/>
  <c r="M122" i="6"/>
  <c r="AT121" i="6"/>
  <c r="AP121" i="6"/>
  <c r="AO121" i="6"/>
  <c r="AV121" i="6" s="1"/>
  <c r="AJ121" i="6"/>
  <c r="AI121" i="6"/>
  <c r="AH121" i="6"/>
  <c r="AF121" i="6"/>
  <c r="AE121" i="6"/>
  <c r="AD121" i="6"/>
  <c r="AC121" i="6"/>
  <c r="AA121" i="6"/>
  <c r="Z121" i="6"/>
  <c r="Y121" i="6"/>
  <c r="X121" i="6"/>
  <c r="W121" i="6"/>
  <c r="P121" i="6"/>
  <c r="O121" i="6"/>
  <c r="N121" i="6"/>
  <c r="M121" i="6"/>
  <c r="AI120" i="6"/>
  <c r="AT120" i="6" s="1"/>
  <c r="AH120" i="6"/>
  <c r="AF120" i="6"/>
  <c r="AE120" i="6"/>
  <c r="AD120" i="6"/>
  <c r="AA120" i="6"/>
  <c r="Z120" i="6"/>
  <c r="Y120" i="6"/>
  <c r="X120" i="6"/>
  <c r="W120" i="6"/>
  <c r="P120" i="6"/>
  <c r="O120" i="6"/>
  <c r="N120" i="6"/>
  <c r="AC120" i="6" s="1"/>
  <c r="M120" i="6"/>
  <c r="AI119" i="6"/>
  <c r="AH119" i="6"/>
  <c r="W119" i="6"/>
  <c r="AP118" i="6"/>
  <c r="AO118" i="6"/>
  <c r="AV118" i="6" s="1"/>
  <c r="AI118" i="6"/>
  <c r="AH118" i="6"/>
  <c r="AF118" i="6"/>
  <c r="AE118" i="6"/>
  <c r="AD118" i="6"/>
  <c r="AC118" i="6"/>
  <c r="AB118" i="6"/>
  <c r="AA118" i="6"/>
  <c r="Z118" i="6"/>
  <c r="Y118" i="6"/>
  <c r="X118" i="6"/>
  <c r="W118" i="6"/>
  <c r="P118" i="6"/>
  <c r="O118" i="6"/>
  <c r="N118" i="6"/>
  <c r="M118" i="6"/>
  <c r="AT117" i="6"/>
  <c r="AI117" i="6"/>
  <c r="AH117" i="6"/>
  <c r="AF117" i="6"/>
  <c r="AE117" i="6"/>
  <c r="AD117" i="6"/>
  <c r="AC117" i="6"/>
  <c r="AA117" i="6"/>
  <c r="Z117" i="6"/>
  <c r="Y117" i="6"/>
  <c r="X117" i="6"/>
  <c r="W117" i="6"/>
  <c r="P117" i="6"/>
  <c r="O117" i="6"/>
  <c r="N117" i="6"/>
  <c r="M117" i="6"/>
  <c r="AN116" i="6"/>
  <c r="AI116" i="6"/>
  <c r="AT116" i="6" s="1"/>
  <c r="AH116" i="6"/>
  <c r="AF116" i="6"/>
  <c r="AE116" i="6"/>
  <c r="AD116" i="6"/>
  <c r="AA116" i="6"/>
  <c r="Z116" i="6"/>
  <c r="Y116" i="6"/>
  <c r="X116" i="6"/>
  <c r="W116" i="6"/>
  <c r="P116" i="6"/>
  <c r="O116" i="6"/>
  <c r="AQ116" i="6" s="1"/>
  <c r="N116" i="6"/>
  <c r="AC116" i="6" s="1"/>
  <c r="M116" i="6"/>
  <c r="AI115" i="6"/>
  <c r="AH115" i="6"/>
  <c r="W115" i="6"/>
  <c r="AR114" i="6"/>
  <c r="AI114" i="6"/>
  <c r="AH114" i="6"/>
  <c r="AF114" i="6"/>
  <c r="AE114" i="6"/>
  <c r="AD114" i="6"/>
  <c r="AC114" i="6"/>
  <c r="AB114" i="6"/>
  <c r="AA114" i="6"/>
  <c r="Z114" i="6"/>
  <c r="Y114" i="6"/>
  <c r="X114" i="6"/>
  <c r="W114" i="6"/>
  <c r="P114" i="6"/>
  <c r="O114" i="6"/>
  <c r="N114" i="6"/>
  <c r="M114" i="6"/>
  <c r="AT113" i="6"/>
  <c r="AI113" i="6"/>
  <c r="AH113" i="6"/>
  <c r="AF113" i="6"/>
  <c r="AE113" i="6"/>
  <c r="AD113" i="6"/>
  <c r="AC113" i="6"/>
  <c r="AA113" i="6"/>
  <c r="Z113" i="6"/>
  <c r="Y113" i="6"/>
  <c r="X113" i="6"/>
  <c r="W113" i="6"/>
  <c r="P113" i="6"/>
  <c r="O113" i="6"/>
  <c r="N113" i="6"/>
  <c r="M113" i="6"/>
  <c r="AI112" i="6"/>
  <c r="AH112" i="6"/>
  <c r="W112" i="6"/>
  <c r="AI111" i="6"/>
  <c r="AH111" i="6"/>
  <c r="AF111" i="6"/>
  <c r="AE111" i="6"/>
  <c r="AC111" i="6"/>
  <c r="AB111" i="6"/>
  <c r="AA111" i="6"/>
  <c r="Z111" i="6"/>
  <c r="Y111" i="6"/>
  <c r="X111" i="6"/>
  <c r="W111" i="6"/>
  <c r="P111" i="6"/>
  <c r="O111" i="6"/>
  <c r="AD111" i="6" s="1"/>
  <c r="N111" i="6"/>
  <c r="M111" i="6"/>
  <c r="AI110" i="6"/>
  <c r="AH110" i="6"/>
  <c r="AF110" i="6"/>
  <c r="AE110" i="6"/>
  <c r="AD110" i="6"/>
  <c r="AC110" i="6"/>
  <c r="AB110" i="6"/>
  <c r="AA110" i="6"/>
  <c r="Z110" i="6"/>
  <c r="Y110" i="6"/>
  <c r="X110" i="6"/>
  <c r="W110" i="6"/>
  <c r="P110" i="6"/>
  <c r="O110" i="6"/>
  <c r="AQ110" i="6" s="1"/>
  <c r="N110" i="6"/>
  <c r="M110" i="6"/>
  <c r="AT109" i="6"/>
  <c r="AJ109" i="6"/>
  <c r="AI109" i="6"/>
  <c r="AH109" i="6"/>
  <c r="AF109" i="6"/>
  <c r="AE109" i="6"/>
  <c r="AD109" i="6"/>
  <c r="AC109" i="6"/>
  <c r="AA109" i="6"/>
  <c r="Z109" i="6"/>
  <c r="Y109" i="6"/>
  <c r="X109" i="6"/>
  <c r="W109" i="6"/>
  <c r="P109" i="6"/>
  <c r="O109" i="6"/>
  <c r="N109" i="6"/>
  <c r="M109" i="6"/>
  <c r="AO108" i="6"/>
  <c r="AI108" i="6"/>
  <c r="AT108" i="6" s="1"/>
  <c r="AH108" i="6"/>
  <c r="AF108" i="6"/>
  <c r="AE108" i="6"/>
  <c r="AD108" i="6"/>
  <c r="AA108" i="6"/>
  <c r="Z108" i="6"/>
  <c r="Y108" i="6"/>
  <c r="X108" i="6"/>
  <c r="W108" i="6"/>
  <c r="P108" i="6"/>
  <c r="O108" i="6"/>
  <c r="N108" i="6"/>
  <c r="AC108" i="6" s="1"/>
  <c r="M108" i="6"/>
  <c r="AI107" i="6"/>
  <c r="AH107" i="6"/>
  <c r="W107" i="6"/>
  <c r="AT106" i="6"/>
  <c r="AI106" i="6"/>
  <c r="AH106" i="6"/>
  <c r="AF106" i="6"/>
  <c r="AE106" i="6"/>
  <c r="AD106" i="6"/>
  <c r="AC106" i="6"/>
  <c r="AB106" i="6"/>
  <c r="AA106" i="6"/>
  <c r="Z106" i="6"/>
  <c r="Y106" i="6"/>
  <c r="X106" i="6"/>
  <c r="W106" i="6"/>
  <c r="P106" i="6"/>
  <c r="O106" i="6"/>
  <c r="N106" i="6"/>
  <c r="M106" i="6"/>
  <c r="AT105" i="6"/>
  <c r="AI105" i="6"/>
  <c r="AH105" i="6"/>
  <c r="AF105" i="6"/>
  <c r="AE105" i="6"/>
  <c r="AD105" i="6"/>
  <c r="AC105" i="6"/>
  <c r="AA105" i="6"/>
  <c r="Z105" i="6"/>
  <c r="Y105" i="6"/>
  <c r="X105" i="6"/>
  <c r="W105" i="6"/>
  <c r="P105" i="6"/>
  <c r="O105" i="6"/>
  <c r="AQ105" i="6" s="1"/>
  <c r="N105" i="6"/>
  <c r="M105" i="6"/>
  <c r="AI104" i="6"/>
  <c r="AH104" i="6"/>
  <c r="W104" i="6"/>
  <c r="AR103" i="6"/>
  <c r="AI103" i="6"/>
  <c r="AH103" i="6"/>
  <c r="AF103" i="6"/>
  <c r="AE103" i="6"/>
  <c r="AC103" i="6"/>
  <c r="AB103" i="6"/>
  <c r="AA103" i="6"/>
  <c r="Z103" i="6"/>
  <c r="Y103" i="6"/>
  <c r="X103" i="6"/>
  <c r="W103" i="6"/>
  <c r="P103" i="6"/>
  <c r="O103" i="6"/>
  <c r="AD103" i="6" s="1"/>
  <c r="N103" i="6"/>
  <c r="M103" i="6"/>
  <c r="AT102" i="6"/>
  <c r="AR102" i="6"/>
  <c r="AI102" i="6"/>
  <c r="AH102" i="6"/>
  <c r="AF102" i="6"/>
  <c r="AE102" i="6"/>
  <c r="AD102" i="6"/>
  <c r="AC102" i="6"/>
  <c r="AB102" i="6"/>
  <c r="AA102" i="6"/>
  <c r="Z102" i="6"/>
  <c r="Y102" i="6"/>
  <c r="X102" i="6"/>
  <c r="W102" i="6"/>
  <c r="P102" i="6"/>
  <c r="O102" i="6"/>
  <c r="N102" i="6"/>
  <c r="M102" i="6"/>
  <c r="AT101" i="6"/>
  <c r="AP101" i="6"/>
  <c r="AI101" i="6"/>
  <c r="AH101" i="6"/>
  <c r="AF101" i="6"/>
  <c r="AE101" i="6"/>
  <c r="AD101" i="6"/>
  <c r="AC101" i="6"/>
  <c r="AA101" i="6"/>
  <c r="Z101" i="6"/>
  <c r="Y101" i="6"/>
  <c r="X101" i="6"/>
  <c r="W101" i="6"/>
  <c r="P101" i="6"/>
  <c r="O101" i="6"/>
  <c r="N101" i="6"/>
  <c r="AO101" i="6" s="1"/>
  <c r="AV101" i="6" s="1"/>
  <c r="M101" i="6"/>
  <c r="AI100" i="6"/>
  <c r="AH100" i="6"/>
  <c r="W100" i="6"/>
  <c r="AQ99" i="6"/>
  <c r="AI99" i="6"/>
  <c r="AH99" i="6"/>
  <c r="AF99" i="6"/>
  <c r="AE99" i="6"/>
  <c r="AC99" i="6"/>
  <c r="AB99" i="6"/>
  <c r="AA99" i="6"/>
  <c r="Z99" i="6"/>
  <c r="Y99" i="6"/>
  <c r="X99" i="6"/>
  <c r="W99" i="6"/>
  <c r="P99" i="6"/>
  <c r="O99" i="6"/>
  <c r="AD99" i="6" s="1"/>
  <c r="N99" i="6"/>
  <c r="M99" i="6"/>
  <c r="AJ98" i="6"/>
  <c r="AI98" i="6"/>
  <c r="AT98" i="6" s="1"/>
  <c r="AH98" i="6"/>
  <c r="AF98" i="6"/>
  <c r="AE98" i="6"/>
  <c r="AD98" i="6"/>
  <c r="AC98" i="6"/>
  <c r="AB98" i="6"/>
  <c r="AA98" i="6"/>
  <c r="Z98" i="6"/>
  <c r="Y98" i="6"/>
  <c r="X98" i="6"/>
  <c r="W98" i="6"/>
  <c r="P98" i="6"/>
  <c r="O98" i="6"/>
  <c r="N98" i="6"/>
  <c r="M98" i="6"/>
  <c r="AT97" i="6"/>
  <c r="AI97" i="6"/>
  <c r="AH97" i="6"/>
  <c r="AF97" i="6"/>
  <c r="AE97" i="6"/>
  <c r="AD97" i="6"/>
  <c r="AC97" i="6"/>
  <c r="AA97" i="6"/>
  <c r="Z97" i="6"/>
  <c r="Y97" i="6"/>
  <c r="X97" i="6"/>
  <c r="W97" i="6"/>
  <c r="P97" i="6"/>
  <c r="O97" i="6"/>
  <c r="N97" i="6"/>
  <c r="M97" i="6"/>
  <c r="AI96" i="6"/>
  <c r="AT96" i="6" s="1"/>
  <c r="AH96" i="6"/>
  <c r="AF96" i="6"/>
  <c r="AE96" i="6"/>
  <c r="AD96" i="6"/>
  <c r="AA96" i="6"/>
  <c r="Z96" i="6"/>
  <c r="Y96" i="6"/>
  <c r="X96" i="6"/>
  <c r="W96" i="6"/>
  <c r="P96" i="6"/>
  <c r="O96" i="6"/>
  <c r="N96" i="6"/>
  <c r="AC96" i="6" s="1"/>
  <c r="M96" i="6"/>
  <c r="AI95" i="6"/>
  <c r="AH95" i="6"/>
  <c r="W95" i="6"/>
  <c r="AI94" i="6"/>
  <c r="AH94" i="6"/>
  <c r="AF94" i="6"/>
  <c r="AE94" i="6"/>
  <c r="AD94" i="6"/>
  <c r="AC94" i="6"/>
  <c r="AB94" i="6"/>
  <c r="AA94" i="6"/>
  <c r="Z94" i="6"/>
  <c r="Y94" i="6"/>
  <c r="X94" i="6"/>
  <c r="W94" i="6"/>
  <c r="P94" i="6"/>
  <c r="O94" i="6"/>
  <c r="N94" i="6"/>
  <c r="M94" i="6"/>
  <c r="AT93" i="6"/>
  <c r="AN93" i="6"/>
  <c r="AI93" i="6"/>
  <c r="AH93" i="6"/>
  <c r="AF93" i="6"/>
  <c r="AE93" i="6"/>
  <c r="AD93" i="6"/>
  <c r="AC93" i="6"/>
  <c r="AA93" i="6"/>
  <c r="Z93" i="6"/>
  <c r="Y93" i="6"/>
  <c r="X93" i="6"/>
  <c r="W93" i="6"/>
  <c r="P93" i="6"/>
  <c r="O93" i="6"/>
  <c r="N93" i="6"/>
  <c r="M93" i="6"/>
  <c r="AI92" i="6"/>
  <c r="AH92" i="6"/>
  <c r="W92" i="6"/>
  <c r="AI91" i="6"/>
  <c r="AH91" i="6"/>
  <c r="AF91" i="6"/>
  <c r="AE91" i="6"/>
  <c r="AC91" i="6"/>
  <c r="AB91" i="6"/>
  <c r="AA91" i="6"/>
  <c r="Z91" i="6"/>
  <c r="Y91" i="6"/>
  <c r="X91" i="6"/>
  <c r="W91" i="6"/>
  <c r="P91" i="6"/>
  <c r="O91" i="6"/>
  <c r="AD91" i="6" s="1"/>
  <c r="N91" i="6"/>
  <c r="M91" i="6"/>
  <c r="AP90" i="6"/>
  <c r="AO90" i="6"/>
  <c r="AV90" i="6" s="1"/>
  <c r="AI90" i="6"/>
  <c r="AH90" i="6"/>
  <c r="AF90" i="6"/>
  <c r="AE90" i="6"/>
  <c r="AD90" i="6"/>
  <c r="AC90" i="6"/>
  <c r="AB90" i="6"/>
  <c r="AA90" i="6"/>
  <c r="Z90" i="6"/>
  <c r="Y90" i="6"/>
  <c r="X90" i="6"/>
  <c r="W90" i="6"/>
  <c r="P90" i="6"/>
  <c r="O90" i="6"/>
  <c r="N90" i="6"/>
  <c r="M90" i="6"/>
  <c r="AI89" i="6"/>
  <c r="AH89" i="6"/>
  <c r="W89" i="6"/>
  <c r="AT88" i="6"/>
  <c r="AP88" i="6"/>
  <c r="AI88" i="6"/>
  <c r="AH88" i="6"/>
  <c r="AF88" i="6"/>
  <c r="AE88" i="6"/>
  <c r="AB88" i="6"/>
  <c r="AA88" i="6"/>
  <c r="Z88" i="6"/>
  <c r="Y88" i="6"/>
  <c r="X88" i="6"/>
  <c r="W88" i="6"/>
  <c r="P88" i="6"/>
  <c r="O88" i="6"/>
  <c r="AD88" i="6" s="1"/>
  <c r="N88" i="6"/>
  <c r="M88" i="6"/>
  <c r="AR87" i="6"/>
  <c r="AI87" i="6"/>
  <c r="AH87" i="6"/>
  <c r="AF87" i="6"/>
  <c r="AE87" i="6"/>
  <c r="AC87" i="6"/>
  <c r="AB87" i="6"/>
  <c r="AA87" i="6"/>
  <c r="Z87" i="6"/>
  <c r="Y87" i="6"/>
  <c r="X87" i="6"/>
  <c r="W87" i="6"/>
  <c r="P87" i="6"/>
  <c r="O87" i="6"/>
  <c r="AD87" i="6" s="1"/>
  <c r="N87" i="6"/>
  <c r="M87" i="6"/>
  <c r="AI86" i="6"/>
  <c r="AH86" i="6"/>
  <c r="W86" i="6"/>
  <c r="AI85" i="6"/>
  <c r="AH85" i="6"/>
  <c r="AF85" i="6"/>
  <c r="AE85" i="6"/>
  <c r="AA85" i="6"/>
  <c r="Z85" i="6"/>
  <c r="Y85" i="6"/>
  <c r="X85" i="6"/>
  <c r="W85" i="6"/>
  <c r="P85" i="6"/>
  <c r="O85" i="6"/>
  <c r="N85" i="6"/>
  <c r="AC85" i="6" s="1"/>
  <c r="M85" i="6"/>
  <c r="AT84" i="6"/>
  <c r="AI84" i="6"/>
  <c r="AH84" i="6"/>
  <c r="AF84" i="6"/>
  <c r="AE84" i="6"/>
  <c r="AB84" i="6"/>
  <c r="AA84" i="6"/>
  <c r="Z84" i="6"/>
  <c r="Y84" i="6"/>
  <c r="X84" i="6"/>
  <c r="W84" i="6"/>
  <c r="P84" i="6"/>
  <c r="O84" i="6"/>
  <c r="AD84" i="6" s="1"/>
  <c r="N84" i="6"/>
  <c r="M84" i="6"/>
  <c r="AI83" i="6"/>
  <c r="AH83" i="6"/>
  <c r="W83" i="6"/>
  <c r="AV82" i="6"/>
  <c r="AQ82" i="6"/>
  <c r="AP82" i="6"/>
  <c r="AO82" i="6"/>
  <c r="AI82" i="6"/>
  <c r="AT82" i="6" s="1"/>
  <c r="AH82" i="6"/>
  <c r="AF82" i="6"/>
  <c r="AE82" i="6"/>
  <c r="AA82" i="6"/>
  <c r="Z82" i="6"/>
  <c r="Y82" i="6"/>
  <c r="X82" i="6"/>
  <c r="W82" i="6"/>
  <c r="P82" i="6"/>
  <c r="O82" i="6"/>
  <c r="AD82" i="6" s="1"/>
  <c r="N82" i="6"/>
  <c r="AC82" i="6" s="1"/>
  <c r="M82" i="6"/>
  <c r="AI81" i="6"/>
  <c r="AH81" i="6"/>
  <c r="AF81" i="6"/>
  <c r="AE81" i="6"/>
  <c r="AA81" i="6"/>
  <c r="Z81" i="6"/>
  <c r="Y81" i="6"/>
  <c r="X81" i="6"/>
  <c r="W81" i="6"/>
  <c r="P81" i="6"/>
  <c r="O81" i="6"/>
  <c r="N81" i="6"/>
  <c r="AC81" i="6" s="1"/>
  <c r="M81" i="6"/>
  <c r="AB81" i="6" s="1"/>
  <c r="AI80" i="6"/>
  <c r="AH80" i="6"/>
  <c r="W80" i="6"/>
  <c r="AT79" i="6"/>
  <c r="AP79" i="6"/>
  <c r="AI79" i="6"/>
  <c r="AH79" i="6"/>
  <c r="AF79" i="6"/>
  <c r="AE79" i="6"/>
  <c r="AD79" i="6"/>
  <c r="AA79" i="6"/>
  <c r="Z79" i="6"/>
  <c r="Y79" i="6"/>
  <c r="X79" i="6"/>
  <c r="W79" i="6"/>
  <c r="P79" i="6"/>
  <c r="O79" i="6"/>
  <c r="N79" i="6"/>
  <c r="AC79" i="6" s="1"/>
  <c r="M79" i="6"/>
  <c r="AP78" i="6"/>
  <c r="AN78" i="6"/>
  <c r="AI78" i="6"/>
  <c r="AT78" i="6" s="1"/>
  <c r="AH78" i="6"/>
  <c r="AF78" i="6"/>
  <c r="AE78" i="6"/>
  <c r="AA78" i="6"/>
  <c r="Z78" i="6"/>
  <c r="Y78" i="6"/>
  <c r="X78" i="6"/>
  <c r="W78" i="6"/>
  <c r="P78" i="6"/>
  <c r="O78" i="6"/>
  <c r="N78" i="6"/>
  <c r="AC78" i="6" s="1"/>
  <c r="M78" i="6"/>
  <c r="AP77" i="6"/>
  <c r="AI77" i="6"/>
  <c r="AH77" i="6"/>
  <c r="AF77" i="6"/>
  <c r="AE77" i="6"/>
  <c r="AB77" i="6"/>
  <c r="AA77" i="6"/>
  <c r="Z77" i="6"/>
  <c r="Y77" i="6"/>
  <c r="X77" i="6"/>
  <c r="W77" i="6"/>
  <c r="P77" i="6"/>
  <c r="O77" i="6"/>
  <c r="AD77" i="6" s="1"/>
  <c r="N77" i="6"/>
  <c r="AC77" i="6" s="1"/>
  <c r="M77" i="6"/>
  <c r="AT76" i="6"/>
  <c r="AQ76" i="6"/>
  <c r="AI76" i="6"/>
  <c r="AH76" i="6"/>
  <c r="AF76" i="6"/>
  <c r="AE76" i="6"/>
  <c r="AC76" i="6"/>
  <c r="AB76" i="6"/>
  <c r="AA76" i="6"/>
  <c r="Z76" i="6"/>
  <c r="Y76" i="6"/>
  <c r="X76" i="6"/>
  <c r="W76" i="6"/>
  <c r="P76" i="6"/>
  <c r="O76" i="6"/>
  <c r="AD76" i="6" s="1"/>
  <c r="N76" i="6"/>
  <c r="M76" i="6"/>
  <c r="AT75" i="6"/>
  <c r="AP75" i="6"/>
  <c r="AO75" i="6"/>
  <c r="AV75" i="6" s="1"/>
  <c r="AN75" i="6"/>
  <c r="AI75" i="6"/>
  <c r="AH75" i="6"/>
  <c r="AF75" i="6"/>
  <c r="AE75" i="6"/>
  <c r="AD75" i="6"/>
  <c r="AC75" i="6"/>
  <c r="AB75" i="6"/>
  <c r="AA75" i="6"/>
  <c r="Z75" i="6"/>
  <c r="Y75" i="6"/>
  <c r="X75" i="6"/>
  <c r="W75" i="6"/>
  <c r="P75" i="6"/>
  <c r="O75" i="6"/>
  <c r="AQ75" i="6" s="1"/>
  <c r="N75" i="6"/>
  <c r="M75" i="6"/>
  <c r="AJ74" i="6"/>
  <c r="AI74" i="6"/>
  <c r="AT74" i="6" s="1"/>
  <c r="AH74" i="6"/>
  <c r="AF74" i="6"/>
  <c r="AE74" i="6"/>
  <c r="AD74" i="6"/>
  <c r="AC74" i="6"/>
  <c r="AB74" i="6"/>
  <c r="AA74" i="6"/>
  <c r="Z74" i="6"/>
  <c r="Y74" i="6"/>
  <c r="X74" i="6"/>
  <c r="W74" i="6"/>
  <c r="P74" i="6"/>
  <c r="O74" i="6"/>
  <c r="N74" i="6"/>
  <c r="M74" i="6"/>
  <c r="AR74" i="6" s="1"/>
  <c r="AT73" i="6"/>
  <c r="AI73" i="6"/>
  <c r="AH73" i="6"/>
  <c r="AF73" i="6"/>
  <c r="AE73" i="6"/>
  <c r="AD73" i="6"/>
  <c r="AA73" i="6"/>
  <c r="Z73" i="6"/>
  <c r="Y73" i="6"/>
  <c r="X73" i="6"/>
  <c r="W73" i="6"/>
  <c r="P73" i="6"/>
  <c r="O73" i="6"/>
  <c r="AQ73" i="6" s="1"/>
  <c r="N73" i="6"/>
  <c r="AO73" i="6" s="1"/>
  <c r="M73" i="6"/>
  <c r="AI72" i="6"/>
  <c r="AH72" i="6"/>
  <c r="W72" i="6"/>
  <c r="AI71" i="6"/>
  <c r="AH71" i="6"/>
  <c r="AF71" i="6"/>
  <c r="AE71" i="6"/>
  <c r="AC71" i="6"/>
  <c r="AB71" i="6"/>
  <c r="AA71" i="6"/>
  <c r="Z71" i="6"/>
  <c r="Y71" i="6"/>
  <c r="X71" i="6"/>
  <c r="W71" i="6"/>
  <c r="P71" i="6"/>
  <c r="O71" i="6"/>
  <c r="AQ71" i="6" s="1"/>
  <c r="N71" i="6"/>
  <c r="M71" i="6"/>
  <c r="AV70" i="6"/>
  <c r="AT70" i="6"/>
  <c r="AP70" i="6"/>
  <c r="AO70" i="6"/>
  <c r="AI70" i="6"/>
  <c r="AH70" i="6"/>
  <c r="AF70" i="6"/>
  <c r="AE70" i="6"/>
  <c r="AD70" i="6"/>
  <c r="AC70" i="6"/>
  <c r="AB70" i="6"/>
  <c r="AA70" i="6"/>
  <c r="Z70" i="6"/>
  <c r="Y70" i="6"/>
  <c r="X70" i="6"/>
  <c r="W70" i="6"/>
  <c r="P70" i="6"/>
  <c r="O70" i="6"/>
  <c r="N70" i="6"/>
  <c r="M70" i="6"/>
  <c r="AT69" i="6"/>
  <c r="AI69" i="6"/>
  <c r="AH69" i="6"/>
  <c r="AF69" i="6"/>
  <c r="AE69" i="6"/>
  <c r="AD69" i="6"/>
  <c r="AA69" i="6"/>
  <c r="Z69" i="6"/>
  <c r="Y69" i="6"/>
  <c r="X69" i="6"/>
  <c r="W69" i="6"/>
  <c r="P69" i="6"/>
  <c r="O69" i="6"/>
  <c r="N69" i="6"/>
  <c r="M69" i="6"/>
  <c r="AI68" i="6"/>
  <c r="AH68" i="6"/>
  <c r="W68" i="6"/>
  <c r="AT67" i="6"/>
  <c r="AP67" i="6"/>
  <c r="AO67" i="6"/>
  <c r="AV67" i="6" s="1"/>
  <c r="AJ67" i="6"/>
  <c r="AI67" i="6"/>
  <c r="AN67" i="6" s="1"/>
  <c r="AH67" i="6"/>
  <c r="AF67" i="6"/>
  <c r="AE67" i="6"/>
  <c r="AC67" i="6"/>
  <c r="AB67" i="6"/>
  <c r="AA67" i="6"/>
  <c r="Z67" i="6"/>
  <c r="Y67" i="6"/>
  <c r="X67" i="6"/>
  <c r="W67" i="6"/>
  <c r="P67" i="6"/>
  <c r="O67" i="6"/>
  <c r="AQ67" i="6" s="1"/>
  <c r="N67" i="6"/>
  <c r="M67" i="6"/>
  <c r="AP66" i="6"/>
  <c r="AO66" i="6"/>
  <c r="AV66" i="6" s="1"/>
  <c r="AJ66" i="6"/>
  <c r="AI66" i="6"/>
  <c r="AT66" i="6" s="1"/>
  <c r="AH66" i="6"/>
  <c r="AF66" i="6"/>
  <c r="AE66" i="6"/>
  <c r="AD66" i="6"/>
  <c r="AC66" i="6"/>
  <c r="AB66" i="6"/>
  <c r="AA66" i="6"/>
  <c r="Z66" i="6"/>
  <c r="Y66" i="6"/>
  <c r="X66" i="6"/>
  <c r="W66" i="6"/>
  <c r="P66" i="6"/>
  <c r="O66" i="6"/>
  <c r="N66" i="6"/>
  <c r="M66" i="6"/>
  <c r="AR66" i="6" s="1"/>
  <c r="AT65" i="6"/>
  <c r="AP65" i="6"/>
  <c r="AI65" i="6"/>
  <c r="AH65" i="6"/>
  <c r="AF65" i="6"/>
  <c r="AE65" i="6"/>
  <c r="AD65" i="6"/>
  <c r="AA65" i="6"/>
  <c r="Z65" i="6"/>
  <c r="Y65" i="6"/>
  <c r="X65" i="6"/>
  <c r="W65" i="6"/>
  <c r="P65" i="6"/>
  <c r="O65" i="6"/>
  <c r="AQ65" i="6" s="1"/>
  <c r="N65" i="6"/>
  <c r="AO65" i="6" s="1"/>
  <c r="AV65" i="6" s="1"/>
  <c r="M65" i="6"/>
  <c r="AP64" i="6"/>
  <c r="AO64" i="6"/>
  <c r="AV64" i="6" s="1"/>
  <c r="AI64" i="6"/>
  <c r="AT64" i="6" s="1"/>
  <c r="AH64" i="6"/>
  <c r="AF64" i="6"/>
  <c r="AE64" i="6"/>
  <c r="AD64" i="6"/>
  <c r="AA64" i="6"/>
  <c r="Z64" i="6"/>
  <c r="Y64" i="6"/>
  <c r="X64" i="6"/>
  <c r="W64" i="6"/>
  <c r="P64" i="6"/>
  <c r="O64" i="6"/>
  <c r="AQ64" i="6" s="1"/>
  <c r="N64" i="6"/>
  <c r="AC64" i="6" s="1"/>
  <c r="M64" i="6"/>
  <c r="AR63" i="6"/>
  <c r="AP63" i="6"/>
  <c r="AI63" i="6"/>
  <c r="AH63" i="6"/>
  <c r="AF63" i="6"/>
  <c r="AE63" i="6"/>
  <c r="AA63" i="6"/>
  <c r="Z63" i="6"/>
  <c r="Y63" i="6"/>
  <c r="X63" i="6"/>
  <c r="W63" i="6"/>
  <c r="P63" i="6"/>
  <c r="O63" i="6"/>
  <c r="AD63" i="6" s="1"/>
  <c r="N63" i="6"/>
  <c r="AC63" i="6" s="1"/>
  <c r="M63" i="6"/>
  <c r="AB63" i="6" s="1"/>
  <c r="AI62" i="6"/>
  <c r="AH62" i="6"/>
  <c r="W62" i="6"/>
  <c r="AT61" i="6"/>
  <c r="AP61" i="6"/>
  <c r="AI61" i="6"/>
  <c r="AH61" i="6"/>
  <c r="AF61" i="6"/>
  <c r="AE61" i="6"/>
  <c r="AD61" i="6"/>
  <c r="AA61" i="6"/>
  <c r="Z61" i="6"/>
  <c r="Y61" i="6"/>
  <c r="X61" i="6"/>
  <c r="W61" i="6"/>
  <c r="P61" i="6"/>
  <c r="O61" i="6"/>
  <c r="N61" i="6"/>
  <c r="AC61" i="6" s="1"/>
  <c r="M61" i="6"/>
  <c r="AN60" i="6"/>
  <c r="AI60" i="6"/>
  <c r="AT60" i="6" s="1"/>
  <c r="AH60" i="6"/>
  <c r="AF60" i="6"/>
  <c r="AE60" i="6"/>
  <c r="AA60" i="6"/>
  <c r="Z60" i="6"/>
  <c r="Y60" i="6"/>
  <c r="X60" i="6"/>
  <c r="W60" i="6"/>
  <c r="P60" i="6"/>
  <c r="O60" i="6"/>
  <c r="N60" i="6"/>
  <c r="AC60" i="6" s="1"/>
  <c r="M60" i="6"/>
  <c r="AI59" i="6"/>
  <c r="AH59" i="6"/>
  <c r="W59" i="6"/>
  <c r="AN58" i="6"/>
  <c r="AI58" i="6"/>
  <c r="AT58" i="6" s="1"/>
  <c r="AH58" i="6"/>
  <c r="AF58" i="6"/>
  <c r="AE58" i="6"/>
  <c r="AD58" i="6"/>
  <c r="AC58" i="6"/>
  <c r="AB58" i="6"/>
  <c r="AA58" i="6"/>
  <c r="Z58" i="6"/>
  <c r="Y58" i="6"/>
  <c r="X58" i="6"/>
  <c r="W58" i="6"/>
  <c r="P58" i="6"/>
  <c r="O58" i="6"/>
  <c r="N58" i="6"/>
  <c r="AO58" i="6" s="1"/>
  <c r="M58" i="6"/>
  <c r="AR58" i="6" s="1"/>
  <c r="AT57" i="6"/>
  <c r="AN57" i="6"/>
  <c r="AI57" i="6"/>
  <c r="AH57" i="6"/>
  <c r="AF57" i="6"/>
  <c r="AE57" i="6"/>
  <c r="AD57" i="6"/>
  <c r="AC57" i="6"/>
  <c r="AA57" i="6"/>
  <c r="Z57" i="6"/>
  <c r="Y57" i="6"/>
  <c r="X57" i="6"/>
  <c r="W57" i="6"/>
  <c r="P57" i="6"/>
  <c r="O57" i="6"/>
  <c r="AQ57" i="6" s="1"/>
  <c r="N57" i="6"/>
  <c r="M57" i="6"/>
  <c r="AP56" i="6"/>
  <c r="AI56" i="6"/>
  <c r="AH56" i="6"/>
  <c r="AF56" i="6"/>
  <c r="AE56" i="6"/>
  <c r="AA56" i="6"/>
  <c r="Z56" i="6"/>
  <c r="Y56" i="6"/>
  <c r="X56" i="6"/>
  <c r="W56" i="6"/>
  <c r="P56" i="6"/>
  <c r="O56" i="6"/>
  <c r="N56" i="6"/>
  <c r="AC56" i="6" s="1"/>
  <c r="M56" i="6"/>
  <c r="AB56" i="6" s="1"/>
  <c r="AQ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N54" i="6"/>
  <c r="AI54" i="6"/>
  <c r="AT54" i="6" s="1"/>
  <c r="AH54" i="6"/>
  <c r="AF54" i="6"/>
  <c r="AE54" i="6"/>
  <c r="AD54" i="6"/>
  <c r="AC54" i="6"/>
  <c r="AB54" i="6"/>
  <c r="AA54" i="6"/>
  <c r="Z54" i="6"/>
  <c r="Y54" i="6"/>
  <c r="X54" i="6"/>
  <c r="W54" i="6"/>
  <c r="P54" i="6"/>
  <c r="O54" i="6"/>
  <c r="N54" i="6"/>
  <c r="M54" i="6"/>
  <c r="AN53" i="6"/>
  <c r="AI53" i="6"/>
  <c r="AT53" i="6" s="1"/>
  <c r="AH53" i="6"/>
  <c r="AF53" i="6"/>
  <c r="AE53" i="6"/>
  <c r="AD53" i="6"/>
  <c r="AC53" i="6"/>
  <c r="AB53" i="6"/>
  <c r="AA53" i="6"/>
  <c r="Z53" i="6"/>
  <c r="Y53" i="6"/>
  <c r="X53" i="6"/>
  <c r="W53" i="6"/>
  <c r="P53" i="6"/>
  <c r="O53" i="6"/>
  <c r="N53" i="6"/>
  <c r="AO53" i="6" s="1"/>
  <c r="M53" i="6"/>
  <c r="AR53" i="6" s="1"/>
  <c r="AI52" i="6"/>
  <c r="AH52" i="6"/>
  <c r="W52" i="6"/>
  <c r="AR51" i="6"/>
  <c r="AP51" i="6"/>
  <c r="AI51" i="6"/>
  <c r="AH51" i="6"/>
  <c r="AF51" i="6"/>
  <c r="AE51" i="6"/>
  <c r="AB51" i="6"/>
  <c r="AA51" i="6"/>
  <c r="Z51" i="6"/>
  <c r="Y51" i="6"/>
  <c r="X51" i="6"/>
  <c r="W51" i="6"/>
  <c r="P51" i="6"/>
  <c r="O51" i="6"/>
  <c r="AQ51" i="6" s="1"/>
  <c r="N51" i="6"/>
  <c r="AO51" i="6" s="1"/>
  <c r="AV51" i="6" s="1"/>
  <c r="M51" i="6"/>
  <c r="AT50" i="6"/>
  <c r="AJ50" i="6"/>
  <c r="AI50" i="6"/>
  <c r="AN50" i="6" s="1"/>
  <c r="AH50" i="6"/>
  <c r="AF50" i="6"/>
  <c r="AE50" i="6"/>
  <c r="AC50" i="6"/>
  <c r="AB50" i="6"/>
  <c r="AA50" i="6"/>
  <c r="Z50" i="6"/>
  <c r="Y50" i="6"/>
  <c r="X50" i="6"/>
  <c r="W50" i="6"/>
  <c r="P50" i="6"/>
  <c r="O50" i="6"/>
  <c r="AQ50" i="6" s="1"/>
  <c r="N50" i="6"/>
  <c r="M50" i="6"/>
  <c r="AT49" i="6"/>
  <c r="AP49" i="6"/>
  <c r="AN49" i="6"/>
  <c r="AI49" i="6"/>
  <c r="AH49" i="6"/>
  <c r="AF49" i="6"/>
  <c r="AE49" i="6"/>
  <c r="AD49" i="6"/>
  <c r="AC49" i="6"/>
  <c r="AB49" i="6"/>
  <c r="AA49" i="6"/>
  <c r="Z49" i="6"/>
  <c r="Y49" i="6"/>
  <c r="X49" i="6"/>
  <c r="W49" i="6"/>
  <c r="P49" i="6"/>
  <c r="O49" i="6"/>
  <c r="AQ49" i="6" s="1"/>
  <c r="N49" i="6"/>
  <c r="AO49" i="6" s="1"/>
  <c r="AV49" i="6" s="1"/>
  <c r="M49" i="6"/>
  <c r="AV48" i="6"/>
  <c r="AT48" i="6"/>
  <c r="AP48" i="6"/>
  <c r="AO48" i="6"/>
  <c r="AI48" i="6"/>
  <c r="AH48" i="6"/>
  <c r="AF48" i="6"/>
  <c r="AE48" i="6"/>
  <c r="AD48" i="6"/>
  <c r="AC48" i="6"/>
  <c r="AA48" i="6"/>
  <c r="Z48" i="6"/>
  <c r="Y48" i="6"/>
  <c r="X48" i="6"/>
  <c r="W48" i="6"/>
  <c r="P48" i="6"/>
  <c r="O48" i="6"/>
  <c r="AQ48" i="6" s="1"/>
  <c r="N48" i="6"/>
  <c r="M48" i="6"/>
  <c r="AP47" i="6"/>
  <c r="AI47" i="6"/>
  <c r="AN47" i="6" s="1"/>
  <c r="AH47" i="6"/>
  <c r="AF47" i="6"/>
  <c r="AE47" i="6"/>
  <c r="AD47" i="6"/>
  <c r="AA47" i="6"/>
  <c r="Z47" i="6"/>
  <c r="Y47" i="6"/>
  <c r="X47" i="6"/>
  <c r="W47" i="6"/>
  <c r="P47" i="6"/>
  <c r="O47" i="6"/>
  <c r="AQ47" i="6" s="1"/>
  <c r="N47" i="6"/>
  <c r="M47" i="6"/>
  <c r="AR47" i="6" s="1"/>
  <c r="AI46" i="6"/>
  <c r="AH46" i="6"/>
  <c r="W46" i="6"/>
  <c r="AU45" i="6"/>
  <c r="AT45" i="6"/>
  <c r="AN45" i="6"/>
  <c r="AI45" i="6"/>
  <c r="AH45" i="6"/>
  <c r="AF45" i="6"/>
  <c r="AE45" i="6"/>
  <c r="AD45" i="6"/>
  <c r="AC45" i="6"/>
  <c r="AB45" i="6"/>
  <c r="AA45" i="6"/>
  <c r="Z45" i="6"/>
  <c r="Y45" i="6"/>
  <c r="X45" i="6"/>
  <c r="W45" i="6"/>
  <c r="P45" i="6"/>
  <c r="O45" i="6"/>
  <c r="AQ45" i="6" s="1"/>
  <c r="N45" i="6"/>
  <c r="AO45" i="6" s="1"/>
  <c r="M45" i="6"/>
  <c r="AI44" i="6"/>
  <c r="AH44" i="6"/>
  <c r="W44" i="6"/>
  <c r="AR43" i="6"/>
  <c r="AI43" i="6"/>
  <c r="AH43" i="6"/>
  <c r="AF43" i="6"/>
  <c r="AE43" i="6"/>
  <c r="AB43" i="6"/>
  <c r="AA43" i="6"/>
  <c r="Z43" i="6"/>
  <c r="Y43" i="6"/>
  <c r="X43" i="6"/>
  <c r="W43" i="6"/>
  <c r="P43" i="6"/>
  <c r="O43" i="6"/>
  <c r="AQ43" i="6" s="1"/>
  <c r="N43" i="6"/>
  <c r="AO43" i="6" s="1"/>
  <c r="M43" i="6"/>
  <c r="AT42" i="6"/>
  <c r="AJ42" i="6"/>
  <c r="AI42" i="6"/>
  <c r="AN42" i="6" s="1"/>
  <c r="AH42" i="6"/>
  <c r="AF42" i="6"/>
  <c r="AE42" i="6"/>
  <c r="AC42" i="6"/>
  <c r="AB42" i="6"/>
  <c r="AA42" i="6"/>
  <c r="Z42" i="6"/>
  <c r="Y42" i="6"/>
  <c r="X42" i="6"/>
  <c r="W42" i="6"/>
  <c r="P42" i="6"/>
  <c r="O42" i="6"/>
  <c r="AQ42" i="6" s="1"/>
  <c r="N42" i="6"/>
  <c r="M42" i="6"/>
  <c r="AI41" i="6"/>
  <c r="AH41" i="6"/>
  <c r="W41" i="6"/>
  <c r="AT40" i="6"/>
  <c r="AI40" i="6"/>
  <c r="AN40" i="6" s="1"/>
  <c r="AH40" i="6"/>
  <c r="AF40" i="6"/>
  <c r="AE40" i="6"/>
  <c r="AA40" i="6"/>
  <c r="Z40" i="6"/>
  <c r="Y40" i="6"/>
  <c r="X40" i="6"/>
  <c r="W40" i="6"/>
  <c r="P40" i="6"/>
  <c r="O40" i="6"/>
  <c r="AD40" i="6" s="1"/>
  <c r="N40" i="6"/>
  <c r="AO40" i="6" s="1"/>
  <c r="M40" i="6"/>
  <c r="AR40" i="6" s="1"/>
  <c r="AR39" i="6"/>
  <c r="AI39" i="6"/>
  <c r="AH39" i="6"/>
  <c r="AF39" i="6"/>
  <c r="AE39" i="6"/>
  <c r="AB39" i="6"/>
  <c r="AA39" i="6"/>
  <c r="Z39" i="6"/>
  <c r="Y39" i="6"/>
  <c r="X39" i="6"/>
  <c r="W39" i="6"/>
  <c r="P39" i="6"/>
  <c r="O39" i="6"/>
  <c r="AQ39" i="6" s="1"/>
  <c r="N39" i="6"/>
  <c r="AO39" i="6" s="1"/>
  <c r="M39" i="6"/>
  <c r="AT38" i="6"/>
  <c r="AJ38" i="6"/>
  <c r="AI38" i="6"/>
  <c r="AN38" i="6" s="1"/>
  <c r="AH38" i="6"/>
  <c r="AF38" i="6"/>
  <c r="AE38" i="6"/>
  <c r="AC38" i="6"/>
  <c r="AB38" i="6"/>
  <c r="AA38" i="6"/>
  <c r="Z38" i="6"/>
  <c r="Y38" i="6"/>
  <c r="X38" i="6"/>
  <c r="W38" i="6"/>
  <c r="P38" i="6"/>
  <c r="O38" i="6"/>
  <c r="AQ38" i="6" s="1"/>
  <c r="N38" i="6"/>
  <c r="M38" i="6"/>
  <c r="AI37" i="6"/>
  <c r="AH37" i="6"/>
  <c r="W37" i="6"/>
  <c r="AT36" i="6"/>
  <c r="AP36" i="6"/>
  <c r="AI36" i="6"/>
  <c r="AN36" i="6" s="1"/>
  <c r="AH36" i="6"/>
  <c r="AF36" i="6"/>
  <c r="AE36" i="6"/>
  <c r="AA36" i="6"/>
  <c r="Z36" i="6"/>
  <c r="Y36" i="6"/>
  <c r="X36" i="6"/>
  <c r="W36" i="6"/>
  <c r="P36" i="6"/>
  <c r="O36" i="6"/>
  <c r="AD36" i="6" s="1"/>
  <c r="N36" i="6"/>
  <c r="AO36" i="6" s="1"/>
  <c r="AV36" i="6" s="1"/>
  <c r="M36" i="6"/>
  <c r="AR36" i="6" s="1"/>
  <c r="AR35" i="6"/>
  <c r="AP35" i="6"/>
  <c r="AI35" i="6"/>
  <c r="AH35" i="6"/>
  <c r="AF35" i="6"/>
  <c r="AE35" i="6"/>
  <c r="AB35" i="6"/>
  <c r="AA35" i="6"/>
  <c r="Z35" i="6"/>
  <c r="Y35" i="6"/>
  <c r="X35" i="6"/>
  <c r="W35" i="6"/>
  <c r="P35" i="6"/>
  <c r="O35" i="6"/>
  <c r="AQ35" i="6" s="1"/>
  <c r="N35" i="6"/>
  <c r="AO35" i="6" s="1"/>
  <c r="AV35" i="6" s="1"/>
  <c r="M35" i="6"/>
  <c r="AT34" i="6"/>
  <c r="AJ34" i="6"/>
  <c r="AI34" i="6"/>
  <c r="AN34" i="6" s="1"/>
  <c r="AH34" i="6"/>
  <c r="AF34" i="6"/>
  <c r="AE34" i="6"/>
  <c r="AC34" i="6"/>
  <c r="AB34" i="6"/>
  <c r="AA34" i="6"/>
  <c r="Z34" i="6"/>
  <c r="Y34" i="6"/>
  <c r="X34" i="6"/>
  <c r="W34" i="6"/>
  <c r="P34" i="6"/>
  <c r="O34" i="6"/>
  <c r="AQ34" i="6" s="1"/>
  <c r="N34" i="6"/>
  <c r="M34" i="6"/>
  <c r="AU33" i="6"/>
  <c r="AT33" i="6"/>
  <c r="AN33" i="6"/>
  <c r="AI33" i="6"/>
  <c r="AH33" i="6"/>
  <c r="AF33" i="6"/>
  <c r="AE33" i="6"/>
  <c r="AD33" i="6"/>
  <c r="AC33" i="6"/>
  <c r="AB33" i="6"/>
  <c r="AA33" i="6"/>
  <c r="Z33" i="6"/>
  <c r="Y33" i="6"/>
  <c r="X33" i="6"/>
  <c r="W33" i="6"/>
  <c r="P33" i="6"/>
  <c r="O33" i="6"/>
  <c r="AQ33" i="6" s="1"/>
  <c r="N33" i="6"/>
  <c r="AO33" i="6" s="1"/>
  <c r="M33" i="6"/>
  <c r="AV32" i="6"/>
  <c r="AT32" i="6"/>
  <c r="AP32" i="6"/>
  <c r="AO32" i="6"/>
  <c r="AI32" i="6"/>
  <c r="AH32" i="6"/>
  <c r="AF32" i="6"/>
  <c r="AE32" i="6"/>
  <c r="AD32" i="6"/>
  <c r="AC32" i="6"/>
  <c r="AA32" i="6"/>
  <c r="Z32" i="6"/>
  <c r="Y32" i="6"/>
  <c r="X32" i="6"/>
  <c r="W32" i="6"/>
  <c r="P32" i="6"/>
  <c r="O32" i="6"/>
  <c r="AQ32" i="6" s="1"/>
  <c r="N32" i="6"/>
  <c r="M32" i="6"/>
  <c r="AI31" i="6"/>
  <c r="AH31" i="6"/>
  <c r="W31" i="6"/>
  <c r="AT30" i="6"/>
  <c r="AJ30" i="6"/>
  <c r="AI30" i="6"/>
  <c r="AN30" i="6" s="1"/>
  <c r="AH30" i="6"/>
  <c r="AF30" i="6"/>
  <c r="AE30" i="6"/>
  <c r="AC30" i="6"/>
  <c r="AB30" i="6"/>
  <c r="AA30" i="6"/>
  <c r="Z30" i="6"/>
  <c r="Y30" i="6"/>
  <c r="X30" i="6"/>
  <c r="W30" i="6"/>
  <c r="P30" i="6"/>
  <c r="O30" i="6"/>
  <c r="AQ30" i="6" s="1"/>
  <c r="N30" i="6"/>
  <c r="M30" i="6"/>
  <c r="AT29" i="6"/>
  <c r="AN29" i="6"/>
  <c r="AJ29" i="6"/>
  <c r="AI29" i="6"/>
  <c r="AH29" i="6"/>
  <c r="AF29" i="6"/>
  <c r="AE29" i="6"/>
  <c r="AD29" i="6"/>
  <c r="AC29" i="6"/>
  <c r="AB29" i="6"/>
  <c r="AA29" i="6"/>
  <c r="Z29" i="6"/>
  <c r="Y29" i="6"/>
  <c r="X29" i="6"/>
  <c r="W29" i="6"/>
  <c r="P29" i="6"/>
  <c r="O29" i="6"/>
  <c r="AQ29" i="6" s="1"/>
  <c r="N29" i="6"/>
  <c r="AO29" i="6" s="1"/>
  <c r="M29" i="6"/>
  <c r="AI28" i="6"/>
  <c r="AH28" i="6"/>
  <c r="W28" i="6"/>
  <c r="AR27" i="6"/>
  <c r="AI27" i="6"/>
  <c r="AH27" i="6"/>
  <c r="AF27" i="6"/>
  <c r="AE27" i="6"/>
  <c r="AB27" i="6"/>
  <c r="AA27" i="6"/>
  <c r="Z27" i="6"/>
  <c r="Y27" i="6"/>
  <c r="X27" i="6"/>
  <c r="W27" i="6"/>
  <c r="P27" i="6"/>
  <c r="O27" i="6"/>
  <c r="AQ27" i="6" s="1"/>
  <c r="N27" i="6"/>
  <c r="AO27" i="6" s="1"/>
  <c r="M27" i="6"/>
  <c r="AT26" i="6"/>
  <c r="AJ26" i="6"/>
  <c r="AI26" i="6"/>
  <c r="AN26" i="6" s="1"/>
  <c r="AH26" i="6"/>
  <c r="AF26" i="6"/>
  <c r="AE26" i="6"/>
  <c r="AC26" i="6"/>
  <c r="AB26" i="6"/>
  <c r="AA26" i="6"/>
  <c r="Z26" i="6"/>
  <c r="Y26" i="6"/>
  <c r="X26" i="6"/>
  <c r="W26" i="6"/>
  <c r="P26" i="6"/>
  <c r="O26" i="6"/>
  <c r="AQ26" i="6" s="1"/>
  <c r="N26" i="6"/>
  <c r="M26" i="6"/>
  <c r="AT25" i="6"/>
  <c r="AP25" i="6"/>
  <c r="AN25" i="6"/>
  <c r="AJ25" i="6"/>
  <c r="AI25" i="6"/>
  <c r="AH25" i="6"/>
  <c r="AF25" i="6"/>
  <c r="AE25" i="6"/>
  <c r="AD25" i="6"/>
  <c r="AC25" i="6"/>
  <c r="AB25" i="6"/>
  <c r="AA25" i="6"/>
  <c r="Z25" i="6"/>
  <c r="Y25" i="6"/>
  <c r="X25" i="6"/>
  <c r="W25" i="6"/>
  <c r="P25" i="6"/>
  <c r="O25" i="6"/>
  <c r="AQ25" i="6" s="1"/>
  <c r="N25" i="6"/>
  <c r="AO25" i="6" s="1"/>
  <c r="AV25" i="6" s="1"/>
  <c r="M25" i="6"/>
  <c r="AI24" i="6"/>
  <c r="AH24" i="6"/>
  <c r="W24" i="6"/>
  <c r="AR23" i="6"/>
  <c r="AI23" i="6"/>
  <c r="AH23" i="6"/>
  <c r="AF23" i="6"/>
  <c r="AE23" i="6"/>
  <c r="AB23" i="6"/>
  <c r="AA23" i="6"/>
  <c r="Z23" i="6"/>
  <c r="Y23" i="6"/>
  <c r="X23" i="6"/>
  <c r="W23" i="6"/>
  <c r="P23" i="6"/>
  <c r="O23" i="6"/>
  <c r="AQ23" i="6" s="1"/>
  <c r="N23" i="6"/>
  <c r="AO23" i="6" s="1"/>
  <c r="M23" i="6"/>
  <c r="AT22" i="6"/>
  <c r="AJ22" i="6"/>
  <c r="AI22" i="6"/>
  <c r="AN22" i="6" s="1"/>
  <c r="AH22" i="6"/>
  <c r="AF22" i="6"/>
  <c r="AE22" i="6"/>
  <c r="AC22" i="6"/>
  <c r="AB22" i="6"/>
  <c r="AA22" i="6"/>
  <c r="Z22" i="6"/>
  <c r="Y22" i="6"/>
  <c r="X22" i="6"/>
  <c r="W22" i="6"/>
  <c r="P22" i="6"/>
  <c r="O22" i="6"/>
  <c r="AQ22" i="6" s="1"/>
  <c r="N22" i="6"/>
  <c r="M22" i="6"/>
  <c r="AT21" i="6"/>
  <c r="AN21" i="6"/>
  <c r="AJ21" i="6"/>
  <c r="AI21" i="6"/>
  <c r="AH21" i="6"/>
  <c r="AF21" i="6"/>
  <c r="AE21" i="6"/>
  <c r="AD21" i="6"/>
  <c r="AC21" i="6"/>
  <c r="AB21" i="6"/>
  <c r="AA21" i="6"/>
  <c r="Z21" i="6"/>
  <c r="Y21" i="6"/>
  <c r="X21" i="6"/>
  <c r="W21" i="6"/>
  <c r="P21" i="6"/>
  <c r="O21" i="6"/>
  <c r="AQ21" i="6" s="1"/>
  <c r="N21" i="6"/>
  <c r="AO21" i="6" s="1"/>
  <c r="M21" i="6"/>
  <c r="AT20" i="6"/>
  <c r="AO20" i="6"/>
  <c r="AN20" i="6"/>
  <c r="AI20" i="6"/>
  <c r="AH20" i="6"/>
  <c r="AF20" i="6"/>
  <c r="AE20" i="6"/>
  <c r="AD20" i="6"/>
  <c r="AC20" i="6"/>
  <c r="AA20" i="6"/>
  <c r="Z20" i="6"/>
  <c r="Y20" i="6"/>
  <c r="X20" i="6"/>
  <c r="W20" i="6"/>
  <c r="P20" i="6"/>
  <c r="O20" i="6"/>
  <c r="AQ20" i="6" s="1"/>
  <c r="N20" i="6"/>
  <c r="M20" i="6"/>
  <c r="AP19" i="6"/>
  <c r="AI19" i="6"/>
  <c r="AN19" i="6" s="1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M19" i="6"/>
  <c r="AR19" i="6" s="1"/>
  <c r="AI18" i="6"/>
  <c r="AH18" i="6"/>
  <c r="W18" i="6"/>
  <c r="AT17" i="6"/>
  <c r="AP17" i="6"/>
  <c r="AN17" i="6"/>
  <c r="AJ17" i="6"/>
  <c r="AI17" i="6"/>
  <c r="AH17" i="6"/>
  <c r="AF17" i="6"/>
  <c r="AE17" i="6"/>
  <c r="AD17" i="6"/>
  <c r="AC17" i="6"/>
  <c r="AB17" i="6"/>
  <c r="AA17" i="6"/>
  <c r="Z17" i="6"/>
  <c r="Y17" i="6"/>
  <c r="X17" i="6"/>
  <c r="W17" i="6"/>
  <c r="P17" i="6"/>
  <c r="O17" i="6"/>
  <c r="AQ17" i="6" s="1"/>
  <c r="N17" i="6"/>
  <c r="AO17" i="6" s="1"/>
  <c r="M17" i="6"/>
  <c r="AT16" i="6"/>
  <c r="AO16" i="6"/>
  <c r="AN16" i="6"/>
  <c r="AI16" i="6"/>
  <c r="AH16" i="6"/>
  <c r="AF16" i="6"/>
  <c r="AE16" i="6"/>
  <c r="AD16" i="6"/>
  <c r="AC16" i="6"/>
  <c r="AA16" i="6"/>
  <c r="Z16" i="6"/>
  <c r="Y16" i="6"/>
  <c r="X16" i="6"/>
  <c r="W16" i="6"/>
  <c r="P16" i="6"/>
  <c r="O16" i="6"/>
  <c r="AQ16" i="6" s="1"/>
  <c r="N16" i="6"/>
  <c r="M16" i="6"/>
  <c r="AP15" i="6"/>
  <c r="AI15" i="6"/>
  <c r="AN15" i="6" s="1"/>
  <c r="AH15" i="6"/>
  <c r="AF15" i="6"/>
  <c r="AE15" i="6"/>
  <c r="AD15" i="6"/>
  <c r="AA15" i="6"/>
  <c r="Z15" i="6"/>
  <c r="Y15" i="6"/>
  <c r="X15" i="6"/>
  <c r="W15" i="6"/>
  <c r="P15" i="6"/>
  <c r="O15" i="6"/>
  <c r="AQ15" i="6" s="1"/>
  <c r="N15" i="6"/>
  <c r="M15" i="6"/>
  <c r="AR15" i="6" s="1"/>
  <c r="AI14" i="6"/>
  <c r="AH14" i="6"/>
  <c r="W14" i="6"/>
  <c r="AT13" i="6"/>
  <c r="AP13" i="6"/>
  <c r="AN13" i="6"/>
  <c r="AJ13" i="6"/>
  <c r="AI13" i="6"/>
  <c r="AH13" i="6"/>
  <c r="AF13" i="6"/>
  <c r="AE13" i="6"/>
  <c r="AD13" i="6"/>
  <c r="AC13" i="6"/>
  <c r="AB13" i="6"/>
  <c r="AA13" i="6"/>
  <c r="Z13" i="6"/>
  <c r="Y13" i="6"/>
  <c r="X13" i="6"/>
  <c r="W13" i="6"/>
  <c r="P13" i="6"/>
  <c r="O13" i="6"/>
  <c r="AQ13" i="6" s="1"/>
  <c r="N13" i="6"/>
  <c r="AO13" i="6" s="1"/>
  <c r="AV13" i="6" s="1"/>
  <c r="M13" i="6"/>
  <c r="AV12" i="6"/>
  <c r="AT12" i="6"/>
  <c r="AP12" i="6"/>
  <c r="AO12" i="6"/>
  <c r="AN12" i="6"/>
  <c r="AI12" i="6"/>
  <c r="AH12" i="6"/>
  <c r="AF12" i="6"/>
  <c r="AE12" i="6"/>
  <c r="AD12" i="6"/>
  <c r="AC12" i="6"/>
  <c r="AA12" i="6"/>
  <c r="Z12" i="6"/>
  <c r="Y12" i="6"/>
  <c r="X12" i="6"/>
  <c r="W12" i="6"/>
  <c r="P12" i="6"/>
  <c r="O12" i="6"/>
  <c r="AQ12" i="6" s="1"/>
  <c r="N12" i="6"/>
  <c r="M12" i="6"/>
  <c r="AI11" i="6"/>
  <c r="AH11" i="6"/>
  <c r="W11" i="6"/>
  <c r="AT10" i="6"/>
  <c r="AJ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Q10" i="6" s="1"/>
  <c r="N10" i="6"/>
  <c r="M10" i="6"/>
  <c r="AT9" i="6"/>
  <c r="AP9" i="6"/>
  <c r="AN9" i="6"/>
  <c r="AJ9" i="6"/>
  <c r="AI9" i="6"/>
  <c r="AH9" i="6"/>
  <c r="AF9" i="6"/>
  <c r="AE9" i="6"/>
  <c r="AD9" i="6"/>
  <c r="AC9" i="6"/>
  <c r="AB9" i="6"/>
  <c r="AA9" i="6"/>
  <c r="Z9" i="6"/>
  <c r="Y9" i="6"/>
  <c r="X9" i="6"/>
  <c r="W9" i="6"/>
  <c r="P9" i="6"/>
  <c r="O9" i="6"/>
  <c r="AQ9" i="6" s="1"/>
  <c r="N9" i="6"/>
  <c r="AO9" i="6" s="1"/>
  <c r="M9" i="6"/>
  <c r="AI8" i="6"/>
  <c r="AH8" i="6"/>
  <c r="W8" i="6"/>
  <c r="AR7" i="6"/>
  <c r="AP7" i="6"/>
  <c r="AI7" i="6"/>
  <c r="AH7" i="6"/>
  <c r="AF7" i="6"/>
  <c r="AE7" i="6"/>
  <c r="AB7" i="6"/>
  <c r="AA7" i="6"/>
  <c r="Z7" i="6"/>
  <c r="Y7" i="6"/>
  <c r="X7" i="6"/>
  <c r="W7" i="6"/>
  <c r="P7" i="6"/>
  <c r="O7" i="6"/>
  <c r="AQ7" i="6" s="1"/>
  <c r="N7" i="6"/>
  <c r="AO7" i="6" s="1"/>
  <c r="AV7" i="6" s="1"/>
  <c r="M7" i="6"/>
  <c r="AT6" i="6"/>
  <c r="AP6" i="6"/>
  <c r="AO6" i="6"/>
  <c r="AV6" i="6" s="1"/>
  <c r="AJ6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P3" i="6"/>
  <c r="AO3" i="6"/>
  <c r="AI3" i="6"/>
  <c r="AH3" i="6"/>
  <c r="AN2" i="6"/>
  <c r="AN120" i="6" s="1"/>
  <c r="AM2" i="6"/>
  <c r="AL2" i="6"/>
  <c r="AK2" i="6"/>
  <c r="AJ2" i="6"/>
  <c r="AJ88" i="6" s="1"/>
  <c r="AA2" i="6"/>
  <c r="A2" i="6"/>
  <c r="AU1" i="6"/>
  <c r="AU73" i="6" s="1"/>
  <c r="AR1" i="6"/>
  <c r="AR122" i="6" s="1"/>
  <c r="AQ1" i="6"/>
  <c r="AQ103" i="6" s="1"/>
  <c r="AP1" i="6"/>
  <c r="AP60" i="6" s="1"/>
  <c r="AO1" i="6"/>
  <c r="AO125" i="6" s="1"/>
  <c r="AH1" i="6"/>
  <c r="AH2" i="6" s="1"/>
  <c r="AA1" i="6"/>
  <c r="A1" i="6"/>
  <c r="AJ1" i="6" s="1"/>
  <c r="C68" i="3"/>
  <c r="C60" i="3"/>
  <c r="T59" i="3"/>
  <c r="B56" i="3"/>
  <c r="B69" i="3" s="1"/>
  <c r="B52" i="3"/>
  <c r="B65" i="3" s="1"/>
  <c r="B50" i="3"/>
  <c r="B63" i="3" s="1"/>
  <c r="B48" i="3"/>
  <c r="B61" i="3" s="1"/>
  <c r="D46" i="3"/>
  <c r="D59" i="3" s="1"/>
  <c r="C43" i="3"/>
  <c r="C56" i="3" s="1"/>
  <c r="C69" i="3" s="1"/>
  <c r="A42" i="3"/>
  <c r="A55" i="3" s="1"/>
  <c r="A68" i="3" s="1"/>
  <c r="C41" i="3"/>
  <c r="C54" i="3" s="1"/>
  <c r="C67" i="3" s="1"/>
  <c r="A40" i="3"/>
  <c r="A53" i="3" s="1"/>
  <c r="A66" i="3" s="1"/>
  <c r="C39" i="3"/>
  <c r="C52" i="3" s="1"/>
  <c r="C65" i="3" s="1"/>
  <c r="A38" i="3"/>
  <c r="A51" i="3" s="1"/>
  <c r="A64" i="3" s="1"/>
  <c r="C37" i="3"/>
  <c r="C50" i="3" s="1"/>
  <c r="C63" i="3" s="1"/>
  <c r="A36" i="3"/>
  <c r="A49" i="3" s="1"/>
  <c r="A62" i="3" s="1"/>
  <c r="C35" i="3"/>
  <c r="C48" i="3" s="1"/>
  <c r="C61" i="3" s="1"/>
  <c r="A34" i="3"/>
  <c r="A47" i="3" s="1"/>
  <c r="A60" i="3" s="1"/>
  <c r="C30" i="3"/>
  <c r="B30" i="3"/>
  <c r="B43" i="3" s="1"/>
  <c r="A30" i="3"/>
  <c r="A43" i="3" s="1"/>
  <c r="A56" i="3" s="1"/>
  <c r="A69" i="3" s="1"/>
  <c r="C29" i="3"/>
  <c r="C42" i="3" s="1"/>
  <c r="C55" i="3" s="1"/>
  <c r="B29" i="3"/>
  <c r="B42" i="3" s="1"/>
  <c r="B55" i="3" s="1"/>
  <c r="B68" i="3" s="1"/>
  <c r="A29" i="3"/>
  <c r="C28" i="3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C26" i="3"/>
  <c r="B26" i="3"/>
  <c r="B39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C24" i="3"/>
  <c r="B24" i="3"/>
  <c r="B37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C22" i="3"/>
  <c r="B22" i="3"/>
  <c r="B35" i="3" s="1"/>
  <c r="A22" i="3"/>
  <c r="A35" i="3" s="1"/>
  <c r="A48" i="3" s="1"/>
  <c r="A61" i="3" s="1"/>
  <c r="C21" i="3"/>
  <c r="C34" i="3" s="1"/>
  <c r="C47" i="3" s="1"/>
  <c r="B21" i="3"/>
  <c r="B34" i="3" s="1"/>
  <c r="B47" i="3" s="1"/>
  <c r="B60" i="3" s="1"/>
  <c r="A21" i="3"/>
  <c r="T20" i="3"/>
  <c r="T33" i="3" s="1"/>
  <c r="T46" i="3" s="1"/>
  <c r="S20" i="3"/>
  <c r="S33" i="3" s="1"/>
  <c r="S46" i="3" s="1"/>
  <c r="S59" i="3" s="1"/>
  <c r="N20" i="3"/>
  <c r="N33" i="3" s="1"/>
  <c r="N46" i="3" s="1"/>
  <c r="N59" i="3" s="1"/>
  <c r="M20" i="3"/>
  <c r="M33" i="3" s="1"/>
  <c r="M46" i="3" s="1"/>
  <c r="M59" i="3" s="1"/>
  <c r="H20" i="3"/>
  <c r="H33" i="3" s="1"/>
  <c r="H46" i="3" s="1"/>
  <c r="H59" i="3" s="1"/>
  <c r="G20" i="3"/>
  <c r="G33" i="3" s="1"/>
  <c r="G46" i="3" s="1"/>
  <c r="G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A2" i="2"/>
  <c r="A1" i="2"/>
  <c r="AV6" i="1" l="1"/>
  <c r="AV28" i="1"/>
  <c r="AV10" i="1"/>
  <c r="AV7" i="1"/>
  <c r="AV17" i="1"/>
  <c r="AV69" i="1"/>
  <c r="AV22" i="1"/>
  <c r="AQ23" i="1"/>
  <c r="AT41" i="1"/>
  <c r="AO54" i="1"/>
  <c r="AC54" i="1"/>
  <c r="AO86" i="1"/>
  <c r="AV86" i="1" s="1"/>
  <c r="AC86" i="1"/>
  <c r="AJ4" i="1"/>
  <c r="AT4" i="1"/>
  <c r="AB5" i="1"/>
  <c r="AD9" i="1"/>
  <c r="AJ10" i="1"/>
  <c r="AT10" i="1"/>
  <c r="AB11" i="1"/>
  <c r="AD15" i="1"/>
  <c r="AJ16" i="1"/>
  <c r="AT16" i="1"/>
  <c r="AV16" i="1" s="1"/>
  <c r="AB17" i="1"/>
  <c r="AD21" i="1"/>
  <c r="AJ22" i="1"/>
  <c r="AT22" i="1"/>
  <c r="AB23" i="1"/>
  <c r="AD27" i="1"/>
  <c r="AJ28" i="1"/>
  <c r="AT28" i="1"/>
  <c r="AB29" i="1"/>
  <c r="AD33" i="1"/>
  <c r="AJ34" i="1"/>
  <c r="AT34" i="1"/>
  <c r="AV34" i="1" s="1"/>
  <c r="AB35" i="1"/>
  <c r="AD39" i="1"/>
  <c r="AN39" i="1"/>
  <c r="AD40" i="1"/>
  <c r="AC41" i="1"/>
  <c r="AJ41" i="1"/>
  <c r="AQ42" i="1"/>
  <c r="AQ43" i="1"/>
  <c r="AR51" i="1"/>
  <c r="AB51" i="1"/>
  <c r="AQ53" i="1"/>
  <c r="AQ55" i="1"/>
  <c r="AR61" i="1"/>
  <c r="AB61" i="1"/>
  <c r="AT64" i="1"/>
  <c r="AV64" i="1" s="1"/>
  <c r="AJ64" i="1"/>
  <c r="AO66" i="1"/>
  <c r="AC66" i="1"/>
  <c r="AN66" i="1"/>
  <c r="AT66" i="1"/>
  <c r="AJ66" i="1"/>
  <c r="AV70" i="1"/>
  <c r="AR79" i="1"/>
  <c r="AB79" i="1"/>
  <c r="AT82" i="1"/>
  <c r="AJ82" i="1"/>
  <c r="AO84" i="1"/>
  <c r="AV84" i="1" s="1"/>
  <c r="AC84" i="1"/>
  <c r="AN84" i="1"/>
  <c r="AT84" i="1"/>
  <c r="AJ84" i="1"/>
  <c r="AN94" i="1"/>
  <c r="AT94" i="1"/>
  <c r="AJ94" i="1"/>
  <c r="AQ95" i="1"/>
  <c r="AQ11" i="1"/>
  <c r="AQ17" i="1"/>
  <c r="AD4" i="1"/>
  <c r="AC5" i="1"/>
  <c r="AB6" i="1"/>
  <c r="AD10" i="1"/>
  <c r="AC11" i="1"/>
  <c r="AB12" i="1"/>
  <c r="AD16" i="1"/>
  <c r="AC17" i="1"/>
  <c r="AB18" i="1"/>
  <c r="AD22" i="1"/>
  <c r="AC23" i="1"/>
  <c r="AB24" i="1"/>
  <c r="AD28" i="1"/>
  <c r="AC29" i="1"/>
  <c r="AB30" i="1"/>
  <c r="AD34" i="1"/>
  <c r="AC35" i="1"/>
  <c r="AB36" i="1"/>
  <c r="AD41" i="1"/>
  <c r="AV46" i="1"/>
  <c r="AR49" i="1"/>
  <c r="AB49" i="1"/>
  <c r="AT52" i="1"/>
  <c r="AJ52" i="1"/>
  <c r="AO62" i="1"/>
  <c r="AV62" i="1" s="1"/>
  <c r="AC62" i="1"/>
  <c r="AQ65" i="1"/>
  <c r="AR75" i="1"/>
  <c r="AV75" i="1" s="1"/>
  <c r="AB75" i="1"/>
  <c r="AV77" i="1"/>
  <c r="AO80" i="1"/>
  <c r="AV80" i="1" s="1"/>
  <c r="AC80" i="1"/>
  <c r="AQ83" i="1"/>
  <c r="AV94" i="1"/>
  <c r="AN54" i="1"/>
  <c r="AT54" i="1"/>
  <c r="AJ54" i="1"/>
  <c r="AO96" i="1"/>
  <c r="AV96" i="1" s="1"/>
  <c r="AC96" i="1"/>
  <c r="AD5" i="1"/>
  <c r="AC6" i="1"/>
  <c r="AB7" i="1"/>
  <c r="AC12" i="1"/>
  <c r="AB13" i="1"/>
  <c r="AC18" i="1"/>
  <c r="AB19" i="1"/>
  <c r="AC24" i="1"/>
  <c r="AB25" i="1"/>
  <c r="AD29" i="1"/>
  <c r="AC30" i="1"/>
  <c r="AB31" i="1"/>
  <c r="AD35" i="1"/>
  <c r="AC36" i="1"/>
  <c r="AB37" i="1"/>
  <c r="AO50" i="1"/>
  <c r="AV50" i="1" s="1"/>
  <c r="AC50" i="1"/>
  <c r="AR57" i="1"/>
  <c r="AB57" i="1"/>
  <c r="AO60" i="1"/>
  <c r="AV60" i="1" s="1"/>
  <c r="AC60" i="1"/>
  <c r="AN60" i="1"/>
  <c r="AT60" i="1"/>
  <c r="AJ60" i="1"/>
  <c r="AR73" i="1"/>
  <c r="AB73" i="1"/>
  <c r="AT76" i="1"/>
  <c r="AJ76" i="1"/>
  <c r="AO78" i="1"/>
  <c r="AC78" i="1"/>
  <c r="AN78" i="1"/>
  <c r="AT78" i="1"/>
  <c r="AJ78" i="1"/>
  <c r="AV82" i="1"/>
  <c r="AR91" i="1"/>
  <c r="AB91" i="1"/>
  <c r="AT46" i="1"/>
  <c r="AJ46" i="1"/>
  <c r="AO68" i="1"/>
  <c r="AV68" i="1" s="1"/>
  <c r="AC68" i="1"/>
  <c r="AJ7" i="1"/>
  <c r="AT7" i="1"/>
  <c r="AJ13" i="1"/>
  <c r="AT13" i="1"/>
  <c r="AJ19" i="1"/>
  <c r="AT19" i="1"/>
  <c r="AV19" i="1" s="1"/>
  <c r="AJ25" i="1"/>
  <c r="AT25" i="1"/>
  <c r="AV25" i="1" s="1"/>
  <c r="AJ31" i="1"/>
  <c r="AT31" i="1"/>
  <c r="AV31" i="1" s="1"/>
  <c r="AJ37" i="1"/>
  <c r="AT37" i="1"/>
  <c r="AV37" i="1" s="1"/>
  <c r="AV41" i="1"/>
  <c r="AN42" i="1"/>
  <c r="AT42" i="1"/>
  <c r="AR43" i="1"/>
  <c r="AB43" i="1"/>
  <c r="AR44" i="1"/>
  <c r="AB44" i="1"/>
  <c r="AO48" i="1"/>
  <c r="AV48" i="1" s="1"/>
  <c r="AC48" i="1"/>
  <c r="AN48" i="1"/>
  <c r="AT48" i="1"/>
  <c r="AJ48" i="1"/>
  <c r="AV52" i="1"/>
  <c r="AR55" i="1"/>
  <c r="AB55" i="1"/>
  <c r="AT58" i="1"/>
  <c r="AV58" i="1" s="1"/>
  <c r="AJ58" i="1"/>
  <c r="AQ59" i="1"/>
  <c r="AQ61" i="1"/>
  <c r="AR69" i="1"/>
  <c r="AB69" i="1"/>
  <c r="AV71" i="1"/>
  <c r="AO74" i="1"/>
  <c r="AV74" i="1" s="1"/>
  <c r="AC74" i="1"/>
  <c r="AN76" i="1"/>
  <c r="AQ77" i="1"/>
  <c r="AQ79" i="1"/>
  <c r="AR87" i="1"/>
  <c r="AV87" i="1" s="1"/>
  <c r="AB87" i="1"/>
  <c r="AR63" i="1"/>
  <c r="AB63" i="1"/>
  <c r="AR81" i="1"/>
  <c r="AV81" i="1" s="1"/>
  <c r="AB81" i="1"/>
  <c r="AO43" i="1"/>
  <c r="AO44" i="1"/>
  <c r="AV44" i="1" s="1"/>
  <c r="AC44" i="1"/>
  <c r="AR45" i="1"/>
  <c r="AV45" i="1" s="1"/>
  <c r="AB45" i="1"/>
  <c r="AO56" i="1"/>
  <c r="AV56" i="1" s="1"/>
  <c r="AC56" i="1"/>
  <c r="AV59" i="1"/>
  <c r="AR67" i="1"/>
  <c r="AB67" i="1"/>
  <c r="AT70" i="1"/>
  <c r="AJ70" i="1"/>
  <c r="AO72" i="1"/>
  <c r="AV72" i="1" s="1"/>
  <c r="AC72" i="1"/>
  <c r="AN72" i="1"/>
  <c r="AT72" i="1"/>
  <c r="AJ72" i="1"/>
  <c r="AR85" i="1"/>
  <c r="AV85" i="1" s="1"/>
  <c r="AB85" i="1"/>
  <c r="AT88" i="1"/>
  <c r="AV88" i="1" s="1"/>
  <c r="AJ88" i="1"/>
  <c r="AO90" i="1"/>
  <c r="AC90" i="1"/>
  <c r="AN90" i="1"/>
  <c r="AT90" i="1"/>
  <c r="AJ90" i="1"/>
  <c r="AQ91" i="1"/>
  <c r="AD91" i="1"/>
  <c r="AJ96" i="1"/>
  <c r="AT96" i="1"/>
  <c r="AB97" i="1"/>
  <c r="AD101" i="1"/>
  <c r="AC102" i="1"/>
  <c r="AJ102" i="1"/>
  <c r="AT102" i="1"/>
  <c r="AB103" i="1"/>
  <c r="AD107" i="1"/>
  <c r="AC108" i="1"/>
  <c r="AJ108" i="1"/>
  <c r="AT108" i="1"/>
  <c r="AB109" i="1"/>
  <c r="AD113" i="1"/>
  <c r="AC114" i="1"/>
  <c r="AJ114" i="1"/>
  <c r="AT114" i="1"/>
  <c r="AB115" i="1"/>
  <c r="AD119" i="1"/>
  <c r="AC120" i="1"/>
  <c r="AJ120" i="1"/>
  <c r="AT120" i="1"/>
  <c r="AB121" i="1"/>
  <c r="AD125" i="1"/>
  <c r="AC126" i="1"/>
  <c r="AJ126" i="1"/>
  <c r="AT126" i="1"/>
  <c r="AB127" i="1"/>
  <c r="AD131" i="1"/>
  <c r="AC132" i="1"/>
  <c r="AJ132" i="1"/>
  <c r="AT132" i="1"/>
  <c r="AB133" i="1"/>
  <c r="AD137" i="1"/>
  <c r="AC138" i="1"/>
  <c r="AJ138" i="1"/>
  <c r="AO140" i="1"/>
  <c r="AV140" i="1" s="1"/>
  <c r="AC140" i="1"/>
  <c r="AQ141" i="1"/>
  <c r="AT142" i="1"/>
  <c r="AJ142" i="1"/>
  <c r="AQ151" i="1"/>
  <c r="AO156" i="1"/>
  <c r="AV156" i="1" s="1"/>
  <c r="AC156" i="1"/>
  <c r="AR177" i="1"/>
  <c r="AV177" i="1" s="1"/>
  <c r="AB177" i="1"/>
  <c r="AJ43" i="1"/>
  <c r="AT43" i="1"/>
  <c r="AD48" i="1"/>
  <c r="AJ49" i="1"/>
  <c r="AT49" i="1"/>
  <c r="AB50" i="1"/>
  <c r="AD54" i="1"/>
  <c r="AJ55" i="1"/>
  <c r="AT55" i="1"/>
  <c r="AB56" i="1"/>
  <c r="AD60" i="1"/>
  <c r="AJ61" i="1"/>
  <c r="AT61" i="1"/>
  <c r="AB62" i="1"/>
  <c r="AD66" i="1"/>
  <c r="AJ67" i="1"/>
  <c r="AT67" i="1"/>
  <c r="AB68" i="1"/>
  <c r="AD72" i="1"/>
  <c r="AJ73" i="1"/>
  <c r="AT73" i="1"/>
  <c r="AV73" i="1" s="1"/>
  <c r="AB74" i="1"/>
  <c r="AD78" i="1"/>
  <c r="AJ79" i="1"/>
  <c r="AT79" i="1"/>
  <c r="AB80" i="1"/>
  <c r="AD84" i="1"/>
  <c r="AJ85" i="1"/>
  <c r="AT85" i="1"/>
  <c r="AB86" i="1"/>
  <c r="AD90" i="1"/>
  <c r="AJ91" i="1"/>
  <c r="AT91" i="1"/>
  <c r="AB92" i="1"/>
  <c r="AD96" i="1"/>
  <c r="AJ97" i="1"/>
  <c r="AT97" i="1"/>
  <c r="AB98" i="1"/>
  <c r="AD102" i="1"/>
  <c r="AJ103" i="1"/>
  <c r="AT103" i="1"/>
  <c r="AB104" i="1"/>
  <c r="AD108" i="1"/>
  <c r="AJ109" i="1"/>
  <c r="AT109" i="1"/>
  <c r="AB110" i="1"/>
  <c r="AD114" i="1"/>
  <c r="AJ115" i="1"/>
  <c r="AT115" i="1"/>
  <c r="AB116" i="1"/>
  <c r="AD120" i="1"/>
  <c r="AJ121" i="1"/>
  <c r="AT121" i="1"/>
  <c r="AB122" i="1"/>
  <c r="AD126" i="1"/>
  <c r="AJ127" i="1"/>
  <c r="AT127" i="1"/>
  <c r="AB128" i="1"/>
  <c r="AD132" i="1"/>
  <c r="AJ133" i="1"/>
  <c r="AT133" i="1"/>
  <c r="AV133" i="1" s="1"/>
  <c r="AB134" i="1"/>
  <c r="AD138" i="1"/>
  <c r="AN138" i="1"/>
  <c r="AT140" i="1"/>
  <c r="AJ140" i="1"/>
  <c r="AR141" i="1"/>
  <c r="AB141" i="1"/>
  <c r="AB142" i="1"/>
  <c r="AN142" i="1"/>
  <c r="AR143" i="1"/>
  <c r="AB143" i="1"/>
  <c r="AV144" i="1"/>
  <c r="AO146" i="1"/>
  <c r="AV146" i="1" s="1"/>
  <c r="AC146" i="1"/>
  <c r="AR147" i="1"/>
  <c r="AV147" i="1" s="1"/>
  <c r="AB147" i="1"/>
  <c r="AR151" i="1"/>
  <c r="AV151" i="1" s="1"/>
  <c r="AB151" i="1"/>
  <c r="AN156" i="1"/>
  <c r="AT156" i="1"/>
  <c r="AJ156" i="1"/>
  <c r="AO158" i="1"/>
  <c r="AV158" i="1" s="1"/>
  <c r="AC158" i="1"/>
  <c r="AR159" i="1"/>
  <c r="AB159" i="1"/>
  <c r="AR163" i="1"/>
  <c r="AB163" i="1"/>
  <c r="AQ169" i="1"/>
  <c r="AN173" i="1"/>
  <c r="AJ173" i="1"/>
  <c r="AV205" i="1"/>
  <c r="AJ50" i="1"/>
  <c r="AJ56" i="1"/>
  <c r="AJ62" i="1"/>
  <c r="AJ68" i="1"/>
  <c r="AJ74" i="1"/>
  <c r="AJ80" i="1"/>
  <c r="AJ86" i="1"/>
  <c r="AC92" i="1"/>
  <c r="AJ92" i="1"/>
  <c r="AB93" i="1"/>
  <c r="AD97" i="1"/>
  <c r="AC98" i="1"/>
  <c r="AJ98" i="1"/>
  <c r="AB99" i="1"/>
  <c r="AD103" i="1"/>
  <c r="AC104" i="1"/>
  <c r="AJ104" i="1"/>
  <c r="AB105" i="1"/>
  <c r="AD109" i="1"/>
  <c r="AC110" i="1"/>
  <c r="AJ110" i="1"/>
  <c r="AB111" i="1"/>
  <c r="AD115" i="1"/>
  <c r="AC116" i="1"/>
  <c r="AJ116" i="1"/>
  <c r="AB117" i="1"/>
  <c r="AD121" i="1"/>
  <c r="AC122" i="1"/>
  <c r="AJ122" i="1"/>
  <c r="AB123" i="1"/>
  <c r="AD127" i="1"/>
  <c r="AC128" i="1"/>
  <c r="AJ128" i="1"/>
  <c r="AB129" i="1"/>
  <c r="AD133" i="1"/>
  <c r="AC134" i="1"/>
  <c r="AJ134" i="1"/>
  <c r="AB135" i="1"/>
  <c r="AT139" i="1"/>
  <c r="AN140" i="1"/>
  <c r="AO142" i="1"/>
  <c r="AV142" i="1" s="1"/>
  <c r="AQ143" i="1"/>
  <c r="AQ145" i="1"/>
  <c r="AT146" i="1"/>
  <c r="AJ146" i="1"/>
  <c r="AO150" i="1"/>
  <c r="AC150" i="1"/>
  <c r="AQ155" i="1"/>
  <c r="AO162" i="1"/>
  <c r="AV162" i="1" s="1"/>
  <c r="AC162" i="1"/>
  <c r="AQ171" i="1"/>
  <c r="AD173" i="1"/>
  <c r="AQ173" i="1"/>
  <c r="AV173" i="1"/>
  <c r="AR145" i="1"/>
  <c r="AB145" i="1"/>
  <c r="AN150" i="1"/>
  <c r="AT150" i="1"/>
  <c r="AJ150" i="1"/>
  <c r="AT154" i="1"/>
  <c r="AJ154" i="1"/>
  <c r="AN162" i="1"/>
  <c r="AT162" i="1"/>
  <c r="AJ162" i="1"/>
  <c r="AO164" i="1"/>
  <c r="AV164" i="1" s="1"/>
  <c r="AC164" i="1"/>
  <c r="AR165" i="1"/>
  <c r="AB165" i="1"/>
  <c r="AV176" i="1"/>
  <c r="AV200" i="1"/>
  <c r="AJ100" i="1"/>
  <c r="AT100" i="1"/>
  <c r="AJ106" i="1"/>
  <c r="AT106" i="1"/>
  <c r="AJ112" i="1"/>
  <c r="AT112" i="1"/>
  <c r="AJ118" i="1"/>
  <c r="AT118" i="1"/>
  <c r="AJ124" i="1"/>
  <c r="AT124" i="1"/>
  <c r="AJ130" i="1"/>
  <c r="AT130" i="1"/>
  <c r="AJ136" i="1"/>
  <c r="AT136" i="1"/>
  <c r="AJ144" i="1"/>
  <c r="AQ149" i="1"/>
  <c r="AN154" i="1"/>
  <c r="AQ161" i="1"/>
  <c r="AV187" i="1"/>
  <c r="AN144" i="1"/>
  <c r="AT148" i="1"/>
  <c r="AJ148" i="1"/>
  <c r="AO152" i="1"/>
  <c r="AV152" i="1" s="1"/>
  <c r="AC152" i="1"/>
  <c r="AR153" i="1"/>
  <c r="AB153" i="1"/>
  <c r="AR157" i="1"/>
  <c r="AV157" i="1" s="1"/>
  <c r="AB157" i="1"/>
  <c r="AT160" i="1"/>
  <c r="AJ160" i="1"/>
  <c r="AQ163" i="1"/>
  <c r="AN168" i="1"/>
  <c r="AT168" i="1"/>
  <c r="AV168" i="1" s="1"/>
  <c r="AJ168" i="1"/>
  <c r="AV169" i="1"/>
  <c r="AO172" i="1"/>
  <c r="AC172" i="1"/>
  <c r="AB176" i="1"/>
  <c r="AR176" i="1"/>
  <c r="AO148" i="1"/>
  <c r="AO154" i="1"/>
  <c r="AV154" i="1" s="1"/>
  <c r="AO160" i="1"/>
  <c r="AV160" i="1" s="1"/>
  <c r="AD167" i="1"/>
  <c r="AC168" i="1"/>
  <c r="AB169" i="1"/>
  <c r="AT169" i="1"/>
  <c r="AT170" i="1"/>
  <c r="AV170" i="1" s="1"/>
  <c r="AB171" i="1"/>
  <c r="AB173" i="1"/>
  <c r="AO174" i="1"/>
  <c r="AV174" i="1" s="1"/>
  <c r="AR175" i="1"/>
  <c r="AV175" i="1" s="1"/>
  <c r="AB175" i="1"/>
  <c r="AR179" i="1"/>
  <c r="AN180" i="1"/>
  <c r="AT180" i="1"/>
  <c r="AJ180" i="1"/>
  <c r="AT183" i="1"/>
  <c r="AT184" i="1"/>
  <c r="AC185" i="1"/>
  <c r="AN186" i="1"/>
  <c r="AT186" i="1"/>
  <c r="AJ186" i="1"/>
  <c r="AT189" i="1"/>
  <c r="AV189" i="1" s="1"/>
  <c r="AT190" i="1"/>
  <c r="AC191" i="1"/>
  <c r="AN192" i="1"/>
  <c r="AT192" i="1"/>
  <c r="AJ192" i="1"/>
  <c r="AT195" i="1"/>
  <c r="AV195" i="1" s="1"/>
  <c r="AT196" i="1"/>
  <c r="AC197" i="1"/>
  <c r="AN198" i="1"/>
  <c r="AT198" i="1"/>
  <c r="AJ198" i="1"/>
  <c r="AT201" i="1"/>
  <c r="AV201" i="1" s="1"/>
  <c r="AT202" i="1"/>
  <c r="AC203" i="1"/>
  <c r="AN204" i="1"/>
  <c r="AT204" i="1"/>
  <c r="AJ204" i="1"/>
  <c r="AT207" i="1"/>
  <c r="AV207" i="1" s="1"/>
  <c r="AT208" i="1"/>
  <c r="AC209" i="1"/>
  <c r="AN210" i="1"/>
  <c r="AT210" i="1"/>
  <c r="AJ210" i="1"/>
  <c r="AV212" i="1"/>
  <c r="AJ223" i="1"/>
  <c r="AR224" i="1"/>
  <c r="AV224" i="1" s="1"/>
  <c r="AV230" i="1"/>
  <c r="AQ231" i="1"/>
  <c r="AD231" i="1"/>
  <c r="AJ257" i="1"/>
  <c r="AT257" i="1"/>
  <c r="AN257" i="1"/>
  <c r="AR262" i="1"/>
  <c r="AB262" i="1"/>
  <c r="AC338" i="1"/>
  <c r="AO338" i="1"/>
  <c r="AV338" i="1" s="1"/>
  <c r="AQ147" i="1"/>
  <c r="AQ153" i="1"/>
  <c r="AJ157" i="1"/>
  <c r="AT157" i="1"/>
  <c r="AQ159" i="1"/>
  <c r="AJ163" i="1"/>
  <c r="AT163" i="1"/>
  <c r="AQ165" i="1"/>
  <c r="AJ169" i="1"/>
  <c r="AJ170" i="1"/>
  <c r="AJ171" i="1"/>
  <c r="AT171" i="1"/>
  <c r="AV171" i="1" s="1"/>
  <c r="AT172" i="1"/>
  <c r="AQ177" i="1"/>
  <c r="AV178" i="1"/>
  <c r="AT179" i="1"/>
  <c r="AO180" i="1"/>
  <c r="AV180" i="1" s="1"/>
  <c r="AR181" i="1"/>
  <c r="AB181" i="1"/>
  <c r="AQ181" i="1"/>
  <c r="AJ183" i="1"/>
  <c r="AJ184" i="1"/>
  <c r="AO186" i="1"/>
  <c r="AV186" i="1" s="1"/>
  <c r="AR187" i="1"/>
  <c r="AB187" i="1"/>
  <c r="AQ187" i="1"/>
  <c r="AJ189" i="1"/>
  <c r="AJ190" i="1"/>
  <c r="AO192" i="1"/>
  <c r="AV192" i="1" s="1"/>
  <c r="AR193" i="1"/>
  <c r="AB193" i="1"/>
  <c r="AQ193" i="1"/>
  <c r="AJ195" i="1"/>
  <c r="AJ196" i="1"/>
  <c r="AO198" i="1"/>
  <c r="AV198" i="1" s="1"/>
  <c r="AR199" i="1"/>
  <c r="AV199" i="1" s="1"/>
  <c r="AB199" i="1"/>
  <c r="AQ199" i="1"/>
  <c r="AJ201" i="1"/>
  <c r="AJ202" i="1"/>
  <c r="AO204" i="1"/>
  <c r="AV204" i="1" s="1"/>
  <c r="AR205" i="1"/>
  <c r="AB205" i="1"/>
  <c r="AQ205" i="1"/>
  <c r="AJ207" i="1"/>
  <c r="AJ208" i="1"/>
  <c r="AO210" i="1"/>
  <c r="AV210" i="1" s="1"/>
  <c r="AR211" i="1"/>
  <c r="AV211" i="1" s="1"/>
  <c r="AB211" i="1"/>
  <c r="AQ211" i="1"/>
  <c r="AN216" i="1"/>
  <c r="AT216" i="1"/>
  <c r="AJ216" i="1"/>
  <c r="AR217" i="1"/>
  <c r="AB217" i="1"/>
  <c r="AQ217" i="1"/>
  <c r="AB229" i="1"/>
  <c r="AR229" i="1"/>
  <c r="AV229" i="1" s="1"/>
  <c r="AJ152" i="1"/>
  <c r="AJ158" i="1"/>
  <c r="AJ164" i="1"/>
  <c r="AT176" i="1"/>
  <c r="AJ179" i="1"/>
  <c r="AC182" i="1"/>
  <c r="AD184" i="1"/>
  <c r="AB186" i="1"/>
  <c r="AC188" i="1"/>
  <c r="AD190" i="1"/>
  <c r="AB192" i="1"/>
  <c r="AC194" i="1"/>
  <c r="AD196" i="1"/>
  <c r="AB198" i="1"/>
  <c r="AC200" i="1"/>
  <c r="AD202" i="1"/>
  <c r="AB204" i="1"/>
  <c r="AC206" i="1"/>
  <c r="AD208" i="1"/>
  <c r="AB210" i="1"/>
  <c r="AC212" i="1"/>
  <c r="AR213" i="1"/>
  <c r="AV213" i="1" s="1"/>
  <c r="AQ215" i="1"/>
  <c r="AO216" i="1"/>
  <c r="AV216" i="1" s="1"/>
  <c r="AC218" i="1"/>
  <c r="AR219" i="1"/>
  <c r="AQ221" i="1"/>
  <c r="AD222" i="1"/>
  <c r="AQ222" i="1"/>
  <c r="AN225" i="1"/>
  <c r="AT242" i="1"/>
  <c r="AJ242" i="1"/>
  <c r="AN242" i="1"/>
  <c r="AR250" i="1"/>
  <c r="AB250" i="1"/>
  <c r="AD278" i="1"/>
  <c r="AQ278" i="1"/>
  <c r="AT178" i="1"/>
  <c r="AT214" i="1"/>
  <c r="AV214" i="1" s="1"/>
  <c r="AJ214" i="1"/>
  <c r="AT220" i="1"/>
  <c r="AV220" i="1" s="1"/>
  <c r="AJ220" i="1"/>
  <c r="AT223" i="1"/>
  <c r="AO234" i="1"/>
  <c r="AV234" i="1" s="1"/>
  <c r="AC234" i="1"/>
  <c r="AO238" i="1"/>
  <c r="AV238" i="1" s="1"/>
  <c r="AC238" i="1"/>
  <c r="AV242" i="1"/>
  <c r="AC249" i="1"/>
  <c r="AO249" i="1"/>
  <c r="AT255" i="1"/>
  <c r="AJ255" i="1"/>
  <c r="AN255" i="1"/>
  <c r="AR268" i="1"/>
  <c r="AB268" i="1"/>
  <c r="AR276" i="1"/>
  <c r="AB276" i="1"/>
  <c r="AB149" i="1"/>
  <c r="AB155" i="1"/>
  <c r="AB161" i="1"/>
  <c r="AJ166" i="1"/>
  <c r="AB167" i="1"/>
  <c r="AT174" i="1"/>
  <c r="AJ174" i="1"/>
  <c r="AC178" i="1"/>
  <c r="AV190" i="1"/>
  <c r="AV196" i="1"/>
  <c r="AV208" i="1"/>
  <c r="AN214" i="1"/>
  <c r="AN220" i="1"/>
  <c r="AB226" i="1"/>
  <c r="AR273" i="1"/>
  <c r="AV273" i="1" s="1"/>
  <c r="AR182" i="1"/>
  <c r="AB182" i="1"/>
  <c r="AR188" i="1"/>
  <c r="AV188" i="1" s="1"/>
  <c r="AB188" i="1"/>
  <c r="AR194" i="1"/>
  <c r="AB194" i="1"/>
  <c r="AR200" i="1"/>
  <c r="AB200" i="1"/>
  <c r="AR206" i="1"/>
  <c r="AV206" i="1" s="1"/>
  <c r="AB206" i="1"/>
  <c r="AR212" i="1"/>
  <c r="AB212" i="1"/>
  <c r="AN254" i="1"/>
  <c r="AJ254" i="1"/>
  <c r="AT254" i="1"/>
  <c r="AN264" i="1"/>
  <c r="AT264" i="1"/>
  <c r="AJ264" i="1"/>
  <c r="AD272" i="1"/>
  <c r="AQ272" i="1"/>
  <c r="AR222" i="1"/>
  <c r="AB222" i="1"/>
  <c r="AT227" i="1"/>
  <c r="AV227" i="1" s="1"/>
  <c r="AJ227" i="1"/>
  <c r="AR230" i="1"/>
  <c r="AC232" i="1"/>
  <c r="AQ233" i="1"/>
  <c r="AQ240" i="1"/>
  <c r="AB241" i="1"/>
  <c r="AD243" i="1"/>
  <c r="AB245" i="1"/>
  <c r="AT249" i="1"/>
  <c r="AJ249" i="1"/>
  <c r="AN249" i="1"/>
  <c r="AC250" i="1"/>
  <c r="AO250" i="1"/>
  <c r="AC253" i="1"/>
  <c r="AO254" i="1"/>
  <c r="AV254" i="1" s="1"/>
  <c r="AC254" i="1"/>
  <c r="AO261" i="1"/>
  <c r="AV261" i="1" s="1"/>
  <c r="AT267" i="1"/>
  <c r="AJ267" i="1"/>
  <c r="AN267" i="1"/>
  <c r="AC268" i="1"/>
  <c r="AO268" i="1"/>
  <c r="AV268" i="1" s="1"/>
  <c r="AD271" i="1"/>
  <c r="AN275" i="1"/>
  <c r="AT275" i="1"/>
  <c r="AT281" i="1"/>
  <c r="AN281" i="1"/>
  <c r="AJ281" i="1"/>
  <c r="AR294" i="1"/>
  <c r="AV294" i="1" s="1"/>
  <c r="AB294" i="1"/>
  <c r="AO332" i="1"/>
  <c r="AV332" i="1" s="1"/>
  <c r="AC332" i="1"/>
  <c r="AD216" i="1"/>
  <c r="AB218" i="1"/>
  <c r="AV225" i="1"/>
  <c r="AT226" i="1"/>
  <c r="AV226" i="1" s="1"/>
  <c r="AT229" i="1"/>
  <c r="AT230" i="1"/>
  <c r="AJ230" i="1"/>
  <c r="AC231" i="1"/>
  <c r="AB238" i="1"/>
  <c r="AT246" i="1"/>
  <c r="AV246" i="1" s="1"/>
  <c r="AD254" i="1"/>
  <c r="AQ254" i="1"/>
  <c r="AB255" i="1"/>
  <c r="AD262" i="1"/>
  <c r="AQ262" i="1"/>
  <c r="AT263" i="1"/>
  <c r="AN265" i="1"/>
  <c r="AJ265" i="1"/>
  <c r="AR274" i="1"/>
  <c r="AB274" i="1"/>
  <c r="AC275" i="1"/>
  <c r="AT233" i="1"/>
  <c r="AV233" i="1" s="1"/>
  <c r="AJ233" i="1"/>
  <c r="AV243" i="1"/>
  <c r="AV245" i="1"/>
  <c r="AD265" i="1"/>
  <c r="AQ265" i="1"/>
  <c r="AO322" i="1"/>
  <c r="AC322" i="1"/>
  <c r="AV228" i="1"/>
  <c r="AT236" i="1"/>
  <c r="AJ236" i="1"/>
  <c r="AC251" i="1"/>
  <c r="AO251" i="1"/>
  <c r="AV251" i="1" s="1"/>
  <c r="AT258" i="1"/>
  <c r="AJ258" i="1"/>
  <c r="AR261" i="1"/>
  <c r="AO269" i="1"/>
  <c r="AV269" i="1" s="1"/>
  <c r="AC269" i="1"/>
  <c r="AR272" i="1"/>
  <c r="AB272" i="1"/>
  <c r="AD274" i="1"/>
  <c r="AQ274" i="1"/>
  <c r="AV276" i="1"/>
  <c r="AQ280" i="1"/>
  <c r="AD280" i="1"/>
  <c r="AT221" i="1"/>
  <c r="AJ221" i="1"/>
  <c r="AV231" i="1"/>
  <c r="AN236" i="1"/>
  <c r="AT239" i="1"/>
  <c r="AJ239" i="1"/>
  <c r="AN258" i="1"/>
  <c r="AT271" i="1"/>
  <c r="AJ271" i="1"/>
  <c r="AN271" i="1"/>
  <c r="AC279" i="1"/>
  <c r="AO279" i="1"/>
  <c r="AC285" i="1"/>
  <c r="AO285" i="1"/>
  <c r="AV309" i="1"/>
  <c r="AQ232" i="1"/>
  <c r="AQ238" i="1"/>
  <c r="AQ244" i="1"/>
  <c r="AQ246" i="1"/>
  <c r="AV247" i="1"/>
  <c r="AT248" i="1"/>
  <c r="AV248" i="1" s="1"/>
  <c r="AN253" i="1"/>
  <c r="AQ264" i="1"/>
  <c r="AT266" i="1"/>
  <c r="AT270" i="1"/>
  <c r="AC278" i="1"/>
  <c r="AR279" i="1"/>
  <c r="AQ282" i="1"/>
  <c r="AC283" i="1"/>
  <c r="AO283" i="1"/>
  <c r="AV283" i="1" s="1"/>
  <c r="AT285" i="1"/>
  <c r="AJ285" i="1"/>
  <c r="AT289" i="1"/>
  <c r="AJ289" i="1"/>
  <c r="AV290" i="1"/>
  <c r="AV298" i="1"/>
  <c r="AO299" i="1"/>
  <c r="AV299" i="1" s="1"/>
  <c r="AC299" i="1"/>
  <c r="AV302" i="1"/>
  <c r="AV303" i="1"/>
  <c r="AT314" i="1"/>
  <c r="AN314" i="1"/>
  <c r="AJ314" i="1"/>
  <c r="AO328" i="1"/>
  <c r="AV328" i="1" s="1"/>
  <c r="AC328" i="1"/>
  <c r="AO334" i="1"/>
  <c r="AV334" i="1" s="1"/>
  <c r="AC334" i="1"/>
  <c r="AT283" i="1"/>
  <c r="AJ283" i="1"/>
  <c r="AR284" i="1"/>
  <c r="AV284" i="1" s="1"/>
  <c r="AB284" i="1"/>
  <c r="AR286" i="1"/>
  <c r="AV286" i="1" s="1"/>
  <c r="AB286" i="1"/>
  <c r="AO287" i="1"/>
  <c r="AV287" i="1" s="1"/>
  <c r="AC287" i="1"/>
  <c r="AN291" i="1"/>
  <c r="AT291" i="1"/>
  <c r="AJ291" i="1"/>
  <c r="AN303" i="1"/>
  <c r="AT303" i="1"/>
  <c r="AJ303" i="1"/>
  <c r="AQ304" i="1"/>
  <c r="AD304" i="1"/>
  <c r="AR318" i="1"/>
  <c r="AV318" i="1" s="1"/>
  <c r="AC277" i="1"/>
  <c r="AO277" i="1"/>
  <c r="AT279" i="1"/>
  <c r="AJ279" i="1"/>
  <c r="AT282" i="1"/>
  <c r="AV282" i="1" s="1"/>
  <c r="AN283" i="1"/>
  <c r="AR288" i="1"/>
  <c r="AV288" i="1" s="1"/>
  <c r="AB288" i="1"/>
  <c r="AR300" i="1"/>
  <c r="AV300" i="1" s="1"/>
  <c r="AB300" i="1"/>
  <c r="AT324" i="1"/>
  <c r="AV324" i="1" s="1"/>
  <c r="AJ324" i="1"/>
  <c r="AN324" i="1"/>
  <c r="AB228" i="1"/>
  <c r="AB234" i="1"/>
  <c r="AB240" i="1"/>
  <c r="AC247" i="1"/>
  <c r="AB252" i="1"/>
  <c r="AO255" i="1"/>
  <c r="AV255" i="1" s="1"/>
  <c r="AR256" i="1"/>
  <c r="AB256" i="1"/>
  <c r="AT261" i="1"/>
  <c r="AJ261" i="1"/>
  <c r="AC265" i="1"/>
  <c r="AT277" i="1"/>
  <c r="AJ277" i="1"/>
  <c r="AR278" i="1"/>
  <c r="AV278" i="1" s="1"/>
  <c r="AB278" i="1"/>
  <c r="AN279" i="1"/>
  <c r="AR280" i="1"/>
  <c r="AV280" i="1" s="1"/>
  <c r="AB280" i="1"/>
  <c r="AV281" i="1"/>
  <c r="AJ282" i="1"/>
  <c r="AD283" i="1"/>
  <c r="AV292" i="1"/>
  <c r="AO293" i="1"/>
  <c r="AV293" i="1" s="1"/>
  <c r="AC293" i="1"/>
  <c r="AV296" i="1"/>
  <c r="AB321" i="1"/>
  <c r="AR321" i="1"/>
  <c r="AT330" i="1"/>
  <c r="AV330" i="1" s="1"/>
  <c r="AJ330" i="1"/>
  <c r="AN330" i="1"/>
  <c r="AT336" i="1"/>
  <c r="AV336" i="1" s="1"/>
  <c r="AJ336" i="1"/>
  <c r="AN336" i="1"/>
  <c r="AT342" i="1"/>
  <c r="AV342" i="1" s="1"/>
  <c r="AJ342" i="1"/>
  <c r="AN342" i="1"/>
  <c r="AT260" i="1"/>
  <c r="AC271" i="1"/>
  <c r="AO271" i="1"/>
  <c r="AV271" i="1" s="1"/>
  <c r="AT273" i="1"/>
  <c r="AJ273" i="1"/>
  <c r="AT276" i="1"/>
  <c r="AC284" i="1"/>
  <c r="AN297" i="1"/>
  <c r="AT297" i="1"/>
  <c r="AV297" i="1" s="1"/>
  <c r="AJ297" i="1"/>
  <c r="AQ313" i="1"/>
  <c r="AD313" i="1"/>
  <c r="AV317" i="1"/>
  <c r="AO326" i="1"/>
  <c r="AV326" i="1" s="1"/>
  <c r="AC326" i="1"/>
  <c r="AO289" i="1"/>
  <c r="AV289" i="1" s="1"/>
  <c r="AD290" i="1"/>
  <c r="AC291" i="1"/>
  <c r="AB292" i="1"/>
  <c r="AO295" i="1"/>
  <c r="AV295" i="1" s="1"/>
  <c r="AD296" i="1"/>
  <c r="AC297" i="1"/>
  <c r="AB298" i="1"/>
  <c r="AO301" i="1"/>
  <c r="AV301" i="1" s="1"/>
  <c r="AD302" i="1"/>
  <c r="AC303" i="1"/>
  <c r="AT304" i="1"/>
  <c r="AV304" i="1" s="1"/>
  <c r="AJ304" i="1"/>
  <c r="AC314" i="1"/>
  <c r="AQ315" i="1"/>
  <c r="AO316" i="1"/>
  <c r="AV316" i="1" s="1"/>
  <c r="AC316" i="1"/>
  <c r="AT322" i="1"/>
  <c r="AJ322" i="1"/>
  <c r="AR323" i="1"/>
  <c r="AV323" i="1" s="1"/>
  <c r="AB323" i="1"/>
  <c r="AB324" i="1"/>
  <c r="AQ327" i="1"/>
  <c r="AR329" i="1"/>
  <c r="AB329" i="1"/>
  <c r="AB330" i="1"/>
  <c r="AQ333" i="1"/>
  <c r="AR335" i="1"/>
  <c r="AV335" i="1" s="1"/>
  <c r="AB335" i="1"/>
  <c r="AB336" i="1"/>
  <c r="AT338" i="1"/>
  <c r="AJ338" i="1"/>
  <c r="AN338" i="1"/>
  <c r="AO340" i="1"/>
  <c r="AV340" i="1" s="1"/>
  <c r="AC340" i="1"/>
  <c r="AR341" i="1"/>
  <c r="AV341" i="1" s="1"/>
  <c r="AB341" i="1"/>
  <c r="AQ349" i="1"/>
  <c r="AN354" i="1"/>
  <c r="AT354" i="1"/>
  <c r="AJ354" i="1"/>
  <c r="AQ288" i="1"/>
  <c r="AQ294" i="1"/>
  <c r="AQ300" i="1"/>
  <c r="AR306" i="1"/>
  <c r="AQ309" i="1"/>
  <c r="AO310" i="1"/>
  <c r="AV310" i="1" s="1"/>
  <c r="AC310" i="1"/>
  <c r="AT316" i="1"/>
  <c r="AJ316" i="1"/>
  <c r="AR317" i="1"/>
  <c r="AB317" i="1"/>
  <c r="AQ317" i="1"/>
  <c r="AT318" i="1"/>
  <c r="AJ318" i="1"/>
  <c r="AT321" i="1"/>
  <c r="AQ325" i="1"/>
  <c r="AR327" i="1"/>
  <c r="AQ331" i="1"/>
  <c r="AR333" i="1"/>
  <c r="AQ337" i="1"/>
  <c r="AN348" i="1"/>
  <c r="AT348" i="1"/>
  <c r="AJ348" i="1"/>
  <c r="AR305" i="1"/>
  <c r="AV305" i="1" s="1"/>
  <c r="AB305" i="1"/>
  <c r="AT310" i="1"/>
  <c r="AJ310" i="1"/>
  <c r="AR311" i="1"/>
  <c r="AB311" i="1"/>
  <c r="AT312" i="1"/>
  <c r="AJ312" i="1"/>
  <c r="AT315" i="1"/>
  <c r="AV315" i="1" s="1"/>
  <c r="AR319" i="1"/>
  <c r="AV319" i="1" s="1"/>
  <c r="AB319" i="1"/>
  <c r="AV320" i="1"/>
  <c r="AD323" i="1"/>
  <c r="AQ323" i="1"/>
  <c r="AR345" i="1"/>
  <c r="AB345" i="1"/>
  <c r="AT306" i="1"/>
  <c r="AV306" i="1" s="1"/>
  <c r="AJ306" i="1"/>
  <c r="AT309" i="1"/>
  <c r="AR313" i="1"/>
  <c r="AV313" i="1" s="1"/>
  <c r="AB313" i="1"/>
  <c r="AN327" i="1"/>
  <c r="AT327" i="1"/>
  <c r="AJ327" i="1"/>
  <c r="AN333" i="1"/>
  <c r="AT333" i="1"/>
  <c r="AJ333" i="1"/>
  <c r="AC344" i="1"/>
  <c r="AO344" i="1"/>
  <c r="AV344" i="1" s="1"/>
  <c r="AR351" i="1"/>
  <c r="AB351" i="1"/>
  <c r="AB290" i="1"/>
  <c r="AJ295" i="1"/>
  <c r="AB296" i="1"/>
  <c r="AJ301" i="1"/>
  <c r="AB302" i="1"/>
  <c r="AN306" i="1"/>
  <c r="AR307" i="1"/>
  <c r="AV307" i="1" s="1"/>
  <c r="AB307" i="1"/>
  <c r="AV308" i="1"/>
  <c r="AJ309" i="1"/>
  <c r="AO312" i="1"/>
  <c r="AV312" i="1" s="1"/>
  <c r="AR339" i="1"/>
  <c r="AV339" i="1" s="1"/>
  <c r="AB339" i="1"/>
  <c r="AC350" i="1"/>
  <c r="AO350" i="1"/>
  <c r="AV350" i="1" s="1"/>
  <c r="AV352" i="1"/>
  <c r="AQ329" i="1"/>
  <c r="AQ335" i="1"/>
  <c r="AJ339" i="1"/>
  <c r="AT339" i="1"/>
  <c r="AQ341" i="1"/>
  <c r="AN344" i="1"/>
  <c r="AJ345" i="1"/>
  <c r="AT345" i="1"/>
  <c r="AQ347" i="1"/>
  <c r="AN350" i="1"/>
  <c r="AJ351" i="1"/>
  <c r="AT351" i="1"/>
  <c r="AQ353" i="1"/>
  <c r="AJ328" i="1"/>
  <c r="AJ334" i="1"/>
  <c r="AJ340" i="1"/>
  <c r="AD345" i="1"/>
  <c r="AC346" i="1"/>
  <c r="AJ346" i="1"/>
  <c r="AB347" i="1"/>
  <c r="AD351" i="1"/>
  <c r="AC352" i="1"/>
  <c r="AJ352" i="1"/>
  <c r="AB353" i="1"/>
  <c r="AB325" i="1"/>
  <c r="AB331" i="1"/>
  <c r="AB337" i="1"/>
  <c r="AB343" i="1"/>
  <c r="AB349" i="1"/>
  <c r="AJ344" i="1"/>
  <c r="AJ350" i="1"/>
  <c r="AU9" i="6"/>
  <c r="AO15" i="6"/>
  <c r="AC15" i="6"/>
  <c r="AR20" i="6"/>
  <c r="AB20" i="6"/>
  <c r="AU49" i="6"/>
  <c r="AB55" i="6"/>
  <c r="AR55" i="6"/>
  <c r="AN70" i="6"/>
  <c r="AJ70" i="6"/>
  <c r="AU75" i="6"/>
  <c r="AR79" i="6"/>
  <c r="AB79" i="6"/>
  <c r="AU13" i="6"/>
  <c r="AN51" i="6"/>
  <c r="AT51" i="6"/>
  <c r="AJ51" i="6"/>
  <c r="AU66" i="6"/>
  <c r="AO69" i="6"/>
  <c r="AC69" i="6"/>
  <c r="AT71" i="6"/>
  <c r="AN71" i="6"/>
  <c r="AJ71" i="6"/>
  <c r="AN94" i="6"/>
  <c r="AT94" i="6"/>
  <c r="AJ94" i="6"/>
  <c r="AR125" i="6"/>
  <c r="AB125" i="6"/>
  <c r="AR16" i="6"/>
  <c r="AB16" i="6"/>
  <c r="AU21" i="6"/>
  <c r="AR32" i="6"/>
  <c r="AB32" i="6"/>
  <c r="AN39" i="6"/>
  <c r="AT39" i="6"/>
  <c r="AJ39" i="6"/>
  <c r="AO47" i="6"/>
  <c r="AC47" i="6"/>
  <c r="AU71" i="6"/>
  <c r="AN90" i="6"/>
  <c r="AT90" i="6"/>
  <c r="AJ90" i="6"/>
  <c r="AR12" i="6"/>
  <c r="AB12" i="6"/>
  <c r="AN23" i="6"/>
  <c r="AT23" i="6"/>
  <c r="AJ23" i="6"/>
  <c r="AQ36" i="6"/>
  <c r="AT56" i="6"/>
  <c r="AJ56" i="6"/>
  <c r="AN56" i="6"/>
  <c r="AC26" i="7"/>
  <c r="AO26" i="7"/>
  <c r="AV26" i="7" s="1"/>
  <c r="AU123" i="6"/>
  <c r="AU111" i="6"/>
  <c r="AU103" i="6"/>
  <c r="AU99" i="6"/>
  <c r="AU91" i="6"/>
  <c r="AU87" i="6"/>
  <c r="AU122" i="6"/>
  <c r="AU118" i="6"/>
  <c r="AU114" i="6"/>
  <c r="AU110" i="6"/>
  <c r="AU106" i="6"/>
  <c r="AU102" i="6"/>
  <c r="AU98" i="6"/>
  <c r="AU94" i="6"/>
  <c r="AU90" i="6"/>
  <c r="AU121" i="6"/>
  <c r="AU117" i="6"/>
  <c r="AU125" i="6"/>
  <c r="AU85" i="6"/>
  <c r="AU81" i="6"/>
  <c r="AU77" i="6"/>
  <c r="AU63" i="6"/>
  <c r="AU55" i="6"/>
  <c r="AU124" i="6"/>
  <c r="AU88" i="6"/>
  <c r="AU84" i="6"/>
  <c r="AU76" i="6"/>
  <c r="AU96" i="6"/>
  <c r="AU74" i="6"/>
  <c r="AU58" i="6"/>
  <c r="AU57" i="6"/>
  <c r="AU54" i="6"/>
  <c r="AU53" i="6"/>
  <c r="AU48" i="6"/>
  <c r="AU32" i="6"/>
  <c r="AU20" i="6"/>
  <c r="AU16" i="6"/>
  <c r="AU12" i="6"/>
  <c r="AU105" i="6"/>
  <c r="AU78" i="6"/>
  <c r="AU60" i="6"/>
  <c r="AU47" i="6"/>
  <c r="AU19" i="6"/>
  <c r="AU15" i="6"/>
  <c r="AU109" i="6"/>
  <c r="AU40" i="6"/>
  <c r="AU36" i="6"/>
  <c r="AU3" i="6"/>
  <c r="AU120" i="6"/>
  <c r="AU93" i="6"/>
  <c r="AU79" i="6"/>
  <c r="AU64" i="6"/>
  <c r="AU61" i="6"/>
  <c r="AU51" i="6"/>
  <c r="AU43" i="6"/>
  <c r="AU39" i="6"/>
  <c r="AU35" i="6"/>
  <c r="AU27" i="6"/>
  <c r="AU23" i="6"/>
  <c r="AU7" i="6"/>
  <c r="AU116" i="6"/>
  <c r="AU113" i="6"/>
  <c r="AU108" i="6"/>
  <c r="AU97" i="6"/>
  <c r="AU82" i="6"/>
  <c r="AU70" i="6"/>
  <c r="AU69" i="6"/>
  <c r="AU67" i="6"/>
  <c r="AU50" i="6"/>
  <c r="AU42" i="6"/>
  <c r="AU38" i="6"/>
  <c r="AU34" i="6"/>
  <c r="AU30" i="6"/>
  <c r="AU26" i="6"/>
  <c r="AU22" i="6"/>
  <c r="AU10" i="6"/>
  <c r="AU6" i="6"/>
  <c r="AN7" i="6"/>
  <c r="AT7" i="6"/>
  <c r="AJ7" i="6"/>
  <c r="AO19" i="6"/>
  <c r="AV19" i="6" s="1"/>
  <c r="AC19" i="6"/>
  <c r="AU25" i="6"/>
  <c r="AN35" i="6"/>
  <c r="AT35" i="6"/>
  <c r="AJ35" i="6"/>
  <c r="AN43" i="6"/>
  <c r="AT43" i="6"/>
  <c r="AJ43" i="6"/>
  <c r="AR48" i="6"/>
  <c r="AB48" i="6"/>
  <c r="AD25" i="7"/>
  <c r="AQ25" i="7"/>
  <c r="AU17" i="6"/>
  <c r="AN27" i="6"/>
  <c r="AT27" i="6"/>
  <c r="AJ27" i="6"/>
  <c r="AU29" i="6"/>
  <c r="AQ40" i="6"/>
  <c r="AQ56" i="6"/>
  <c r="AD56" i="6"/>
  <c r="AU56" i="6"/>
  <c r="AQ60" i="6"/>
  <c r="AD60" i="6"/>
  <c r="AR61" i="6"/>
  <c r="AB61" i="6"/>
  <c r="AU65" i="6"/>
  <c r="AQ78" i="6"/>
  <c r="AD78" i="6"/>
  <c r="AU101" i="6"/>
  <c r="AQ3" i="6"/>
  <c r="AD6" i="6"/>
  <c r="AC7" i="6"/>
  <c r="AD10" i="6"/>
  <c r="AP16" i="6"/>
  <c r="AV16" i="6" s="1"/>
  <c r="AP20" i="6"/>
  <c r="AV20" i="6" s="1"/>
  <c r="AD22" i="6"/>
  <c r="AC23" i="6"/>
  <c r="AD26" i="6"/>
  <c r="AC27" i="6"/>
  <c r="AD30" i="6"/>
  <c r="AD34" i="6"/>
  <c r="AC35" i="6"/>
  <c r="AB36" i="6"/>
  <c r="AD38" i="6"/>
  <c r="AC39" i="6"/>
  <c r="AB40" i="6"/>
  <c r="AD42" i="6"/>
  <c r="AC43" i="6"/>
  <c r="AD50" i="6"/>
  <c r="AC51" i="6"/>
  <c r="AP54" i="6"/>
  <c r="AO57" i="6"/>
  <c r="AO60" i="6"/>
  <c r="AV60" i="6" s="1"/>
  <c r="AC65" i="6"/>
  <c r="AJ65" i="6"/>
  <c r="AN66" i="6"/>
  <c r="AD67" i="6"/>
  <c r="AQ69" i="6"/>
  <c r="AC73" i="6"/>
  <c r="AJ73" i="6"/>
  <c r="AN74" i="6"/>
  <c r="AR76" i="6"/>
  <c r="AQ77" i="6"/>
  <c r="AO78" i="6"/>
  <c r="AV78" i="6" s="1"/>
  <c r="AR82" i="6"/>
  <c r="AB82" i="6"/>
  <c r="AO84" i="6"/>
  <c r="AR85" i="6"/>
  <c r="AB85" i="6"/>
  <c r="AN85" i="6"/>
  <c r="AR96" i="6"/>
  <c r="AB96" i="6"/>
  <c r="AR97" i="6"/>
  <c r="AR98" i="6"/>
  <c r="AR99" i="6"/>
  <c r="AQ101" i="6"/>
  <c r="AJ105" i="6"/>
  <c r="AQ106" i="6"/>
  <c r="AN109" i="6"/>
  <c r="AN110" i="6"/>
  <c r="AN111" i="6"/>
  <c r="AT111" i="6"/>
  <c r="AJ111" i="6"/>
  <c r="AR113" i="6"/>
  <c r="AR118" i="6"/>
  <c r="AQ120" i="6"/>
  <c r="AN122" i="6"/>
  <c r="AT122" i="6"/>
  <c r="AJ122" i="6"/>
  <c r="AN123" i="6"/>
  <c r="AD24" i="8"/>
  <c r="AQ24" i="8"/>
  <c r="AN24" i="8"/>
  <c r="AT24" i="8"/>
  <c r="AJ24" i="8"/>
  <c r="AC6" i="9"/>
  <c r="AO6" i="9"/>
  <c r="AV6" i="9" s="1"/>
  <c r="AT32" i="10"/>
  <c r="AJ32" i="10"/>
  <c r="AN32" i="10"/>
  <c r="AO114" i="6"/>
  <c r="AO110" i="6"/>
  <c r="AO106" i="6"/>
  <c r="AV106" i="6" s="1"/>
  <c r="AO102" i="6"/>
  <c r="AO98" i="6"/>
  <c r="AO94" i="6"/>
  <c r="AO117" i="6"/>
  <c r="AO113" i="6"/>
  <c r="AO120" i="6"/>
  <c r="AV120" i="6" s="1"/>
  <c r="AO116" i="6"/>
  <c r="AO123" i="6"/>
  <c r="AO111" i="6"/>
  <c r="AV111" i="6" s="1"/>
  <c r="AO103" i="6"/>
  <c r="AO99" i="6"/>
  <c r="AO91" i="6"/>
  <c r="AV91" i="6" s="1"/>
  <c r="AO87" i="6"/>
  <c r="AO71" i="6"/>
  <c r="AN121" i="6"/>
  <c r="AN117" i="6"/>
  <c r="AR3" i="6"/>
  <c r="AD7" i="6"/>
  <c r="AO10" i="6"/>
  <c r="AB15" i="6"/>
  <c r="AB19" i="6"/>
  <c r="AP21" i="6"/>
  <c r="AV21" i="6" s="1"/>
  <c r="AO22" i="6"/>
  <c r="AD23" i="6"/>
  <c r="AO26" i="6"/>
  <c r="AD27" i="6"/>
  <c r="AP29" i="6"/>
  <c r="AV29" i="6" s="1"/>
  <c r="AO30" i="6"/>
  <c r="AP33" i="6"/>
  <c r="AV33" i="6" s="1"/>
  <c r="AO34" i="6"/>
  <c r="AV34" i="6" s="1"/>
  <c r="AD35" i="6"/>
  <c r="AC36" i="6"/>
  <c r="AJ36" i="6"/>
  <c r="AO38" i="6"/>
  <c r="AD39" i="6"/>
  <c r="AC40" i="6"/>
  <c r="AJ40" i="6"/>
  <c r="AO42" i="6"/>
  <c r="AD43" i="6"/>
  <c r="AP45" i="6"/>
  <c r="AV45" i="6" s="1"/>
  <c r="AB47" i="6"/>
  <c r="AO50" i="6"/>
  <c r="AV50" i="6" s="1"/>
  <c r="AD51" i="6"/>
  <c r="AQ53" i="6"/>
  <c r="AO54" i="6"/>
  <c r="AQ54" i="6"/>
  <c r="AN55" i="6"/>
  <c r="AT55" i="6"/>
  <c r="AO56" i="6"/>
  <c r="AV56" i="6" s="1"/>
  <c r="AR57" i="6"/>
  <c r="AB57" i="6"/>
  <c r="AP57" i="6"/>
  <c r="AP58" i="6"/>
  <c r="AV58" i="6" s="1"/>
  <c r="AQ61" i="6"/>
  <c r="AN63" i="6"/>
  <c r="AT63" i="6"/>
  <c r="AJ63" i="6"/>
  <c r="AR64" i="6"/>
  <c r="AB64" i="6"/>
  <c r="AN65" i="6"/>
  <c r="AJ69" i="6"/>
  <c r="AD71" i="6"/>
  <c r="AN73" i="6"/>
  <c r="AO74" i="6"/>
  <c r="AO76" i="6"/>
  <c r="AR77" i="6"/>
  <c r="AQ79" i="6"/>
  <c r="AN81" i="6"/>
  <c r="AT81" i="6"/>
  <c r="AJ81" i="6"/>
  <c r="AN84" i="6"/>
  <c r="AO85" i="6"/>
  <c r="AC88" i="6"/>
  <c r="AO88" i="6"/>
  <c r="AV88" i="6" s="1"/>
  <c r="AN88" i="6"/>
  <c r="AN91" i="6"/>
  <c r="AT91" i="6"/>
  <c r="AJ91" i="6"/>
  <c r="AR93" i="6"/>
  <c r="AR94" i="6"/>
  <c r="AO97" i="6"/>
  <c r="AV97" i="6" s="1"/>
  <c r="AJ101" i="6"/>
  <c r="AN105" i="6"/>
  <c r="AN106" i="6"/>
  <c r="AJ110" i="6"/>
  <c r="AQ111" i="6"/>
  <c r="AR117" i="6"/>
  <c r="AQ123" i="6"/>
  <c r="AQ125" i="6"/>
  <c r="AN10" i="7"/>
  <c r="AT10" i="7"/>
  <c r="AJ10" i="7"/>
  <c r="AN14" i="7"/>
  <c r="AT14" i="7"/>
  <c r="AJ14" i="7"/>
  <c r="AR27" i="7"/>
  <c r="AB27" i="7"/>
  <c r="AJ1" i="9"/>
  <c r="AH1" i="9"/>
  <c r="AH2" i="9" s="1"/>
  <c r="AP117" i="6"/>
  <c r="AP113" i="6"/>
  <c r="AP109" i="6"/>
  <c r="AP105" i="6"/>
  <c r="AP97" i="6"/>
  <c r="AP93" i="6"/>
  <c r="AP120" i="6"/>
  <c r="AP116" i="6"/>
  <c r="AP108" i="6"/>
  <c r="AV108" i="6" s="1"/>
  <c r="AP96" i="6"/>
  <c r="AP125" i="6"/>
  <c r="AV125" i="6" s="1"/>
  <c r="AP123" i="6"/>
  <c r="AP111" i="6"/>
  <c r="AP103" i="6"/>
  <c r="AP99" i="6"/>
  <c r="AP91" i="6"/>
  <c r="AP87" i="6"/>
  <c r="AP71" i="6"/>
  <c r="AP53" i="6"/>
  <c r="AV53" i="6" s="1"/>
  <c r="AP114" i="6"/>
  <c r="AP110" i="6"/>
  <c r="AP106" i="6"/>
  <c r="AP102" i="6"/>
  <c r="AP98" i="6"/>
  <c r="AP94" i="6"/>
  <c r="AP74" i="6"/>
  <c r="AP10" i="6"/>
  <c r="AJ15" i="6"/>
  <c r="AT15" i="6"/>
  <c r="AJ19" i="6"/>
  <c r="AT19" i="6"/>
  <c r="AP22" i="6"/>
  <c r="AP26" i="6"/>
  <c r="AP30" i="6"/>
  <c r="AP34" i="6"/>
  <c r="AP38" i="6"/>
  <c r="AP42" i="6"/>
  <c r="AJ47" i="6"/>
  <c r="AT47" i="6"/>
  <c r="AP50" i="6"/>
  <c r="AR54" i="6"/>
  <c r="AJ55" i="6"/>
  <c r="AQ58" i="6"/>
  <c r="AJ61" i="6"/>
  <c r="AO63" i="6"/>
  <c r="AV63" i="6" s="1"/>
  <c r="AN69" i="6"/>
  <c r="AN76" i="6"/>
  <c r="AJ79" i="6"/>
  <c r="AQ81" i="6"/>
  <c r="AO81" i="6"/>
  <c r="AN82" i="6"/>
  <c r="AJ84" i="6"/>
  <c r="AQ85" i="6"/>
  <c r="AP85" i="6"/>
  <c r="AQ91" i="6"/>
  <c r="AO93" i="6"/>
  <c r="AQ96" i="6"/>
  <c r="AN96" i="6"/>
  <c r="AQ97" i="6"/>
  <c r="AN101" i="6"/>
  <c r="AQ102" i="6"/>
  <c r="AJ106" i="6"/>
  <c r="AR108" i="6"/>
  <c r="AB108" i="6"/>
  <c r="AR109" i="6"/>
  <c r="AR110" i="6"/>
  <c r="AR111" i="6"/>
  <c r="AQ113" i="6"/>
  <c r="AQ118" i="6"/>
  <c r="AR121" i="6"/>
  <c r="AC6" i="7"/>
  <c r="AO6" i="7"/>
  <c r="AV6" i="7" s="1"/>
  <c r="AN18" i="7"/>
  <c r="AT18" i="7"/>
  <c r="AJ18" i="7"/>
  <c r="AR23" i="7"/>
  <c r="AB23" i="7"/>
  <c r="AC7" i="8"/>
  <c r="AO7" i="8"/>
  <c r="AV7" i="8" s="1"/>
  <c r="AR9" i="6"/>
  <c r="AV9" i="6" s="1"/>
  <c r="AJ12" i="6"/>
  <c r="AR13" i="6"/>
  <c r="AJ16" i="6"/>
  <c r="AR17" i="6"/>
  <c r="AV17" i="6" s="1"/>
  <c r="AJ20" i="6"/>
  <c r="AR21" i="6"/>
  <c r="AP23" i="6"/>
  <c r="AV23" i="6" s="1"/>
  <c r="AR25" i="6"/>
  <c r="AP27" i="6"/>
  <c r="AV27" i="6" s="1"/>
  <c r="AR29" i="6"/>
  <c r="AJ32" i="6"/>
  <c r="AR33" i="6"/>
  <c r="AP39" i="6"/>
  <c r="AV39" i="6" s="1"/>
  <c r="AP43" i="6"/>
  <c r="AV43" i="6" s="1"/>
  <c r="AR45" i="6"/>
  <c r="AJ48" i="6"/>
  <c r="AR49" i="6"/>
  <c r="AO55" i="6"/>
  <c r="AR60" i="6"/>
  <c r="AB60" i="6"/>
  <c r="AN61" i="6"/>
  <c r="AN64" i="6"/>
  <c r="AR65" i="6"/>
  <c r="AB65" i="6"/>
  <c r="AQ66" i="6"/>
  <c r="AR71" i="6"/>
  <c r="AR73" i="6"/>
  <c r="AB73" i="6"/>
  <c r="AP73" i="6"/>
  <c r="AV73" i="6" s="1"/>
  <c r="AQ74" i="6"/>
  <c r="AR75" i="6"/>
  <c r="AJ76" i="6"/>
  <c r="AN77" i="6"/>
  <c r="AT77" i="6"/>
  <c r="AJ77" i="6"/>
  <c r="AR78" i="6"/>
  <c r="AB78" i="6"/>
  <c r="AN79" i="6"/>
  <c r="AP81" i="6"/>
  <c r="AC84" i="6"/>
  <c r="AP84" i="6"/>
  <c r="AN87" i="6"/>
  <c r="AT87" i="6"/>
  <c r="AJ87" i="6"/>
  <c r="AQ88" i="6"/>
  <c r="AR90" i="6"/>
  <c r="AR91" i="6"/>
  <c r="AQ93" i="6"/>
  <c r="AO96" i="6"/>
  <c r="AJ97" i="6"/>
  <c r="AQ98" i="6"/>
  <c r="AN102" i="6"/>
  <c r="AN103" i="6"/>
  <c r="AT103" i="6"/>
  <c r="AJ103" i="6"/>
  <c r="AR105" i="6"/>
  <c r="AR106" i="6"/>
  <c r="AO109" i="6"/>
  <c r="AV109" i="6" s="1"/>
  <c r="AT110" i="6"/>
  <c r="AJ113" i="6"/>
  <c r="AQ114" i="6"/>
  <c r="AR116" i="6"/>
  <c r="AQ117" i="6"/>
  <c r="AN118" i="6"/>
  <c r="AT118" i="6"/>
  <c r="AJ118" i="6"/>
  <c r="AC124" i="6"/>
  <c r="AO124" i="6"/>
  <c r="AV124" i="6" s="1"/>
  <c r="AR14" i="8"/>
  <c r="AR8" i="9"/>
  <c r="AB8" i="9"/>
  <c r="AR27" i="10"/>
  <c r="AB27" i="10"/>
  <c r="AD41" i="10"/>
  <c r="AQ41" i="10"/>
  <c r="AR124" i="6"/>
  <c r="AR88" i="6"/>
  <c r="AR84" i="6"/>
  <c r="AR123" i="6"/>
  <c r="AR6" i="6"/>
  <c r="AR10" i="6"/>
  <c r="AR22" i="6"/>
  <c r="AR26" i="6"/>
  <c r="AR30" i="6"/>
  <c r="AN32" i="6"/>
  <c r="AJ33" i="6"/>
  <c r="AR34" i="6"/>
  <c r="AR38" i="6"/>
  <c r="AP40" i="6"/>
  <c r="AV40" i="6" s="1"/>
  <c r="AR42" i="6"/>
  <c r="AJ45" i="6"/>
  <c r="AN48" i="6"/>
  <c r="AJ49" i="6"/>
  <c r="AR50" i="6"/>
  <c r="AJ53" i="6"/>
  <c r="AJ54" i="6"/>
  <c r="AP55" i="6"/>
  <c r="AR56" i="6"/>
  <c r="AJ57" i="6"/>
  <c r="AJ58" i="6"/>
  <c r="AO61" i="6"/>
  <c r="AV61" i="6" s="1"/>
  <c r="AQ63" i="6"/>
  <c r="AR67" i="6"/>
  <c r="AR69" i="6"/>
  <c r="AB69" i="6"/>
  <c r="AP69" i="6"/>
  <c r="AQ70" i="6"/>
  <c r="AR70" i="6"/>
  <c r="AJ75" i="6"/>
  <c r="AP76" i="6"/>
  <c r="AO77" i="6"/>
  <c r="AO79" i="6"/>
  <c r="AV79" i="6" s="1"/>
  <c r="AR81" i="6"/>
  <c r="AQ84" i="6"/>
  <c r="AQ87" i="6"/>
  <c r="AQ90" i="6"/>
  <c r="AJ93" i="6"/>
  <c r="AQ94" i="6"/>
  <c r="AN97" i="6"/>
  <c r="AN98" i="6"/>
  <c r="AN99" i="6"/>
  <c r="AT99" i="6"/>
  <c r="AJ99" i="6"/>
  <c r="AR101" i="6"/>
  <c r="AJ102" i="6"/>
  <c r="AO105" i="6"/>
  <c r="AQ108" i="6"/>
  <c r="AN108" i="6"/>
  <c r="AQ109" i="6"/>
  <c r="AN113" i="6"/>
  <c r="AN114" i="6"/>
  <c r="AT114" i="6"/>
  <c r="AJ114" i="6"/>
  <c r="AJ117" i="6"/>
  <c r="AR120" i="6"/>
  <c r="AQ121" i="6"/>
  <c r="AQ124" i="6"/>
  <c r="AP124" i="6"/>
  <c r="AR7" i="7"/>
  <c r="AB7" i="7"/>
  <c r="AN30" i="7"/>
  <c r="AT30" i="7"/>
  <c r="AJ30" i="7"/>
  <c r="AN12" i="8"/>
  <c r="AJ12" i="8"/>
  <c r="AD25" i="8"/>
  <c r="AQ25" i="8"/>
  <c r="AC22" i="10"/>
  <c r="AO22" i="10"/>
  <c r="AJ85" i="6"/>
  <c r="AT85" i="6"/>
  <c r="AB116" i="6"/>
  <c r="AB120" i="6"/>
  <c r="AD124" i="6"/>
  <c r="AN124" i="6"/>
  <c r="AJ125" i="6"/>
  <c r="AT125" i="6"/>
  <c r="AJ1" i="7"/>
  <c r="AD6" i="7"/>
  <c r="AN6" i="7"/>
  <c r="AU6" i="7"/>
  <c r="AJ7" i="7"/>
  <c r="AT7" i="7"/>
  <c r="AB8" i="7"/>
  <c r="AB12" i="7"/>
  <c r="AB20" i="7"/>
  <c r="AJ23" i="7"/>
  <c r="AT23" i="7"/>
  <c r="AD26" i="7"/>
  <c r="AN26" i="7"/>
  <c r="AU26" i="7"/>
  <c r="AJ27" i="7"/>
  <c r="AT27" i="7"/>
  <c r="AB28" i="7"/>
  <c r="AJ19" i="8"/>
  <c r="AJ15" i="8"/>
  <c r="AB6" i="8"/>
  <c r="AB9" i="8"/>
  <c r="AN13" i="8"/>
  <c r="AT13" i="8"/>
  <c r="AD14" i="8"/>
  <c r="AQ15" i="8"/>
  <c r="AR16" i="8"/>
  <c r="AB16" i="8"/>
  <c r="AN17" i="8"/>
  <c r="AO22" i="8"/>
  <c r="AV22" i="8" s="1"/>
  <c r="AQ26" i="8"/>
  <c r="AQ7" i="9"/>
  <c r="AQ9" i="9"/>
  <c r="AU125" i="10"/>
  <c r="AU121" i="10"/>
  <c r="AU117" i="10"/>
  <c r="AU128" i="10"/>
  <c r="AU127" i="10"/>
  <c r="AU115" i="10"/>
  <c r="AU113" i="10"/>
  <c r="AU109" i="10"/>
  <c r="AU105" i="10"/>
  <c r="AU101" i="10"/>
  <c r="AU97" i="10"/>
  <c r="AU93" i="10"/>
  <c r="AU85" i="10"/>
  <c r="AU81" i="10"/>
  <c r="AU63" i="10"/>
  <c r="AU55" i="10"/>
  <c r="AU51" i="10"/>
  <c r="AU37" i="10"/>
  <c r="AU118" i="10"/>
  <c r="AU112" i="10"/>
  <c r="AU108" i="10"/>
  <c r="AU104" i="10"/>
  <c r="AU100" i="10"/>
  <c r="AU96" i="10"/>
  <c r="AU84" i="10"/>
  <c r="AU80" i="10"/>
  <c r="AU76" i="10"/>
  <c r="AU62" i="10"/>
  <c r="AU58" i="10"/>
  <c r="AU50" i="10"/>
  <c r="AU46" i="10"/>
  <c r="AU129" i="10"/>
  <c r="AU123" i="10"/>
  <c r="AU111" i="10"/>
  <c r="AU107" i="10"/>
  <c r="AU79" i="10"/>
  <c r="AU75" i="10"/>
  <c r="AU71" i="10"/>
  <c r="AU61" i="10"/>
  <c r="AU49" i="10"/>
  <c r="AU45" i="10"/>
  <c r="AU41" i="10"/>
  <c r="AU35" i="10"/>
  <c r="AU31" i="10"/>
  <c r="AU124" i="10"/>
  <c r="AU88" i="10"/>
  <c r="AU78" i="10"/>
  <c r="AU74" i="10"/>
  <c r="AU70" i="10"/>
  <c r="AU66" i="10"/>
  <c r="AU60" i="10"/>
  <c r="AU91" i="10"/>
  <c r="AU87" i="10"/>
  <c r="AU73" i="10"/>
  <c r="AU69" i="10"/>
  <c r="AU65" i="10"/>
  <c r="AU53" i="10"/>
  <c r="AU43" i="10"/>
  <c r="AU39" i="10"/>
  <c r="AU126" i="10"/>
  <c r="AU120" i="10"/>
  <c r="AU114" i="10"/>
  <c r="AU102" i="10"/>
  <c r="AU98" i="10"/>
  <c r="AU94" i="10"/>
  <c r="AU90" i="10"/>
  <c r="AU86" i="10"/>
  <c r="AU82" i="10"/>
  <c r="AU68" i="10"/>
  <c r="AU64" i="10"/>
  <c r="AU40" i="10"/>
  <c r="AU25" i="10"/>
  <c r="AU17" i="10"/>
  <c r="AU13" i="10"/>
  <c r="AU56" i="10"/>
  <c r="AU48" i="10"/>
  <c r="AU36" i="10"/>
  <c r="AU16" i="10"/>
  <c r="AU12" i="10"/>
  <c r="AU3" i="10"/>
  <c r="AU44" i="10"/>
  <c r="AU38" i="10"/>
  <c r="AU29" i="10"/>
  <c r="AU15" i="10"/>
  <c r="AU11" i="10"/>
  <c r="AU7" i="10"/>
  <c r="AU34" i="10"/>
  <c r="AU32" i="10"/>
  <c r="AU26" i="10"/>
  <c r="AU22" i="10"/>
  <c r="AU18" i="10"/>
  <c r="AU10" i="10"/>
  <c r="AR18" i="10"/>
  <c r="AV18" i="10" s="1"/>
  <c r="AB18" i="10"/>
  <c r="AR23" i="10"/>
  <c r="AB23" i="10"/>
  <c r="AU23" i="10"/>
  <c r="AV23" i="10" s="1"/>
  <c r="AC25" i="10"/>
  <c r="AO25" i="10"/>
  <c r="AV25" i="10" s="1"/>
  <c r="AD55" i="10"/>
  <c r="AQ55" i="10"/>
  <c r="AJ60" i="6"/>
  <c r="AJ64" i="6"/>
  <c r="AJ78" i="6"/>
  <c r="AD81" i="6"/>
  <c r="AJ82" i="6"/>
  <c r="AD85" i="6"/>
  <c r="AB93" i="6"/>
  <c r="AJ96" i="6"/>
  <c r="AB97" i="6"/>
  <c r="AB101" i="6"/>
  <c r="AB105" i="6"/>
  <c r="AJ108" i="6"/>
  <c r="AB109" i="6"/>
  <c r="AB113" i="6"/>
  <c r="AJ116" i="6"/>
  <c r="AB117" i="6"/>
  <c r="AJ120" i="6"/>
  <c r="AB121" i="6"/>
  <c r="AD125" i="6"/>
  <c r="AR3" i="7"/>
  <c r="AD7" i="7"/>
  <c r="AU7" i="7"/>
  <c r="AJ8" i="7"/>
  <c r="AB9" i="7"/>
  <c r="AJ12" i="7"/>
  <c r="AB13" i="7"/>
  <c r="AB17" i="7"/>
  <c r="AJ20" i="7"/>
  <c r="AB21" i="7"/>
  <c r="AD23" i="7"/>
  <c r="AU23" i="7"/>
  <c r="AD27" i="7"/>
  <c r="AU27" i="7"/>
  <c r="AJ28" i="7"/>
  <c r="AB29" i="7"/>
  <c r="AO6" i="8"/>
  <c r="AV6" i="8" s="1"/>
  <c r="AR7" i="8"/>
  <c r="AB7" i="8"/>
  <c r="AC9" i="8"/>
  <c r="AB11" i="8"/>
  <c r="AR12" i="8"/>
  <c r="AB13" i="8"/>
  <c r="AJ13" i="8"/>
  <c r="AD15" i="8"/>
  <c r="AJ17" i="8"/>
  <c r="AQ20" i="8"/>
  <c r="AQ22" i="8"/>
  <c r="AC25" i="8"/>
  <c r="AO25" i="8"/>
  <c r="AV25" i="8" s="1"/>
  <c r="AN25" i="8"/>
  <c r="AU6" i="10"/>
  <c r="AR9" i="10"/>
  <c r="AB9" i="10"/>
  <c r="AR22" i="10"/>
  <c r="AB22" i="10"/>
  <c r="AQ25" i="10"/>
  <c r="AU28" i="10"/>
  <c r="AR31" i="10"/>
  <c r="AB31" i="10"/>
  <c r="AO35" i="10"/>
  <c r="AV35" i="10" s="1"/>
  <c r="AC35" i="10"/>
  <c r="AU29" i="7"/>
  <c r="AR19" i="8"/>
  <c r="AB19" i="8"/>
  <c r="AQ6" i="9"/>
  <c r="AC13" i="10"/>
  <c r="AO13" i="10"/>
  <c r="AV13" i="10" s="1"/>
  <c r="AC17" i="10"/>
  <c r="AO17" i="10"/>
  <c r="AV17" i="10" s="1"/>
  <c r="AR26" i="10"/>
  <c r="AB26" i="10"/>
  <c r="AT29" i="10"/>
  <c r="AJ123" i="6"/>
  <c r="AT123" i="6"/>
  <c r="AR6" i="7"/>
  <c r="AU10" i="7"/>
  <c r="AU14" i="7"/>
  <c r="AJ15" i="7"/>
  <c r="AT15" i="7"/>
  <c r="AU18" i="7"/>
  <c r="AJ25" i="7"/>
  <c r="AT25" i="7"/>
  <c r="AU30" i="7"/>
  <c r="AN26" i="8"/>
  <c r="AN22" i="8"/>
  <c r="AT14" i="8"/>
  <c r="AJ14" i="8"/>
  <c r="AN14" i="8"/>
  <c r="AR15" i="8"/>
  <c r="AB15" i="8"/>
  <c r="AN16" i="8"/>
  <c r="AR26" i="8"/>
  <c r="AB26" i="8"/>
  <c r="AR7" i="9"/>
  <c r="AB7" i="9"/>
  <c r="AJ11" i="10"/>
  <c r="AN12" i="10"/>
  <c r="AT12" i="10"/>
  <c r="AJ12" i="10"/>
  <c r="AQ13" i="10"/>
  <c r="AN16" i="10"/>
  <c r="AT16" i="10"/>
  <c r="AJ16" i="10"/>
  <c r="AQ17" i="10"/>
  <c r="AQ34" i="10"/>
  <c r="AD34" i="10"/>
  <c r="AJ124" i="6"/>
  <c r="AJ6" i="7"/>
  <c r="AU15" i="7"/>
  <c r="AJ26" i="7"/>
  <c r="AT6" i="8"/>
  <c r="AJ6" i="8"/>
  <c r="AN7" i="8"/>
  <c r="AN9" i="8"/>
  <c r="AT9" i="8"/>
  <c r="AO14" i="8"/>
  <c r="AV14" i="8" s="1"/>
  <c r="AQ17" i="8"/>
  <c r="AT17" i="8"/>
  <c r="AQ19" i="8"/>
  <c r="AN19" i="8"/>
  <c r="AR20" i="8"/>
  <c r="AR22" i="8"/>
  <c r="AB22" i="8"/>
  <c r="AR24" i="8"/>
  <c r="AO26" i="8"/>
  <c r="AV26" i="8" s="1"/>
  <c r="AP3" i="9"/>
  <c r="AP8" i="9"/>
  <c r="AV8" i="9" s="1"/>
  <c r="AO7" i="9"/>
  <c r="AJ10" i="9"/>
  <c r="AJ7" i="10"/>
  <c r="AR19" i="10"/>
  <c r="AB19" i="10"/>
  <c r="AU19" i="10"/>
  <c r="AO26" i="10"/>
  <c r="AV26" i="10" s="1"/>
  <c r="AJ29" i="10"/>
  <c r="AD37" i="10"/>
  <c r="AQ37" i="10"/>
  <c r="AU14" i="8"/>
  <c r="AB20" i="8"/>
  <c r="AD22" i="8"/>
  <c r="AU22" i="8"/>
  <c r="AD26" i="8"/>
  <c r="AU26" i="8"/>
  <c r="AR3" i="9"/>
  <c r="AD7" i="9"/>
  <c r="AU7" i="9"/>
  <c r="AQ10" i="9"/>
  <c r="AR124" i="10"/>
  <c r="AR120" i="10"/>
  <c r="AR64" i="10"/>
  <c r="AR56" i="10"/>
  <c r="AR52" i="10"/>
  <c r="AR112" i="10"/>
  <c r="AR108" i="10"/>
  <c r="AR104" i="10"/>
  <c r="AR100" i="10"/>
  <c r="AR96" i="10"/>
  <c r="AR84" i="10"/>
  <c r="AR80" i="10"/>
  <c r="AR76" i="10"/>
  <c r="AR62" i="10"/>
  <c r="AR58" i="10"/>
  <c r="AR111" i="10"/>
  <c r="AR107" i="10"/>
  <c r="AR79" i="10"/>
  <c r="AR75" i="10"/>
  <c r="AR71" i="10"/>
  <c r="AR128" i="10"/>
  <c r="AR88" i="10"/>
  <c r="AR78" i="10"/>
  <c r="AR74" i="10"/>
  <c r="AR70" i="10"/>
  <c r="AR66" i="10"/>
  <c r="AR60" i="10"/>
  <c r="AB6" i="10"/>
  <c r="AQ7" i="10"/>
  <c r="AR10" i="10"/>
  <c r="AQ11" i="10"/>
  <c r="AQ15" i="10"/>
  <c r="AN18" i="10"/>
  <c r="AJ19" i="10"/>
  <c r="AR20" i="10"/>
  <c r="AN22" i="10"/>
  <c r="AJ23" i="10"/>
  <c r="AN26" i="10"/>
  <c r="AJ27" i="10"/>
  <c r="AR28" i="10"/>
  <c r="AQ29" i="10"/>
  <c r="AO31" i="10"/>
  <c r="AO34" i="10"/>
  <c r="AV34" i="10" s="1"/>
  <c r="AC34" i="10"/>
  <c r="AQ35" i="10"/>
  <c r="AN36" i="10"/>
  <c r="AR37" i="10"/>
  <c r="AB37" i="10"/>
  <c r="AN38" i="10"/>
  <c r="AQ39" i="10"/>
  <c r="AD39" i="10"/>
  <c r="AJ39" i="10"/>
  <c r="AR41" i="10"/>
  <c r="AQ43" i="10"/>
  <c r="AJ43" i="10"/>
  <c r="AQ44" i="10"/>
  <c r="AT44" i="10"/>
  <c r="AJ44" i="10"/>
  <c r="AJ45" i="10"/>
  <c r="AP46" i="10"/>
  <c r="AO48" i="10"/>
  <c r="AV48" i="10" s="1"/>
  <c r="AN49" i="10"/>
  <c r="AQ50" i="10"/>
  <c r="AN50" i="10"/>
  <c r="AT50" i="10"/>
  <c r="AJ50" i="10"/>
  <c r="AQ51" i="10"/>
  <c r="AN52" i="10"/>
  <c r="AO53" i="10"/>
  <c r="AR55" i="10"/>
  <c r="AB55" i="10"/>
  <c r="AN71" i="10"/>
  <c r="AN75" i="10"/>
  <c r="AQ78" i="10"/>
  <c r="AR85" i="10"/>
  <c r="AN85" i="10"/>
  <c r="AN88" i="10"/>
  <c r="AQ94" i="10"/>
  <c r="AR102" i="10"/>
  <c r="AN104" i="10"/>
  <c r="AO111" i="10"/>
  <c r="AT34" i="10"/>
  <c r="AJ34" i="10"/>
  <c r="AR35" i="10"/>
  <c r="AB35" i="10"/>
  <c r="AQ40" i="10"/>
  <c r="AT40" i="10"/>
  <c r="AJ40" i="10"/>
  <c r="AN41" i="10"/>
  <c r="AR46" i="10"/>
  <c r="AQ48" i="10"/>
  <c r="AT48" i="10"/>
  <c r="AJ48" i="10"/>
  <c r="AJ49" i="10"/>
  <c r="AP50" i="10"/>
  <c r="AP52" i="10"/>
  <c r="AC56" i="10"/>
  <c r="AO56" i="10"/>
  <c r="AR61" i="10"/>
  <c r="AR65" i="10"/>
  <c r="AR68" i="10"/>
  <c r="AO70" i="10"/>
  <c r="AQ73" i="10"/>
  <c r="AQ74" i="10"/>
  <c r="AN80" i="10"/>
  <c r="AQ82" i="10"/>
  <c r="AQ87" i="10"/>
  <c r="AQ90" i="10"/>
  <c r="AR91" i="10"/>
  <c r="AN111" i="10"/>
  <c r="AQ115" i="10"/>
  <c r="AO121" i="10"/>
  <c r="AU17" i="8"/>
  <c r="AB6" i="9"/>
  <c r="AU10" i="9"/>
  <c r="AO126" i="10"/>
  <c r="AO79" i="10"/>
  <c r="AV79" i="10" s="1"/>
  <c r="AO71" i="10"/>
  <c r="AO49" i="10"/>
  <c r="AO45" i="10"/>
  <c r="AO117" i="10"/>
  <c r="AO91" i="10"/>
  <c r="AO87" i="10"/>
  <c r="AO69" i="10"/>
  <c r="AO125" i="10"/>
  <c r="AO115" i="10"/>
  <c r="AO102" i="10"/>
  <c r="AV102" i="10" s="1"/>
  <c r="AO123" i="10"/>
  <c r="AO118" i="10"/>
  <c r="AO101" i="10"/>
  <c r="AO93" i="10"/>
  <c r="AO85" i="10"/>
  <c r="AO81" i="10"/>
  <c r="AN127" i="10"/>
  <c r="AN129" i="10"/>
  <c r="AN123" i="10"/>
  <c r="AN118" i="10"/>
  <c r="AN63" i="10"/>
  <c r="AN55" i="10"/>
  <c r="AN37" i="10"/>
  <c r="AN124" i="10"/>
  <c r="AN35" i="10"/>
  <c r="AN120" i="10"/>
  <c r="AN78" i="10"/>
  <c r="AN74" i="10"/>
  <c r="AN91" i="10"/>
  <c r="AN87" i="10"/>
  <c r="AN73" i="10"/>
  <c r="AN69" i="10"/>
  <c r="AN115" i="10"/>
  <c r="AN114" i="10"/>
  <c r="AN102" i="10"/>
  <c r="AN98" i="10"/>
  <c r="AN94" i="10"/>
  <c r="AN90" i="10"/>
  <c r="AN86" i="10"/>
  <c r="AN82" i="10"/>
  <c r="AN68" i="10"/>
  <c r="AN64" i="10"/>
  <c r="AR3" i="10"/>
  <c r="AC12" i="10"/>
  <c r="AB13" i="10"/>
  <c r="AC16" i="10"/>
  <c r="AB17" i="10"/>
  <c r="AP19" i="10"/>
  <c r="AV19" i="10" s="1"/>
  <c r="AB25" i="10"/>
  <c r="AO32" i="10"/>
  <c r="AJ35" i="10"/>
  <c r="AJ37" i="10"/>
  <c r="AR48" i="10"/>
  <c r="AR51" i="10"/>
  <c r="AB51" i="10"/>
  <c r="AR53" i="10"/>
  <c r="AB53" i="10"/>
  <c r="AN56" i="10"/>
  <c r="AO58" i="10"/>
  <c r="AV58" i="10" s="1"/>
  <c r="AC58" i="10"/>
  <c r="AQ65" i="10"/>
  <c r="AQ68" i="10"/>
  <c r="AR69" i="10"/>
  <c r="AN70" i="10"/>
  <c r="AR81" i="10"/>
  <c r="AN81" i="10"/>
  <c r="AQ91" i="10"/>
  <c r="AR98" i="10"/>
  <c r="AO100" i="10"/>
  <c r="AN100" i="10"/>
  <c r="AN112" i="10"/>
  <c r="AQ120" i="10"/>
  <c r="AU24" i="8"/>
  <c r="AJ25" i="8"/>
  <c r="AT25" i="8"/>
  <c r="AJ6" i="9"/>
  <c r="AT6" i="9"/>
  <c r="AP123" i="10"/>
  <c r="AP126" i="10"/>
  <c r="AP128" i="10"/>
  <c r="AP124" i="10"/>
  <c r="AP111" i="10"/>
  <c r="AP79" i="10"/>
  <c r="AP71" i="10"/>
  <c r="AP49" i="10"/>
  <c r="AP45" i="10"/>
  <c r="AP127" i="10"/>
  <c r="AP78" i="10"/>
  <c r="AP70" i="10"/>
  <c r="AP48" i="10"/>
  <c r="AP44" i="10"/>
  <c r="AP120" i="10"/>
  <c r="AP117" i="10"/>
  <c r="AP91" i="10"/>
  <c r="AP87" i="10"/>
  <c r="AP69" i="10"/>
  <c r="AP53" i="10"/>
  <c r="AP43" i="10"/>
  <c r="AV43" i="10" s="1"/>
  <c r="AP125" i="10"/>
  <c r="AP115" i="10"/>
  <c r="AP102" i="10"/>
  <c r="AP98" i="10"/>
  <c r="AP94" i="10"/>
  <c r="AP90" i="10"/>
  <c r="AP82" i="10"/>
  <c r="AP68" i="10"/>
  <c r="AP56" i="10"/>
  <c r="AP118" i="10"/>
  <c r="AP101" i="10"/>
  <c r="AP93" i="10"/>
  <c r="AP85" i="10"/>
  <c r="AP81" i="10"/>
  <c r="AP55" i="10"/>
  <c r="AV55" i="10" s="1"/>
  <c r="AP51" i="10"/>
  <c r="AP121" i="10"/>
  <c r="AP100" i="10"/>
  <c r="AP96" i="10"/>
  <c r="AP84" i="10"/>
  <c r="AJ13" i="10"/>
  <c r="AO15" i="10"/>
  <c r="AJ17" i="10"/>
  <c r="AN31" i="10"/>
  <c r="AP32" i="10"/>
  <c r="AC38" i="10"/>
  <c r="AO38" i="10"/>
  <c r="AV38" i="10" s="1"/>
  <c r="AR39" i="10"/>
  <c r="AB39" i="10"/>
  <c r="AR40" i="10"/>
  <c r="AR43" i="10"/>
  <c r="AB43" i="10"/>
  <c r="AR45" i="10"/>
  <c r="AO46" i="10"/>
  <c r="AC46" i="10"/>
  <c r="AN51" i="10"/>
  <c r="AC52" i="10"/>
  <c r="AO52" i="10"/>
  <c r="AV52" i="10" s="1"/>
  <c r="AN53" i="10"/>
  <c r="AQ58" i="10"/>
  <c r="AN58" i="10"/>
  <c r="AR63" i="10"/>
  <c r="AN79" i="10"/>
  <c r="AQ86" i="10"/>
  <c r="AR94" i="10"/>
  <c r="AO96" i="10"/>
  <c r="AV96" i="10" s="1"/>
  <c r="AN96" i="10"/>
  <c r="AR101" i="10"/>
  <c r="AN101" i="10"/>
  <c r="AR109" i="10"/>
  <c r="AN109" i="10"/>
  <c r="AQ114" i="10"/>
  <c r="AQ126" i="10"/>
  <c r="AU9" i="8"/>
  <c r="AU13" i="8"/>
  <c r="AJ22" i="8"/>
  <c r="AJ26" i="8"/>
  <c r="AJ7" i="9"/>
  <c r="AQ129" i="10"/>
  <c r="AQ118" i="10"/>
  <c r="AQ123" i="10"/>
  <c r="AQ124" i="10"/>
  <c r="AJ115" i="10"/>
  <c r="AJ109" i="10"/>
  <c r="AJ105" i="10"/>
  <c r="AJ101" i="10"/>
  <c r="AJ97" i="10"/>
  <c r="AJ93" i="10"/>
  <c r="AJ85" i="10"/>
  <c r="AJ81" i="10"/>
  <c r="AJ63" i="10"/>
  <c r="AJ55" i="10"/>
  <c r="AJ51" i="10"/>
  <c r="AJ127" i="10"/>
  <c r="AJ124" i="10"/>
  <c r="AJ79" i="10"/>
  <c r="AJ75" i="10"/>
  <c r="AJ71" i="10"/>
  <c r="AJ61" i="10"/>
  <c r="AJ120" i="10"/>
  <c r="AJ125" i="10"/>
  <c r="AJ91" i="10"/>
  <c r="AJ87" i="10"/>
  <c r="AJ73" i="10"/>
  <c r="AJ69" i="10"/>
  <c r="AJ65" i="10"/>
  <c r="AP15" i="10"/>
  <c r="AJ18" i="10"/>
  <c r="AJ22" i="10"/>
  <c r="AJ26" i="10"/>
  <c r="AJ31" i="10"/>
  <c r="AR34" i="10"/>
  <c r="AQ36" i="10"/>
  <c r="AT36" i="10"/>
  <c r="AJ36" i="10"/>
  <c r="AQ38" i="10"/>
  <c r="AT38" i="10"/>
  <c r="AJ38" i="10"/>
  <c r="AN39" i="10"/>
  <c r="AN43" i="10"/>
  <c r="AO44" i="10"/>
  <c r="AV44" i="10" s="1"/>
  <c r="AN45" i="10"/>
  <c r="AQ46" i="10"/>
  <c r="AN46" i="10"/>
  <c r="AT46" i="10"/>
  <c r="AJ46" i="10"/>
  <c r="AR49" i="10"/>
  <c r="AO50" i="10"/>
  <c r="AV50" i="10" s="1"/>
  <c r="AC50" i="10"/>
  <c r="AO51" i="10"/>
  <c r="AQ52" i="10"/>
  <c r="AQ53" i="10"/>
  <c r="AJ53" i="10"/>
  <c r="AQ60" i="10"/>
  <c r="AN60" i="10"/>
  <c r="AQ64" i="10"/>
  <c r="AQ69" i="10"/>
  <c r="AR73" i="10"/>
  <c r="AN76" i="10"/>
  <c r="AO78" i="10"/>
  <c r="AR82" i="10"/>
  <c r="AO84" i="10"/>
  <c r="AN84" i="10"/>
  <c r="AR87" i="10"/>
  <c r="AQ88" i="10"/>
  <c r="AR90" i="10"/>
  <c r="AR97" i="10"/>
  <c r="AN97" i="10"/>
  <c r="AQ98" i="10"/>
  <c r="AN107" i="10"/>
  <c r="AR113" i="10"/>
  <c r="AN113" i="10"/>
  <c r="AR117" i="10"/>
  <c r="AR125" i="10"/>
  <c r="AQ61" i="10"/>
  <c r="AQ71" i="10"/>
  <c r="AQ75" i="10"/>
  <c r="AQ79" i="10"/>
  <c r="AQ107" i="10"/>
  <c r="AQ111" i="10"/>
  <c r="AN117" i="10"/>
  <c r="AT117" i="10"/>
  <c r="AO124" i="10"/>
  <c r="AR55" i="11"/>
  <c r="AR49" i="11"/>
  <c r="AR37" i="11"/>
  <c r="AR31" i="11"/>
  <c r="AR23" i="11"/>
  <c r="AR32" i="11"/>
  <c r="AR51" i="11"/>
  <c r="AR50" i="11"/>
  <c r="AR24" i="11"/>
  <c r="AR54" i="11"/>
  <c r="AR11" i="11"/>
  <c r="AR13" i="11"/>
  <c r="AR17" i="11"/>
  <c r="AV21" i="11"/>
  <c r="AR36" i="11"/>
  <c r="AR48" i="11"/>
  <c r="AC40" i="10"/>
  <c r="AB41" i="10"/>
  <c r="AD43" i="10"/>
  <c r="AC44" i="10"/>
  <c r="AB45" i="10"/>
  <c r="AC48" i="10"/>
  <c r="AB49" i="10"/>
  <c r="AD53" i="10"/>
  <c r="AC60" i="10"/>
  <c r="AJ60" i="10"/>
  <c r="AT60" i="10"/>
  <c r="AB61" i="10"/>
  <c r="AO64" i="10"/>
  <c r="AV64" i="10" s="1"/>
  <c r="AD65" i="10"/>
  <c r="AC66" i="10"/>
  <c r="AJ66" i="10"/>
  <c r="AT66" i="10"/>
  <c r="AO68" i="10"/>
  <c r="AD69" i="10"/>
  <c r="AJ70" i="10"/>
  <c r="AT70" i="10"/>
  <c r="AJ74" i="10"/>
  <c r="AQ76" i="10"/>
  <c r="AJ78" i="10"/>
  <c r="AQ80" i="10"/>
  <c r="AO82" i="10"/>
  <c r="AQ84" i="10"/>
  <c r="AO86" i="10"/>
  <c r="AV86" i="10" s="1"/>
  <c r="AJ88" i="10"/>
  <c r="AT88" i="10"/>
  <c r="AO90" i="10"/>
  <c r="AV90" i="10" s="1"/>
  <c r="AO94" i="10"/>
  <c r="AV94" i="10" s="1"/>
  <c r="AQ96" i="10"/>
  <c r="AO98" i="10"/>
  <c r="AV98" i="10" s="1"/>
  <c r="AQ100" i="10"/>
  <c r="AQ104" i="10"/>
  <c r="AQ108" i="10"/>
  <c r="AQ112" i="10"/>
  <c r="AO114" i="10"/>
  <c r="AV114" i="10" s="1"/>
  <c r="AJ117" i="10"/>
  <c r="AR121" i="10"/>
  <c r="AR127" i="10"/>
  <c r="AR6" i="11"/>
  <c r="AR8" i="11"/>
  <c r="AO15" i="11"/>
  <c r="AT16" i="11"/>
  <c r="AJ16" i="11"/>
  <c r="AO17" i="11"/>
  <c r="AN18" i="11"/>
  <c r="AT18" i="11"/>
  <c r="AJ18" i="11"/>
  <c r="AQ19" i="11"/>
  <c r="AD19" i="11"/>
  <c r="AQ63" i="10"/>
  <c r="AQ81" i="10"/>
  <c r="AQ85" i="10"/>
  <c r="AQ93" i="10"/>
  <c r="AQ97" i="10"/>
  <c r="AQ101" i="10"/>
  <c r="AQ105" i="10"/>
  <c r="AJ107" i="10"/>
  <c r="AT107" i="10"/>
  <c r="AQ109" i="10"/>
  <c r="AJ111" i="10"/>
  <c r="AT111" i="10"/>
  <c r="AQ113" i="10"/>
  <c r="AR115" i="10"/>
  <c r="AB115" i="10"/>
  <c r="AR123" i="10"/>
  <c r="AT126" i="10"/>
  <c r="AJ126" i="10"/>
  <c r="AO127" i="10"/>
  <c r="AV127" i="10" s="1"/>
  <c r="AR129" i="10"/>
  <c r="AB129" i="10"/>
  <c r="AR3" i="11"/>
  <c r="AT8" i="11"/>
  <c r="AJ8" i="11"/>
  <c r="AN11" i="11"/>
  <c r="AR15" i="11"/>
  <c r="AN16" i="11"/>
  <c r="AR22" i="11"/>
  <c r="AR28" i="11"/>
  <c r="AR30" i="11"/>
  <c r="AD31" i="11"/>
  <c r="AR33" i="11"/>
  <c r="AR44" i="11"/>
  <c r="AJ58" i="10"/>
  <c r="AT58" i="10"/>
  <c r="AC62" i="10"/>
  <c r="AJ62" i="10"/>
  <c r="AT62" i="10"/>
  <c r="AB63" i="10"/>
  <c r="AC76" i="10"/>
  <c r="AJ76" i="10"/>
  <c r="AT76" i="10"/>
  <c r="AC80" i="10"/>
  <c r="AJ80" i="10"/>
  <c r="AT80" i="10"/>
  <c r="AB81" i="10"/>
  <c r="AC84" i="10"/>
  <c r="AJ84" i="10"/>
  <c r="AT84" i="10"/>
  <c r="AB85" i="10"/>
  <c r="AB93" i="10"/>
  <c r="AC96" i="10"/>
  <c r="AJ96" i="10"/>
  <c r="AT96" i="10"/>
  <c r="AB97" i="10"/>
  <c r="AC100" i="10"/>
  <c r="AJ100" i="10"/>
  <c r="AT100" i="10"/>
  <c r="AB101" i="10"/>
  <c r="AC104" i="10"/>
  <c r="AJ104" i="10"/>
  <c r="AT104" i="10"/>
  <c r="AB105" i="10"/>
  <c r="AC108" i="10"/>
  <c r="AJ108" i="10"/>
  <c r="AT108" i="10"/>
  <c r="AB109" i="10"/>
  <c r="AC112" i="10"/>
  <c r="AJ112" i="10"/>
  <c r="AT112" i="10"/>
  <c r="AB113" i="10"/>
  <c r="AR118" i="10"/>
  <c r="AN121" i="10"/>
  <c r="AC124" i="10"/>
  <c r="AB126" i="10"/>
  <c r="AN126" i="10"/>
  <c r="AQ128" i="10"/>
  <c r="AN128" i="10"/>
  <c r="AT128" i="10"/>
  <c r="AJ128" i="10"/>
  <c r="AO55" i="11"/>
  <c r="AO54" i="11"/>
  <c r="AO26" i="11"/>
  <c r="AV26" i="11" s="1"/>
  <c r="AO22" i="11"/>
  <c r="AO19" i="11"/>
  <c r="AO51" i="11"/>
  <c r="AO16" i="11"/>
  <c r="AN55" i="11"/>
  <c r="AN53" i="11"/>
  <c r="AN47" i="11"/>
  <c r="AN43" i="11"/>
  <c r="AN39" i="11"/>
  <c r="AN35" i="11"/>
  <c r="AN29" i="11"/>
  <c r="AN21" i="11"/>
  <c r="AN49" i="11"/>
  <c r="AN42" i="11"/>
  <c r="AN22" i="11"/>
  <c r="AN28" i="11"/>
  <c r="AN52" i="11"/>
  <c r="AN46" i="11"/>
  <c r="AN17" i="11"/>
  <c r="AN13" i="11"/>
  <c r="AN9" i="11"/>
  <c r="AN8" i="11"/>
  <c r="AR9" i="11"/>
  <c r="AJ11" i="11"/>
  <c r="AC13" i="11"/>
  <c r="AD16" i="11"/>
  <c r="AC17" i="11"/>
  <c r="AC20" i="11"/>
  <c r="AO20" i="11"/>
  <c r="AN23" i="11"/>
  <c r="AC24" i="11"/>
  <c r="AB26" i="11"/>
  <c r="AT26" i="11"/>
  <c r="AJ26" i="11"/>
  <c r="AN26" i="11"/>
  <c r="AN34" i="11"/>
  <c r="AB36" i="11"/>
  <c r="AT36" i="11"/>
  <c r="AJ36" i="11"/>
  <c r="AN36" i="11"/>
  <c r="AB68" i="10"/>
  <c r="AB82" i="10"/>
  <c r="AB86" i="10"/>
  <c r="AB90" i="10"/>
  <c r="AB94" i="10"/>
  <c r="AB98" i="10"/>
  <c r="AB102" i="10"/>
  <c r="AJ113" i="10"/>
  <c r="AT113" i="10"/>
  <c r="AB114" i="10"/>
  <c r="AQ117" i="10"/>
  <c r="AT118" i="10"/>
  <c r="AJ118" i="10"/>
  <c r="AO120" i="10"/>
  <c r="AV120" i="10" s="1"/>
  <c r="AJ121" i="10"/>
  <c r="AT123" i="10"/>
  <c r="AJ123" i="10"/>
  <c r="AD126" i="10"/>
  <c r="AC127" i="10"/>
  <c r="AO128" i="10"/>
  <c r="AV128" i="10" s="1"/>
  <c r="AP55" i="11"/>
  <c r="AP23" i="11"/>
  <c r="AP54" i="11"/>
  <c r="AP26" i="11"/>
  <c r="AP22" i="11"/>
  <c r="AP51" i="11"/>
  <c r="AP18" i="11"/>
  <c r="AV18" i="11" s="1"/>
  <c r="AP20" i="11"/>
  <c r="AP16" i="11"/>
  <c r="AP21" i="11"/>
  <c r="AP15" i="11"/>
  <c r="AP3" i="11"/>
  <c r="AN6" i="11"/>
  <c r="AT6" i="11"/>
  <c r="AJ6" i="11"/>
  <c r="AR12" i="11"/>
  <c r="AQ13" i="11"/>
  <c r="AR16" i="11"/>
  <c r="AN20" i="11"/>
  <c r="AD23" i="11"/>
  <c r="AQ34" i="11"/>
  <c r="AD34" i="11"/>
  <c r="AJ52" i="10"/>
  <c r="AJ56" i="10"/>
  <c r="AJ64" i="10"/>
  <c r="AB65" i="10"/>
  <c r="AJ68" i="10"/>
  <c r="AB69" i="10"/>
  <c r="AB73" i="10"/>
  <c r="AJ82" i="10"/>
  <c r="AJ86" i="10"/>
  <c r="AB87" i="10"/>
  <c r="AJ90" i="10"/>
  <c r="AB91" i="10"/>
  <c r="AJ94" i="10"/>
  <c r="AJ98" i="10"/>
  <c r="AJ102" i="10"/>
  <c r="AJ114" i="10"/>
  <c r="AC121" i="10"/>
  <c r="AN125" i="10"/>
  <c r="AQ127" i="10"/>
  <c r="AT12" i="11"/>
  <c r="AJ12" i="11"/>
  <c r="AN15" i="11"/>
  <c r="AR19" i="11"/>
  <c r="AT19" i="11"/>
  <c r="AJ19" i="11"/>
  <c r="AN19" i="11"/>
  <c r="AB30" i="11"/>
  <c r="AT30" i="11"/>
  <c r="AJ30" i="11"/>
  <c r="AN30" i="11"/>
  <c r="AB33" i="11"/>
  <c r="AN37" i="11"/>
  <c r="AR41" i="11"/>
  <c r="AC46" i="11"/>
  <c r="AO46" i="11"/>
  <c r="AV46" i="11" s="1"/>
  <c r="AN50" i="11"/>
  <c r="AN51" i="11"/>
  <c r="AT51" i="11"/>
  <c r="AJ51" i="11"/>
  <c r="AC52" i="11"/>
  <c r="AO52" i="11"/>
  <c r="AV52" i="11" s="1"/>
  <c r="AO18" i="12"/>
  <c r="AC18" i="12"/>
  <c r="AO30" i="12"/>
  <c r="AC30" i="12"/>
  <c r="AR26" i="14"/>
  <c r="AB26" i="14"/>
  <c r="AU51" i="11"/>
  <c r="AU41" i="11"/>
  <c r="AU33" i="11"/>
  <c r="AU50" i="11"/>
  <c r="AU32" i="11"/>
  <c r="AU24" i="11"/>
  <c r="AU55" i="11"/>
  <c r="AU53" i="11"/>
  <c r="AU47" i="11"/>
  <c r="AU43" i="11"/>
  <c r="AU39" i="11"/>
  <c r="AU35" i="11"/>
  <c r="AU29" i="11"/>
  <c r="AU9" i="11"/>
  <c r="AU13" i="11"/>
  <c r="AD17" i="11"/>
  <c r="AU17" i="11"/>
  <c r="AB19" i="11"/>
  <c r="AR21" i="11"/>
  <c r="AB21" i="11"/>
  <c r="AU23" i="11"/>
  <c r="AU26" i="11"/>
  <c r="AC28" i="11"/>
  <c r="AO28" i="11"/>
  <c r="AV28" i="11" s="1"/>
  <c r="AR29" i="11"/>
  <c r="AB29" i="11"/>
  <c r="AN32" i="11"/>
  <c r="AN33" i="11"/>
  <c r="AT33" i="11"/>
  <c r="AJ33" i="11"/>
  <c r="AR34" i="11"/>
  <c r="AR35" i="11"/>
  <c r="AB35" i="11"/>
  <c r="AU42" i="11"/>
  <c r="AB44" i="11"/>
  <c r="AT44" i="11"/>
  <c r="AJ44" i="11"/>
  <c r="AQ47" i="11"/>
  <c r="AJ50" i="11"/>
  <c r="AQ53" i="11"/>
  <c r="AU54" i="11"/>
  <c r="AV19" i="12"/>
  <c r="AH1" i="13"/>
  <c r="AH2" i="13" s="1"/>
  <c r="AJ1" i="13"/>
  <c r="AQ121" i="10"/>
  <c r="AQ125" i="10"/>
  <c r="AJ129" i="10"/>
  <c r="AU6" i="11"/>
  <c r="AQ11" i="11"/>
  <c r="AQ15" i="11"/>
  <c r="AU18" i="11"/>
  <c r="AR20" i="11"/>
  <c r="AB20" i="11"/>
  <c r="AU22" i="11"/>
  <c r="AQ26" i="11"/>
  <c r="AJ32" i="11"/>
  <c r="AC34" i="11"/>
  <c r="AO34" i="11"/>
  <c r="AV34" i="11" s="1"/>
  <c r="AR39" i="11"/>
  <c r="AB39" i="11"/>
  <c r="AN41" i="11"/>
  <c r="AT41" i="11"/>
  <c r="AJ41" i="11"/>
  <c r="AR42" i="11"/>
  <c r="AR43" i="11"/>
  <c r="AB43" i="11"/>
  <c r="AN44" i="11"/>
  <c r="AC47" i="11"/>
  <c r="AJ47" i="11"/>
  <c r="AC50" i="11"/>
  <c r="AQ51" i="11"/>
  <c r="AC53" i="11"/>
  <c r="AJ53" i="11"/>
  <c r="AC12" i="12"/>
  <c r="AO12" i="12"/>
  <c r="AN12" i="12"/>
  <c r="AT12" i="12"/>
  <c r="AJ12" i="12"/>
  <c r="AR23" i="12"/>
  <c r="AC42" i="11"/>
  <c r="AO42" i="11"/>
  <c r="AV42" i="11" s="1"/>
  <c r="AU48" i="11"/>
  <c r="AU49" i="11"/>
  <c r="AR15" i="12"/>
  <c r="AR32" i="12"/>
  <c r="AV32" i="12" s="1"/>
  <c r="AR24" i="12"/>
  <c r="AR12" i="12"/>
  <c r="AR7" i="12"/>
  <c r="AR6" i="12"/>
  <c r="AR16" i="12"/>
  <c r="AN8" i="12"/>
  <c r="AT8" i="12"/>
  <c r="AJ8" i="12"/>
  <c r="AN24" i="11"/>
  <c r="AU31" i="11"/>
  <c r="AU37" i="11"/>
  <c r="AU46" i="11"/>
  <c r="AT48" i="11"/>
  <c r="AJ48" i="11"/>
  <c r="AT50" i="11"/>
  <c r="AU52" i="11"/>
  <c r="AT54" i="11"/>
  <c r="AJ54" i="11"/>
  <c r="AR3" i="12"/>
  <c r="AO7" i="12"/>
  <c r="AC7" i="12"/>
  <c r="AR8" i="12"/>
  <c r="AQ17" i="12"/>
  <c r="AD17" i="12"/>
  <c r="AQ29" i="12"/>
  <c r="AD29" i="12"/>
  <c r="AR35" i="12"/>
  <c r="AB35" i="12"/>
  <c r="AB127" i="10"/>
  <c r="AB9" i="11"/>
  <c r="AU11" i="11"/>
  <c r="AB13" i="11"/>
  <c r="AU15" i="11"/>
  <c r="AB17" i="11"/>
  <c r="AJ20" i="11"/>
  <c r="AU20" i="11"/>
  <c r="AO23" i="11"/>
  <c r="AV23" i="11" s="1"/>
  <c r="AJ24" i="11"/>
  <c r="AQ30" i="11"/>
  <c r="AU30" i="11"/>
  <c r="AJ31" i="11"/>
  <c r="AT32" i="11"/>
  <c r="AQ36" i="11"/>
  <c r="AU36" i="11"/>
  <c r="AJ37" i="11"/>
  <c r="AJ39" i="11"/>
  <c r="AQ41" i="11"/>
  <c r="AJ43" i="11"/>
  <c r="AR46" i="11"/>
  <c r="AR47" i="11"/>
  <c r="AB47" i="11"/>
  <c r="AN48" i="11"/>
  <c r="AR52" i="11"/>
  <c r="AR53" i="11"/>
  <c r="AB53" i="11"/>
  <c r="AN54" i="11"/>
  <c r="AJ55" i="11"/>
  <c r="AN34" i="12"/>
  <c r="AN15" i="12"/>
  <c r="AN9" i="12"/>
  <c r="AN30" i="12"/>
  <c r="AN21" i="12"/>
  <c r="AN18" i="12"/>
  <c r="AN13" i="12"/>
  <c r="AD8" i="12"/>
  <c r="AQ8" i="12"/>
  <c r="AR9" i="12"/>
  <c r="AB9" i="12"/>
  <c r="AR27" i="12"/>
  <c r="AR34" i="12"/>
  <c r="AQ24" i="11"/>
  <c r="AQ32" i="11"/>
  <c r="AQ50" i="11"/>
  <c r="AU35" i="12"/>
  <c r="AU31" i="12"/>
  <c r="AU27" i="12"/>
  <c r="AU23" i="12"/>
  <c r="AU19" i="12"/>
  <c r="AU34" i="12"/>
  <c r="AU16" i="12"/>
  <c r="AU12" i="12"/>
  <c r="AU8" i="12"/>
  <c r="AU3" i="12"/>
  <c r="AU15" i="12"/>
  <c r="AO6" i="12"/>
  <c r="AP15" i="12"/>
  <c r="AP16" i="12"/>
  <c r="AV16" i="12" s="1"/>
  <c r="AO17" i="12"/>
  <c r="AQ18" i="12"/>
  <c r="AR19" i="12"/>
  <c r="AR21" i="12"/>
  <c r="AB21" i="12"/>
  <c r="AN23" i="12"/>
  <c r="AN27" i="12"/>
  <c r="AO29" i="12"/>
  <c r="AV29" i="12" s="1"/>
  <c r="AQ30" i="12"/>
  <c r="AO34" i="12"/>
  <c r="AN6" i="13"/>
  <c r="AJ6" i="13"/>
  <c r="AO15" i="13"/>
  <c r="AC15" i="13"/>
  <c r="AQ23" i="14"/>
  <c r="AD23" i="14"/>
  <c r="AR22" i="12"/>
  <c r="AR26" i="12"/>
  <c r="AV19" i="13"/>
  <c r="AO23" i="13"/>
  <c r="AC23" i="13"/>
  <c r="AO8" i="12"/>
  <c r="AO10" i="12"/>
  <c r="AO23" i="12"/>
  <c r="AO26" i="12"/>
  <c r="AO27" i="12"/>
  <c r="AN35" i="12"/>
  <c r="AT35" i="12"/>
  <c r="AJ35" i="12"/>
  <c r="AV7" i="13"/>
  <c r="AD25" i="13"/>
  <c r="AQ25" i="13"/>
  <c r="AO7" i="14"/>
  <c r="AC7" i="14"/>
  <c r="AR8" i="14"/>
  <c r="AB8" i="14"/>
  <c r="AB13" i="14"/>
  <c r="AR13" i="14"/>
  <c r="AB28" i="11"/>
  <c r="AB34" i="11"/>
  <c r="AB42" i="11"/>
  <c r="AB46" i="11"/>
  <c r="AB52" i="11"/>
  <c r="AP29" i="12"/>
  <c r="AP21" i="12"/>
  <c r="AP17" i="12"/>
  <c r="AP13" i="12"/>
  <c r="AV13" i="12" s="1"/>
  <c r="AP32" i="12"/>
  <c r="AP6" i="12"/>
  <c r="AP35" i="12"/>
  <c r="AP31" i="12"/>
  <c r="AP27" i="12"/>
  <c r="AP23" i="12"/>
  <c r="AP19" i="12"/>
  <c r="AT6" i="12"/>
  <c r="AT7" i="12"/>
  <c r="AP8" i="12"/>
  <c r="AR10" i="12"/>
  <c r="AB10" i="12"/>
  <c r="AP10" i="12"/>
  <c r="AU13" i="12"/>
  <c r="AO15" i="12"/>
  <c r="AV15" i="12" s="1"/>
  <c r="AR17" i="12"/>
  <c r="AB17" i="12"/>
  <c r="AP18" i="12"/>
  <c r="AN19" i="12"/>
  <c r="AD21" i="12"/>
  <c r="AO21" i="12"/>
  <c r="AV21" i="12" s="1"/>
  <c r="AQ22" i="12"/>
  <c r="AT24" i="12"/>
  <c r="AJ24" i="12"/>
  <c r="AU24" i="12"/>
  <c r="AQ26" i="12"/>
  <c r="AR29" i="12"/>
  <c r="AB29" i="12"/>
  <c r="AP30" i="12"/>
  <c r="AN31" i="12"/>
  <c r="AT31" i="12"/>
  <c r="AJ31" i="12"/>
  <c r="AP34" i="12"/>
  <c r="AO35" i="12"/>
  <c r="AJ17" i="13"/>
  <c r="AJ11" i="13"/>
  <c r="AJ19" i="13"/>
  <c r="AJ21" i="13"/>
  <c r="AJ23" i="13"/>
  <c r="AJ15" i="13"/>
  <c r="AT6" i="13"/>
  <c r="AR11" i="13"/>
  <c r="AB11" i="13"/>
  <c r="AT12" i="13"/>
  <c r="AJ12" i="13"/>
  <c r="AN12" i="13"/>
  <c r="AD36" i="14"/>
  <c r="AQ36" i="14"/>
  <c r="AJ34" i="11"/>
  <c r="AJ42" i="11"/>
  <c r="AJ46" i="11"/>
  <c r="AJ52" i="11"/>
  <c r="AO3" i="12"/>
  <c r="AU6" i="12"/>
  <c r="AU7" i="12"/>
  <c r="AO9" i="12"/>
  <c r="AV9" i="12" s="1"/>
  <c r="AR13" i="12"/>
  <c r="AB13" i="12"/>
  <c r="AN16" i="12"/>
  <c r="AT16" i="12"/>
  <c r="AJ16" i="12"/>
  <c r="AR18" i="12"/>
  <c r="AJ19" i="12"/>
  <c r="AC22" i="12"/>
  <c r="AJ22" i="12"/>
  <c r="AT23" i="12"/>
  <c r="AN24" i="12"/>
  <c r="AC26" i="12"/>
  <c r="AT27" i="12"/>
  <c r="AR30" i="12"/>
  <c r="AO31" i="12"/>
  <c r="AV31" i="12" s="1"/>
  <c r="AQ27" i="13"/>
  <c r="AQ21" i="13"/>
  <c r="AQ13" i="13"/>
  <c r="AQ8" i="13"/>
  <c r="AQ6" i="13"/>
  <c r="AQ24" i="13"/>
  <c r="AQ28" i="13"/>
  <c r="AQ12" i="13"/>
  <c r="AJ13" i="13"/>
  <c r="AQ17" i="13"/>
  <c r="AC24" i="13"/>
  <c r="AO24" i="13"/>
  <c r="AV24" i="13" s="1"/>
  <c r="AR28" i="13"/>
  <c r="AR3" i="13"/>
  <c r="AC6" i="13"/>
  <c r="AP7" i="13"/>
  <c r="AP11" i="13"/>
  <c r="AV11" i="13" s="1"/>
  <c r="AV13" i="13"/>
  <c r="AQ15" i="13"/>
  <c r="AU21" i="13"/>
  <c r="AQ23" i="13"/>
  <c r="AP25" i="13"/>
  <c r="AO24" i="14"/>
  <c r="AO17" i="14"/>
  <c r="AV17" i="14" s="1"/>
  <c r="AO8" i="14"/>
  <c r="AO3" i="14"/>
  <c r="AO34" i="14"/>
  <c r="AO28" i="14"/>
  <c r="AO22" i="14"/>
  <c r="AD22" i="14"/>
  <c r="AC26" i="14"/>
  <c r="AO26" i="14"/>
  <c r="AJ9" i="12"/>
  <c r="AD12" i="12"/>
  <c r="AJ13" i="12"/>
  <c r="AD16" i="12"/>
  <c r="AJ17" i="12"/>
  <c r="AB18" i="12"/>
  <c r="AJ21" i="12"/>
  <c r="AB22" i="12"/>
  <c r="AB26" i="12"/>
  <c r="AJ29" i="12"/>
  <c r="AB30" i="12"/>
  <c r="AB34" i="12"/>
  <c r="AU23" i="13"/>
  <c r="AU24" i="13"/>
  <c r="AU19" i="13"/>
  <c r="AU15" i="13"/>
  <c r="AU11" i="13"/>
  <c r="AU7" i="13"/>
  <c r="AP3" i="13"/>
  <c r="AQ7" i="13"/>
  <c r="AT8" i="13"/>
  <c r="AJ8" i="13"/>
  <c r="AQ16" i="13"/>
  <c r="AT16" i="13"/>
  <c r="AJ16" i="13"/>
  <c r="AR17" i="13"/>
  <c r="AR19" i="13"/>
  <c r="AB19" i="13"/>
  <c r="AC26" i="13"/>
  <c r="AJ26" i="13"/>
  <c r="AT28" i="13"/>
  <c r="AJ26" i="14"/>
  <c r="AJ34" i="14"/>
  <c r="AJ32" i="14"/>
  <c r="AQ6" i="14"/>
  <c r="AC11" i="14"/>
  <c r="AJ11" i="14"/>
  <c r="AN12" i="14"/>
  <c r="AJ12" i="14"/>
  <c r="AO13" i="14"/>
  <c r="AV13" i="14" s="1"/>
  <c r="AR16" i="14"/>
  <c r="AO19" i="14"/>
  <c r="AV19" i="14" s="1"/>
  <c r="AC19" i="14"/>
  <c r="AQ20" i="14"/>
  <c r="AB24" i="14"/>
  <c r="AJ24" i="14"/>
  <c r="AT25" i="14"/>
  <c r="AJ25" i="14"/>
  <c r="AN25" i="14"/>
  <c r="AC27" i="14"/>
  <c r="AO27" i="14"/>
  <c r="AV27" i="14" s="1"/>
  <c r="AJ38" i="14"/>
  <c r="AT9" i="14"/>
  <c r="AJ9" i="14"/>
  <c r="AN9" i="14"/>
  <c r="AD12" i="14"/>
  <c r="AQ12" i="14"/>
  <c r="AT31" i="14"/>
  <c r="AJ31" i="14"/>
  <c r="AN31" i="14"/>
  <c r="AO8" i="15"/>
  <c r="AV8" i="15" s="1"/>
  <c r="AC8" i="15"/>
  <c r="AV6" i="13"/>
  <c r="AT7" i="13"/>
  <c r="AV9" i="13"/>
  <c r="AQ19" i="13"/>
  <c r="AR25" i="13"/>
  <c r="AV25" i="13" s="1"/>
  <c r="AB25" i="13"/>
  <c r="AJ27" i="13"/>
  <c r="AV9" i="14"/>
  <c r="AT17" i="14"/>
  <c r="AJ17" i="14"/>
  <c r="AD25" i="14"/>
  <c r="AQ31" i="14"/>
  <c r="AD31" i="14"/>
  <c r="AT6" i="15"/>
  <c r="AJ6" i="15"/>
  <c r="AN6" i="15"/>
  <c r="AJ32" i="12"/>
  <c r="AP27" i="13"/>
  <c r="AV27" i="13" s="1"/>
  <c r="AP28" i="13"/>
  <c r="AV28" i="13" s="1"/>
  <c r="AP13" i="13"/>
  <c r="AP20" i="13"/>
  <c r="AP16" i="13"/>
  <c r="AV16" i="13" s="1"/>
  <c r="AP12" i="13"/>
  <c r="AP8" i="13"/>
  <c r="AV8" i="13" s="1"/>
  <c r="AP24" i="13"/>
  <c r="AJ7" i="13"/>
  <c r="AQ11" i="13"/>
  <c r="AR15" i="13"/>
  <c r="AB15" i="13"/>
  <c r="AC19" i="13"/>
  <c r="AQ20" i="13"/>
  <c r="AT20" i="13"/>
  <c r="AJ20" i="13"/>
  <c r="AR21" i="13"/>
  <c r="AR23" i="13"/>
  <c r="AB23" i="13"/>
  <c r="AV26" i="13"/>
  <c r="AU26" i="13"/>
  <c r="AU36" i="14"/>
  <c r="AU32" i="14"/>
  <c r="AU34" i="14"/>
  <c r="AU30" i="14"/>
  <c r="AU24" i="14"/>
  <c r="AU20" i="14"/>
  <c r="AU16" i="14"/>
  <c r="AU12" i="14"/>
  <c r="AU8" i="14"/>
  <c r="AU3" i="14"/>
  <c r="AU31" i="14"/>
  <c r="AU29" i="14"/>
  <c r="AU28" i="14"/>
  <c r="AU27" i="14"/>
  <c r="AU26" i="14"/>
  <c r="AU23" i="14"/>
  <c r="AU22" i="14"/>
  <c r="AU19" i="14"/>
  <c r="AU7" i="14"/>
  <c r="AU6" i="14"/>
  <c r="AU13" i="14"/>
  <c r="AU35" i="14"/>
  <c r="AU37" i="14"/>
  <c r="AU15" i="14"/>
  <c r="AN6" i="14"/>
  <c r="AT6" i="14"/>
  <c r="AJ6" i="14"/>
  <c r="AD9" i="14"/>
  <c r="AT11" i="14"/>
  <c r="AJ15" i="14"/>
  <c r="AN17" i="14"/>
  <c r="AJ20" i="14"/>
  <c r="AJ22" i="14"/>
  <c r="AO23" i="14"/>
  <c r="AV23" i="14" s="1"/>
  <c r="AC23" i="14"/>
  <c r="AT24" i="14"/>
  <c r="AU25" i="14"/>
  <c r="AV25" i="14" s="1"/>
  <c r="AJ28" i="14"/>
  <c r="AO29" i="14"/>
  <c r="AC29" i="14"/>
  <c r="AB30" i="14"/>
  <c r="AR30" i="14"/>
  <c r="AV30" i="14" s="1"/>
  <c r="AR32" i="14"/>
  <c r="AB32" i="14"/>
  <c r="AJ36" i="14"/>
  <c r="AR37" i="14"/>
  <c r="AP3" i="15"/>
  <c r="AP11" i="15"/>
  <c r="AP7" i="15"/>
  <c r="AV7" i="15" s="1"/>
  <c r="AP10" i="15"/>
  <c r="AP6" i="15"/>
  <c r="AV6" i="15" s="1"/>
  <c r="AR10" i="15"/>
  <c r="AB10" i="15"/>
  <c r="AB9" i="13"/>
  <c r="AD11" i="13"/>
  <c r="AB13" i="13"/>
  <c r="AD15" i="13"/>
  <c r="AB17" i="13"/>
  <c r="AD19" i="13"/>
  <c r="AB21" i="13"/>
  <c r="AD23" i="13"/>
  <c r="AN23" i="13"/>
  <c r="AQ26" i="13"/>
  <c r="AR3" i="14"/>
  <c r="AB9" i="14"/>
  <c r="AR11" i="14"/>
  <c r="AB12" i="14"/>
  <c r="AB25" i="14"/>
  <c r="AN34" i="14"/>
  <c r="AC36" i="14"/>
  <c r="AD38" i="14"/>
  <c r="AN38" i="14"/>
  <c r="AR7" i="15"/>
  <c r="AB7" i="15"/>
  <c r="AQ7" i="15"/>
  <c r="AT8" i="15"/>
  <c r="AR13" i="15"/>
  <c r="AT30" i="14"/>
  <c r="AT37" i="14"/>
  <c r="AJ37" i="14"/>
  <c r="AT10" i="15"/>
  <c r="AV10" i="15" s="1"/>
  <c r="AJ10" i="15"/>
  <c r="AR11" i="15"/>
  <c r="AJ30" i="14"/>
  <c r="AO35" i="14"/>
  <c r="AC35" i="14"/>
  <c r="AN37" i="14"/>
  <c r="AR38" i="14"/>
  <c r="AB38" i="14"/>
  <c r="AJ8" i="15"/>
  <c r="AN10" i="15"/>
  <c r="AV11" i="15"/>
  <c r="AT24" i="13"/>
  <c r="AJ24" i="13"/>
  <c r="AT7" i="14"/>
  <c r="AT13" i="14"/>
  <c r="AJ13" i="14"/>
  <c r="AO15" i="14"/>
  <c r="AV15" i="14" s="1"/>
  <c r="AN16" i="14"/>
  <c r="AT16" i="14"/>
  <c r="AT19" i="14"/>
  <c r="AT22" i="14"/>
  <c r="AT23" i="14"/>
  <c r="AT27" i="14"/>
  <c r="AT28" i="14"/>
  <c r="AT29" i="14"/>
  <c r="AC30" i="14"/>
  <c r="AR31" i="14"/>
  <c r="AQ34" i="14"/>
  <c r="AT35" i="14"/>
  <c r="AJ35" i="14"/>
  <c r="AR36" i="14"/>
  <c r="AB36" i="14"/>
  <c r="AO37" i="14"/>
  <c r="AV37" i="14" s="1"/>
  <c r="AN24" i="13"/>
  <c r="AN13" i="14"/>
  <c r="AJ16" i="14"/>
  <c r="AO31" i="14"/>
  <c r="AC31" i="14"/>
  <c r="AQ32" i="14"/>
  <c r="AN35" i="14"/>
  <c r="AN36" i="14"/>
  <c r="AQ13" i="15"/>
  <c r="AR6" i="16"/>
  <c r="AP22" i="14"/>
  <c r="AP28" i="14"/>
  <c r="AB13" i="15"/>
  <c r="AC6" i="16"/>
  <c r="AJ6" i="16"/>
  <c r="AT6" i="16"/>
  <c r="AB11" i="15"/>
  <c r="AV279" i="1" l="1"/>
  <c r="AV345" i="1"/>
  <c r="AV172" i="1"/>
  <c r="AV150" i="1"/>
  <c r="AV90" i="1"/>
  <c r="AV55" i="1"/>
  <c r="AV61" i="1"/>
  <c r="AV78" i="1"/>
  <c r="AV333" i="1"/>
  <c r="AV285" i="1"/>
  <c r="AV322" i="1"/>
  <c r="AV249" i="1"/>
  <c r="AV148" i="1"/>
  <c r="AV79" i="1"/>
  <c r="AV66" i="1"/>
  <c r="AV54" i="1"/>
  <c r="AV277" i="1"/>
  <c r="AV250" i="1"/>
  <c r="AV43" i="1"/>
  <c r="AV31" i="14"/>
  <c r="AV28" i="14"/>
  <c r="AV35" i="12"/>
  <c r="AV7" i="14"/>
  <c r="AV8" i="12"/>
  <c r="AV16" i="11"/>
  <c r="AV55" i="11"/>
  <c r="AV82" i="10"/>
  <c r="AV124" i="10"/>
  <c r="AV32" i="10"/>
  <c r="AV93" i="10"/>
  <c r="AV125" i="10"/>
  <c r="AV49" i="10"/>
  <c r="AV7" i="9"/>
  <c r="AV105" i="6"/>
  <c r="AV55" i="6"/>
  <c r="AV74" i="6"/>
  <c r="AV38" i="6"/>
  <c r="AV30" i="6"/>
  <c r="AV103" i="6"/>
  <c r="AV117" i="6"/>
  <c r="AV114" i="6"/>
  <c r="AV34" i="14"/>
  <c r="AV7" i="12"/>
  <c r="AV51" i="11"/>
  <c r="AV101" i="10"/>
  <c r="AV69" i="10"/>
  <c r="AV71" i="10"/>
  <c r="AV121" i="10"/>
  <c r="AV22" i="10"/>
  <c r="AV54" i="6"/>
  <c r="AV94" i="6"/>
  <c r="AV29" i="14"/>
  <c r="AV26" i="14"/>
  <c r="AV27" i="12"/>
  <c r="AV34" i="12"/>
  <c r="AV6" i="12"/>
  <c r="AV12" i="12"/>
  <c r="AV19" i="11"/>
  <c r="AV17" i="11"/>
  <c r="AV68" i="10"/>
  <c r="AV46" i="10"/>
  <c r="AV15" i="10"/>
  <c r="AV118" i="10"/>
  <c r="AV87" i="10"/>
  <c r="AV111" i="10"/>
  <c r="AV53" i="10"/>
  <c r="AV93" i="6"/>
  <c r="AV81" i="6"/>
  <c r="AV42" i="6"/>
  <c r="AV71" i="6"/>
  <c r="AV123" i="6"/>
  <c r="AV98" i="6"/>
  <c r="AV84" i="6"/>
  <c r="AV15" i="6"/>
  <c r="AV35" i="14"/>
  <c r="AV12" i="13"/>
  <c r="AV8" i="14"/>
  <c r="AV26" i="12"/>
  <c r="AV23" i="13"/>
  <c r="AV30" i="12"/>
  <c r="AV22" i="11"/>
  <c r="AV84" i="10"/>
  <c r="AV51" i="10"/>
  <c r="AV123" i="10"/>
  <c r="AV91" i="10"/>
  <c r="AV126" i="10"/>
  <c r="AV56" i="10"/>
  <c r="AV77" i="6"/>
  <c r="AV26" i="6"/>
  <c r="AV10" i="6"/>
  <c r="AV87" i="6"/>
  <c r="AV116" i="6"/>
  <c r="AV102" i="6"/>
  <c r="AV23" i="12"/>
  <c r="AV81" i="10"/>
  <c r="AV117" i="10"/>
  <c r="AV85" i="6"/>
  <c r="AV47" i="6"/>
  <c r="AV20" i="13"/>
  <c r="AV22" i="14"/>
  <c r="AV24" i="14"/>
  <c r="AV10" i="12"/>
  <c r="AV15" i="13"/>
  <c r="AV17" i="12"/>
  <c r="AV18" i="12"/>
  <c r="AV20" i="11"/>
  <c r="AV54" i="11"/>
  <c r="AV15" i="11"/>
  <c r="AV78" i="10"/>
  <c r="AV100" i="10"/>
  <c r="AV85" i="10"/>
  <c r="AV115" i="10"/>
  <c r="AV45" i="10"/>
  <c r="AV70" i="10"/>
  <c r="AV31" i="10"/>
  <c r="AV96" i="6"/>
  <c r="AV76" i="6"/>
  <c r="AV22" i="6"/>
  <c r="AV99" i="6"/>
  <c r="AV113" i="6"/>
  <c r="AV110" i="6"/>
  <c r="AV57" i="6"/>
  <c r="AV69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<sst xmlns="http://schemas.openxmlformats.org/spreadsheetml/2006/main" count="16665" uniqueCount="1872">
  <si>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</si>
  <si>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</si>
  <si>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</si>
  <si>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</si>
  <si>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</si>
  <si>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</si>
  <si>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</si>
  <si>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</si>
  <si>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</si>
  <si>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</si>
  <si>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</si>
  <si>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</si>
  <si>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</si>
  <si>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</si>
  <si>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</si>
  <si>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</si>
  <si>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</si>
  <si>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</si>
  <si>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</si>
  <si>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</si>
  <si>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</si>
  <si>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</si>
  <si>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</si>
  <si>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</si>
  <si>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</si>
  <si>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</si>
  <si>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</si>
  <si>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</si>
  <si>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</si>
  <si>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</si>
  <si>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</si>
  <si>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</si>
  <si>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</si>
  <si>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</si>
  <si>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</si>
  <si>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</si>
  <si>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</si>
  <si>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</si>
  <si>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</si>
  <si>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</si>
  <si>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</si>
  <si>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</si>
  <si>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</si>
  <si>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</si>
  <si>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</si>
  <si>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</si>
  <si>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</si>
  <si>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</si>
  <si>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</si>
  <si>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</si>
  <si>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</si>
  <si>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</si>
  <si>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</si>
  <si>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</si>
  <si>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</si>
  <si>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</si>
  <si>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</si>
  <si>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</si>
  <si>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</si>
  <si>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복</t>
  </si>
  <si>
    <t>A+</t>
  </si>
  <si>
    <t>B+</t>
  </si>
  <si>
    <t>계</t>
  </si>
  <si>
    <t>13</t>
  </si>
  <si>
    <t>8</t>
  </si>
  <si>
    <t>18</t>
  </si>
  <si>
    <t>109A</t>
  </si>
  <si>
    <t>109B</t>
  </si>
  <si>
    <t>20</t>
  </si>
  <si>
    <t>19</t>
  </si>
  <si>
    <t>14</t>
  </si>
  <si>
    <t>중</t>
  </si>
  <si>
    <t>110B</t>
  </si>
  <si>
    <t>111A</t>
  </si>
  <si>
    <t>159B</t>
  </si>
  <si>
    <t>11</t>
  </si>
  <si>
    <t>160A</t>
  </si>
  <si>
    <t>163B</t>
  </si>
  <si>
    <t>165A</t>
  </si>
  <si>
    <t>15</t>
  </si>
  <si>
    <t>75A</t>
  </si>
  <si>
    <t>6</t>
  </si>
  <si>
    <t>75B</t>
  </si>
  <si>
    <t>5</t>
  </si>
  <si>
    <t>130A</t>
  </si>
  <si>
    <t>131B</t>
  </si>
  <si>
    <t>103A</t>
  </si>
  <si>
    <t>103B</t>
  </si>
  <si>
    <t>12</t>
  </si>
  <si>
    <t>고</t>
  </si>
  <si>
    <t>110C</t>
  </si>
  <si>
    <t>27</t>
  </si>
  <si>
    <t>9</t>
  </si>
  <si>
    <t>107A</t>
  </si>
  <si>
    <t>108B</t>
  </si>
  <si>
    <t>133A</t>
  </si>
  <si>
    <t>134B</t>
  </si>
  <si>
    <t>7</t>
  </si>
  <si>
    <t>109A1</t>
  </si>
  <si>
    <t>16</t>
  </si>
  <si>
    <t>145A</t>
  </si>
  <si>
    <t>145B</t>
  </si>
  <si>
    <t>10</t>
  </si>
  <si>
    <t>74B</t>
  </si>
  <si>
    <t>74A</t>
  </si>
  <si>
    <t>86B</t>
  </si>
  <si>
    <t>112A</t>
  </si>
  <si>
    <t>112B</t>
  </si>
  <si>
    <t>174A</t>
  </si>
  <si>
    <t>175B</t>
  </si>
  <si>
    <t>76B</t>
  </si>
  <si>
    <t>76A</t>
  </si>
  <si>
    <t>112B1</t>
  </si>
  <si>
    <t>112C</t>
  </si>
  <si>
    <t>114B1</t>
  </si>
  <si>
    <t>116B2</t>
  </si>
  <si>
    <t>117C</t>
  </si>
  <si>
    <t>110S</t>
  </si>
  <si>
    <t>110E</t>
  </si>
  <si>
    <t>78A</t>
  </si>
  <si>
    <t>78B</t>
  </si>
  <si>
    <t>44A1</t>
  </si>
  <si>
    <t>51A2</t>
  </si>
  <si>
    <t>52A3</t>
  </si>
  <si>
    <t>84B1</t>
  </si>
  <si>
    <t>94C1</t>
  </si>
  <si>
    <t>94B2</t>
  </si>
  <si>
    <t>101C2</t>
  </si>
  <si>
    <t>55S1</t>
  </si>
  <si>
    <t>56L1</t>
  </si>
  <si>
    <t>36D</t>
  </si>
  <si>
    <t>49F</t>
  </si>
  <si>
    <t>67E</t>
  </si>
  <si>
    <t>79A</t>
  </si>
  <si>
    <t>79B</t>
  </si>
  <si>
    <t>110A</t>
  </si>
  <si>
    <t>82A</t>
  </si>
  <si>
    <t>82B</t>
  </si>
  <si>
    <t>112D</t>
  </si>
  <si>
    <t>109C</t>
  </si>
  <si>
    <t>125A</t>
  </si>
  <si>
    <t>164A</t>
  </si>
  <si>
    <t>106B</t>
  </si>
  <si>
    <t>125E</t>
  </si>
  <si>
    <t>126B</t>
  </si>
  <si>
    <t>126A</t>
  </si>
  <si>
    <t>126C</t>
  </si>
  <si>
    <t>126D</t>
  </si>
  <si>
    <t>77B</t>
  </si>
  <si>
    <t>77A</t>
  </si>
  <si>
    <t>101B</t>
  </si>
  <si>
    <t>102A</t>
  </si>
  <si>
    <t>102C</t>
  </si>
  <si>
    <t>113A</t>
  </si>
  <si>
    <t>113C</t>
  </si>
  <si>
    <t>68A</t>
  </si>
  <si>
    <t>68B</t>
  </si>
  <si>
    <t>125B</t>
  </si>
  <si>
    <t>17</t>
  </si>
  <si>
    <t>164B</t>
  </si>
  <si>
    <t>113B</t>
  </si>
  <si>
    <t>114A</t>
  </si>
  <si>
    <t>114C</t>
  </si>
  <si>
    <t>49A</t>
  </si>
  <si>
    <t>50D</t>
  </si>
  <si>
    <t>50E</t>
  </si>
  <si>
    <t>52A1</t>
  </si>
  <si>
    <t>52B</t>
  </si>
  <si>
    <t>52C</t>
  </si>
  <si>
    <t>59B</t>
  </si>
  <si>
    <t>59A</t>
  </si>
  <si>
    <t>59C</t>
  </si>
  <si>
    <t>81A</t>
  </si>
  <si>
    <t>84B</t>
  </si>
  <si>
    <t>45N</t>
  </si>
  <si>
    <t>52S</t>
  </si>
  <si>
    <t>53N</t>
  </si>
  <si>
    <t>53A</t>
  </si>
  <si>
    <t>53D</t>
  </si>
  <si>
    <t>131A</t>
  </si>
  <si>
    <t>111B</t>
  </si>
  <si>
    <t>23</t>
  </si>
  <si>
    <t>22</t>
  </si>
  <si>
    <t>111D1</t>
  </si>
  <si>
    <t>112E</t>
  </si>
  <si>
    <t>112D2</t>
  </si>
  <si>
    <t>102B</t>
  </si>
  <si>
    <t>44A</t>
  </si>
  <si>
    <t>45B</t>
  </si>
  <si>
    <t>52A</t>
  </si>
  <si>
    <t>58A</t>
  </si>
  <si>
    <t>67B</t>
  </si>
  <si>
    <t>67A</t>
  </si>
  <si>
    <t>26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</si>
  <si>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</si>
  <si>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</si>
  <si>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</si>
  <si>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</si>
  <si>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</si>
  <si>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</si>
  <si>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</si>
  <si>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</si>
  <si>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</si>
  <si>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</si>
  <si>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동1</t>
  </si>
  <si>
    <t>복대동</t>
  </si>
  <si>
    <t>비하동</t>
  </si>
  <si>
    <t>가경동</t>
  </si>
  <si>
    <t>송절동</t>
  </si>
  <si>
    <t>오송읍</t>
  </si>
  <si>
    <t>동2</t>
  </si>
  <si>
    <t>동3</t>
  </si>
  <si>
    <t>전체</t>
  </si>
  <si>
    <t>~</t>
  </si>
  <si>
    <t>두산위브지웰시티2차(34평/6.5)</t>
  </si>
  <si>
    <t>동부(33평/2.7)</t>
  </si>
  <si>
    <t>두산위브지웰시티2차('15/6.5)</t>
  </si>
  <si>
    <t>동부('98/2.7)</t>
  </si>
  <si>
    <t>20평대(방3)</t>
  </si>
  <si>
    <t>복대두진하트리움('15/4.1)</t>
  </si>
  <si>
    <t>20평대(방2)</t>
  </si>
  <si>
    <t>동 이름 :</t>
  </si>
  <si>
    <t>KB 평면도입력</t>
  </si>
  <si>
    <t>[가경동]</t>
  </si>
  <si>
    <t>가로수마을선광로즈웰</t>
  </si>
  <si>
    <t>2008.07.</t>
  </si>
  <si>
    <t>복도식</t>
  </si>
  <si>
    <t>https://new.land.naver.com/complexes/26882?tab=detail&amp;rf=Y</t>
  </si>
  <si>
    <t>충청북도 청주시 흥덕구 가경동 1758</t>
  </si>
  <si>
    <t>충청북도</t>
  </si>
  <si>
    <t>청주시</t>
  </si>
  <si>
    <t>흥덕구</t>
  </si>
  <si>
    <t>충청북도 청주시 흥덕구 서현중로 48</t>
  </si>
  <si>
    <t>계단식</t>
  </si>
  <si>
    <t>가경주공2단지</t>
  </si>
  <si>
    <t>2002.12.</t>
  </si>
  <si>
    <t>https://new.land.naver.com/complexes/26052?tab=detail&amp;rf=Y</t>
  </si>
  <si>
    <t>충청북도 청주시 흥덕구 가경동 1550</t>
  </si>
  <si>
    <t>충청북도 청주시 흥덕구 가경로 26</t>
  </si>
  <si>
    <t>청주가경아이파크4단지</t>
  </si>
  <si>
    <t>2022.03.</t>
  </si>
  <si>
    <t>https://new.land.naver.com/complexes/128334?tab=detail&amp;rf=Y</t>
  </si>
  <si>
    <t>충청북도 청주시 흥덕구 가경동 320번지 일원</t>
  </si>
  <si>
    <t>충청북도 청주시 흥덕구</t>
  </si>
  <si>
    <t>가경자이</t>
  </si>
  <si>
    <t>2020.11.</t>
  </si>
  <si>
    <t>https://new.land.naver.com/complexes/122589?tab=detail&amp;rf=Y</t>
  </si>
  <si>
    <t>충청북도 청주시 흥덕구 가경동 2258</t>
  </si>
  <si>
    <t>충청북도 청주시 흥덕구 서현로 30</t>
  </si>
  <si>
    <t>가경e-편한세상</t>
  </si>
  <si>
    <t>2008.09.</t>
  </si>
  <si>
    <t>https://new.land.naver.com/complexes/26158?tab=detail&amp;rf=Y</t>
  </si>
  <si>
    <t>충청북도 청주시 흥덕구 가경동 1764</t>
  </si>
  <si>
    <t>충청북도 청주시 흥덕구 서현북로 15</t>
  </si>
  <si>
    <t>가경대원</t>
  </si>
  <si>
    <t>1997.07.</t>
  </si>
  <si>
    <t>https://new.land.naver.com/complexes/7254?tab=detail&amp;rf=Y</t>
  </si>
  <si>
    <t>충청북도 청주시 흥덕구 가경동 1511</t>
  </si>
  <si>
    <t>충청북도 청주시 흥덕구 가경로 120</t>
  </si>
  <si>
    <t>가경세원2차</t>
  </si>
  <si>
    <t>1992.11.</t>
  </si>
  <si>
    <t>https://new.land.naver.com/complexes/7216?tab=detail&amp;rf=Y</t>
  </si>
  <si>
    <t>충청북도 청주시 흥덕구 가경동 1190</t>
  </si>
  <si>
    <t>충청북도 청주시 흥덕구 풍산로89번길 31</t>
  </si>
  <si>
    <t>가경푸르지오</t>
  </si>
  <si>
    <t>2006.01.</t>
  </si>
  <si>
    <t>https://new.land.naver.com/complexes/17430?tab=detail&amp;rf=Y</t>
  </si>
  <si>
    <t>충청북도 청주시 흥덕구 가경동 1695</t>
  </si>
  <si>
    <t>충청북도 청주시 흥덕구 2순환로1375번길 20</t>
  </si>
  <si>
    <t>가경태암수정</t>
  </si>
  <si>
    <t>https://new.land.naver.com/complexes/7225?tab=detail&amp;rf=Y</t>
  </si>
  <si>
    <t>충청북도 청주시 흥덕구 가경동 1516</t>
  </si>
  <si>
    <t>충청북도 청주시 흥덕구 가경로 72</t>
  </si>
  <si>
    <t>동부</t>
  </si>
  <si>
    <t>1998.06.</t>
  </si>
  <si>
    <t>https://new.land.naver.com/complexes/7206?tab=detail&amp;rf=Y</t>
  </si>
  <si>
    <t>충청북도 청주시 흥덕구 가경동 1517</t>
  </si>
  <si>
    <t>충청북도 청주시 흥덕구 가경로 64</t>
  </si>
  <si>
    <t>청주가경뜨란채8단지</t>
  </si>
  <si>
    <t>2005.10.</t>
  </si>
  <si>
    <t>https://new.land.naver.com/complexes/18756?tab=detail&amp;rf=Y</t>
  </si>
  <si>
    <t>충청북도 청주시 흥덕구 가경동 1579</t>
  </si>
  <si>
    <t>충청북도 청주시 흥덕구 풍년로 56</t>
  </si>
  <si>
    <t>청주가경아이파크3단지</t>
  </si>
  <si>
    <t>2021.05.</t>
  </si>
  <si>
    <t>https://new.land.naver.com/complexes/122444?tab=detail&amp;rf=Y</t>
  </si>
  <si>
    <t>충청북도 청주시 흥덕구 가경동 2276</t>
  </si>
  <si>
    <t>충청북도 청주시 흥덕구 서현로 62</t>
  </si>
  <si>
    <t>청주가경아이파크2단지</t>
  </si>
  <si>
    <t>2020.02.</t>
  </si>
  <si>
    <t>https://new.land.naver.com/complexes/119848?tab=detail&amp;rf=Y</t>
  </si>
  <si>
    <t>충청북도 청주시 흥덕구 가경동 2236</t>
  </si>
  <si>
    <t>충청북도 청주시 흥덕구 서현로 68</t>
  </si>
  <si>
    <t>청주가경뜨란채7단지</t>
  </si>
  <si>
    <t>2005.09.</t>
  </si>
  <si>
    <t>https://new.land.naver.com/complexes/18757?tab=detail&amp;rf=Y</t>
  </si>
  <si>
    <t>충청북도 청주시 흥덕구 가경동 1581</t>
  </si>
  <si>
    <t>충청북도 청주시 흥덕구 풍년로 40</t>
  </si>
  <si>
    <t>파워플러스(도시형)</t>
  </si>
  <si>
    <t>2007.03.</t>
  </si>
  <si>
    <t>25A</t>
  </si>
  <si>
    <t>https://new.land.naver.com/complexes/126068?tab=detail&amp;rf=Y</t>
  </si>
  <si>
    <t>충청북도 청주시 흥덕구 가경동 1704</t>
  </si>
  <si>
    <t>충청북도 청주시 흥덕구 서부로 1303</t>
  </si>
  <si>
    <t>26B</t>
  </si>
  <si>
    <t>26C</t>
  </si>
  <si>
    <t>26D</t>
  </si>
  <si>
    <t>35A</t>
  </si>
  <si>
    <t>36B</t>
  </si>
  <si>
    <t>38A</t>
  </si>
  <si>
    <t>38B</t>
  </si>
  <si>
    <t>40C</t>
  </si>
  <si>
    <t>51A</t>
  </si>
  <si>
    <t>61B</t>
  </si>
  <si>
    <t>가경아이파크5단지</t>
  </si>
  <si>
    <t>2023.02.</t>
  </si>
  <si>
    <t>https://new.land.naver.com/complexes/138275?tab=detail&amp;rf=Y</t>
  </si>
  <si>
    <t>충청북도 청주시 흥덕구 가경동 633-5번지 일원</t>
  </si>
  <si>
    <t>대림가경</t>
  </si>
  <si>
    <t>1993.01.</t>
  </si>
  <si>
    <t>https://new.land.naver.com/complexes/7200?tab=detail&amp;rf=Y</t>
  </si>
  <si>
    <t>충청북도 청주시 흥덕구 가경동 764</t>
  </si>
  <si>
    <t>충청북도 청주시 흥덕구 가경로 193</t>
  </si>
  <si>
    <t>청주가경아이파크</t>
  </si>
  <si>
    <t>2019.04.</t>
  </si>
  <si>
    <t>https://new.land.naver.com/complexes/114461?tab=detail&amp;rf=Y</t>
  </si>
  <si>
    <t>충청북도 청주시 흥덕구 가경동 2220</t>
  </si>
  <si>
    <t>충청북도 청주시 흥덕구 서현로 66</t>
  </si>
  <si>
    <t>가경형석2차</t>
  </si>
  <si>
    <t>1993.11.</t>
  </si>
  <si>
    <t>https://new.land.naver.com/complexes/7234?tab=detail&amp;rf=Y</t>
  </si>
  <si>
    <t>충청북도 청주시 흥덕구 가경동 766</t>
  </si>
  <si>
    <t>충청북도 청주시 흥덕구 가경로 188</t>
  </si>
  <si>
    <t>세원가경골</t>
  </si>
  <si>
    <t>1997.08.</t>
  </si>
  <si>
    <t>https://new.land.naver.com/complexes/7220?tab=detail&amp;rf=Y</t>
  </si>
  <si>
    <t>충청북도 청주시 흥덕구 가경동 1510</t>
  </si>
  <si>
    <t>충청북도 청주시 흥덕구 가경로 134</t>
  </si>
  <si>
    <t>형석1차</t>
  </si>
  <si>
    <t>1992.12.</t>
  </si>
  <si>
    <t>https://new.land.naver.com/complexes/7230?tab=detail&amp;rf=Y</t>
  </si>
  <si>
    <t>충청북도 청주시 흥덕구 가경동 1189</t>
  </si>
  <si>
    <t>충청북도 청주시 흥덕구 가경로 158</t>
  </si>
  <si>
    <t>벽산</t>
  </si>
  <si>
    <t>https://new.land.naver.com/complexes/7208?tab=detail&amp;rf=Y</t>
  </si>
  <si>
    <t>충청북도 청주시 흥덕구 가경동 762</t>
  </si>
  <si>
    <t>충청북도 청주시 흥덕구 가경로189번길 52</t>
  </si>
  <si>
    <t>삼일원앙</t>
  </si>
  <si>
    <t>1997.06.</t>
  </si>
  <si>
    <t>https://new.land.naver.com/complexes/7212?tab=detail&amp;rf=Y</t>
  </si>
  <si>
    <t>충청북도 청주시 흥덕구 가경동 1514</t>
  </si>
  <si>
    <t>충청북도 청주시 흥덕구 가경로 100-20</t>
  </si>
  <si>
    <t>가경신라</t>
  </si>
  <si>
    <t>1993.05.</t>
  </si>
  <si>
    <t>https://new.land.naver.com/complexes/7222?tab=detail&amp;rf=Y</t>
  </si>
  <si>
    <t>충청북도 청주시 흥덕구 가경동 768</t>
  </si>
  <si>
    <t>충청북도 청주시 흥덕구 가로수로1308번길 42</t>
  </si>
  <si>
    <t>가로수마을호반베르디움</t>
  </si>
  <si>
    <t>2008.08.</t>
  </si>
  <si>
    <t>https://new.land.naver.com/complexes/26163?tab=detail&amp;rf=Y</t>
  </si>
  <si>
    <t>충청북도 청주시 흥덕구 가경동 1759</t>
  </si>
  <si>
    <t>충청북도 청주시 흥덕구 서현중로 47</t>
  </si>
  <si>
    <t>진로</t>
  </si>
  <si>
    <t>1999.01.</t>
  </si>
  <si>
    <t>https://new.land.naver.com/complexes/7259?tab=detail&amp;rf=Y</t>
  </si>
  <si>
    <t>충청북도 청주시 흥덕구 가경동 1506</t>
  </si>
  <si>
    <t>충청북도 청주시 흥덕구 가경로 71</t>
  </si>
  <si>
    <t>가람스토리</t>
  </si>
  <si>
    <t>2013.09.</t>
  </si>
  <si>
    <t>31A</t>
  </si>
  <si>
    <t>https://new.land.naver.com/complexes/132285?tab=detail&amp;rf=Y</t>
  </si>
  <si>
    <t>충청북도 청주시 흥덕구 가경동 1028</t>
  </si>
  <si>
    <t>충청북도 청주시 흥덕구 풍년로193번길 26</t>
  </si>
  <si>
    <t>32B</t>
  </si>
  <si>
    <t>34C</t>
  </si>
  <si>
    <t>62A</t>
  </si>
  <si>
    <t>62B</t>
  </si>
  <si>
    <t>가로수마을대원칸타빌</t>
  </si>
  <si>
    <t>https://new.land.naver.com/complexes/26051?tab=detail&amp;rf=Y</t>
  </si>
  <si>
    <t>충청북도 청주시 흥덕구 가경동 1762</t>
  </si>
  <si>
    <t>충청북도 청주시 흥덕구 서현서로 39</t>
  </si>
  <si>
    <t>덕일한마음</t>
  </si>
  <si>
    <t>https://new.land.naver.com/complexes/7203?tab=detail&amp;rf=Y</t>
  </si>
  <si>
    <t>충청북도 청주시 흥덕구 가경동 1515</t>
  </si>
  <si>
    <t>충청북도 청주시 흥덕구 장구봉로 71</t>
  </si>
  <si>
    <t>효성</t>
  </si>
  <si>
    <t>1997.12.</t>
  </si>
  <si>
    <t>https://new.land.naver.com/complexes/7249?tab=detail&amp;rf=Y</t>
  </si>
  <si>
    <t>충청북도 청주시 흥덕구 가경동 1507</t>
  </si>
  <si>
    <t>충청북도 청주시 흥덕구 가경로 61</t>
  </si>
  <si>
    <t>가로수마을한라비발디</t>
  </si>
  <si>
    <t>https://new.land.naver.com/complexes/26151?tab=detail&amp;rf=Y</t>
  </si>
  <si>
    <t>충청북도 청주시 흥덕구 가경동 1761</t>
  </si>
  <si>
    <t>충청북도 청주시 흥덕구 서현서로 40</t>
  </si>
  <si>
    <t>[강내면]</t>
  </si>
  <si>
    <t>진흥2차</t>
  </si>
  <si>
    <t>1989.11.</t>
  </si>
  <si>
    <t>https://new.land.naver.com/complexes/17222?tab=detail&amp;rf=Y</t>
  </si>
  <si>
    <t>충청북도 청주시 흥덕구 강내면 월곡리 150-7</t>
  </si>
  <si>
    <t>강내면</t>
  </si>
  <si>
    <t>충청북도 청주시 흥덕구 가로수로 654-10</t>
  </si>
  <si>
    <t>66A</t>
  </si>
  <si>
    <t>66B</t>
  </si>
  <si>
    <t>66C</t>
  </si>
  <si>
    <t>두진</t>
  </si>
  <si>
    <t>1991.12.</t>
  </si>
  <si>
    <t>https://new.land.naver.com/complexes/105782?tab=detail&amp;rf=Y</t>
  </si>
  <si>
    <t>충청북도 청주시 흥덕구 강내면 263-2</t>
  </si>
  <si>
    <t>충청북도 청주시 흥덕구 탑연월곡길 86-5</t>
  </si>
  <si>
    <t>일송그린</t>
  </si>
  <si>
    <t>1998.05.</t>
  </si>
  <si>
    <t>https://new.land.naver.com/complexes/107131?tab=detail&amp;rf=Y</t>
  </si>
  <si>
    <t>충청북도 청주시 흥덕구 강내면 월곡리 227</t>
  </si>
  <si>
    <t>충청북도 청주시 흥덕구 탑연월곡길 79-7</t>
  </si>
  <si>
    <t>청원쌍용예가1단지</t>
  </si>
  <si>
    <t>2007.08.</t>
  </si>
  <si>
    <t>https://new.land.naver.com/complexes/23596?tab=detail&amp;rf=Y</t>
  </si>
  <si>
    <t>충청북도 청주시 흥덕구 강내면 월곡리 428</t>
  </si>
  <si>
    <t>충청북도 청주시 흥덕구 탑연월곡길 62-13</t>
  </si>
  <si>
    <t>110D</t>
  </si>
  <si>
    <t>선광한빛</t>
  </si>
  <si>
    <t>1996.12.</t>
  </si>
  <si>
    <t>https://new.land.naver.com/complexes/15368?tab=detail&amp;rf=Y</t>
  </si>
  <si>
    <t>충청북도 청주시 흥덕구 강내면 탑연리 322-1</t>
  </si>
  <si>
    <t>충청북도 청주시 흥덕구 태성탑연로 391-34</t>
  </si>
  <si>
    <t>주은반석</t>
  </si>
  <si>
    <t>2000.11.</t>
  </si>
  <si>
    <t>https://new.land.naver.com/complexes/23212?tab=detail&amp;rf=Y</t>
  </si>
  <si>
    <t>충청북도 청주시 흥덕구 강내면 탑연리 301-1</t>
  </si>
  <si>
    <t>충청북도 청주시 흥덕구 태성탑연로 391-28</t>
  </si>
  <si>
    <t>청원신성미소지움</t>
  </si>
  <si>
    <t>https://new.land.naver.com/complexes/27058?tab=detail&amp;rf=Y</t>
  </si>
  <si>
    <t>충청북도 청주시 흥덕구 강내면 탑연리 388</t>
  </si>
  <si>
    <t>충청북도 청주시 흥덕구 탑연1길 8</t>
  </si>
  <si>
    <t>청원쌍용예가2단지</t>
  </si>
  <si>
    <t>https://new.land.naver.com/complexes/23597?tab=detail&amp;rf=Y</t>
  </si>
  <si>
    <t>충청북도 청주시 흥덕구 강내면 월곡리 429</t>
  </si>
  <si>
    <t>충청북도 청주시 흥덕구 탑연월곡길 62-20</t>
  </si>
  <si>
    <t>서호e타운</t>
  </si>
  <si>
    <t>2001.06.</t>
  </si>
  <si>
    <t>https://new.land.naver.com/complexes/15366?tab=detail&amp;rf=Y</t>
  </si>
  <si>
    <t>충청북도 청주시 흥덕구 강내면 황탄리 3-1</t>
  </si>
  <si>
    <t>충청북도 청주시 흥덕구 황탄리길 226</t>
  </si>
  <si>
    <t>강내두진하트리움</t>
  </si>
  <si>
    <t>2018.08.</t>
  </si>
  <si>
    <t>https://new.land.naver.com/complexes/118823?tab=detail&amp;rf=Y</t>
  </si>
  <si>
    <t>충청북도 청주시 흥덕구 강내면 월곡리 432</t>
  </si>
  <si>
    <t>충청북도 청주시 흥덕구 월곡길 23-13</t>
  </si>
  <si>
    <t>월곡진흥</t>
  </si>
  <si>
    <t>1988.11.</t>
  </si>
  <si>
    <t>https://new.land.naver.com/complexes/7747?tab=detail&amp;rf=Y</t>
  </si>
  <si>
    <t>충청북도 청주시 흥덕구 강내면 월곡리 150-35</t>
  </si>
  <si>
    <t>충청북도 청주시 흥덕구 가로수로 640-19</t>
  </si>
  <si>
    <t>56B</t>
  </si>
  <si>
    <t>56C</t>
  </si>
  <si>
    <t>56A</t>
  </si>
  <si>
    <t>강내태암수정</t>
  </si>
  <si>
    <t>https://new.land.naver.com/complexes/15370?tab=detail&amp;rf=Y</t>
  </si>
  <si>
    <t>충청북도 청주시 흥덕구 강내면 월탄리 90</t>
  </si>
  <si>
    <t>충청북도 청주시 흥덕구 태성탑연로 264</t>
  </si>
  <si>
    <t>월곡</t>
  </si>
  <si>
    <t>1985.12.</t>
  </si>
  <si>
    <t>https://new.land.naver.com/complexes/15369?tab=detail&amp;rf=Y</t>
  </si>
  <si>
    <t>충청북도 청주시 흥덕구 강내면 월곡리 300</t>
  </si>
  <si>
    <t>충청북도 청주시 흥덕구 탑연월곡길 86-10</t>
  </si>
  <si>
    <t>[강서동]</t>
  </si>
  <si>
    <t>주산휴네스트</t>
  </si>
  <si>
    <t>2013.05.</t>
  </si>
  <si>
    <t>https://new.land.naver.com/complexes/107198?tab=detail&amp;rf=Y</t>
  </si>
  <si>
    <t>충청북도 청주시 흥덕구 강서동 467</t>
  </si>
  <si>
    <t>강서동</t>
  </si>
  <si>
    <t>충청북도 청주시 흥덕구 강서로 101</t>
  </si>
  <si>
    <t>53B</t>
  </si>
  <si>
    <t>57B</t>
  </si>
  <si>
    <t>58B</t>
  </si>
  <si>
    <t>강서베리굿</t>
  </si>
  <si>
    <t>2015.11.</t>
  </si>
  <si>
    <t>93B</t>
  </si>
  <si>
    <t>https://new.land.naver.com/complexes/111248?tab=detail&amp;rf=Y</t>
  </si>
  <si>
    <t>충청북도 청주시 흥덕구 강서동 503</t>
  </si>
  <si>
    <t>충청북도 청주시 흥덕구 서현중로 63</t>
  </si>
  <si>
    <t>96A</t>
  </si>
  <si>
    <t>96D</t>
  </si>
  <si>
    <t>97C</t>
  </si>
  <si>
    <t>대림</t>
  </si>
  <si>
    <t>1990.11.</t>
  </si>
  <si>
    <t>https://new.land.naver.com/complexes/10437?tab=detail&amp;rf=Y</t>
  </si>
  <si>
    <t>충청북도 청주시 흥덕구 강서동 37-1</t>
  </si>
  <si>
    <t>충청북도 청주시 흥덕구 가로수로1154번길 22-2</t>
  </si>
  <si>
    <t>청도</t>
  </si>
  <si>
    <t>2000.10.</t>
  </si>
  <si>
    <t>https://new.land.naver.com/complexes/15426?tab=detail&amp;rf=Y</t>
  </si>
  <si>
    <t>충청북도 청주시 흥덕구 강서동 45-4</t>
  </si>
  <si>
    <t>충청북도 청주시 흥덕구 가로수로1144번길 72-2</t>
  </si>
  <si>
    <t>레지던스마리</t>
  </si>
  <si>
    <t>2011.12.</t>
  </si>
  <si>
    <t>https://new.land.naver.com/complexes/110424?tab=detail&amp;rf=Y</t>
  </si>
  <si>
    <t>충청북도 청주시 흥덕구 강서동 505</t>
  </si>
  <si>
    <t>충청북도 청주시 흥덕구 서현중로 53-2</t>
  </si>
  <si>
    <t>경성하늘샵(도시형)</t>
  </si>
  <si>
    <t>2013.06.</t>
  </si>
  <si>
    <t>https://new.land.naver.com/complexes/106997?tab=detail&amp;rf=Y</t>
  </si>
  <si>
    <t>충청북도 청주시 흥덕구 강서동 473</t>
  </si>
  <si>
    <t>충청북도 청주시 흥덕구 가로수로1164번길 41-48</t>
  </si>
  <si>
    <t>28A</t>
  </si>
  <si>
    <t>28B</t>
  </si>
  <si>
    <t>29C</t>
  </si>
  <si>
    <t>30D</t>
  </si>
  <si>
    <t>30E</t>
  </si>
  <si>
    <t>39A</t>
  </si>
  <si>
    <t>40B</t>
  </si>
  <si>
    <t>레지던스마리(도시형)</t>
  </si>
  <si>
    <t>https://new.land.naver.com/complexes/110423?tab=detail&amp;rf=Y</t>
  </si>
  <si>
    <t>청주강서나보나시티(도시형)</t>
  </si>
  <si>
    <t>2021.03.</t>
  </si>
  <si>
    <t>33D</t>
  </si>
  <si>
    <t>https://new.land.naver.com/complexes/121081?tab=detail&amp;rf=Y</t>
  </si>
  <si>
    <t>충청북도 청주시 흥덕구 강서동 470</t>
  </si>
  <si>
    <t>충청북도 청주시 흥덕구 가로수로1164번길 41-28</t>
  </si>
  <si>
    <t>42B</t>
  </si>
  <si>
    <t>44C</t>
  </si>
  <si>
    <t>46A</t>
  </si>
  <si>
    <t>레지던스마리3</t>
  </si>
  <si>
    <t>2014.07.</t>
  </si>
  <si>
    <t>55A</t>
  </si>
  <si>
    <t>https://new.land.naver.com/complexes/112882?tab=detail&amp;rf=Y</t>
  </si>
  <si>
    <t>충청북도 청주시 흥덕구 강서동 504</t>
  </si>
  <si>
    <t>충청북도 청주시 흥덕구 서현중로 57-2</t>
  </si>
  <si>
    <t>경도펠리스(도시형)</t>
  </si>
  <si>
    <t>2016.03.</t>
  </si>
  <si>
    <t>https://new.land.naver.com/complexes/112791?tab=detail&amp;rf=Y</t>
  </si>
  <si>
    <t>충청북도 청주시 흥덕구 강서동 498</t>
  </si>
  <si>
    <t>충청북도 청주시 흥덕구 서현동로 21</t>
  </si>
  <si>
    <t>세솔타운(도시형)</t>
  </si>
  <si>
    <t>2013.12.</t>
  </si>
  <si>
    <t>https://new.land.naver.com/complexes/113157?tab=detail&amp;rf=Y</t>
  </si>
  <si>
    <t>충청북도 청주시 흥덕구 강서동 478</t>
  </si>
  <si>
    <t>충청북도 청주시 흥덕구 강서로 121</t>
  </si>
  <si>
    <t>34A</t>
  </si>
  <si>
    <t>34B</t>
  </si>
  <si>
    <t>64B</t>
  </si>
  <si>
    <t>덕흥</t>
  </si>
  <si>
    <t>https://new.land.naver.com/complexes/15425?tab=detail&amp;rf=Y</t>
  </si>
  <si>
    <t>충청북도 청주시 흥덕구 강서동 40</t>
  </si>
  <si>
    <t>충청북도 청주시 흥덕구 가로수로1144번길 42-8</t>
  </si>
  <si>
    <t>이랜드타운힐스싱글스위트청주(도시형)</t>
  </si>
  <si>
    <t>2019.09.</t>
  </si>
  <si>
    <t>30S</t>
  </si>
  <si>
    <t>https://new.land.naver.com/complexes/116600?tab=detail&amp;rf=Y</t>
  </si>
  <si>
    <t>충청북도 청주시 흥덕구 강서동 460</t>
  </si>
  <si>
    <t>충청북도 청주시 흥덕구 2순환로 1228</t>
  </si>
  <si>
    <t>30I</t>
  </si>
  <si>
    <t>30G</t>
  </si>
  <si>
    <t>30L</t>
  </si>
  <si>
    <t>30T</t>
  </si>
  <si>
    <t>30C</t>
  </si>
  <si>
    <t>30R</t>
  </si>
  <si>
    <t>신해블루지움</t>
  </si>
  <si>
    <t>2017.11.</t>
  </si>
  <si>
    <t>https://new.land.naver.com/complexes/109824?tab=detail&amp;rf=Y</t>
  </si>
  <si>
    <t>충청북도 청주시 흥덕구 강서동 459</t>
  </si>
  <si>
    <t>충청북도 청주시 흥덕구 2순환로 1222</t>
  </si>
  <si>
    <t>우양센트럴(도시형)</t>
  </si>
  <si>
    <t>2016.10.</t>
  </si>
  <si>
    <t>30A</t>
  </si>
  <si>
    <t>https://new.land.naver.com/complexes/113953?tab=detail&amp;rf=Y</t>
  </si>
  <si>
    <t>충청북도 청주시 흥덕구 강서동 472</t>
  </si>
  <si>
    <t>충청북도 청주시 흥덕구 가로수로1164번길 41-44</t>
  </si>
  <si>
    <t>31B</t>
  </si>
  <si>
    <t>40D</t>
  </si>
  <si>
    <t>41E</t>
  </si>
  <si>
    <t>경도펠리스</t>
  </si>
  <si>
    <t>https://new.land.naver.com/complexes/112790?tab=detail&amp;rf=Y</t>
  </si>
  <si>
    <t>37A</t>
  </si>
  <si>
    <t>우림</t>
  </si>
  <si>
    <t>2001.05.</t>
  </si>
  <si>
    <t>https://new.land.naver.com/complexes/13426?tab=detail&amp;rf=Y</t>
  </si>
  <si>
    <t>충청북도 청주시 흥덕구 강서동 45-1</t>
  </si>
  <si>
    <t>충청북도 청주시 흥덕구 가로수로1144번길 50</t>
  </si>
  <si>
    <t>이랜드타운힐스싱글스위트청주</t>
  </si>
  <si>
    <t>https://new.land.naver.com/complexes/117443?tab=detail&amp;rf=Y</t>
  </si>
  <si>
    <t>우정</t>
  </si>
  <si>
    <t>1992.03.</t>
  </si>
  <si>
    <t>https://new.land.naver.com/complexes/13344?tab=detail&amp;rf=Y</t>
  </si>
  <si>
    <t>충청북도 청주시 흥덕구 강서동 33-7</t>
  </si>
  <si>
    <t>충청북도 청주시 흥덕구 가로수로1154번길 21-5</t>
  </si>
  <si>
    <t>강서베리굿(도시형)</t>
  </si>
  <si>
    <t>72F</t>
  </si>
  <si>
    <t>https://new.land.naver.com/complexes/111247?tab=detail&amp;rf=Y</t>
  </si>
  <si>
    <t>73G</t>
  </si>
  <si>
    <t>73E</t>
  </si>
  <si>
    <t>73H</t>
  </si>
  <si>
    <t>미소랑(도시형)</t>
  </si>
  <si>
    <t>2014.09.</t>
  </si>
  <si>
    <t>https://new.land.naver.com/complexes/111587?tab=detail&amp;rf=Y</t>
  </si>
  <si>
    <t>충청북도 청주시 흥덕구 강서동 466</t>
  </si>
  <si>
    <t>충청북도 청주시 흥덕구 가로수로1164번길 41-8</t>
  </si>
  <si>
    <t>54A</t>
  </si>
  <si>
    <t>54B</t>
  </si>
  <si>
    <t>신해블루지움(도시형)</t>
  </si>
  <si>
    <t>25D</t>
  </si>
  <si>
    <t>https://new.land.naver.com/complexes/109825?tab=detail&amp;rf=Y</t>
  </si>
  <si>
    <t>29G</t>
  </si>
  <si>
    <t>36E</t>
  </si>
  <si>
    <t>37F</t>
  </si>
  <si>
    <t>청주강서동광모닝스카이(도시형)</t>
  </si>
  <si>
    <t>2016.06.</t>
  </si>
  <si>
    <t>22A</t>
  </si>
  <si>
    <t>https://new.land.naver.com/complexes/112525?tab=detail&amp;rf=Y</t>
  </si>
  <si>
    <t>충청북도 청주시 흥덕구 강서동 458</t>
  </si>
  <si>
    <t>충청북도 청주시 흥덕구 가로수로1164번길 41-33</t>
  </si>
  <si>
    <t>41B</t>
  </si>
  <si>
    <t>강서베리굿2차(도시형)</t>
  </si>
  <si>
    <t>2016.08.</t>
  </si>
  <si>
    <t>32C</t>
  </si>
  <si>
    <t>https://new.land.naver.com/complexes/112981?tab=detail&amp;rf=Y</t>
  </si>
  <si>
    <t>충청북도 청주시 흥덕구 강서동 482</t>
  </si>
  <si>
    <t>충청북도 청주시 흥덕구 강서로 111</t>
  </si>
  <si>
    <t>37D</t>
  </si>
  <si>
    <t>38E</t>
  </si>
  <si>
    <t>38F</t>
  </si>
  <si>
    <t>42A</t>
  </si>
  <si>
    <t>레지던스마리2</t>
  </si>
  <si>
    <t>2013.04.</t>
  </si>
  <si>
    <t>https://new.land.naver.com/complexes/119425?tab=detail&amp;rf=Y</t>
  </si>
  <si>
    <t>충청북도 청주시 흥덕구 강서동 522</t>
  </si>
  <si>
    <t>충청북도 청주시 흥덕구 서현동로 16-1</t>
  </si>
  <si>
    <t>레지던스마리3(도시형)</t>
  </si>
  <si>
    <t>https://new.land.naver.com/complexes/112883?tab=detail&amp;rf=Y</t>
  </si>
  <si>
    <t>40A</t>
  </si>
  <si>
    <t>강서동광모닝스카이</t>
  </si>
  <si>
    <t>https://new.land.naver.com/complexes/112526?tab=detail&amp;rf=Y</t>
  </si>
  <si>
    <t>낙원</t>
  </si>
  <si>
    <t>1989.09.</t>
  </si>
  <si>
    <t>https://new.land.naver.com/complexes/100655?tab=detail&amp;rf=Y</t>
  </si>
  <si>
    <t>충청북도 청주시 흥덕구 강서동 50-1</t>
  </si>
  <si>
    <t>충청북도 청주시 흥덕구 가로수로1154번길 56-2</t>
  </si>
  <si>
    <t>레지던스마리2(도시형)</t>
  </si>
  <si>
    <t>https://new.land.naver.com/complexes/112892?tab=detail&amp;rf=Y</t>
  </si>
  <si>
    <t>45A</t>
  </si>
  <si>
    <t>46B</t>
  </si>
  <si>
    <t>강서베리굿3차</t>
  </si>
  <si>
    <t>2017.06.</t>
  </si>
  <si>
    <t>95A</t>
  </si>
  <si>
    <t>https://new.land.naver.com/complexes/113036?tab=detail&amp;rf=Y</t>
  </si>
  <si>
    <t>충청북도 청주시 흥덕구 강서동 502</t>
  </si>
  <si>
    <t>충청북도 청주시 흥덕구 서현중로 61</t>
  </si>
  <si>
    <t>96B</t>
  </si>
  <si>
    <t>97A-1</t>
  </si>
  <si>
    <t>미소랑</t>
  </si>
  <si>
    <t>https://new.land.naver.com/complexes/127523?tab=detail&amp;rf=Y</t>
  </si>
  <si>
    <t>92A</t>
  </si>
  <si>
    <t>강서베리굿3차(도시형)</t>
  </si>
  <si>
    <t>72A</t>
  </si>
  <si>
    <t>https://new.land.naver.com/complexes/113038?tab=detail&amp;rf=Y</t>
  </si>
  <si>
    <t>72A-1</t>
  </si>
  <si>
    <t>72B</t>
  </si>
  <si>
    <t>미소랑2차(도시형)</t>
  </si>
  <si>
    <t>2015.12.</t>
  </si>
  <si>
    <t>https://new.land.naver.com/complexes/111589?tab=detail&amp;rf=Y</t>
  </si>
  <si>
    <t>충청북도 청주시 흥덕구 강서동 500</t>
  </si>
  <si>
    <t>충청북도 청주시 흥덕구 서현중로 60-1</t>
  </si>
  <si>
    <t>24A</t>
  </si>
  <si>
    <t>25B</t>
  </si>
  <si>
    <t>44B</t>
  </si>
  <si>
    <t>63B</t>
  </si>
  <si>
    <t>63A</t>
  </si>
  <si>
    <t>65A</t>
  </si>
  <si>
    <t>65B</t>
  </si>
  <si>
    <t>65C</t>
  </si>
  <si>
    <t>66D</t>
  </si>
  <si>
    <t>67F</t>
  </si>
  <si>
    <t>[문암동]</t>
  </si>
  <si>
    <t>청주테크노폴리스지웰푸르지오</t>
  </si>
  <si>
    <t>2022.05.</t>
  </si>
  <si>
    <t>https://new.land.naver.com/complexes/127720?tab=detail&amp;rf=Y</t>
  </si>
  <si>
    <t>충청북도 청주시 흥덕구 문암동 청주테크노폴리스 일반산업단지 A6BL</t>
  </si>
  <si>
    <t>문암동</t>
  </si>
  <si>
    <t>[복대동]</t>
  </si>
  <si>
    <t>형석(2442)</t>
  </si>
  <si>
    <t>1990.10.</t>
  </si>
  <si>
    <t>https://new.land.naver.com/complexes/22481?tab=detail&amp;rf=Y</t>
  </si>
  <si>
    <t>충청북도 청주시 흥덕구 복대동 2442</t>
  </si>
  <si>
    <t>충청북도 청주시 흥덕구 장구봉로101번길 27</t>
  </si>
  <si>
    <t>삼일(2008)</t>
  </si>
  <si>
    <t>1990.09.</t>
  </si>
  <si>
    <t>https://new.land.naver.com/complexes/7324?tab=detail&amp;rf=Y</t>
  </si>
  <si>
    <t>충청북도 청주시 흥덕구 복대동 2008</t>
  </si>
  <si>
    <t>충청북도 청주시 흥덕구 복대로118번길 16</t>
  </si>
  <si>
    <t>현대1차</t>
  </si>
  <si>
    <t>1999.05.</t>
  </si>
  <si>
    <t>https://new.land.naver.com/complexes/7345?tab=detail&amp;rf=Y</t>
  </si>
  <si>
    <t>충청북도 청주시 흥덕구 복대동 3098</t>
  </si>
  <si>
    <t>충청북도 청주시 흥덕구 대신로10번길 16-3</t>
  </si>
  <si>
    <t>두진하트리움</t>
  </si>
  <si>
    <t>1999.08.</t>
  </si>
  <si>
    <t>https://new.land.naver.com/complexes/11554?tab=detail&amp;rf=Y</t>
  </si>
  <si>
    <t>충청북도 청주시 흥덕구 복대동 2459</t>
  </si>
  <si>
    <t>충청북도 청주시 흥덕구 증안로 33</t>
  </si>
  <si>
    <t>신영지웰시티1차</t>
  </si>
  <si>
    <t>2010.06.</t>
  </si>
  <si>
    <t>https://new.land.naver.com/complexes/27182?tab=detail&amp;rf=Y</t>
  </si>
  <si>
    <t>충청북도 청주시 흥덕구 복대동 3379</t>
  </si>
  <si>
    <t>충청북도 청주시 흥덕구 대농로 17</t>
  </si>
  <si>
    <t>재원</t>
  </si>
  <si>
    <t>1994.05.</t>
  </si>
  <si>
    <t>https://new.land.naver.com/complexes/141131?tab=detail&amp;rf=Y</t>
  </si>
  <si>
    <t>충청북도 청주시 흥덕구 복대동 208</t>
  </si>
  <si>
    <t>충청북도 청주시 흥덕구 죽천로146번길 49</t>
  </si>
  <si>
    <t>성광</t>
  </si>
  <si>
    <t>1982.06.</t>
  </si>
  <si>
    <t>https://new.land.naver.com/complexes/15441?tab=detail&amp;rf=Y</t>
  </si>
  <si>
    <t>충청북도 청주시 흥덕구 복대동 824-4</t>
  </si>
  <si>
    <t>충청북도 청주시 흥덕구 신율로 174</t>
  </si>
  <si>
    <t>보성</t>
  </si>
  <si>
    <t>1992.01.</t>
  </si>
  <si>
    <t>https://new.land.naver.com/complexes/120755?tab=detail&amp;rf=Y</t>
  </si>
  <si>
    <t>충청북도 청주시 흥덕구 복대동 2448</t>
  </si>
  <si>
    <t>충청북도 청주시 흥덕구 신율로 77</t>
  </si>
  <si>
    <t>세원테마빌</t>
  </si>
  <si>
    <t>2001.12.</t>
  </si>
  <si>
    <t>https://new.land.naver.com/complexes/11206?tab=detail&amp;rf=Y</t>
  </si>
  <si>
    <t>충청북도 청주시 흥덕구 복대동 2607</t>
  </si>
  <si>
    <t>충청북도 청주시 흥덕구 짐대로 14</t>
  </si>
  <si>
    <t>현대(169-1)</t>
  </si>
  <si>
    <t>1986.12.</t>
  </si>
  <si>
    <t>https://new.land.naver.com/complexes/119493?tab=detail&amp;rf=Y</t>
  </si>
  <si>
    <t>충청북도 청주시 흥덕구 복대동 169-1</t>
  </si>
  <si>
    <t>충청북도 청주시 흥덕구 내수동로12번길 5</t>
  </si>
  <si>
    <t>더샵청주센트럴</t>
  </si>
  <si>
    <t>2024.03.</t>
  </si>
  <si>
    <t>https://new.land.naver.com/complexes/144187?tab=detail&amp;rf=Y</t>
  </si>
  <si>
    <t>충청북도 청주시 흥덕구 복대동 229-20번지 일원</t>
  </si>
  <si>
    <t>충청북도 청주시 흥덕구 복대로220번길 13</t>
  </si>
  <si>
    <t>신라가경</t>
  </si>
  <si>
    <t>https://new.land.naver.com/complexes/120757?tab=detail&amp;rf=Y</t>
  </si>
  <si>
    <t>충청북도 청주시 흥덕구 복대동 2447</t>
  </si>
  <si>
    <t>충청북도 청주시 흥덕구 신율로 87</t>
  </si>
  <si>
    <t>98A</t>
  </si>
  <si>
    <t>99D</t>
  </si>
  <si>
    <t>100C</t>
  </si>
  <si>
    <t>100B</t>
  </si>
  <si>
    <t>복대두진하트리움</t>
  </si>
  <si>
    <t>https://new.land.naver.com/complexes/106972?tab=detail&amp;rf=Y</t>
  </si>
  <si>
    <t>충청북도 청주시 흥덕구 복대동 3382</t>
  </si>
  <si>
    <t>충청북도 청주시 흥덕구 죽천로 27</t>
  </si>
  <si>
    <t>금호어울림2단지</t>
  </si>
  <si>
    <t>2009.02.</t>
  </si>
  <si>
    <t>https://new.land.naver.com/complexes/26190?tab=detail&amp;rf=Y</t>
  </si>
  <si>
    <t>충청북도 청주시 흥덕구 복대동 3367</t>
  </si>
  <si>
    <t>충청북도 청주시 흥덕구 대신로74번길 21</t>
  </si>
  <si>
    <t>명성</t>
  </si>
  <si>
    <t>1988..</t>
  </si>
  <si>
    <t>https://new.land.naver.com/complexes/108584?tab=detail&amp;rf=Y</t>
  </si>
  <si>
    <t>충청북도 청주시 흥덕구 복대동 168</t>
  </si>
  <si>
    <t>충청북도 청주시 흥덕구 신율로180번길 22</t>
  </si>
  <si>
    <t>청주</t>
  </si>
  <si>
    <t>1991.04.</t>
  </si>
  <si>
    <t>https://new.land.naver.com/complexes/109146?tab=detail&amp;rf=Y</t>
  </si>
  <si>
    <t>충청북도 청주시 흥덕구 복대동 2446</t>
  </si>
  <si>
    <t>충청북도 청주시 흥덕구 신율로103번길 9</t>
  </si>
  <si>
    <t>삼일(3034)</t>
  </si>
  <si>
    <t>1998.11.</t>
  </si>
  <si>
    <t>https://new.land.naver.com/complexes/15438?tab=detail&amp;rf=Y</t>
  </si>
  <si>
    <t>충청북도 청주시 흥덕구 복대동 3034</t>
  </si>
  <si>
    <t>충청북도 청주시 흥덕구 증안로 108</t>
  </si>
  <si>
    <t>주은</t>
  </si>
  <si>
    <t>https://new.land.naver.com/complexes/23706?tab=detail&amp;rf=Y</t>
  </si>
  <si>
    <t>충청북도 청주시 흥덕구 복대동 221-12</t>
  </si>
  <si>
    <t>충청북도 청주시 흥덕구 죽천로143번길 19</t>
  </si>
  <si>
    <t>청주지웰시티푸르지오</t>
  </si>
  <si>
    <t>2019.10.</t>
  </si>
  <si>
    <t>https://new.land.naver.com/complexes/112420?tab=detail&amp;rf=Y</t>
  </si>
  <si>
    <t>충청북도 청주시 흥덕구 복대동 3404</t>
  </si>
  <si>
    <t>충청북도 청주시 흥덕구 대농로 45</t>
  </si>
  <si>
    <t>형석(992)</t>
  </si>
  <si>
    <t>1990.01.</t>
  </si>
  <si>
    <t>https://new.land.naver.com/complexes/7350?tab=detail&amp;rf=Y</t>
  </si>
  <si>
    <t>충청북도 청주시 흥덕구 복대동 992</t>
  </si>
  <si>
    <t>충청북도 청주시 흥덕구 복대로 159</t>
  </si>
  <si>
    <t>충대풀하우스(도시형)</t>
  </si>
  <si>
    <t>2014.02.</t>
  </si>
  <si>
    <t>29A</t>
  </si>
  <si>
    <t>https://new.land.naver.com/complexes/117869?tab=detail&amp;rf=Y</t>
  </si>
  <si>
    <t>충청북도 청주시 흥덕구 복대동 870-5</t>
  </si>
  <si>
    <t>충청북도 청주시 흥덕구 사직대로 62</t>
  </si>
  <si>
    <t>30B</t>
  </si>
  <si>
    <t>32A</t>
  </si>
  <si>
    <t>33B</t>
  </si>
  <si>
    <t>33C</t>
  </si>
  <si>
    <t>1999.06.</t>
  </si>
  <si>
    <t>https://new.land.naver.com/complexes/11555?tab=detail&amp;rf=Y</t>
  </si>
  <si>
    <t>충청북도 청주시 흥덕구 복대동 2606</t>
  </si>
  <si>
    <t>충청북도 청주시 흥덕구 짐대로 6</t>
  </si>
  <si>
    <t>삼보맨션</t>
  </si>
  <si>
    <t>1987.07.</t>
  </si>
  <si>
    <t>https://new.land.naver.com/complexes/125616?tab=detail&amp;rf=Y</t>
  </si>
  <si>
    <t>충청북도 청주시 흥덕구 복대동 857-1</t>
  </si>
  <si>
    <t>충청북도 청주시 흥덕구 내수동로33번길 6</t>
  </si>
  <si>
    <t>복대대원</t>
  </si>
  <si>
    <t>1999.10.</t>
  </si>
  <si>
    <t>https://new.land.naver.com/complexes/7318?tab=detail&amp;rf=Y</t>
  </si>
  <si>
    <t>충청북도 청주시 흥덕구 복대동 221-7</t>
  </si>
  <si>
    <t>충청북도 청주시 흥덕구 죽천로118번길 23</t>
  </si>
  <si>
    <t>신영지웰홈스</t>
  </si>
  <si>
    <t>2009.12.</t>
  </si>
  <si>
    <t>https://new.land.naver.com/complexes/26493?tab=detail&amp;rf=Y</t>
  </si>
  <si>
    <t>충청북도 청주시 흥덕구 복대동 3377</t>
  </si>
  <si>
    <t>충청북도 청주시 흥덕구 진재로103번길 37</t>
  </si>
  <si>
    <t>영조아름다운나날1차</t>
  </si>
  <si>
    <t>2003.10.</t>
  </si>
  <si>
    <t>https://new.land.naver.com/complexes/12832?tab=detail&amp;rf=Y</t>
  </si>
  <si>
    <t>충청북도 청주시 흥덕구 복대동 2456</t>
  </si>
  <si>
    <t>충청북도 청주시 흥덕구 증안로 21</t>
  </si>
  <si>
    <t>현대2차</t>
  </si>
  <si>
    <t>https://new.land.naver.com/complexes/7372?tab=detail&amp;rf=Y</t>
  </si>
  <si>
    <t>충청북도 청주시 흥덕구 복대동 3029</t>
  </si>
  <si>
    <t>충청북도 청주시 흥덕구 증안로 77</t>
  </si>
  <si>
    <t>청주복대두진하트리움2차</t>
  </si>
  <si>
    <t>2018.11.</t>
  </si>
  <si>
    <t>https://new.land.naver.com/complexes/113572?tab=detail&amp;rf=Y</t>
  </si>
  <si>
    <t>충청북도 청주시 흥덕구 복대동 3403</t>
  </si>
  <si>
    <t>충청북도 청주시 흥덕구 대신로73번길 50</t>
  </si>
  <si>
    <t>두산위브지웰시티2차</t>
  </si>
  <si>
    <t>2015.06.</t>
  </si>
  <si>
    <t>https://new.land.naver.com/complexes/104637?tab=detail&amp;rf=Y</t>
  </si>
  <si>
    <t>충청북도 청주시 흥덕구 복대동 3381</t>
  </si>
  <si>
    <t>충청북도 청주시 흥덕구 대농로 55</t>
  </si>
  <si>
    <t>1985.08.</t>
  </si>
  <si>
    <t>https://new.land.naver.com/complexes/114806?tab=detail&amp;rf=Y</t>
  </si>
  <si>
    <t>충청북도 청주시 흥덕구 복대동 162-4</t>
  </si>
  <si>
    <t>충청북도 청주시 흥덕구 내수동로12번길 6</t>
  </si>
  <si>
    <t>덕성</t>
  </si>
  <si>
    <t>https://new.land.naver.com/complexes/105262?tab=detail&amp;rf=Y</t>
  </si>
  <si>
    <t>충청북도 청주시 흥덕구 복대동 95-1</t>
  </si>
  <si>
    <t>세원</t>
  </si>
  <si>
    <t>1990.08.</t>
  </si>
  <si>
    <t>https://new.land.naver.com/complexes/7330?tab=detail&amp;rf=Y</t>
  </si>
  <si>
    <t>충청북도 청주시 흥덕구 복대동 2009</t>
  </si>
  <si>
    <t>충청북도 청주시 흥덕구 장구봉로101번길 45</t>
  </si>
  <si>
    <t>덕성그린</t>
  </si>
  <si>
    <t>https://new.land.naver.com/complexes/120407?tab=detail&amp;rf=Y</t>
  </si>
  <si>
    <t>충청북도 청주시 흥덕구 복대동 171-1</t>
  </si>
  <si>
    <t>충청북도 청주시 흥덕구 신율로180번길 34</t>
  </si>
  <si>
    <t>덕일</t>
  </si>
  <si>
    <t>1989.12.</t>
  </si>
  <si>
    <t>https://new.land.naver.com/complexes/13149?tab=detail&amp;rf=Y</t>
  </si>
  <si>
    <t>충청북도 청주시 흥덕구 복대동 993</t>
  </si>
  <si>
    <t>충청북도 청주시 흥덕구 복대로 149</t>
  </si>
  <si>
    <t>세원느티마을</t>
  </si>
  <si>
    <t>1999.09.</t>
  </si>
  <si>
    <t>https://new.land.naver.com/complexes/7335?tab=detail&amp;rf=Y</t>
  </si>
  <si>
    <t>충청북도 청주시 흥덕구 복대동 2461</t>
  </si>
  <si>
    <t>충청북도 청주시 흥덕구 진재로 67</t>
  </si>
  <si>
    <t>청송</t>
  </si>
  <si>
    <t>1981.05.</t>
  </si>
  <si>
    <t>https://new.land.naver.com/complexes/7343?tab=detail&amp;rf=Y</t>
  </si>
  <si>
    <t>충청북도 청주시 흥덕구 복대동 833-1</t>
  </si>
  <si>
    <t>충청북도 청주시 흥덕구 사직대로29번길 14</t>
  </si>
  <si>
    <t>포빌(도시형)</t>
  </si>
  <si>
    <t>2017.02.</t>
  </si>
  <si>
    <t>https://new.land.naver.com/complexes/114466?tab=detail&amp;rf=Y</t>
  </si>
  <si>
    <t>충청북도 청주시 흥덕구 복대동 853-5</t>
  </si>
  <si>
    <t>충청북도 청주시 흥덕구 사직대로 38</t>
  </si>
  <si>
    <t>31B-1</t>
  </si>
  <si>
    <t>31B-2</t>
  </si>
  <si>
    <t>39D-1</t>
  </si>
  <si>
    <t>63C</t>
  </si>
  <si>
    <t>64A-3</t>
  </si>
  <si>
    <t>64A-1</t>
  </si>
  <si>
    <t>65A-2</t>
  </si>
  <si>
    <t>현대(881-2)</t>
  </si>
  <si>
    <t>1985.11.</t>
  </si>
  <si>
    <t>https://new.land.naver.com/complexes/122998?tab=detail&amp;rf=Y</t>
  </si>
  <si>
    <t>충청북도 청주시 흥덕구 복대동 881-2</t>
  </si>
  <si>
    <t>충청북도 청주시 흥덕구 충대로14번길 28</t>
  </si>
  <si>
    <t>아름다운나날2차</t>
  </si>
  <si>
    <t>2004.11.</t>
  </si>
  <si>
    <t>https://new.land.naver.com/complexes/13560?tab=detail&amp;rf=Y</t>
  </si>
  <si>
    <t>충청북도 청주시 흥덕구 복대동 3033</t>
  </si>
  <si>
    <t>충청북도 청주시 흥덕구 증안로 100</t>
  </si>
  <si>
    <t>금호어울림1단지</t>
  </si>
  <si>
    <t>https://new.land.naver.com/complexes/26189?tab=detail&amp;rf=Y</t>
  </si>
  <si>
    <t>충청북도 청주시 흥덕구 복대동 3366</t>
  </si>
  <si>
    <t>충청북도 청주시 흥덕구 대신로73번길 14</t>
  </si>
  <si>
    <t>현대(908-2)</t>
  </si>
  <si>
    <t>1984.12.</t>
  </si>
  <si>
    <t>https://new.land.naver.com/complexes/126066?tab=detail&amp;rf=Y</t>
  </si>
  <si>
    <t>충청북도 청주시 흥덕구 복대동 908-2</t>
  </si>
  <si>
    <t>충청북도 청주시 흥덕구 사직대로82번길 20-1</t>
  </si>
  <si>
    <t>70B</t>
  </si>
  <si>
    <t>[봉명동]</t>
  </si>
  <si>
    <t>삼정(90-4)</t>
  </si>
  <si>
    <t>https://new.land.naver.com/complexes/15454?tab=detail&amp;rf=Y</t>
  </si>
  <si>
    <t>충청북도 청주시 흥덕구 봉명동 90-4</t>
  </si>
  <si>
    <t>봉명동</t>
  </si>
  <si>
    <t>충청북도 청주시 흥덕구 1순환로512번길 34-1</t>
  </si>
  <si>
    <t>초원</t>
  </si>
  <si>
    <t>https://new.land.naver.com/complexes/15463?tab=detail&amp;rf=Y</t>
  </si>
  <si>
    <t>충청북도 청주시 흥덕구 봉명동 2044</t>
  </si>
  <si>
    <t>충청북도 청주시 흥덕구 백봉로224번길 21</t>
  </si>
  <si>
    <t>2003.05.</t>
  </si>
  <si>
    <t>https://new.land.naver.com/complexes/12057?tab=detail&amp;rf=Y</t>
  </si>
  <si>
    <t>충청북도 청주시 흥덕구 봉명동 2758</t>
  </si>
  <si>
    <t>충청북도 청주시 흥덕구 덕암로30번길 19</t>
  </si>
  <si>
    <t>공영한솔빌리지</t>
  </si>
  <si>
    <t>1993.12.</t>
  </si>
  <si>
    <t>https://new.land.naver.com/complexes/135332?tab=detail&amp;rf=Y</t>
  </si>
  <si>
    <t>충청북도 청주시 흥덕구 봉명동 810-2</t>
  </si>
  <si>
    <t>충청북도 청주시 흥덕구 봉명로177번길 80</t>
  </si>
  <si>
    <t>아이제이포커스(도시형)</t>
  </si>
  <si>
    <t>2017.04.</t>
  </si>
  <si>
    <t>https://new.land.naver.com/complexes/116286?tab=detail&amp;rf=Y</t>
  </si>
  <si>
    <t>충청북도 청주시 흥덕구 봉명동 795</t>
  </si>
  <si>
    <t>충청북도 청주시 흥덕구 1순환로 571</t>
  </si>
  <si>
    <t>45C</t>
  </si>
  <si>
    <t>68A-1</t>
  </si>
  <si>
    <t>봉명(826)</t>
  </si>
  <si>
    <t>https://new.land.naver.com/complexes/123083?tab=detail&amp;rf=Y</t>
  </si>
  <si>
    <t>충청북도 청주시 흥덕구 봉명동 826</t>
  </si>
  <si>
    <t>충청북도 청주시 흥덕구 천석로 73</t>
  </si>
  <si>
    <t>봉명세원</t>
  </si>
  <si>
    <t>1993.07.</t>
  </si>
  <si>
    <t>https://new.land.naver.com/complexes/11517?tab=detail&amp;rf=Y</t>
  </si>
  <si>
    <t>충청북도 청주시 흥덕구 봉명동 2193</t>
  </si>
  <si>
    <t>충청북도 청주시 흥덕구 월명로 136</t>
  </si>
  <si>
    <t>봉명아이파크</t>
  </si>
  <si>
    <t>2005.03.</t>
  </si>
  <si>
    <t>https://new.land.naver.com/complexes/12020?tab=detail&amp;rf=Y</t>
  </si>
  <si>
    <t>충청북도 청주시 흥덕구 봉명동 2752</t>
  </si>
  <si>
    <t>충청북도 청주시 흥덕구 덕암로108번길 44</t>
  </si>
  <si>
    <t>푸른</t>
  </si>
  <si>
    <t>1994.12.</t>
  </si>
  <si>
    <t>https://new.land.naver.com/complexes/11628?tab=detail&amp;rf=Y</t>
  </si>
  <si>
    <t>충청북도 청주시 흥덕구 봉명동 1855</t>
  </si>
  <si>
    <t>충청북도 청주시 흥덕구 월명로 124</t>
  </si>
  <si>
    <t>주공1단지</t>
  </si>
  <si>
    <t>1983.12.</t>
  </si>
  <si>
    <t>https://new.land.naver.com/complexes/15444?tab=detail&amp;rf=Y</t>
  </si>
  <si>
    <t>충청북도 청주시 흥덕구 봉명동 172</t>
  </si>
  <si>
    <t>충청북도 청주시 흥덕구 월명로70번길 16</t>
  </si>
  <si>
    <t>삼정(90-8)</t>
  </si>
  <si>
    <t>https://new.land.naver.com/complexes/15456?tab=detail&amp;rf=Y</t>
  </si>
  <si>
    <t>충청북도 청주시 흥덕구 봉명동 90-8</t>
  </si>
  <si>
    <t>충청북도 청주시 흥덕구 1순환로512번길 32</t>
  </si>
  <si>
    <t>극동주얼리</t>
  </si>
  <si>
    <t>1991.11.</t>
  </si>
  <si>
    <t>https://new.land.naver.com/complexes/104975?tab=detail&amp;rf=Y</t>
  </si>
  <si>
    <t>충청북도 청주시 흥덕구 봉명동 1857</t>
  </si>
  <si>
    <t>충청북도 청주시 흥덕구 월명로 114</t>
  </si>
  <si>
    <t>백봉</t>
  </si>
  <si>
    <t>https://new.land.naver.com/complexes/15460?tab=detail&amp;rf=Y</t>
  </si>
  <si>
    <t>충청북도 청주시 흥덕구 봉명동 2043</t>
  </si>
  <si>
    <t>충청북도 청주시 흥덕구 백봉로224번길 7</t>
  </si>
  <si>
    <t>신라</t>
  </si>
  <si>
    <t>https://new.land.naver.com/complexes/101025?tab=detail&amp;rf=Y</t>
  </si>
  <si>
    <t>충청북도 청주시 흥덕구 봉명동 1603</t>
  </si>
  <si>
    <t>충청북도 청주시 흥덕구 과상미로9번길 102-14</t>
  </si>
  <si>
    <t>삼정백조</t>
  </si>
  <si>
    <t>1993.10.</t>
  </si>
  <si>
    <t>https://new.land.naver.com/complexes/9980?tab=detail&amp;rf=Y</t>
  </si>
  <si>
    <t>충청북도 청주시 흥덕구 봉명동 87</t>
  </si>
  <si>
    <t>충청북도 청주시 흥덕구 백봉로 244</t>
  </si>
  <si>
    <t>주공2단지</t>
  </si>
  <si>
    <t>https://new.land.naver.com/complexes/15445?tab=detail&amp;rf=Y</t>
  </si>
  <si>
    <t>충청북도 청주시 흥덕구 봉명동 1602</t>
  </si>
  <si>
    <t>충청북도 청주시 흥덕구 직지대로581번길 33-12</t>
  </si>
  <si>
    <t>하이젠시티(도시형)</t>
  </si>
  <si>
    <t>2015.08.</t>
  </si>
  <si>
    <t>https://new.land.naver.com/complexes/112598?tab=detail&amp;rf=Y</t>
  </si>
  <si>
    <t>충청북도 청주시 흥덕구 봉명동 757</t>
  </si>
  <si>
    <t>충청북도 청주시 흥덕구 직지대로 636</t>
  </si>
  <si>
    <t>신성스카이텔</t>
  </si>
  <si>
    <t>2002.02.</t>
  </si>
  <si>
    <t>https://new.land.naver.com/complexes/120270?tab=detail&amp;rf=Y</t>
  </si>
  <si>
    <t>충청북도 청주시 흥덕구 봉명동 222-11</t>
  </si>
  <si>
    <t>충청북도 청주시 흥덕구 1순환로608번길 12</t>
  </si>
  <si>
    <t>50A</t>
  </si>
  <si>
    <t>51B</t>
  </si>
  <si>
    <t>봉명베리굿(도시형)</t>
  </si>
  <si>
    <t>2020.09.</t>
  </si>
  <si>
    <t>65A1</t>
  </si>
  <si>
    <t>https://new.land.naver.com/complexes/132616?tab=detail&amp;rf=Y</t>
  </si>
  <si>
    <t>충청북도 청주시 흥덕구 봉명동 197-11</t>
  </si>
  <si>
    <t>충청북도 청주시 흥덕구 1순환로 592</t>
  </si>
  <si>
    <t>삼정맨숀(90-44)</t>
  </si>
  <si>
    <t>https://new.land.naver.com/complexes/113079?tab=detail&amp;rf=Y</t>
  </si>
  <si>
    <t>충청북도 청주시 흥덕구 봉명동 90-44</t>
  </si>
  <si>
    <t>충청북도 청주시 흥덕구 1순환로512번길 34-2</t>
  </si>
  <si>
    <t>더라움(도시형)</t>
  </si>
  <si>
    <t>2014.06.</t>
  </si>
  <si>
    <t>37B</t>
  </si>
  <si>
    <t>https://new.land.naver.com/complexes/118830?tab=detail&amp;rf=Y</t>
  </si>
  <si>
    <t>충청북도 청주시 흥덕구 봉명동 2319</t>
  </si>
  <si>
    <t>충청북도 청주시 흥덕구 송절로124번길 47</t>
  </si>
  <si>
    <t>43A</t>
  </si>
  <si>
    <t>43C</t>
  </si>
  <si>
    <t>43B</t>
  </si>
  <si>
    <t>50B</t>
  </si>
  <si>
    <t>51C</t>
  </si>
  <si>
    <t>52D</t>
  </si>
  <si>
    <t>54E</t>
  </si>
  <si>
    <t>54F</t>
  </si>
  <si>
    <t>55B</t>
  </si>
  <si>
    <t>67C</t>
  </si>
  <si>
    <t>69D</t>
  </si>
  <si>
    <t>69H</t>
  </si>
  <si>
    <t>70F</t>
  </si>
  <si>
    <t>70E</t>
  </si>
  <si>
    <t>70I</t>
  </si>
  <si>
    <t>70G</t>
  </si>
  <si>
    <t>75D</t>
  </si>
  <si>
    <t>75F</t>
  </si>
  <si>
    <t>76E</t>
  </si>
  <si>
    <t>76C</t>
  </si>
  <si>
    <t>83C</t>
  </si>
  <si>
    <t>83B</t>
  </si>
  <si>
    <t>86A</t>
  </si>
  <si>
    <t>90D</t>
  </si>
  <si>
    <t>91A</t>
  </si>
  <si>
    <t>92C</t>
  </si>
  <si>
    <t>92B</t>
  </si>
  <si>
    <t>92E</t>
  </si>
  <si>
    <t>94B</t>
  </si>
  <si>
    <t>94A</t>
  </si>
  <si>
    <t>[비하동]</t>
  </si>
  <si>
    <t>평화</t>
  </si>
  <si>
    <t>1988.09.</t>
  </si>
  <si>
    <t>https://new.land.naver.com/complexes/15464?tab=detail&amp;rf=Y</t>
  </si>
  <si>
    <t>충청북도 청주시 흥덕구 비하동 75-32</t>
  </si>
  <si>
    <t>충청북도 청주시 흥덕구 가로수로1132번길 10</t>
  </si>
  <si>
    <t>84A</t>
  </si>
  <si>
    <t>85B</t>
  </si>
  <si>
    <t>청주비하계룡리슈빌2차</t>
  </si>
  <si>
    <t>2009.11.</t>
  </si>
  <si>
    <t>https://new.land.naver.com/complexes/103456?tab=detail&amp;rf=Y</t>
  </si>
  <si>
    <t>충청북도 청주시 흥덕구 비하동 809</t>
  </si>
  <si>
    <t>충청북도 청주시 흥덕구 비하로57번길 37</t>
  </si>
  <si>
    <t>송곡그린</t>
  </si>
  <si>
    <t>2000.06.</t>
  </si>
  <si>
    <t>https://new.land.naver.com/complexes/11745?tab=detail&amp;rf=Y</t>
  </si>
  <si>
    <t>충청북도 청주시 흥덕구 비하동 311-4</t>
  </si>
  <si>
    <t>충청북도 청주시 흥덕구 2순환로 1036</t>
  </si>
  <si>
    <t>대주피오레1차</t>
  </si>
  <si>
    <t>2008.02.</t>
  </si>
  <si>
    <t>https://new.land.naver.com/complexes/25027?tab=detail&amp;rf=Y</t>
  </si>
  <si>
    <t>충청북도 청주시 흥덕구 비하동 295-40</t>
  </si>
  <si>
    <t>충청북도 청주시 흥덕구 부모산로 22</t>
  </si>
  <si>
    <t>115B</t>
  </si>
  <si>
    <t>청주비하대광로제비앙1차</t>
  </si>
  <si>
    <t>2018.02.</t>
  </si>
  <si>
    <t>https://new.land.naver.com/complexes/111881?tab=detail&amp;rf=Y</t>
  </si>
  <si>
    <t>충청북도 청주시 흥덕구 비하동 823</t>
  </si>
  <si>
    <t>충청북도 청주시 흥덕구 가로수로1131번길 11</t>
  </si>
  <si>
    <t>서청주파크자이</t>
  </si>
  <si>
    <t>https://new.land.naver.com/complexes/116558?tab=detail&amp;rf=Y</t>
  </si>
  <si>
    <t>충청북도 청주시 흥덕구 비하동 824</t>
  </si>
  <si>
    <t>충청북도 청주시 흥덕구 2순환로 1106</t>
  </si>
  <si>
    <t>삼일</t>
  </si>
  <si>
    <t>1990.06.</t>
  </si>
  <si>
    <t>https://new.land.naver.com/complexes/7473?tab=detail&amp;rf=Y</t>
  </si>
  <si>
    <t>충청북도 청주시 흥덕구 비하동 238-1</t>
  </si>
  <si>
    <t>충청북도 청주시 흥덕구 비하로63번길 24</t>
  </si>
  <si>
    <t>https://new.land.naver.com/complexes/121292?tab=detail&amp;rf=Y</t>
  </si>
  <si>
    <t>충청북도 청주시 흥덕구 비하동 64-4</t>
  </si>
  <si>
    <t>충청북도 청주시 흥덕구 가로수로1120번길 11</t>
  </si>
  <si>
    <t>비하효성2차</t>
  </si>
  <si>
    <t>https://new.land.naver.com/complexes/7482?tab=detail&amp;rf=Y</t>
  </si>
  <si>
    <t>충청북도 청주시 흥덕구 비하동 362</t>
  </si>
  <si>
    <t>충청북도 청주시 흥덕구 2순환로1050번길 24</t>
  </si>
  <si>
    <t>비하계룡리슈빌</t>
  </si>
  <si>
    <t>2006.09.</t>
  </si>
  <si>
    <t>https://new.land.naver.com/complexes/19182?tab=detail&amp;rf=Y</t>
  </si>
  <si>
    <t>충청북도 청주시 흥덕구 비하동 125</t>
  </si>
  <si>
    <t>충청북도 청주시 흥덕구 가로수로1131번길 101</t>
  </si>
  <si>
    <t>미림</t>
  </si>
  <si>
    <t>1990.07.</t>
  </si>
  <si>
    <t>https://new.land.naver.com/complexes/105199?tab=detail&amp;rf=Y</t>
  </si>
  <si>
    <t>충청북도 청주시 흥덕구 비하동 260-45</t>
  </si>
  <si>
    <t>충청북도 청주시 흥덕구 청향로 10</t>
  </si>
  <si>
    <t>효성1차</t>
  </si>
  <si>
    <t>1995.09.</t>
  </si>
  <si>
    <t>https://new.land.naver.com/complexes/7478?tab=detail&amp;rf=Y</t>
  </si>
  <si>
    <t>충청북도 청주시 흥덕구 비하동 300</t>
  </si>
  <si>
    <t>충청북도 청주시 흥덕구 2순환로1050번길 13-14</t>
  </si>
  <si>
    <t>송정</t>
  </si>
  <si>
    <t>2002.05.</t>
  </si>
  <si>
    <t>https://new.land.naver.com/complexes/107146?tab=detail&amp;rf=Y</t>
  </si>
  <si>
    <t>충청북도 청주시 흥덕구 비하동 161</t>
  </si>
  <si>
    <t>충청북도 청주시 흥덕구 비하로57번길 38-7</t>
  </si>
  <si>
    <t>대주피오레2차</t>
  </si>
  <si>
    <t>https://new.land.naver.com/complexes/26494?tab=detail&amp;rf=Y</t>
  </si>
  <si>
    <t>충청북도 청주시 흥덕구 비하동 367</t>
  </si>
  <si>
    <t>충청북도 청주시 흥덕구 2순환로1050번길 58</t>
  </si>
  <si>
    <t>청주비하대광로제비앙2차</t>
  </si>
  <si>
    <t>https://new.land.naver.com/complexes/111882?tab=detail&amp;rf=Y</t>
  </si>
  <si>
    <t>충청북도 청주시 흥덕구 비하동 819</t>
  </si>
  <si>
    <t>충청북도 청주시 흥덕구 가로수로1131번길 12</t>
  </si>
  <si>
    <t>[송절동]</t>
  </si>
  <si>
    <t>청주테크노폴리스푸르지오</t>
  </si>
  <si>
    <t>https://new.land.naver.com/complexes/115428?tab=detail&amp;rf=Y</t>
  </si>
  <si>
    <t>충청북도 청주시 흥덕구 송절동 851</t>
  </si>
  <si>
    <t>충청북도 청주시 흥덕구 송화로214번길 7</t>
  </si>
  <si>
    <t>청주테크노폴리스지웰</t>
  </si>
  <si>
    <t>https://new.land.naver.com/complexes/119895?tab=detail&amp;rf=Y</t>
  </si>
  <si>
    <t>충청북도 청주시 흥덕구 송절동 690</t>
  </si>
  <si>
    <t>충청북도 청주시 흥덕구 송화로108번길 42</t>
  </si>
  <si>
    <t>청주테크노폴리스우방아이유쉘1단지</t>
  </si>
  <si>
    <t>https://new.land.naver.com/complexes/115388?tab=detail&amp;rf=Y</t>
  </si>
  <si>
    <t>충청북도 청주시 흥덕구 송절동 842</t>
  </si>
  <si>
    <t>충청북도 청주시 흥덕구 송화로184번길 7</t>
  </si>
  <si>
    <t>청주테크노폴리스우방아이유쉘2단지</t>
  </si>
  <si>
    <t>https://new.land.naver.com/complexes/115389?tab=detail&amp;rf=Y</t>
  </si>
  <si>
    <t>충청북도 청주시 흥덕구 송절동 846</t>
  </si>
  <si>
    <t>충청북도 청주시 흥덕구 송화로108번길 111</t>
  </si>
  <si>
    <t>테크노폴리스우미린</t>
  </si>
  <si>
    <t>2018.07.</t>
  </si>
  <si>
    <t>https://new.land.naver.com/complexes/112540?tab=detail&amp;rf=Y</t>
  </si>
  <si>
    <t>충청북도 청주시 흥덕구 송절동 850</t>
  </si>
  <si>
    <t>충청북도 청주시 흥덕구 송화로214번길 29</t>
  </si>
  <si>
    <t>[신봉동]</t>
  </si>
  <si>
    <t>삼성(159)</t>
  </si>
  <si>
    <t>https://new.land.naver.com/complexes/7433?tab=detail&amp;rf=Y</t>
  </si>
  <si>
    <t>충청북도 청주시 흥덕구 신봉동 159</t>
  </si>
  <si>
    <t>신봉동</t>
  </si>
  <si>
    <t>충청북도 청주시 흥덕구 사운로 335</t>
  </si>
  <si>
    <t>두진백로</t>
  </si>
  <si>
    <t>https://new.land.naver.com/complexes/7427?tab=detail&amp;rf=Y</t>
  </si>
  <si>
    <t>충청북도 청주시 흥덕구 신봉동 35-1</t>
  </si>
  <si>
    <t>충청북도 청주시 흥덕구 사운로324번길 14</t>
  </si>
  <si>
    <t>청주신봉우림필유</t>
  </si>
  <si>
    <t>2007.10.</t>
  </si>
  <si>
    <t>https://new.land.naver.com/complexes/26213?tab=detail&amp;rf=Y</t>
  </si>
  <si>
    <t>충청북도 청주시 흥덕구 신봉동 177</t>
  </si>
  <si>
    <t>충청북도 청주시 흥덕구 사운로359번길 13</t>
  </si>
  <si>
    <t>한성</t>
  </si>
  <si>
    <t>https://new.land.naver.com/complexes/15475?tab=detail&amp;rf=Y</t>
  </si>
  <si>
    <t>충청북도 청주시 흥덕구 신봉동 529</t>
  </si>
  <si>
    <t>충청북도 청주시 흥덕구 1순환로 451</t>
  </si>
  <si>
    <t>삼성(167)</t>
  </si>
  <si>
    <t>https://new.land.naver.com/complexes/109147?tab=detail&amp;rf=Y</t>
  </si>
  <si>
    <t>충청북도 청주시 흥덕구 신봉동 167</t>
  </si>
  <si>
    <t>충청북도 청주시 흥덕구 사운로 318</t>
  </si>
  <si>
    <t>주공</t>
  </si>
  <si>
    <t>1986.11.</t>
  </si>
  <si>
    <t>https://new.land.naver.com/complexes/7438?tab=detail&amp;rf=Y</t>
  </si>
  <si>
    <t>충청북도 청주시 흥덕구 신봉동 528</t>
  </si>
  <si>
    <t>충청북도 청주시 흥덕구 1순환로501번길 15</t>
  </si>
  <si>
    <t>1995.07.</t>
  </si>
  <si>
    <t>https://new.land.naver.com/complexes/13906?tab=detail&amp;rf=Y</t>
  </si>
  <si>
    <t>충청북도 청주시 흥덕구 신봉동 310</t>
  </si>
  <si>
    <t>충청북도 청주시 흥덕구 1순환로513번길 33</t>
  </si>
  <si>
    <t>[오송읍]</t>
  </si>
  <si>
    <t>오송힐데스하임</t>
  </si>
  <si>
    <t>2010.10.</t>
  </si>
  <si>
    <t>https://new.land.naver.com/complexes/26632?tab=detail&amp;rf=Y</t>
  </si>
  <si>
    <t>충청북도 청주시 흥덕구 오송읍 연제리 700</t>
  </si>
  <si>
    <t>충청북도 청주시 흥덕구 오송생명1로 152</t>
  </si>
  <si>
    <t>오송상록롯데캐슬</t>
  </si>
  <si>
    <t>2010.09.</t>
  </si>
  <si>
    <t>https://new.land.naver.com/complexes/100700?tab=detail&amp;rf=Y</t>
  </si>
  <si>
    <t>충청북도 청주시 흥덕구 오송읍 731</t>
  </si>
  <si>
    <t>충청북도 청주시 흥덕구 오송생명5로 202</t>
  </si>
  <si>
    <t>KTX오송역대광로제비앙</t>
  </si>
  <si>
    <t>https://new.land.naver.com/complexes/137220?tab=detail&amp;rf=Y</t>
  </si>
  <si>
    <t>충청북도 청주시 흥덕구 오송읍 봉산리 1510</t>
  </si>
  <si>
    <t>84C</t>
  </si>
  <si>
    <t>삼진</t>
  </si>
  <si>
    <t>1996.04.</t>
  </si>
  <si>
    <t>https://new.land.naver.com/complexes/101183?tab=detail&amp;rf=Y</t>
  </si>
  <si>
    <t>충청북도 청주시 흥덕구 오송읍 궁평리 271-3</t>
  </si>
  <si>
    <t>충청북도 청주시 흥덕구 궁평길 117-3</t>
  </si>
  <si>
    <t>오송마을휴먼시아2단지</t>
  </si>
  <si>
    <t>2009.07.</t>
  </si>
  <si>
    <t>https://new.land.naver.com/complexes/102183?tab=detail&amp;rf=Y</t>
  </si>
  <si>
    <t>충청북도 청주시 흥덕구 오송읍 만수리 549</t>
  </si>
  <si>
    <t>충청북도 청주시 흥덕구 오송생명5로 201</t>
  </si>
  <si>
    <t>109D</t>
  </si>
  <si>
    <t>109B1</t>
  </si>
  <si>
    <t>진흥</t>
  </si>
  <si>
    <t>https://new.land.naver.com/complexes/103910?tab=detail&amp;rf=Y</t>
  </si>
  <si>
    <t>충청북도 청주시 흥덕구 오송읍 오송리 176-6</t>
  </si>
  <si>
    <t>충청북도 청주시 흥덕구 오송길 37</t>
  </si>
  <si>
    <t>64A</t>
  </si>
  <si>
    <t>보영2차</t>
  </si>
  <si>
    <t>1995.06.</t>
  </si>
  <si>
    <t>https://new.land.naver.com/complexes/15373?tab=detail&amp;rf=Y</t>
  </si>
  <si>
    <t>충청북도 청주시 흥덕구 오송읍 서평리 29-3</t>
  </si>
  <si>
    <t>충청북도 청주시 흥덕구 동평서평길 52</t>
  </si>
  <si>
    <t>오송역파라곤센트럴시티</t>
  </si>
  <si>
    <t>2023.06.</t>
  </si>
  <si>
    <t>85C</t>
  </si>
  <si>
    <t>https://new.land.naver.com/complexes/142018?tab=detail&amp;rf=Y</t>
  </si>
  <si>
    <t>충청북도 청주시 흥덕구 오송읍 봉산리 오송바이오폴리스지구 B2블럭</t>
  </si>
  <si>
    <t>85A</t>
  </si>
  <si>
    <t>85D</t>
  </si>
  <si>
    <t>삼부청솔</t>
  </si>
  <si>
    <t>1996.02.</t>
  </si>
  <si>
    <t>https://new.land.naver.com/complexes/25529?tab=detail&amp;rf=Y</t>
  </si>
  <si>
    <t>충청북도 청주시 흥덕구 오송읍 봉산리 612-6</t>
  </si>
  <si>
    <t>충청북도 청주시 흥덕구 가로수로 11-8</t>
  </si>
  <si>
    <t>모아미래도</t>
  </si>
  <si>
    <t>2010.11.</t>
  </si>
  <si>
    <t>https://new.land.naver.com/complexes/100391?tab=detail&amp;rf=Y</t>
  </si>
  <si>
    <t>충청북도 청주시 흥덕구 오송읍 연제리 726</t>
  </si>
  <si>
    <t>충청북도 청주시 흥덕구 오송생명3로 87</t>
  </si>
  <si>
    <t>오송역동아라이크텐</t>
  </si>
  <si>
    <t>2020.05.</t>
  </si>
  <si>
    <t>100A</t>
  </si>
  <si>
    <t>https://new.land.naver.com/complexes/117313?tab=detail&amp;rf=Y</t>
  </si>
  <si>
    <t>충청북도 청주시 흥덕구 오송읍 봉산리 1527</t>
  </si>
  <si>
    <t>충청북도 청주시 흥덕구 오송생명14로 215</t>
  </si>
  <si>
    <t>오송호반베르디움</t>
  </si>
  <si>
    <t>2010.08.</t>
  </si>
  <si>
    <t>https://new.land.naver.com/complexes/26318?tab=detail&amp;rf=Y</t>
  </si>
  <si>
    <t>충청북도 청주시 흥덕구 오송읍 연제리 736</t>
  </si>
  <si>
    <t>충청북도 청주시 흥덕구 오송생명3로 111</t>
  </si>
  <si>
    <t>오송대원칸타빌</t>
  </si>
  <si>
    <t>2011.03.</t>
  </si>
  <si>
    <t>https://new.land.naver.com/complexes/101276?tab=detail&amp;rf=Y</t>
  </si>
  <si>
    <t>충청북도 청주시 흥덕구 오송읍 연제리 740</t>
  </si>
  <si>
    <t>충청북도 청주시 흥덕구 연제만수길 15</t>
  </si>
  <si>
    <t>개나리</t>
  </si>
  <si>
    <t>https://new.land.naver.com/complexes/15374?tab=detail&amp;rf=Y</t>
  </si>
  <si>
    <t>충청북도 청주시 흥덕구 오송읍 정중리 562-8</t>
  </si>
  <si>
    <t>충청북도 청주시 흥덕구 정중연제로 24-5</t>
  </si>
  <si>
    <t>강외재원</t>
  </si>
  <si>
    <t>1996.06.</t>
  </si>
  <si>
    <t>https://new.land.naver.com/complexes/24261?tab=detail&amp;rf=Y</t>
  </si>
  <si>
    <t>충청북도 청주시 흥덕구 오송읍 오송리 263-3</t>
  </si>
  <si>
    <t>충청북도 청주시 흥덕구 가로수로 162</t>
  </si>
  <si>
    <t>그린나래</t>
  </si>
  <si>
    <t>2006.04.</t>
  </si>
  <si>
    <t>https://new.land.naver.com/complexes/109064?tab=detail&amp;rf=Y</t>
  </si>
  <si>
    <t>충청북도 청주시 흥덕구 오송읍 서평리 621-4</t>
  </si>
  <si>
    <t>충청북도 청주시 흥덕구 서평길 31-9</t>
  </si>
  <si>
    <t>[옥산면]</t>
  </si>
  <si>
    <t>화인테크노빌</t>
  </si>
  <si>
    <t>https://new.land.naver.com/complexes/15386?tab=detail&amp;rf=Y</t>
  </si>
  <si>
    <t>충청북도 청주시 흥덕구 옥산면 가락리 455-1</t>
  </si>
  <si>
    <t>옥산면</t>
  </si>
  <si>
    <t>충청북도 청주시 흥덕구 오송가락로 937</t>
  </si>
  <si>
    <t>대창</t>
  </si>
  <si>
    <t>1992.06.</t>
  </si>
  <si>
    <t>https://new.land.naver.com/complexes/121170?tab=detail&amp;rf=Y</t>
  </si>
  <si>
    <t>충청북도 청주시 흥덕구 옥산면 오산리 384-2</t>
  </si>
  <si>
    <t>충청북도 청주시 흥덕구 옥산시내1길 3-3</t>
  </si>
  <si>
    <t>삼영</t>
  </si>
  <si>
    <t>1989..</t>
  </si>
  <si>
    <t>https://new.land.naver.com/complexes/107318?tab=detail&amp;rf=Y</t>
  </si>
  <si>
    <t>충청북도 청주시 흥덕구 옥산면 오산리 159-2</t>
  </si>
  <si>
    <t>충청북도 청주시 흥덕구 청주역로 703</t>
  </si>
  <si>
    <t>옥산금정1차</t>
  </si>
  <si>
    <t>1997.10.</t>
  </si>
  <si>
    <t>https://new.land.naver.com/complexes/17227?tab=detail&amp;rf=Y</t>
  </si>
  <si>
    <t>충청북도 청주시 흥덕구 옥산면 오산리 589-1</t>
  </si>
  <si>
    <t>충청북도 청주시 흥덕구 오송가락로 760</t>
  </si>
  <si>
    <t>옥산삼덕</t>
  </si>
  <si>
    <t>1992.08.</t>
  </si>
  <si>
    <t>https://new.land.naver.com/complexes/120219?tab=detail&amp;rf=Y</t>
  </si>
  <si>
    <t>충청북도 청주시 흥덕구 옥산면 오산리 159-4</t>
  </si>
  <si>
    <t>충청북도 청주시 흥덕구 청주역로 697</t>
  </si>
  <si>
    <t>아트빌</t>
  </si>
  <si>
    <t>https://new.land.naver.com/complexes/17228?tab=detail&amp;rf=Y</t>
  </si>
  <si>
    <t>충청북도 청주시 흥덕구 옥산면 오산리 590-1</t>
  </si>
  <si>
    <t>충청북도 청주시 흥덕구 오송가락로 718</t>
  </si>
  <si>
    <t>흥덕코오롱하늘채</t>
  </si>
  <si>
    <t>2016.11.</t>
  </si>
  <si>
    <t>https://new.land.naver.com/complexes/109403?tab=detail&amp;rf=Y</t>
  </si>
  <si>
    <t>충청북도 청주시 흥덕구 옥산면 가락리 953</t>
  </si>
  <si>
    <t>충청북도 청주시 흥덕구 가락길 60</t>
  </si>
  <si>
    <t>청주리버파크자이</t>
  </si>
  <si>
    <t>2019.07.</t>
  </si>
  <si>
    <t>https://new.land.naver.com/complexes/116749?tab=detail&amp;rf=Y</t>
  </si>
  <si>
    <t>충청북도 청주시 흥덕구 옥산면 가락리 981</t>
  </si>
  <si>
    <t>충청북도 청주시 흥덕구 오송가락로 1056</t>
  </si>
  <si>
    <t>115A</t>
  </si>
  <si>
    <t>116B</t>
  </si>
  <si>
    <t>116C</t>
  </si>
  <si>
    <t>옥산한울</t>
  </si>
  <si>
    <t>https://new.land.naver.com/complexes/15384?tab=detail&amp;rf=Y</t>
  </si>
  <si>
    <t>충청북도 청주시 흥덕구 옥산면 오산리 160-1</t>
  </si>
  <si>
    <t>충청북도 청주시 흥덕구 청주역로 705</t>
  </si>
  <si>
    <t>옥산금정2차</t>
  </si>
  <si>
    <t>https://new.land.naver.com/complexes/11566?tab=detail&amp;rf=Y</t>
  </si>
  <si>
    <t>충청북도 청주시 흥덕구 옥산면 오산리 589-5</t>
  </si>
  <si>
    <t>충청북도 청주시 흥덕구 오송가락로 752</t>
  </si>
  <si>
    <t>옥산한울2차</t>
  </si>
  <si>
    <t>1994.07.</t>
  </si>
  <si>
    <t>https://new.land.naver.com/complexes/15385?tab=detail&amp;rf=Y</t>
  </si>
  <si>
    <t>충청북도 청주시 흥덕구 옥산면 오산리 247-1</t>
  </si>
  <si>
    <t>충청북도 청주시 흥덕구 오산5길 13</t>
  </si>
  <si>
    <t>대신</t>
  </si>
  <si>
    <t>https://new.land.naver.com/complexes/15383?tab=detail&amp;rf=Y</t>
  </si>
  <si>
    <t>충청북도 청주시 흥덕구 옥산면 오산리 384-17</t>
  </si>
  <si>
    <t>충청북도 청주시 흥덕구 옥산시내1길 3-6</t>
  </si>
  <si>
    <t>[운천동]</t>
  </si>
  <si>
    <t>일심</t>
  </si>
  <si>
    <t>1984.07.</t>
  </si>
  <si>
    <t>https://new.land.naver.com/complexes/127085?tab=detail&amp;rf=Y</t>
  </si>
  <si>
    <t>충청북도 청주시 흥덕구 운천동 536-1</t>
  </si>
  <si>
    <t>운천동</t>
  </si>
  <si>
    <t>충청북도 청주시 흥덕구 무심서로 741</t>
  </si>
  <si>
    <t>형석</t>
  </si>
  <si>
    <t>1987.11.</t>
  </si>
  <si>
    <t>https://new.land.naver.com/complexes/7461?tab=detail&amp;rf=Y</t>
  </si>
  <si>
    <t>충청북도 청주시 흥덕구 운천동 676</t>
  </si>
  <si>
    <t>충청북도 청주시 흥덕구 사운로 283</t>
  </si>
  <si>
    <t>1986.10.</t>
  </si>
  <si>
    <t>https://new.land.naver.com/complexes/7454?tab=detail&amp;rf=Y</t>
  </si>
  <si>
    <t>충청북도 청주시 흥덕구 운천동 677</t>
  </si>
  <si>
    <t>충청북도 청주시 흥덕구 사운로 267</t>
  </si>
  <si>
    <t>운천거성하모니</t>
  </si>
  <si>
    <t>2016.01.</t>
  </si>
  <si>
    <t>19A</t>
  </si>
  <si>
    <t>https://new.land.naver.com/complexes/120489?tab=detail&amp;rf=Y</t>
  </si>
  <si>
    <t>충청북도 청주시 흥덕구 운천동 556-3</t>
  </si>
  <si>
    <t>충청북도 청주시 흥덕구 사운로 294-2</t>
  </si>
  <si>
    <t>20B</t>
  </si>
  <si>
    <t>26A</t>
  </si>
  <si>
    <t>28C</t>
  </si>
  <si>
    <t>진양</t>
  </si>
  <si>
    <t>1986.09.</t>
  </si>
  <si>
    <t>https://new.land.naver.com/complexes/7459?tab=detail&amp;rf=Y</t>
  </si>
  <si>
    <t>충청북도 청주시 흥덕구 운천동 677-1</t>
  </si>
  <si>
    <t>충청북도 청주시 흥덕구 사운로 257</t>
  </si>
  <si>
    <t>61A</t>
  </si>
  <si>
    <t>무지개</t>
  </si>
  <si>
    <t>1994.08.</t>
  </si>
  <si>
    <t>https://new.land.naver.com/complexes/7450?tab=detail&amp;rf=Y</t>
  </si>
  <si>
    <t>충청북도 청주시 흥덕구 운천동 577</t>
  </si>
  <si>
    <t>충청북도 청주시 흥덕구 사운로 278</t>
  </si>
  <si>
    <t>추출대상</t>
  </si>
  <si>
    <t>매전갭</t>
  </si>
  <si>
    <t>'08.07.</t>
  </si>
  <si>
    <t>'02.12.</t>
  </si>
  <si>
    <t>'22.03.</t>
  </si>
  <si>
    <t>'20.11.</t>
  </si>
  <si>
    <t>24</t>
  </si>
  <si>
    <t>'08.09.</t>
  </si>
  <si>
    <t>'97.07.</t>
  </si>
  <si>
    <t>'92.11.</t>
  </si>
  <si>
    <t>'06.01.</t>
  </si>
  <si>
    <t>'98.06.</t>
  </si>
  <si>
    <t>'05.10.</t>
  </si>
  <si>
    <t>'21.05.</t>
  </si>
  <si>
    <t>'20.02.</t>
  </si>
  <si>
    <t>'05.09.</t>
  </si>
  <si>
    <t>'23.02.</t>
  </si>
  <si>
    <t>'93.01.</t>
  </si>
  <si>
    <t>'19.04.</t>
  </si>
  <si>
    <t>'93.11.</t>
  </si>
  <si>
    <t>'97.08.</t>
  </si>
  <si>
    <t>'92.12.</t>
  </si>
  <si>
    <t>'97.06.</t>
  </si>
  <si>
    <t>'93.05.</t>
  </si>
  <si>
    <t>'08.08.</t>
  </si>
  <si>
    <t>'99.01.</t>
  </si>
  <si>
    <t>'97.12.</t>
  </si>
  <si>
    <t>'96.12.</t>
  </si>
  <si>
    <t>'07.08.</t>
  </si>
  <si>
    <t>'01.06.</t>
  </si>
  <si>
    <t>'18.08.</t>
  </si>
  <si>
    <t>'90.11.</t>
  </si>
  <si>
    <t>'00.10.</t>
  </si>
  <si>
    <t>'17.11.</t>
  </si>
  <si>
    <t>'19.09.</t>
  </si>
  <si>
    <t>'92.03.</t>
  </si>
  <si>
    <t>'16.06.</t>
  </si>
  <si>
    <t>'22.05.</t>
  </si>
  <si>
    <t>21</t>
  </si>
  <si>
    <t>'90.10.</t>
  </si>
  <si>
    <t>'90.09.</t>
  </si>
  <si>
    <t>'99.05.</t>
  </si>
  <si>
    <t>'99.08.</t>
  </si>
  <si>
    <t>'10.06.</t>
  </si>
  <si>
    <t>'01.12.</t>
  </si>
  <si>
    <t>'24.03.</t>
  </si>
  <si>
    <t>'15.11.</t>
  </si>
  <si>
    <t>'09.02.</t>
  </si>
  <si>
    <t>'98.11.</t>
  </si>
  <si>
    <t>'19.10.</t>
  </si>
  <si>
    <t>'90.01.</t>
  </si>
  <si>
    <t>'99.06.</t>
  </si>
  <si>
    <t>'99.10.</t>
  </si>
  <si>
    <t>'09.12.</t>
  </si>
  <si>
    <t>'03.10.</t>
  </si>
  <si>
    <t>'18.11.</t>
  </si>
  <si>
    <t>'15.06.</t>
  </si>
  <si>
    <t>'91.12.</t>
  </si>
  <si>
    <t>'90.08.</t>
  </si>
  <si>
    <t>'89.12.</t>
  </si>
  <si>
    <t>'99.09.</t>
  </si>
  <si>
    <t>'04.11.</t>
  </si>
  <si>
    <t>'03.05.</t>
  </si>
  <si>
    <t>'93.07.</t>
  </si>
  <si>
    <t>'05.03.</t>
  </si>
  <si>
    <t>'94.12.</t>
  </si>
  <si>
    <t>'83.12.</t>
  </si>
  <si>
    <t>'85.11.</t>
  </si>
  <si>
    <t>'85.12.</t>
  </si>
  <si>
    <t>'09.11.</t>
  </si>
  <si>
    <t>'18.02.</t>
  </si>
  <si>
    <t>'90.06.</t>
  </si>
  <si>
    <t>'06.09.</t>
  </si>
  <si>
    <t>'95.09.</t>
  </si>
  <si>
    <t>'18.07.</t>
  </si>
  <si>
    <t>'07.10.</t>
  </si>
  <si>
    <t>'87.07.</t>
  </si>
  <si>
    <t>'86.11.</t>
  </si>
  <si>
    <t>'95.07.</t>
  </si>
  <si>
    <t>'10.10.</t>
  </si>
  <si>
    <t>'10.09.</t>
  </si>
  <si>
    <t>동명</t>
  </si>
  <si>
    <t>'19.04</t>
  </si>
  <si>
    <t>가경동 가로수마을선광로즈웰</t>
    <phoneticPr fontId="2" type="noConversion"/>
  </si>
  <si>
    <t>08.07.</t>
    <phoneticPr fontId="2" type="noConversion"/>
  </si>
  <si>
    <t>가경동 가로수마을선광로즈웰</t>
    <phoneticPr fontId="2" type="noConversion"/>
  </si>
  <si>
    <t>가경동 가경주공2단지</t>
    <phoneticPr fontId="2" type="noConversion"/>
  </si>
  <si>
    <t>02.12.</t>
    <phoneticPr fontId="2" type="noConversion"/>
  </si>
  <si>
    <t>02.12.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</si>
  <si>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</si>
  <si>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</si>
  <si>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청주가경아이파크4단지</t>
    <phoneticPr fontId="2" type="noConversion"/>
  </si>
  <si>
    <t>가경동 가경자이</t>
    <phoneticPr fontId="2" type="noConversion"/>
  </si>
  <si>
    <t>20.11.</t>
    <phoneticPr fontId="2" type="noConversion"/>
  </si>
  <si>
    <t>가경동 가경자이</t>
    <phoneticPr fontId="2" type="noConversion"/>
  </si>
  <si>
    <t>가경동 가경자이</t>
    <phoneticPr fontId="2" type="noConversion"/>
  </si>
  <si>
    <t>20.11.</t>
    <phoneticPr fontId="2" type="noConversion"/>
  </si>
  <si>
    <t>가경동 가경e-편한세상</t>
    <phoneticPr fontId="2" type="noConversion"/>
  </si>
  <si>
    <t>08.09.</t>
    <phoneticPr fontId="2" type="noConversion"/>
  </si>
  <si>
    <t>가경동 가경e-편한세상</t>
    <phoneticPr fontId="2" type="noConversion"/>
  </si>
  <si>
    <t>08.09.</t>
    <phoneticPr fontId="2" type="noConversion"/>
  </si>
  <si>
    <t>가경동 가경e-편한세상</t>
    <phoneticPr fontId="2" type="noConversion"/>
  </si>
  <si>
    <t>08.09.</t>
    <phoneticPr fontId="2" type="noConversion"/>
  </si>
  <si>
    <t>가경동 가경대원</t>
    <phoneticPr fontId="2" type="noConversion"/>
  </si>
  <si>
    <t>97.07.</t>
    <phoneticPr fontId="2" type="noConversion"/>
  </si>
  <si>
    <t>가경동 가경대원</t>
    <phoneticPr fontId="2" type="noConversion"/>
  </si>
  <si>
    <t>97.07.</t>
    <phoneticPr fontId="2" type="noConversion"/>
  </si>
  <si>
    <t>가경동 가경세원2차</t>
    <phoneticPr fontId="2" type="noConversion"/>
  </si>
  <si>
    <t>92.11.</t>
    <phoneticPr fontId="2" type="noConversion"/>
  </si>
  <si>
    <t>가경동 가경푸르지오</t>
    <phoneticPr fontId="2" type="noConversion"/>
  </si>
  <si>
    <t>06.01.</t>
    <phoneticPr fontId="2" type="noConversion"/>
  </si>
  <si>
    <t>가경동 가경푸르지오</t>
    <phoneticPr fontId="2" type="noConversion"/>
  </si>
  <si>
    <t>가경동 가경푸르지오</t>
    <phoneticPr fontId="2" type="noConversion"/>
  </si>
  <si>
    <t>06.01.</t>
    <phoneticPr fontId="2" type="noConversion"/>
  </si>
  <si>
    <t>가경동 가경태암수정</t>
    <phoneticPr fontId="2" type="noConversion"/>
  </si>
  <si>
    <t>97.07.</t>
    <phoneticPr fontId="2" type="noConversion"/>
  </si>
  <si>
    <t>가경동 동부</t>
    <phoneticPr fontId="2" type="noConversion"/>
  </si>
  <si>
    <t>98.06.</t>
    <phoneticPr fontId="2" type="noConversion"/>
  </si>
  <si>
    <t>가경동 동부</t>
    <phoneticPr fontId="2" type="noConversion"/>
  </si>
  <si>
    <t>가경동 청주가경뜨란채8단지</t>
    <phoneticPr fontId="2" type="noConversion"/>
  </si>
  <si>
    <t>05.10.</t>
    <phoneticPr fontId="2" type="noConversion"/>
  </si>
  <si>
    <t>가경동 청주가경아이파크3단지</t>
    <phoneticPr fontId="2" type="noConversion"/>
  </si>
  <si>
    <t>21.05.</t>
    <phoneticPr fontId="2" type="noConversion"/>
  </si>
  <si>
    <t>가경동 청주가경아이파크2단지</t>
    <phoneticPr fontId="2" type="noConversion"/>
  </si>
  <si>
    <t>20.02.</t>
    <phoneticPr fontId="2" type="noConversion"/>
  </si>
  <si>
    <t>가경동 청주가경아이파크2단지</t>
    <phoneticPr fontId="2" type="noConversion"/>
  </si>
  <si>
    <t>20.02.</t>
    <phoneticPr fontId="2" type="noConversion"/>
  </si>
  <si>
    <t>가경동 청주가경뜨란채7단지</t>
    <phoneticPr fontId="2" type="noConversion"/>
  </si>
  <si>
    <t>05.09.</t>
    <phoneticPr fontId="2" type="noConversion"/>
  </si>
  <si>
    <t>가경동 청주가경뜨란채7단지</t>
    <phoneticPr fontId="2" type="noConversion"/>
  </si>
  <si>
    <t>05.09.</t>
    <phoneticPr fontId="2" type="noConversion"/>
  </si>
  <si>
    <t>가경동 가경아이파크5단지</t>
    <phoneticPr fontId="2" type="noConversion"/>
  </si>
  <si>
    <t>23.02.</t>
    <phoneticPr fontId="2" type="noConversion"/>
  </si>
  <si>
    <t>가경동 가경아이파크5단지</t>
    <phoneticPr fontId="2" type="noConversion"/>
  </si>
  <si>
    <t>23.02.</t>
    <phoneticPr fontId="2" type="noConversion"/>
  </si>
  <si>
    <t>가경동 대림가경</t>
    <phoneticPr fontId="2" type="noConversion"/>
  </si>
  <si>
    <t>93.01.</t>
    <phoneticPr fontId="2" type="noConversion"/>
  </si>
  <si>
    <t>가경동 청주가경아이파크</t>
    <phoneticPr fontId="2" type="noConversion"/>
  </si>
  <si>
    <t>19.04.</t>
    <phoneticPr fontId="2" type="noConversion"/>
  </si>
  <si>
    <t>가경동 가경형석2차</t>
    <phoneticPr fontId="2" type="noConversion"/>
  </si>
  <si>
    <t>93.11.</t>
    <phoneticPr fontId="2" type="noConversion"/>
  </si>
  <si>
    <t>가경동 세원가경골</t>
    <phoneticPr fontId="2" type="noConversion"/>
  </si>
  <si>
    <t>97.08.</t>
    <phoneticPr fontId="2" type="noConversion"/>
  </si>
  <si>
    <t>가경동 형석1차</t>
    <phoneticPr fontId="2" type="noConversion"/>
  </si>
  <si>
    <t>92.12.</t>
    <phoneticPr fontId="2" type="noConversion"/>
  </si>
  <si>
    <t>가경동 벽산</t>
    <phoneticPr fontId="2" type="noConversion"/>
  </si>
  <si>
    <t>가경동 삼일원앙</t>
    <phoneticPr fontId="2" type="noConversion"/>
  </si>
  <si>
    <t>97.06.</t>
    <phoneticPr fontId="2" type="noConversion"/>
  </si>
  <si>
    <t>가경동 삼일원앙</t>
    <phoneticPr fontId="2" type="noConversion"/>
  </si>
  <si>
    <t>97.06.</t>
    <phoneticPr fontId="2" type="noConversion"/>
  </si>
  <si>
    <t>가경동 가경신라</t>
    <phoneticPr fontId="2" type="noConversion"/>
  </si>
  <si>
    <t>93.05.</t>
    <phoneticPr fontId="2" type="noConversion"/>
  </si>
  <si>
    <t>93.05.</t>
    <phoneticPr fontId="2" type="noConversion"/>
  </si>
  <si>
    <t>가경동 가로수마을호반베르디움</t>
    <phoneticPr fontId="2" type="noConversion"/>
  </si>
  <si>
    <t>08.08.</t>
    <phoneticPr fontId="2" type="noConversion"/>
  </si>
  <si>
    <t>가경동 가로수마을호반베르디움</t>
    <phoneticPr fontId="2" type="noConversion"/>
  </si>
  <si>
    <t>가경동 진로</t>
    <phoneticPr fontId="2" type="noConversion"/>
  </si>
  <si>
    <t>99.01.</t>
    <phoneticPr fontId="2" type="noConversion"/>
  </si>
  <si>
    <t>99.01.</t>
    <phoneticPr fontId="2" type="noConversion"/>
  </si>
  <si>
    <t>가경동 가로수마을대원칸타빌</t>
    <phoneticPr fontId="2" type="noConversion"/>
  </si>
  <si>
    <t>가경동 덕일한마음</t>
    <phoneticPr fontId="2" type="noConversion"/>
  </si>
  <si>
    <t>가경동 효성</t>
    <phoneticPr fontId="2" type="noConversion"/>
  </si>
  <si>
    <t>97.12.</t>
    <phoneticPr fontId="2" type="noConversion"/>
  </si>
  <si>
    <t>가경동 가로수마을한라비발디</t>
    <phoneticPr fontId="2" type="noConversion"/>
  </si>
  <si>
    <t>강내면 선광한빛</t>
    <phoneticPr fontId="2" type="noConversion"/>
  </si>
  <si>
    <t>96.12.</t>
    <phoneticPr fontId="2" type="noConversion"/>
  </si>
  <si>
    <t>강내면 청원신성미소지움</t>
    <phoneticPr fontId="2" type="noConversion"/>
  </si>
  <si>
    <t>강내면 청원쌍용예가2단지</t>
    <phoneticPr fontId="2" type="noConversion"/>
  </si>
  <si>
    <t>07.08.</t>
    <phoneticPr fontId="2" type="noConversion"/>
  </si>
  <si>
    <t>강내면 서호e타운</t>
    <phoneticPr fontId="2" type="noConversion"/>
  </si>
  <si>
    <t>01.06.</t>
    <phoneticPr fontId="2" type="noConversion"/>
  </si>
  <si>
    <t>강내면 강내두진하트리움</t>
    <phoneticPr fontId="2" type="noConversion"/>
  </si>
  <si>
    <t>18.08.</t>
    <phoneticPr fontId="2" type="noConversion"/>
  </si>
  <si>
    <t>강내면 강내태암수정</t>
    <phoneticPr fontId="2" type="noConversion"/>
  </si>
  <si>
    <t>강내면 강내태암수정</t>
    <phoneticPr fontId="2" type="noConversion"/>
  </si>
  <si>
    <t>97.12.</t>
    <phoneticPr fontId="2" type="noConversion"/>
  </si>
  <si>
    <t>강내면 강내태암수정</t>
    <phoneticPr fontId="2" type="noConversion"/>
  </si>
  <si>
    <t>97.12.</t>
    <phoneticPr fontId="2" type="noConversion"/>
  </si>
  <si>
    <t>97.12.</t>
    <phoneticPr fontId="2" type="noConversion"/>
  </si>
  <si>
    <t>강서동 대림</t>
    <phoneticPr fontId="2" type="noConversion"/>
  </si>
  <si>
    <t>90.11.</t>
    <phoneticPr fontId="2" type="noConversion"/>
  </si>
  <si>
    <t>90.11.</t>
    <phoneticPr fontId="2" type="noConversion"/>
  </si>
  <si>
    <t>강서동 청도</t>
    <phoneticPr fontId="2" type="noConversion"/>
  </si>
  <si>
    <t>00.10.</t>
    <phoneticPr fontId="2" type="noConversion"/>
  </si>
  <si>
    <t>강서동 신해블루지움</t>
    <phoneticPr fontId="2" type="noConversion"/>
  </si>
  <si>
    <t>17.11.</t>
    <phoneticPr fontId="2" type="noConversion"/>
  </si>
  <si>
    <t>강서동 신해블루지움</t>
    <phoneticPr fontId="2" type="noConversion"/>
  </si>
  <si>
    <t>강서동 신해블루지움</t>
    <phoneticPr fontId="2" type="noConversion"/>
  </si>
  <si>
    <t>강서동 신해블루지움</t>
    <phoneticPr fontId="2" type="noConversion"/>
  </si>
  <si>
    <t>강서동 이랜드타운힐스싱글스위트청주</t>
    <phoneticPr fontId="2" type="noConversion"/>
  </si>
  <si>
    <t>19.09.</t>
    <phoneticPr fontId="2" type="noConversion"/>
  </si>
  <si>
    <t>강서동 이랜드타운힐스싱글스위트청주</t>
    <phoneticPr fontId="2" type="noConversion"/>
  </si>
  <si>
    <t>강서동 우정</t>
    <phoneticPr fontId="2" type="noConversion"/>
  </si>
  <si>
    <t>92.03.</t>
    <phoneticPr fontId="2" type="noConversion"/>
  </si>
  <si>
    <t>강서동 강서동광모닝스카이</t>
    <phoneticPr fontId="2" type="noConversion"/>
  </si>
  <si>
    <t>16.06.</t>
    <phoneticPr fontId="2" type="noConversion"/>
  </si>
  <si>
    <t>16.06.</t>
    <phoneticPr fontId="2" type="noConversion"/>
  </si>
  <si>
    <t>16.06.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</si>
  <si>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</si>
  <si>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</si>
  <si>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22.05.</t>
    <phoneticPr fontId="2" type="noConversion"/>
  </si>
  <si>
    <t>복대동 형석(2442)</t>
    <phoneticPr fontId="2" type="noConversion"/>
  </si>
  <si>
    <t>90.10.</t>
    <phoneticPr fontId="2" type="noConversion"/>
  </si>
  <si>
    <t>복대동 삼일(2008)</t>
    <phoneticPr fontId="2" type="noConversion"/>
  </si>
  <si>
    <t>90.09.</t>
    <phoneticPr fontId="2" type="noConversion"/>
  </si>
  <si>
    <t>복대동 현대1차</t>
    <phoneticPr fontId="2" type="noConversion"/>
  </si>
  <si>
    <t>99.05.</t>
    <phoneticPr fontId="2" type="noConversion"/>
  </si>
  <si>
    <t>복대동 두진하트리움</t>
    <phoneticPr fontId="2" type="noConversion"/>
  </si>
  <si>
    <t>99.08.</t>
    <phoneticPr fontId="2" type="noConversion"/>
  </si>
  <si>
    <t>복대동 신영지웰시티1차</t>
    <phoneticPr fontId="2" type="noConversion"/>
  </si>
  <si>
    <t>10.06.</t>
    <phoneticPr fontId="2" type="noConversion"/>
  </si>
  <si>
    <t>복대동 세원테마빌</t>
    <phoneticPr fontId="2" type="noConversion"/>
  </si>
  <si>
    <t>01.12.</t>
    <phoneticPr fontId="2" type="noConversion"/>
  </si>
  <si>
    <t>복대동 더샵청주센트럴</t>
    <phoneticPr fontId="2" type="noConversion"/>
  </si>
  <si>
    <t>24.03.</t>
    <phoneticPr fontId="2" type="noConversion"/>
  </si>
  <si>
    <t>복대동 복대두진하트리움</t>
    <phoneticPr fontId="2" type="noConversion"/>
  </si>
  <si>
    <t>15.11.</t>
    <phoneticPr fontId="2" type="noConversion"/>
  </si>
  <si>
    <t>복대동 금호어울림2단지</t>
    <phoneticPr fontId="2" type="noConversion"/>
  </si>
  <si>
    <t>09.02.</t>
    <phoneticPr fontId="2" type="noConversion"/>
  </si>
  <si>
    <t>복대동 삼일(3034)</t>
    <phoneticPr fontId="2" type="noConversion"/>
  </si>
  <si>
    <t>98.11.</t>
    <phoneticPr fontId="2" type="noConversion"/>
  </si>
  <si>
    <t>복대동 주은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</si>
  <si>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</si>
  <si>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</si>
  <si>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</si>
  <si>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</si>
  <si>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복대동 벽산</t>
    <phoneticPr fontId="2" type="noConversion"/>
  </si>
  <si>
    <t>99.06.</t>
    <phoneticPr fontId="2" type="noConversion"/>
  </si>
  <si>
    <t>복대동 복대대원</t>
    <phoneticPr fontId="2" type="noConversion"/>
  </si>
  <si>
    <t>99.10.</t>
    <phoneticPr fontId="2" type="noConversion"/>
  </si>
  <si>
    <t>복대동 복대대원</t>
    <phoneticPr fontId="2" type="noConversion"/>
  </si>
  <si>
    <t>99.10.</t>
    <phoneticPr fontId="2" type="noConversion"/>
  </si>
  <si>
    <t>99.10.</t>
    <phoneticPr fontId="2" type="noConversion"/>
  </si>
  <si>
    <t>복대동 신영지웰홈스</t>
    <phoneticPr fontId="2" type="noConversion"/>
  </si>
  <si>
    <t>09.12.</t>
    <phoneticPr fontId="2" type="noConversion"/>
  </si>
  <si>
    <t>복대동 영조아름다운나날1차</t>
    <phoneticPr fontId="2" type="noConversion"/>
  </si>
  <si>
    <t>03.10.</t>
    <phoneticPr fontId="2" type="noConversion"/>
  </si>
  <si>
    <t>복대동 현대2차</t>
    <phoneticPr fontId="2" type="noConversion"/>
  </si>
  <si>
    <t>복대동 청주복대두진하트리움2차</t>
    <phoneticPr fontId="2" type="noConversion"/>
  </si>
  <si>
    <t>18.11.</t>
    <phoneticPr fontId="2" type="noConversion"/>
  </si>
  <si>
    <t>복대동 두산위브지웰시티2차</t>
    <phoneticPr fontId="2" type="noConversion"/>
  </si>
  <si>
    <t>15.06.</t>
    <phoneticPr fontId="2" type="noConversion"/>
  </si>
  <si>
    <t>복대동 덕성</t>
    <phoneticPr fontId="2" type="noConversion"/>
  </si>
  <si>
    <t>91.12.</t>
    <phoneticPr fontId="2" type="noConversion"/>
  </si>
  <si>
    <t>복대동 세원</t>
    <phoneticPr fontId="2" type="noConversion"/>
  </si>
  <si>
    <t>90.08.</t>
    <phoneticPr fontId="2" type="noConversion"/>
  </si>
  <si>
    <t>복대동 덕일</t>
    <phoneticPr fontId="2" type="noConversion"/>
  </si>
  <si>
    <t>89.12.</t>
    <phoneticPr fontId="2" type="noConversion"/>
  </si>
  <si>
    <t>복대동 세원느티마을</t>
    <phoneticPr fontId="2" type="noConversion"/>
  </si>
  <si>
    <t>99.09.</t>
    <phoneticPr fontId="2" type="noConversion"/>
  </si>
  <si>
    <t>복대동 아름다운나날2차</t>
    <phoneticPr fontId="2" type="noConversion"/>
  </si>
  <si>
    <t>04.11.</t>
    <phoneticPr fontId="2" type="noConversion"/>
  </si>
  <si>
    <t>복대동 금호어울림1단지</t>
    <phoneticPr fontId="2" type="noConversion"/>
  </si>
  <si>
    <t>복대동 금호어울림1단지</t>
    <phoneticPr fontId="2" type="noConversion"/>
  </si>
  <si>
    <t>09.02.</t>
    <phoneticPr fontId="2" type="noConversion"/>
  </si>
  <si>
    <t>복대동 금호어울림1단지</t>
    <phoneticPr fontId="2" type="noConversion"/>
  </si>
  <si>
    <t>09.02.</t>
    <phoneticPr fontId="2" type="noConversion"/>
  </si>
  <si>
    <t>봉명동 초원</t>
    <phoneticPr fontId="2" type="noConversion"/>
  </si>
  <si>
    <t>92.12.</t>
    <phoneticPr fontId="2" type="noConversion"/>
  </si>
  <si>
    <t>봉명동 두진하트리움</t>
    <phoneticPr fontId="2" type="noConversion"/>
  </si>
  <si>
    <t>03.05.</t>
    <phoneticPr fontId="2" type="noConversion"/>
  </si>
  <si>
    <t>봉명동 봉명세원</t>
    <phoneticPr fontId="2" type="noConversion"/>
  </si>
  <si>
    <t>93.07.</t>
    <phoneticPr fontId="2" type="noConversion"/>
  </si>
  <si>
    <t>봉명동 봉명아이파크</t>
    <phoneticPr fontId="2" type="noConversion"/>
  </si>
  <si>
    <t>05.03.</t>
    <phoneticPr fontId="2" type="noConversion"/>
  </si>
  <si>
    <t>봉명동 푸른</t>
    <phoneticPr fontId="2" type="noConversion"/>
  </si>
  <si>
    <t>94.12.</t>
    <phoneticPr fontId="2" type="noConversion"/>
  </si>
  <si>
    <t>봉명동 주공1단지</t>
    <phoneticPr fontId="2" type="noConversion"/>
  </si>
  <si>
    <t>83.12.</t>
    <phoneticPr fontId="2" type="noConversion"/>
  </si>
  <si>
    <t>봉명동 백봉</t>
    <phoneticPr fontId="2" type="noConversion"/>
  </si>
  <si>
    <t>봉명동 신라</t>
    <phoneticPr fontId="2" type="noConversion"/>
  </si>
  <si>
    <t>85.11.</t>
    <phoneticPr fontId="2" type="noConversion"/>
  </si>
  <si>
    <t>봉명동 주공2단지</t>
    <phoneticPr fontId="2" type="noConversion"/>
  </si>
  <si>
    <t>85.12.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</si>
  <si>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</si>
  <si>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</si>
  <si>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청주비하대광로제비앙1차</t>
    <phoneticPr fontId="2" type="noConversion"/>
  </si>
  <si>
    <t>18.02.</t>
    <phoneticPr fontId="2" type="noConversion"/>
  </si>
  <si>
    <t>비하동 서청주파크자이</t>
    <phoneticPr fontId="2" type="noConversion"/>
  </si>
  <si>
    <t>비하동 삼일</t>
    <phoneticPr fontId="2" type="noConversion"/>
  </si>
  <si>
    <t>90.06.</t>
    <phoneticPr fontId="2" type="noConversion"/>
  </si>
  <si>
    <t>비하동 비하효성2차</t>
    <phoneticPr fontId="2" type="noConversion"/>
  </si>
  <si>
    <t>비하동 비하계룡리슈빌</t>
    <phoneticPr fontId="2" type="noConversion"/>
  </si>
  <si>
    <t>06.09.</t>
    <phoneticPr fontId="2" type="noConversion"/>
  </si>
  <si>
    <t>비하동 효성1차</t>
    <phoneticPr fontId="2" type="noConversion"/>
  </si>
  <si>
    <t>95.09.</t>
    <phoneticPr fontId="2" type="noConversion"/>
  </si>
  <si>
    <t>송절동 청주테크노폴리스푸르지오</t>
    <phoneticPr fontId="2" type="noConversion"/>
  </si>
  <si>
    <t>송절동 청주테크노폴리스지웰</t>
    <phoneticPr fontId="2" type="noConversion"/>
  </si>
  <si>
    <t>송절동 청주테크노폴리스우방아이유쉘1단지</t>
    <phoneticPr fontId="2" type="noConversion"/>
  </si>
  <si>
    <t>송절동 청주테크노폴리스우방아이유쉘2단지</t>
    <phoneticPr fontId="2" type="noConversion"/>
  </si>
  <si>
    <t>송절동 테크노폴리스우미린</t>
    <phoneticPr fontId="2" type="noConversion"/>
  </si>
  <si>
    <t>18.07.</t>
    <phoneticPr fontId="2" type="noConversion"/>
  </si>
  <si>
    <t>신봉동 삼성(159)</t>
    <phoneticPr fontId="2" type="noConversion"/>
  </si>
  <si>
    <t>신봉동 두진백로</t>
    <phoneticPr fontId="2" type="noConversion"/>
  </si>
  <si>
    <t>신봉동 청주신봉우림필유</t>
    <phoneticPr fontId="2" type="noConversion"/>
  </si>
  <si>
    <t>07.10.</t>
    <phoneticPr fontId="2" type="noConversion"/>
  </si>
  <si>
    <t>신봉동 한성</t>
    <phoneticPr fontId="2" type="noConversion"/>
  </si>
  <si>
    <t>87.07.</t>
    <phoneticPr fontId="2" type="noConversion"/>
  </si>
  <si>
    <t>신봉동 주공</t>
    <phoneticPr fontId="2" type="noConversion"/>
  </si>
  <si>
    <t>86.11.</t>
    <phoneticPr fontId="2" type="noConversion"/>
  </si>
  <si>
    <t>신봉동 삼정백조</t>
    <phoneticPr fontId="2" type="noConversion"/>
  </si>
  <si>
    <t>95.07.</t>
    <phoneticPr fontId="2" type="noConversion"/>
  </si>
  <si>
    <t>오송읍 오송힐데스하임</t>
    <phoneticPr fontId="2" type="noConversion"/>
  </si>
  <si>
    <t>10.10.</t>
    <phoneticPr fontId="2" type="noConversion"/>
  </si>
  <si>
    <t>오송읍 오송상록롯데캐슬</t>
    <phoneticPr fontId="2" type="noConversion"/>
  </si>
  <si>
    <t>10.09.</t>
    <phoneticPr fontId="2" type="noConversion"/>
  </si>
  <si>
    <t>오송읍 KTX오송역대광로제비앙</t>
    <phoneticPr fontId="2" type="noConversion"/>
  </si>
  <si>
    <t>가경동 가로수마을선광로즈웰</t>
    <phoneticPr fontId="2" type="noConversion"/>
  </si>
  <si>
    <t>08.07.</t>
    <phoneticPr fontId="2" type="noConversion"/>
  </si>
  <si>
    <t>가경동 가경주공2단지</t>
    <phoneticPr fontId="2" type="noConversion"/>
  </si>
  <si>
    <t>가경동 가경주공2단지</t>
    <phoneticPr fontId="2" type="noConversion"/>
  </si>
  <si>
    <t>02.12.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</si>
  <si>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</si>
  <si>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</si>
  <si>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</si>
  <si>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가경동 가경e-편한세상</t>
    <phoneticPr fontId="2" type="noConversion"/>
  </si>
  <si>
    <t>가경동 가경대원</t>
    <phoneticPr fontId="2" type="noConversion"/>
  </si>
  <si>
    <t>97.07.</t>
    <phoneticPr fontId="2" type="noConversion"/>
  </si>
  <si>
    <t>가경동 가경세원2차</t>
    <phoneticPr fontId="2" type="noConversion"/>
  </si>
  <si>
    <t>92.11.</t>
    <phoneticPr fontId="2" type="noConversion"/>
  </si>
  <si>
    <t>가경동 가경푸르지오</t>
    <phoneticPr fontId="2" type="noConversion"/>
  </si>
  <si>
    <t>06.01.</t>
    <phoneticPr fontId="2" type="noConversion"/>
  </si>
  <si>
    <t>가경동 가경태암수정</t>
    <phoneticPr fontId="2" type="noConversion"/>
  </si>
  <si>
    <t>가경동 동부</t>
    <phoneticPr fontId="2" type="noConversion"/>
  </si>
  <si>
    <t>98.06.</t>
    <phoneticPr fontId="2" type="noConversion"/>
  </si>
  <si>
    <t>가경동 청주가경뜨란채8단지</t>
    <phoneticPr fontId="2" type="noConversion"/>
  </si>
  <si>
    <t>05.10.</t>
    <phoneticPr fontId="2" type="noConversion"/>
  </si>
  <si>
    <t>가경동 청주가경아이파크3단지</t>
    <phoneticPr fontId="2" type="noConversion"/>
  </si>
  <si>
    <t>21.05.</t>
    <phoneticPr fontId="2" type="noConversion"/>
  </si>
  <si>
    <t>가경동 청주가경아이파크2단지</t>
    <phoneticPr fontId="2" type="noConversion"/>
  </si>
  <si>
    <t>20.02.</t>
    <phoneticPr fontId="2" type="noConversion"/>
  </si>
  <si>
    <t>가경동 청주가경아이파크2단지</t>
    <phoneticPr fontId="2" type="noConversion"/>
  </si>
  <si>
    <t>가경동 청주가경뜨란채7단지</t>
    <phoneticPr fontId="2" type="noConversion"/>
  </si>
  <si>
    <t>05.09.</t>
    <phoneticPr fontId="2" type="noConversion"/>
  </si>
  <si>
    <t>가경동 청주가경뜨란채7단지</t>
    <phoneticPr fontId="2" type="noConversion"/>
  </si>
  <si>
    <t>가경동 가경아이파크5단지</t>
    <phoneticPr fontId="2" type="noConversion"/>
  </si>
  <si>
    <t>23.02.</t>
    <phoneticPr fontId="2" type="noConversion"/>
  </si>
  <si>
    <t>가경동 가경아이파크5단지</t>
    <phoneticPr fontId="2" type="noConversion"/>
  </si>
  <si>
    <t>23.02.</t>
    <phoneticPr fontId="2" type="noConversion"/>
  </si>
  <si>
    <t>23.02.</t>
    <phoneticPr fontId="2" type="noConversion"/>
  </si>
  <si>
    <t>가경동 대림가경</t>
    <phoneticPr fontId="2" type="noConversion"/>
  </si>
  <si>
    <t>93.01.</t>
    <phoneticPr fontId="2" type="noConversion"/>
  </si>
  <si>
    <t>가경동 청주가경아이파크</t>
    <phoneticPr fontId="2" type="noConversion"/>
  </si>
  <si>
    <t>19.04.</t>
    <phoneticPr fontId="2" type="noConversion"/>
  </si>
  <si>
    <t>가경동 가경형석2차</t>
    <phoneticPr fontId="2" type="noConversion"/>
  </si>
  <si>
    <t>93.11.</t>
    <phoneticPr fontId="2" type="noConversion"/>
  </si>
  <si>
    <t>가경동 세원가경골</t>
    <phoneticPr fontId="2" type="noConversion"/>
  </si>
  <si>
    <t>97.08.</t>
    <phoneticPr fontId="2" type="noConversion"/>
  </si>
  <si>
    <t>가경동 형석1차</t>
    <phoneticPr fontId="2" type="noConversion"/>
  </si>
  <si>
    <t>92.12.</t>
    <phoneticPr fontId="2" type="noConversion"/>
  </si>
  <si>
    <t>가경동 벽산</t>
    <phoneticPr fontId="2" type="noConversion"/>
  </si>
  <si>
    <t>가경동 삼일원앙</t>
    <phoneticPr fontId="2" type="noConversion"/>
  </si>
  <si>
    <t>97.06.</t>
    <phoneticPr fontId="2" type="noConversion"/>
  </si>
  <si>
    <t>가경동 가경신라</t>
    <phoneticPr fontId="2" type="noConversion"/>
  </si>
  <si>
    <t>93.05.</t>
    <phoneticPr fontId="2" type="noConversion"/>
  </si>
  <si>
    <t>가경동 가로수마을호반베르디움</t>
    <phoneticPr fontId="2" type="noConversion"/>
  </si>
  <si>
    <t>08.08.</t>
    <phoneticPr fontId="2" type="noConversion"/>
  </si>
  <si>
    <t>가경동 진로</t>
    <phoneticPr fontId="2" type="noConversion"/>
  </si>
  <si>
    <t>99.01.</t>
    <phoneticPr fontId="2" type="noConversion"/>
  </si>
  <si>
    <t>가경동 가로수마을대원칸타빌</t>
    <phoneticPr fontId="2" type="noConversion"/>
  </si>
  <si>
    <t>가경동 덕일한마음</t>
    <phoneticPr fontId="2" type="noConversion"/>
  </si>
  <si>
    <t>가경동 효성</t>
    <phoneticPr fontId="2" type="noConversion"/>
  </si>
  <si>
    <t>97.12.</t>
    <phoneticPr fontId="2" type="noConversion"/>
  </si>
  <si>
    <t>가경동 가로수마을한라비발디</t>
    <phoneticPr fontId="2" type="noConversion"/>
  </si>
  <si>
    <t>강내면 선광한빛</t>
    <phoneticPr fontId="2" type="noConversion"/>
  </si>
  <si>
    <t>96.12.</t>
    <phoneticPr fontId="2" type="noConversion"/>
  </si>
  <si>
    <t>강내면 청원신성미소지움</t>
    <phoneticPr fontId="2" type="noConversion"/>
  </si>
  <si>
    <t>07.08.</t>
    <phoneticPr fontId="2" type="noConversion"/>
  </si>
  <si>
    <t>강내면 청원쌍용예가2단지</t>
    <phoneticPr fontId="2" type="noConversion"/>
  </si>
  <si>
    <t>강내면 서호e타운</t>
    <phoneticPr fontId="2" type="noConversion"/>
  </si>
  <si>
    <t>01.06.</t>
    <phoneticPr fontId="2" type="noConversion"/>
  </si>
  <si>
    <t>강내면 강내두진하트리움</t>
    <phoneticPr fontId="2" type="noConversion"/>
  </si>
  <si>
    <t>18.08.</t>
    <phoneticPr fontId="2" type="noConversion"/>
  </si>
  <si>
    <t>강내면 강내태암수정</t>
    <phoneticPr fontId="2" type="noConversion"/>
  </si>
  <si>
    <t>강서동 대림</t>
    <phoneticPr fontId="2" type="noConversion"/>
  </si>
  <si>
    <t>90.11.</t>
    <phoneticPr fontId="2" type="noConversion"/>
  </si>
  <si>
    <t>강서동 청도</t>
    <phoneticPr fontId="2" type="noConversion"/>
  </si>
  <si>
    <t>강서동 신해블루지움</t>
    <phoneticPr fontId="2" type="noConversion"/>
  </si>
  <si>
    <t>17.11.</t>
    <phoneticPr fontId="2" type="noConversion"/>
  </si>
  <si>
    <t>강서동 이랜드타운힐스싱글스위트청주</t>
    <phoneticPr fontId="2" type="noConversion"/>
  </si>
  <si>
    <t>19.09.</t>
    <phoneticPr fontId="2" type="noConversion"/>
  </si>
  <si>
    <t>강서동 우정</t>
    <phoneticPr fontId="2" type="noConversion"/>
  </si>
  <si>
    <t>강서동 강서동광모닝스카이</t>
    <phoneticPr fontId="2" type="noConversion"/>
  </si>
  <si>
    <t>16.06.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</si>
  <si>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</si>
  <si>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</si>
  <si>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복대동 형석(2442)</t>
    <phoneticPr fontId="2" type="noConversion"/>
  </si>
  <si>
    <t>90.10.</t>
    <phoneticPr fontId="2" type="noConversion"/>
  </si>
  <si>
    <t>복대동 삼일(2008)</t>
    <phoneticPr fontId="2" type="noConversion"/>
  </si>
  <si>
    <t>90.09.</t>
    <phoneticPr fontId="2" type="noConversion"/>
  </si>
  <si>
    <t>복대동 현대1차</t>
    <phoneticPr fontId="2" type="noConversion"/>
  </si>
  <si>
    <t>99.05.</t>
    <phoneticPr fontId="2" type="noConversion"/>
  </si>
  <si>
    <t>99.05.</t>
    <phoneticPr fontId="2" type="noConversion"/>
  </si>
  <si>
    <t>복대동 두진하트리움</t>
    <phoneticPr fontId="2" type="noConversion"/>
  </si>
  <si>
    <t>99.08.</t>
    <phoneticPr fontId="2" type="noConversion"/>
  </si>
  <si>
    <t>10.06.</t>
    <phoneticPr fontId="2" type="noConversion"/>
  </si>
  <si>
    <t>복대동 신영지웰시티1차</t>
    <phoneticPr fontId="2" type="noConversion"/>
  </si>
  <si>
    <t>복대동 세원테마빌</t>
    <phoneticPr fontId="2" type="noConversion"/>
  </si>
  <si>
    <t>01.12.</t>
    <phoneticPr fontId="2" type="noConversion"/>
  </si>
  <si>
    <t>복대동 더샵청주센트럴</t>
    <phoneticPr fontId="2" type="noConversion"/>
  </si>
  <si>
    <t>24.03.</t>
    <phoneticPr fontId="2" type="noConversion"/>
  </si>
  <si>
    <t>복대동 복대두진하트리움</t>
    <phoneticPr fontId="2" type="noConversion"/>
  </si>
  <si>
    <t>15.11.</t>
    <phoneticPr fontId="2" type="noConversion"/>
  </si>
  <si>
    <t>복대동 금호어울림2단지</t>
    <phoneticPr fontId="2" type="noConversion"/>
  </si>
  <si>
    <t>09.02.</t>
    <phoneticPr fontId="2" type="noConversion"/>
  </si>
  <si>
    <t>복대동 삼일(3034)</t>
    <phoneticPr fontId="2" type="noConversion"/>
  </si>
  <si>
    <t>98.11.</t>
    <phoneticPr fontId="2" type="noConversion"/>
  </si>
  <si>
    <t>복대동 주은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</si>
  <si>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</si>
  <si>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</si>
  <si>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</si>
  <si>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</si>
  <si>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복대동 벽산</t>
    <phoneticPr fontId="2" type="noConversion"/>
  </si>
  <si>
    <t>99.06.</t>
    <phoneticPr fontId="2" type="noConversion"/>
  </si>
  <si>
    <t>복대동 복대대원</t>
    <phoneticPr fontId="2" type="noConversion"/>
  </si>
  <si>
    <t>99.10.</t>
    <phoneticPr fontId="2" type="noConversion"/>
  </si>
  <si>
    <t>복대동 신영지웰홈스</t>
    <phoneticPr fontId="2" type="noConversion"/>
  </si>
  <si>
    <t>09.12.</t>
    <phoneticPr fontId="2" type="noConversion"/>
  </si>
  <si>
    <t>03.10.</t>
    <phoneticPr fontId="2" type="noConversion"/>
  </si>
  <si>
    <t>복대동 현대2차</t>
    <phoneticPr fontId="2" type="noConversion"/>
  </si>
  <si>
    <t>복대동 청주복대두진하트리움2차</t>
    <phoneticPr fontId="2" type="noConversion"/>
  </si>
  <si>
    <t>복대동 두산위브지웰시티2차</t>
    <phoneticPr fontId="2" type="noConversion"/>
  </si>
  <si>
    <t>15.06.</t>
    <phoneticPr fontId="2" type="noConversion"/>
  </si>
  <si>
    <t>91.12.</t>
    <phoneticPr fontId="2" type="noConversion"/>
  </si>
  <si>
    <t>복대동 덕성</t>
    <phoneticPr fontId="2" type="noConversion"/>
  </si>
  <si>
    <t>복대동 세원</t>
    <phoneticPr fontId="2" type="noConversion"/>
  </si>
  <si>
    <t>90.08.</t>
    <phoneticPr fontId="2" type="noConversion"/>
  </si>
  <si>
    <t>복대동 덕일</t>
    <phoneticPr fontId="2" type="noConversion"/>
  </si>
  <si>
    <t>복대동 금호어울림1단지</t>
    <phoneticPr fontId="2" type="noConversion"/>
  </si>
  <si>
    <t>09.02.</t>
    <phoneticPr fontId="2" type="noConversion"/>
  </si>
  <si>
    <t>봉명동 초원</t>
    <phoneticPr fontId="2" type="noConversion"/>
  </si>
  <si>
    <t>봉명동 두진하트리움</t>
    <phoneticPr fontId="2" type="noConversion"/>
  </si>
  <si>
    <t>봉명동 봉명세원</t>
    <phoneticPr fontId="2" type="noConversion"/>
  </si>
  <si>
    <t>93.07.</t>
    <phoneticPr fontId="2" type="noConversion"/>
  </si>
  <si>
    <t>봉명동 봉명세원</t>
    <phoneticPr fontId="2" type="noConversion"/>
  </si>
  <si>
    <t>05.03.</t>
    <phoneticPr fontId="2" type="noConversion"/>
  </si>
  <si>
    <t>05.03.</t>
    <phoneticPr fontId="2" type="noConversion"/>
  </si>
  <si>
    <t>봉명동 봉명아이파크</t>
    <phoneticPr fontId="2" type="noConversion"/>
  </si>
  <si>
    <t>05.03.</t>
    <phoneticPr fontId="2" type="noConversion"/>
  </si>
  <si>
    <t>봉명동 푸른</t>
    <phoneticPr fontId="2" type="noConversion"/>
  </si>
  <si>
    <t>83.12.</t>
    <phoneticPr fontId="2" type="noConversion"/>
  </si>
  <si>
    <t>92.03.</t>
    <phoneticPr fontId="2" type="noConversion"/>
  </si>
  <si>
    <t>봉명동 신라</t>
    <phoneticPr fontId="2" type="noConversion"/>
  </si>
  <si>
    <t>85.11.</t>
    <phoneticPr fontId="2" type="noConversion"/>
  </si>
  <si>
    <t>봉명동 신라</t>
    <phoneticPr fontId="2" type="noConversion"/>
  </si>
  <si>
    <t>85.11.</t>
    <phoneticPr fontId="2" type="noConversion"/>
  </si>
  <si>
    <t>봉명동 주공2단지</t>
    <phoneticPr fontId="2" type="noConversion"/>
  </si>
  <si>
    <t>85.12.</t>
    <phoneticPr fontId="2" type="noConversion"/>
  </si>
  <si>
    <t>09.11.</t>
    <phoneticPr fontId="2" type="noConversion"/>
  </si>
  <si>
    <t>09.11.</t>
    <phoneticPr fontId="2" type="noConversion"/>
  </si>
  <si>
    <t>비하동 청주비하대광로제비앙1차</t>
    <phoneticPr fontId="2" type="noConversion"/>
  </si>
  <si>
    <t>18.02.</t>
    <phoneticPr fontId="2" type="noConversion"/>
  </si>
  <si>
    <t>19.09.</t>
    <phoneticPr fontId="2" type="noConversion"/>
  </si>
  <si>
    <t>비하동 삼일</t>
    <phoneticPr fontId="2" type="noConversion"/>
  </si>
  <si>
    <t>90.06.</t>
    <phoneticPr fontId="2" type="noConversion"/>
  </si>
  <si>
    <t>비하동 비하효성2차</t>
    <phoneticPr fontId="2" type="noConversion"/>
  </si>
  <si>
    <t>97.07.</t>
    <phoneticPr fontId="2" type="noConversion"/>
  </si>
  <si>
    <t>97.07.</t>
    <phoneticPr fontId="2" type="noConversion"/>
  </si>
  <si>
    <t>06.09.</t>
    <phoneticPr fontId="2" type="noConversion"/>
  </si>
  <si>
    <t>비하동 효성1차</t>
    <phoneticPr fontId="2" type="noConversion"/>
  </si>
  <si>
    <t>95.09.</t>
    <phoneticPr fontId="2" type="noConversion"/>
  </si>
  <si>
    <t>18.11.</t>
    <phoneticPr fontId="2" type="noConversion"/>
  </si>
  <si>
    <t>18.11.</t>
    <phoneticPr fontId="2" type="noConversion"/>
  </si>
  <si>
    <t>20.02.</t>
    <phoneticPr fontId="2" type="noConversion"/>
  </si>
  <si>
    <t>송절동 청주테크노폴리스우방아이유쉘1단지</t>
    <phoneticPr fontId="2" type="noConversion"/>
  </si>
  <si>
    <t>송절동 청주테크노폴리스우방아이유쉘1단지</t>
    <phoneticPr fontId="2" type="noConversion"/>
  </si>
  <si>
    <t>송절동 청주테크노폴리스우방아이유쉘2단지</t>
    <phoneticPr fontId="2" type="noConversion"/>
  </si>
  <si>
    <t>신봉동 삼성(159)</t>
    <phoneticPr fontId="2" type="noConversion"/>
  </si>
  <si>
    <t>92.11.</t>
    <phoneticPr fontId="2" type="noConversion"/>
  </si>
  <si>
    <t>93.11.</t>
    <phoneticPr fontId="2" type="noConversion"/>
  </si>
  <si>
    <t>신봉동 두진백로</t>
    <phoneticPr fontId="2" type="noConversion"/>
  </si>
  <si>
    <t>신봉동 청주신봉우림필유</t>
    <phoneticPr fontId="2" type="noConversion"/>
  </si>
  <si>
    <t>07.10.</t>
    <phoneticPr fontId="2" type="noConversion"/>
  </si>
  <si>
    <t>87.07.</t>
    <phoneticPr fontId="2" type="noConversion"/>
  </si>
  <si>
    <t>신봉동 한성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</si>
  <si>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</si>
  <si>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</si>
  <si>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</si>
  <si>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</si>
  <si>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신봉동 삼정백조</t>
    <phoneticPr fontId="2" type="noConversion"/>
  </si>
  <si>
    <t>95.07.</t>
    <phoneticPr fontId="2" type="noConversion"/>
  </si>
  <si>
    <t>신봉동 삼정백조</t>
    <phoneticPr fontId="2" type="noConversion"/>
  </si>
  <si>
    <t>95.07.</t>
    <phoneticPr fontId="2" type="noConversion"/>
  </si>
  <si>
    <t>오송읍 오송힐데스하임</t>
    <phoneticPr fontId="2" type="noConversion"/>
  </si>
  <si>
    <t>10.10.</t>
    <phoneticPr fontId="2" type="noConversion"/>
  </si>
  <si>
    <t>가경자이(34평/7.6)_x000D_
청주가경아이파크3단지(33평/7.3)</t>
    <phoneticPr fontId="2" type="noConversion"/>
  </si>
  <si>
    <t>가경자이('20/7.6)_x000D_
청주가경아이파크3단지('21/7.3)</t>
    <phoneticPr fontId="2" type="noConversion"/>
  </si>
  <si>
    <t>청주가경아이파크2단지(33평/6.5)_x000D_
가경자이(30평/6.3)_x000D_
청주가경아이파크2단지(30평/6.0)</t>
    <phoneticPr fontId="2" type="noConversion"/>
  </si>
  <si>
    <t>청주가경아이파크2단지('20/6.5)_x000D_
가경자이('20/6.3)_x000D_
청주가경아이파크2단지('20/6.0)</t>
    <phoneticPr fontId="2" type="noConversion"/>
  </si>
  <si>
    <t>서청주파크자이(34평/5.8)</t>
  </si>
  <si>
    <t>서청주파크자이('19/5.8)</t>
  </si>
  <si>
    <t>청주테크노폴리스푸르지오(34평/5.5)</t>
  </si>
  <si>
    <t>청주테크노폴리스푸르지오('18/5.5)</t>
  </si>
  <si>
    <t>청주가경아이파크(29평/5.4)</t>
  </si>
  <si>
    <t>청주가경아이파크('19/5.4)</t>
  </si>
  <si>
    <t>복대두진하트리움(33평/5.1)</t>
  </si>
  <si>
    <t>복대두진하트리움('15/5.1)</t>
  </si>
  <si>
    <t>금호어울림2단지('09/4.9)_x000D_
신영지웰홈스('09/4.9)_x000D_
금호어울림1단지('09/4.9)</t>
    <phoneticPr fontId="2" type="noConversion"/>
  </si>
  <si>
    <t>오송상록롯데캐슬(35평/4.8)</t>
  </si>
  <si>
    <t>오송상록롯데캐슬('10/4.8)</t>
  </si>
  <si>
    <t>청주테크노폴리스지웰('20/4.9)_x000D_
청주테크노폴리스우방아이유쉘1단지('18/4.9)_x000D_
청주테크노폴리스우방아이유쉘2단지('18/4.9)_x000D_
테크노폴리스우미린('18/4.9)_x000D_
청주테크노폴리스푸르지오('18/4.8)</t>
    <phoneticPr fontId="2" type="noConversion"/>
  </si>
  <si>
    <t>청주가경아이파크('19/4.6)</t>
  </si>
  <si>
    <t>청주테크노폴리스지웰(34평/4.9)_x000D_
청주테크노폴리스우방아이유쉘1단지(34평/4.9)_x000D_
청주테크노폴리스우방아이유쉘2단지(34평/4.9)_x000D_
테크노폴리스우미린(34평/4.9)_x000D_
청주테크노폴리스푸르지오(30평/4.8)_x000D_
청주테크노폴리스우방아이유쉘2단지(29평/4.5)_x000D_
청주테크노폴리스우방아이유쉘1단지(29평/4.3)</t>
    <phoneticPr fontId="2" type="noConversion"/>
  </si>
  <si>
    <t>청주테크노폴리스우방아이유쉘2단지('18/4.5)_x000D_
청주테크노폴리스우방아이유쉘1단지('18/4.3)</t>
    <phoneticPr fontId="2" type="noConversion"/>
  </si>
  <si>
    <t>청주가경아이파크(24평/4.6)_x000D_
가로수마을호반베르디움(34평/4.3)_x000D_
가로수마을한라비발디(34평/4.2)</t>
    <phoneticPr fontId="2" type="noConversion"/>
  </si>
  <si>
    <t>가로수마을호반베르디움('08/4.3)_x000D_
가로수마을한라비발디('08/4.2)</t>
    <phoneticPr fontId="2" type="noConversion"/>
  </si>
  <si>
    <t>서청주파크자이('19/4.9)_x000D_
청주비하대광로제비앙1차('18/4.2)</t>
    <phoneticPr fontId="2" type="noConversion"/>
  </si>
  <si>
    <t>금호어울림2단지(34평/4.9)_x000D_
신영지웰홈스(34평/4.9)_x000D_
금호어울림1단지(35평/4.9)_x000D_
복대두진하트리움(26평/4.1)</t>
    <phoneticPr fontId="2" type="noConversion"/>
  </si>
  <si>
    <t>서청주파크자이(30평/4.9)_x000D_
청주비하대광로제비앙1차(34평/4.2)_x000D_
서청주파크자이(25평/4.1)</t>
    <phoneticPr fontId="2" type="noConversion"/>
  </si>
  <si>
    <t>서청주파크자이('19/4.1)</t>
  </si>
  <si>
    <t>청주비하계룡리슈빌2차(35평/3.6)_x000D_
비하계룡리슈빌(35평/3.6)</t>
    <phoneticPr fontId="2" type="noConversion"/>
  </si>
  <si>
    <t>청주비하계룡리슈빌2차('09/3.6)_x000D_
비하계룡리슈빌('06/3.6)</t>
    <phoneticPr fontId="2" type="noConversion"/>
  </si>
  <si>
    <t>청주가경뜨란채8단지(33평/3.4)_x000D_
청주가경뜨란채7단지(33평/3.4)_x000D_
청주가경뜨란채7단지(30평/3.2)</t>
    <phoneticPr fontId="2" type="noConversion"/>
  </si>
  <si>
    <t>청주가경뜨란채8단지('05/3.4)_x000D_
청주가경뜨란채7단지('05/3.4)_x000D_
청주가경뜨란채7단지('05/3.2)</t>
    <phoneticPr fontId="2" type="noConversion"/>
  </si>
  <si>
    <t>아름다운나날2차(34평/3.2)_x000D_
세원테마빌(36평/3.1)_x000D_
아름다운나날2차(31평/3.1)</t>
    <phoneticPr fontId="2" type="noConversion"/>
  </si>
  <si>
    <t>아름다운나날2차('04/3.2)_x000D_
세원테마빌('01/3.1)_x000D_
아름다운나날2차('04/3.1)</t>
    <phoneticPr fontId="2" type="noConversion"/>
  </si>
  <si>
    <t>삼일(3034)(32평/2.7)_x000D_
세원테마빌(31평/2.6)_x000D_
현대1차(31평/2.6)_x000D_
복대대원(33평/2.6)</t>
    <phoneticPr fontId="2" type="noConversion"/>
  </si>
  <si>
    <t>삼일(3034)('98/2.7)_x000D_
세원테마빌('01/2.6)_x000D_
현대1차('99/2.6)_x000D_
복대대원('99/2.6)</t>
    <phoneticPr fontId="2" type="noConversion"/>
  </si>
  <si>
    <t>가경주공2단지('02/2.2)_x000D_
동부('98/2.2)</t>
    <phoneticPr fontId="2" type="noConversion"/>
  </si>
  <si>
    <t>복대대원('99/2.1)</t>
  </si>
  <si>
    <t>가경태암수정(31평/2.3)_x000D_
가경주공2단지(25평/2.2)_x000D_
가경신라(31평/2.2)_x000D_
동부(28평/2.2)_x000D_
가경세원2차(32평/2.0)</t>
    <phoneticPr fontId="2" type="noConversion"/>
  </si>
  <si>
    <t>가경태암수정('97/2.3)_x000D_
가경신라('93/2.2)_x000D_
가경세원2차('92/2.0)</t>
    <phoneticPr fontId="2" type="noConversion"/>
  </si>
  <si>
    <t>현대2차(23평/2.2)_x000D_
복대대원(30평/2.1)_x000D_
두진하트리움(23평/2.1)_x000D_
영조아름다운나날1차(23평/2.0)</t>
    <phoneticPr fontId="2" type="noConversion"/>
  </si>
  <si>
    <t>현대2차('99/2.2)_x000D_
두진하트리움('99/2.1)_x000D_
영조아름다운나날1차('03/2.0)</t>
    <phoneticPr fontId="2" type="noConversion"/>
  </si>
  <si>
    <t>세원느티마을('99/2.0)_x000D_
복대대원('99/1.8)</t>
    <phoneticPr fontId="2" type="noConversion"/>
  </si>
  <si>
    <t>세원느티마을(23평/2.0)_x000D_
복대대원(23평/1.8)_x000D_
형석(992)(30평/1.8)</t>
    <phoneticPr fontId="2" type="noConversion"/>
  </si>
  <si>
    <t>형석(992)('90/1.8)</t>
  </si>
  <si>
    <t>가경태암수정('97/2.0)_x000D_
가경대원('97/1.9)_x000D_
대림가경('93/1.9)_x000D_
세원가경골('97/1.9)_x000D_
삼일원앙('97/1.9)_x000D_
덕일한마음('97/1.7)_x000D_
가경형석2차('93/1.7)_x000D_
형석1차('92/1.6)</t>
    <phoneticPr fontId="2" type="noConversion"/>
  </si>
  <si>
    <t>비하효성2차(24평/1.6)_x000D_
효성1차(25평/1.6)</t>
    <phoneticPr fontId="2" type="noConversion"/>
  </si>
  <si>
    <t>비하효성2차('97/1.6)_x000D_
효성1차('95/1.6)</t>
    <phoneticPr fontId="2" type="noConversion"/>
  </si>
  <si>
    <t>가경태암수정(28평/2.0)_x000D_
가경대원(23평/1.9)_x000D_
대림가경(24평/1.9)_x000D_
세원가경골(23평/1.9)_x000D_
가경주공2단지(21평/1.9)_x000D_
삼일원앙(23평/1.9)_x000D_
덕일한마음(23평/1.7)_x000D_
가경형석2차(23평/1.7)_x000D_
가경신라(25평/1.7)_x000D_
가경신라(26평/1.6)_x000D_
형석1차(24평/1.6)_x000D_
가경세원2차(24평/1.5)</t>
    <phoneticPr fontId="2" type="noConversion"/>
  </si>
  <si>
    <t>가경주공2단지('02/1.9)_x000D_
가경신라('93/1.7)_x000D_
가경신라('93/1.6)_x000D_
가경세원2차('92/1.5)</t>
    <phoneticPr fontId="2" type="noConversion"/>
  </si>
  <si>
    <t>세원가경골(19평/1.4)</t>
  </si>
  <si>
    <t>세원가경골('97/1.4)</t>
  </si>
  <si>
    <t>덕일('89/1.4)_x000D_
형석(992)('90/1.4)</t>
    <phoneticPr fontId="2" type="noConversion"/>
  </si>
  <si>
    <t>덕일(21평/1.4)_x000D_
형석(992)(22평/1.4)_x000D_
형석(992)(15평/1.2)_x000D_
덕일(18평/1.2)</t>
    <phoneticPr fontId="2" type="noConversion"/>
  </si>
  <si>
    <t>형석(992)('90/1.2)_x000D_
덕일('89/1.2)</t>
    <phoneticPr fontId="2" type="noConversion"/>
  </si>
  <si>
    <t>삼일('90/1.5)_x000D_
삼일('90/1.2)</t>
    <phoneticPr fontId="2" type="noConversion"/>
  </si>
  <si>
    <t>삼일(29평/1.5)_x000D_
비하효성2차(19평/1.3)_x000D_
삼일(25평/1.2)_x000D_
효성1차(19평/1.2)</t>
    <phoneticPr fontId="2" type="noConversion"/>
  </si>
  <si>
    <t>비하효성2차('97/1.3)_x000D_
효성1차('95/1.2)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</si>
</sst>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34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319" activePane="bottomRight" state="frozen"/>
      <selection activeCell="U15" sqref="U15"/>
      <selection pane="topRight" activeCell="U15" sqref="U15"/>
      <selection pane="bottomLeft" activeCell="U15" sqref="U15"/>
      <selection pane="bottomRight" activeCell="A354" sqref="A354:XFD354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6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  <c r="W3" s="76" t="s">
        <v>40</v>
      </c>
      <c r="X3" s="76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76" t="s">
        <v>32</v>
      </c>
      <c r="AD3" s="77" t="s">
        <v>43</v>
      </c>
      <c r="AE3" s="76" t="s">
        <v>37</v>
      </c>
      <c r="AF3" s="34" t="s">
        <v>44</v>
      </c>
      <c r="AG3" s="25"/>
      <c r="AH3" s="76" t="s">
        <v>20</v>
      </c>
      <c r="AI3" s="76" t="s">
        <v>24</v>
      </c>
      <c r="AJ3" s="76" t="s">
        <v>45</v>
      </c>
      <c r="AK3" s="76" t="s">
        <v>46</v>
      </c>
      <c r="AL3" s="76" t="s">
        <v>47</v>
      </c>
      <c r="AM3" s="76" t="s">
        <v>48</v>
      </c>
      <c r="AN3" s="76" t="s">
        <v>49</v>
      </c>
      <c r="AO3" s="76" t="s">
        <v>50</v>
      </c>
      <c r="AP3" s="76" t="s">
        <v>51</v>
      </c>
      <c r="AQ3" s="76" t="s">
        <v>52</v>
      </c>
      <c r="AR3" s="76" t="s">
        <v>53</v>
      </c>
      <c r="AS3" s="76" t="s">
        <v>54</v>
      </c>
      <c r="AT3" s="36" t="s">
        <v>55</v>
      </c>
      <c r="AU3" s="76" t="s">
        <v>56</v>
      </c>
      <c r="AV3" s="76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4" t="s">
        <v>1415</v>
      </c>
      <c r="B4" s="75" t="s">
        <v>1416</v>
      </c>
      <c r="C4" s="85">
        <v>256</v>
      </c>
      <c r="D4" s="86">
        <v>110</v>
      </c>
      <c r="E4" s="87">
        <v>33</v>
      </c>
      <c r="F4" s="86">
        <v>84.9</v>
      </c>
      <c r="G4" s="17">
        <v>26</v>
      </c>
      <c r="H4" s="88">
        <v>170</v>
      </c>
      <c r="I4" s="89"/>
      <c r="J4" s="89"/>
      <c r="K4" s="89"/>
      <c r="L4" s="89"/>
      <c r="M4" s="90">
        <f>I4-K4</f>
        <v>0</v>
      </c>
      <c r="N4" s="4" t="str">
        <f>IF(ISERROR(K4/I4),"",K4/I4)</f>
        <v/>
      </c>
      <c r="O4" s="91">
        <f>I4/E4</f>
        <v>0</v>
      </c>
      <c r="P4" s="91">
        <f>K4/E4</f>
        <v>0</v>
      </c>
      <c r="Q4" s="79">
        <v>3</v>
      </c>
      <c r="R4" s="79">
        <v>2</v>
      </c>
      <c r="S4" s="79" t="s">
        <v>59</v>
      </c>
      <c r="T4" s="5">
        <v>110</v>
      </c>
      <c r="U4" s="9"/>
      <c r="W4" s="86">
        <f>D4</f>
        <v>110</v>
      </c>
      <c r="X4" s="87">
        <f>E4</f>
        <v>33</v>
      </c>
      <c r="Y4" s="92">
        <f>H4</f>
        <v>170</v>
      </c>
      <c r="Z4" s="90">
        <f>I4</f>
        <v>0</v>
      </c>
      <c r="AA4" s="90">
        <f>K4</f>
        <v>0</v>
      </c>
      <c r="AB4" s="90">
        <f t="shared" ref="AB4:AD19" si="0">M4</f>
        <v>0</v>
      </c>
      <c r="AC4" s="4" t="str">
        <f t="shared" si="0"/>
        <v/>
      </c>
      <c r="AD4" s="91">
        <f t="shared" si="0"/>
        <v>0</v>
      </c>
      <c r="AE4" s="79" t="str">
        <f>S4</f>
        <v>복</v>
      </c>
      <c r="AF4" s="79" t="str">
        <f>Q4&amp;"/"&amp;R4</f>
        <v>3/2</v>
      </c>
      <c r="AH4" s="20" t="str">
        <f t="shared" ref="AH4:AH67" si="1">IF(A4="","",A4)</f>
        <v>가경동 가로수마을선광로즈웰</v>
      </c>
      <c r="AI4" s="87">
        <f t="shared" ref="AI4:AI67" si="2">IF(E4="","",E4)</f>
        <v>33</v>
      </c>
      <c r="AJ4" s="79" t="str">
        <f>IF(AI4="","",$AJ$2)</f>
        <v>A-</v>
      </c>
      <c r="AK4" s="79" t="s">
        <v>13</v>
      </c>
      <c r="AL4" s="79" t="s">
        <v>60</v>
      </c>
      <c r="AM4" s="79" t="s">
        <v>61</v>
      </c>
      <c r="AN4" s="79" t="str">
        <f>IF(AI4="","",$AN$2)</f>
        <v>C</v>
      </c>
      <c r="AO4" s="79" t="str">
        <f>IF(N4="","",IF(N4&gt;=$AO$1/100,"O","X"))</f>
        <v/>
      </c>
      <c r="AP4" s="79" t="str">
        <f>IF(I4="","",IF(I4&lt;=$AP$1,"O","X"))</f>
        <v/>
      </c>
      <c r="AQ4" s="79" t="str">
        <f>IF(O4="","",IF(O4&lt;=$AQ$1,"O","X"))</f>
        <v>O</v>
      </c>
      <c r="AR4" s="79" t="str">
        <f>IF(M4="","",IF(M4&lt;=$AR$1,"O","X"))</f>
        <v>O</v>
      </c>
      <c r="AS4" s="79" t="s">
        <v>2</v>
      </c>
      <c r="AT4" s="79" t="str">
        <f>IF(OR(F4="",AI4=""),"",IF(AND((F4&lt;=85),(AI4&gt;=15)),"O","X"))</f>
        <v>O</v>
      </c>
      <c r="AU4" s="79" t="str">
        <f>IF(C4="","",IF(C4&gt;=$AU$1,"O","X"))</f>
        <v>X</v>
      </c>
      <c r="AV4" s="79" t="str">
        <f>IF(AO4="","",IF(AND(AO4="O",AP4="O",AR4="O",AT4="O",AU4="O"),"후보","X"))</f>
        <v/>
      </c>
    </row>
    <row r="5" spans="1:60" s="37" customFormat="1" ht="12" x14ac:dyDescent="0.3">
      <c r="A5" s="74" t="s">
        <v>1417</v>
      </c>
      <c r="B5" s="75" t="s">
        <v>1416</v>
      </c>
      <c r="C5" s="85">
        <v>256</v>
      </c>
      <c r="D5" s="86">
        <v>112.4</v>
      </c>
      <c r="E5" s="87">
        <v>34</v>
      </c>
      <c r="F5" s="86">
        <v>85</v>
      </c>
      <c r="G5" s="17">
        <v>26</v>
      </c>
      <c r="H5" s="88">
        <v>86</v>
      </c>
      <c r="I5" s="89"/>
      <c r="J5" s="89"/>
      <c r="K5" s="89"/>
      <c r="L5" s="89"/>
      <c r="M5" s="90">
        <f>I5-K5</f>
        <v>0</v>
      </c>
      <c r="N5" s="4" t="str">
        <f>IF(ISERROR(K5/I5),"",K5/I5)</f>
        <v/>
      </c>
      <c r="O5" s="91">
        <f>I5/E5</f>
        <v>0</v>
      </c>
      <c r="P5" s="91">
        <f>K5/E5</f>
        <v>0</v>
      </c>
      <c r="Q5" s="79">
        <v>3</v>
      </c>
      <c r="R5" s="79">
        <v>2</v>
      </c>
      <c r="S5" s="79" t="s">
        <v>62</v>
      </c>
      <c r="T5" s="5">
        <v>112</v>
      </c>
      <c r="U5" s="9"/>
      <c r="W5" s="86">
        <f>D5</f>
        <v>112.4</v>
      </c>
      <c r="X5" s="87">
        <f>E5</f>
        <v>34</v>
      </c>
      <c r="Y5" s="92">
        <f>H5</f>
        <v>86</v>
      </c>
      <c r="Z5" s="90">
        <f>I5</f>
        <v>0</v>
      </c>
      <c r="AA5" s="90">
        <f>K5</f>
        <v>0</v>
      </c>
      <c r="AB5" s="90">
        <f t="shared" si="0"/>
        <v>0</v>
      </c>
      <c r="AC5" s="4" t="str">
        <f t="shared" si="0"/>
        <v/>
      </c>
      <c r="AD5" s="91">
        <f t="shared" si="0"/>
        <v>0</v>
      </c>
      <c r="AE5" s="79" t="str">
        <f>S5</f>
        <v>계</v>
      </c>
      <c r="AF5" s="79" t="str">
        <f>Q5&amp;"/"&amp;R5</f>
        <v>3/2</v>
      </c>
      <c r="AH5" s="20" t="str">
        <f t="shared" si="1"/>
        <v>가경동 가로수마을선광로즈웰</v>
      </c>
      <c r="AI5" s="87">
        <f t="shared" si="2"/>
        <v>34</v>
      </c>
      <c r="AJ5" s="79" t="str">
        <f>IF(AI5="","",$AJ$2)</f>
        <v>A-</v>
      </c>
      <c r="AK5" s="79" t="s">
        <v>13</v>
      </c>
      <c r="AL5" s="79" t="s">
        <v>60</v>
      </c>
      <c r="AM5" s="79" t="s">
        <v>61</v>
      </c>
      <c r="AN5" s="79" t="str">
        <f>IF(AI5="","",$AN$2)</f>
        <v>C</v>
      </c>
      <c r="AO5" s="79" t="str">
        <f>IF(N5="","",IF(N5&gt;=$AO$1/100,"O","X"))</f>
        <v/>
      </c>
      <c r="AP5" s="79" t="str">
        <f>IF(I5="","",IF(I5&lt;=$AP$1,"O","X"))</f>
        <v/>
      </c>
      <c r="AQ5" s="79" t="str">
        <f>IF(O5="","",IF(O5&lt;=$AQ$1,"O","X"))</f>
        <v>O</v>
      </c>
      <c r="AR5" s="79" t="str">
        <f>IF(M5="","",IF(M5&lt;=$AR$1,"O","X"))</f>
        <v>O</v>
      </c>
      <c r="AS5" s="79" t="s">
        <v>2</v>
      </c>
      <c r="AT5" s="79" t="str">
        <f>IF(OR(F5="",AI5=""),"",IF(AND((F5&lt;=85),(AI5&gt;=15)),"O","X"))</f>
        <v>O</v>
      </c>
      <c r="AU5" s="79" t="str">
        <f>IF(C5="","",IF(C5&gt;=$AU$1,"O","X"))</f>
        <v>X</v>
      </c>
      <c r="AV5" s="79" t="str">
        <f>IF(AO5="","",IF(AND(AO5="O",AP5="O",AR5="O",AT5="O",AU5="O"),"후보","X"))</f>
        <v/>
      </c>
    </row>
    <row r="6" spans="1:60" s="37" customFormat="1" ht="12" x14ac:dyDescent="0.3">
      <c r="A6" s="74" t="s">
        <v>1418</v>
      </c>
      <c r="B6" s="75" t="s">
        <v>1419</v>
      </c>
      <c r="C6" s="85">
        <v>704</v>
      </c>
      <c r="D6" s="86">
        <v>67.900000000000006</v>
      </c>
      <c r="E6" s="87">
        <v>21</v>
      </c>
      <c r="F6" s="86">
        <v>49.8</v>
      </c>
      <c r="G6" s="17">
        <v>15</v>
      </c>
      <c r="H6" s="88">
        <v>82</v>
      </c>
      <c r="I6" s="89">
        <v>18500</v>
      </c>
      <c r="J6" s="89" t="s">
        <v>99</v>
      </c>
      <c r="K6" s="89"/>
      <c r="L6" s="89"/>
      <c r="M6" s="90">
        <f>I6-K6</f>
        <v>18500</v>
      </c>
      <c r="N6" s="4">
        <f>IF(ISERROR(K6/I6),"",K6/I6)</f>
        <v>0</v>
      </c>
      <c r="O6" s="91">
        <f>I6/E6</f>
        <v>880.95238095238096</v>
      </c>
      <c r="P6" s="91">
        <f>K6/E6</f>
        <v>0</v>
      </c>
      <c r="Q6" s="79">
        <v>2</v>
      </c>
      <c r="R6" s="79">
        <v>1</v>
      </c>
      <c r="S6" s="79" t="s">
        <v>62</v>
      </c>
      <c r="T6" s="5">
        <v>67</v>
      </c>
      <c r="U6" s="9"/>
      <c r="W6" s="86">
        <f>D6</f>
        <v>67.900000000000006</v>
      </c>
      <c r="X6" s="87">
        <f>E6</f>
        <v>21</v>
      </c>
      <c r="Y6" s="92">
        <f>H6</f>
        <v>82</v>
      </c>
      <c r="Z6" s="90">
        <f>I6</f>
        <v>18500</v>
      </c>
      <c r="AA6" s="90">
        <f>K6</f>
        <v>0</v>
      </c>
      <c r="AB6" s="90">
        <f t="shared" si="0"/>
        <v>18500</v>
      </c>
      <c r="AC6" s="4">
        <f t="shared" si="0"/>
        <v>0</v>
      </c>
      <c r="AD6" s="91">
        <f t="shared" si="0"/>
        <v>880.95238095238096</v>
      </c>
      <c r="AE6" s="79" t="str">
        <f>S6</f>
        <v>계</v>
      </c>
      <c r="AF6" s="79" t="str">
        <f>Q6&amp;"/"&amp;R6</f>
        <v>2/1</v>
      </c>
      <c r="AH6" s="20" t="str">
        <f t="shared" si="1"/>
        <v>가경동 가경주공2단지</v>
      </c>
      <c r="AI6" s="87">
        <f t="shared" si="2"/>
        <v>21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60" s="37" customFormat="1" ht="12" x14ac:dyDescent="0.3">
      <c r="A7" s="74" t="s">
        <v>1418</v>
      </c>
      <c r="B7" s="75" t="s">
        <v>1420</v>
      </c>
      <c r="C7" s="85">
        <v>704</v>
      </c>
      <c r="D7" s="86">
        <v>81.7</v>
      </c>
      <c r="E7" s="87">
        <v>25</v>
      </c>
      <c r="F7" s="86">
        <v>59.9</v>
      </c>
      <c r="G7" s="17">
        <v>18</v>
      </c>
      <c r="H7" s="88">
        <v>622</v>
      </c>
      <c r="I7" s="89">
        <v>22000</v>
      </c>
      <c r="J7" s="89" t="s">
        <v>88</v>
      </c>
      <c r="K7" s="89">
        <v>20000</v>
      </c>
      <c r="L7" s="89" t="s">
        <v>65</v>
      </c>
      <c r="M7" s="90">
        <f>I7-K7</f>
        <v>2000</v>
      </c>
      <c r="N7" s="4">
        <f>IF(ISERROR(K7/I7),"",K7/I7)</f>
        <v>0.90909090909090906</v>
      </c>
      <c r="O7" s="91">
        <f>I7/E7</f>
        <v>880</v>
      </c>
      <c r="P7" s="91">
        <f>K7/E7</f>
        <v>800</v>
      </c>
      <c r="Q7" s="79">
        <v>3</v>
      </c>
      <c r="R7" s="79">
        <v>2</v>
      </c>
      <c r="S7" s="79" t="s">
        <v>62</v>
      </c>
      <c r="T7" s="5">
        <v>81</v>
      </c>
      <c r="U7" s="9"/>
      <c r="W7" s="86">
        <f>D7</f>
        <v>81.7</v>
      </c>
      <c r="X7" s="87">
        <f>E7</f>
        <v>25</v>
      </c>
      <c r="Y7" s="92">
        <f>H7</f>
        <v>622</v>
      </c>
      <c r="Z7" s="90">
        <f>I7</f>
        <v>22000</v>
      </c>
      <c r="AA7" s="90">
        <f>K7</f>
        <v>20000</v>
      </c>
      <c r="AB7" s="90">
        <f t="shared" si="0"/>
        <v>2000</v>
      </c>
      <c r="AC7" s="4">
        <f t="shared" si="0"/>
        <v>0.90909090909090906</v>
      </c>
      <c r="AD7" s="91">
        <f t="shared" si="0"/>
        <v>880</v>
      </c>
      <c r="AE7" s="79" t="str">
        <f>S7</f>
        <v>계</v>
      </c>
      <c r="AF7" s="79" t="str">
        <f>Q7&amp;"/"&amp;R7</f>
        <v>3/2</v>
      </c>
      <c r="AH7" s="20" t="str">
        <f t="shared" si="1"/>
        <v>가경동 가경주공2단지</v>
      </c>
      <c r="AI7" s="87">
        <f t="shared" si="2"/>
        <v>25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60" s="37" customFormat="1" ht="12" x14ac:dyDescent="0.3">
      <c r="A8" s="74" t="s">
        <v>1421</v>
      </c>
      <c r="B8" s="75" t="s">
        <v>1422</v>
      </c>
      <c r="C8" s="85">
        <v>201</v>
      </c>
      <c r="D8" s="86">
        <v>109.6</v>
      </c>
      <c r="E8" s="87">
        <v>33</v>
      </c>
      <c r="F8" s="86">
        <v>84.9</v>
      </c>
      <c r="G8" s="17">
        <v>26</v>
      </c>
      <c r="H8" s="88">
        <v>175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66</v>
      </c>
      <c r="U8" s="9"/>
      <c r="W8" s="86">
        <f>D8</f>
        <v>109.6</v>
      </c>
      <c r="X8" s="87">
        <f>E8</f>
        <v>33</v>
      </c>
      <c r="Y8" s="92">
        <f>H8</f>
        <v>175</v>
      </c>
      <c r="Z8" s="90">
        <f>I8</f>
        <v>0</v>
      </c>
      <c r="AA8" s="90">
        <f>K8</f>
        <v>0</v>
      </c>
      <c r="AB8" s="90">
        <f t="shared" si="0"/>
        <v>0</v>
      </c>
      <c r="AC8" s="4" t="str">
        <f t="shared" si="0"/>
        <v/>
      </c>
      <c r="AD8" s="91">
        <f t="shared" si="0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가경동 청주가경아이파크4단지</v>
      </c>
      <c r="AI8" s="87">
        <f t="shared" si="2"/>
        <v>33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60" s="37" customFormat="1" ht="12" x14ac:dyDescent="0.3">
      <c r="A9" s="74" t="s">
        <v>1423</v>
      </c>
      <c r="B9" s="75" t="s">
        <v>1422</v>
      </c>
      <c r="C9" s="85">
        <v>201</v>
      </c>
      <c r="D9" s="86">
        <v>109.4</v>
      </c>
      <c r="E9" s="87">
        <v>33</v>
      </c>
      <c r="F9" s="86">
        <v>84.4</v>
      </c>
      <c r="G9" s="17">
        <v>26</v>
      </c>
      <c r="H9" s="88">
        <v>26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62</v>
      </c>
      <c r="T9" s="5" t="s">
        <v>67</v>
      </c>
      <c r="U9" s="9"/>
      <c r="W9" s="86">
        <f>D9</f>
        <v>109.4</v>
      </c>
      <c r="X9" s="87">
        <f>E9</f>
        <v>33</v>
      </c>
      <c r="Y9" s="92">
        <f>H9</f>
        <v>26</v>
      </c>
      <c r="Z9" s="90">
        <f>I9</f>
        <v>0</v>
      </c>
      <c r="AA9" s="90">
        <f>K9</f>
        <v>0</v>
      </c>
      <c r="AB9" s="90">
        <f t="shared" si="0"/>
        <v>0</v>
      </c>
      <c r="AC9" s="4" t="str">
        <f t="shared" si="0"/>
        <v/>
      </c>
      <c r="AD9" s="91">
        <f t="shared" si="0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가경동 청주가경아이파크4단지</v>
      </c>
      <c r="AI9" s="87">
        <f t="shared" si="2"/>
        <v>33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60" s="37" customFormat="1" ht="12" x14ac:dyDescent="0.3">
      <c r="A10" s="74" t="s">
        <v>1424</v>
      </c>
      <c r="B10" s="75" t="s">
        <v>1425</v>
      </c>
      <c r="C10" s="85">
        <v>992</v>
      </c>
      <c r="D10" s="86">
        <v>99.9</v>
      </c>
      <c r="E10" s="87">
        <v>30</v>
      </c>
      <c r="F10" s="86">
        <v>75.8</v>
      </c>
      <c r="G10" s="17">
        <v>23</v>
      </c>
      <c r="H10" s="88">
        <v>468</v>
      </c>
      <c r="I10" s="89">
        <v>63000</v>
      </c>
      <c r="J10" s="89" t="s">
        <v>68</v>
      </c>
      <c r="K10" s="89">
        <v>38000</v>
      </c>
      <c r="L10" s="89" t="s">
        <v>69</v>
      </c>
      <c r="M10" s="90">
        <f>I10-K10</f>
        <v>25000</v>
      </c>
      <c r="N10" s="4">
        <f>IF(ISERROR(K10/I10),"",K10/I10)</f>
        <v>0.60317460317460314</v>
      </c>
      <c r="O10" s="91">
        <f>I10/E10</f>
        <v>2100</v>
      </c>
      <c r="P10" s="91">
        <f>K10/E10</f>
        <v>1266.6666666666667</v>
      </c>
      <c r="Q10" s="79">
        <v>4</v>
      </c>
      <c r="R10" s="79">
        <v>2</v>
      </c>
      <c r="S10" s="79" t="s">
        <v>62</v>
      </c>
      <c r="T10" s="5">
        <v>99</v>
      </c>
      <c r="U10" s="9"/>
      <c r="W10" s="86">
        <f t="shared" ref="W10:X20" si="3">D10</f>
        <v>99.9</v>
      </c>
      <c r="X10" s="87">
        <f t="shared" si="3"/>
        <v>30</v>
      </c>
      <c r="Y10" s="92">
        <f t="shared" ref="Y10:Z20" si="4">H10</f>
        <v>468</v>
      </c>
      <c r="Z10" s="90">
        <f t="shared" si="4"/>
        <v>63000</v>
      </c>
      <c r="AA10" s="90">
        <f>K10</f>
        <v>38000</v>
      </c>
      <c r="AB10" s="90">
        <f t="shared" si="0"/>
        <v>25000</v>
      </c>
      <c r="AC10" s="4">
        <f t="shared" si="0"/>
        <v>0.60317460317460314</v>
      </c>
      <c r="AD10" s="91">
        <f t="shared" si="0"/>
        <v>2100</v>
      </c>
      <c r="AE10" s="79" t="str">
        <f>S10</f>
        <v>계</v>
      </c>
      <c r="AF10" s="79" t="str">
        <f>Q10&amp;"/"&amp;R10</f>
        <v>4/2</v>
      </c>
      <c r="AH10" s="20" t="str">
        <f t="shared" si="1"/>
        <v>가경동 가경자이</v>
      </c>
      <c r="AI10" s="87">
        <f t="shared" si="2"/>
        <v>30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60" s="37" customFormat="1" ht="12" x14ac:dyDescent="0.3">
      <c r="A11" s="74" t="s">
        <v>1426</v>
      </c>
      <c r="B11" s="75" t="s">
        <v>1425</v>
      </c>
      <c r="C11" s="85">
        <v>992</v>
      </c>
      <c r="D11" s="86">
        <v>110.8</v>
      </c>
      <c r="E11" s="87">
        <v>34</v>
      </c>
      <c r="F11" s="86">
        <v>84.8</v>
      </c>
      <c r="G11" s="17">
        <v>26</v>
      </c>
      <c r="H11" s="88">
        <v>91</v>
      </c>
      <c r="I11" s="89">
        <v>75000</v>
      </c>
      <c r="J11" s="89" t="s">
        <v>70</v>
      </c>
      <c r="K11" s="89">
        <v>48000</v>
      </c>
      <c r="L11" s="89" t="s">
        <v>71</v>
      </c>
      <c r="M11" s="90">
        <f>I11-K11</f>
        <v>27000</v>
      </c>
      <c r="N11" s="4">
        <f>IF(ISERROR(K11/I11),"",K11/I11)</f>
        <v>0.64</v>
      </c>
      <c r="O11" s="91">
        <f>I11/E11</f>
        <v>2205.8823529411766</v>
      </c>
      <c r="P11" s="91">
        <f>K11/E11</f>
        <v>1411.7647058823529</v>
      </c>
      <c r="Q11" s="79">
        <v>4</v>
      </c>
      <c r="R11" s="79">
        <v>2</v>
      </c>
      <c r="S11" s="79" t="s">
        <v>62</v>
      </c>
      <c r="T11" s="5" t="s">
        <v>72</v>
      </c>
      <c r="U11" s="9"/>
      <c r="W11" s="86">
        <f t="shared" si="3"/>
        <v>110.8</v>
      </c>
      <c r="X11" s="87">
        <f t="shared" si="3"/>
        <v>34</v>
      </c>
      <c r="Y11" s="92">
        <f t="shared" si="4"/>
        <v>91</v>
      </c>
      <c r="Z11" s="90">
        <f t="shared" si="4"/>
        <v>75000</v>
      </c>
      <c r="AA11" s="90">
        <f>K11</f>
        <v>48000</v>
      </c>
      <c r="AB11" s="90">
        <f t="shared" si="0"/>
        <v>27000</v>
      </c>
      <c r="AC11" s="4">
        <f t="shared" si="0"/>
        <v>0.64</v>
      </c>
      <c r="AD11" s="91">
        <f t="shared" si="0"/>
        <v>2205.8823529411766</v>
      </c>
      <c r="AE11" s="79" t="str">
        <f>S11</f>
        <v>계</v>
      </c>
      <c r="AF11" s="79" t="str">
        <f>Q11&amp;"/"&amp;R11</f>
        <v>4/2</v>
      </c>
      <c r="AH11" s="20" t="str">
        <f t="shared" si="1"/>
        <v>가경동 가경자이</v>
      </c>
      <c r="AI11" s="87">
        <f t="shared" si="2"/>
        <v>34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X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60" s="37" customFormat="1" ht="12" x14ac:dyDescent="0.3">
      <c r="A12" s="74" t="s">
        <v>1427</v>
      </c>
      <c r="B12" s="75" t="s">
        <v>1428</v>
      </c>
      <c r="C12" s="85">
        <v>992</v>
      </c>
      <c r="D12" s="86">
        <v>111.2</v>
      </c>
      <c r="E12" s="87">
        <v>34</v>
      </c>
      <c r="F12" s="86">
        <v>84.8</v>
      </c>
      <c r="G12" s="17">
        <v>26</v>
      </c>
      <c r="H12" s="88">
        <v>433</v>
      </c>
      <c r="I12" s="89">
        <v>76000</v>
      </c>
      <c r="J12" s="89" t="s">
        <v>1338</v>
      </c>
      <c r="K12" s="89"/>
      <c r="L12" s="89"/>
      <c r="M12" s="90">
        <f>I12-K12</f>
        <v>76000</v>
      </c>
      <c r="N12" s="4">
        <f>IF(ISERROR(K12/I12),"",K12/I12)</f>
        <v>0</v>
      </c>
      <c r="O12" s="91">
        <f>I12/E12</f>
        <v>2235.294117647059</v>
      </c>
      <c r="P12" s="91">
        <f>K12/E12</f>
        <v>0</v>
      </c>
      <c r="Q12" s="79">
        <v>4</v>
      </c>
      <c r="R12" s="79">
        <v>2</v>
      </c>
      <c r="S12" s="79" t="s">
        <v>62</v>
      </c>
      <c r="T12" s="5" t="s">
        <v>73</v>
      </c>
      <c r="U12" s="9"/>
      <c r="W12" s="86">
        <f t="shared" si="3"/>
        <v>111.2</v>
      </c>
      <c r="X12" s="87">
        <f t="shared" si="3"/>
        <v>34</v>
      </c>
      <c r="Y12" s="92">
        <f t="shared" si="4"/>
        <v>433</v>
      </c>
      <c r="Z12" s="90">
        <f t="shared" si="4"/>
        <v>76000</v>
      </c>
      <c r="AA12" s="90">
        <f>K12</f>
        <v>0</v>
      </c>
      <c r="AB12" s="90">
        <f t="shared" si="0"/>
        <v>76000</v>
      </c>
      <c r="AC12" s="4">
        <f t="shared" si="0"/>
        <v>0</v>
      </c>
      <c r="AD12" s="91">
        <f t="shared" si="0"/>
        <v>2235.294117647059</v>
      </c>
      <c r="AE12" s="79" t="str">
        <f>S12</f>
        <v>계</v>
      </c>
      <c r="AF12" s="79" t="str">
        <f>Q12&amp;"/"&amp;R12</f>
        <v>4/2</v>
      </c>
      <c r="AH12" s="20" t="str">
        <f t="shared" si="1"/>
        <v>가경동 가경자이</v>
      </c>
      <c r="AI12" s="87">
        <f t="shared" si="2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X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60" s="37" customFormat="1" ht="12" x14ac:dyDescent="0.3">
      <c r="A13" s="74" t="s">
        <v>1429</v>
      </c>
      <c r="B13" s="75" t="s">
        <v>1430</v>
      </c>
      <c r="C13" s="85">
        <v>385</v>
      </c>
      <c r="D13" s="86">
        <v>159.4</v>
      </c>
      <c r="E13" s="87">
        <v>48</v>
      </c>
      <c r="F13" s="86">
        <v>133.6</v>
      </c>
      <c r="G13" s="17">
        <v>40</v>
      </c>
      <c r="H13" s="88">
        <v>83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 t="s">
        <v>74</v>
      </c>
      <c r="U13" s="9"/>
      <c r="W13" s="86">
        <f t="shared" si="3"/>
        <v>159.4</v>
      </c>
      <c r="X13" s="87">
        <f t="shared" si="3"/>
        <v>48</v>
      </c>
      <c r="Y13" s="92">
        <f t="shared" si="4"/>
        <v>83</v>
      </c>
      <c r="Z13" s="90">
        <f t="shared" si="4"/>
        <v>0</v>
      </c>
      <c r="AA13" s="90">
        <f>K13</f>
        <v>0</v>
      </c>
      <c r="AB13" s="90">
        <f t="shared" si="0"/>
        <v>0</v>
      </c>
      <c r="AC13" s="4" t="str">
        <f t="shared" si="0"/>
        <v/>
      </c>
      <c r="AD13" s="91">
        <f t="shared" si="0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가경동 가경e-편한세상</v>
      </c>
      <c r="AI13" s="87">
        <f t="shared" si="2"/>
        <v>48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60" s="37" customFormat="1" ht="12" x14ac:dyDescent="0.3">
      <c r="A14" s="74" t="s">
        <v>1429</v>
      </c>
      <c r="B14" s="75" t="s">
        <v>1430</v>
      </c>
      <c r="C14" s="85">
        <v>385</v>
      </c>
      <c r="D14" s="86">
        <v>160.80000000000001</v>
      </c>
      <c r="E14" s="87">
        <v>49</v>
      </c>
      <c r="F14" s="86">
        <v>133.80000000000001</v>
      </c>
      <c r="G14" s="17">
        <v>40</v>
      </c>
      <c r="H14" s="88">
        <v>90</v>
      </c>
      <c r="I14" s="89">
        <v>73000</v>
      </c>
      <c r="J14" s="89" t="s">
        <v>71</v>
      </c>
      <c r="K14" s="89">
        <v>50000</v>
      </c>
      <c r="L14" s="89" t="s">
        <v>89</v>
      </c>
      <c r="M14" s="90">
        <f>I14-K14</f>
        <v>23000</v>
      </c>
      <c r="N14" s="4">
        <f>IF(ISERROR(K14/I14),"",K14/I14)</f>
        <v>0.68493150684931503</v>
      </c>
      <c r="O14" s="91">
        <f>I14/E14</f>
        <v>1489.795918367347</v>
      </c>
      <c r="P14" s="91">
        <f>K14/E14</f>
        <v>1020.4081632653061</v>
      </c>
      <c r="Q14" s="79">
        <v>4</v>
      </c>
      <c r="R14" s="79">
        <v>2</v>
      </c>
      <c r="S14" s="79" t="s">
        <v>62</v>
      </c>
      <c r="T14" s="5" t="s">
        <v>76</v>
      </c>
      <c r="U14" s="9"/>
      <c r="W14" s="86">
        <f t="shared" si="3"/>
        <v>160.80000000000001</v>
      </c>
      <c r="X14" s="87">
        <f t="shared" si="3"/>
        <v>49</v>
      </c>
      <c r="Y14" s="92">
        <f t="shared" si="4"/>
        <v>90</v>
      </c>
      <c r="Z14" s="90">
        <f t="shared" si="4"/>
        <v>73000</v>
      </c>
      <c r="AA14" s="90">
        <f>K14</f>
        <v>50000</v>
      </c>
      <c r="AB14" s="90">
        <f t="shared" si="0"/>
        <v>23000</v>
      </c>
      <c r="AC14" s="4">
        <f t="shared" si="0"/>
        <v>0.68493150684931503</v>
      </c>
      <c r="AD14" s="91">
        <f t="shared" si="0"/>
        <v>1489.795918367347</v>
      </c>
      <c r="AE14" s="79" t="str">
        <f>S14</f>
        <v>계</v>
      </c>
      <c r="AF14" s="79" t="str">
        <f>Q14&amp;"/"&amp;R14</f>
        <v>4/2</v>
      </c>
      <c r="AH14" s="20" t="str">
        <f t="shared" si="1"/>
        <v>가경동 가경e-편한세상</v>
      </c>
      <c r="AI14" s="87">
        <f t="shared" si="2"/>
        <v>49</v>
      </c>
      <c r="AJ14" s="79" t="str">
        <f>IF(AI14="","",$AJ$2)</f>
        <v>A-</v>
      </c>
      <c r="AK14" s="79" t="s">
        <v>13</v>
      </c>
      <c r="AL14" s="79" t="s">
        <v>60</v>
      </c>
      <c r="AM14" s="79" t="s">
        <v>61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O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60" s="37" customFormat="1" ht="12" x14ac:dyDescent="0.3">
      <c r="A15" s="74" t="s">
        <v>1431</v>
      </c>
      <c r="B15" s="75" t="s">
        <v>1432</v>
      </c>
      <c r="C15" s="85">
        <v>385</v>
      </c>
      <c r="D15" s="86">
        <v>163.9</v>
      </c>
      <c r="E15" s="87">
        <v>50</v>
      </c>
      <c r="F15" s="86">
        <v>133.6</v>
      </c>
      <c r="G15" s="17">
        <v>40</v>
      </c>
      <c r="H15" s="88">
        <v>42</v>
      </c>
      <c r="I15" s="89">
        <v>73000</v>
      </c>
      <c r="J15" s="89" t="s">
        <v>92</v>
      </c>
      <c r="K15" s="89"/>
      <c r="L15" s="89"/>
      <c r="M15" s="90">
        <f>I15-K15</f>
        <v>73000</v>
      </c>
      <c r="N15" s="4">
        <f>IF(ISERROR(K15/I15),"",K15/I15)</f>
        <v>0</v>
      </c>
      <c r="O15" s="91">
        <f>I15/E15</f>
        <v>1460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 t="s">
        <v>77</v>
      </c>
      <c r="U15" s="9"/>
      <c r="W15" s="86">
        <f t="shared" si="3"/>
        <v>163.9</v>
      </c>
      <c r="X15" s="87">
        <f t="shared" si="3"/>
        <v>50</v>
      </c>
      <c r="Y15" s="92">
        <f t="shared" si="4"/>
        <v>42</v>
      </c>
      <c r="Z15" s="90">
        <f t="shared" si="4"/>
        <v>73000</v>
      </c>
      <c r="AA15" s="90">
        <f>K15</f>
        <v>0</v>
      </c>
      <c r="AB15" s="90">
        <f t="shared" si="0"/>
        <v>73000</v>
      </c>
      <c r="AC15" s="4">
        <f t="shared" si="0"/>
        <v>0</v>
      </c>
      <c r="AD15" s="91">
        <f t="shared" si="0"/>
        <v>1460</v>
      </c>
      <c r="AE15" s="79" t="str">
        <f>S15</f>
        <v>계</v>
      </c>
      <c r="AF15" s="79" t="str">
        <f>Q15&amp;"/"&amp;R15</f>
        <v>4/2</v>
      </c>
      <c r="AH15" s="20" t="str">
        <f t="shared" si="1"/>
        <v>가경동 가경e-편한세상</v>
      </c>
      <c r="AI15" s="87">
        <f t="shared" si="2"/>
        <v>50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60" s="37" customFormat="1" ht="12" x14ac:dyDescent="0.3">
      <c r="A16" s="74" t="s">
        <v>1433</v>
      </c>
      <c r="B16" s="75" t="s">
        <v>1434</v>
      </c>
      <c r="C16" s="85">
        <v>385</v>
      </c>
      <c r="D16" s="86">
        <v>165.3</v>
      </c>
      <c r="E16" s="87">
        <v>50</v>
      </c>
      <c r="F16" s="86">
        <v>133.80000000000001</v>
      </c>
      <c r="G16" s="17">
        <v>40</v>
      </c>
      <c r="H16" s="88">
        <v>90</v>
      </c>
      <c r="I16" s="89">
        <v>69000</v>
      </c>
      <c r="J16" s="89" t="s">
        <v>81</v>
      </c>
      <c r="K16" s="89">
        <v>50000</v>
      </c>
      <c r="L16" s="89" t="s">
        <v>75</v>
      </c>
      <c r="M16" s="90">
        <f>I16-K16</f>
        <v>19000</v>
      </c>
      <c r="N16" s="4">
        <f>IF(ISERROR(K16/I16),"",K16/I16)</f>
        <v>0.72463768115942029</v>
      </c>
      <c r="O16" s="91">
        <f>I16/E16</f>
        <v>1380</v>
      </c>
      <c r="P16" s="91">
        <f>K16/E16</f>
        <v>1000</v>
      </c>
      <c r="Q16" s="79">
        <v>4</v>
      </c>
      <c r="R16" s="79">
        <v>2</v>
      </c>
      <c r="S16" s="79" t="s">
        <v>62</v>
      </c>
      <c r="T16" s="5" t="s">
        <v>78</v>
      </c>
      <c r="U16" s="9"/>
      <c r="W16" s="86">
        <f t="shared" si="3"/>
        <v>165.3</v>
      </c>
      <c r="X16" s="87">
        <f t="shared" si="3"/>
        <v>50</v>
      </c>
      <c r="Y16" s="92">
        <f t="shared" si="4"/>
        <v>90</v>
      </c>
      <c r="Z16" s="90">
        <f t="shared" si="4"/>
        <v>69000</v>
      </c>
      <c r="AA16" s="90">
        <f>K16</f>
        <v>50000</v>
      </c>
      <c r="AB16" s="90">
        <f t="shared" si="0"/>
        <v>19000</v>
      </c>
      <c r="AC16" s="4">
        <f t="shared" si="0"/>
        <v>0.72463768115942029</v>
      </c>
      <c r="AD16" s="91">
        <f t="shared" si="0"/>
        <v>1380</v>
      </c>
      <c r="AE16" s="79" t="str">
        <f>S16</f>
        <v>계</v>
      </c>
      <c r="AF16" s="79" t="str">
        <f>Q16&amp;"/"&amp;R16</f>
        <v>4/2</v>
      </c>
      <c r="AH16" s="20" t="str">
        <f t="shared" si="1"/>
        <v>가경동 가경e-편한세상</v>
      </c>
      <c r="AI16" s="87">
        <f t="shared" si="2"/>
        <v>50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s="37" customFormat="1" ht="12" x14ac:dyDescent="0.3">
      <c r="A17" s="74" t="s">
        <v>1429</v>
      </c>
      <c r="B17" s="75" t="s">
        <v>1430</v>
      </c>
      <c r="C17" s="85">
        <v>385</v>
      </c>
      <c r="D17" s="86">
        <v>194.3</v>
      </c>
      <c r="E17" s="87">
        <v>59</v>
      </c>
      <c r="F17" s="86">
        <v>159.80000000000001</v>
      </c>
      <c r="G17" s="17">
        <v>48</v>
      </c>
      <c r="H17" s="88">
        <v>80</v>
      </c>
      <c r="I17" s="89">
        <v>85000</v>
      </c>
      <c r="J17" s="89" t="s">
        <v>71</v>
      </c>
      <c r="K17" s="89"/>
      <c r="L17" s="89"/>
      <c r="M17" s="90">
        <f>I17-K17</f>
        <v>85000</v>
      </c>
      <c r="N17" s="4">
        <f>IF(ISERROR(K17/I17),"",K17/I17)</f>
        <v>0</v>
      </c>
      <c r="O17" s="91">
        <f>I17/E17</f>
        <v>1440.6779661016949</v>
      </c>
      <c r="P17" s="91">
        <f>K17/E17</f>
        <v>0</v>
      </c>
      <c r="Q17" s="79">
        <v>4</v>
      </c>
      <c r="R17" s="79">
        <v>3</v>
      </c>
      <c r="S17" s="79" t="s">
        <v>62</v>
      </c>
      <c r="T17" s="5">
        <v>194</v>
      </c>
      <c r="U17" s="9"/>
      <c r="W17" s="86">
        <f t="shared" si="3"/>
        <v>194.3</v>
      </c>
      <c r="X17" s="87">
        <f t="shared" si="3"/>
        <v>59</v>
      </c>
      <c r="Y17" s="92">
        <f t="shared" si="4"/>
        <v>80</v>
      </c>
      <c r="Z17" s="90">
        <f t="shared" si="4"/>
        <v>85000</v>
      </c>
      <c r="AA17" s="90">
        <f>K17</f>
        <v>0</v>
      </c>
      <c r="AB17" s="90">
        <f t="shared" si="0"/>
        <v>85000</v>
      </c>
      <c r="AC17" s="4">
        <f t="shared" si="0"/>
        <v>0</v>
      </c>
      <c r="AD17" s="91">
        <f t="shared" si="0"/>
        <v>1440.6779661016949</v>
      </c>
      <c r="AE17" s="79" t="str">
        <f>S17</f>
        <v>계</v>
      </c>
      <c r="AF17" s="79" t="str">
        <f>Q17&amp;"/"&amp;R17</f>
        <v>4/3</v>
      </c>
      <c r="AH17" s="20" t="str">
        <f t="shared" si="1"/>
        <v>가경동 가경e-편한세상</v>
      </c>
      <c r="AI17" s="87">
        <f t="shared" si="2"/>
        <v>59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s="37" customFormat="1" ht="12" x14ac:dyDescent="0.3">
      <c r="A18" s="74" t="s">
        <v>1435</v>
      </c>
      <c r="B18" s="75" t="s">
        <v>1436</v>
      </c>
      <c r="C18" s="85">
        <v>940</v>
      </c>
      <c r="D18" s="86">
        <v>65.099999999999994</v>
      </c>
      <c r="E18" s="87">
        <v>20</v>
      </c>
      <c r="F18" s="86">
        <v>49.8</v>
      </c>
      <c r="G18" s="17">
        <v>15</v>
      </c>
      <c r="H18" s="88">
        <v>60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2</v>
      </c>
      <c r="R18" s="79">
        <v>1</v>
      </c>
      <c r="S18" s="79" t="s">
        <v>62</v>
      </c>
      <c r="T18" s="5">
        <v>65</v>
      </c>
      <c r="U18" s="9"/>
      <c r="W18" s="86">
        <f t="shared" si="3"/>
        <v>65.099999999999994</v>
      </c>
      <c r="X18" s="87">
        <f t="shared" si="3"/>
        <v>20</v>
      </c>
      <c r="Y18" s="92">
        <f t="shared" si="4"/>
        <v>60</v>
      </c>
      <c r="Z18" s="90">
        <f t="shared" si="4"/>
        <v>0</v>
      </c>
      <c r="AA18" s="90">
        <f>K18</f>
        <v>0</v>
      </c>
      <c r="AB18" s="90">
        <f t="shared" si="0"/>
        <v>0</v>
      </c>
      <c r="AC18" s="4" t="str">
        <f t="shared" si="0"/>
        <v/>
      </c>
      <c r="AD18" s="91">
        <f t="shared" si="0"/>
        <v>0</v>
      </c>
      <c r="AE18" s="79" t="str">
        <f>S18</f>
        <v>계</v>
      </c>
      <c r="AF18" s="79" t="str">
        <f>Q18&amp;"/"&amp;R18</f>
        <v>2/1</v>
      </c>
      <c r="AH18" s="20" t="str">
        <f t="shared" si="1"/>
        <v>가경동 가경대원</v>
      </c>
      <c r="AI18" s="87">
        <f t="shared" si="2"/>
        <v>20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/>
      </c>
    </row>
    <row r="19" spans="1:48" s="37" customFormat="1" ht="12" x14ac:dyDescent="0.3">
      <c r="A19" s="74" t="s">
        <v>1435</v>
      </c>
      <c r="B19" s="75" t="s">
        <v>1436</v>
      </c>
      <c r="C19" s="85">
        <v>940</v>
      </c>
      <c r="D19" s="86">
        <v>75.5</v>
      </c>
      <c r="E19" s="87">
        <v>23</v>
      </c>
      <c r="F19" s="86">
        <v>59.9</v>
      </c>
      <c r="G19" s="17">
        <v>18</v>
      </c>
      <c r="H19" s="88">
        <v>600</v>
      </c>
      <c r="I19" s="89">
        <v>19000</v>
      </c>
      <c r="J19" s="89" t="s">
        <v>92</v>
      </c>
      <c r="K19" s="89">
        <v>19000</v>
      </c>
      <c r="L19" s="89" t="s">
        <v>63</v>
      </c>
      <c r="M19" s="90">
        <f>I19-K19</f>
        <v>0</v>
      </c>
      <c r="N19" s="4">
        <f>IF(ISERROR(K19/I19),"",K19/I19)</f>
        <v>1</v>
      </c>
      <c r="O19" s="91">
        <f>I19/E19</f>
        <v>826.08695652173913</v>
      </c>
      <c r="P19" s="91">
        <f>K19/E19</f>
        <v>826.08695652173913</v>
      </c>
      <c r="Q19" s="79">
        <v>3</v>
      </c>
      <c r="R19" s="79">
        <v>1</v>
      </c>
      <c r="S19" s="79" t="s">
        <v>62</v>
      </c>
      <c r="T19" s="5" t="s">
        <v>80</v>
      </c>
      <c r="U19" s="9"/>
      <c r="W19" s="86">
        <f t="shared" si="3"/>
        <v>75.5</v>
      </c>
      <c r="X19" s="87">
        <f t="shared" si="3"/>
        <v>23</v>
      </c>
      <c r="Y19" s="92">
        <f t="shared" si="4"/>
        <v>600</v>
      </c>
      <c r="Z19" s="90">
        <f t="shared" si="4"/>
        <v>19000</v>
      </c>
      <c r="AA19" s="90">
        <f>K19</f>
        <v>19000</v>
      </c>
      <c r="AB19" s="90">
        <f t="shared" si="0"/>
        <v>0</v>
      </c>
      <c r="AC19" s="4">
        <f t="shared" si="0"/>
        <v>1</v>
      </c>
      <c r="AD19" s="91">
        <f t="shared" si="0"/>
        <v>826.08695652173913</v>
      </c>
      <c r="AE19" s="79" t="str">
        <f>S19</f>
        <v>계</v>
      </c>
      <c r="AF19" s="79" t="str">
        <f>Q19&amp;"/"&amp;R19</f>
        <v>3/1</v>
      </c>
      <c r="AH19" s="20" t="str">
        <f t="shared" si="1"/>
        <v>가경동 가경대원</v>
      </c>
      <c r="AI19" s="87">
        <f t="shared" si="2"/>
        <v>23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O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후보</v>
      </c>
    </row>
    <row r="20" spans="1:48" s="37" customFormat="1" ht="12" x14ac:dyDescent="0.3">
      <c r="A20" s="74" t="s">
        <v>1437</v>
      </c>
      <c r="B20" s="75" t="s">
        <v>1438</v>
      </c>
      <c r="C20" s="85">
        <v>940</v>
      </c>
      <c r="D20" s="86">
        <v>75.2</v>
      </c>
      <c r="E20" s="87">
        <v>23</v>
      </c>
      <c r="F20" s="86">
        <v>60</v>
      </c>
      <c r="G20" s="17">
        <v>18</v>
      </c>
      <c r="H20" s="88">
        <v>280</v>
      </c>
      <c r="I20" s="89">
        <v>19200</v>
      </c>
      <c r="J20" s="89" t="s">
        <v>81</v>
      </c>
      <c r="K20" s="89">
        <v>17000</v>
      </c>
      <c r="L20" s="89" t="s">
        <v>70</v>
      </c>
      <c r="M20" s="90">
        <f>I20-K20</f>
        <v>2200</v>
      </c>
      <c r="N20" s="4">
        <f>IF(ISERROR(K20/I20),"",K20/I20)</f>
        <v>0.88541666666666663</v>
      </c>
      <c r="O20" s="91">
        <f>I20/E20</f>
        <v>834.78260869565213</v>
      </c>
      <c r="P20" s="91">
        <f>K20/E20</f>
        <v>739.13043478260875</v>
      </c>
      <c r="Q20" s="79">
        <v>3</v>
      </c>
      <c r="R20" s="79">
        <v>1</v>
      </c>
      <c r="S20" s="79" t="s">
        <v>62</v>
      </c>
      <c r="T20" s="5" t="s">
        <v>82</v>
      </c>
      <c r="U20" s="9"/>
      <c r="W20" s="86">
        <f t="shared" si="3"/>
        <v>75.2</v>
      </c>
      <c r="X20" s="87">
        <f t="shared" si="3"/>
        <v>23</v>
      </c>
      <c r="Y20" s="92">
        <f t="shared" si="4"/>
        <v>280</v>
      </c>
      <c r="Z20" s="90">
        <f t="shared" si="4"/>
        <v>19200</v>
      </c>
      <c r="AA20" s="90">
        <f>K20</f>
        <v>17000</v>
      </c>
      <c r="AB20" s="90">
        <f t="shared" ref="AB20:AD32" si="5">M20</f>
        <v>2200</v>
      </c>
      <c r="AC20" s="4">
        <f t="shared" si="5"/>
        <v>0.88541666666666663</v>
      </c>
      <c r="AD20" s="91">
        <f t="shared" si="5"/>
        <v>834.78260869565213</v>
      </c>
      <c r="AE20" s="79" t="str">
        <f>S20</f>
        <v>계</v>
      </c>
      <c r="AF20" s="79" t="str">
        <f>Q20&amp;"/"&amp;R20</f>
        <v>3/1</v>
      </c>
      <c r="AH20" s="20" t="str">
        <f t="shared" si="1"/>
        <v>가경동 가경대원</v>
      </c>
      <c r="AI20" s="87">
        <f t="shared" si="2"/>
        <v>23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O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후보</v>
      </c>
    </row>
    <row r="21" spans="1:48" s="37" customFormat="1" ht="12" x14ac:dyDescent="0.3">
      <c r="A21" s="74" t="s">
        <v>1439</v>
      </c>
      <c r="B21" s="75" t="s">
        <v>1440</v>
      </c>
      <c r="C21" s="85">
        <v>620</v>
      </c>
      <c r="D21" s="86">
        <v>78.5</v>
      </c>
      <c r="E21" s="87">
        <v>24</v>
      </c>
      <c r="F21" s="86">
        <v>59.9</v>
      </c>
      <c r="G21" s="17">
        <v>18</v>
      </c>
      <c r="H21" s="88">
        <v>420</v>
      </c>
      <c r="I21" s="89">
        <v>15000</v>
      </c>
      <c r="J21" s="89" t="s">
        <v>63</v>
      </c>
      <c r="K21" s="89">
        <v>14500</v>
      </c>
      <c r="L21" s="89" t="s">
        <v>81</v>
      </c>
      <c r="M21" s="90">
        <f>I21-K21</f>
        <v>500</v>
      </c>
      <c r="N21" s="4">
        <f>IF(ISERROR(K21/I21),"",K21/I21)</f>
        <v>0.96666666666666667</v>
      </c>
      <c r="O21" s="91">
        <f>I21/E21</f>
        <v>625</v>
      </c>
      <c r="P21" s="91">
        <f>K21/E21</f>
        <v>604.16666666666663</v>
      </c>
      <c r="Q21" s="79">
        <v>2</v>
      </c>
      <c r="R21" s="79">
        <v>1</v>
      </c>
      <c r="S21" s="79" t="s">
        <v>59</v>
      </c>
      <c r="T21" s="5">
        <v>78</v>
      </c>
      <c r="U21" s="9"/>
      <c r="W21" s="86">
        <f>D21</f>
        <v>78.5</v>
      </c>
      <c r="X21" s="87">
        <f>E21</f>
        <v>24</v>
      </c>
      <c r="Y21" s="92">
        <f>H21</f>
        <v>420</v>
      </c>
      <c r="Z21" s="90">
        <f>I21</f>
        <v>15000</v>
      </c>
      <c r="AA21" s="90">
        <f>K21</f>
        <v>14500</v>
      </c>
      <c r="AB21" s="90">
        <f t="shared" si="5"/>
        <v>500</v>
      </c>
      <c r="AC21" s="4">
        <f t="shared" si="5"/>
        <v>0.96666666666666667</v>
      </c>
      <c r="AD21" s="91">
        <f t="shared" si="5"/>
        <v>625</v>
      </c>
      <c r="AE21" s="79" t="str">
        <f>S21</f>
        <v>복</v>
      </c>
      <c r="AF21" s="79" t="str">
        <f>Q21&amp;"/"&amp;R21</f>
        <v>2/1</v>
      </c>
      <c r="AH21" s="20" t="str">
        <f t="shared" si="1"/>
        <v>가경동 가경세원2차</v>
      </c>
      <c r="AI21" s="87">
        <f t="shared" si="2"/>
        <v>24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후보</v>
      </c>
    </row>
    <row r="22" spans="1:48" s="37" customFormat="1" ht="12" x14ac:dyDescent="0.3">
      <c r="A22" s="74" t="s">
        <v>1439</v>
      </c>
      <c r="B22" s="75" t="s">
        <v>1440</v>
      </c>
      <c r="C22" s="85">
        <v>620</v>
      </c>
      <c r="D22" s="86">
        <v>105.5</v>
      </c>
      <c r="E22" s="87">
        <v>32</v>
      </c>
      <c r="F22" s="86">
        <v>85</v>
      </c>
      <c r="G22" s="17">
        <v>26</v>
      </c>
      <c r="H22" s="88">
        <v>200</v>
      </c>
      <c r="I22" s="89">
        <v>20000</v>
      </c>
      <c r="J22" s="89" t="s">
        <v>79</v>
      </c>
      <c r="K22" s="89"/>
      <c r="L22" s="89"/>
      <c r="M22" s="90">
        <f>I22-K22</f>
        <v>20000</v>
      </c>
      <c r="N22" s="4">
        <f>IF(ISERROR(K22/I22),"",K22/I22)</f>
        <v>0</v>
      </c>
      <c r="O22" s="91">
        <f>I22/E22</f>
        <v>625</v>
      </c>
      <c r="P22" s="91">
        <f>K22/E22</f>
        <v>0</v>
      </c>
      <c r="Q22" s="79">
        <v>3</v>
      </c>
      <c r="R22" s="79">
        <v>2</v>
      </c>
      <c r="S22" s="79" t="s">
        <v>62</v>
      </c>
      <c r="T22" s="5">
        <v>105</v>
      </c>
      <c r="U22" s="9"/>
      <c r="W22" s="86">
        <f>D22</f>
        <v>105.5</v>
      </c>
      <c r="X22" s="87">
        <f>E22</f>
        <v>32</v>
      </c>
      <c r="Y22" s="92">
        <f>H22</f>
        <v>200</v>
      </c>
      <c r="Z22" s="90">
        <f>I22</f>
        <v>20000</v>
      </c>
      <c r="AA22" s="90">
        <f>K22</f>
        <v>0</v>
      </c>
      <c r="AB22" s="90">
        <f t="shared" si="5"/>
        <v>20000</v>
      </c>
      <c r="AC22" s="4">
        <f t="shared" si="5"/>
        <v>0</v>
      </c>
      <c r="AD22" s="91">
        <f t="shared" si="5"/>
        <v>625</v>
      </c>
      <c r="AE22" s="79" t="str">
        <f>S22</f>
        <v>계</v>
      </c>
      <c r="AF22" s="79" t="str">
        <f>Q22&amp;"/"&amp;R22</f>
        <v>3/2</v>
      </c>
      <c r="AH22" s="20" t="str">
        <f t="shared" si="1"/>
        <v>가경동 가경세원2차</v>
      </c>
      <c r="AI22" s="87">
        <f t="shared" si="2"/>
        <v>32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s="37" customFormat="1" ht="12" x14ac:dyDescent="0.3">
      <c r="A23" s="74" t="s">
        <v>1441</v>
      </c>
      <c r="B23" s="75" t="s">
        <v>1442</v>
      </c>
      <c r="C23" s="85">
        <v>575</v>
      </c>
      <c r="D23" s="86">
        <v>130.80000000000001</v>
      </c>
      <c r="E23" s="87">
        <v>40</v>
      </c>
      <c r="F23" s="86">
        <v>104</v>
      </c>
      <c r="G23" s="17">
        <v>31</v>
      </c>
      <c r="H23" s="88">
        <v>80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62</v>
      </c>
      <c r="T23" s="5" t="s">
        <v>84</v>
      </c>
      <c r="U23" s="9"/>
      <c r="W23" s="86">
        <f t="shared" ref="W23:X30" si="6">D23</f>
        <v>130.80000000000001</v>
      </c>
      <c r="X23" s="87">
        <f t="shared" si="6"/>
        <v>40</v>
      </c>
      <c r="Y23" s="92">
        <f t="shared" ref="Y23:Z30" si="7">H23</f>
        <v>80</v>
      </c>
      <c r="Z23" s="90">
        <f t="shared" si="7"/>
        <v>0</v>
      </c>
      <c r="AA23" s="90">
        <f>K23</f>
        <v>0</v>
      </c>
      <c r="AB23" s="90">
        <f t="shared" si="5"/>
        <v>0</v>
      </c>
      <c r="AC23" s="4" t="str">
        <f t="shared" si="5"/>
        <v/>
      </c>
      <c r="AD23" s="91">
        <f t="shared" si="5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가경동 가경푸르지오</v>
      </c>
      <c r="AI23" s="87">
        <f t="shared" si="2"/>
        <v>40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s="37" customFormat="1" ht="12" x14ac:dyDescent="0.3">
      <c r="A24" s="74" t="s">
        <v>1443</v>
      </c>
      <c r="B24" s="75" t="s">
        <v>1442</v>
      </c>
      <c r="C24" s="85">
        <v>575</v>
      </c>
      <c r="D24" s="86">
        <v>131.1</v>
      </c>
      <c r="E24" s="87">
        <v>40</v>
      </c>
      <c r="F24" s="86">
        <v>104</v>
      </c>
      <c r="G24" s="17">
        <v>31</v>
      </c>
      <c r="H24" s="88">
        <v>232</v>
      </c>
      <c r="I24" s="89">
        <v>43000</v>
      </c>
      <c r="J24" s="89" t="s">
        <v>71</v>
      </c>
      <c r="K24" s="89"/>
      <c r="L24" s="89"/>
      <c r="M24" s="90">
        <f>I24-K24</f>
        <v>43000</v>
      </c>
      <c r="N24" s="4">
        <f>IF(ISERROR(K24/I24),"",K24/I24)</f>
        <v>0</v>
      </c>
      <c r="O24" s="91">
        <f>I24/E24</f>
        <v>1075</v>
      </c>
      <c r="P24" s="91">
        <f>K24/E24</f>
        <v>0</v>
      </c>
      <c r="Q24" s="79">
        <v>3</v>
      </c>
      <c r="R24" s="79">
        <v>2</v>
      </c>
      <c r="S24" s="79" t="s">
        <v>62</v>
      </c>
      <c r="T24" s="5" t="s">
        <v>85</v>
      </c>
      <c r="U24" s="9"/>
      <c r="W24" s="86">
        <f t="shared" si="6"/>
        <v>131.1</v>
      </c>
      <c r="X24" s="87">
        <f t="shared" si="6"/>
        <v>40</v>
      </c>
      <c r="Y24" s="92">
        <f t="shared" si="7"/>
        <v>232</v>
      </c>
      <c r="Z24" s="90">
        <f t="shared" si="7"/>
        <v>43000</v>
      </c>
      <c r="AA24" s="90">
        <f>K24</f>
        <v>0</v>
      </c>
      <c r="AB24" s="90">
        <f t="shared" si="5"/>
        <v>43000</v>
      </c>
      <c r="AC24" s="4">
        <f t="shared" si="5"/>
        <v>0</v>
      </c>
      <c r="AD24" s="91">
        <f t="shared" si="5"/>
        <v>1075</v>
      </c>
      <c r="AE24" s="79" t="str">
        <f>S24</f>
        <v>계</v>
      </c>
      <c r="AF24" s="79" t="str">
        <f>Q24&amp;"/"&amp;R24</f>
        <v>3/2</v>
      </c>
      <c r="AH24" s="20" t="str">
        <f t="shared" si="1"/>
        <v>가경동 가경푸르지오</v>
      </c>
      <c r="AI24" s="87">
        <f t="shared" si="2"/>
        <v>40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s="37" customFormat="1" ht="12" x14ac:dyDescent="0.3">
      <c r="A25" s="74" t="s">
        <v>1444</v>
      </c>
      <c r="B25" s="75" t="s">
        <v>1442</v>
      </c>
      <c r="C25" s="85">
        <v>575</v>
      </c>
      <c r="D25" s="86">
        <v>156.6</v>
      </c>
      <c r="E25" s="87">
        <v>47</v>
      </c>
      <c r="F25" s="86">
        <v>125.1</v>
      </c>
      <c r="G25" s="17">
        <v>38</v>
      </c>
      <c r="H25" s="88">
        <v>150</v>
      </c>
      <c r="I25" s="89">
        <v>47000</v>
      </c>
      <c r="J25" s="89" t="s">
        <v>65</v>
      </c>
      <c r="K25" s="89">
        <v>43000</v>
      </c>
      <c r="L25" s="89" t="s">
        <v>69</v>
      </c>
      <c r="M25" s="90">
        <f>I25-K25</f>
        <v>4000</v>
      </c>
      <c r="N25" s="4">
        <f>IF(ISERROR(K25/I25),"",K25/I25)</f>
        <v>0.91489361702127658</v>
      </c>
      <c r="O25" s="91">
        <f>I25/E25</f>
        <v>1000</v>
      </c>
      <c r="P25" s="91">
        <f>K25/E25</f>
        <v>914.89361702127655</v>
      </c>
      <c r="Q25" s="79">
        <v>4</v>
      </c>
      <c r="R25" s="79">
        <v>2</v>
      </c>
      <c r="S25" s="79" t="s">
        <v>62</v>
      </c>
      <c r="T25" s="5">
        <v>156</v>
      </c>
      <c r="U25" s="9"/>
      <c r="W25" s="86">
        <f t="shared" si="6"/>
        <v>156.6</v>
      </c>
      <c r="X25" s="87">
        <f t="shared" si="6"/>
        <v>47</v>
      </c>
      <c r="Y25" s="92">
        <f t="shared" si="7"/>
        <v>150</v>
      </c>
      <c r="Z25" s="90">
        <f t="shared" si="7"/>
        <v>47000</v>
      </c>
      <c r="AA25" s="90">
        <f>K25</f>
        <v>43000</v>
      </c>
      <c r="AB25" s="90">
        <f t="shared" si="5"/>
        <v>4000</v>
      </c>
      <c r="AC25" s="4">
        <f t="shared" si="5"/>
        <v>0.91489361702127658</v>
      </c>
      <c r="AD25" s="91">
        <f t="shared" si="5"/>
        <v>1000</v>
      </c>
      <c r="AE25" s="79" t="str">
        <f>S25</f>
        <v>계</v>
      </c>
      <c r="AF25" s="79" t="str">
        <f>Q25&amp;"/"&amp;R25</f>
        <v>4/2</v>
      </c>
      <c r="AH25" s="20" t="str">
        <f t="shared" si="1"/>
        <v>가경동 가경푸르지오</v>
      </c>
      <c r="AI25" s="87">
        <f t="shared" si="2"/>
        <v>47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X</v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s="37" customFormat="1" ht="12" x14ac:dyDescent="0.3">
      <c r="A26" s="74" t="s">
        <v>1441</v>
      </c>
      <c r="B26" s="75" t="s">
        <v>1442</v>
      </c>
      <c r="C26" s="85">
        <v>575</v>
      </c>
      <c r="D26" s="86">
        <v>160</v>
      </c>
      <c r="E26" s="87">
        <v>48</v>
      </c>
      <c r="F26" s="86">
        <v>128.4</v>
      </c>
      <c r="G26" s="17">
        <v>39</v>
      </c>
      <c r="H26" s="88">
        <v>36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62</v>
      </c>
      <c r="T26" s="5">
        <v>159</v>
      </c>
      <c r="U26" s="9"/>
      <c r="W26" s="86">
        <f t="shared" si="6"/>
        <v>160</v>
      </c>
      <c r="X26" s="87">
        <f t="shared" si="6"/>
        <v>48</v>
      </c>
      <c r="Y26" s="92">
        <f t="shared" si="7"/>
        <v>36</v>
      </c>
      <c r="Z26" s="90">
        <f t="shared" si="7"/>
        <v>0</v>
      </c>
      <c r="AA26" s="90">
        <f>K26</f>
        <v>0</v>
      </c>
      <c r="AB26" s="90">
        <f t="shared" si="5"/>
        <v>0</v>
      </c>
      <c r="AC26" s="4" t="str">
        <f t="shared" si="5"/>
        <v/>
      </c>
      <c r="AD26" s="91">
        <f t="shared" si="5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가경동 가경푸르지오</v>
      </c>
      <c r="AI26" s="87">
        <f t="shared" si="2"/>
        <v>48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s="37" customFormat="1" ht="12" x14ac:dyDescent="0.3">
      <c r="A27" s="74" t="s">
        <v>1444</v>
      </c>
      <c r="B27" s="75" t="s">
        <v>1445</v>
      </c>
      <c r="C27" s="85">
        <v>575</v>
      </c>
      <c r="D27" s="86">
        <v>175.1</v>
      </c>
      <c r="E27" s="87">
        <v>53</v>
      </c>
      <c r="F27" s="86">
        <v>140.9</v>
      </c>
      <c r="G27" s="17">
        <v>43</v>
      </c>
      <c r="H27" s="88">
        <v>77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62</v>
      </c>
      <c r="T27" s="5">
        <v>175</v>
      </c>
      <c r="U27" s="9"/>
      <c r="W27" s="86">
        <f t="shared" si="6"/>
        <v>175.1</v>
      </c>
      <c r="X27" s="87">
        <f t="shared" si="6"/>
        <v>53</v>
      </c>
      <c r="Y27" s="92">
        <f t="shared" si="7"/>
        <v>77</v>
      </c>
      <c r="Z27" s="90">
        <f t="shared" si="7"/>
        <v>0</v>
      </c>
      <c r="AA27" s="90">
        <f>K27</f>
        <v>0</v>
      </c>
      <c r="AB27" s="90">
        <f t="shared" si="5"/>
        <v>0</v>
      </c>
      <c r="AC27" s="4" t="str">
        <f t="shared" si="5"/>
        <v/>
      </c>
      <c r="AD27" s="91">
        <f t="shared" si="5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가경동 가경푸르지오</v>
      </c>
      <c r="AI27" s="87">
        <f t="shared" si="2"/>
        <v>53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s="37" customFormat="1" ht="12" x14ac:dyDescent="0.3">
      <c r="A28" s="74" t="s">
        <v>1446</v>
      </c>
      <c r="B28" s="75" t="s">
        <v>1447</v>
      </c>
      <c r="C28" s="85">
        <v>450</v>
      </c>
      <c r="D28" s="86">
        <v>91.2</v>
      </c>
      <c r="E28" s="87">
        <v>28</v>
      </c>
      <c r="F28" s="86">
        <v>73.099999999999994</v>
      </c>
      <c r="G28" s="17">
        <v>22</v>
      </c>
      <c r="H28" s="88">
        <v>75</v>
      </c>
      <c r="I28" s="89">
        <v>19800</v>
      </c>
      <c r="J28" s="89" t="s">
        <v>81</v>
      </c>
      <c r="K28" s="89"/>
      <c r="L28" s="89"/>
      <c r="M28" s="90">
        <f>I28-K28</f>
        <v>19800</v>
      </c>
      <c r="N28" s="4">
        <f>IF(ISERROR(K28/I28),"",K28/I28)</f>
        <v>0</v>
      </c>
      <c r="O28" s="91">
        <f>I28/E28</f>
        <v>707.14285714285711</v>
      </c>
      <c r="P28" s="91">
        <f>K28/E28</f>
        <v>0</v>
      </c>
      <c r="Q28" s="79">
        <v>3</v>
      </c>
      <c r="R28" s="79">
        <v>1</v>
      </c>
      <c r="S28" s="79" t="s">
        <v>62</v>
      </c>
      <c r="T28" s="5">
        <v>91</v>
      </c>
      <c r="U28" s="9"/>
      <c r="W28" s="86">
        <f t="shared" si="6"/>
        <v>91.2</v>
      </c>
      <c r="X28" s="87">
        <f t="shared" si="6"/>
        <v>28</v>
      </c>
      <c r="Y28" s="92">
        <f t="shared" si="7"/>
        <v>75</v>
      </c>
      <c r="Z28" s="90">
        <f t="shared" si="7"/>
        <v>19800</v>
      </c>
      <c r="AA28" s="90">
        <f>K28</f>
        <v>0</v>
      </c>
      <c r="AB28" s="90">
        <f t="shared" si="5"/>
        <v>19800</v>
      </c>
      <c r="AC28" s="4">
        <f t="shared" si="5"/>
        <v>0</v>
      </c>
      <c r="AD28" s="91">
        <f t="shared" si="5"/>
        <v>707.14285714285711</v>
      </c>
      <c r="AE28" s="79" t="str">
        <f>S28</f>
        <v>계</v>
      </c>
      <c r="AF28" s="79" t="str">
        <f>Q28&amp;"/"&amp;R28</f>
        <v>3/1</v>
      </c>
      <c r="AH28" s="20" t="str">
        <f t="shared" si="1"/>
        <v>가경동 가경태암수정</v>
      </c>
      <c r="AI28" s="87">
        <f t="shared" si="2"/>
        <v>28</v>
      </c>
      <c r="AJ28" s="79" t="str">
        <f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>IF(AI28="","",$AN$2)</f>
        <v>C</v>
      </c>
      <c r="AO28" s="79" t="str">
        <f>IF(N28="","",IF(N28&gt;=$AO$1/100,"O","X"))</f>
        <v>X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X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X</v>
      </c>
    </row>
    <row r="29" spans="1:48" s="37" customFormat="1" ht="12" x14ac:dyDescent="0.3">
      <c r="A29" s="74" t="s">
        <v>1446</v>
      </c>
      <c r="B29" s="75" t="s">
        <v>1436</v>
      </c>
      <c r="C29" s="85">
        <v>450</v>
      </c>
      <c r="D29" s="86">
        <v>103.2</v>
      </c>
      <c r="E29" s="87">
        <v>31</v>
      </c>
      <c r="F29" s="86">
        <v>84.9</v>
      </c>
      <c r="G29" s="17">
        <v>26</v>
      </c>
      <c r="H29" s="88">
        <v>360</v>
      </c>
      <c r="I29" s="89">
        <v>22500</v>
      </c>
      <c r="J29" s="89" t="s">
        <v>64</v>
      </c>
      <c r="K29" s="89"/>
      <c r="L29" s="89"/>
      <c r="M29" s="90">
        <f>I29-K29</f>
        <v>22500</v>
      </c>
      <c r="N29" s="4">
        <f>IF(ISERROR(K29/I29),"",K29/I29)</f>
        <v>0</v>
      </c>
      <c r="O29" s="91">
        <f>I29/E29</f>
        <v>725.80645161290317</v>
      </c>
      <c r="P29" s="91">
        <f>K29/E29</f>
        <v>0</v>
      </c>
      <c r="Q29" s="79">
        <v>3</v>
      </c>
      <c r="R29" s="79">
        <v>2</v>
      </c>
      <c r="S29" s="79" t="s">
        <v>62</v>
      </c>
      <c r="T29" s="5" t="s">
        <v>86</v>
      </c>
      <c r="U29" s="9"/>
      <c r="W29" s="86">
        <f t="shared" si="6"/>
        <v>103.2</v>
      </c>
      <c r="X29" s="87">
        <f t="shared" si="6"/>
        <v>31</v>
      </c>
      <c r="Y29" s="92">
        <f t="shared" si="7"/>
        <v>360</v>
      </c>
      <c r="Z29" s="90">
        <f t="shared" si="7"/>
        <v>22500</v>
      </c>
      <c r="AA29" s="90">
        <f>K29</f>
        <v>0</v>
      </c>
      <c r="AB29" s="90">
        <f t="shared" si="5"/>
        <v>22500</v>
      </c>
      <c r="AC29" s="4">
        <f t="shared" si="5"/>
        <v>0</v>
      </c>
      <c r="AD29" s="91">
        <f t="shared" si="5"/>
        <v>725.80645161290317</v>
      </c>
      <c r="AE29" s="79" t="str">
        <f>S29</f>
        <v>계</v>
      </c>
      <c r="AF29" s="79" t="str">
        <f>Q29&amp;"/"&amp;R29</f>
        <v>3/2</v>
      </c>
      <c r="AH29" s="20" t="str">
        <f t="shared" si="1"/>
        <v>가경동 가경태암수정</v>
      </c>
      <c r="AI29" s="87">
        <f t="shared" si="2"/>
        <v>31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X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X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X</v>
      </c>
    </row>
    <row r="30" spans="1:48" s="37" customFormat="1" ht="12" x14ac:dyDescent="0.3">
      <c r="A30" s="74" t="s">
        <v>1446</v>
      </c>
      <c r="B30" s="75" t="s">
        <v>1436</v>
      </c>
      <c r="C30" s="85">
        <v>450</v>
      </c>
      <c r="D30" s="86">
        <v>103.2</v>
      </c>
      <c r="E30" s="87">
        <v>31</v>
      </c>
      <c r="F30" s="86">
        <v>84.9</v>
      </c>
      <c r="G30" s="17">
        <v>26</v>
      </c>
      <c r="H30" s="88">
        <v>15</v>
      </c>
      <c r="I30" s="89">
        <v>22500</v>
      </c>
      <c r="J30" s="89" t="s">
        <v>64</v>
      </c>
      <c r="K30" s="89"/>
      <c r="L30" s="89"/>
      <c r="M30" s="90">
        <f>I30-K30</f>
        <v>22500</v>
      </c>
      <c r="N30" s="4">
        <f>IF(ISERROR(K30/I30),"",K30/I30)</f>
        <v>0</v>
      </c>
      <c r="O30" s="91">
        <f>I30/E30</f>
        <v>725.80645161290317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 t="s">
        <v>87</v>
      </c>
      <c r="U30" s="9"/>
      <c r="W30" s="86">
        <f t="shared" si="6"/>
        <v>103.2</v>
      </c>
      <c r="X30" s="87">
        <f t="shared" si="6"/>
        <v>31</v>
      </c>
      <c r="Y30" s="92">
        <f t="shared" si="7"/>
        <v>15</v>
      </c>
      <c r="Z30" s="90">
        <f t="shared" si="7"/>
        <v>22500</v>
      </c>
      <c r="AA30" s="90">
        <f>K30</f>
        <v>0</v>
      </c>
      <c r="AB30" s="90">
        <f t="shared" si="5"/>
        <v>22500</v>
      </c>
      <c r="AC30" s="4">
        <f t="shared" si="5"/>
        <v>0</v>
      </c>
      <c r="AD30" s="91">
        <f t="shared" si="5"/>
        <v>725.80645161290317</v>
      </c>
      <c r="AE30" s="79" t="str">
        <f>S30</f>
        <v>계</v>
      </c>
      <c r="AF30" s="79" t="str">
        <f>Q30&amp;"/"&amp;R30</f>
        <v>3/2</v>
      </c>
      <c r="AH30" s="20" t="str">
        <f t="shared" si="1"/>
        <v>가경동 가경태암수정</v>
      </c>
      <c r="AI30" s="87">
        <f t="shared" si="2"/>
        <v>31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s="37" customFormat="1" ht="12" x14ac:dyDescent="0.3">
      <c r="A31" s="74" t="s">
        <v>1448</v>
      </c>
      <c r="B31" s="75" t="s">
        <v>1449</v>
      </c>
      <c r="C31" s="85">
        <v>455</v>
      </c>
      <c r="D31" s="86">
        <v>93.5</v>
      </c>
      <c r="E31" s="87">
        <v>28</v>
      </c>
      <c r="F31" s="86">
        <v>72.599999999999994</v>
      </c>
      <c r="G31" s="17">
        <v>22</v>
      </c>
      <c r="H31" s="88">
        <v>227</v>
      </c>
      <c r="I31" s="89">
        <v>21500</v>
      </c>
      <c r="J31" s="89" t="s">
        <v>81</v>
      </c>
      <c r="K31" s="89">
        <v>20000</v>
      </c>
      <c r="L31" s="89" t="s">
        <v>70</v>
      </c>
      <c r="M31" s="90">
        <f>I31-K31</f>
        <v>1500</v>
      </c>
      <c r="N31" s="4">
        <f>IF(ISERROR(K31/I31),"",K31/I31)</f>
        <v>0.93023255813953487</v>
      </c>
      <c r="O31" s="91">
        <f>I31/E31</f>
        <v>767.85714285714289</v>
      </c>
      <c r="P31" s="91">
        <f>K31/E31</f>
        <v>714.28571428571433</v>
      </c>
      <c r="Q31" s="79">
        <v>3</v>
      </c>
      <c r="R31" s="79">
        <v>1</v>
      </c>
      <c r="S31" s="79" t="s">
        <v>62</v>
      </c>
      <c r="T31" s="5">
        <v>93</v>
      </c>
      <c r="U31" s="9"/>
      <c r="W31" s="86">
        <f>D31</f>
        <v>93.5</v>
      </c>
      <c r="X31" s="87">
        <f>E31</f>
        <v>28</v>
      </c>
      <c r="Y31" s="92">
        <f>H31</f>
        <v>227</v>
      </c>
      <c r="Z31" s="90">
        <f>I31</f>
        <v>21500</v>
      </c>
      <c r="AA31" s="90">
        <f>K31</f>
        <v>20000</v>
      </c>
      <c r="AB31" s="90">
        <f t="shared" si="5"/>
        <v>1500</v>
      </c>
      <c r="AC31" s="4">
        <f t="shared" si="5"/>
        <v>0.93023255813953487</v>
      </c>
      <c r="AD31" s="91">
        <f t="shared" si="5"/>
        <v>767.85714285714289</v>
      </c>
      <c r="AE31" s="79" t="str">
        <f>S31</f>
        <v>계</v>
      </c>
      <c r="AF31" s="79" t="str">
        <f>Q31&amp;"/"&amp;R31</f>
        <v>3/1</v>
      </c>
      <c r="AH31" s="20" t="str">
        <f t="shared" si="1"/>
        <v>가경동 동부</v>
      </c>
      <c r="AI31" s="87">
        <f t="shared" si="2"/>
        <v>28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s="37" customFormat="1" ht="12" x14ac:dyDescent="0.3">
      <c r="A32" s="74" t="s">
        <v>1450</v>
      </c>
      <c r="B32" s="75" t="s">
        <v>1449</v>
      </c>
      <c r="C32" s="85">
        <v>455</v>
      </c>
      <c r="D32" s="86">
        <v>109.7</v>
      </c>
      <c r="E32" s="87">
        <v>33</v>
      </c>
      <c r="F32" s="86">
        <v>84.9</v>
      </c>
      <c r="G32" s="17">
        <v>26</v>
      </c>
      <c r="H32" s="88">
        <v>228</v>
      </c>
      <c r="I32" s="89">
        <v>26500</v>
      </c>
      <c r="J32" s="89" t="s">
        <v>70</v>
      </c>
      <c r="K32" s="89"/>
      <c r="L32" s="89"/>
      <c r="M32" s="90">
        <f>I32-K32</f>
        <v>26500</v>
      </c>
      <c r="N32" s="4">
        <f>IF(ISERROR(K32/I32),"",K32/I32)</f>
        <v>0</v>
      </c>
      <c r="O32" s="91">
        <f>I32/E32</f>
        <v>803.030303030303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>
        <v>109</v>
      </c>
      <c r="U32" s="9"/>
      <c r="W32" s="86">
        <f>D32</f>
        <v>109.7</v>
      </c>
      <c r="X32" s="87">
        <f>E32</f>
        <v>33</v>
      </c>
      <c r="Y32" s="92">
        <f>H32</f>
        <v>228</v>
      </c>
      <c r="Z32" s="90">
        <f>I32</f>
        <v>26500</v>
      </c>
      <c r="AA32" s="90">
        <f>K32</f>
        <v>0</v>
      </c>
      <c r="AB32" s="90">
        <f t="shared" si="5"/>
        <v>26500</v>
      </c>
      <c r="AC32" s="4">
        <f t="shared" si="5"/>
        <v>0</v>
      </c>
      <c r="AD32" s="91">
        <f t="shared" si="5"/>
        <v>803.030303030303</v>
      </c>
      <c r="AE32" s="79" t="str">
        <f>S32</f>
        <v>계</v>
      </c>
      <c r="AF32" s="79" t="str">
        <f>Q32&amp;"/"&amp;R32</f>
        <v>3/2</v>
      </c>
      <c r="AH32" s="20" t="str">
        <f t="shared" si="1"/>
        <v>가경동 동부</v>
      </c>
      <c r="AI32" s="87">
        <f t="shared" si="2"/>
        <v>33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s="37" customFormat="1" ht="12" x14ac:dyDescent="0.3">
      <c r="A33" s="74" t="s">
        <v>1451</v>
      </c>
      <c r="B33" s="75" t="s">
        <v>1452</v>
      </c>
      <c r="C33" s="85">
        <v>321</v>
      </c>
      <c r="D33" s="86">
        <v>109.8</v>
      </c>
      <c r="E33" s="87">
        <v>33</v>
      </c>
      <c r="F33" s="86">
        <v>84.9</v>
      </c>
      <c r="G33" s="17">
        <v>26</v>
      </c>
      <c r="H33" s="88">
        <v>321</v>
      </c>
      <c r="I33" s="89">
        <v>34000</v>
      </c>
      <c r="J33" s="89" t="s">
        <v>88</v>
      </c>
      <c r="K33" s="89">
        <v>28000</v>
      </c>
      <c r="L33" s="89" t="s">
        <v>89</v>
      </c>
      <c r="M33" s="90">
        <f>I33-K33</f>
        <v>6000</v>
      </c>
      <c r="N33" s="4">
        <f>IF(ISERROR(K33/I33),"",K33/I33)</f>
        <v>0.82352941176470584</v>
      </c>
      <c r="O33" s="91">
        <f>I33/E33</f>
        <v>1030.3030303030303</v>
      </c>
      <c r="P33" s="91">
        <f>K33/E33</f>
        <v>848.4848484848485</v>
      </c>
      <c r="Q33" s="79">
        <v>3</v>
      </c>
      <c r="R33" s="79">
        <v>2</v>
      </c>
      <c r="S33" s="79" t="s">
        <v>62</v>
      </c>
      <c r="T33" s="5">
        <v>109</v>
      </c>
      <c r="U33" s="9"/>
      <c r="W33" s="86">
        <f>D33</f>
        <v>109.8</v>
      </c>
      <c r="X33" s="87">
        <f>E33</f>
        <v>33</v>
      </c>
      <c r="Y33" s="92">
        <f>H33</f>
        <v>321</v>
      </c>
      <c r="Z33" s="90">
        <f>I33</f>
        <v>34000</v>
      </c>
      <c r="AA33" s="90">
        <f>K33</f>
        <v>28000</v>
      </c>
      <c r="AB33" s="90">
        <f>M33</f>
        <v>6000</v>
      </c>
      <c r="AC33" s="4">
        <f>N33</f>
        <v>0.82352941176470584</v>
      </c>
      <c r="AD33" s="91">
        <f>O33</f>
        <v>1030.3030303030303</v>
      </c>
      <c r="AE33" s="79" t="str">
        <f>S33</f>
        <v>계</v>
      </c>
      <c r="AF33" s="79" t="str">
        <f>Q33&amp;"/"&amp;R33</f>
        <v>3/2</v>
      </c>
      <c r="AH33" s="20" t="str">
        <f t="shared" si="1"/>
        <v>가경동 청주가경뜨란채8단지</v>
      </c>
      <c r="AI33" s="87">
        <f t="shared" si="2"/>
        <v>33</v>
      </c>
      <c r="AJ33" s="79" t="str">
        <f>IF(AI33="","",$AJ$2)</f>
        <v>A-</v>
      </c>
      <c r="AK33" s="79" t="s">
        <v>13</v>
      </c>
      <c r="AL33" s="79" t="s">
        <v>60</v>
      </c>
      <c r="AM33" s="79" t="s">
        <v>61</v>
      </c>
      <c r="AN33" s="79" t="str">
        <f>IF(AI33="","",$AN$2)</f>
        <v>C</v>
      </c>
      <c r="AO33" s="79" t="str">
        <f>IF(N33="","",IF(N33&gt;=$AO$1/100,"O","X"))</f>
        <v>O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후보</v>
      </c>
    </row>
    <row r="34" spans="1:48" s="37" customFormat="1" ht="12" x14ac:dyDescent="0.3">
      <c r="A34" s="74" t="s">
        <v>1453</v>
      </c>
      <c r="B34" s="75" t="s">
        <v>1454</v>
      </c>
      <c r="C34" s="85">
        <v>983</v>
      </c>
      <c r="D34" s="86">
        <v>109.3</v>
      </c>
      <c r="E34" s="87">
        <v>33</v>
      </c>
      <c r="F34" s="86">
        <v>84.8</v>
      </c>
      <c r="G34" s="17">
        <v>26</v>
      </c>
      <c r="H34" s="88">
        <v>397</v>
      </c>
      <c r="I34" s="89">
        <v>73000</v>
      </c>
      <c r="J34" s="89" t="s">
        <v>71</v>
      </c>
      <c r="K34" s="89">
        <v>50000</v>
      </c>
      <c r="L34" s="89" t="s">
        <v>89</v>
      </c>
      <c r="M34" s="90">
        <f>I34-K34</f>
        <v>23000</v>
      </c>
      <c r="N34" s="4">
        <f>IF(ISERROR(K34/I34),"",K34/I34)</f>
        <v>0.68493150684931503</v>
      </c>
      <c r="O34" s="91">
        <f>I34/E34</f>
        <v>2212.121212121212</v>
      </c>
      <c r="P34" s="91">
        <f>K34/E34</f>
        <v>1515.1515151515152</v>
      </c>
      <c r="Q34" s="79">
        <v>3</v>
      </c>
      <c r="R34" s="79">
        <v>2</v>
      </c>
      <c r="S34" s="79" t="s">
        <v>62</v>
      </c>
      <c r="T34" s="5" t="s">
        <v>66</v>
      </c>
      <c r="U34" s="9"/>
      <c r="W34" s="86">
        <f t="shared" ref="W34:X44" si="8">D34</f>
        <v>109.3</v>
      </c>
      <c r="X34" s="87">
        <f t="shared" si="8"/>
        <v>33</v>
      </c>
      <c r="Y34" s="92">
        <f t="shared" ref="Y34:Z44" si="9">H34</f>
        <v>397</v>
      </c>
      <c r="Z34" s="90">
        <f t="shared" si="9"/>
        <v>73000</v>
      </c>
      <c r="AA34" s="90">
        <f>K34</f>
        <v>50000</v>
      </c>
      <c r="AB34" s="90">
        <f t="shared" ref="AB34:AD49" si="10">M34</f>
        <v>23000</v>
      </c>
      <c r="AC34" s="4">
        <f t="shared" si="10"/>
        <v>0.68493150684931503</v>
      </c>
      <c r="AD34" s="91">
        <f t="shared" si="10"/>
        <v>2212.121212121212</v>
      </c>
      <c r="AE34" s="79" t="str">
        <f>S34</f>
        <v>계</v>
      </c>
      <c r="AF34" s="79" t="str">
        <f>Q34&amp;"/"&amp;R34</f>
        <v>3/2</v>
      </c>
      <c r="AH34" s="20" t="str">
        <f t="shared" si="1"/>
        <v>가경동 청주가경아이파크3단지</v>
      </c>
      <c r="AI34" s="87">
        <f t="shared" si="2"/>
        <v>33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X</v>
      </c>
      <c r="AQ34" s="79" t="str">
        <f>IF(O34="","",IF(O34&lt;=$AQ$1,"O","X"))</f>
        <v>X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s="37" customFormat="1" ht="12" x14ac:dyDescent="0.3">
      <c r="A35" s="74" t="s">
        <v>1453</v>
      </c>
      <c r="B35" s="75" t="s">
        <v>1454</v>
      </c>
      <c r="C35" s="85">
        <v>983</v>
      </c>
      <c r="D35" s="86">
        <v>109.8</v>
      </c>
      <c r="E35" s="87">
        <v>33</v>
      </c>
      <c r="F35" s="86">
        <v>85</v>
      </c>
      <c r="G35" s="17">
        <v>26</v>
      </c>
      <c r="H35" s="88">
        <v>152</v>
      </c>
      <c r="I35" s="89"/>
      <c r="J35" s="89"/>
      <c r="K35" s="89">
        <v>50000</v>
      </c>
      <c r="L35" s="89" t="s">
        <v>89</v>
      </c>
      <c r="M35" s="90">
        <f>I35-K35</f>
        <v>-50000</v>
      </c>
      <c r="N35" s="4" t="str">
        <f>IF(ISERROR(K35/I35),"",K35/I35)</f>
        <v/>
      </c>
      <c r="O35" s="91">
        <f>I35/E35</f>
        <v>0</v>
      </c>
      <c r="P35" s="91">
        <f>K35/E35</f>
        <v>1515.1515151515152</v>
      </c>
      <c r="Q35" s="79">
        <v>3</v>
      </c>
      <c r="R35" s="79">
        <v>2</v>
      </c>
      <c r="S35" s="79" t="s">
        <v>62</v>
      </c>
      <c r="T35" s="5" t="s">
        <v>67</v>
      </c>
      <c r="U35" s="9"/>
      <c r="W35" s="86">
        <f t="shared" si="8"/>
        <v>109.8</v>
      </c>
      <c r="X35" s="87">
        <f t="shared" si="8"/>
        <v>33</v>
      </c>
      <c r="Y35" s="92">
        <f t="shared" si="9"/>
        <v>152</v>
      </c>
      <c r="Z35" s="90">
        <f t="shared" si="9"/>
        <v>0</v>
      </c>
      <c r="AA35" s="90">
        <f>K35</f>
        <v>50000</v>
      </c>
      <c r="AB35" s="90">
        <f t="shared" si="10"/>
        <v>-50000</v>
      </c>
      <c r="AC35" s="4" t="str">
        <f t="shared" si="10"/>
        <v/>
      </c>
      <c r="AD35" s="91">
        <f t="shared" si="10"/>
        <v>0</v>
      </c>
      <c r="AE35" s="79" t="str">
        <f>S35</f>
        <v>계</v>
      </c>
      <c r="AF35" s="79" t="str">
        <f>Q35&amp;"/"&amp;R35</f>
        <v>3/2</v>
      </c>
      <c r="AH35" s="20" t="str">
        <f t="shared" si="1"/>
        <v>가경동 청주가경아이파크3단지</v>
      </c>
      <c r="AI35" s="87">
        <f t="shared" si="2"/>
        <v>33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s="37" customFormat="1" ht="12" x14ac:dyDescent="0.3">
      <c r="A36" s="74" t="s">
        <v>1453</v>
      </c>
      <c r="B36" s="75" t="s">
        <v>1454</v>
      </c>
      <c r="C36" s="85">
        <v>983</v>
      </c>
      <c r="D36" s="86">
        <v>110.1</v>
      </c>
      <c r="E36" s="87">
        <v>33</v>
      </c>
      <c r="F36" s="86">
        <v>85</v>
      </c>
      <c r="G36" s="17">
        <v>26</v>
      </c>
      <c r="H36" s="88">
        <v>86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3</v>
      </c>
      <c r="R36" s="79">
        <v>2</v>
      </c>
      <c r="S36" s="79" t="s">
        <v>62</v>
      </c>
      <c r="T36" s="5" t="s">
        <v>90</v>
      </c>
      <c r="U36" s="9"/>
      <c r="W36" s="86">
        <f t="shared" si="8"/>
        <v>110.1</v>
      </c>
      <c r="X36" s="87">
        <f t="shared" si="8"/>
        <v>33</v>
      </c>
      <c r="Y36" s="92">
        <f t="shared" si="9"/>
        <v>86</v>
      </c>
      <c r="Z36" s="90">
        <f t="shared" si="9"/>
        <v>0</v>
      </c>
      <c r="AA36" s="90">
        <f>K36</f>
        <v>0</v>
      </c>
      <c r="AB36" s="90">
        <f t="shared" si="10"/>
        <v>0</v>
      </c>
      <c r="AC36" s="4" t="str">
        <f t="shared" si="10"/>
        <v/>
      </c>
      <c r="AD36" s="91">
        <f t="shared" si="10"/>
        <v>0</v>
      </c>
      <c r="AE36" s="79" t="str">
        <f>S36</f>
        <v>계</v>
      </c>
      <c r="AF36" s="79" t="str">
        <f>Q36&amp;"/"&amp;R36</f>
        <v>3/2</v>
      </c>
      <c r="AH36" s="20" t="str">
        <f t="shared" si="1"/>
        <v>가경동 청주가경아이파크3단지</v>
      </c>
      <c r="AI36" s="87">
        <f t="shared" si="2"/>
        <v>33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s="37" customFormat="1" ht="12" x14ac:dyDescent="0.3">
      <c r="A37" s="74" t="s">
        <v>1453</v>
      </c>
      <c r="B37" s="75" t="s">
        <v>1454</v>
      </c>
      <c r="C37" s="85">
        <v>983</v>
      </c>
      <c r="D37" s="86">
        <v>135.4</v>
      </c>
      <c r="E37" s="87">
        <v>41</v>
      </c>
      <c r="F37" s="86">
        <v>105.6</v>
      </c>
      <c r="G37" s="17">
        <v>32</v>
      </c>
      <c r="H37" s="88">
        <v>335</v>
      </c>
      <c r="I37" s="89">
        <v>95000</v>
      </c>
      <c r="J37" s="89" t="s">
        <v>89</v>
      </c>
      <c r="K37" s="89">
        <v>63000</v>
      </c>
      <c r="L37" s="89" t="s">
        <v>91</v>
      </c>
      <c r="M37" s="90">
        <f>I37-K37</f>
        <v>32000</v>
      </c>
      <c r="N37" s="4">
        <f>IF(ISERROR(K37/I37),"",K37/I37)</f>
        <v>0.66315789473684206</v>
      </c>
      <c r="O37" s="91">
        <f>I37/E37</f>
        <v>2317.0731707317073</v>
      </c>
      <c r="P37" s="91">
        <f>K37/E37</f>
        <v>1536.5853658536585</v>
      </c>
      <c r="Q37" s="79">
        <v>3</v>
      </c>
      <c r="R37" s="79">
        <v>2</v>
      </c>
      <c r="S37" s="79" t="s">
        <v>62</v>
      </c>
      <c r="T37" s="5">
        <v>135</v>
      </c>
      <c r="U37" s="9"/>
      <c r="W37" s="86">
        <f t="shared" si="8"/>
        <v>135.4</v>
      </c>
      <c r="X37" s="87">
        <f t="shared" si="8"/>
        <v>41</v>
      </c>
      <c r="Y37" s="92">
        <f t="shared" si="9"/>
        <v>335</v>
      </c>
      <c r="Z37" s="90">
        <f t="shared" si="9"/>
        <v>95000</v>
      </c>
      <c r="AA37" s="90">
        <f>K37</f>
        <v>63000</v>
      </c>
      <c r="AB37" s="90">
        <f t="shared" si="10"/>
        <v>32000</v>
      </c>
      <c r="AC37" s="4">
        <f t="shared" si="10"/>
        <v>0.66315789473684206</v>
      </c>
      <c r="AD37" s="91">
        <f t="shared" si="10"/>
        <v>2317.0731707317073</v>
      </c>
      <c r="AE37" s="79" t="str">
        <f>S37</f>
        <v>계</v>
      </c>
      <c r="AF37" s="79" t="str">
        <f>Q37&amp;"/"&amp;R37</f>
        <v>3/2</v>
      </c>
      <c r="AH37" s="20" t="str">
        <f t="shared" si="1"/>
        <v>가경동 청주가경아이파크3단지</v>
      </c>
      <c r="AI37" s="87">
        <f t="shared" si="2"/>
        <v>41</v>
      </c>
      <c r="AJ37" s="79" t="str">
        <f>IF(AI37="","",$AJ$2)</f>
        <v>A-</v>
      </c>
      <c r="AK37" s="79" t="s">
        <v>13</v>
      </c>
      <c r="AL37" s="79" t="s">
        <v>60</v>
      </c>
      <c r="AM37" s="79" t="s">
        <v>61</v>
      </c>
      <c r="AN37" s="79" t="str">
        <f>IF(AI37="","",$AN$2)</f>
        <v>C</v>
      </c>
      <c r="AO37" s="79" t="str">
        <f>IF(N37="","",IF(N37&gt;=$AO$1/100,"O","X"))</f>
        <v>X</v>
      </c>
      <c r="AP37" s="79" t="str">
        <f>IF(I37="","",IF(I37&lt;=$AP$1,"O","X"))</f>
        <v>X</v>
      </c>
      <c r="AQ37" s="79" t="str">
        <f>IF(O37="","",IF(O37&lt;=$AQ$1,"O","X"))</f>
        <v>X</v>
      </c>
      <c r="AR37" s="79" t="str">
        <f>IF(M37="","",IF(M37&lt;=$AR$1,"O","X"))</f>
        <v>X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>X</v>
      </c>
    </row>
    <row r="38" spans="1:48" s="37" customFormat="1" ht="12" x14ac:dyDescent="0.3">
      <c r="A38" s="74" t="s">
        <v>1453</v>
      </c>
      <c r="B38" s="75" t="s">
        <v>1454</v>
      </c>
      <c r="C38" s="85">
        <v>983</v>
      </c>
      <c r="D38" s="86">
        <v>185</v>
      </c>
      <c r="E38" s="87">
        <v>56</v>
      </c>
      <c r="F38" s="86">
        <v>144.4</v>
      </c>
      <c r="G38" s="17">
        <v>44</v>
      </c>
      <c r="H38" s="88">
        <v>13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4</v>
      </c>
      <c r="R38" s="79">
        <v>3</v>
      </c>
      <c r="S38" s="79" t="s">
        <v>62</v>
      </c>
      <c r="T38" s="5">
        <v>184</v>
      </c>
      <c r="U38" s="9"/>
      <c r="W38" s="86">
        <f t="shared" si="8"/>
        <v>185</v>
      </c>
      <c r="X38" s="87">
        <f t="shared" si="8"/>
        <v>56</v>
      </c>
      <c r="Y38" s="92">
        <f t="shared" si="9"/>
        <v>13</v>
      </c>
      <c r="Z38" s="90">
        <f t="shared" si="9"/>
        <v>0</v>
      </c>
      <c r="AA38" s="90">
        <f>K38</f>
        <v>0</v>
      </c>
      <c r="AB38" s="90">
        <f t="shared" si="10"/>
        <v>0</v>
      </c>
      <c r="AC38" s="4" t="str">
        <f t="shared" si="10"/>
        <v/>
      </c>
      <c r="AD38" s="91">
        <f t="shared" si="10"/>
        <v>0</v>
      </c>
      <c r="AE38" s="79" t="str">
        <f>S38</f>
        <v>계</v>
      </c>
      <c r="AF38" s="79" t="str">
        <f>Q38&amp;"/"&amp;R38</f>
        <v>4/3</v>
      </c>
      <c r="AH38" s="20" t="str">
        <f t="shared" si="1"/>
        <v>가경동 청주가경아이파크3단지</v>
      </c>
      <c r="AI38" s="87">
        <f t="shared" si="2"/>
        <v>56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/>
      </c>
    </row>
    <row r="39" spans="1:48" s="37" customFormat="1" ht="12" x14ac:dyDescent="0.3">
      <c r="A39" s="74" t="s">
        <v>1455</v>
      </c>
      <c r="B39" s="75" t="s">
        <v>1456</v>
      </c>
      <c r="C39" s="85">
        <v>664</v>
      </c>
      <c r="D39" s="86">
        <v>97.6</v>
      </c>
      <c r="E39" s="87">
        <v>30</v>
      </c>
      <c r="F39" s="86">
        <v>76</v>
      </c>
      <c r="G39" s="17">
        <v>23</v>
      </c>
      <c r="H39" s="88">
        <v>73</v>
      </c>
      <c r="I39" s="89">
        <v>60000</v>
      </c>
      <c r="J39" s="89" t="s">
        <v>92</v>
      </c>
      <c r="K39" s="89">
        <v>42000</v>
      </c>
      <c r="L39" s="89" t="s">
        <v>69</v>
      </c>
      <c r="M39" s="90">
        <f t="shared" ref="M39:M44" si="11">I39-K39</f>
        <v>18000</v>
      </c>
      <c r="N39" s="4">
        <f t="shared" ref="N39:N44" si="12">IF(ISERROR(K39/I39),"",K39/I39)</f>
        <v>0.7</v>
      </c>
      <c r="O39" s="91">
        <f t="shared" ref="O39:O44" si="13">I39/E39</f>
        <v>2000</v>
      </c>
      <c r="P39" s="91">
        <f t="shared" ref="P39:P44" si="14">K39/E39</f>
        <v>1400</v>
      </c>
      <c r="Q39" s="79">
        <v>3</v>
      </c>
      <c r="R39" s="79">
        <v>2</v>
      </c>
      <c r="S39" s="79" t="s">
        <v>62</v>
      </c>
      <c r="T39" s="5">
        <v>97</v>
      </c>
      <c r="U39" s="9"/>
      <c r="W39" s="86">
        <f t="shared" si="8"/>
        <v>97.6</v>
      </c>
      <c r="X39" s="87">
        <f t="shared" si="8"/>
        <v>30</v>
      </c>
      <c r="Y39" s="92">
        <f t="shared" si="9"/>
        <v>73</v>
      </c>
      <c r="Z39" s="90">
        <f t="shared" si="9"/>
        <v>60000</v>
      </c>
      <c r="AA39" s="90">
        <f t="shared" ref="AA39:AA44" si="15">K39</f>
        <v>42000</v>
      </c>
      <c r="AB39" s="90">
        <f t="shared" si="10"/>
        <v>18000</v>
      </c>
      <c r="AC39" s="4">
        <f t="shared" si="10"/>
        <v>0.7</v>
      </c>
      <c r="AD39" s="91">
        <f t="shared" si="10"/>
        <v>2000</v>
      </c>
      <c r="AE39" s="79" t="str">
        <f t="shared" ref="AE39:AE44" si="16">S39</f>
        <v>계</v>
      </c>
      <c r="AF39" s="79" t="str">
        <f t="shared" ref="AF39:AF44" si="17">Q39&amp;"/"&amp;R39</f>
        <v>3/2</v>
      </c>
      <c r="AH39" s="20" t="str">
        <f t="shared" si="1"/>
        <v>가경동 청주가경아이파크2단지</v>
      </c>
      <c r="AI39" s="87">
        <f t="shared" si="2"/>
        <v>30</v>
      </c>
      <c r="AJ39" s="79" t="str">
        <f t="shared" ref="AJ39:AJ44" si="18"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 t="shared" ref="AN39:AN44" si="19">IF(AI39="","",$AN$2)</f>
        <v>C</v>
      </c>
      <c r="AO39" s="79" t="str">
        <f t="shared" ref="AO39:AO44" si="20">IF(N39="","",IF(N39&gt;=$AO$1/100,"O","X"))</f>
        <v>X</v>
      </c>
      <c r="AP39" s="79" t="str">
        <f t="shared" ref="AP39:AP44" si="21">IF(I39="","",IF(I39&lt;=$AP$1,"O","X"))</f>
        <v>X</v>
      </c>
      <c r="AQ39" s="79" t="str">
        <f t="shared" ref="AQ39:AQ44" si="22">IF(O39="","",IF(O39&lt;=$AQ$1,"O","X"))</f>
        <v>X</v>
      </c>
      <c r="AR39" s="79" t="str">
        <f t="shared" ref="AR39:AR44" si="23">IF(M39="","",IF(M39&lt;=$AR$1,"O","X"))</f>
        <v>X</v>
      </c>
      <c r="AS39" s="79" t="s">
        <v>2</v>
      </c>
      <c r="AT39" s="79" t="str">
        <f t="shared" ref="AT39:AT44" si="24">IF(OR(F39="",AI39=""),"",IF(AND((F39&lt;=85),(AI39&gt;=15)),"O","X"))</f>
        <v>O</v>
      </c>
      <c r="AU39" s="79" t="str">
        <f t="shared" ref="AU39:AU44" si="25">IF(C39="","",IF(C39&gt;=$AU$1,"O","X"))</f>
        <v>O</v>
      </c>
      <c r="AV39" s="79" t="str">
        <f t="shared" ref="AV39:AV44" si="26">IF(AO39="","",IF(AND(AO39="O",AP39="O",AR39="O",AT39="O",AU39="O"),"후보","X"))</f>
        <v>X</v>
      </c>
    </row>
    <row r="40" spans="1:48" s="37" customFormat="1" ht="12" x14ac:dyDescent="0.3">
      <c r="A40" s="74" t="s">
        <v>1455</v>
      </c>
      <c r="B40" s="75" t="s">
        <v>1456</v>
      </c>
      <c r="C40" s="85">
        <v>664</v>
      </c>
      <c r="D40" s="86">
        <v>108</v>
      </c>
      <c r="E40" s="87">
        <v>33</v>
      </c>
      <c r="F40" s="86">
        <v>85</v>
      </c>
      <c r="G40" s="17">
        <v>26</v>
      </c>
      <c r="H40" s="88">
        <v>346</v>
      </c>
      <c r="I40" s="89">
        <v>64900</v>
      </c>
      <c r="J40" s="89" t="s">
        <v>83</v>
      </c>
      <c r="K40" s="89">
        <v>45000</v>
      </c>
      <c r="L40" s="89" t="s">
        <v>79</v>
      </c>
      <c r="M40" s="90">
        <f t="shared" si="11"/>
        <v>19900</v>
      </c>
      <c r="N40" s="4">
        <f t="shared" si="12"/>
        <v>0.69337442218798151</v>
      </c>
      <c r="O40" s="91">
        <f t="shared" si="13"/>
        <v>1966.6666666666667</v>
      </c>
      <c r="P40" s="91">
        <f t="shared" si="14"/>
        <v>1363.6363636363637</v>
      </c>
      <c r="Q40" s="79">
        <v>3</v>
      </c>
      <c r="R40" s="79">
        <v>2</v>
      </c>
      <c r="S40" s="79" t="s">
        <v>62</v>
      </c>
      <c r="T40" s="5" t="s">
        <v>93</v>
      </c>
      <c r="U40" s="9"/>
      <c r="W40" s="86">
        <f t="shared" si="8"/>
        <v>108</v>
      </c>
      <c r="X40" s="87">
        <f t="shared" si="8"/>
        <v>33</v>
      </c>
      <c r="Y40" s="92">
        <f t="shared" si="9"/>
        <v>346</v>
      </c>
      <c r="Z40" s="90">
        <f t="shared" si="9"/>
        <v>64900</v>
      </c>
      <c r="AA40" s="90">
        <f t="shared" si="15"/>
        <v>45000</v>
      </c>
      <c r="AB40" s="90">
        <f t="shared" si="10"/>
        <v>19900</v>
      </c>
      <c r="AC40" s="4">
        <f t="shared" si="10"/>
        <v>0.69337442218798151</v>
      </c>
      <c r="AD40" s="91">
        <f t="shared" si="10"/>
        <v>1966.6666666666667</v>
      </c>
      <c r="AE40" s="79" t="str">
        <f t="shared" si="16"/>
        <v>계</v>
      </c>
      <c r="AF40" s="79" t="str">
        <f t="shared" si="17"/>
        <v>3/2</v>
      </c>
      <c r="AH40" s="20" t="str">
        <f t="shared" si="1"/>
        <v>가경동 청주가경아이파크2단지</v>
      </c>
      <c r="AI40" s="87">
        <f t="shared" si="2"/>
        <v>33</v>
      </c>
      <c r="AJ40" s="79" t="str">
        <f t="shared" si="18"/>
        <v>A-</v>
      </c>
      <c r="AK40" s="79" t="s">
        <v>13</v>
      </c>
      <c r="AL40" s="79" t="s">
        <v>60</v>
      </c>
      <c r="AM40" s="79" t="s">
        <v>61</v>
      </c>
      <c r="AN40" s="79" t="str">
        <f t="shared" si="19"/>
        <v>C</v>
      </c>
      <c r="AO40" s="79" t="str">
        <f t="shared" si="20"/>
        <v>X</v>
      </c>
      <c r="AP40" s="79" t="str">
        <f t="shared" si="21"/>
        <v>X</v>
      </c>
      <c r="AQ40" s="79" t="str">
        <f t="shared" si="22"/>
        <v>X</v>
      </c>
      <c r="AR40" s="79" t="str">
        <f t="shared" si="23"/>
        <v>X</v>
      </c>
      <c r="AS40" s="79" t="s">
        <v>2</v>
      </c>
      <c r="AT40" s="79" t="str">
        <f t="shared" si="24"/>
        <v>O</v>
      </c>
      <c r="AU40" s="79" t="str">
        <f t="shared" si="25"/>
        <v>O</v>
      </c>
      <c r="AV40" s="79" t="str">
        <f t="shared" si="26"/>
        <v>X</v>
      </c>
    </row>
    <row r="41" spans="1:48" s="37" customFormat="1" ht="12" x14ac:dyDescent="0.3">
      <c r="A41" s="74" t="s">
        <v>1457</v>
      </c>
      <c r="B41" s="75" t="s">
        <v>1456</v>
      </c>
      <c r="C41" s="85">
        <v>664</v>
      </c>
      <c r="D41" s="86">
        <v>108.6</v>
      </c>
      <c r="E41" s="87">
        <v>33</v>
      </c>
      <c r="F41" s="86">
        <v>85</v>
      </c>
      <c r="G41" s="17">
        <v>26</v>
      </c>
      <c r="H41" s="88">
        <v>84</v>
      </c>
      <c r="I41" s="89">
        <v>67000</v>
      </c>
      <c r="J41" s="89" t="s">
        <v>75</v>
      </c>
      <c r="K41" s="89"/>
      <c r="L41" s="89"/>
      <c r="M41" s="90">
        <f t="shared" si="11"/>
        <v>67000</v>
      </c>
      <c r="N41" s="4">
        <f t="shared" si="12"/>
        <v>0</v>
      </c>
      <c r="O41" s="91">
        <f t="shared" si="13"/>
        <v>2030.3030303030303</v>
      </c>
      <c r="P41" s="91">
        <f t="shared" si="14"/>
        <v>0</v>
      </c>
      <c r="Q41" s="79">
        <v>3</v>
      </c>
      <c r="R41" s="79">
        <v>2</v>
      </c>
      <c r="S41" s="79" t="s">
        <v>62</v>
      </c>
      <c r="T41" s="5" t="s">
        <v>94</v>
      </c>
      <c r="U41" s="9"/>
      <c r="W41" s="86">
        <f t="shared" si="8"/>
        <v>108.6</v>
      </c>
      <c r="X41" s="87">
        <f t="shared" si="8"/>
        <v>33</v>
      </c>
      <c r="Y41" s="92">
        <f t="shared" si="9"/>
        <v>84</v>
      </c>
      <c r="Z41" s="90">
        <f t="shared" si="9"/>
        <v>67000</v>
      </c>
      <c r="AA41" s="90">
        <f t="shared" si="15"/>
        <v>0</v>
      </c>
      <c r="AB41" s="90">
        <f t="shared" si="10"/>
        <v>67000</v>
      </c>
      <c r="AC41" s="4">
        <f t="shared" si="10"/>
        <v>0</v>
      </c>
      <c r="AD41" s="91">
        <f t="shared" si="10"/>
        <v>2030.3030303030303</v>
      </c>
      <c r="AE41" s="79" t="str">
        <f t="shared" si="16"/>
        <v>계</v>
      </c>
      <c r="AF41" s="79" t="str">
        <f t="shared" si="17"/>
        <v>3/2</v>
      </c>
      <c r="AH41" s="20" t="str">
        <f t="shared" si="1"/>
        <v>가경동 청주가경아이파크2단지</v>
      </c>
      <c r="AI41" s="87">
        <f t="shared" si="2"/>
        <v>33</v>
      </c>
      <c r="AJ41" s="79" t="str">
        <f t="shared" si="18"/>
        <v>A-</v>
      </c>
      <c r="AK41" s="79" t="s">
        <v>13</v>
      </c>
      <c r="AL41" s="79" t="s">
        <v>60</v>
      </c>
      <c r="AM41" s="79" t="s">
        <v>61</v>
      </c>
      <c r="AN41" s="79" t="str">
        <f t="shared" si="19"/>
        <v>C</v>
      </c>
      <c r="AO41" s="79" t="str">
        <f t="shared" si="20"/>
        <v>X</v>
      </c>
      <c r="AP41" s="79" t="str">
        <f t="shared" si="21"/>
        <v>X</v>
      </c>
      <c r="AQ41" s="79" t="str">
        <f t="shared" si="22"/>
        <v>X</v>
      </c>
      <c r="AR41" s="79" t="str">
        <f t="shared" si="23"/>
        <v>X</v>
      </c>
      <c r="AS41" s="79" t="s">
        <v>2</v>
      </c>
      <c r="AT41" s="79" t="str">
        <f t="shared" si="24"/>
        <v>O</v>
      </c>
      <c r="AU41" s="79" t="str">
        <f t="shared" si="25"/>
        <v>O</v>
      </c>
      <c r="AV41" s="79" t="str">
        <f t="shared" si="26"/>
        <v>X</v>
      </c>
    </row>
    <row r="42" spans="1:48" s="37" customFormat="1" ht="12" x14ac:dyDescent="0.3">
      <c r="A42" s="74" t="s">
        <v>1455</v>
      </c>
      <c r="B42" s="75" t="s">
        <v>1456</v>
      </c>
      <c r="C42" s="85">
        <v>664</v>
      </c>
      <c r="D42" s="86">
        <v>134</v>
      </c>
      <c r="E42" s="87">
        <v>41</v>
      </c>
      <c r="F42" s="86">
        <v>105.4</v>
      </c>
      <c r="G42" s="17">
        <v>32</v>
      </c>
      <c r="H42" s="88">
        <v>99</v>
      </c>
      <c r="I42" s="89"/>
      <c r="J42" s="89"/>
      <c r="K42" s="89"/>
      <c r="L42" s="89"/>
      <c r="M42" s="90">
        <f t="shared" si="11"/>
        <v>0</v>
      </c>
      <c r="N42" s="4" t="str">
        <f t="shared" si="12"/>
        <v/>
      </c>
      <c r="O42" s="91">
        <f t="shared" si="13"/>
        <v>0</v>
      </c>
      <c r="P42" s="91">
        <f t="shared" si="14"/>
        <v>0</v>
      </c>
      <c r="Q42" s="79">
        <v>3</v>
      </c>
      <c r="R42" s="79">
        <v>2</v>
      </c>
      <c r="S42" s="79" t="s">
        <v>62</v>
      </c>
      <c r="T42" s="5" t="s">
        <v>95</v>
      </c>
      <c r="U42" s="9"/>
      <c r="W42" s="86">
        <f t="shared" si="8"/>
        <v>134</v>
      </c>
      <c r="X42" s="87">
        <f t="shared" si="8"/>
        <v>41</v>
      </c>
      <c r="Y42" s="92">
        <f t="shared" si="9"/>
        <v>99</v>
      </c>
      <c r="Z42" s="90">
        <f t="shared" si="9"/>
        <v>0</v>
      </c>
      <c r="AA42" s="90">
        <f t="shared" si="15"/>
        <v>0</v>
      </c>
      <c r="AB42" s="90">
        <f t="shared" si="10"/>
        <v>0</v>
      </c>
      <c r="AC42" s="4" t="str">
        <f t="shared" si="10"/>
        <v/>
      </c>
      <c r="AD42" s="91">
        <f t="shared" si="10"/>
        <v>0</v>
      </c>
      <c r="AE42" s="79" t="str">
        <f t="shared" si="16"/>
        <v>계</v>
      </c>
      <c r="AF42" s="79" t="str">
        <f t="shared" si="17"/>
        <v>3/2</v>
      </c>
      <c r="AH42" s="20" t="str">
        <f t="shared" si="1"/>
        <v>가경동 청주가경아이파크2단지</v>
      </c>
      <c r="AI42" s="87">
        <f t="shared" si="2"/>
        <v>41</v>
      </c>
      <c r="AJ42" s="79" t="str">
        <f t="shared" si="18"/>
        <v>A-</v>
      </c>
      <c r="AK42" s="79" t="s">
        <v>13</v>
      </c>
      <c r="AL42" s="79" t="s">
        <v>60</v>
      </c>
      <c r="AM42" s="79" t="s">
        <v>61</v>
      </c>
      <c r="AN42" s="79" t="str">
        <f t="shared" si="19"/>
        <v>C</v>
      </c>
      <c r="AO42" s="79" t="str">
        <f t="shared" si="20"/>
        <v/>
      </c>
      <c r="AP42" s="79" t="str">
        <f t="shared" si="21"/>
        <v/>
      </c>
      <c r="AQ42" s="79" t="str">
        <f t="shared" si="22"/>
        <v>O</v>
      </c>
      <c r="AR42" s="79" t="str">
        <f t="shared" si="23"/>
        <v>O</v>
      </c>
      <c r="AS42" s="79" t="s">
        <v>2</v>
      </c>
      <c r="AT42" s="79" t="str">
        <f t="shared" si="24"/>
        <v>X</v>
      </c>
      <c r="AU42" s="79" t="str">
        <f t="shared" si="25"/>
        <v>O</v>
      </c>
      <c r="AV42" s="79" t="str">
        <f t="shared" si="26"/>
        <v/>
      </c>
    </row>
    <row r="43" spans="1:48" s="37" customFormat="1" ht="12" x14ac:dyDescent="0.3">
      <c r="A43" s="74" t="s">
        <v>1457</v>
      </c>
      <c r="B43" s="75" t="s">
        <v>1458</v>
      </c>
      <c r="C43" s="85">
        <v>664</v>
      </c>
      <c r="D43" s="86">
        <v>134.30000000000001</v>
      </c>
      <c r="E43" s="87">
        <v>41</v>
      </c>
      <c r="F43" s="86">
        <v>105.6</v>
      </c>
      <c r="G43" s="17">
        <v>32</v>
      </c>
      <c r="H43" s="88">
        <v>57</v>
      </c>
      <c r="I43" s="89">
        <v>87500</v>
      </c>
      <c r="J43" s="89" t="s">
        <v>81</v>
      </c>
      <c r="K43" s="89">
        <v>58000</v>
      </c>
      <c r="L43" s="89" t="s">
        <v>89</v>
      </c>
      <c r="M43" s="90">
        <f t="shared" si="11"/>
        <v>29500</v>
      </c>
      <c r="N43" s="4">
        <f t="shared" si="12"/>
        <v>0.66285714285714281</v>
      </c>
      <c r="O43" s="91">
        <f t="shared" si="13"/>
        <v>2134.1463414634145</v>
      </c>
      <c r="P43" s="91">
        <f t="shared" si="14"/>
        <v>1414.6341463414635</v>
      </c>
      <c r="Q43" s="79">
        <v>3</v>
      </c>
      <c r="R43" s="79">
        <v>2</v>
      </c>
      <c r="S43" s="79" t="s">
        <v>62</v>
      </c>
      <c r="T43" s="5" t="s">
        <v>96</v>
      </c>
      <c r="U43" s="9"/>
      <c r="W43" s="86">
        <f t="shared" si="8"/>
        <v>134.30000000000001</v>
      </c>
      <c r="X43" s="87">
        <f t="shared" si="8"/>
        <v>41</v>
      </c>
      <c r="Y43" s="92">
        <f t="shared" si="9"/>
        <v>57</v>
      </c>
      <c r="Z43" s="90">
        <f t="shared" si="9"/>
        <v>87500</v>
      </c>
      <c r="AA43" s="90">
        <f t="shared" si="15"/>
        <v>58000</v>
      </c>
      <c r="AB43" s="90">
        <f t="shared" si="10"/>
        <v>29500</v>
      </c>
      <c r="AC43" s="4">
        <f t="shared" si="10"/>
        <v>0.66285714285714281</v>
      </c>
      <c r="AD43" s="91">
        <f t="shared" si="10"/>
        <v>2134.1463414634145</v>
      </c>
      <c r="AE43" s="79" t="str">
        <f t="shared" si="16"/>
        <v>계</v>
      </c>
      <c r="AF43" s="79" t="str">
        <f t="shared" si="17"/>
        <v>3/2</v>
      </c>
      <c r="AH43" s="20" t="str">
        <f t="shared" si="1"/>
        <v>가경동 청주가경아이파크2단지</v>
      </c>
      <c r="AI43" s="87">
        <f t="shared" si="2"/>
        <v>41</v>
      </c>
      <c r="AJ43" s="79" t="str">
        <f t="shared" si="18"/>
        <v>A-</v>
      </c>
      <c r="AK43" s="79" t="s">
        <v>13</v>
      </c>
      <c r="AL43" s="79" t="s">
        <v>60</v>
      </c>
      <c r="AM43" s="79" t="s">
        <v>61</v>
      </c>
      <c r="AN43" s="79" t="str">
        <f t="shared" si="19"/>
        <v>C</v>
      </c>
      <c r="AO43" s="79" t="str">
        <f t="shared" si="20"/>
        <v>X</v>
      </c>
      <c r="AP43" s="79" t="str">
        <f t="shared" si="21"/>
        <v>X</v>
      </c>
      <c r="AQ43" s="79" t="str">
        <f t="shared" si="22"/>
        <v>X</v>
      </c>
      <c r="AR43" s="79" t="str">
        <f t="shared" si="23"/>
        <v>X</v>
      </c>
      <c r="AS43" s="79" t="s">
        <v>2</v>
      </c>
      <c r="AT43" s="79" t="str">
        <f t="shared" si="24"/>
        <v>X</v>
      </c>
      <c r="AU43" s="79" t="str">
        <f t="shared" si="25"/>
        <v>O</v>
      </c>
      <c r="AV43" s="79" t="str">
        <f t="shared" si="26"/>
        <v>X</v>
      </c>
    </row>
    <row r="44" spans="1:48" s="37" customFormat="1" ht="12" x14ac:dyDescent="0.3">
      <c r="A44" s="74" t="s">
        <v>1455</v>
      </c>
      <c r="B44" s="75" t="s">
        <v>1456</v>
      </c>
      <c r="C44" s="85">
        <v>664</v>
      </c>
      <c r="D44" s="86">
        <v>154.1</v>
      </c>
      <c r="E44" s="87">
        <v>47</v>
      </c>
      <c r="F44" s="86">
        <v>119.8</v>
      </c>
      <c r="G44" s="17">
        <v>36</v>
      </c>
      <c r="H44" s="88">
        <v>5</v>
      </c>
      <c r="I44" s="89">
        <v>125000</v>
      </c>
      <c r="J44" s="89" t="s">
        <v>89</v>
      </c>
      <c r="K44" s="89"/>
      <c r="L44" s="89"/>
      <c r="M44" s="90">
        <f t="shared" si="11"/>
        <v>125000</v>
      </c>
      <c r="N44" s="4">
        <f t="shared" si="12"/>
        <v>0</v>
      </c>
      <c r="O44" s="91">
        <f t="shared" si="13"/>
        <v>2659.5744680851062</v>
      </c>
      <c r="P44" s="91">
        <f t="shared" si="14"/>
        <v>0</v>
      </c>
      <c r="Q44" s="79">
        <v>4</v>
      </c>
      <c r="R44" s="79">
        <v>3</v>
      </c>
      <c r="S44" s="79" t="s">
        <v>62</v>
      </c>
      <c r="T44" s="5">
        <v>154</v>
      </c>
      <c r="U44" s="9"/>
      <c r="W44" s="86">
        <f t="shared" si="8"/>
        <v>154.1</v>
      </c>
      <c r="X44" s="87">
        <f t="shared" si="8"/>
        <v>47</v>
      </c>
      <c r="Y44" s="92">
        <f t="shared" si="9"/>
        <v>5</v>
      </c>
      <c r="Z44" s="90">
        <f t="shared" si="9"/>
        <v>125000</v>
      </c>
      <c r="AA44" s="90">
        <f t="shared" si="15"/>
        <v>0</v>
      </c>
      <c r="AB44" s="90">
        <f t="shared" si="10"/>
        <v>125000</v>
      </c>
      <c r="AC44" s="4">
        <f t="shared" si="10"/>
        <v>0</v>
      </c>
      <c r="AD44" s="91">
        <f t="shared" si="10"/>
        <v>2659.5744680851062</v>
      </c>
      <c r="AE44" s="79" t="str">
        <f t="shared" si="16"/>
        <v>계</v>
      </c>
      <c r="AF44" s="79" t="str">
        <f t="shared" si="17"/>
        <v>4/3</v>
      </c>
      <c r="AH44" s="20" t="str">
        <f t="shared" si="1"/>
        <v>가경동 청주가경아이파크2단지</v>
      </c>
      <c r="AI44" s="87">
        <f t="shared" si="2"/>
        <v>47</v>
      </c>
      <c r="AJ44" s="79" t="str">
        <f t="shared" si="18"/>
        <v>A-</v>
      </c>
      <c r="AK44" s="79" t="s">
        <v>13</v>
      </c>
      <c r="AL44" s="79" t="s">
        <v>60</v>
      </c>
      <c r="AM44" s="79" t="s">
        <v>61</v>
      </c>
      <c r="AN44" s="79" t="str">
        <f t="shared" si="19"/>
        <v>C</v>
      </c>
      <c r="AO44" s="79" t="str">
        <f t="shared" si="20"/>
        <v>X</v>
      </c>
      <c r="AP44" s="79" t="str">
        <f t="shared" si="21"/>
        <v>X</v>
      </c>
      <c r="AQ44" s="79" t="str">
        <f t="shared" si="22"/>
        <v>X</v>
      </c>
      <c r="AR44" s="79" t="str">
        <f t="shared" si="23"/>
        <v>X</v>
      </c>
      <c r="AS44" s="79" t="s">
        <v>2</v>
      </c>
      <c r="AT44" s="79" t="str">
        <f t="shared" si="24"/>
        <v>X</v>
      </c>
      <c r="AU44" s="79" t="str">
        <f t="shared" si="25"/>
        <v>O</v>
      </c>
      <c r="AV44" s="79" t="str">
        <f t="shared" si="26"/>
        <v>X</v>
      </c>
    </row>
    <row r="45" spans="1:48" s="37" customFormat="1" ht="12" x14ac:dyDescent="0.3">
      <c r="A45" s="74" t="s">
        <v>1459</v>
      </c>
      <c r="B45" s="75" t="s">
        <v>1460</v>
      </c>
      <c r="C45" s="85">
        <v>370</v>
      </c>
      <c r="D45" s="86">
        <v>98</v>
      </c>
      <c r="E45" s="87">
        <v>30</v>
      </c>
      <c r="F45" s="86">
        <v>75.2</v>
      </c>
      <c r="G45" s="17">
        <v>23</v>
      </c>
      <c r="H45" s="88">
        <v>30</v>
      </c>
      <c r="I45" s="89">
        <v>31500</v>
      </c>
      <c r="J45" s="89" t="s">
        <v>81</v>
      </c>
      <c r="K45" s="89"/>
      <c r="L45" s="89"/>
      <c r="M45" s="90">
        <f>I45-K45</f>
        <v>31500</v>
      </c>
      <c r="N45" s="4">
        <f>IF(ISERROR(K45/I45),"",K45/I45)</f>
        <v>0</v>
      </c>
      <c r="O45" s="91">
        <f>I45/E45</f>
        <v>1050</v>
      </c>
      <c r="P45" s="91">
        <f>K45/E45</f>
        <v>0</v>
      </c>
      <c r="Q45" s="79">
        <v>3</v>
      </c>
      <c r="R45" s="79">
        <v>2</v>
      </c>
      <c r="S45" s="79" t="s">
        <v>62</v>
      </c>
      <c r="T45" s="5">
        <v>97</v>
      </c>
      <c r="U45" s="9"/>
      <c r="W45" s="86">
        <f>D45</f>
        <v>98</v>
      </c>
      <c r="X45" s="87">
        <f>E45</f>
        <v>30</v>
      </c>
      <c r="Y45" s="92">
        <f>H45</f>
        <v>30</v>
      </c>
      <c r="Z45" s="90">
        <f>I45</f>
        <v>31500</v>
      </c>
      <c r="AA45" s="90">
        <f>K45</f>
        <v>0</v>
      </c>
      <c r="AB45" s="90">
        <f t="shared" si="10"/>
        <v>31500</v>
      </c>
      <c r="AC45" s="4">
        <f t="shared" si="10"/>
        <v>0</v>
      </c>
      <c r="AD45" s="91">
        <f t="shared" si="10"/>
        <v>1050</v>
      </c>
      <c r="AE45" s="79" t="str">
        <f>S45</f>
        <v>계</v>
      </c>
      <c r="AF45" s="79" t="str">
        <f>Q45&amp;"/"&amp;R45</f>
        <v>3/2</v>
      </c>
      <c r="AH45" s="20" t="str">
        <f t="shared" si="1"/>
        <v>가경동 청주가경뜨란채7단지</v>
      </c>
      <c r="AI45" s="87">
        <f t="shared" si="2"/>
        <v>30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s="37" customFormat="1" ht="12" x14ac:dyDescent="0.3">
      <c r="A46" s="74" t="s">
        <v>1461</v>
      </c>
      <c r="B46" s="75" t="s">
        <v>1462</v>
      </c>
      <c r="C46" s="85">
        <v>370</v>
      </c>
      <c r="D46" s="86">
        <v>110.6</v>
      </c>
      <c r="E46" s="87">
        <v>33</v>
      </c>
      <c r="F46" s="86">
        <v>84.9</v>
      </c>
      <c r="G46" s="17">
        <v>26</v>
      </c>
      <c r="H46" s="88">
        <v>340</v>
      </c>
      <c r="I46" s="89">
        <v>33500</v>
      </c>
      <c r="J46" s="89" t="s">
        <v>97</v>
      </c>
      <c r="K46" s="89">
        <v>29000</v>
      </c>
      <c r="L46" s="89" t="s">
        <v>88</v>
      </c>
      <c r="M46" s="90">
        <f>I46-K46</f>
        <v>4500</v>
      </c>
      <c r="N46" s="4">
        <f>IF(ISERROR(K46/I46),"",K46/I46)</f>
        <v>0.86567164179104472</v>
      </c>
      <c r="O46" s="91">
        <f>I46/E46</f>
        <v>1015.1515151515151</v>
      </c>
      <c r="P46" s="91">
        <f>K46/E46</f>
        <v>878.78787878787875</v>
      </c>
      <c r="Q46" s="79">
        <v>3</v>
      </c>
      <c r="R46" s="79">
        <v>2</v>
      </c>
      <c r="S46" s="79" t="s">
        <v>62</v>
      </c>
      <c r="T46" s="5">
        <v>110</v>
      </c>
      <c r="U46" s="9"/>
      <c r="W46" s="86">
        <f>D46</f>
        <v>110.6</v>
      </c>
      <c r="X46" s="87">
        <f>E46</f>
        <v>33</v>
      </c>
      <c r="Y46" s="92">
        <f>H46</f>
        <v>340</v>
      </c>
      <c r="Z46" s="90">
        <f>I46</f>
        <v>33500</v>
      </c>
      <c r="AA46" s="90">
        <f>K46</f>
        <v>29000</v>
      </c>
      <c r="AB46" s="90">
        <f t="shared" si="10"/>
        <v>4500</v>
      </c>
      <c r="AC46" s="4">
        <f t="shared" si="10"/>
        <v>0.86567164179104472</v>
      </c>
      <c r="AD46" s="91">
        <f t="shared" si="10"/>
        <v>1015.1515151515151</v>
      </c>
      <c r="AE46" s="79" t="str">
        <f>S46</f>
        <v>계</v>
      </c>
      <c r="AF46" s="79" t="str">
        <f>Q46&amp;"/"&amp;R46</f>
        <v>3/2</v>
      </c>
      <c r="AH46" s="20" t="str">
        <f t="shared" si="1"/>
        <v>가경동 청주가경뜨란채7단지</v>
      </c>
      <c r="AI46" s="87">
        <f t="shared" si="2"/>
        <v>33</v>
      </c>
      <c r="AJ46" s="79" t="str">
        <f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>IF(AI46="","",$AN$2)</f>
        <v>C</v>
      </c>
      <c r="AO46" s="79" t="str">
        <f>IF(N46="","",IF(N46&gt;=$AO$1/100,"O","X"))</f>
        <v>O</v>
      </c>
      <c r="AP46" s="79" t="str">
        <f>IF(I46="","",IF(I46&lt;=$AP$1,"O","X"))</f>
        <v>O</v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후보</v>
      </c>
    </row>
    <row r="47" spans="1:48" s="37" customFormat="1" ht="12" x14ac:dyDescent="0.3">
      <c r="A47" s="74" t="s">
        <v>1463</v>
      </c>
      <c r="B47" s="75" t="s">
        <v>1464</v>
      </c>
      <c r="C47" s="85">
        <v>925</v>
      </c>
      <c r="D47" s="86">
        <v>109.4</v>
      </c>
      <c r="E47" s="87">
        <v>33</v>
      </c>
      <c r="F47" s="86">
        <v>84.9</v>
      </c>
      <c r="G47" s="17">
        <v>26</v>
      </c>
      <c r="H47" s="88">
        <v>206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3</v>
      </c>
      <c r="R47" s="79">
        <v>2</v>
      </c>
      <c r="S47" s="79" t="s">
        <v>62</v>
      </c>
      <c r="T47" s="5" t="s">
        <v>67</v>
      </c>
      <c r="U47" s="9"/>
      <c r="W47" s="86">
        <f t="shared" ref="W47:X61" si="27">D47</f>
        <v>109.4</v>
      </c>
      <c r="X47" s="87">
        <f t="shared" si="27"/>
        <v>33</v>
      </c>
      <c r="Y47" s="92">
        <f t="shared" ref="Y47:Z61" si="28">H47</f>
        <v>206</v>
      </c>
      <c r="Z47" s="90">
        <f t="shared" si="28"/>
        <v>0</v>
      </c>
      <c r="AA47" s="90">
        <f>K47</f>
        <v>0</v>
      </c>
      <c r="AB47" s="90">
        <f t="shared" si="10"/>
        <v>0</v>
      </c>
      <c r="AC47" s="4" t="str">
        <f t="shared" si="10"/>
        <v/>
      </c>
      <c r="AD47" s="91">
        <f t="shared" si="10"/>
        <v>0</v>
      </c>
      <c r="AE47" s="79" t="str">
        <f>S47</f>
        <v>계</v>
      </c>
      <c r="AF47" s="79" t="str">
        <f>Q47&amp;"/"&amp;R47</f>
        <v>3/2</v>
      </c>
      <c r="AH47" s="20" t="str">
        <f t="shared" si="1"/>
        <v>가경동 가경아이파크5단지</v>
      </c>
      <c r="AI47" s="87">
        <f t="shared" si="2"/>
        <v>33</v>
      </c>
      <c r="AJ47" s="79" t="str">
        <f>IF(AI47="","",$AJ$2)</f>
        <v>A-</v>
      </c>
      <c r="AK47" s="79" t="s">
        <v>13</v>
      </c>
      <c r="AL47" s="79" t="s">
        <v>60</v>
      </c>
      <c r="AM47" s="79" t="s">
        <v>61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/>
      </c>
    </row>
    <row r="48" spans="1:48" s="37" customFormat="1" ht="12" x14ac:dyDescent="0.3">
      <c r="A48" s="74" t="s">
        <v>1465</v>
      </c>
      <c r="B48" s="75" t="s">
        <v>1466</v>
      </c>
      <c r="C48" s="85">
        <v>925</v>
      </c>
      <c r="D48" s="86">
        <v>109.3</v>
      </c>
      <c r="E48" s="87">
        <v>33</v>
      </c>
      <c r="F48" s="86">
        <v>84.8</v>
      </c>
      <c r="G48" s="17">
        <v>26</v>
      </c>
      <c r="H48" s="88">
        <v>199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62</v>
      </c>
      <c r="T48" s="5" t="s">
        <v>98</v>
      </c>
      <c r="U48" s="9"/>
      <c r="W48" s="86">
        <f t="shared" si="27"/>
        <v>109.3</v>
      </c>
      <c r="X48" s="87">
        <f t="shared" si="27"/>
        <v>33</v>
      </c>
      <c r="Y48" s="92">
        <f t="shared" si="28"/>
        <v>199</v>
      </c>
      <c r="Z48" s="90">
        <f t="shared" si="28"/>
        <v>0</v>
      </c>
      <c r="AA48" s="90">
        <f>K48</f>
        <v>0</v>
      </c>
      <c r="AB48" s="90">
        <f t="shared" si="10"/>
        <v>0</v>
      </c>
      <c r="AC48" s="4" t="str">
        <f t="shared" si="10"/>
        <v/>
      </c>
      <c r="AD48" s="91">
        <f t="shared" si="10"/>
        <v>0</v>
      </c>
      <c r="AE48" s="79" t="str">
        <f>S48</f>
        <v>계</v>
      </c>
      <c r="AF48" s="79" t="str">
        <f>Q48&amp;"/"&amp;R48</f>
        <v>3/2</v>
      </c>
      <c r="AH48" s="20" t="str">
        <f t="shared" si="1"/>
        <v>가경동 가경아이파크5단지</v>
      </c>
      <c r="AI48" s="87">
        <f t="shared" si="2"/>
        <v>33</v>
      </c>
      <c r="AJ48" s="79" t="str">
        <f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s="37" customFormat="1" ht="12" x14ac:dyDescent="0.3">
      <c r="A49" s="74" t="s">
        <v>1465</v>
      </c>
      <c r="B49" s="75" t="s">
        <v>1466</v>
      </c>
      <c r="C49" s="85">
        <v>925</v>
      </c>
      <c r="D49" s="86">
        <v>109.1</v>
      </c>
      <c r="E49" s="87">
        <v>33</v>
      </c>
      <c r="F49" s="86">
        <v>84.9</v>
      </c>
      <c r="G49" s="17">
        <v>26</v>
      </c>
      <c r="H49" s="88">
        <v>177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62</v>
      </c>
      <c r="T49" s="5" t="s">
        <v>66</v>
      </c>
      <c r="U49" s="9"/>
      <c r="W49" s="86">
        <f t="shared" si="27"/>
        <v>109.1</v>
      </c>
      <c r="X49" s="87">
        <f t="shared" si="27"/>
        <v>33</v>
      </c>
      <c r="Y49" s="92">
        <f t="shared" si="28"/>
        <v>177</v>
      </c>
      <c r="Z49" s="90">
        <f t="shared" si="28"/>
        <v>0</v>
      </c>
      <c r="AA49" s="90">
        <f>K49</f>
        <v>0</v>
      </c>
      <c r="AB49" s="90">
        <f t="shared" si="10"/>
        <v>0</v>
      </c>
      <c r="AC49" s="4" t="str">
        <f t="shared" si="10"/>
        <v/>
      </c>
      <c r="AD49" s="91">
        <f t="shared" si="10"/>
        <v>0</v>
      </c>
      <c r="AE49" s="79" t="str">
        <f>S49</f>
        <v>계</v>
      </c>
      <c r="AF49" s="79" t="str">
        <f>Q49&amp;"/"&amp;R49</f>
        <v>3/2</v>
      </c>
      <c r="AH49" s="20" t="str">
        <f t="shared" si="1"/>
        <v>가경동 가경아이파크5단지</v>
      </c>
      <c r="AI49" s="87">
        <f t="shared" si="2"/>
        <v>33</v>
      </c>
      <c r="AJ49" s="79" t="str">
        <f>IF(AI49="","",$AJ$2)</f>
        <v>A-</v>
      </c>
      <c r="AK49" s="79" t="s">
        <v>13</v>
      </c>
      <c r="AL49" s="79" t="s">
        <v>60</v>
      </c>
      <c r="AM49" s="79" t="s">
        <v>61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s="37" customFormat="1" ht="12" x14ac:dyDescent="0.3">
      <c r="A50" s="74" t="s">
        <v>1465</v>
      </c>
      <c r="B50" s="75" t="s">
        <v>1466</v>
      </c>
      <c r="C50" s="85">
        <v>925</v>
      </c>
      <c r="D50" s="86">
        <v>130.4</v>
      </c>
      <c r="E50" s="87">
        <v>39</v>
      </c>
      <c r="F50" s="86">
        <v>101.6</v>
      </c>
      <c r="G50" s="17">
        <v>31</v>
      </c>
      <c r="H50" s="88">
        <v>237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3</v>
      </c>
      <c r="R50" s="79">
        <v>2</v>
      </c>
      <c r="S50" s="79" t="s">
        <v>62</v>
      </c>
      <c r="T50" s="5">
        <v>130</v>
      </c>
      <c r="U50" s="9"/>
      <c r="W50" s="86">
        <f t="shared" si="27"/>
        <v>130.4</v>
      </c>
      <c r="X50" s="87">
        <f t="shared" si="27"/>
        <v>39</v>
      </c>
      <c r="Y50" s="92">
        <f t="shared" si="28"/>
        <v>237</v>
      </c>
      <c r="Z50" s="90">
        <f t="shared" si="28"/>
        <v>0</v>
      </c>
      <c r="AA50" s="90">
        <f>K50</f>
        <v>0</v>
      </c>
      <c r="AB50" s="90">
        <f t="shared" ref="AB50:AD65" si="29">M50</f>
        <v>0</v>
      </c>
      <c r="AC50" s="4" t="str">
        <f t="shared" si="29"/>
        <v/>
      </c>
      <c r="AD50" s="91">
        <f t="shared" si="29"/>
        <v>0</v>
      </c>
      <c r="AE50" s="79" t="str">
        <f>S50</f>
        <v>계</v>
      </c>
      <c r="AF50" s="79" t="str">
        <f>Q50&amp;"/"&amp;R50</f>
        <v>3/2</v>
      </c>
      <c r="AH50" s="20" t="str">
        <f t="shared" si="1"/>
        <v>가경동 가경아이파크5단지</v>
      </c>
      <c r="AI50" s="87">
        <f t="shared" si="2"/>
        <v>39</v>
      </c>
      <c r="AJ50" s="79" t="str">
        <f>IF(AI50="","",$AJ$2)</f>
        <v>A-</v>
      </c>
      <c r="AK50" s="79" t="s">
        <v>13</v>
      </c>
      <c r="AL50" s="79" t="s">
        <v>60</v>
      </c>
      <c r="AM50" s="79" t="s">
        <v>61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/>
      </c>
    </row>
    <row r="51" spans="1:48" s="37" customFormat="1" ht="12" x14ac:dyDescent="0.3">
      <c r="A51" s="74" t="s">
        <v>1465</v>
      </c>
      <c r="B51" s="75" t="s">
        <v>1466</v>
      </c>
      <c r="C51" s="85">
        <v>925</v>
      </c>
      <c r="D51" s="86">
        <v>148.9</v>
      </c>
      <c r="E51" s="87">
        <v>45</v>
      </c>
      <c r="F51" s="86">
        <v>117</v>
      </c>
      <c r="G51" s="17">
        <v>35</v>
      </c>
      <c r="H51" s="88">
        <v>106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3</v>
      </c>
      <c r="R51" s="79">
        <v>2</v>
      </c>
      <c r="S51" s="79" t="s">
        <v>62</v>
      </c>
      <c r="T51" s="5">
        <v>148</v>
      </c>
      <c r="U51" s="9"/>
      <c r="W51" s="86">
        <f t="shared" si="27"/>
        <v>148.9</v>
      </c>
      <c r="X51" s="87">
        <f t="shared" si="27"/>
        <v>45</v>
      </c>
      <c r="Y51" s="92">
        <f t="shared" si="28"/>
        <v>106</v>
      </c>
      <c r="Z51" s="90">
        <f t="shared" si="28"/>
        <v>0</v>
      </c>
      <c r="AA51" s="90">
        <f>K51</f>
        <v>0</v>
      </c>
      <c r="AB51" s="90">
        <f t="shared" si="29"/>
        <v>0</v>
      </c>
      <c r="AC51" s="4" t="str">
        <f t="shared" si="29"/>
        <v/>
      </c>
      <c r="AD51" s="91">
        <f t="shared" si="29"/>
        <v>0</v>
      </c>
      <c r="AE51" s="79" t="str">
        <f>S51</f>
        <v>계</v>
      </c>
      <c r="AF51" s="79" t="str">
        <f>Q51&amp;"/"&amp;R51</f>
        <v>3/2</v>
      </c>
      <c r="AH51" s="20" t="str">
        <f t="shared" si="1"/>
        <v>가경동 가경아이파크5단지</v>
      </c>
      <c r="AI51" s="87">
        <f t="shared" si="2"/>
        <v>45</v>
      </c>
      <c r="AJ51" s="79" t="str">
        <f>IF(AI51="","",$AJ$2)</f>
        <v>A-</v>
      </c>
      <c r="AK51" s="79" t="s">
        <v>13</v>
      </c>
      <c r="AL51" s="79" t="s">
        <v>60</v>
      </c>
      <c r="AM51" s="79" t="s">
        <v>61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s="37" customFormat="1" ht="12" x14ac:dyDescent="0.3">
      <c r="A52" s="74" t="s">
        <v>1467</v>
      </c>
      <c r="B52" s="75" t="s">
        <v>1468</v>
      </c>
      <c r="C52" s="85">
        <v>386</v>
      </c>
      <c r="D52" s="86">
        <v>80.5</v>
      </c>
      <c r="E52" s="87">
        <v>24</v>
      </c>
      <c r="F52" s="86">
        <v>64.7</v>
      </c>
      <c r="G52" s="17">
        <v>20</v>
      </c>
      <c r="H52" s="88">
        <v>60</v>
      </c>
      <c r="I52" s="89">
        <v>19000</v>
      </c>
      <c r="J52" s="89" t="s">
        <v>71</v>
      </c>
      <c r="K52" s="89"/>
      <c r="L52" s="89"/>
      <c r="M52" s="90">
        <f>I52-K52</f>
        <v>19000</v>
      </c>
      <c r="N52" s="4">
        <f>IF(ISERROR(K52/I52),"",K52/I52)</f>
        <v>0</v>
      </c>
      <c r="O52" s="91">
        <f>I52/E52</f>
        <v>791.66666666666663</v>
      </c>
      <c r="P52" s="91">
        <f>K52/E52</f>
        <v>0</v>
      </c>
      <c r="Q52" s="79">
        <v>3</v>
      </c>
      <c r="R52" s="79">
        <v>1</v>
      </c>
      <c r="S52" s="79" t="s">
        <v>62</v>
      </c>
      <c r="T52" s="5">
        <v>80</v>
      </c>
      <c r="U52" s="9"/>
      <c r="W52" s="86">
        <f t="shared" si="27"/>
        <v>80.5</v>
      </c>
      <c r="X52" s="87">
        <f t="shared" si="27"/>
        <v>24</v>
      </c>
      <c r="Y52" s="92">
        <f t="shared" si="28"/>
        <v>60</v>
      </c>
      <c r="Z52" s="90">
        <f t="shared" si="28"/>
        <v>19000</v>
      </c>
      <c r="AA52" s="90">
        <f>K52</f>
        <v>0</v>
      </c>
      <c r="AB52" s="90">
        <f t="shared" si="29"/>
        <v>19000</v>
      </c>
      <c r="AC52" s="4">
        <f t="shared" si="29"/>
        <v>0</v>
      </c>
      <c r="AD52" s="91">
        <f t="shared" si="29"/>
        <v>791.66666666666663</v>
      </c>
      <c r="AE52" s="79" t="str">
        <f>S52</f>
        <v>계</v>
      </c>
      <c r="AF52" s="79" t="str">
        <f>Q52&amp;"/"&amp;R52</f>
        <v>3/1</v>
      </c>
      <c r="AH52" s="20" t="str">
        <f t="shared" si="1"/>
        <v>가경동 대림가경</v>
      </c>
      <c r="AI52" s="87">
        <f t="shared" si="2"/>
        <v>24</v>
      </c>
      <c r="AJ52" s="79" t="str">
        <f>IF(AI52="","",$AJ$2)</f>
        <v>A-</v>
      </c>
      <c r="AK52" s="79" t="s">
        <v>13</v>
      </c>
      <c r="AL52" s="79" t="s">
        <v>60</v>
      </c>
      <c r="AM52" s="79" t="s">
        <v>61</v>
      </c>
      <c r="AN52" s="79" t="str">
        <f>IF(AI52="","",$AN$2)</f>
        <v>C</v>
      </c>
      <c r="AO52" s="79" t="str">
        <f>IF(N52="","",IF(N52&gt;=$AO$1/100,"O","X"))</f>
        <v>X</v>
      </c>
      <c r="AP52" s="79" t="str">
        <f>IF(I52="","",IF(I52&lt;=$AP$1,"O","X"))</f>
        <v>O</v>
      </c>
      <c r="AQ52" s="79" t="str">
        <f>IF(O52="","",IF(O52&lt;=$AQ$1,"O","X"))</f>
        <v>O</v>
      </c>
      <c r="AR52" s="79" t="str">
        <f>IF(M52="","",IF(M52&lt;=$AR$1,"O","X"))</f>
        <v>X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>X</v>
      </c>
    </row>
    <row r="53" spans="1:48" s="37" customFormat="1" ht="12" x14ac:dyDescent="0.3">
      <c r="A53" s="74" t="s">
        <v>1467</v>
      </c>
      <c r="B53" s="75" t="s">
        <v>1468</v>
      </c>
      <c r="C53" s="85">
        <v>386</v>
      </c>
      <c r="D53" s="86">
        <v>106.2</v>
      </c>
      <c r="E53" s="87">
        <v>32</v>
      </c>
      <c r="F53" s="86">
        <v>84.8</v>
      </c>
      <c r="G53" s="17">
        <v>26</v>
      </c>
      <c r="H53" s="88">
        <v>84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3</v>
      </c>
      <c r="R53" s="79">
        <v>2</v>
      </c>
      <c r="S53" s="79" t="s">
        <v>62</v>
      </c>
      <c r="T53" s="5">
        <v>106</v>
      </c>
      <c r="U53" s="9"/>
      <c r="W53" s="86">
        <f t="shared" si="27"/>
        <v>106.2</v>
      </c>
      <c r="X53" s="87">
        <f t="shared" si="27"/>
        <v>32</v>
      </c>
      <c r="Y53" s="92">
        <f t="shared" si="28"/>
        <v>84</v>
      </c>
      <c r="Z53" s="90">
        <f t="shared" si="28"/>
        <v>0</v>
      </c>
      <c r="AA53" s="90">
        <f>K53</f>
        <v>0</v>
      </c>
      <c r="AB53" s="90">
        <f t="shared" si="29"/>
        <v>0</v>
      </c>
      <c r="AC53" s="4" t="str">
        <f t="shared" si="29"/>
        <v/>
      </c>
      <c r="AD53" s="91">
        <f t="shared" si="29"/>
        <v>0</v>
      </c>
      <c r="AE53" s="79" t="str">
        <f>S53</f>
        <v>계</v>
      </c>
      <c r="AF53" s="79" t="str">
        <f>Q53&amp;"/"&amp;R53</f>
        <v>3/2</v>
      </c>
      <c r="AH53" s="20" t="str">
        <f t="shared" si="1"/>
        <v>가경동 대림가경</v>
      </c>
      <c r="AI53" s="87">
        <f t="shared" si="2"/>
        <v>32</v>
      </c>
      <c r="AJ53" s="79" t="str">
        <f>IF(AI53="","",$AJ$2)</f>
        <v>A-</v>
      </c>
      <c r="AK53" s="79" t="s">
        <v>13</v>
      </c>
      <c r="AL53" s="79" t="s">
        <v>60</v>
      </c>
      <c r="AM53" s="79" t="s">
        <v>61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/>
      </c>
    </row>
    <row r="54" spans="1:48" s="37" customFormat="1" ht="12" x14ac:dyDescent="0.3">
      <c r="A54" s="74" t="s">
        <v>1467</v>
      </c>
      <c r="B54" s="75" t="s">
        <v>1468</v>
      </c>
      <c r="C54" s="85">
        <v>386</v>
      </c>
      <c r="D54" s="86">
        <v>122</v>
      </c>
      <c r="E54" s="87">
        <v>37</v>
      </c>
      <c r="F54" s="86">
        <v>101.8</v>
      </c>
      <c r="G54" s="17">
        <v>31</v>
      </c>
      <c r="H54" s="88">
        <v>242</v>
      </c>
      <c r="I54" s="89">
        <v>22000</v>
      </c>
      <c r="J54" s="89" t="s">
        <v>71</v>
      </c>
      <c r="K54" s="89"/>
      <c r="L54" s="89"/>
      <c r="M54" s="90">
        <f>I54-K54</f>
        <v>22000</v>
      </c>
      <c r="N54" s="4">
        <f>IF(ISERROR(K54/I54),"",K54/I54)</f>
        <v>0</v>
      </c>
      <c r="O54" s="91">
        <f>I54/E54</f>
        <v>594.59459459459458</v>
      </c>
      <c r="P54" s="91">
        <f>K54/E54</f>
        <v>0</v>
      </c>
      <c r="Q54" s="79">
        <v>4</v>
      </c>
      <c r="R54" s="79">
        <v>2</v>
      </c>
      <c r="S54" s="79" t="s">
        <v>62</v>
      </c>
      <c r="T54" s="5">
        <v>122</v>
      </c>
      <c r="U54" s="9"/>
      <c r="W54" s="86">
        <f t="shared" si="27"/>
        <v>122</v>
      </c>
      <c r="X54" s="87">
        <f t="shared" si="27"/>
        <v>37</v>
      </c>
      <c r="Y54" s="92">
        <f t="shared" si="28"/>
        <v>242</v>
      </c>
      <c r="Z54" s="90">
        <f t="shared" si="28"/>
        <v>22000</v>
      </c>
      <c r="AA54" s="90">
        <f>K54</f>
        <v>0</v>
      </c>
      <c r="AB54" s="90">
        <f t="shared" si="29"/>
        <v>22000</v>
      </c>
      <c r="AC54" s="4">
        <f t="shared" si="29"/>
        <v>0</v>
      </c>
      <c r="AD54" s="91">
        <f t="shared" si="29"/>
        <v>594.59459459459458</v>
      </c>
      <c r="AE54" s="79" t="str">
        <f>S54</f>
        <v>계</v>
      </c>
      <c r="AF54" s="79" t="str">
        <f>Q54&amp;"/"&amp;R54</f>
        <v>4/2</v>
      </c>
      <c r="AH54" s="20" t="str">
        <f t="shared" si="1"/>
        <v>가경동 대림가경</v>
      </c>
      <c r="AI54" s="87">
        <f t="shared" si="2"/>
        <v>37</v>
      </c>
      <c r="AJ54" s="79" t="str">
        <f>IF(AI54="","",$AJ$2)</f>
        <v>A-</v>
      </c>
      <c r="AK54" s="79" t="s">
        <v>13</v>
      </c>
      <c r="AL54" s="79" t="s">
        <v>60</v>
      </c>
      <c r="AM54" s="79" t="s">
        <v>61</v>
      </c>
      <c r="AN54" s="79" t="str">
        <f>IF(AI54="","",$AN$2)</f>
        <v>C</v>
      </c>
      <c r="AO54" s="79" t="str">
        <f>IF(N54="","",IF(N54&gt;=$AO$1/100,"O","X"))</f>
        <v>X</v>
      </c>
      <c r="AP54" s="79" t="str">
        <f>IF(I54="","",IF(I54&lt;=$AP$1,"O","X"))</f>
        <v>O</v>
      </c>
      <c r="AQ54" s="79" t="str">
        <f>IF(O54="","",IF(O54&lt;=$AQ$1,"O","X"))</f>
        <v>O</v>
      </c>
      <c r="AR54" s="79" t="str">
        <f>IF(M54="","",IF(M54&lt;=$AR$1,"O","X"))</f>
        <v>X</v>
      </c>
      <c r="AS54" s="79" t="s">
        <v>2</v>
      </c>
      <c r="AT54" s="79" t="str">
        <f>IF(OR(F54="",AI54=""),"",IF(AND((F54&lt;=85),(AI54&gt;=15)),"O","X"))</f>
        <v>X</v>
      </c>
      <c r="AU54" s="79" t="str">
        <f>IF(C54="","",IF(C54&gt;=$AU$1,"O","X"))</f>
        <v>O</v>
      </c>
      <c r="AV54" s="79" t="str">
        <f>IF(AO54="","",IF(AND(AO54="O",AP54="O",AR54="O",AT54="O",AU54="O"),"후보","X"))</f>
        <v>X</v>
      </c>
    </row>
    <row r="55" spans="1:48" s="37" customFormat="1" ht="12" x14ac:dyDescent="0.3">
      <c r="A55" s="74" t="s">
        <v>1469</v>
      </c>
      <c r="B55" s="75" t="s">
        <v>1470</v>
      </c>
      <c r="C55" s="85">
        <v>905</v>
      </c>
      <c r="D55" s="86">
        <v>79.3</v>
      </c>
      <c r="E55" s="87">
        <v>24</v>
      </c>
      <c r="F55" s="86">
        <v>59.8</v>
      </c>
      <c r="G55" s="17">
        <v>18</v>
      </c>
      <c r="H55" s="88">
        <v>240</v>
      </c>
      <c r="I55" s="89">
        <v>46000</v>
      </c>
      <c r="J55" s="89" t="s">
        <v>63</v>
      </c>
      <c r="K55" s="89">
        <v>33000</v>
      </c>
      <c r="L55" s="89" t="s">
        <v>193</v>
      </c>
      <c r="M55" s="90">
        <f t="shared" ref="M55:M61" si="30">I55-K55</f>
        <v>13000</v>
      </c>
      <c r="N55" s="4">
        <f t="shared" ref="N55:N61" si="31">IF(ISERROR(K55/I55),"",K55/I55)</f>
        <v>0.71739130434782605</v>
      </c>
      <c r="O55" s="91">
        <f t="shared" ref="O55:O61" si="32">I55/E55</f>
        <v>1916.6666666666667</v>
      </c>
      <c r="P55" s="91">
        <f t="shared" ref="P55:P61" si="33">K55/E55</f>
        <v>1375</v>
      </c>
      <c r="Q55" s="79">
        <v>3</v>
      </c>
      <c r="R55" s="79">
        <v>2</v>
      </c>
      <c r="S55" s="79" t="s">
        <v>62</v>
      </c>
      <c r="T55" s="5">
        <v>79</v>
      </c>
      <c r="U55" s="9"/>
      <c r="W55" s="86">
        <f t="shared" si="27"/>
        <v>79.3</v>
      </c>
      <c r="X55" s="87">
        <f t="shared" si="27"/>
        <v>24</v>
      </c>
      <c r="Y55" s="92">
        <f t="shared" si="28"/>
        <v>240</v>
      </c>
      <c r="Z55" s="90">
        <f t="shared" si="28"/>
        <v>46000</v>
      </c>
      <c r="AA55" s="90">
        <f t="shared" ref="AA55:AA61" si="34">K55</f>
        <v>33000</v>
      </c>
      <c r="AB55" s="90">
        <f t="shared" si="29"/>
        <v>13000</v>
      </c>
      <c r="AC55" s="4">
        <f t="shared" si="29"/>
        <v>0.71739130434782605</v>
      </c>
      <c r="AD55" s="91">
        <f t="shared" si="29"/>
        <v>1916.6666666666667</v>
      </c>
      <c r="AE55" s="79" t="str">
        <f t="shared" ref="AE55:AE61" si="35">S55</f>
        <v>계</v>
      </c>
      <c r="AF55" s="79" t="str">
        <f t="shared" ref="AF55:AF61" si="36">Q55&amp;"/"&amp;R55</f>
        <v>3/2</v>
      </c>
      <c r="AH55" s="20" t="str">
        <f t="shared" si="1"/>
        <v>가경동 청주가경아이파크</v>
      </c>
      <c r="AI55" s="87">
        <f t="shared" si="2"/>
        <v>24</v>
      </c>
      <c r="AJ55" s="79" t="str">
        <f t="shared" ref="AJ55:AJ61" si="37">IF(AI55="","",$AJ$2)</f>
        <v>A-</v>
      </c>
      <c r="AK55" s="79" t="s">
        <v>13</v>
      </c>
      <c r="AL55" s="79" t="s">
        <v>60</v>
      </c>
      <c r="AM55" s="79" t="s">
        <v>61</v>
      </c>
      <c r="AN55" s="79" t="str">
        <f t="shared" ref="AN55:AN61" si="38">IF(AI55="","",$AN$2)</f>
        <v>C</v>
      </c>
      <c r="AO55" s="79" t="str">
        <f t="shared" ref="AO55:AO61" si="39">IF(N55="","",IF(N55&gt;=$AO$1/100,"O","X"))</f>
        <v>X</v>
      </c>
      <c r="AP55" s="79" t="str">
        <f t="shared" ref="AP55:AP61" si="40">IF(I55="","",IF(I55&lt;=$AP$1,"O","X"))</f>
        <v>X</v>
      </c>
      <c r="AQ55" s="79" t="str">
        <f t="shared" ref="AQ55:AQ61" si="41">IF(O55="","",IF(O55&lt;=$AQ$1,"O","X"))</f>
        <v>X</v>
      </c>
      <c r="AR55" s="79" t="str">
        <f t="shared" ref="AR55:AR61" si="42">IF(M55="","",IF(M55&lt;=$AR$1,"O","X"))</f>
        <v>X</v>
      </c>
      <c r="AS55" s="79" t="s">
        <v>2</v>
      </c>
      <c r="AT55" s="79" t="str">
        <f t="shared" ref="AT55:AT61" si="43">IF(OR(F55="",AI55=""),"",IF(AND((F55&lt;=85),(AI55&gt;=15)),"O","X"))</f>
        <v>O</v>
      </c>
      <c r="AU55" s="79" t="str">
        <f t="shared" ref="AU55:AU61" si="44">IF(C55="","",IF(C55&gt;=$AU$1,"O","X"))</f>
        <v>O</v>
      </c>
      <c r="AV55" s="79" t="str">
        <f t="shared" ref="AV55:AV61" si="45">IF(AO55="","",IF(AND(AO55="O",AP55="O",AR55="O",AT55="O",AU55="O"),"후보","X"))</f>
        <v>X</v>
      </c>
    </row>
    <row r="56" spans="1:48" s="37" customFormat="1" ht="12" x14ac:dyDescent="0.3">
      <c r="A56" s="74" t="s">
        <v>1469</v>
      </c>
      <c r="B56" s="75" t="s">
        <v>1470</v>
      </c>
      <c r="C56" s="85">
        <v>905</v>
      </c>
      <c r="D56" s="86">
        <v>95.7</v>
      </c>
      <c r="E56" s="87">
        <v>29</v>
      </c>
      <c r="F56" s="86">
        <v>72.5</v>
      </c>
      <c r="G56" s="17">
        <v>22</v>
      </c>
      <c r="H56" s="88">
        <v>152</v>
      </c>
      <c r="I56" s="89">
        <v>54000</v>
      </c>
      <c r="J56" s="89" t="s">
        <v>99</v>
      </c>
      <c r="K56" s="89">
        <v>39000</v>
      </c>
      <c r="L56" s="89" t="s">
        <v>71</v>
      </c>
      <c r="M56" s="90">
        <f t="shared" si="30"/>
        <v>15000</v>
      </c>
      <c r="N56" s="4">
        <f t="shared" si="31"/>
        <v>0.72222222222222221</v>
      </c>
      <c r="O56" s="91">
        <f t="shared" si="32"/>
        <v>1862.0689655172414</v>
      </c>
      <c r="P56" s="91">
        <f t="shared" si="33"/>
        <v>1344.8275862068965</v>
      </c>
      <c r="Q56" s="79">
        <v>3</v>
      </c>
      <c r="R56" s="79">
        <v>2</v>
      </c>
      <c r="S56" s="79" t="s">
        <v>62</v>
      </c>
      <c r="T56" s="5">
        <v>95</v>
      </c>
      <c r="U56" s="9"/>
      <c r="W56" s="86">
        <f t="shared" si="27"/>
        <v>95.7</v>
      </c>
      <c r="X56" s="87">
        <f t="shared" si="27"/>
        <v>29</v>
      </c>
      <c r="Y56" s="92">
        <f t="shared" si="28"/>
        <v>152</v>
      </c>
      <c r="Z56" s="90">
        <f t="shared" si="28"/>
        <v>54000</v>
      </c>
      <c r="AA56" s="90">
        <f t="shared" si="34"/>
        <v>39000</v>
      </c>
      <c r="AB56" s="90">
        <f t="shared" si="29"/>
        <v>15000</v>
      </c>
      <c r="AC56" s="4">
        <f t="shared" si="29"/>
        <v>0.72222222222222221</v>
      </c>
      <c r="AD56" s="91">
        <f t="shared" si="29"/>
        <v>1862.0689655172414</v>
      </c>
      <c r="AE56" s="79" t="str">
        <f t="shared" si="35"/>
        <v>계</v>
      </c>
      <c r="AF56" s="79" t="str">
        <f t="shared" si="36"/>
        <v>3/2</v>
      </c>
      <c r="AH56" s="20" t="str">
        <f t="shared" si="1"/>
        <v>가경동 청주가경아이파크</v>
      </c>
      <c r="AI56" s="87">
        <f t="shared" si="2"/>
        <v>29</v>
      </c>
      <c r="AJ56" s="79" t="str">
        <f t="shared" si="37"/>
        <v>A-</v>
      </c>
      <c r="AK56" s="79" t="s">
        <v>13</v>
      </c>
      <c r="AL56" s="79" t="s">
        <v>60</v>
      </c>
      <c r="AM56" s="79" t="s">
        <v>61</v>
      </c>
      <c r="AN56" s="79" t="str">
        <f t="shared" si="38"/>
        <v>C</v>
      </c>
      <c r="AO56" s="79" t="str">
        <f t="shared" si="39"/>
        <v>X</v>
      </c>
      <c r="AP56" s="79" t="str">
        <f t="shared" si="40"/>
        <v>X</v>
      </c>
      <c r="AQ56" s="79" t="str">
        <f t="shared" si="41"/>
        <v>X</v>
      </c>
      <c r="AR56" s="79" t="str">
        <f t="shared" si="42"/>
        <v>X</v>
      </c>
      <c r="AS56" s="79" t="s">
        <v>2</v>
      </c>
      <c r="AT56" s="79" t="str">
        <f t="shared" si="43"/>
        <v>O</v>
      </c>
      <c r="AU56" s="79" t="str">
        <f t="shared" si="44"/>
        <v>O</v>
      </c>
      <c r="AV56" s="79" t="str">
        <f t="shared" si="45"/>
        <v>X</v>
      </c>
    </row>
    <row r="57" spans="1:48" s="37" customFormat="1" ht="12" x14ac:dyDescent="0.3">
      <c r="A57" s="74" t="s">
        <v>1469</v>
      </c>
      <c r="B57" s="75" t="s">
        <v>1470</v>
      </c>
      <c r="C57" s="85">
        <v>905</v>
      </c>
      <c r="D57" s="86">
        <v>110.3</v>
      </c>
      <c r="E57" s="87">
        <v>33</v>
      </c>
      <c r="F57" s="86">
        <v>84.7</v>
      </c>
      <c r="G57" s="17">
        <v>26</v>
      </c>
      <c r="H57" s="88">
        <v>413</v>
      </c>
      <c r="I57" s="89"/>
      <c r="J57" s="89"/>
      <c r="K57" s="89"/>
      <c r="L57" s="89"/>
      <c r="M57" s="90">
        <f t="shared" si="30"/>
        <v>0</v>
      </c>
      <c r="N57" s="4" t="str">
        <f t="shared" si="31"/>
        <v/>
      </c>
      <c r="O57" s="91">
        <f t="shared" si="32"/>
        <v>0</v>
      </c>
      <c r="P57" s="91">
        <f t="shared" si="33"/>
        <v>0</v>
      </c>
      <c r="Q57" s="79">
        <v>4</v>
      </c>
      <c r="R57" s="79">
        <v>2</v>
      </c>
      <c r="S57" s="79" t="s">
        <v>62</v>
      </c>
      <c r="T57" s="5">
        <v>110</v>
      </c>
      <c r="U57" s="9"/>
      <c r="W57" s="86">
        <f t="shared" si="27"/>
        <v>110.3</v>
      </c>
      <c r="X57" s="87">
        <f t="shared" si="27"/>
        <v>33</v>
      </c>
      <c r="Y57" s="92">
        <f t="shared" si="28"/>
        <v>413</v>
      </c>
      <c r="Z57" s="90">
        <f t="shared" si="28"/>
        <v>0</v>
      </c>
      <c r="AA57" s="90">
        <f t="shared" si="34"/>
        <v>0</v>
      </c>
      <c r="AB57" s="90">
        <f t="shared" si="29"/>
        <v>0</v>
      </c>
      <c r="AC57" s="4" t="str">
        <f t="shared" si="29"/>
        <v/>
      </c>
      <c r="AD57" s="91">
        <f t="shared" si="29"/>
        <v>0</v>
      </c>
      <c r="AE57" s="79" t="str">
        <f t="shared" si="35"/>
        <v>계</v>
      </c>
      <c r="AF57" s="79" t="str">
        <f t="shared" si="36"/>
        <v>4/2</v>
      </c>
      <c r="AH57" s="20" t="str">
        <f t="shared" si="1"/>
        <v>가경동 청주가경아이파크</v>
      </c>
      <c r="AI57" s="87">
        <f t="shared" si="2"/>
        <v>33</v>
      </c>
      <c r="AJ57" s="79" t="str">
        <f t="shared" si="37"/>
        <v>A-</v>
      </c>
      <c r="AK57" s="79" t="s">
        <v>13</v>
      </c>
      <c r="AL57" s="79" t="s">
        <v>60</v>
      </c>
      <c r="AM57" s="79" t="s">
        <v>61</v>
      </c>
      <c r="AN57" s="79" t="str">
        <f t="shared" si="38"/>
        <v>C</v>
      </c>
      <c r="AO57" s="79" t="str">
        <f t="shared" si="39"/>
        <v/>
      </c>
      <c r="AP57" s="79" t="str">
        <f t="shared" si="40"/>
        <v/>
      </c>
      <c r="AQ57" s="79" t="str">
        <f t="shared" si="41"/>
        <v>O</v>
      </c>
      <c r="AR57" s="79" t="str">
        <f t="shared" si="42"/>
        <v>O</v>
      </c>
      <c r="AS57" s="79" t="s">
        <v>2</v>
      </c>
      <c r="AT57" s="79" t="str">
        <f t="shared" si="43"/>
        <v>O</v>
      </c>
      <c r="AU57" s="79" t="str">
        <f t="shared" si="44"/>
        <v>O</v>
      </c>
      <c r="AV57" s="79" t="str">
        <f t="shared" si="45"/>
        <v/>
      </c>
    </row>
    <row r="58" spans="1:48" s="37" customFormat="1" ht="12" x14ac:dyDescent="0.3">
      <c r="A58" s="74" t="s">
        <v>1469</v>
      </c>
      <c r="B58" s="75" t="s">
        <v>1470</v>
      </c>
      <c r="C58" s="85">
        <v>905</v>
      </c>
      <c r="D58" s="86">
        <v>128.30000000000001</v>
      </c>
      <c r="E58" s="87">
        <v>39</v>
      </c>
      <c r="F58" s="86">
        <v>98.8</v>
      </c>
      <c r="G58" s="17">
        <v>30</v>
      </c>
      <c r="H58" s="88">
        <v>47</v>
      </c>
      <c r="I58" s="89">
        <v>83000</v>
      </c>
      <c r="J58" s="89" t="s">
        <v>83</v>
      </c>
      <c r="K58" s="89"/>
      <c r="L58" s="89"/>
      <c r="M58" s="90">
        <f t="shared" si="30"/>
        <v>83000</v>
      </c>
      <c r="N58" s="4">
        <f t="shared" si="31"/>
        <v>0</v>
      </c>
      <c r="O58" s="91">
        <f t="shared" si="32"/>
        <v>2128.2051282051284</v>
      </c>
      <c r="P58" s="91">
        <f t="shared" si="33"/>
        <v>0</v>
      </c>
      <c r="Q58" s="79">
        <v>4</v>
      </c>
      <c r="R58" s="79">
        <v>2</v>
      </c>
      <c r="S58" s="79" t="s">
        <v>62</v>
      </c>
      <c r="T58" s="5">
        <v>128</v>
      </c>
      <c r="U58" s="9"/>
      <c r="W58" s="86">
        <f t="shared" si="27"/>
        <v>128.30000000000001</v>
      </c>
      <c r="X58" s="87">
        <f t="shared" si="27"/>
        <v>39</v>
      </c>
      <c r="Y58" s="92">
        <f t="shared" si="28"/>
        <v>47</v>
      </c>
      <c r="Z58" s="90">
        <f t="shared" si="28"/>
        <v>83000</v>
      </c>
      <c r="AA58" s="90">
        <f t="shared" si="34"/>
        <v>0</v>
      </c>
      <c r="AB58" s="90">
        <f t="shared" si="29"/>
        <v>83000</v>
      </c>
      <c r="AC58" s="4">
        <f t="shared" si="29"/>
        <v>0</v>
      </c>
      <c r="AD58" s="91">
        <f t="shared" si="29"/>
        <v>2128.2051282051284</v>
      </c>
      <c r="AE58" s="79" t="str">
        <f t="shared" si="35"/>
        <v>계</v>
      </c>
      <c r="AF58" s="79" t="str">
        <f t="shared" si="36"/>
        <v>4/2</v>
      </c>
      <c r="AH58" s="20" t="str">
        <f t="shared" si="1"/>
        <v>가경동 청주가경아이파크</v>
      </c>
      <c r="AI58" s="87">
        <f t="shared" si="2"/>
        <v>39</v>
      </c>
      <c r="AJ58" s="79" t="str">
        <f t="shared" si="37"/>
        <v>A-</v>
      </c>
      <c r="AK58" s="79" t="s">
        <v>13</v>
      </c>
      <c r="AL58" s="79" t="s">
        <v>60</v>
      </c>
      <c r="AM58" s="79" t="s">
        <v>61</v>
      </c>
      <c r="AN58" s="79" t="str">
        <f t="shared" si="38"/>
        <v>C</v>
      </c>
      <c r="AO58" s="79" t="str">
        <f t="shared" si="39"/>
        <v>X</v>
      </c>
      <c r="AP58" s="79" t="str">
        <f t="shared" si="40"/>
        <v>X</v>
      </c>
      <c r="AQ58" s="79" t="str">
        <f t="shared" si="41"/>
        <v>X</v>
      </c>
      <c r="AR58" s="79" t="str">
        <f t="shared" si="42"/>
        <v>X</v>
      </c>
      <c r="AS58" s="79" t="s">
        <v>2</v>
      </c>
      <c r="AT58" s="79" t="str">
        <f t="shared" si="43"/>
        <v>X</v>
      </c>
      <c r="AU58" s="79" t="str">
        <f t="shared" si="44"/>
        <v>O</v>
      </c>
      <c r="AV58" s="79" t="str">
        <f t="shared" si="45"/>
        <v>X</v>
      </c>
    </row>
    <row r="59" spans="1:48" s="37" customFormat="1" ht="12" x14ac:dyDescent="0.3">
      <c r="A59" s="74" t="s">
        <v>1469</v>
      </c>
      <c r="B59" s="75" t="s">
        <v>1470</v>
      </c>
      <c r="C59" s="85">
        <v>905</v>
      </c>
      <c r="D59" s="86">
        <v>145</v>
      </c>
      <c r="E59" s="87">
        <v>44</v>
      </c>
      <c r="F59" s="86">
        <v>112.5</v>
      </c>
      <c r="G59" s="17">
        <v>34</v>
      </c>
      <c r="H59" s="88">
        <v>39</v>
      </c>
      <c r="I59" s="89">
        <v>86500</v>
      </c>
      <c r="J59" s="89" t="s">
        <v>92</v>
      </c>
      <c r="K59" s="89">
        <v>50000</v>
      </c>
      <c r="L59" s="89" t="s">
        <v>92</v>
      </c>
      <c r="M59" s="90">
        <f t="shared" si="30"/>
        <v>36500</v>
      </c>
      <c r="N59" s="4">
        <f t="shared" si="31"/>
        <v>0.5780346820809249</v>
      </c>
      <c r="O59" s="91">
        <f t="shared" si="32"/>
        <v>1965.909090909091</v>
      </c>
      <c r="P59" s="91">
        <f t="shared" si="33"/>
        <v>1136.3636363636363</v>
      </c>
      <c r="Q59" s="79">
        <v>4</v>
      </c>
      <c r="R59" s="79">
        <v>2</v>
      </c>
      <c r="S59" s="79" t="s">
        <v>62</v>
      </c>
      <c r="T59" s="5" t="s">
        <v>100</v>
      </c>
      <c r="U59" s="9"/>
      <c r="W59" s="86">
        <f t="shared" si="27"/>
        <v>145</v>
      </c>
      <c r="X59" s="87">
        <f t="shared" si="27"/>
        <v>44</v>
      </c>
      <c r="Y59" s="92">
        <f t="shared" si="28"/>
        <v>39</v>
      </c>
      <c r="Z59" s="90">
        <f t="shared" si="28"/>
        <v>86500</v>
      </c>
      <c r="AA59" s="90">
        <f t="shared" si="34"/>
        <v>50000</v>
      </c>
      <c r="AB59" s="90">
        <f t="shared" si="29"/>
        <v>36500</v>
      </c>
      <c r="AC59" s="4">
        <f t="shared" si="29"/>
        <v>0.5780346820809249</v>
      </c>
      <c r="AD59" s="91">
        <f t="shared" si="29"/>
        <v>1965.909090909091</v>
      </c>
      <c r="AE59" s="79" t="str">
        <f t="shared" si="35"/>
        <v>계</v>
      </c>
      <c r="AF59" s="79" t="str">
        <f t="shared" si="36"/>
        <v>4/2</v>
      </c>
      <c r="AH59" s="20" t="str">
        <f t="shared" si="1"/>
        <v>가경동 청주가경아이파크</v>
      </c>
      <c r="AI59" s="87">
        <f t="shared" si="2"/>
        <v>44</v>
      </c>
      <c r="AJ59" s="79" t="str">
        <f t="shared" si="37"/>
        <v>A-</v>
      </c>
      <c r="AK59" s="79" t="s">
        <v>13</v>
      </c>
      <c r="AL59" s="79" t="s">
        <v>60</v>
      </c>
      <c r="AM59" s="79" t="s">
        <v>61</v>
      </c>
      <c r="AN59" s="79" t="str">
        <f t="shared" si="38"/>
        <v>C</v>
      </c>
      <c r="AO59" s="79" t="str">
        <f t="shared" si="39"/>
        <v>X</v>
      </c>
      <c r="AP59" s="79" t="str">
        <f t="shared" si="40"/>
        <v>X</v>
      </c>
      <c r="AQ59" s="79" t="str">
        <f t="shared" si="41"/>
        <v>X</v>
      </c>
      <c r="AR59" s="79" t="str">
        <f t="shared" si="42"/>
        <v>X</v>
      </c>
      <c r="AS59" s="79" t="s">
        <v>2</v>
      </c>
      <c r="AT59" s="79" t="str">
        <f t="shared" si="43"/>
        <v>X</v>
      </c>
      <c r="AU59" s="79" t="str">
        <f t="shared" si="44"/>
        <v>O</v>
      </c>
      <c r="AV59" s="79" t="str">
        <f t="shared" si="45"/>
        <v>X</v>
      </c>
    </row>
    <row r="60" spans="1:48" s="37" customFormat="1" ht="12" x14ac:dyDescent="0.3">
      <c r="A60" s="74" t="s">
        <v>1469</v>
      </c>
      <c r="B60" s="75" t="s">
        <v>1470</v>
      </c>
      <c r="C60" s="85">
        <v>905</v>
      </c>
      <c r="D60" s="86">
        <v>145.80000000000001</v>
      </c>
      <c r="E60" s="87">
        <v>44</v>
      </c>
      <c r="F60" s="86">
        <v>112</v>
      </c>
      <c r="G60" s="17">
        <v>34</v>
      </c>
      <c r="H60" s="88">
        <v>2</v>
      </c>
      <c r="I60" s="89"/>
      <c r="J60" s="89"/>
      <c r="K60" s="89"/>
      <c r="L60" s="89"/>
      <c r="M60" s="90">
        <f t="shared" si="30"/>
        <v>0</v>
      </c>
      <c r="N60" s="4" t="str">
        <f t="shared" si="31"/>
        <v/>
      </c>
      <c r="O60" s="91">
        <f t="shared" si="32"/>
        <v>0</v>
      </c>
      <c r="P60" s="91">
        <f t="shared" si="33"/>
        <v>0</v>
      </c>
      <c r="Q60" s="79">
        <v>5</v>
      </c>
      <c r="R60" s="79">
        <v>3</v>
      </c>
      <c r="S60" s="79" t="s">
        <v>62</v>
      </c>
      <c r="T60" s="5" t="s">
        <v>101</v>
      </c>
      <c r="U60" s="9"/>
      <c r="W60" s="86">
        <f t="shared" si="27"/>
        <v>145.80000000000001</v>
      </c>
      <c r="X60" s="87">
        <f t="shared" si="27"/>
        <v>44</v>
      </c>
      <c r="Y60" s="92">
        <f t="shared" si="28"/>
        <v>2</v>
      </c>
      <c r="Z60" s="90">
        <f t="shared" si="28"/>
        <v>0</v>
      </c>
      <c r="AA60" s="90">
        <f t="shared" si="34"/>
        <v>0</v>
      </c>
      <c r="AB60" s="90">
        <f t="shared" si="29"/>
        <v>0</v>
      </c>
      <c r="AC60" s="4" t="str">
        <f t="shared" si="29"/>
        <v/>
      </c>
      <c r="AD60" s="91">
        <f t="shared" si="29"/>
        <v>0</v>
      </c>
      <c r="AE60" s="79" t="str">
        <f t="shared" si="35"/>
        <v>계</v>
      </c>
      <c r="AF60" s="79" t="str">
        <f t="shared" si="36"/>
        <v>5/3</v>
      </c>
      <c r="AH60" s="20" t="str">
        <f t="shared" si="1"/>
        <v>가경동 청주가경아이파크</v>
      </c>
      <c r="AI60" s="87">
        <f t="shared" si="2"/>
        <v>44</v>
      </c>
      <c r="AJ60" s="79" t="str">
        <f t="shared" si="37"/>
        <v>A-</v>
      </c>
      <c r="AK60" s="79" t="s">
        <v>13</v>
      </c>
      <c r="AL60" s="79" t="s">
        <v>60</v>
      </c>
      <c r="AM60" s="79" t="s">
        <v>61</v>
      </c>
      <c r="AN60" s="79" t="str">
        <f t="shared" si="38"/>
        <v>C</v>
      </c>
      <c r="AO60" s="79" t="str">
        <f t="shared" si="39"/>
        <v/>
      </c>
      <c r="AP60" s="79" t="str">
        <f t="shared" si="40"/>
        <v/>
      </c>
      <c r="AQ60" s="79" t="str">
        <f t="shared" si="41"/>
        <v>O</v>
      </c>
      <c r="AR60" s="79" t="str">
        <f t="shared" si="42"/>
        <v>O</v>
      </c>
      <c r="AS60" s="79" t="s">
        <v>2</v>
      </c>
      <c r="AT60" s="79" t="str">
        <f t="shared" si="43"/>
        <v>X</v>
      </c>
      <c r="AU60" s="79" t="str">
        <f t="shared" si="44"/>
        <v>O</v>
      </c>
      <c r="AV60" s="79" t="str">
        <f t="shared" si="45"/>
        <v/>
      </c>
    </row>
    <row r="61" spans="1:48" s="37" customFormat="1" ht="12" x14ac:dyDescent="0.3">
      <c r="A61" s="74" t="s">
        <v>1469</v>
      </c>
      <c r="B61" s="75" t="s">
        <v>1470</v>
      </c>
      <c r="C61" s="85">
        <v>905</v>
      </c>
      <c r="D61" s="86">
        <v>149</v>
      </c>
      <c r="E61" s="87">
        <v>45</v>
      </c>
      <c r="F61" s="86">
        <v>114.5</v>
      </c>
      <c r="G61" s="17">
        <v>35</v>
      </c>
      <c r="H61" s="88">
        <v>12</v>
      </c>
      <c r="I61" s="89">
        <v>93000</v>
      </c>
      <c r="J61" s="89" t="s">
        <v>89</v>
      </c>
      <c r="K61" s="89"/>
      <c r="L61" s="89"/>
      <c r="M61" s="90">
        <f t="shared" si="30"/>
        <v>93000</v>
      </c>
      <c r="N61" s="4">
        <f t="shared" si="31"/>
        <v>0</v>
      </c>
      <c r="O61" s="91">
        <f t="shared" si="32"/>
        <v>2066.6666666666665</v>
      </c>
      <c r="P61" s="91">
        <f t="shared" si="33"/>
        <v>0</v>
      </c>
      <c r="Q61" s="79">
        <v>5</v>
      </c>
      <c r="R61" s="79">
        <v>3</v>
      </c>
      <c r="S61" s="79" t="s">
        <v>62</v>
      </c>
      <c r="T61" s="5">
        <v>149</v>
      </c>
      <c r="U61" s="9"/>
      <c r="W61" s="86">
        <f t="shared" si="27"/>
        <v>149</v>
      </c>
      <c r="X61" s="87">
        <f t="shared" si="27"/>
        <v>45</v>
      </c>
      <c r="Y61" s="92">
        <f t="shared" si="28"/>
        <v>12</v>
      </c>
      <c r="Z61" s="90">
        <f t="shared" si="28"/>
        <v>93000</v>
      </c>
      <c r="AA61" s="90">
        <f t="shared" si="34"/>
        <v>0</v>
      </c>
      <c r="AB61" s="90">
        <f t="shared" si="29"/>
        <v>93000</v>
      </c>
      <c r="AC61" s="4">
        <f t="shared" si="29"/>
        <v>0</v>
      </c>
      <c r="AD61" s="91">
        <f t="shared" si="29"/>
        <v>2066.6666666666665</v>
      </c>
      <c r="AE61" s="79" t="str">
        <f t="shared" si="35"/>
        <v>계</v>
      </c>
      <c r="AF61" s="79" t="str">
        <f t="shared" si="36"/>
        <v>5/3</v>
      </c>
      <c r="AH61" s="20" t="str">
        <f t="shared" si="1"/>
        <v>가경동 청주가경아이파크</v>
      </c>
      <c r="AI61" s="87">
        <f t="shared" si="2"/>
        <v>45</v>
      </c>
      <c r="AJ61" s="79" t="str">
        <f t="shared" si="37"/>
        <v>A-</v>
      </c>
      <c r="AK61" s="79" t="s">
        <v>13</v>
      </c>
      <c r="AL61" s="79" t="s">
        <v>60</v>
      </c>
      <c r="AM61" s="79" t="s">
        <v>61</v>
      </c>
      <c r="AN61" s="79" t="str">
        <f t="shared" si="38"/>
        <v>C</v>
      </c>
      <c r="AO61" s="79" t="str">
        <f t="shared" si="39"/>
        <v>X</v>
      </c>
      <c r="AP61" s="79" t="str">
        <f t="shared" si="40"/>
        <v>X</v>
      </c>
      <c r="AQ61" s="79" t="str">
        <f t="shared" si="41"/>
        <v>X</v>
      </c>
      <c r="AR61" s="79" t="str">
        <f t="shared" si="42"/>
        <v>X</v>
      </c>
      <c r="AS61" s="79" t="s">
        <v>2</v>
      </c>
      <c r="AT61" s="79" t="str">
        <f t="shared" si="43"/>
        <v>X</v>
      </c>
      <c r="AU61" s="79" t="str">
        <f t="shared" si="44"/>
        <v>O</v>
      </c>
      <c r="AV61" s="79" t="str">
        <f t="shared" si="45"/>
        <v>X</v>
      </c>
    </row>
    <row r="62" spans="1:48" s="37" customFormat="1" ht="12" x14ac:dyDescent="0.3">
      <c r="A62" s="74" t="s">
        <v>1471</v>
      </c>
      <c r="B62" s="75" t="s">
        <v>1472</v>
      </c>
      <c r="C62" s="85">
        <v>370</v>
      </c>
      <c r="D62" s="86">
        <v>77.5</v>
      </c>
      <c r="E62" s="87">
        <v>23</v>
      </c>
      <c r="F62" s="86">
        <v>62.1</v>
      </c>
      <c r="G62" s="17">
        <v>19</v>
      </c>
      <c r="H62" s="88">
        <v>78</v>
      </c>
      <c r="I62" s="89">
        <v>16700</v>
      </c>
      <c r="J62" s="89" t="s">
        <v>83</v>
      </c>
      <c r="K62" s="89">
        <v>17000</v>
      </c>
      <c r="L62" s="89" t="s">
        <v>89</v>
      </c>
      <c r="M62" s="90">
        <f>I62-K62</f>
        <v>-300</v>
      </c>
      <c r="N62" s="4">
        <f>IF(ISERROR(K62/I62),"",K62/I62)</f>
        <v>1.0179640718562875</v>
      </c>
      <c r="O62" s="91">
        <f>I62/E62</f>
        <v>726.08695652173913</v>
      </c>
      <c r="P62" s="91">
        <f>K62/E62</f>
        <v>739.13043478260875</v>
      </c>
      <c r="Q62" s="79">
        <v>3</v>
      </c>
      <c r="R62" s="79">
        <v>1</v>
      </c>
      <c r="S62" s="79" t="s">
        <v>62</v>
      </c>
      <c r="T62" s="5">
        <v>77</v>
      </c>
      <c r="U62" s="9"/>
      <c r="W62" s="86">
        <f>D62</f>
        <v>77.5</v>
      </c>
      <c r="X62" s="87">
        <f>E62</f>
        <v>23</v>
      </c>
      <c r="Y62" s="92">
        <f>H62</f>
        <v>78</v>
      </c>
      <c r="Z62" s="90">
        <f>I62</f>
        <v>16700</v>
      </c>
      <c r="AA62" s="90">
        <f>K62</f>
        <v>17000</v>
      </c>
      <c r="AB62" s="90">
        <f t="shared" si="29"/>
        <v>-300</v>
      </c>
      <c r="AC62" s="4">
        <f t="shared" si="29"/>
        <v>1.0179640718562875</v>
      </c>
      <c r="AD62" s="91">
        <f t="shared" si="29"/>
        <v>726.08695652173913</v>
      </c>
      <c r="AE62" s="79" t="str">
        <f>S62</f>
        <v>계</v>
      </c>
      <c r="AF62" s="79" t="str">
        <f>Q62&amp;"/"&amp;R62</f>
        <v>3/1</v>
      </c>
      <c r="AH62" s="20" t="str">
        <f t="shared" si="1"/>
        <v>가경동 가경형석2차</v>
      </c>
      <c r="AI62" s="87">
        <f t="shared" si="2"/>
        <v>23</v>
      </c>
      <c r="AJ62" s="79" t="str">
        <f>IF(AI62="","",$AJ$2)</f>
        <v>A-</v>
      </c>
      <c r="AK62" s="79" t="s">
        <v>13</v>
      </c>
      <c r="AL62" s="79" t="s">
        <v>60</v>
      </c>
      <c r="AM62" s="79" t="s">
        <v>61</v>
      </c>
      <c r="AN62" s="79" t="str">
        <f>IF(AI62="","",$AN$2)</f>
        <v>C</v>
      </c>
      <c r="AO62" s="79" t="str">
        <f>IF(N62="","",IF(N62&gt;=$AO$1/100,"O","X"))</f>
        <v>O</v>
      </c>
      <c r="AP62" s="79" t="str">
        <f>IF(I62="","",IF(I62&lt;=$AP$1,"O","X"))</f>
        <v>O</v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후보</v>
      </c>
    </row>
    <row r="63" spans="1:48" s="37" customFormat="1" ht="12" x14ac:dyDescent="0.3">
      <c r="A63" s="74" t="s">
        <v>1471</v>
      </c>
      <c r="B63" s="75" t="s">
        <v>1472</v>
      </c>
      <c r="C63" s="85">
        <v>370</v>
      </c>
      <c r="D63" s="86">
        <v>102.2</v>
      </c>
      <c r="E63" s="87">
        <v>31</v>
      </c>
      <c r="F63" s="86">
        <v>83.3</v>
      </c>
      <c r="G63" s="17">
        <v>25</v>
      </c>
      <c r="H63" s="88">
        <v>292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3</v>
      </c>
      <c r="R63" s="79">
        <v>2</v>
      </c>
      <c r="S63" s="79" t="s">
        <v>62</v>
      </c>
      <c r="T63" s="5">
        <v>102</v>
      </c>
      <c r="U63" s="9"/>
      <c r="W63" s="86">
        <f>D63</f>
        <v>102.2</v>
      </c>
      <c r="X63" s="87">
        <f>E63</f>
        <v>31</v>
      </c>
      <c r="Y63" s="92">
        <f>H63</f>
        <v>292</v>
      </c>
      <c r="Z63" s="90">
        <f>I63</f>
        <v>0</v>
      </c>
      <c r="AA63" s="90">
        <f>K63</f>
        <v>0</v>
      </c>
      <c r="AB63" s="90">
        <f t="shared" si="29"/>
        <v>0</v>
      </c>
      <c r="AC63" s="4" t="str">
        <f t="shared" si="29"/>
        <v/>
      </c>
      <c r="AD63" s="91">
        <f t="shared" si="29"/>
        <v>0</v>
      </c>
      <c r="AE63" s="79" t="str">
        <f>S63</f>
        <v>계</v>
      </c>
      <c r="AF63" s="79" t="str">
        <f>Q63&amp;"/"&amp;R63</f>
        <v>3/2</v>
      </c>
      <c r="AH63" s="20" t="str">
        <f t="shared" si="1"/>
        <v>가경동 가경형석2차</v>
      </c>
      <c r="AI63" s="87">
        <f t="shared" si="2"/>
        <v>31</v>
      </c>
      <c r="AJ63" s="79" t="str">
        <f>IF(AI63="","",$AJ$2)</f>
        <v>A-</v>
      </c>
      <c r="AK63" s="79" t="s">
        <v>13</v>
      </c>
      <c r="AL63" s="79" t="s">
        <v>60</v>
      </c>
      <c r="AM63" s="79" t="s">
        <v>61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s="37" customFormat="1" ht="12" x14ac:dyDescent="0.3">
      <c r="A64" s="74" t="s">
        <v>1473</v>
      </c>
      <c r="B64" s="75" t="s">
        <v>1474</v>
      </c>
      <c r="C64" s="85">
        <v>952</v>
      </c>
      <c r="D64" s="86">
        <v>61.6</v>
      </c>
      <c r="E64" s="87">
        <v>19</v>
      </c>
      <c r="F64" s="86">
        <v>41.9</v>
      </c>
      <c r="G64" s="17">
        <v>13</v>
      </c>
      <c r="H64" s="88">
        <v>126</v>
      </c>
      <c r="I64" s="89">
        <v>14000</v>
      </c>
      <c r="J64" s="89" t="s">
        <v>83</v>
      </c>
      <c r="K64" s="89">
        <v>12000</v>
      </c>
      <c r="L64" s="89" t="s">
        <v>92</v>
      </c>
      <c r="M64" s="90">
        <f>I64-K64</f>
        <v>2000</v>
      </c>
      <c r="N64" s="4">
        <f>IF(ISERROR(K64/I64),"",K64/I64)</f>
        <v>0.8571428571428571</v>
      </c>
      <c r="O64" s="91">
        <f>I64/E64</f>
        <v>736.84210526315792</v>
      </c>
      <c r="P64" s="91">
        <f>K64/E64</f>
        <v>631.57894736842104</v>
      </c>
      <c r="Q64" s="79">
        <v>2</v>
      </c>
      <c r="R64" s="79">
        <v>1</v>
      </c>
      <c r="S64" s="79" t="s">
        <v>59</v>
      </c>
      <c r="T64" s="5">
        <v>61</v>
      </c>
      <c r="U64" s="9"/>
      <c r="W64" s="86">
        <f>D64</f>
        <v>61.6</v>
      </c>
      <c r="X64" s="87">
        <f>E64</f>
        <v>19</v>
      </c>
      <c r="Y64" s="92">
        <f>H64</f>
        <v>126</v>
      </c>
      <c r="Z64" s="90">
        <f>I64</f>
        <v>14000</v>
      </c>
      <c r="AA64" s="90">
        <f>K64</f>
        <v>12000</v>
      </c>
      <c r="AB64" s="90">
        <f t="shared" si="29"/>
        <v>2000</v>
      </c>
      <c r="AC64" s="4">
        <f t="shared" si="29"/>
        <v>0.8571428571428571</v>
      </c>
      <c r="AD64" s="91">
        <f t="shared" si="29"/>
        <v>736.84210526315792</v>
      </c>
      <c r="AE64" s="79" t="str">
        <f>S64</f>
        <v>복</v>
      </c>
      <c r="AF64" s="79" t="str">
        <f>Q64&amp;"/"&amp;R64</f>
        <v>2/1</v>
      </c>
      <c r="AH64" s="20" t="str">
        <f t="shared" si="1"/>
        <v>가경동 세원가경골</v>
      </c>
      <c r="AI64" s="87">
        <f t="shared" si="2"/>
        <v>19</v>
      </c>
      <c r="AJ64" s="79" t="str">
        <f>IF(AI64="","",$AJ$2)</f>
        <v>A-</v>
      </c>
      <c r="AK64" s="79" t="s">
        <v>13</v>
      </c>
      <c r="AL64" s="79" t="s">
        <v>60</v>
      </c>
      <c r="AM64" s="79" t="s">
        <v>61</v>
      </c>
      <c r="AN64" s="79" t="str">
        <f>IF(AI64="","",$AN$2)</f>
        <v>C</v>
      </c>
      <c r="AO64" s="79" t="str">
        <f>IF(N64="","",IF(N64&gt;=$AO$1/100,"O","X"))</f>
        <v>O</v>
      </c>
      <c r="AP64" s="79" t="str">
        <f>IF(I64="","",IF(I64&lt;=$AP$1,"O","X"))</f>
        <v>O</v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>후보</v>
      </c>
    </row>
    <row r="65" spans="1:48" s="37" customFormat="1" ht="12" x14ac:dyDescent="0.3">
      <c r="A65" s="74" t="s">
        <v>1473</v>
      </c>
      <c r="B65" s="75" t="s">
        <v>1474</v>
      </c>
      <c r="C65" s="85">
        <v>952</v>
      </c>
      <c r="D65" s="86">
        <v>75.599999999999994</v>
      </c>
      <c r="E65" s="87">
        <v>23</v>
      </c>
      <c r="F65" s="86">
        <v>59.8</v>
      </c>
      <c r="G65" s="17">
        <v>18</v>
      </c>
      <c r="H65" s="88">
        <v>826</v>
      </c>
      <c r="I65" s="89">
        <v>19000</v>
      </c>
      <c r="J65" s="89" t="s">
        <v>70</v>
      </c>
      <c r="K65" s="89">
        <v>17000</v>
      </c>
      <c r="L65" s="89" t="s">
        <v>97</v>
      </c>
      <c r="M65" s="90">
        <f>I65-K65</f>
        <v>2000</v>
      </c>
      <c r="N65" s="4">
        <f>IF(ISERROR(K65/I65),"",K65/I65)</f>
        <v>0.89473684210526316</v>
      </c>
      <c r="O65" s="91">
        <f>I65/E65</f>
        <v>826.08695652173913</v>
      </c>
      <c r="P65" s="91">
        <f>K65/E65</f>
        <v>739.13043478260875</v>
      </c>
      <c r="Q65" s="79">
        <v>3</v>
      </c>
      <c r="R65" s="79">
        <v>1</v>
      </c>
      <c r="S65" s="79" t="s">
        <v>62</v>
      </c>
      <c r="T65" s="5">
        <v>75</v>
      </c>
      <c r="U65" s="9"/>
      <c r="W65" s="86">
        <f>D65</f>
        <v>75.599999999999994</v>
      </c>
      <c r="X65" s="87">
        <f>E65</f>
        <v>23</v>
      </c>
      <c r="Y65" s="92">
        <f>H65</f>
        <v>826</v>
      </c>
      <c r="Z65" s="90">
        <f>I65</f>
        <v>19000</v>
      </c>
      <c r="AA65" s="90">
        <f>K65</f>
        <v>17000</v>
      </c>
      <c r="AB65" s="90">
        <f t="shared" si="29"/>
        <v>2000</v>
      </c>
      <c r="AC65" s="4">
        <f t="shared" si="29"/>
        <v>0.89473684210526316</v>
      </c>
      <c r="AD65" s="91">
        <f t="shared" si="29"/>
        <v>826.08695652173913</v>
      </c>
      <c r="AE65" s="79" t="str">
        <f>S65</f>
        <v>계</v>
      </c>
      <c r="AF65" s="79" t="str">
        <f>Q65&amp;"/"&amp;R65</f>
        <v>3/1</v>
      </c>
      <c r="AH65" s="20" t="str">
        <f t="shared" si="1"/>
        <v>가경동 세원가경골</v>
      </c>
      <c r="AI65" s="87">
        <f t="shared" si="2"/>
        <v>23</v>
      </c>
      <c r="AJ65" s="79" t="str">
        <f>IF(AI65="","",$AJ$2)</f>
        <v>A-</v>
      </c>
      <c r="AK65" s="79" t="s">
        <v>13</v>
      </c>
      <c r="AL65" s="79" t="s">
        <v>60</v>
      </c>
      <c r="AM65" s="79" t="s">
        <v>61</v>
      </c>
      <c r="AN65" s="79" t="str">
        <f>IF(AI65="","",$AN$2)</f>
        <v>C</v>
      </c>
      <c r="AO65" s="79" t="str">
        <f>IF(N65="","",IF(N65&gt;=$AO$1/100,"O","X"))</f>
        <v>O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후보</v>
      </c>
    </row>
    <row r="66" spans="1:48" s="37" customFormat="1" ht="12" x14ac:dyDescent="0.3">
      <c r="A66" s="74" t="s">
        <v>1475</v>
      </c>
      <c r="B66" s="75" t="s">
        <v>1476</v>
      </c>
      <c r="C66" s="85">
        <v>600</v>
      </c>
      <c r="D66" s="86">
        <v>80.599999999999994</v>
      </c>
      <c r="E66" s="87">
        <v>24</v>
      </c>
      <c r="F66" s="86">
        <v>59.3</v>
      </c>
      <c r="G66" s="17">
        <v>18</v>
      </c>
      <c r="H66" s="88">
        <v>300</v>
      </c>
      <c r="I66" s="89">
        <v>15700</v>
      </c>
      <c r="J66" s="89" t="s">
        <v>97</v>
      </c>
      <c r="K66" s="89">
        <v>15000</v>
      </c>
      <c r="L66" s="89" t="s">
        <v>88</v>
      </c>
      <c r="M66" s="90">
        <f>I66-K66</f>
        <v>700</v>
      </c>
      <c r="N66" s="4">
        <f>IF(ISERROR(K66/I66),"",K66/I66)</f>
        <v>0.95541401273885351</v>
      </c>
      <c r="O66" s="91">
        <f>I66/E66</f>
        <v>654.16666666666663</v>
      </c>
      <c r="P66" s="91">
        <f>K66/E66</f>
        <v>625</v>
      </c>
      <c r="Q66" s="79">
        <v>3</v>
      </c>
      <c r="R66" s="79">
        <v>1</v>
      </c>
      <c r="S66" s="79" t="s">
        <v>62</v>
      </c>
      <c r="T66" s="5">
        <v>80</v>
      </c>
      <c r="U66" s="9"/>
      <c r="W66" s="86">
        <f>D66</f>
        <v>80.599999999999994</v>
      </c>
      <c r="X66" s="87">
        <f>E66</f>
        <v>24</v>
      </c>
      <c r="Y66" s="92">
        <f>H66</f>
        <v>300</v>
      </c>
      <c r="Z66" s="90">
        <f>I66</f>
        <v>15700</v>
      </c>
      <c r="AA66" s="90">
        <f>K66</f>
        <v>15000</v>
      </c>
      <c r="AB66" s="90">
        <f t="shared" ref="AB66:AD81" si="46">M66</f>
        <v>700</v>
      </c>
      <c r="AC66" s="4">
        <f t="shared" si="46"/>
        <v>0.95541401273885351</v>
      </c>
      <c r="AD66" s="91">
        <f t="shared" si="46"/>
        <v>654.16666666666663</v>
      </c>
      <c r="AE66" s="79" t="str">
        <f>S66</f>
        <v>계</v>
      </c>
      <c r="AF66" s="79" t="str">
        <f>Q66&amp;"/"&amp;R66</f>
        <v>3/1</v>
      </c>
      <c r="AH66" s="20" t="str">
        <f t="shared" si="1"/>
        <v>가경동 형석1차</v>
      </c>
      <c r="AI66" s="87">
        <f t="shared" si="2"/>
        <v>24</v>
      </c>
      <c r="AJ66" s="79" t="str">
        <f>IF(AI66="","",$AJ$2)</f>
        <v>A-</v>
      </c>
      <c r="AK66" s="79" t="s">
        <v>13</v>
      </c>
      <c r="AL66" s="79" t="s">
        <v>60</v>
      </c>
      <c r="AM66" s="79" t="s">
        <v>61</v>
      </c>
      <c r="AN66" s="79" t="str">
        <f>IF(AI66="","",$AN$2)</f>
        <v>C</v>
      </c>
      <c r="AO66" s="79" t="str">
        <f>IF(N66="","",IF(N66&gt;=$AO$1/100,"O","X"))</f>
        <v>O</v>
      </c>
      <c r="AP66" s="79" t="str">
        <f>IF(I66="","",IF(I66&lt;=$AP$1,"O","X"))</f>
        <v>O</v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O</v>
      </c>
      <c r="AV66" s="79" t="str">
        <f>IF(AO66="","",IF(AND(AO66="O",AP66="O",AR66="O",AT66="O",AU66="O"),"후보","X"))</f>
        <v>후보</v>
      </c>
    </row>
    <row r="67" spans="1:48" s="37" customFormat="1" ht="12" x14ac:dyDescent="0.3">
      <c r="A67" s="74" t="s">
        <v>1475</v>
      </c>
      <c r="B67" s="75" t="s">
        <v>1476</v>
      </c>
      <c r="C67" s="85">
        <v>600</v>
      </c>
      <c r="D67" s="86">
        <v>87.8</v>
      </c>
      <c r="E67" s="87">
        <v>27</v>
      </c>
      <c r="F67" s="86">
        <v>72.599999999999994</v>
      </c>
      <c r="G67" s="17">
        <v>22</v>
      </c>
      <c r="H67" s="88">
        <v>300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3</v>
      </c>
      <c r="R67" s="79">
        <v>1</v>
      </c>
      <c r="S67" s="79" t="s">
        <v>62</v>
      </c>
      <c r="T67" s="5">
        <v>87</v>
      </c>
      <c r="U67" s="9"/>
      <c r="W67" s="86">
        <f>D67</f>
        <v>87.8</v>
      </c>
      <c r="X67" s="87">
        <f>E67</f>
        <v>27</v>
      </c>
      <c r="Y67" s="92">
        <f>H67</f>
        <v>300</v>
      </c>
      <c r="Z67" s="90">
        <f>I67</f>
        <v>0</v>
      </c>
      <c r="AA67" s="90">
        <f>K67</f>
        <v>0</v>
      </c>
      <c r="AB67" s="90">
        <f t="shared" si="46"/>
        <v>0</v>
      </c>
      <c r="AC67" s="4" t="str">
        <f t="shared" si="46"/>
        <v/>
      </c>
      <c r="AD67" s="91">
        <f t="shared" si="46"/>
        <v>0</v>
      </c>
      <c r="AE67" s="79" t="str">
        <f>S67</f>
        <v>계</v>
      </c>
      <c r="AF67" s="79" t="str">
        <f>Q67&amp;"/"&amp;R67</f>
        <v>3/1</v>
      </c>
      <c r="AH67" s="20" t="str">
        <f t="shared" si="1"/>
        <v>가경동 형석1차</v>
      </c>
      <c r="AI67" s="87">
        <f t="shared" si="2"/>
        <v>27</v>
      </c>
      <c r="AJ67" s="79" t="str">
        <f>IF(AI67="","",$AJ$2)</f>
        <v>A-</v>
      </c>
      <c r="AK67" s="79" t="s">
        <v>13</v>
      </c>
      <c r="AL67" s="79" t="s">
        <v>60</v>
      </c>
      <c r="AM67" s="79" t="s">
        <v>61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O</v>
      </c>
      <c r="AV67" s="79" t="str">
        <f>IF(AO67="","",IF(AND(AO67="O",AP67="O",AR67="O",AT67="O",AU67="O"),"후보","X"))</f>
        <v/>
      </c>
    </row>
    <row r="68" spans="1:48" s="37" customFormat="1" ht="12" x14ac:dyDescent="0.3">
      <c r="A68" s="74" t="s">
        <v>1477</v>
      </c>
      <c r="B68" s="75" t="s">
        <v>1476</v>
      </c>
      <c r="C68" s="85">
        <v>380</v>
      </c>
      <c r="D68" s="86">
        <v>114.2</v>
      </c>
      <c r="E68" s="87">
        <v>35</v>
      </c>
      <c r="F68" s="86">
        <v>95.6</v>
      </c>
      <c r="G68" s="17">
        <v>29</v>
      </c>
      <c r="H68" s="88">
        <v>240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9">
        <v>3</v>
      </c>
      <c r="R68" s="79">
        <v>2</v>
      </c>
      <c r="S68" s="79" t="s">
        <v>62</v>
      </c>
      <c r="T68" s="5">
        <v>114</v>
      </c>
      <c r="U68" s="9"/>
      <c r="W68" s="86">
        <f>D68</f>
        <v>114.2</v>
      </c>
      <c r="X68" s="87">
        <f>E68</f>
        <v>35</v>
      </c>
      <c r="Y68" s="92">
        <f>H68</f>
        <v>240</v>
      </c>
      <c r="Z68" s="90">
        <f>I68</f>
        <v>0</v>
      </c>
      <c r="AA68" s="90">
        <f>K68</f>
        <v>0</v>
      </c>
      <c r="AB68" s="90">
        <f t="shared" si="46"/>
        <v>0</v>
      </c>
      <c r="AC68" s="4" t="str">
        <f t="shared" si="46"/>
        <v/>
      </c>
      <c r="AD68" s="91">
        <f t="shared" si="46"/>
        <v>0</v>
      </c>
      <c r="AE68" s="79" t="str">
        <f>S68</f>
        <v>계</v>
      </c>
      <c r="AF68" s="79" t="str">
        <f>Q68&amp;"/"&amp;R68</f>
        <v>3/2</v>
      </c>
      <c r="AH68" s="20" t="str">
        <f t="shared" ref="AH68:AH131" si="47">IF(A68="","",A68)</f>
        <v>가경동 벽산</v>
      </c>
      <c r="AI68" s="87">
        <f t="shared" ref="AI68:AI131" si="48">IF(E68="","",E68)</f>
        <v>35</v>
      </c>
      <c r="AJ68" s="79" t="str">
        <f>IF(AI68="","",$AJ$2)</f>
        <v>A-</v>
      </c>
      <c r="AK68" s="79" t="s">
        <v>13</v>
      </c>
      <c r="AL68" s="79" t="s">
        <v>60</v>
      </c>
      <c r="AM68" s="79" t="s">
        <v>61</v>
      </c>
      <c r="AN68" s="79" t="str">
        <f>IF(AI68="","",$AN$2)</f>
        <v>C</v>
      </c>
      <c r="AO68" s="79" t="str">
        <f>IF(N68="","",IF(N68&gt;=$AO$1/100,"O","X"))</f>
        <v/>
      </c>
      <c r="AP68" s="79" t="str">
        <f>IF(I68="","",IF(I68&lt;=$AP$1,"O","X"))</f>
        <v/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O</v>
      </c>
      <c r="AV68" s="79" t="str">
        <f>IF(AO68="","",IF(AND(AO68="O",AP68="O",AR68="O",AT68="O",AU68="O"),"후보","X"))</f>
        <v/>
      </c>
    </row>
    <row r="69" spans="1:48" s="37" customFormat="1" ht="12" x14ac:dyDescent="0.3">
      <c r="A69" s="74" t="s">
        <v>1477</v>
      </c>
      <c r="B69" s="75" t="s">
        <v>1476</v>
      </c>
      <c r="C69" s="85">
        <v>380</v>
      </c>
      <c r="D69" s="86">
        <v>145.5</v>
      </c>
      <c r="E69" s="87">
        <v>44</v>
      </c>
      <c r="F69" s="86">
        <v>124.7</v>
      </c>
      <c r="G69" s="17">
        <v>38</v>
      </c>
      <c r="H69" s="88">
        <v>140</v>
      </c>
      <c r="I69" s="89">
        <v>29000</v>
      </c>
      <c r="J69" s="89" t="s">
        <v>88</v>
      </c>
      <c r="K69" s="89"/>
      <c r="L69" s="89"/>
      <c r="M69" s="90">
        <f>I69-K69</f>
        <v>29000</v>
      </c>
      <c r="N69" s="4">
        <f>IF(ISERROR(K69/I69),"",K69/I69)</f>
        <v>0</v>
      </c>
      <c r="O69" s="91">
        <f>I69/E69</f>
        <v>659.09090909090912</v>
      </c>
      <c r="P69" s="91">
        <f>K69/E69</f>
        <v>0</v>
      </c>
      <c r="Q69" s="79">
        <v>4</v>
      </c>
      <c r="R69" s="79">
        <v>2</v>
      </c>
      <c r="S69" s="79" t="s">
        <v>62</v>
      </c>
      <c r="T69" s="5">
        <v>145</v>
      </c>
      <c r="U69" s="9"/>
      <c r="W69" s="86">
        <f>D69</f>
        <v>145.5</v>
      </c>
      <c r="X69" s="87">
        <f>E69</f>
        <v>44</v>
      </c>
      <c r="Y69" s="92">
        <f>H69</f>
        <v>140</v>
      </c>
      <c r="Z69" s="90">
        <f>I69</f>
        <v>29000</v>
      </c>
      <c r="AA69" s="90">
        <f>K69</f>
        <v>0</v>
      </c>
      <c r="AB69" s="90">
        <f t="shared" si="46"/>
        <v>29000</v>
      </c>
      <c r="AC69" s="4">
        <f t="shared" si="46"/>
        <v>0</v>
      </c>
      <c r="AD69" s="91">
        <f t="shared" si="46"/>
        <v>659.09090909090912</v>
      </c>
      <c r="AE69" s="79" t="str">
        <f>S69</f>
        <v>계</v>
      </c>
      <c r="AF69" s="79" t="str">
        <f>Q69&amp;"/"&amp;R69</f>
        <v>4/2</v>
      </c>
      <c r="AH69" s="20" t="str">
        <f t="shared" si="47"/>
        <v>가경동 벽산</v>
      </c>
      <c r="AI69" s="87">
        <f t="shared" si="48"/>
        <v>44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X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s="37" customFormat="1" ht="12" x14ac:dyDescent="0.3">
      <c r="A70" s="74" t="s">
        <v>1478</v>
      </c>
      <c r="B70" s="75" t="s">
        <v>1479</v>
      </c>
      <c r="C70" s="85">
        <v>520</v>
      </c>
      <c r="D70" s="86">
        <v>74.8</v>
      </c>
      <c r="E70" s="87">
        <v>23</v>
      </c>
      <c r="F70" s="86">
        <v>59.9</v>
      </c>
      <c r="G70" s="17">
        <v>18</v>
      </c>
      <c r="H70" s="88">
        <v>400</v>
      </c>
      <c r="I70" s="89">
        <v>18500</v>
      </c>
      <c r="J70" s="89" t="s">
        <v>70</v>
      </c>
      <c r="K70" s="89">
        <v>18000</v>
      </c>
      <c r="L70" s="89" t="s">
        <v>102</v>
      </c>
      <c r="M70" s="90">
        <f>I70-K70</f>
        <v>500</v>
      </c>
      <c r="N70" s="4">
        <f>IF(ISERROR(K70/I70),"",K70/I70)</f>
        <v>0.97297297297297303</v>
      </c>
      <c r="O70" s="91">
        <f>I70/E70</f>
        <v>804.3478260869565</v>
      </c>
      <c r="P70" s="91">
        <f>K70/E70</f>
        <v>782.60869565217388</v>
      </c>
      <c r="Q70" s="79">
        <v>3</v>
      </c>
      <c r="R70" s="79">
        <v>1</v>
      </c>
      <c r="S70" s="79" t="s">
        <v>62</v>
      </c>
      <c r="T70" s="5" t="s">
        <v>103</v>
      </c>
      <c r="U70" s="9"/>
      <c r="W70" s="86">
        <f>D70</f>
        <v>74.8</v>
      </c>
      <c r="X70" s="87">
        <f>E70</f>
        <v>23</v>
      </c>
      <c r="Y70" s="92">
        <f>H70</f>
        <v>400</v>
      </c>
      <c r="Z70" s="90">
        <f>I70</f>
        <v>18500</v>
      </c>
      <c r="AA70" s="90">
        <f>K70</f>
        <v>18000</v>
      </c>
      <c r="AB70" s="90">
        <f t="shared" si="46"/>
        <v>500</v>
      </c>
      <c r="AC70" s="4">
        <f t="shared" si="46"/>
        <v>0.97297297297297303</v>
      </c>
      <c r="AD70" s="91">
        <f t="shared" si="46"/>
        <v>804.3478260869565</v>
      </c>
      <c r="AE70" s="79" t="str">
        <f>S70</f>
        <v>계</v>
      </c>
      <c r="AF70" s="79" t="str">
        <f>Q70&amp;"/"&amp;R70</f>
        <v>3/1</v>
      </c>
      <c r="AH70" s="20" t="str">
        <f t="shared" si="47"/>
        <v>가경동 삼일원앙</v>
      </c>
      <c r="AI70" s="87">
        <f t="shared" si="48"/>
        <v>23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>O</v>
      </c>
      <c r="AP70" s="79" t="str">
        <f>IF(I70="","",IF(I70&lt;=$AP$1,"O","X"))</f>
        <v>O</v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후보</v>
      </c>
    </row>
    <row r="71" spans="1:48" s="37" customFormat="1" ht="12" x14ac:dyDescent="0.3">
      <c r="A71" s="74" t="s">
        <v>1480</v>
      </c>
      <c r="B71" s="75" t="s">
        <v>1481</v>
      </c>
      <c r="C71" s="85">
        <v>520</v>
      </c>
      <c r="D71" s="86">
        <v>74.900000000000006</v>
      </c>
      <c r="E71" s="87">
        <v>23</v>
      </c>
      <c r="F71" s="86">
        <v>59.9</v>
      </c>
      <c r="G71" s="17">
        <v>18</v>
      </c>
      <c r="H71" s="88">
        <v>120</v>
      </c>
      <c r="I71" s="89">
        <v>18000</v>
      </c>
      <c r="J71" s="89" t="s">
        <v>97</v>
      </c>
      <c r="K71" s="89">
        <v>17500</v>
      </c>
      <c r="L71" s="89" t="s">
        <v>83</v>
      </c>
      <c r="M71" s="90">
        <f>I71-K71</f>
        <v>500</v>
      </c>
      <c r="N71" s="4">
        <f>IF(ISERROR(K71/I71),"",K71/I71)</f>
        <v>0.97222222222222221</v>
      </c>
      <c r="O71" s="91">
        <f>I71/E71</f>
        <v>782.60869565217388</v>
      </c>
      <c r="P71" s="91">
        <f>K71/E71</f>
        <v>760.86956521739125</v>
      </c>
      <c r="Q71" s="79">
        <v>2</v>
      </c>
      <c r="R71" s="79">
        <v>2</v>
      </c>
      <c r="S71" s="79" t="s">
        <v>62</v>
      </c>
      <c r="T71" s="5" t="s">
        <v>104</v>
      </c>
      <c r="U71" s="9"/>
      <c r="W71" s="86">
        <f>D71</f>
        <v>74.900000000000006</v>
      </c>
      <c r="X71" s="87">
        <f>E71</f>
        <v>23</v>
      </c>
      <c r="Y71" s="92">
        <f>H71</f>
        <v>120</v>
      </c>
      <c r="Z71" s="90">
        <f>I71</f>
        <v>18000</v>
      </c>
      <c r="AA71" s="90">
        <f>K71</f>
        <v>17500</v>
      </c>
      <c r="AB71" s="90">
        <f t="shared" si="46"/>
        <v>500</v>
      </c>
      <c r="AC71" s="4">
        <f t="shared" si="46"/>
        <v>0.97222222222222221</v>
      </c>
      <c r="AD71" s="91">
        <f t="shared" si="46"/>
        <v>782.60869565217388</v>
      </c>
      <c r="AE71" s="79" t="str">
        <f>S71</f>
        <v>계</v>
      </c>
      <c r="AF71" s="79" t="str">
        <f>Q71&amp;"/"&amp;R71</f>
        <v>2/2</v>
      </c>
      <c r="AH71" s="20" t="str">
        <f t="shared" si="47"/>
        <v>가경동 삼일원앙</v>
      </c>
      <c r="AI71" s="87">
        <f t="shared" si="48"/>
        <v>23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O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후보</v>
      </c>
    </row>
    <row r="72" spans="1:48" s="37" customFormat="1" ht="12" x14ac:dyDescent="0.3">
      <c r="A72" s="74" t="s">
        <v>1482</v>
      </c>
      <c r="B72" s="75" t="s">
        <v>1483</v>
      </c>
      <c r="C72" s="85">
        <v>324</v>
      </c>
      <c r="D72" s="86">
        <v>83</v>
      </c>
      <c r="E72" s="87">
        <v>25</v>
      </c>
      <c r="F72" s="86">
        <v>64.900000000000006</v>
      </c>
      <c r="G72" s="17">
        <v>20</v>
      </c>
      <c r="H72" s="88">
        <v>48</v>
      </c>
      <c r="I72" s="89">
        <v>16500</v>
      </c>
      <c r="J72" s="89" t="s">
        <v>83</v>
      </c>
      <c r="K72" s="89">
        <v>15000</v>
      </c>
      <c r="L72" s="89" t="s">
        <v>88</v>
      </c>
      <c r="M72" s="90">
        <f>I72-K72</f>
        <v>1500</v>
      </c>
      <c r="N72" s="4">
        <f>IF(ISERROR(K72/I72),"",K72/I72)</f>
        <v>0.90909090909090906</v>
      </c>
      <c r="O72" s="91">
        <f>I72/E72</f>
        <v>660</v>
      </c>
      <c r="P72" s="91">
        <f>K72/E72</f>
        <v>600</v>
      </c>
      <c r="Q72" s="79">
        <v>2</v>
      </c>
      <c r="R72" s="79">
        <v>1</v>
      </c>
      <c r="S72" s="79" t="s">
        <v>62</v>
      </c>
      <c r="T72" s="5">
        <v>82</v>
      </c>
      <c r="U72" s="9"/>
      <c r="W72" s="86">
        <f t="shared" ref="W72:X78" si="49">D72</f>
        <v>83</v>
      </c>
      <c r="X72" s="87">
        <f t="shared" si="49"/>
        <v>25</v>
      </c>
      <c r="Y72" s="92">
        <f t="shared" ref="Y72:Z78" si="50">H72</f>
        <v>48</v>
      </c>
      <c r="Z72" s="90">
        <f t="shared" si="50"/>
        <v>16500</v>
      </c>
      <c r="AA72" s="90">
        <f>K72</f>
        <v>15000</v>
      </c>
      <c r="AB72" s="90">
        <f t="shared" si="46"/>
        <v>1500</v>
      </c>
      <c r="AC72" s="4">
        <f t="shared" si="46"/>
        <v>0.90909090909090906</v>
      </c>
      <c r="AD72" s="91">
        <f t="shared" si="46"/>
        <v>660</v>
      </c>
      <c r="AE72" s="79" t="str">
        <f>S72</f>
        <v>계</v>
      </c>
      <c r="AF72" s="79" t="str">
        <f>Q72&amp;"/"&amp;R72</f>
        <v>2/1</v>
      </c>
      <c r="AH72" s="20" t="str">
        <f t="shared" si="47"/>
        <v>가경동 가경신라</v>
      </c>
      <c r="AI72" s="87">
        <f t="shared" si="48"/>
        <v>25</v>
      </c>
      <c r="AJ72" s="79" t="str">
        <f>IF(AI72="","",$AJ$2)</f>
        <v>A-</v>
      </c>
      <c r="AK72" s="79" t="s">
        <v>13</v>
      </c>
      <c r="AL72" s="79" t="s">
        <v>60</v>
      </c>
      <c r="AM72" s="79" t="s">
        <v>61</v>
      </c>
      <c r="AN72" s="79" t="str">
        <f>IF(AI72="","",$AN$2)</f>
        <v>C</v>
      </c>
      <c r="AO72" s="79" t="str">
        <f>IF(N72="","",IF(N72&gt;=$AO$1/100,"O","X"))</f>
        <v>O</v>
      </c>
      <c r="AP72" s="79" t="str">
        <f>IF(I72="","",IF(I72&lt;=$AP$1,"O","X"))</f>
        <v>O</v>
      </c>
      <c r="AQ72" s="79" t="str">
        <f>IF(O72="","",IF(O72&lt;=$AQ$1,"O","X"))</f>
        <v>O</v>
      </c>
      <c r="AR72" s="79" t="str">
        <f>IF(M72="","",IF(M72&lt;=$AR$1,"O","X"))</f>
        <v>O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O</v>
      </c>
      <c r="AV72" s="79" t="str">
        <f>IF(AO72="","",IF(AND(AO72="O",AP72="O",AR72="O",AT72="O",AU72="O"),"후보","X"))</f>
        <v>후보</v>
      </c>
    </row>
    <row r="73" spans="1:48" s="37" customFormat="1" ht="12" x14ac:dyDescent="0.3">
      <c r="A73" s="74" t="s">
        <v>1482</v>
      </c>
      <c r="B73" s="75" t="s">
        <v>1483</v>
      </c>
      <c r="C73" s="85">
        <v>324</v>
      </c>
      <c r="D73" s="86">
        <v>86.7</v>
      </c>
      <c r="E73" s="87">
        <v>26</v>
      </c>
      <c r="F73" s="86">
        <v>68.400000000000006</v>
      </c>
      <c r="G73" s="17">
        <v>21</v>
      </c>
      <c r="H73" s="88">
        <v>60</v>
      </c>
      <c r="I73" s="89">
        <v>16000</v>
      </c>
      <c r="J73" s="89" t="s">
        <v>79</v>
      </c>
      <c r="K73" s="89"/>
      <c r="L73" s="89"/>
      <c r="M73" s="90">
        <f>I73-K73</f>
        <v>16000</v>
      </c>
      <c r="N73" s="4">
        <f>IF(ISERROR(K73/I73),"",K73/I73)</f>
        <v>0</v>
      </c>
      <c r="O73" s="91">
        <f>I73/E73</f>
        <v>615.38461538461536</v>
      </c>
      <c r="P73" s="91">
        <f>K73/E73</f>
        <v>0</v>
      </c>
      <c r="Q73" s="79">
        <v>2</v>
      </c>
      <c r="R73" s="79">
        <v>1</v>
      </c>
      <c r="S73" s="79" t="s">
        <v>62</v>
      </c>
      <c r="T73" s="5" t="s">
        <v>105</v>
      </c>
      <c r="U73" s="9"/>
      <c r="W73" s="86">
        <f t="shared" si="49"/>
        <v>86.7</v>
      </c>
      <c r="X73" s="87">
        <f t="shared" si="49"/>
        <v>26</v>
      </c>
      <c r="Y73" s="92">
        <f t="shared" si="50"/>
        <v>60</v>
      </c>
      <c r="Z73" s="90">
        <f t="shared" si="50"/>
        <v>16000</v>
      </c>
      <c r="AA73" s="90">
        <f>K73</f>
        <v>0</v>
      </c>
      <c r="AB73" s="90">
        <f t="shared" si="46"/>
        <v>16000</v>
      </c>
      <c r="AC73" s="4">
        <f t="shared" si="46"/>
        <v>0</v>
      </c>
      <c r="AD73" s="91">
        <f t="shared" si="46"/>
        <v>615.38461538461536</v>
      </c>
      <c r="AE73" s="79" t="str">
        <f>S73</f>
        <v>계</v>
      </c>
      <c r="AF73" s="79" t="str">
        <f>Q73&amp;"/"&amp;R73</f>
        <v>2/1</v>
      </c>
      <c r="AH73" s="20" t="str">
        <f t="shared" si="47"/>
        <v>가경동 가경신라</v>
      </c>
      <c r="AI73" s="87">
        <f t="shared" si="48"/>
        <v>26</v>
      </c>
      <c r="AJ73" s="79" t="str">
        <f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O</v>
      </c>
      <c r="AQ73" s="79" t="str">
        <f>IF(O73="","",IF(O73&lt;=$AQ$1,"O","X"))</f>
        <v>O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s="37" customFormat="1" ht="12" x14ac:dyDescent="0.3">
      <c r="A74" s="74" t="s">
        <v>1482</v>
      </c>
      <c r="B74" s="75" t="s">
        <v>1483</v>
      </c>
      <c r="C74" s="85">
        <v>324</v>
      </c>
      <c r="D74" s="86">
        <v>103.6</v>
      </c>
      <c r="E74" s="87">
        <v>31</v>
      </c>
      <c r="F74" s="86">
        <v>85</v>
      </c>
      <c r="G74" s="17">
        <v>26</v>
      </c>
      <c r="H74" s="88">
        <v>120</v>
      </c>
      <c r="I74" s="89">
        <v>22000</v>
      </c>
      <c r="J74" s="89" t="s">
        <v>92</v>
      </c>
      <c r="K74" s="89"/>
      <c r="L74" s="89"/>
      <c r="M74" s="90">
        <f>I74-K74</f>
        <v>22000</v>
      </c>
      <c r="N74" s="4">
        <f>IF(ISERROR(K74/I74),"",K74/I74)</f>
        <v>0</v>
      </c>
      <c r="O74" s="91">
        <f>I74/E74</f>
        <v>709.67741935483866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 t="s">
        <v>87</v>
      </c>
      <c r="U74" s="9"/>
      <c r="W74" s="86">
        <f t="shared" si="49"/>
        <v>103.6</v>
      </c>
      <c r="X74" s="87">
        <f t="shared" si="49"/>
        <v>31</v>
      </c>
      <c r="Y74" s="92">
        <f t="shared" si="50"/>
        <v>120</v>
      </c>
      <c r="Z74" s="90">
        <f t="shared" si="50"/>
        <v>22000</v>
      </c>
      <c r="AA74" s="90">
        <f>K74</f>
        <v>0</v>
      </c>
      <c r="AB74" s="90">
        <f t="shared" si="46"/>
        <v>22000</v>
      </c>
      <c r="AC74" s="4">
        <f t="shared" si="46"/>
        <v>0</v>
      </c>
      <c r="AD74" s="91">
        <f t="shared" si="46"/>
        <v>709.67741935483866</v>
      </c>
      <c r="AE74" s="79" t="str">
        <f>S74</f>
        <v>계</v>
      </c>
      <c r="AF74" s="79" t="str">
        <f>Q74&amp;"/"&amp;R74</f>
        <v>3/2</v>
      </c>
      <c r="AH74" s="20" t="str">
        <f t="shared" si="47"/>
        <v>가경동 가경신라</v>
      </c>
      <c r="AI74" s="87">
        <f t="shared" si="48"/>
        <v>31</v>
      </c>
      <c r="AJ74" s="79" t="str">
        <f>IF(AI74="","",$AJ$2)</f>
        <v>A-</v>
      </c>
      <c r="AK74" s="79" t="s">
        <v>13</v>
      </c>
      <c r="AL74" s="79" t="s">
        <v>60</v>
      </c>
      <c r="AM74" s="79" t="s">
        <v>61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O</v>
      </c>
      <c r="AQ74" s="79" t="str">
        <f>IF(O74="","",IF(O74&lt;=$AQ$1,"O","X"))</f>
        <v>O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s="37" customFormat="1" ht="12" x14ac:dyDescent="0.3">
      <c r="A75" s="74" t="s">
        <v>1482</v>
      </c>
      <c r="B75" s="75" t="s">
        <v>1484</v>
      </c>
      <c r="C75" s="85">
        <v>324</v>
      </c>
      <c r="D75" s="86">
        <v>103.3</v>
      </c>
      <c r="E75" s="87">
        <v>31</v>
      </c>
      <c r="F75" s="86">
        <v>84.9</v>
      </c>
      <c r="G75" s="17">
        <v>26</v>
      </c>
      <c r="H75" s="88">
        <v>96</v>
      </c>
      <c r="I75" s="89">
        <v>23000</v>
      </c>
      <c r="J75" s="89" t="s">
        <v>92</v>
      </c>
      <c r="K75" s="89"/>
      <c r="L75" s="89"/>
      <c r="M75" s="90">
        <f>I75-K75</f>
        <v>23000</v>
      </c>
      <c r="N75" s="4">
        <f>IF(ISERROR(K75/I75),"",K75/I75)</f>
        <v>0</v>
      </c>
      <c r="O75" s="91">
        <f>I75/E75</f>
        <v>741.93548387096769</v>
      </c>
      <c r="P75" s="91">
        <f>K75/E75</f>
        <v>0</v>
      </c>
      <c r="Q75" s="79">
        <v>3</v>
      </c>
      <c r="R75" s="79">
        <v>2</v>
      </c>
      <c r="S75" s="79" t="s">
        <v>62</v>
      </c>
      <c r="T75" s="5" t="s">
        <v>86</v>
      </c>
      <c r="U75" s="9"/>
      <c r="W75" s="86">
        <f t="shared" si="49"/>
        <v>103.3</v>
      </c>
      <c r="X75" s="87">
        <f t="shared" si="49"/>
        <v>31</v>
      </c>
      <c r="Y75" s="92">
        <f t="shared" si="50"/>
        <v>96</v>
      </c>
      <c r="Z75" s="90">
        <f t="shared" si="50"/>
        <v>23000</v>
      </c>
      <c r="AA75" s="90">
        <f>K75</f>
        <v>0</v>
      </c>
      <c r="AB75" s="90">
        <f t="shared" si="46"/>
        <v>23000</v>
      </c>
      <c r="AC75" s="4">
        <f t="shared" si="46"/>
        <v>0</v>
      </c>
      <c r="AD75" s="91">
        <f t="shared" si="46"/>
        <v>741.93548387096769</v>
      </c>
      <c r="AE75" s="79" t="str">
        <f>S75</f>
        <v>계</v>
      </c>
      <c r="AF75" s="79" t="str">
        <f>Q75&amp;"/"&amp;R75</f>
        <v>3/2</v>
      </c>
      <c r="AH75" s="20" t="str">
        <f t="shared" si="47"/>
        <v>가경동 가경신라</v>
      </c>
      <c r="AI75" s="87">
        <f t="shared" si="48"/>
        <v>31</v>
      </c>
      <c r="AJ75" s="79" t="str">
        <f>IF(AI75="","",$AJ$2)</f>
        <v>A-</v>
      </c>
      <c r="AK75" s="79" t="s">
        <v>13</v>
      </c>
      <c r="AL75" s="79" t="s">
        <v>60</v>
      </c>
      <c r="AM75" s="79" t="s">
        <v>61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O</v>
      </c>
      <c r="AQ75" s="79" t="str">
        <f>IF(O75="","",IF(O75&lt;=$AQ$1,"O","X"))</f>
        <v>O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s="37" customFormat="1" ht="12" x14ac:dyDescent="0.3">
      <c r="A76" s="74" t="s">
        <v>1485</v>
      </c>
      <c r="B76" s="75" t="s">
        <v>1486</v>
      </c>
      <c r="C76" s="85">
        <v>459</v>
      </c>
      <c r="D76" s="86">
        <v>111.6</v>
      </c>
      <c r="E76" s="87">
        <v>34</v>
      </c>
      <c r="F76" s="86">
        <v>84.9</v>
      </c>
      <c r="G76" s="17">
        <v>26</v>
      </c>
      <c r="H76" s="88">
        <v>80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3</v>
      </c>
      <c r="R76" s="79">
        <v>2</v>
      </c>
      <c r="S76" s="79" t="s">
        <v>62</v>
      </c>
      <c r="T76" s="5">
        <v>111</v>
      </c>
      <c r="U76" s="9"/>
      <c r="W76" s="86">
        <f t="shared" si="49"/>
        <v>111.6</v>
      </c>
      <c r="X76" s="87">
        <f t="shared" si="49"/>
        <v>34</v>
      </c>
      <c r="Y76" s="92">
        <f t="shared" si="50"/>
        <v>80</v>
      </c>
      <c r="Z76" s="90">
        <f t="shared" si="50"/>
        <v>0</v>
      </c>
      <c r="AA76" s="90">
        <f>K76</f>
        <v>0</v>
      </c>
      <c r="AB76" s="90">
        <f t="shared" si="46"/>
        <v>0</v>
      </c>
      <c r="AC76" s="4" t="str">
        <f t="shared" si="46"/>
        <v/>
      </c>
      <c r="AD76" s="91">
        <f t="shared" si="46"/>
        <v>0</v>
      </c>
      <c r="AE76" s="79" t="str">
        <f>S76</f>
        <v>계</v>
      </c>
      <c r="AF76" s="79" t="str">
        <f>Q76&amp;"/"&amp;R76</f>
        <v>3/2</v>
      </c>
      <c r="AH76" s="20" t="str">
        <f t="shared" si="47"/>
        <v>가경동 가로수마을호반베르디움</v>
      </c>
      <c r="AI76" s="87">
        <f t="shared" si="48"/>
        <v>34</v>
      </c>
      <c r="AJ76" s="79" t="str">
        <f>IF(AI76="","",$AJ$2)</f>
        <v>A-</v>
      </c>
      <c r="AK76" s="79" t="s">
        <v>13</v>
      </c>
      <c r="AL76" s="79" t="s">
        <v>60</v>
      </c>
      <c r="AM76" s="79" t="s">
        <v>61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O</v>
      </c>
      <c r="AU76" s="79" t="str">
        <f>IF(C76="","",IF(C76&gt;=$AU$1,"O","X"))</f>
        <v>O</v>
      </c>
      <c r="AV76" s="79" t="str">
        <f>IF(AO76="","",IF(AND(AO76="O",AP76="O",AR76="O",AT76="O",AU76="O"),"후보","X"))</f>
        <v/>
      </c>
    </row>
    <row r="77" spans="1:48" s="37" customFormat="1" ht="12" x14ac:dyDescent="0.3">
      <c r="A77" s="74" t="s">
        <v>1485</v>
      </c>
      <c r="B77" s="75" t="s">
        <v>1486</v>
      </c>
      <c r="C77" s="85">
        <v>459</v>
      </c>
      <c r="D77" s="86">
        <v>112.7</v>
      </c>
      <c r="E77" s="87">
        <v>34</v>
      </c>
      <c r="F77" s="86">
        <v>85</v>
      </c>
      <c r="G77" s="17">
        <v>26</v>
      </c>
      <c r="H77" s="88">
        <v>259</v>
      </c>
      <c r="I77" s="89">
        <v>42500</v>
      </c>
      <c r="J77" s="89" t="s">
        <v>92</v>
      </c>
      <c r="K77" s="89"/>
      <c r="L77" s="89"/>
      <c r="M77" s="90">
        <f>I77-K77</f>
        <v>42500</v>
      </c>
      <c r="N77" s="4">
        <f>IF(ISERROR(K77/I77),"",K77/I77)</f>
        <v>0</v>
      </c>
      <c r="O77" s="91">
        <f>I77/E77</f>
        <v>1250</v>
      </c>
      <c r="P77" s="91">
        <f>K77/E77</f>
        <v>0</v>
      </c>
      <c r="Q77" s="79">
        <v>3</v>
      </c>
      <c r="R77" s="79">
        <v>2</v>
      </c>
      <c r="S77" s="79" t="s">
        <v>62</v>
      </c>
      <c r="T77" s="5" t="s">
        <v>106</v>
      </c>
      <c r="U77" s="9"/>
      <c r="W77" s="86">
        <f t="shared" si="49"/>
        <v>112.7</v>
      </c>
      <c r="X77" s="87">
        <f t="shared" si="49"/>
        <v>34</v>
      </c>
      <c r="Y77" s="92">
        <f t="shared" si="50"/>
        <v>259</v>
      </c>
      <c r="Z77" s="90">
        <f t="shared" si="50"/>
        <v>42500</v>
      </c>
      <c r="AA77" s="90">
        <f>K77</f>
        <v>0</v>
      </c>
      <c r="AB77" s="90">
        <f t="shared" si="46"/>
        <v>42500</v>
      </c>
      <c r="AC77" s="4">
        <f t="shared" si="46"/>
        <v>0</v>
      </c>
      <c r="AD77" s="91">
        <f t="shared" si="46"/>
        <v>1250</v>
      </c>
      <c r="AE77" s="79" t="str">
        <f>S77</f>
        <v>계</v>
      </c>
      <c r="AF77" s="79" t="str">
        <f>Q77&amp;"/"&amp;R77</f>
        <v>3/2</v>
      </c>
      <c r="AH77" s="20" t="str">
        <f t="shared" si="47"/>
        <v>가경동 가로수마을호반베르디움</v>
      </c>
      <c r="AI77" s="87">
        <f t="shared" si="48"/>
        <v>34</v>
      </c>
      <c r="AJ77" s="79" t="str">
        <f>IF(AI77="","",$AJ$2)</f>
        <v>A-</v>
      </c>
      <c r="AK77" s="79" t="s">
        <v>13</v>
      </c>
      <c r="AL77" s="79" t="s">
        <v>60</v>
      </c>
      <c r="AM77" s="79" t="s">
        <v>61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O</v>
      </c>
      <c r="AQ77" s="79" t="str">
        <f>IF(O77="","",IF(O77&lt;=$AQ$1,"O","X"))</f>
        <v>O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s="37" customFormat="1" ht="12" x14ac:dyDescent="0.3">
      <c r="A78" s="74" t="s">
        <v>1487</v>
      </c>
      <c r="B78" s="75" t="s">
        <v>1486</v>
      </c>
      <c r="C78" s="85">
        <v>459</v>
      </c>
      <c r="D78" s="86">
        <v>112.8</v>
      </c>
      <c r="E78" s="87">
        <v>34</v>
      </c>
      <c r="F78" s="86">
        <v>85</v>
      </c>
      <c r="G78" s="17">
        <v>26</v>
      </c>
      <c r="H78" s="88">
        <v>120</v>
      </c>
      <c r="I78" s="89">
        <v>44000</v>
      </c>
      <c r="J78" s="89" t="s">
        <v>81</v>
      </c>
      <c r="K78" s="89">
        <v>37000</v>
      </c>
      <c r="L78" s="89" t="s">
        <v>92</v>
      </c>
      <c r="M78" s="90">
        <f>I78-K78</f>
        <v>7000</v>
      </c>
      <c r="N78" s="4">
        <f>IF(ISERROR(K78/I78),"",K78/I78)</f>
        <v>0.84090909090909094</v>
      </c>
      <c r="O78" s="91">
        <f>I78/E78</f>
        <v>1294.1176470588234</v>
      </c>
      <c r="P78" s="91">
        <f>K78/E78</f>
        <v>1088.2352941176471</v>
      </c>
      <c r="Q78" s="79">
        <v>3</v>
      </c>
      <c r="R78" s="79">
        <v>2</v>
      </c>
      <c r="S78" s="79" t="s">
        <v>62</v>
      </c>
      <c r="T78" s="5" t="s">
        <v>107</v>
      </c>
      <c r="U78" s="9"/>
      <c r="W78" s="86">
        <f t="shared" si="49"/>
        <v>112.8</v>
      </c>
      <c r="X78" s="87">
        <f t="shared" si="49"/>
        <v>34</v>
      </c>
      <c r="Y78" s="92">
        <f t="shared" si="50"/>
        <v>120</v>
      </c>
      <c r="Z78" s="90">
        <f t="shared" si="50"/>
        <v>44000</v>
      </c>
      <c r="AA78" s="90">
        <f>K78</f>
        <v>37000</v>
      </c>
      <c r="AB78" s="90">
        <f t="shared" si="46"/>
        <v>7000</v>
      </c>
      <c r="AC78" s="4">
        <f t="shared" si="46"/>
        <v>0.84090909090909094</v>
      </c>
      <c r="AD78" s="91">
        <f t="shared" si="46"/>
        <v>1294.1176470588234</v>
      </c>
      <c r="AE78" s="79" t="str">
        <f>S78</f>
        <v>계</v>
      </c>
      <c r="AF78" s="79" t="str">
        <f>Q78&amp;"/"&amp;R78</f>
        <v>3/2</v>
      </c>
      <c r="AH78" s="20" t="str">
        <f t="shared" si="47"/>
        <v>가경동 가로수마을호반베르디움</v>
      </c>
      <c r="AI78" s="87">
        <f t="shared" si="48"/>
        <v>34</v>
      </c>
      <c r="AJ78" s="79" t="str">
        <f>IF(AI78="","",$AJ$2)</f>
        <v>A-</v>
      </c>
      <c r="AK78" s="79" t="s">
        <v>13</v>
      </c>
      <c r="AL78" s="79" t="s">
        <v>60</v>
      </c>
      <c r="AM78" s="79" t="s">
        <v>61</v>
      </c>
      <c r="AN78" s="79" t="str">
        <f>IF(AI78="","",$AN$2)</f>
        <v>C</v>
      </c>
      <c r="AO78" s="79" t="str">
        <f>IF(N78="","",IF(N78&gt;=$AO$1/100,"O","X"))</f>
        <v>O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s="37" customFormat="1" ht="12" x14ac:dyDescent="0.3">
      <c r="A79" s="74" t="s">
        <v>1488</v>
      </c>
      <c r="B79" s="75" t="s">
        <v>1489</v>
      </c>
      <c r="C79" s="85">
        <v>320</v>
      </c>
      <c r="D79" s="86">
        <v>119</v>
      </c>
      <c r="E79" s="87">
        <v>36</v>
      </c>
      <c r="F79" s="86">
        <v>99.8</v>
      </c>
      <c r="G79" s="17">
        <v>30</v>
      </c>
      <c r="H79" s="88">
        <v>148</v>
      </c>
      <c r="I79" s="89">
        <v>31000</v>
      </c>
      <c r="J79" s="89" t="s">
        <v>81</v>
      </c>
      <c r="K79" s="89"/>
      <c r="L79" s="89"/>
      <c r="M79" s="90">
        <f>I79-K79</f>
        <v>31000</v>
      </c>
      <c r="N79" s="4">
        <f>IF(ISERROR(K79/I79),"",K79/I79)</f>
        <v>0</v>
      </c>
      <c r="O79" s="91">
        <f>I79/E79</f>
        <v>861.11111111111109</v>
      </c>
      <c r="P79" s="91">
        <f>K79/E79</f>
        <v>0</v>
      </c>
      <c r="Q79" s="79">
        <v>3</v>
      </c>
      <c r="R79" s="79">
        <v>2</v>
      </c>
      <c r="S79" s="79" t="s">
        <v>62</v>
      </c>
      <c r="T79" s="5">
        <v>119</v>
      </c>
      <c r="U79" s="9"/>
      <c r="W79" s="86">
        <f>D79</f>
        <v>119</v>
      </c>
      <c r="X79" s="87">
        <f>E79</f>
        <v>36</v>
      </c>
      <c r="Y79" s="92">
        <f>H79</f>
        <v>148</v>
      </c>
      <c r="Z79" s="90">
        <f>I79</f>
        <v>31000</v>
      </c>
      <c r="AA79" s="90">
        <f>K79</f>
        <v>0</v>
      </c>
      <c r="AB79" s="90">
        <f t="shared" si="46"/>
        <v>31000</v>
      </c>
      <c r="AC79" s="4">
        <f t="shared" si="46"/>
        <v>0</v>
      </c>
      <c r="AD79" s="91">
        <f t="shared" si="46"/>
        <v>861.11111111111109</v>
      </c>
      <c r="AE79" s="79" t="str">
        <f>S79</f>
        <v>계</v>
      </c>
      <c r="AF79" s="79" t="str">
        <f>Q79&amp;"/"&amp;R79</f>
        <v>3/2</v>
      </c>
      <c r="AH79" s="20" t="str">
        <f t="shared" si="47"/>
        <v>가경동 진로</v>
      </c>
      <c r="AI79" s="87">
        <f t="shared" si="48"/>
        <v>36</v>
      </c>
      <c r="AJ79" s="79" t="str">
        <f>IF(AI79="","",$AJ$2)</f>
        <v>A-</v>
      </c>
      <c r="AK79" s="79" t="s">
        <v>13</v>
      </c>
      <c r="AL79" s="79" t="s">
        <v>60</v>
      </c>
      <c r="AM79" s="79" t="s">
        <v>61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X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s="37" customFormat="1" ht="12" x14ac:dyDescent="0.3">
      <c r="A80" s="74" t="s">
        <v>1488</v>
      </c>
      <c r="B80" s="75" t="s">
        <v>1490</v>
      </c>
      <c r="C80" s="85">
        <v>320</v>
      </c>
      <c r="D80" s="86">
        <v>156.5</v>
      </c>
      <c r="E80" s="87">
        <v>47</v>
      </c>
      <c r="F80" s="86">
        <v>134.9</v>
      </c>
      <c r="G80" s="17">
        <v>41</v>
      </c>
      <c r="H80" s="88">
        <v>172</v>
      </c>
      <c r="I80" s="89">
        <v>36000</v>
      </c>
      <c r="J80" s="89" t="s">
        <v>97</v>
      </c>
      <c r="K80" s="89"/>
      <c r="L80" s="89"/>
      <c r="M80" s="90">
        <f>I80-K80</f>
        <v>36000</v>
      </c>
      <c r="N80" s="4">
        <f>IF(ISERROR(K80/I80),"",K80/I80)</f>
        <v>0</v>
      </c>
      <c r="O80" s="91">
        <f>I80/E80</f>
        <v>765.95744680851067</v>
      </c>
      <c r="P80" s="91">
        <f>K80/E80</f>
        <v>0</v>
      </c>
      <c r="Q80" s="79">
        <v>4</v>
      </c>
      <c r="R80" s="79">
        <v>2</v>
      </c>
      <c r="S80" s="79" t="s">
        <v>62</v>
      </c>
      <c r="T80" s="5">
        <v>156</v>
      </c>
      <c r="U80" s="9"/>
      <c r="W80" s="86">
        <f>D80</f>
        <v>156.5</v>
      </c>
      <c r="X80" s="87">
        <f>E80</f>
        <v>47</v>
      </c>
      <c r="Y80" s="92">
        <f>H80</f>
        <v>172</v>
      </c>
      <c r="Z80" s="90">
        <f>I80</f>
        <v>36000</v>
      </c>
      <c r="AA80" s="90">
        <f>K80</f>
        <v>0</v>
      </c>
      <c r="AB80" s="90">
        <f t="shared" si="46"/>
        <v>36000</v>
      </c>
      <c r="AC80" s="4">
        <f t="shared" si="46"/>
        <v>0</v>
      </c>
      <c r="AD80" s="91">
        <f t="shared" si="46"/>
        <v>765.95744680851067</v>
      </c>
      <c r="AE80" s="79" t="str">
        <f>S80</f>
        <v>계</v>
      </c>
      <c r="AF80" s="79" t="str">
        <f>Q80&amp;"/"&amp;R80</f>
        <v>4/2</v>
      </c>
      <c r="AH80" s="20" t="str">
        <f t="shared" si="47"/>
        <v>가경동 진로</v>
      </c>
      <c r="AI80" s="87">
        <f t="shared" si="48"/>
        <v>47</v>
      </c>
      <c r="AJ80" s="79" t="str">
        <f>IF(AI80="","",$AJ$2)</f>
        <v>A-</v>
      </c>
      <c r="AK80" s="79" t="s">
        <v>13</v>
      </c>
      <c r="AL80" s="79" t="s">
        <v>60</v>
      </c>
      <c r="AM80" s="79" t="s">
        <v>61</v>
      </c>
      <c r="AN80" s="79" t="str">
        <f>IF(AI80="","",$AN$2)</f>
        <v>C</v>
      </c>
      <c r="AO80" s="79" t="str">
        <f>IF(N80="","",IF(N80&gt;=$AO$1/100,"O","X"))</f>
        <v>X</v>
      </c>
      <c r="AP80" s="79" t="str">
        <f>IF(I80="","",IF(I80&lt;=$AP$1,"O","X"))</f>
        <v>O</v>
      </c>
      <c r="AQ80" s="79" t="str">
        <f>IF(O80="","",IF(O80&lt;=$AQ$1,"O","X"))</f>
        <v>O</v>
      </c>
      <c r="AR80" s="79" t="str">
        <f>IF(M80="","",IF(M80&lt;=$AR$1,"O","X"))</f>
        <v>X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>X</v>
      </c>
    </row>
    <row r="81" spans="1:48" s="37" customFormat="1" ht="12" x14ac:dyDescent="0.3">
      <c r="A81" s="74" t="s">
        <v>1491</v>
      </c>
      <c r="B81" s="75" t="s">
        <v>1430</v>
      </c>
      <c r="C81" s="85">
        <v>310</v>
      </c>
      <c r="D81" s="86">
        <v>140.30000000000001</v>
      </c>
      <c r="E81" s="87">
        <v>42</v>
      </c>
      <c r="F81" s="86">
        <v>115.5</v>
      </c>
      <c r="G81" s="17">
        <v>35</v>
      </c>
      <c r="H81" s="88">
        <v>48</v>
      </c>
      <c r="I81" s="89">
        <v>55000</v>
      </c>
      <c r="J81" s="89" t="s">
        <v>64</v>
      </c>
      <c r="K81" s="89">
        <v>45000</v>
      </c>
      <c r="L81" s="89" t="s">
        <v>64</v>
      </c>
      <c r="M81" s="90">
        <f>I81-K81</f>
        <v>10000</v>
      </c>
      <c r="N81" s="4">
        <f>IF(ISERROR(K81/I81),"",K81/I81)</f>
        <v>0.81818181818181823</v>
      </c>
      <c r="O81" s="91">
        <f>I81/E81</f>
        <v>1309.5238095238096</v>
      </c>
      <c r="P81" s="91">
        <f>K81/E81</f>
        <v>1071.4285714285713</v>
      </c>
      <c r="Q81" s="79">
        <v>3</v>
      </c>
      <c r="R81" s="79">
        <v>2</v>
      </c>
      <c r="S81" s="79" t="s">
        <v>62</v>
      </c>
      <c r="T81" s="5">
        <v>140</v>
      </c>
      <c r="U81" s="9"/>
      <c r="W81" s="86">
        <f t="shared" ref="W81:X84" si="51">D81</f>
        <v>140.30000000000001</v>
      </c>
      <c r="X81" s="87">
        <f t="shared" si="51"/>
        <v>42</v>
      </c>
      <c r="Y81" s="92">
        <f t="shared" ref="Y81:Z84" si="52">H81</f>
        <v>48</v>
      </c>
      <c r="Z81" s="90">
        <f t="shared" si="52"/>
        <v>55000</v>
      </c>
      <c r="AA81" s="90">
        <f>K81</f>
        <v>45000</v>
      </c>
      <c r="AB81" s="90">
        <f t="shared" si="46"/>
        <v>10000</v>
      </c>
      <c r="AC81" s="4">
        <f t="shared" si="46"/>
        <v>0.81818181818181823</v>
      </c>
      <c r="AD81" s="91">
        <f t="shared" si="46"/>
        <v>1309.5238095238096</v>
      </c>
      <c r="AE81" s="79" t="str">
        <f>S81</f>
        <v>계</v>
      </c>
      <c r="AF81" s="79" t="str">
        <f>Q81&amp;"/"&amp;R81</f>
        <v>3/2</v>
      </c>
      <c r="AH81" s="20" t="str">
        <f t="shared" si="47"/>
        <v>가경동 가로수마을대원칸타빌</v>
      </c>
      <c r="AI81" s="87">
        <f t="shared" si="48"/>
        <v>42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X</v>
      </c>
      <c r="AQ81" s="79" t="str">
        <f>IF(O81="","",IF(O81&lt;=$AQ$1,"O","X"))</f>
        <v>O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X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s="37" customFormat="1" ht="12" x14ac:dyDescent="0.3">
      <c r="A82" s="74" t="s">
        <v>1491</v>
      </c>
      <c r="B82" s="75" t="s">
        <v>1430</v>
      </c>
      <c r="C82" s="85">
        <v>310</v>
      </c>
      <c r="D82" s="86">
        <v>163.69999999999999</v>
      </c>
      <c r="E82" s="87">
        <v>50</v>
      </c>
      <c r="F82" s="86">
        <v>138.9</v>
      </c>
      <c r="G82" s="17">
        <v>42</v>
      </c>
      <c r="H82" s="88">
        <v>142</v>
      </c>
      <c r="I82" s="89">
        <v>62000</v>
      </c>
      <c r="J82" s="89" t="s">
        <v>81</v>
      </c>
      <c r="K82" s="89"/>
      <c r="L82" s="89"/>
      <c r="M82" s="90">
        <f>I82-K82</f>
        <v>62000</v>
      </c>
      <c r="N82" s="4">
        <f>IF(ISERROR(K82/I82),"",K82/I82)</f>
        <v>0</v>
      </c>
      <c r="O82" s="91">
        <f>I82/E82</f>
        <v>1240</v>
      </c>
      <c r="P82" s="91">
        <f>K82/E82</f>
        <v>0</v>
      </c>
      <c r="Q82" s="79">
        <v>4</v>
      </c>
      <c r="R82" s="79">
        <v>2</v>
      </c>
      <c r="S82" s="79" t="s">
        <v>62</v>
      </c>
      <c r="T82" s="5">
        <v>163</v>
      </c>
      <c r="U82" s="9"/>
      <c r="W82" s="86">
        <f t="shared" si="51"/>
        <v>163.69999999999999</v>
      </c>
      <c r="X82" s="87">
        <f t="shared" si="51"/>
        <v>50</v>
      </c>
      <c r="Y82" s="92">
        <f t="shared" si="52"/>
        <v>142</v>
      </c>
      <c r="Z82" s="90">
        <f t="shared" si="52"/>
        <v>62000</v>
      </c>
      <c r="AA82" s="90">
        <f>K82</f>
        <v>0</v>
      </c>
      <c r="AB82" s="90">
        <f t="shared" ref="AB82:AD97" si="53">M82</f>
        <v>62000</v>
      </c>
      <c r="AC82" s="4">
        <f t="shared" si="53"/>
        <v>0</v>
      </c>
      <c r="AD82" s="91">
        <f t="shared" si="53"/>
        <v>1240</v>
      </c>
      <c r="AE82" s="79" t="str">
        <f>S82</f>
        <v>계</v>
      </c>
      <c r="AF82" s="79" t="str">
        <f>Q82&amp;"/"&amp;R82</f>
        <v>4/2</v>
      </c>
      <c r="AH82" s="20" t="str">
        <f t="shared" si="47"/>
        <v>가경동 가로수마을대원칸타빌</v>
      </c>
      <c r="AI82" s="87">
        <f t="shared" si="48"/>
        <v>50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X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X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s="37" customFormat="1" ht="12" x14ac:dyDescent="0.3">
      <c r="A83" s="74" t="s">
        <v>1491</v>
      </c>
      <c r="B83" s="75" t="s">
        <v>1430</v>
      </c>
      <c r="C83" s="85">
        <v>310</v>
      </c>
      <c r="D83" s="86">
        <v>174.8</v>
      </c>
      <c r="E83" s="87">
        <v>53</v>
      </c>
      <c r="F83" s="86">
        <v>147.9</v>
      </c>
      <c r="G83" s="17">
        <v>45</v>
      </c>
      <c r="H83" s="88">
        <v>60</v>
      </c>
      <c r="I83" s="89">
        <v>65000</v>
      </c>
      <c r="J83" s="89" t="s">
        <v>88</v>
      </c>
      <c r="K83" s="89"/>
      <c r="L83" s="89"/>
      <c r="M83" s="90">
        <f>I83-K83</f>
        <v>65000</v>
      </c>
      <c r="N83" s="4">
        <f>IF(ISERROR(K83/I83),"",K83/I83)</f>
        <v>0</v>
      </c>
      <c r="O83" s="91">
        <f>I83/E83</f>
        <v>1226.4150943396226</v>
      </c>
      <c r="P83" s="91">
        <f>K83/E83</f>
        <v>0</v>
      </c>
      <c r="Q83" s="79">
        <v>4</v>
      </c>
      <c r="R83" s="79">
        <v>2</v>
      </c>
      <c r="S83" s="79" t="s">
        <v>62</v>
      </c>
      <c r="T83" s="5" t="s">
        <v>108</v>
      </c>
      <c r="U83" s="9"/>
      <c r="W83" s="86">
        <f t="shared" si="51"/>
        <v>174.8</v>
      </c>
      <c r="X83" s="87">
        <f t="shared" si="51"/>
        <v>53</v>
      </c>
      <c r="Y83" s="92">
        <f t="shared" si="52"/>
        <v>60</v>
      </c>
      <c r="Z83" s="90">
        <f t="shared" si="52"/>
        <v>65000</v>
      </c>
      <c r="AA83" s="90">
        <f>K83</f>
        <v>0</v>
      </c>
      <c r="AB83" s="90">
        <f t="shared" si="53"/>
        <v>65000</v>
      </c>
      <c r="AC83" s="4">
        <f t="shared" si="53"/>
        <v>0</v>
      </c>
      <c r="AD83" s="91">
        <f t="shared" si="53"/>
        <v>1226.4150943396226</v>
      </c>
      <c r="AE83" s="79" t="str">
        <f>S83</f>
        <v>계</v>
      </c>
      <c r="AF83" s="79" t="str">
        <f>Q83&amp;"/"&amp;R83</f>
        <v>4/2</v>
      </c>
      <c r="AH83" s="20" t="str">
        <f t="shared" si="47"/>
        <v>가경동 가로수마을대원칸타빌</v>
      </c>
      <c r="AI83" s="87">
        <f t="shared" si="48"/>
        <v>53</v>
      </c>
      <c r="AJ83" s="79" t="str">
        <f>IF(AI83="","",$AJ$2)</f>
        <v>A-</v>
      </c>
      <c r="AK83" s="79" t="s">
        <v>13</v>
      </c>
      <c r="AL83" s="79" t="s">
        <v>60</v>
      </c>
      <c r="AM83" s="79" t="s">
        <v>61</v>
      </c>
      <c r="AN83" s="79" t="str">
        <f>IF(AI83="","",$AN$2)</f>
        <v>C</v>
      </c>
      <c r="AO83" s="79" t="str">
        <f>IF(N83="","",IF(N83&gt;=$AO$1/100,"O","X"))</f>
        <v>X</v>
      </c>
      <c r="AP83" s="79" t="str">
        <f>IF(I83="","",IF(I83&lt;=$AP$1,"O","X"))</f>
        <v>X</v>
      </c>
      <c r="AQ83" s="79" t="str">
        <f>IF(O83="","",IF(O83&lt;=$AQ$1,"O","X"))</f>
        <v>O</v>
      </c>
      <c r="AR83" s="79" t="str">
        <f>IF(M83="","",IF(M83&lt;=$AR$1,"O","X"))</f>
        <v>X</v>
      </c>
      <c r="AS83" s="79" t="s">
        <v>2</v>
      </c>
      <c r="AT83" s="79" t="str">
        <f>IF(OR(F83="",AI83=""),"",IF(AND((F83&lt;=85),(AI83&gt;=15)),"O","X"))</f>
        <v>X</v>
      </c>
      <c r="AU83" s="79" t="str">
        <f>IF(C83="","",IF(C83&gt;=$AU$1,"O","X"))</f>
        <v>O</v>
      </c>
      <c r="AV83" s="79" t="str">
        <f>IF(AO83="","",IF(AND(AO83="O",AP83="O",AR83="O",AT83="O",AU83="O"),"후보","X"))</f>
        <v>X</v>
      </c>
    </row>
    <row r="84" spans="1:48" s="37" customFormat="1" ht="12" x14ac:dyDescent="0.3">
      <c r="A84" s="74" t="s">
        <v>1491</v>
      </c>
      <c r="B84" s="75" t="s">
        <v>1430</v>
      </c>
      <c r="C84" s="85">
        <v>310</v>
      </c>
      <c r="D84" s="86">
        <v>176</v>
      </c>
      <c r="E84" s="87">
        <v>53</v>
      </c>
      <c r="F84" s="86">
        <v>150.30000000000001</v>
      </c>
      <c r="G84" s="17">
        <v>45</v>
      </c>
      <c r="H84" s="88">
        <v>60</v>
      </c>
      <c r="I84" s="89">
        <v>70000</v>
      </c>
      <c r="J84" s="89" t="s">
        <v>75</v>
      </c>
      <c r="K84" s="89"/>
      <c r="L84" s="89"/>
      <c r="M84" s="90">
        <f>I84-K84</f>
        <v>70000</v>
      </c>
      <c r="N84" s="4">
        <f>IF(ISERROR(K84/I84),"",K84/I84)</f>
        <v>0</v>
      </c>
      <c r="O84" s="91">
        <f>I84/E84</f>
        <v>1320.7547169811321</v>
      </c>
      <c r="P84" s="91">
        <f>K84/E84</f>
        <v>0</v>
      </c>
      <c r="Q84" s="79">
        <v>4</v>
      </c>
      <c r="R84" s="79">
        <v>2</v>
      </c>
      <c r="S84" s="79" t="s">
        <v>62</v>
      </c>
      <c r="T84" s="5" t="s">
        <v>109</v>
      </c>
      <c r="U84" s="9"/>
      <c r="W84" s="86">
        <f t="shared" si="51"/>
        <v>176</v>
      </c>
      <c r="X84" s="87">
        <f t="shared" si="51"/>
        <v>53</v>
      </c>
      <c r="Y84" s="92">
        <f t="shared" si="52"/>
        <v>60</v>
      </c>
      <c r="Z84" s="90">
        <f t="shared" si="52"/>
        <v>70000</v>
      </c>
      <c r="AA84" s="90">
        <f>K84</f>
        <v>0</v>
      </c>
      <c r="AB84" s="90">
        <f t="shared" si="53"/>
        <v>70000</v>
      </c>
      <c r="AC84" s="4">
        <f t="shared" si="53"/>
        <v>0</v>
      </c>
      <c r="AD84" s="91">
        <f t="shared" si="53"/>
        <v>1320.7547169811321</v>
      </c>
      <c r="AE84" s="79" t="str">
        <f>S84</f>
        <v>계</v>
      </c>
      <c r="AF84" s="79" t="str">
        <f>Q84&amp;"/"&amp;R84</f>
        <v>4/2</v>
      </c>
      <c r="AH84" s="20" t="str">
        <f t="shared" si="47"/>
        <v>가경동 가로수마을대원칸타빌</v>
      </c>
      <c r="AI84" s="87">
        <f t="shared" si="48"/>
        <v>53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O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X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s="37" customFormat="1" ht="12" x14ac:dyDescent="0.3">
      <c r="A85" s="74" t="s">
        <v>1492</v>
      </c>
      <c r="B85" s="75" t="s">
        <v>1479</v>
      </c>
      <c r="C85" s="85">
        <v>448</v>
      </c>
      <c r="D85" s="86">
        <v>76.7</v>
      </c>
      <c r="E85" s="87">
        <v>23</v>
      </c>
      <c r="F85" s="86">
        <v>60</v>
      </c>
      <c r="G85" s="17">
        <v>18</v>
      </c>
      <c r="H85" s="88">
        <v>423</v>
      </c>
      <c r="I85" s="89">
        <v>17400</v>
      </c>
      <c r="J85" s="89" t="s">
        <v>79</v>
      </c>
      <c r="K85" s="89">
        <v>17000</v>
      </c>
      <c r="L85" s="89" t="s">
        <v>63</v>
      </c>
      <c r="M85" s="90">
        <f>I85-K85</f>
        <v>400</v>
      </c>
      <c r="N85" s="4">
        <f>IF(ISERROR(K85/I85),"",K85/I85)</f>
        <v>0.97701149425287359</v>
      </c>
      <c r="O85" s="91">
        <f>I85/E85</f>
        <v>756.52173913043475</v>
      </c>
      <c r="P85" s="91">
        <f>K85/E85</f>
        <v>739.13043478260875</v>
      </c>
      <c r="Q85" s="79">
        <v>3</v>
      </c>
      <c r="R85" s="79">
        <v>1</v>
      </c>
      <c r="S85" s="79" t="s">
        <v>62</v>
      </c>
      <c r="T85" s="5" t="s">
        <v>110</v>
      </c>
      <c r="U85" s="9"/>
      <c r="W85" s="86">
        <f>D85</f>
        <v>76.7</v>
      </c>
      <c r="X85" s="87">
        <f>E85</f>
        <v>23</v>
      </c>
      <c r="Y85" s="92">
        <f>H85</f>
        <v>423</v>
      </c>
      <c r="Z85" s="90">
        <f>I85</f>
        <v>17400</v>
      </c>
      <c r="AA85" s="90">
        <f>K85</f>
        <v>17000</v>
      </c>
      <c r="AB85" s="90">
        <f t="shared" si="53"/>
        <v>400</v>
      </c>
      <c r="AC85" s="4">
        <f t="shared" si="53"/>
        <v>0.97701149425287359</v>
      </c>
      <c r="AD85" s="91">
        <f t="shared" si="53"/>
        <v>756.52173913043475</v>
      </c>
      <c r="AE85" s="79" t="str">
        <f>S85</f>
        <v>계</v>
      </c>
      <c r="AF85" s="79" t="str">
        <f>Q85&amp;"/"&amp;R85</f>
        <v>3/1</v>
      </c>
      <c r="AH85" s="20" t="str">
        <f t="shared" si="47"/>
        <v>가경동 덕일한마음</v>
      </c>
      <c r="AI85" s="87">
        <f t="shared" si="48"/>
        <v>23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s="37" customFormat="1" ht="12" x14ac:dyDescent="0.3">
      <c r="A86" s="74" t="s">
        <v>1492</v>
      </c>
      <c r="B86" s="75" t="s">
        <v>1479</v>
      </c>
      <c r="C86" s="85">
        <v>448</v>
      </c>
      <c r="D86" s="86">
        <v>76.7</v>
      </c>
      <c r="E86" s="87">
        <v>23</v>
      </c>
      <c r="F86" s="86">
        <v>60</v>
      </c>
      <c r="G86" s="17">
        <v>18</v>
      </c>
      <c r="H86" s="88">
        <v>25</v>
      </c>
      <c r="I86" s="89">
        <v>17400</v>
      </c>
      <c r="J86" s="89" t="s">
        <v>79</v>
      </c>
      <c r="K86" s="89">
        <v>17000</v>
      </c>
      <c r="L86" s="89" t="s">
        <v>63</v>
      </c>
      <c r="M86" s="90">
        <f>I86-K86</f>
        <v>400</v>
      </c>
      <c r="N86" s="4">
        <f>IF(ISERROR(K86/I86),"",K86/I86)</f>
        <v>0.97701149425287359</v>
      </c>
      <c r="O86" s="91">
        <f>I86/E86</f>
        <v>756.52173913043475</v>
      </c>
      <c r="P86" s="91">
        <f>K86/E86</f>
        <v>739.13043478260875</v>
      </c>
      <c r="Q86" s="79">
        <v>3</v>
      </c>
      <c r="R86" s="79">
        <v>1</v>
      </c>
      <c r="S86" s="79" t="s">
        <v>62</v>
      </c>
      <c r="T86" s="5" t="s">
        <v>111</v>
      </c>
      <c r="U86" s="9"/>
      <c r="W86" s="86">
        <f>D86</f>
        <v>76.7</v>
      </c>
      <c r="X86" s="87">
        <f>E86</f>
        <v>23</v>
      </c>
      <c r="Y86" s="92">
        <f>H86</f>
        <v>25</v>
      </c>
      <c r="Z86" s="90">
        <f>I86</f>
        <v>17400</v>
      </c>
      <c r="AA86" s="90">
        <f>K86</f>
        <v>17000</v>
      </c>
      <c r="AB86" s="90">
        <f t="shared" si="53"/>
        <v>400</v>
      </c>
      <c r="AC86" s="4">
        <f t="shared" si="53"/>
        <v>0.97701149425287359</v>
      </c>
      <c r="AD86" s="91">
        <f t="shared" si="53"/>
        <v>756.52173913043475</v>
      </c>
      <c r="AE86" s="79" t="str">
        <f>S86</f>
        <v>계</v>
      </c>
      <c r="AF86" s="79" t="str">
        <f>Q86&amp;"/"&amp;R86</f>
        <v>3/1</v>
      </c>
      <c r="AH86" s="20" t="str">
        <f t="shared" si="47"/>
        <v>가경동 덕일한마음</v>
      </c>
      <c r="AI86" s="87">
        <f t="shared" si="48"/>
        <v>23</v>
      </c>
      <c r="AJ86" s="79" t="str">
        <f>IF(AI86="","",$AJ$2)</f>
        <v>A-</v>
      </c>
      <c r="AK86" s="79" t="s">
        <v>13</v>
      </c>
      <c r="AL86" s="79" t="s">
        <v>60</v>
      </c>
      <c r="AM86" s="79" t="s">
        <v>61</v>
      </c>
      <c r="AN86" s="79" t="str">
        <f>IF(AI86="","",$AN$2)</f>
        <v>C</v>
      </c>
      <c r="AO86" s="79" t="str">
        <f>IF(N86="","",IF(N86&gt;=$AO$1/100,"O","X"))</f>
        <v>O</v>
      </c>
      <c r="AP86" s="79" t="str">
        <f>IF(I86="","",IF(I86&lt;=$AP$1,"O","X"))</f>
        <v>O</v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>후보</v>
      </c>
    </row>
    <row r="87" spans="1:48" s="37" customFormat="1" ht="12" x14ac:dyDescent="0.3">
      <c r="A87" s="74" t="s">
        <v>1493</v>
      </c>
      <c r="B87" s="75" t="s">
        <v>1494</v>
      </c>
      <c r="C87" s="85">
        <v>320</v>
      </c>
      <c r="D87" s="86">
        <v>125.4</v>
      </c>
      <c r="E87" s="87">
        <v>38</v>
      </c>
      <c r="F87" s="86">
        <v>100</v>
      </c>
      <c r="G87" s="17">
        <v>30</v>
      </c>
      <c r="H87" s="88">
        <v>170</v>
      </c>
      <c r="I87" s="89">
        <v>34000</v>
      </c>
      <c r="J87" s="89" t="s">
        <v>97</v>
      </c>
      <c r="K87" s="89">
        <v>30000</v>
      </c>
      <c r="L87" s="89" t="s">
        <v>97</v>
      </c>
      <c r="M87" s="90">
        <f>I87-K87</f>
        <v>4000</v>
      </c>
      <c r="N87" s="4">
        <f>IF(ISERROR(K87/I87),"",K87/I87)</f>
        <v>0.88235294117647056</v>
      </c>
      <c r="O87" s="91">
        <f>I87/E87</f>
        <v>894.73684210526312</v>
      </c>
      <c r="P87" s="91">
        <f>K87/E87</f>
        <v>789.47368421052636</v>
      </c>
      <c r="Q87" s="79">
        <v>3</v>
      </c>
      <c r="R87" s="79">
        <v>2</v>
      </c>
      <c r="S87" s="79" t="s">
        <v>62</v>
      </c>
      <c r="T87" s="5">
        <v>125</v>
      </c>
      <c r="U87" s="9"/>
      <c r="W87" s="86">
        <f t="shared" ref="W87:X102" si="54">D87</f>
        <v>125.4</v>
      </c>
      <c r="X87" s="87">
        <f t="shared" si="54"/>
        <v>38</v>
      </c>
      <c r="Y87" s="92">
        <f t="shared" ref="Y87:Z102" si="55">H87</f>
        <v>170</v>
      </c>
      <c r="Z87" s="90">
        <f t="shared" si="55"/>
        <v>34000</v>
      </c>
      <c r="AA87" s="90">
        <f>K87</f>
        <v>30000</v>
      </c>
      <c r="AB87" s="90">
        <f t="shared" si="53"/>
        <v>4000</v>
      </c>
      <c r="AC87" s="4">
        <f t="shared" si="53"/>
        <v>0.88235294117647056</v>
      </c>
      <c r="AD87" s="91">
        <f t="shared" si="53"/>
        <v>894.73684210526312</v>
      </c>
      <c r="AE87" s="79" t="str">
        <f>S87</f>
        <v>계</v>
      </c>
      <c r="AF87" s="79" t="str">
        <f>Q87&amp;"/"&amp;R87</f>
        <v>3/2</v>
      </c>
      <c r="AH87" s="20" t="str">
        <f t="shared" si="47"/>
        <v>가경동 효성</v>
      </c>
      <c r="AI87" s="87">
        <f t="shared" si="48"/>
        <v>38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O</v>
      </c>
      <c r="AP87" s="79" t="str">
        <f>IF(I87="","",IF(I87&lt;=$AP$1,"O","X"))</f>
        <v>O</v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s="37" customFormat="1" ht="12" x14ac:dyDescent="0.3">
      <c r="A88" s="74" t="s">
        <v>1493</v>
      </c>
      <c r="B88" s="75" t="s">
        <v>1494</v>
      </c>
      <c r="C88" s="85">
        <v>320</v>
      </c>
      <c r="D88" s="86">
        <v>145</v>
      </c>
      <c r="E88" s="87">
        <v>44</v>
      </c>
      <c r="F88" s="86">
        <v>117.4</v>
      </c>
      <c r="G88" s="17">
        <v>36</v>
      </c>
      <c r="H88" s="88">
        <v>120</v>
      </c>
      <c r="I88" s="89">
        <v>36500</v>
      </c>
      <c r="J88" s="89" t="s">
        <v>64</v>
      </c>
      <c r="K88" s="89">
        <v>35000</v>
      </c>
      <c r="L88" s="89" t="s">
        <v>92</v>
      </c>
      <c r="M88" s="90">
        <f>I88-K88</f>
        <v>1500</v>
      </c>
      <c r="N88" s="4">
        <f>IF(ISERROR(K88/I88),"",K88/I88)</f>
        <v>0.95890410958904104</v>
      </c>
      <c r="O88" s="91">
        <f>I88/E88</f>
        <v>829.5454545454545</v>
      </c>
      <c r="P88" s="91">
        <f>K88/E88</f>
        <v>795.4545454545455</v>
      </c>
      <c r="Q88" s="79">
        <v>4</v>
      </c>
      <c r="R88" s="79">
        <v>3</v>
      </c>
      <c r="S88" s="79" t="s">
        <v>62</v>
      </c>
      <c r="T88" s="5">
        <v>145</v>
      </c>
      <c r="U88" s="9"/>
      <c r="W88" s="86">
        <f t="shared" si="54"/>
        <v>145</v>
      </c>
      <c r="X88" s="87">
        <f t="shared" si="54"/>
        <v>44</v>
      </c>
      <c r="Y88" s="92">
        <f t="shared" si="55"/>
        <v>120</v>
      </c>
      <c r="Z88" s="90">
        <f t="shared" si="55"/>
        <v>36500</v>
      </c>
      <c r="AA88" s="90">
        <f>K88</f>
        <v>35000</v>
      </c>
      <c r="AB88" s="90">
        <f t="shared" si="53"/>
        <v>1500</v>
      </c>
      <c r="AC88" s="4">
        <f t="shared" si="53"/>
        <v>0.95890410958904104</v>
      </c>
      <c r="AD88" s="91">
        <f t="shared" si="53"/>
        <v>829.5454545454545</v>
      </c>
      <c r="AE88" s="79" t="str">
        <f>S88</f>
        <v>계</v>
      </c>
      <c r="AF88" s="79" t="str">
        <f>Q88&amp;"/"&amp;R88</f>
        <v>4/3</v>
      </c>
      <c r="AH88" s="20" t="str">
        <f t="shared" si="47"/>
        <v>가경동 효성</v>
      </c>
      <c r="AI88" s="87">
        <f t="shared" si="48"/>
        <v>44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>O</v>
      </c>
      <c r="AP88" s="79" t="str">
        <f>IF(I88="","",IF(I88&lt;=$AP$1,"O","X"))</f>
        <v>O</v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>X</v>
      </c>
    </row>
    <row r="89" spans="1:48" s="37" customFormat="1" ht="12" x14ac:dyDescent="0.3">
      <c r="A89" s="74" t="s">
        <v>1493</v>
      </c>
      <c r="B89" s="75" t="s">
        <v>1494</v>
      </c>
      <c r="C89" s="85">
        <v>320</v>
      </c>
      <c r="D89" s="86">
        <v>174.6</v>
      </c>
      <c r="E89" s="87">
        <v>53</v>
      </c>
      <c r="F89" s="86">
        <v>144.6</v>
      </c>
      <c r="G89" s="17">
        <v>44</v>
      </c>
      <c r="H89" s="88">
        <v>30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4</v>
      </c>
      <c r="R89" s="79">
        <v>3</v>
      </c>
      <c r="S89" s="79" t="s">
        <v>62</v>
      </c>
      <c r="T89" s="5">
        <v>174</v>
      </c>
      <c r="U89" s="9"/>
      <c r="W89" s="86">
        <f t="shared" si="54"/>
        <v>174.6</v>
      </c>
      <c r="X89" s="87">
        <f t="shared" si="54"/>
        <v>53</v>
      </c>
      <c r="Y89" s="92">
        <f t="shared" si="55"/>
        <v>30</v>
      </c>
      <c r="Z89" s="90">
        <f t="shared" si="55"/>
        <v>0</v>
      </c>
      <c r="AA89" s="90">
        <f>K89</f>
        <v>0</v>
      </c>
      <c r="AB89" s="90">
        <f t="shared" si="53"/>
        <v>0</v>
      </c>
      <c r="AC89" s="4" t="str">
        <f t="shared" si="53"/>
        <v/>
      </c>
      <c r="AD89" s="91">
        <f t="shared" si="53"/>
        <v>0</v>
      </c>
      <c r="AE89" s="79" t="str">
        <f>S89</f>
        <v>계</v>
      </c>
      <c r="AF89" s="79" t="str">
        <f>Q89&amp;"/"&amp;R89</f>
        <v>4/3</v>
      </c>
      <c r="AH89" s="20" t="str">
        <f t="shared" si="47"/>
        <v>가경동 효성</v>
      </c>
      <c r="AI89" s="87">
        <f t="shared" si="48"/>
        <v>53</v>
      </c>
      <c r="AJ89" s="79" t="str">
        <f>IF(AI89="","",$AJ$2)</f>
        <v>A-</v>
      </c>
      <c r="AK89" s="79" t="s">
        <v>13</v>
      </c>
      <c r="AL89" s="79" t="s">
        <v>60</v>
      </c>
      <c r="AM89" s="79" t="s">
        <v>61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X</v>
      </c>
      <c r="AU89" s="79" t="str">
        <f>IF(C89="","",IF(C89&gt;=$AU$1,"O","X"))</f>
        <v>O</v>
      </c>
      <c r="AV89" s="79" t="str">
        <f>IF(AO89="","",IF(AND(AO89="O",AP89="O",AR89="O",AT89="O",AU89="O"),"후보","X"))</f>
        <v/>
      </c>
    </row>
    <row r="90" spans="1:48" s="37" customFormat="1" ht="12" x14ac:dyDescent="0.3">
      <c r="A90" s="74" t="s">
        <v>1495</v>
      </c>
      <c r="B90" s="75" t="s">
        <v>1486</v>
      </c>
      <c r="C90" s="85">
        <v>416</v>
      </c>
      <c r="D90" s="86">
        <v>112.6</v>
      </c>
      <c r="E90" s="87">
        <v>34</v>
      </c>
      <c r="F90" s="86">
        <v>85</v>
      </c>
      <c r="G90" s="17">
        <v>26</v>
      </c>
      <c r="H90" s="88">
        <v>193</v>
      </c>
      <c r="I90" s="89">
        <v>42000</v>
      </c>
      <c r="J90" s="89" t="s">
        <v>70</v>
      </c>
      <c r="K90" s="89">
        <v>36000</v>
      </c>
      <c r="L90" s="89" t="s">
        <v>102</v>
      </c>
      <c r="M90" s="90">
        <f t="shared" ref="M90:M95" si="56">I90-K90</f>
        <v>6000</v>
      </c>
      <c r="N90" s="4">
        <f t="shared" ref="N90:N95" si="57">IF(ISERROR(K90/I90),"",K90/I90)</f>
        <v>0.8571428571428571</v>
      </c>
      <c r="O90" s="91">
        <f t="shared" ref="O90:O95" si="58">I90/E90</f>
        <v>1235.2941176470588</v>
      </c>
      <c r="P90" s="91">
        <f t="shared" ref="P90:P95" si="59">K90/E90</f>
        <v>1058.8235294117646</v>
      </c>
      <c r="Q90" s="79">
        <v>3</v>
      </c>
      <c r="R90" s="79">
        <v>2</v>
      </c>
      <c r="S90" s="79" t="s">
        <v>62</v>
      </c>
      <c r="T90" s="5" t="s">
        <v>106</v>
      </c>
      <c r="U90" s="9"/>
      <c r="W90" s="86">
        <f t="shared" si="54"/>
        <v>112.6</v>
      </c>
      <c r="X90" s="87">
        <f t="shared" si="54"/>
        <v>34</v>
      </c>
      <c r="Y90" s="92">
        <f t="shared" si="55"/>
        <v>193</v>
      </c>
      <c r="Z90" s="90">
        <f t="shared" si="55"/>
        <v>42000</v>
      </c>
      <c r="AA90" s="90">
        <f t="shared" ref="AA90:AA95" si="60">K90</f>
        <v>36000</v>
      </c>
      <c r="AB90" s="90">
        <f t="shared" si="53"/>
        <v>6000</v>
      </c>
      <c r="AC90" s="4">
        <f t="shared" si="53"/>
        <v>0.8571428571428571</v>
      </c>
      <c r="AD90" s="91">
        <f t="shared" si="53"/>
        <v>1235.2941176470588</v>
      </c>
      <c r="AE90" s="79" t="str">
        <f t="shared" ref="AE90:AE95" si="61">S90</f>
        <v>계</v>
      </c>
      <c r="AF90" s="79" t="str">
        <f t="shared" ref="AF90:AF95" si="62">Q90&amp;"/"&amp;R90</f>
        <v>3/2</v>
      </c>
      <c r="AH90" s="20" t="str">
        <f t="shared" si="47"/>
        <v>가경동 가로수마을한라비발디</v>
      </c>
      <c r="AI90" s="87">
        <f t="shared" si="48"/>
        <v>34</v>
      </c>
      <c r="AJ90" s="79" t="str">
        <f t="shared" ref="AJ90:AJ95" si="63"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 t="shared" ref="AN90:AN95" si="64">IF(AI90="","",$AN$2)</f>
        <v>C</v>
      </c>
      <c r="AO90" s="79" t="str">
        <f t="shared" ref="AO90:AO95" si="65">IF(N90="","",IF(N90&gt;=$AO$1/100,"O","X"))</f>
        <v>O</v>
      </c>
      <c r="AP90" s="79" t="str">
        <f t="shared" ref="AP90:AP95" si="66">IF(I90="","",IF(I90&lt;=$AP$1,"O","X"))</f>
        <v>O</v>
      </c>
      <c r="AQ90" s="79" t="str">
        <f t="shared" ref="AQ90:AQ95" si="67">IF(O90="","",IF(O90&lt;=$AQ$1,"O","X"))</f>
        <v>O</v>
      </c>
      <c r="AR90" s="79" t="str">
        <f t="shared" ref="AR90:AR95" si="68">IF(M90="","",IF(M90&lt;=$AR$1,"O","X"))</f>
        <v>O</v>
      </c>
      <c r="AS90" s="79" t="s">
        <v>2</v>
      </c>
      <c r="AT90" s="79" t="str">
        <f t="shared" ref="AT90:AT95" si="69">IF(OR(F90="",AI90=""),"",IF(AND((F90&lt;=85),(AI90&gt;=15)),"O","X"))</f>
        <v>O</v>
      </c>
      <c r="AU90" s="79" t="str">
        <f t="shared" ref="AU90:AU95" si="70">IF(C90="","",IF(C90&gt;=$AU$1,"O","X"))</f>
        <v>O</v>
      </c>
      <c r="AV90" s="79" t="str">
        <f t="shared" ref="AV90:AV95" si="71">IF(AO90="","",IF(AND(AO90="O",AP90="O",AR90="O",AT90="O",AU90="O"),"후보","X"))</f>
        <v>후보</v>
      </c>
    </row>
    <row r="91" spans="1:48" s="37" customFormat="1" ht="12" x14ac:dyDescent="0.3">
      <c r="A91" s="74" t="s">
        <v>1495</v>
      </c>
      <c r="B91" s="75" t="s">
        <v>1486</v>
      </c>
      <c r="C91" s="85">
        <v>416</v>
      </c>
      <c r="D91" s="86">
        <v>112.9</v>
      </c>
      <c r="E91" s="87">
        <v>34</v>
      </c>
      <c r="F91" s="86">
        <v>85</v>
      </c>
      <c r="G91" s="17">
        <v>26</v>
      </c>
      <c r="H91" s="88">
        <v>60</v>
      </c>
      <c r="I91" s="89"/>
      <c r="J91" s="89"/>
      <c r="K91" s="89"/>
      <c r="L91" s="89"/>
      <c r="M91" s="90">
        <f t="shared" si="56"/>
        <v>0</v>
      </c>
      <c r="N91" s="4" t="str">
        <f t="shared" si="57"/>
        <v/>
      </c>
      <c r="O91" s="91">
        <f t="shared" si="58"/>
        <v>0</v>
      </c>
      <c r="P91" s="91">
        <f t="shared" si="59"/>
        <v>0</v>
      </c>
      <c r="Q91" s="79">
        <v>3</v>
      </c>
      <c r="R91" s="79">
        <v>2</v>
      </c>
      <c r="S91" s="79" t="s">
        <v>62</v>
      </c>
      <c r="T91" s="5" t="s">
        <v>112</v>
      </c>
      <c r="U91" s="9"/>
      <c r="W91" s="86">
        <f t="shared" si="54"/>
        <v>112.9</v>
      </c>
      <c r="X91" s="87">
        <f t="shared" si="54"/>
        <v>34</v>
      </c>
      <c r="Y91" s="92">
        <f t="shared" si="55"/>
        <v>60</v>
      </c>
      <c r="Z91" s="90">
        <f t="shared" si="55"/>
        <v>0</v>
      </c>
      <c r="AA91" s="90">
        <f t="shared" si="60"/>
        <v>0</v>
      </c>
      <c r="AB91" s="90">
        <f t="shared" si="53"/>
        <v>0</v>
      </c>
      <c r="AC91" s="4" t="str">
        <f t="shared" si="53"/>
        <v/>
      </c>
      <c r="AD91" s="91">
        <f t="shared" si="53"/>
        <v>0</v>
      </c>
      <c r="AE91" s="79" t="str">
        <f t="shared" si="61"/>
        <v>계</v>
      </c>
      <c r="AF91" s="79" t="str">
        <f t="shared" si="62"/>
        <v>3/2</v>
      </c>
      <c r="AH91" s="20" t="str">
        <f t="shared" si="47"/>
        <v>가경동 가로수마을한라비발디</v>
      </c>
      <c r="AI91" s="87">
        <f t="shared" si="48"/>
        <v>34</v>
      </c>
      <c r="AJ91" s="79" t="str">
        <f t="shared" si="63"/>
        <v>A-</v>
      </c>
      <c r="AK91" s="79" t="s">
        <v>13</v>
      </c>
      <c r="AL91" s="79" t="s">
        <v>60</v>
      </c>
      <c r="AM91" s="79" t="s">
        <v>61</v>
      </c>
      <c r="AN91" s="79" t="str">
        <f t="shared" si="64"/>
        <v>C</v>
      </c>
      <c r="AO91" s="79" t="str">
        <f t="shared" si="65"/>
        <v/>
      </c>
      <c r="AP91" s="79" t="str">
        <f t="shared" si="66"/>
        <v/>
      </c>
      <c r="AQ91" s="79" t="str">
        <f t="shared" si="67"/>
        <v>O</v>
      </c>
      <c r="AR91" s="79" t="str">
        <f t="shared" si="68"/>
        <v>O</v>
      </c>
      <c r="AS91" s="79" t="s">
        <v>2</v>
      </c>
      <c r="AT91" s="79" t="str">
        <f t="shared" si="69"/>
        <v>O</v>
      </c>
      <c r="AU91" s="79" t="str">
        <f t="shared" si="70"/>
        <v>O</v>
      </c>
      <c r="AV91" s="79" t="str">
        <f t="shared" si="71"/>
        <v/>
      </c>
    </row>
    <row r="92" spans="1:48" s="37" customFormat="1" ht="12" x14ac:dyDescent="0.3">
      <c r="A92" s="74" t="s">
        <v>1495</v>
      </c>
      <c r="B92" s="75" t="s">
        <v>1486</v>
      </c>
      <c r="C92" s="85">
        <v>416</v>
      </c>
      <c r="D92" s="86">
        <v>112.9</v>
      </c>
      <c r="E92" s="87">
        <v>34</v>
      </c>
      <c r="F92" s="86">
        <v>85</v>
      </c>
      <c r="G92" s="17">
        <v>26</v>
      </c>
      <c r="H92" s="88">
        <v>59</v>
      </c>
      <c r="I92" s="89"/>
      <c r="J92" s="89"/>
      <c r="K92" s="89"/>
      <c r="L92" s="89"/>
      <c r="M92" s="90">
        <f t="shared" si="56"/>
        <v>0</v>
      </c>
      <c r="N92" s="4" t="str">
        <f t="shared" si="57"/>
        <v/>
      </c>
      <c r="O92" s="91">
        <f t="shared" si="58"/>
        <v>0</v>
      </c>
      <c r="P92" s="91">
        <f t="shared" si="59"/>
        <v>0</v>
      </c>
      <c r="Q92" s="79">
        <v>3</v>
      </c>
      <c r="R92" s="79">
        <v>2</v>
      </c>
      <c r="S92" s="79" t="s">
        <v>62</v>
      </c>
      <c r="T92" s="5" t="s">
        <v>113</v>
      </c>
      <c r="U92" s="9"/>
      <c r="W92" s="86">
        <f t="shared" si="54"/>
        <v>112.9</v>
      </c>
      <c r="X92" s="87">
        <f t="shared" si="54"/>
        <v>34</v>
      </c>
      <c r="Y92" s="92">
        <f t="shared" si="55"/>
        <v>59</v>
      </c>
      <c r="Z92" s="90">
        <f t="shared" si="55"/>
        <v>0</v>
      </c>
      <c r="AA92" s="90">
        <f t="shared" si="60"/>
        <v>0</v>
      </c>
      <c r="AB92" s="90">
        <f t="shared" si="53"/>
        <v>0</v>
      </c>
      <c r="AC92" s="4" t="str">
        <f t="shared" si="53"/>
        <v/>
      </c>
      <c r="AD92" s="91">
        <f t="shared" si="53"/>
        <v>0</v>
      </c>
      <c r="AE92" s="79" t="str">
        <f t="shared" si="61"/>
        <v>계</v>
      </c>
      <c r="AF92" s="79" t="str">
        <f t="shared" si="62"/>
        <v>3/2</v>
      </c>
      <c r="AH92" s="20" t="str">
        <f t="shared" si="47"/>
        <v>가경동 가로수마을한라비발디</v>
      </c>
      <c r="AI92" s="87">
        <f t="shared" si="48"/>
        <v>34</v>
      </c>
      <c r="AJ92" s="79" t="str">
        <f t="shared" si="63"/>
        <v>A-</v>
      </c>
      <c r="AK92" s="79" t="s">
        <v>13</v>
      </c>
      <c r="AL92" s="79" t="s">
        <v>60</v>
      </c>
      <c r="AM92" s="79" t="s">
        <v>61</v>
      </c>
      <c r="AN92" s="79" t="str">
        <f t="shared" si="64"/>
        <v>C</v>
      </c>
      <c r="AO92" s="79" t="str">
        <f t="shared" si="65"/>
        <v/>
      </c>
      <c r="AP92" s="79" t="str">
        <f t="shared" si="66"/>
        <v/>
      </c>
      <c r="AQ92" s="79" t="str">
        <f t="shared" si="67"/>
        <v>O</v>
      </c>
      <c r="AR92" s="79" t="str">
        <f t="shared" si="68"/>
        <v>O</v>
      </c>
      <c r="AS92" s="79" t="s">
        <v>2</v>
      </c>
      <c r="AT92" s="79" t="str">
        <f t="shared" si="69"/>
        <v>O</v>
      </c>
      <c r="AU92" s="79" t="str">
        <f t="shared" si="70"/>
        <v>O</v>
      </c>
      <c r="AV92" s="79" t="str">
        <f t="shared" si="71"/>
        <v/>
      </c>
    </row>
    <row r="93" spans="1:48" s="37" customFormat="1" ht="12" x14ac:dyDescent="0.3">
      <c r="A93" s="74" t="s">
        <v>1495</v>
      </c>
      <c r="B93" s="75" t="s">
        <v>1486</v>
      </c>
      <c r="C93" s="85">
        <v>416</v>
      </c>
      <c r="D93" s="86">
        <v>114.2</v>
      </c>
      <c r="E93" s="87">
        <v>35</v>
      </c>
      <c r="F93" s="86">
        <v>85</v>
      </c>
      <c r="G93" s="17">
        <v>26</v>
      </c>
      <c r="H93" s="88">
        <v>59</v>
      </c>
      <c r="I93" s="89">
        <v>45000</v>
      </c>
      <c r="J93" s="89" t="s">
        <v>81</v>
      </c>
      <c r="K93" s="89"/>
      <c r="L93" s="89"/>
      <c r="M93" s="90">
        <f t="shared" si="56"/>
        <v>45000</v>
      </c>
      <c r="N93" s="4">
        <f t="shared" si="57"/>
        <v>0</v>
      </c>
      <c r="O93" s="91">
        <f t="shared" si="58"/>
        <v>1285.7142857142858</v>
      </c>
      <c r="P93" s="91">
        <f t="shared" si="59"/>
        <v>0</v>
      </c>
      <c r="Q93" s="79">
        <v>3</v>
      </c>
      <c r="R93" s="79">
        <v>2</v>
      </c>
      <c r="S93" s="79" t="s">
        <v>62</v>
      </c>
      <c r="T93" s="5" t="s">
        <v>114</v>
      </c>
      <c r="U93" s="9"/>
      <c r="W93" s="86">
        <f t="shared" si="54"/>
        <v>114.2</v>
      </c>
      <c r="X93" s="87">
        <f t="shared" si="54"/>
        <v>35</v>
      </c>
      <c r="Y93" s="92">
        <f t="shared" si="55"/>
        <v>59</v>
      </c>
      <c r="Z93" s="90">
        <f t="shared" si="55"/>
        <v>45000</v>
      </c>
      <c r="AA93" s="90">
        <f t="shared" si="60"/>
        <v>0</v>
      </c>
      <c r="AB93" s="90">
        <f t="shared" si="53"/>
        <v>45000</v>
      </c>
      <c r="AC93" s="4">
        <f t="shared" si="53"/>
        <v>0</v>
      </c>
      <c r="AD93" s="91">
        <f t="shared" si="53"/>
        <v>1285.7142857142858</v>
      </c>
      <c r="AE93" s="79" t="str">
        <f t="shared" si="61"/>
        <v>계</v>
      </c>
      <c r="AF93" s="79" t="str">
        <f t="shared" si="62"/>
        <v>3/2</v>
      </c>
      <c r="AH93" s="20" t="str">
        <f t="shared" si="47"/>
        <v>가경동 가로수마을한라비발디</v>
      </c>
      <c r="AI93" s="87">
        <f t="shared" si="48"/>
        <v>35</v>
      </c>
      <c r="AJ93" s="79" t="str">
        <f t="shared" si="63"/>
        <v>A-</v>
      </c>
      <c r="AK93" s="79" t="s">
        <v>13</v>
      </c>
      <c r="AL93" s="79" t="s">
        <v>60</v>
      </c>
      <c r="AM93" s="79" t="s">
        <v>61</v>
      </c>
      <c r="AN93" s="79" t="str">
        <f t="shared" si="64"/>
        <v>C</v>
      </c>
      <c r="AO93" s="79" t="str">
        <f t="shared" si="65"/>
        <v>X</v>
      </c>
      <c r="AP93" s="79" t="str">
        <f t="shared" si="66"/>
        <v>O</v>
      </c>
      <c r="AQ93" s="79" t="str">
        <f t="shared" si="67"/>
        <v>O</v>
      </c>
      <c r="AR93" s="79" t="str">
        <f t="shared" si="68"/>
        <v>X</v>
      </c>
      <c r="AS93" s="79" t="s">
        <v>2</v>
      </c>
      <c r="AT93" s="79" t="str">
        <f t="shared" si="69"/>
        <v>O</v>
      </c>
      <c r="AU93" s="79" t="str">
        <f t="shared" si="70"/>
        <v>O</v>
      </c>
      <c r="AV93" s="79" t="str">
        <f t="shared" si="71"/>
        <v>X</v>
      </c>
    </row>
    <row r="94" spans="1:48" s="37" customFormat="1" ht="12" x14ac:dyDescent="0.3">
      <c r="A94" s="74" t="s">
        <v>1495</v>
      </c>
      <c r="B94" s="75" t="s">
        <v>1486</v>
      </c>
      <c r="C94" s="85">
        <v>416</v>
      </c>
      <c r="D94" s="86">
        <v>116.3</v>
      </c>
      <c r="E94" s="87">
        <v>35</v>
      </c>
      <c r="F94" s="86">
        <v>85</v>
      </c>
      <c r="G94" s="17">
        <v>26</v>
      </c>
      <c r="H94" s="88">
        <v>15</v>
      </c>
      <c r="I94" s="89">
        <v>47000</v>
      </c>
      <c r="J94" s="89" t="s">
        <v>71</v>
      </c>
      <c r="K94" s="89"/>
      <c r="L94" s="89"/>
      <c r="M94" s="90">
        <f t="shared" si="56"/>
        <v>47000</v>
      </c>
      <c r="N94" s="4">
        <f t="shared" si="57"/>
        <v>0</v>
      </c>
      <c r="O94" s="91">
        <f t="shared" si="58"/>
        <v>1342.8571428571429</v>
      </c>
      <c r="P94" s="91">
        <f t="shared" si="59"/>
        <v>0</v>
      </c>
      <c r="Q94" s="79">
        <v>3</v>
      </c>
      <c r="R94" s="79">
        <v>2</v>
      </c>
      <c r="S94" s="79" t="s">
        <v>62</v>
      </c>
      <c r="T94" s="5" t="s">
        <v>115</v>
      </c>
      <c r="U94" s="9"/>
      <c r="W94" s="86">
        <f t="shared" si="54"/>
        <v>116.3</v>
      </c>
      <c r="X94" s="87">
        <f t="shared" si="54"/>
        <v>35</v>
      </c>
      <c r="Y94" s="92">
        <f t="shared" si="55"/>
        <v>15</v>
      </c>
      <c r="Z94" s="90">
        <f t="shared" si="55"/>
        <v>47000</v>
      </c>
      <c r="AA94" s="90">
        <f t="shared" si="60"/>
        <v>0</v>
      </c>
      <c r="AB94" s="90">
        <f t="shared" si="53"/>
        <v>47000</v>
      </c>
      <c r="AC94" s="4">
        <f t="shared" si="53"/>
        <v>0</v>
      </c>
      <c r="AD94" s="91">
        <f t="shared" si="53"/>
        <v>1342.8571428571429</v>
      </c>
      <c r="AE94" s="79" t="str">
        <f t="shared" si="61"/>
        <v>계</v>
      </c>
      <c r="AF94" s="79" t="str">
        <f t="shared" si="62"/>
        <v>3/2</v>
      </c>
      <c r="AH94" s="20" t="str">
        <f t="shared" si="47"/>
        <v>가경동 가로수마을한라비발디</v>
      </c>
      <c r="AI94" s="87">
        <f t="shared" si="48"/>
        <v>35</v>
      </c>
      <c r="AJ94" s="79" t="str">
        <f t="shared" si="63"/>
        <v>A-</v>
      </c>
      <c r="AK94" s="79" t="s">
        <v>13</v>
      </c>
      <c r="AL94" s="79" t="s">
        <v>60</v>
      </c>
      <c r="AM94" s="79" t="s">
        <v>61</v>
      </c>
      <c r="AN94" s="79" t="str">
        <f t="shared" si="64"/>
        <v>C</v>
      </c>
      <c r="AO94" s="79" t="str">
        <f t="shared" si="65"/>
        <v>X</v>
      </c>
      <c r="AP94" s="79" t="str">
        <f t="shared" si="66"/>
        <v>X</v>
      </c>
      <c r="AQ94" s="79" t="str">
        <f t="shared" si="67"/>
        <v>O</v>
      </c>
      <c r="AR94" s="79" t="str">
        <f t="shared" si="68"/>
        <v>X</v>
      </c>
      <c r="AS94" s="79" t="s">
        <v>2</v>
      </c>
      <c r="AT94" s="79" t="str">
        <f t="shared" si="69"/>
        <v>O</v>
      </c>
      <c r="AU94" s="79" t="str">
        <f t="shared" si="70"/>
        <v>O</v>
      </c>
      <c r="AV94" s="79" t="str">
        <f t="shared" si="71"/>
        <v>X</v>
      </c>
    </row>
    <row r="95" spans="1:48" s="37" customFormat="1" ht="12" x14ac:dyDescent="0.3">
      <c r="A95" s="74" t="s">
        <v>1495</v>
      </c>
      <c r="B95" s="75" t="s">
        <v>1486</v>
      </c>
      <c r="C95" s="85">
        <v>416</v>
      </c>
      <c r="D95" s="86">
        <v>117.5</v>
      </c>
      <c r="E95" s="87">
        <v>36</v>
      </c>
      <c r="F95" s="86">
        <v>85</v>
      </c>
      <c r="G95" s="17">
        <v>26</v>
      </c>
      <c r="H95" s="88">
        <v>30</v>
      </c>
      <c r="I95" s="89">
        <v>45000</v>
      </c>
      <c r="J95" s="89" t="s">
        <v>79</v>
      </c>
      <c r="K95" s="89">
        <v>39000</v>
      </c>
      <c r="L95" s="89" t="s">
        <v>79</v>
      </c>
      <c r="M95" s="90">
        <f t="shared" si="56"/>
        <v>6000</v>
      </c>
      <c r="N95" s="4">
        <f t="shared" si="57"/>
        <v>0.8666666666666667</v>
      </c>
      <c r="O95" s="91">
        <f t="shared" si="58"/>
        <v>1250</v>
      </c>
      <c r="P95" s="91">
        <f t="shared" si="59"/>
        <v>1083.3333333333333</v>
      </c>
      <c r="Q95" s="79">
        <v>3</v>
      </c>
      <c r="R95" s="79">
        <v>2</v>
      </c>
      <c r="S95" s="79" t="s">
        <v>62</v>
      </c>
      <c r="T95" s="5" t="s">
        <v>116</v>
      </c>
      <c r="U95" s="9"/>
      <c r="W95" s="86">
        <f t="shared" si="54"/>
        <v>117.5</v>
      </c>
      <c r="X95" s="87">
        <f t="shared" si="54"/>
        <v>36</v>
      </c>
      <c r="Y95" s="92">
        <f t="shared" si="55"/>
        <v>30</v>
      </c>
      <c r="Z95" s="90">
        <f t="shared" si="55"/>
        <v>45000</v>
      </c>
      <c r="AA95" s="90">
        <f t="shared" si="60"/>
        <v>39000</v>
      </c>
      <c r="AB95" s="90">
        <f t="shared" si="53"/>
        <v>6000</v>
      </c>
      <c r="AC95" s="4">
        <f t="shared" si="53"/>
        <v>0.8666666666666667</v>
      </c>
      <c r="AD95" s="91">
        <f t="shared" si="53"/>
        <v>1250</v>
      </c>
      <c r="AE95" s="79" t="str">
        <f t="shared" si="61"/>
        <v>계</v>
      </c>
      <c r="AF95" s="79" t="str">
        <f t="shared" si="62"/>
        <v>3/2</v>
      </c>
      <c r="AH95" s="20" t="str">
        <f t="shared" si="47"/>
        <v>가경동 가로수마을한라비발디</v>
      </c>
      <c r="AI95" s="87">
        <f t="shared" si="48"/>
        <v>36</v>
      </c>
      <c r="AJ95" s="79" t="str">
        <f t="shared" si="63"/>
        <v>A-</v>
      </c>
      <c r="AK95" s="79" t="s">
        <v>13</v>
      </c>
      <c r="AL95" s="79" t="s">
        <v>60</v>
      </c>
      <c r="AM95" s="79" t="s">
        <v>61</v>
      </c>
      <c r="AN95" s="79" t="str">
        <f t="shared" si="64"/>
        <v>C</v>
      </c>
      <c r="AO95" s="79" t="str">
        <f t="shared" si="65"/>
        <v>O</v>
      </c>
      <c r="AP95" s="79" t="str">
        <f t="shared" si="66"/>
        <v>O</v>
      </c>
      <c r="AQ95" s="79" t="str">
        <f t="shared" si="67"/>
        <v>O</v>
      </c>
      <c r="AR95" s="79" t="str">
        <f t="shared" si="68"/>
        <v>O</v>
      </c>
      <c r="AS95" s="79" t="s">
        <v>2</v>
      </c>
      <c r="AT95" s="79" t="str">
        <f t="shared" si="69"/>
        <v>O</v>
      </c>
      <c r="AU95" s="79" t="str">
        <f t="shared" si="70"/>
        <v>O</v>
      </c>
      <c r="AV95" s="79" t="str">
        <f t="shared" si="71"/>
        <v>후보</v>
      </c>
    </row>
    <row r="96" spans="1:48" s="37" customFormat="1" ht="12" x14ac:dyDescent="0.3">
      <c r="A96" s="74" t="s">
        <v>1496</v>
      </c>
      <c r="B96" s="75" t="s">
        <v>1497</v>
      </c>
      <c r="C96" s="85">
        <v>350</v>
      </c>
      <c r="D96" s="86">
        <v>40.799999999999997</v>
      </c>
      <c r="E96" s="87">
        <v>12</v>
      </c>
      <c r="F96" s="86">
        <v>31.6</v>
      </c>
      <c r="G96" s="17">
        <v>10</v>
      </c>
      <c r="H96" s="88">
        <v>148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9">
        <v>2</v>
      </c>
      <c r="R96" s="79">
        <v>1</v>
      </c>
      <c r="S96" s="79" t="s">
        <v>59</v>
      </c>
      <c r="T96" s="5">
        <v>40</v>
      </c>
      <c r="U96" s="9"/>
      <c r="W96" s="86">
        <f t="shared" si="54"/>
        <v>40.799999999999997</v>
      </c>
      <c r="X96" s="87">
        <f t="shared" si="54"/>
        <v>12</v>
      </c>
      <c r="Y96" s="92">
        <f t="shared" si="55"/>
        <v>148</v>
      </c>
      <c r="Z96" s="90">
        <f t="shared" si="55"/>
        <v>0</v>
      </c>
      <c r="AA96" s="90">
        <f>K96</f>
        <v>0</v>
      </c>
      <c r="AB96" s="90">
        <f t="shared" si="53"/>
        <v>0</v>
      </c>
      <c r="AC96" s="4" t="str">
        <f t="shared" si="53"/>
        <v/>
      </c>
      <c r="AD96" s="91">
        <f t="shared" si="53"/>
        <v>0</v>
      </c>
      <c r="AE96" s="79" t="str">
        <f>S96</f>
        <v>복</v>
      </c>
      <c r="AF96" s="79" t="str">
        <f>Q96&amp;"/"&amp;R96</f>
        <v>2/1</v>
      </c>
      <c r="AH96" s="20" t="str">
        <f t="shared" si="47"/>
        <v>강내면 선광한빛</v>
      </c>
      <c r="AI96" s="87">
        <f t="shared" si="48"/>
        <v>12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/>
      </c>
      <c r="AP96" s="79" t="str">
        <f>IF(I96="","",IF(I96&lt;=$AP$1,"O","X"))</f>
        <v/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X</v>
      </c>
      <c r="AU96" s="79" t="str">
        <f>IF(C96="","",IF(C96&gt;=$AU$1,"O","X"))</f>
        <v>O</v>
      </c>
      <c r="AV96" s="79" t="str">
        <f>IF(AO96="","",IF(AND(AO96="O",AP96="O",AR96="O",AT96="O",AU96="O"),"후보","X"))</f>
        <v/>
      </c>
    </row>
    <row r="97" spans="1:48" s="37" customFormat="1" ht="12" x14ac:dyDescent="0.3">
      <c r="A97" s="74" t="s">
        <v>1496</v>
      </c>
      <c r="B97" s="75" t="s">
        <v>1497</v>
      </c>
      <c r="C97" s="85">
        <v>350</v>
      </c>
      <c r="D97" s="86">
        <v>71.599999999999994</v>
      </c>
      <c r="E97" s="87">
        <v>22</v>
      </c>
      <c r="F97" s="86">
        <v>59.8</v>
      </c>
      <c r="G97" s="17">
        <v>18</v>
      </c>
      <c r="H97" s="88">
        <v>96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3</v>
      </c>
      <c r="R97" s="79">
        <v>1</v>
      </c>
      <c r="S97" s="79" t="s">
        <v>62</v>
      </c>
      <c r="T97" s="5">
        <v>71</v>
      </c>
      <c r="U97" s="9"/>
      <c r="W97" s="86">
        <f t="shared" si="54"/>
        <v>71.599999999999994</v>
      </c>
      <c r="X97" s="87">
        <f t="shared" si="54"/>
        <v>22</v>
      </c>
      <c r="Y97" s="92">
        <f t="shared" si="55"/>
        <v>96</v>
      </c>
      <c r="Z97" s="90">
        <f t="shared" si="55"/>
        <v>0</v>
      </c>
      <c r="AA97" s="90">
        <f>K97</f>
        <v>0</v>
      </c>
      <c r="AB97" s="90">
        <f t="shared" si="53"/>
        <v>0</v>
      </c>
      <c r="AC97" s="4" t="str">
        <f t="shared" si="53"/>
        <v/>
      </c>
      <c r="AD97" s="91">
        <f t="shared" si="53"/>
        <v>0</v>
      </c>
      <c r="AE97" s="79" t="str">
        <f>S97</f>
        <v>계</v>
      </c>
      <c r="AF97" s="79" t="str">
        <f>Q97&amp;"/"&amp;R97</f>
        <v>3/1</v>
      </c>
      <c r="AH97" s="20" t="str">
        <f t="shared" si="47"/>
        <v>강내면 선광한빛</v>
      </c>
      <c r="AI97" s="87">
        <f t="shared" si="48"/>
        <v>22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O</v>
      </c>
      <c r="AV97" s="79" t="str">
        <f>IF(AO97="","",IF(AND(AO97="O",AP97="O",AR97="O",AT97="O",AU97="O"),"후보","X"))</f>
        <v/>
      </c>
    </row>
    <row r="98" spans="1:48" s="37" customFormat="1" ht="12" x14ac:dyDescent="0.3">
      <c r="A98" s="74" t="s">
        <v>1496</v>
      </c>
      <c r="B98" s="75" t="s">
        <v>1497</v>
      </c>
      <c r="C98" s="85">
        <v>350</v>
      </c>
      <c r="D98" s="86">
        <v>97.8</v>
      </c>
      <c r="E98" s="87">
        <v>30</v>
      </c>
      <c r="F98" s="86">
        <v>85</v>
      </c>
      <c r="G98" s="17">
        <v>26</v>
      </c>
      <c r="H98" s="88">
        <v>91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>
        <v>97</v>
      </c>
      <c r="U98" s="9"/>
      <c r="W98" s="86">
        <f t="shared" si="54"/>
        <v>97.8</v>
      </c>
      <c r="X98" s="87">
        <f t="shared" si="54"/>
        <v>30</v>
      </c>
      <c r="Y98" s="92">
        <f t="shared" si="55"/>
        <v>91</v>
      </c>
      <c r="Z98" s="90">
        <f t="shared" si="55"/>
        <v>0</v>
      </c>
      <c r="AA98" s="90">
        <f>K98</f>
        <v>0</v>
      </c>
      <c r="AB98" s="90">
        <f t="shared" ref="AB98:AD108" si="72">M98</f>
        <v>0</v>
      </c>
      <c r="AC98" s="4" t="str">
        <f t="shared" si="72"/>
        <v/>
      </c>
      <c r="AD98" s="91">
        <f t="shared" si="72"/>
        <v>0</v>
      </c>
      <c r="AE98" s="79" t="str">
        <f>S98</f>
        <v>계</v>
      </c>
      <c r="AF98" s="79" t="str">
        <f>Q98&amp;"/"&amp;R98</f>
        <v>3/2</v>
      </c>
      <c r="AH98" s="20" t="str">
        <f t="shared" si="47"/>
        <v>강내면 선광한빛</v>
      </c>
      <c r="AI98" s="87">
        <f t="shared" si="48"/>
        <v>30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/>
      </c>
      <c r="AP98" s="79" t="str">
        <f>IF(I98="","",IF(I98&lt;=$AP$1,"O","X"))</f>
        <v/>
      </c>
      <c r="AQ98" s="79" t="str">
        <f>IF(O98="","",IF(O98&lt;=$AQ$1,"O","X"))</f>
        <v>O</v>
      </c>
      <c r="AR98" s="79" t="str">
        <f>IF(M98="","",IF(M98&lt;=$AR$1,"O","X"))</f>
        <v>O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O</v>
      </c>
      <c r="AV98" s="79" t="str">
        <f>IF(AO98="","",IF(AND(AO98="O",AP98="O",AR98="O",AT98="O",AU98="O"),"후보","X"))</f>
        <v/>
      </c>
    </row>
    <row r="99" spans="1:48" s="37" customFormat="1" ht="12" x14ac:dyDescent="0.3">
      <c r="A99" s="74" t="s">
        <v>1496</v>
      </c>
      <c r="B99" s="75" t="s">
        <v>1497</v>
      </c>
      <c r="C99" s="85">
        <v>350</v>
      </c>
      <c r="D99" s="86">
        <v>97.7</v>
      </c>
      <c r="E99" s="87">
        <v>30</v>
      </c>
      <c r="F99" s="86">
        <v>84.9</v>
      </c>
      <c r="G99" s="17">
        <v>26</v>
      </c>
      <c r="H99" s="88">
        <v>7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9">
        <v>3</v>
      </c>
      <c r="R99" s="79">
        <v>2</v>
      </c>
      <c r="S99" s="79" t="s">
        <v>59</v>
      </c>
      <c r="T99" s="5">
        <v>97</v>
      </c>
      <c r="U99" s="9"/>
      <c r="W99" s="86">
        <f t="shared" si="54"/>
        <v>97.7</v>
      </c>
      <c r="X99" s="87">
        <f t="shared" si="54"/>
        <v>30</v>
      </c>
      <c r="Y99" s="92">
        <f t="shared" si="55"/>
        <v>7</v>
      </c>
      <c r="Z99" s="90">
        <f t="shared" si="55"/>
        <v>0</v>
      </c>
      <c r="AA99" s="90">
        <f>K99</f>
        <v>0</v>
      </c>
      <c r="AB99" s="90">
        <f t="shared" si="72"/>
        <v>0</v>
      </c>
      <c r="AC99" s="4" t="str">
        <f t="shared" si="72"/>
        <v/>
      </c>
      <c r="AD99" s="91">
        <f t="shared" si="72"/>
        <v>0</v>
      </c>
      <c r="AE99" s="79" t="str">
        <f>S99</f>
        <v>복</v>
      </c>
      <c r="AF99" s="79" t="str">
        <f>Q99&amp;"/"&amp;R99</f>
        <v>3/2</v>
      </c>
      <c r="AH99" s="20" t="str">
        <f t="shared" si="47"/>
        <v>강내면 선광한빛</v>
      </c>
      <c r="AI99" s="87">
        <f t="shared" si="48"/>
        <v>30</v>
      </c>
      <c r="AJ99" s="79" t="str">
        <f>IF(AI99="","",$AJ$2)</f>
        <v>A-</v>
      </c>
      <c r="AK99" s="79" t="s">
        <v>13</v>
      </c>
      <c r="AL99" s="79" t="s">
        <v>60</v>
      </c>
      <c r="AM99" s="79" t="s">
        <v>61</v>
      </c>
      <c r="AN99" s="79" t="str">
        <f>IF(AI99="","",$AN$2)</f>
        <v>C</v>
      </c>
      <c r="AO99" s="79" t="str">
        <f>IF(N99="","",IF(N99&gt;=$AO$1/100,"O","X"))</f>
        <v/>
      </c>
      <c r="AP99" s="79" t="str">
        <f>IF(I99="","",IF(I99&lt;=$AP$1,"O","X"))</f>
        <v/>
      </c>
      <c r="AQ99" s="79" t="str">
        <f>IF(O99="","",IF(O99&lt;=$AQ$1,"O","X"))</f>
        <v>O</v>
      </c>
      <c r="AR99" s="79" t="str">
        <f>IF(M99="","",IF(M99&lt;=$AR$1,"O","X"))</f>
        <v>O</v>
      </c>
      <c r="AS99" s="79" t="s">
        <v>2</v>
      </c>
      <c r="AT99" s="79" t="str">
        <f>IF(OR(F99="",AI99=""),"",IF(AND((F99&lt;=85),(AI99&gt;=15)),"O","X"))</f>
        <v>O</v>
      </c>
      <c r="AU99" s="79" t="str">
        <f>IF(C99="","",IF(C99&gt;=$AU$1,"O","X"))</f>
        <v>O</v>
      </c>
      <c r="AV99" s="79" t="str">
        <f>IF(AO99="","",IF(AND(AO99="O",AP99="O",AR99="O",AT99="O",AU99="O"),"후보","X"))</f>
        <v/>
      </c>
    </row>
    <row r="100" spans="1:48" s="37" customFormat="1" ht="12" x14ac:dyDescent="0.3">
      <c r="A100" s="74" t="s">
        <v>1496</v>
      </c>
      <c r="B100" s="75" t="s">
        <v>1497</v>
      </c>
      <c r="C100" s="85">
        <v>350</v>
      </c>
      <c r="D100" s="86">
        <v>154.80000000000001</v>
      </c>
      <c r="E100" s="87">
        <v>47</v>
      </c>
      <c r="F100" s="86">
        <v>134.5</v>
      </c>
      <c r="G100" s="17">
        <v>41</v>
      </c>
      <c r="H100" s="88">
        <v>8</v>
      </c>
      <c r="I100" s="89"/>
      <c r="J100" s="89"/>
      <c r="K100" s="89"/>
      <c r="L100" s="89"/>
      <c r="M100" s="90">
        <f>I100-K100</f>
        <v>0</v>
      </c>
      <c r="N100" s="4" t="str">
        <f>IF(ISERROR(K100/I100),"",K100/I100)</f>
        <v/>
      </c>
      <c r="O100" s="91">
        <f>I100/E100</f>
        <v>0</v>
      </c>
      <c r="P100" s="91">
        <f>K100/E100</f>
        <v>0</v>
      </c>
      <c r="Q100" s="79">
        <v>4</v>
      </c>
      <c r="R100" s="79">
        <v>2</v>
      </c>
      <c r="S100" s="79" t="s">
        <v>62</v>
      </c>
      <c r="T100" s="5">
        <v>154</v>
      </c>
      <c r="U100" s="9"/>
      <c r="W100" s="86">
        <f t="shared" si="54"/>
        <v>154.80000000000001</v>
      </c>
      <c r="X100" s="87">
        <f t="shared" si="54"/>
        <v>47</v>
      </c>
      <c r="Y100" s="92">
        <f t="shared" si="55"/>
        <v>8</v>
      </c>
      <c r="Z100" s="90">
        <f t="shared" si="55"/>
        <v>0</v>
      </c>
      <c r="AA100" s="90">
        <f>K100</f>
        <v>0</v>
      </c>
      <c r="AB100" s="90">
        <f t="shared" si="72"/>
        <v>0</v>
      </c>
      <c r="AC100" s="4" t="str">
        <f t="shared" si="72"/>
        <v/>
      </c>
      <c r="AD100" s="91">
        <f t="shared" si="72"/>
        <v>0</v>
      </c>
      <c r="AE100" s="79" t="str">
        <f>S100</f>
        <v>계</v>
      </c>
      <c r="AF100" s="79" t="str">
        <f>Q100&amp;"/"&amp;R100</f>
        <v>4/2</v>
      </c>
      <c r="AH100" s="20" t="str">
        <f t="shared" si="47"/>
        <v>강내면 선광한빛</v>
      </c>
      <c r="AI100" s="87">
        <f t="shared" si="48"/>
        <v>47</v>
      </c>
      <c r="AJ100" s="79" t="str">
        <f>IF(AI100="","",$AJ$2)</f>
        <v>A-</v>
      </c>
      <c r="AK100" s="79" t="s">
        <v>13</v>
      </c>
      <c r="AL100" s="79" t="s">
        <v>60</v>
      </c>
      <c r="AM100" s="79" t="s">
        <v>61</v>
      </c>
      <c r="AN100" s="79" t="str">
        <f>IF(AI100="","",$AN$2)</f>
        <v>C</v>
      </c>
      <c r="AO100" s="79" t="str">
        <f>IF(N100="","",IF(N100&gt;=$AO$1/100,"O","X"))</f>
        <v/>
      </c>
      <c r="AP100" s="79" t="str">
        <f>IF(I100="","",IF(I100&lt;=$AP$1,"O","X"))</f>
        <v/>
      </c>
      <c r="AQ100" s="79" t="str">
        <f>IF(O100="","",IF(O100&lt;=$AQ$1,"O","X"))</f>
        <v>O</v>
      </c>
      <c r="AR100" s="79" t="str">
        <f>IF(M100="","",IF(M100&lt;=$AR$1,"O","X"))</f>
        <v>O</v>
      </c>
      <c r="AS100" s="79" t="s">
        <v>2</v>
      </c>
      <c r="AT100" s="79" t="str">
        <f>IF(OR(F100="",AI100=""),"",IF(AND((F100&lt;=85),(AI100&gt;=15)),"O","X"))</f>
        <v>X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/>
      </c>
    </row>
    <row r="101" spans="1:48" s="37" customFormat="1" ht="12" x14ac:dyDescent="0.3">
      <c r="A101" s="74" t="s">
        <v>1498</v>
      </c>
      <c r="B101" s="75" t="s">
        <v>1430</v>
      </c>
      <c r="C101" s="85">
        <v>372</v>
      </c>
      <c r="D101" s="86">
        <v>111</v>
      </c>
      <c r="E101" s="87">
        <v>34</v>
      </c>
      <c r="F101" s="86">
        <v>84.5</v>
      </c>
      <c r="G101" s="17">
        <v>26</v>
      </c>
      <c r="H101" s="88">
        <v>146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9">
        <v>3</v>
      </c>
      <c r="R101" s="79">
        <v>2</v>
      </c>
      <c r="S101" s="79" t="s">
        <v>62</v>
      </c>
      <c r="T101" s="5" t="s">
        <v>117</v>
      </c>
      <c r="U101" s="9"/>
      <c r="W101" s="86">
        <f t="shared" si="54"/>
        <v>111</v>
      </c>
      <c r="X101" s="87">
        <f t="shared" si="54"/>
        <v>34</v>
      </c>
      <c r="Y101" s="92">
        <f t="shared" si="55"/>
        <v>146</v>
      </c>
      <c r="Z101" s="90">
        <f t="shared" si="55"/>
        <v>0</v>
      </c>
      <c r="AA101" s="90">
        <f>K101</f>
        <v>0</v>
      </c>
      <c r="AB101" s="90">
        <f t="shared" si="72"/>
        <v>0</v>
      </c>
      <c r="AC101" s="4" t="str">
        <f t="shared" si="72"/>
        <v/>
      </c>
      <c r="AD101" s="91">
        <f t="shared" si="72"/>
        <v>0</v>
      </c>
      <c r="AE101" s="79" t="str">
        <f>S101</f>
        <v>계</v>
      </c>
      <c r="AF101" s="79" t="str">
        <f>Q101&amp;"/"&amp;R101</f>
        <v>3/2</v>
      </c>
      <c r="AH101" s="20" t="str">
        <f t="shared" si="47"/>
        <v>강내면 청원신성미소지움</v>
      </c>
      <c r="AI101" s="87">
        <f t="shared" si="48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/>
      </c>
      <c r="AP101" s="79" t="str">
        <f>IF(I101="","",IF(I101&lt;=$AP$1,"O","X"))</f>
        <v/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/>
      </c>
    </row>
    <row r="102" spans="1:48" s="37" customFormat="1" ht="12" x14ac:dyDescent="0.3">
      <c r="A102" s="74" t="s">
        <v>1498</v>
      </c>
      <c r="B102" s="75" t="s">
        <v>1430</v>
      </c>
      <c r="C102" s="85">
        <v>372</v>
      </c>
      <c r="D102" s="86">
        <v>111</v>
      </c>
      <c r="E102" s="87">
        <v>34</v>
      </c>
      <c r="F102" s="86">
        <v>84.5</v>
      </c>
      <c r="G102" s="17">
        <v>26</v>
      </c>
      <c r="H102" s="88">
        <v>58</v>
      </c>
      <c r="I102" s="89"/>
      <c r="J102" s="89"/>
      <c r="K102" s="89"/>
      <c r="L102" s="89"/>
      <c r="M102" s="90">
        <f>I102-K102</f>
        <v>0</v>
      </c>
      <c r="N102" s="4" t="str">
        <f>IF(ISERROR(K102/I102),"",K102/I102)</f>
        <v/>
      </c>
      <c r="O102" s="91">
        <f>I102/E102</f>
        <v>0</v>
      </c>
      <c r="P102" s="91">
        <f>K102/E102</f>
        <v>0</v>
      </c>
      <c r="Q102" s="79">
        <v>3</v>
      </c>
      <c r="R102" s="79">
        <v>2</v>
      </c>
      <c r="S102" s="79" t="s">
        <v>62</v>
      </c>
      <c r="T102" s="5" t="s">
        <v>118</v>
      </c>
      <c r="U102" s="9"/>
      <c r="W102" s="86">
        <f t="shared" si="54"/>
        <v>111</v>
      </c>
      <c r="X102" s="87">
        <f t="shared" si="54"/>
        <v>34</v>
      </c>
      <c r="Y102" s="92">
        <f t="shared" si="55"/>
        <v>58</v>
      </c>
      <c r="Z102" s="90">
        <f t="shared" si="55"/>
        <v>0</v>
      </c>
      <c r="AA102" s="90">
        <f>K102</f>
        <v>0</v>
      </c>
      <c r="AB102" s="90">
        <f t="shared" si="72"/>
        <v>0</v>
      </c>
      <c r="AC102" s="4" t="str">
        <f t="shared" si="72"/>
        <v/>
      </c>
      <c r="AD102" s="91">
        <f t="shared" si="72"/>
        <v>0</v>
      </c>
      <c r="AE102" s="79" t="str">
        <f>S102</f>
        <v>계</v>
      </c>
      <c r="AF102" s="79" t="str">
        <f>Q102&amp;"/"&amp;R102</f>
        <v>3/2</v>
      </c>
      <c r="AH102" s="20" t="str">
        <f t="shared" si="47"/>
        <v>강내면 청원신성미소지움</v>
      </c>
      <c r="AI102" s="87">
        <f t="shared" si="48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/>
      </c>
      <c r="AP102" s="79" t="str">
        <f>IF(I102="","",IF(I102&lt;=$AP$1,"O","X"))</f>
        <v/>
      </c>
      <c r="AQ102" s="79" t="str">
        <f>IF(O102="","",IF(O102&lt;=$AQ$1,"O","X"))</f>
        <v>O</v>
      </c>
      <c r="AR102" s="79" t="str">
        <f>IF(M102="","",IF(M102&lt;=$AR$1,"O","X"))</f>
        <v>O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/>
      </c>
    </row>
    <row r="103" spans="1:48" s="37" customFormat="1" ht="12" x14ac:dyDescent="0.3">
      <c r="A103" s="74" t="s">
        <v>1498</v>
      </c>
      <c r="B103" s="75" t="s">
        <v>1430</v>
      </c>
      <c r="C103" s="85">
        <v>372</v>
      </c>
      <c r="D103" s="86">
        <v>131.19999999999999</v>
      </c>
      <c r="E103" s="87">
        <v>40</v>
      </c>
      <c r="F103" s="86">
        <v>108.4</v>
      </c>
      <c r="G103" s="17">
        <v>33</v>
      </c>
      <c r="H103" s="88">
        <v>112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9">
        <v>4</v>
      </c>
      <c r="R103" s="79">
        <v>2</v>
      </c>
      <c r="S103" s="79" t="s">
        <v>62</v>
      </c>
      <c r="T103" s="5">
        <v>131</v>
      </c>
      <c r="U103" s="9"/>
      <c r="W103" s="86">
        <f t="shared" ref="W103:X104" si="73">D103</f>
        <v>131.19999999999999</v>
      </c>
      <c r="X103" s="87">
        <f t="shared" si="73"/>
        <v>40</v>
      </c>
      <c r="Y103" s="92">
        <f t="shared" ref="Y103:Z104" si="74">H103</f>
        <v>112</v>
      </c>
      <c r="Z103" s="90">
        <f t="shared" si="74"/>
        <v>0</v>
      </c>
      <c r="AA103" s="90">
        <f>K103</f>
        <v>0</v>
      </c>
      <c r="AB103" s="90">
        <f t="shared" si="72"/>
        <v>0</v>
      </c>
      <c r="AC103" s="4" t="str">
        <f t="shared" si="72"/>
        <v/>
      </c>
      <c r="AD103" s="91">
        <f t="shared" si="72"/>
        <v>0</v>
      </c>
      <c r="AE103" s="79" t="str">
        <f>S103</f>
        <v>계</v>
      </c>
      <c r="AF103" s="79" t="str">
        <f>Q103&amp;"/"&amp;R103</f>
        <v>4/2</v>
      </c>
      <c r="AH103" s="20" t="str">
        <f t="shared" si="47"/>
        <v>강내면 청원신성미소지움</v>
      </c>
      <c r="AI103" s="87">
        <f t="shared" si="48"/>
        <v>40</v>
      </c>
      <c r="AJ103" s="79" t="str">
        <f>IF(AI103="","",$AJ$2)</f>
        <v>A-</v>
      </c>
      <c r="AK103" s="79" t="s">
        <v>13</v>
      </c>
      <c r="AL103" s="79" t="s">
        <v>60</v>
      </c>
      <c r="AM103" s="79" t="s">
        <v>61</v>
      </c>
      <c r="AN103" s="79" t="str">
        <f>IF(AI103="","",$AN$2)</f>
        <v>C</v>
      </c>
      <c r="AO103" s="79" t="str">
        <f>IF(N103="","",IF(N103&gt;=$AO$1/100,"O","X"))</f>
        <v/>
      </c>
      <c r="AP103" s="79" t="str">
        <f>IF(I103="","",IF(I103&lt;=$AP$1,"O","X"))</f>
        <v/>
      </c>
      <c r="AQ103" s="79" t="str">
        <f>IF(O103="","",IF(O103&lt;=$AQ$1,"O","X"))</f>
        <v>O</v>
      </c>
      <c r="AR103" s="79" t="str">
        <f>IF(M103="","",IF(M103&lt;=$AR$1,"O","X"))</f>
        <v>O</v>
      </c>
      <c r="AS103" s="79" t="s">
        <v>2</v>
      </c>
      <c r="AT103" s="79" t="str">
        <f>IF(OR(F103="",AI103=""),"",IF(AND((F103&lt;=85),(AI103&gt;=15)),"O","X"))</f>
        <v>X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/>
      </c>
    </row>
    <row r="104" spans="1:48" s="37" customFormat="1" ht="12" x14ac:dyDescent="0.3">
      <c r="A104" s="74" t="s">
        <v>1498</v>
      </c>
      <c r="B104" s="75" t="s">
        <v>1430</v>
      </c>
      <c r="C104" s="85">
        <v>372</v>
      </c>
      <c r="D104" s="86">
        <v>149.9</v>
      </c>
      <c r="E104" s="87">
        <v>45</v>
      </c>
      <c r="F104" s="86">
        <v>118.1</v>
      </c>
      <c r="G104" s="17">
        <v>36</v>
      </c>
      <c r="H104" s="88">
        <v>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9">
        <v>4</v>
      </c>
      <c r="R104" s="79">
        <v>2</v>
      </c>
      <c r="S104" s="79" t="s">
        <v>62</v>
      </c>
      <c r="T104" s="5">
        <v>149</v>
      </c>
      <c r="U104" s="9"/>
      <c r="W104" s="86">
        <f t="shared" si="73"/>
        <v>149.9</v>
      </c>
      <c r="X104" s="87">
        <f t="shared" si="73"/>
        <v>45</v>
      </c>
      <c r="Y104" s="92">
        <f t="shared" si="74"/>
        <v>56</v>
      </c>
      <c r="Z104" s="90">
        <f t="shared" si="74"/>
        <v>0</v>
      </c>
      <c r="AA104" s="90">
        <f>K104</f>
        <v>0</v>
      </c>
      <c r="AB104" s="90">
        <f t="shared" si="72"/>
        <v>0</v>
      </c>
      <c r="AC104" s="4" t="str">
        <f t="shared" si="72"/>
        <v/>
      </c>
      <c r="AD104" s="91">
        <f t="shared" si="72"/>
        <v>0</v>
      </c>
      <c r="AE104" s="79" t="str">
        <f>S104</f>
        <v>계</v>
      </c>
      <c r="AF104" s="79" t="str">
        <f>Q104&amp;"/"&amp;R104</f>
        <v>4/2</v>
      </c>
      <c r="AH104" s="20" t="str">
        <f t="shared" si="47"/>
        <v>강내면 청원신성미소지움</v>
      </c>
      <c r="AI104" s="87">
        <f t="shared" si="48"/>
        <v>45</v>
      </c>
      <c r="AJ104" s="79" t="str">
        <f>IF(AI104="","",$AJ$2)</f>
        <v>A-</v>
      </c>
      <c r="AK104" s="79" t="s">
        <v>13</v>
      </c>
      <c r="AL104" s="79" t="s">
        <v>60</v>
      </c>
      <c r="AM104" s="79" t="s">
        <v>61</v>
      </c>
      <c r="AN104" s="79" t="str">
        <f>IF(AI104="","",$AN$2)</f>
        <v>C</v>
      </c>
      <c r="AO104" s="79" t="str">
        <f>IF(N104="","",IF(N104&gt;=$AO$1/100,"O","X"))</f>
        <v/>
      </c>
      <c r="AP104" s="79" t="str">
        <f>IF(I104="","",IF(I104&lt;=$AP$1,"O","X"))</f>
        <v/>
      </c>
      <c r="AQ104" s="79" t="str">
        <f>IF(O104="","",IF(O104&lt;=$AQ$1,"O","X"))</f>
        <v>O</v>
      </c>
      <c r="AR104" s="79" t="str">
        <f>IF(M104="","",IF(M104&lt;=$AR$1,"O","X"))</f>
        <v>O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/>
      </c>
    </row>
    <row r="105" spans="1:48" s="37" customFormat="1" ht="12" x14ac:dyDescent="0.3">
      <c r="A105" s="74" t="s">
        <v>1499</v>
      </c>
      <c r="B105" s="75" t="s">
        <v>1500</v>
      </c>
      <c r="C105" s="85">
        <v>231</v>
      </c>
      <c r="D105" s="86">
        <v>110.7</v>
      </c>
      <c r="E105" s="87">
        <v>33</v>
      </c>
      <c r="F105" s="86">
        <v>85</v>
      </c>
      <c r="G105" s="17">
        <v>26</v>
      </c>
      <c r="H105" s="88">
        <v>56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62</v>
      </c>
      <c r="T105" s="5">
        <v>110</v>
      </c>
      <c r="U105" s="9"/>
      <c r="W105" s="86">
        <f>D105</f>
        <v>110.7</v>
      </c>
      <c r="X105" s="87">
        <f>E105</f>
        <v>33</v>
      </c>
      <c r="Y105" s="92">
        <f>H105</f>
        <v>56</v>
      </c>
      <c r="Z105" s="90">
        <f>I105</f>
        <v>0</v>
      </c>
      <c r="AA105" s="90">
        <f>K105</f>
        <v>0</v>
      </c>
      <c r="AB105" s="90">
        <f t="shared" si="72"/>
        <v>0</v>
      </c>
      <c r="AC105" s="4" t="str">
        <f t="shared" si="72"/>
        <v/>
      </c>
      <c r="AD105" s="91">
        <f t="shared" si="72"/>
        <v>0</v>
      </c>
      <c r="AE105" s="79" t="str">
        <f>S105</f>
        <v>계</v>
      </c>
      <c r="AF105" s="79" t="str">
        <f>Q105&amp;"/"&amp;R105</f>
        <v>3/2</v>
      </c>
      <c r="AH105" s="20" t="str">
        <f t="shared" si="47"/>
        <v>강내면 청원쌍용예가2단지</v>
      </c>
      <c r="AI105" s="87">
        <f t="shared" si="48"/>
        <v>33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X</v>
      </c>
      <c r="AV105" s="79" t="str">
        <f>IF(AO105="","",IF(AND(AO105="O",AP105="O",AR105="O",AT105="O",AU105="O"),"후보","X"))</f>
        <v/>
      </c>
    </row>
    <row r="106" spans="1:48" s="37" customFormat="1" ht="12" x14ac:dyDescent="0.3">
      <c r="A106" s="74" t="s">
        <v>1499</v>
      </c>
      <c r="B106" s="75" t="s">
        <v>1500</v>
      </c>
      <c r="C106" s="85">
        <v>231</v>
      </c>
      <c r="D106" s="86">
        <v>145.6</v>
      </c>
      <c r="E106" s="87">
        <v>44</v>
      </c>
      <c r="F106" s="86">
        <v>117.3</v>
      </c>
      <c r="G106" s="17">
        <v>35</v>
      </c>
      <c r="H106" s="88">
        <v>175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9">
        <v>4</v>
      </c>
      <c r="R106" s="79">
        <v>2</v>
      </c>
      <c r="S106" s="79" t="s">
        <v>62</v>
      </c>
      <c r="T106" s="5">
        <v>145</v>
      </c>
      <c r="U106" s="9"/>
      <c r="W106" s="86">
        <f>D106</f>
        <v>145.6</v>
      </c>
      <c r="X106" s="87">
        <f>E106</f>
        <v>44</v>
      </c>
      <c r="Y106" s="92">
        <f>H106</f>
        <v>175</v>
      </c>
      <c r="Z106" s="90">
        <f>I106</f>
        <v>0</v>
      </c>
      <c r="AA106" s="90">
        <f>K106</f>
        <v>0</v>
      </c>
      <c r="AB106" s="90">
        <f t="shared" si="72"/>
        <v>0</v>
      </c>
      <c r="AC106" s="4" t="str">
        <f t="shared" si="72"/>
        <v/>
      </c>
      <c r="AD106" s="91">
        <f t="shared" si="72"/>
        <v>0</v>
      </c>
      <c r="AE106" s="79" t="str">
        <f>S106</f>
        <v>계</v>
      </c>
      <c r="AF106" s="79" t="str">
        <f>Q106&amp;"/"&amp;R106</f>
        <v>4/2</v>
      </c>
      <c r="AH106" s="20" t="str">
        <f t="shared" si="47"/>
        <v>강내면 청원쌍용예가2단지</v>
      </c>
      <c r="AI106" s="87">
        <f t="shared" si="48"/>
        <v>44</v>
      </c>
      <c r="AJ106" s="79" t="str">
        <f>IF(AI106="","",$AJ$2)</f>
        <v>A-</v>
      </c>
      <c r="AK106" s="79" t="s">
        <v>13</v>
      </c>
      <c r="AL106" s="79" t="s">
        <v>60</v>
      </c>
      <c r="AM106" s="79" t="s">
        <v>61</v>
      </c>
      <c r="AN106" s="79" t="str">
        <f>IF(AI106="","",$AN$2)</f>
        <v>C</v>
      </c>
      <c r="AO106" s="79" t="str">
        <f>IF(N106="","",IF(N106&gt;=$AO$1/100,"O","X"))</f>
        <v/>
      </c>
      <c r="AP106" s="79" t="str">
        <f>IF(I106="","",IF(I106&lt;=$AP$1,"O","X"))</f>
        <v/>
      </c>
      <c r="AQ106" s="79" t="str">
        <f>IF(O106="","",IF(O106&lt;=$AQ$1,"O","X"))</f>
        <v>O</v>
      </c>
      <c r="AR106" s="79" t="str">
        <f>IF(M106="","",IF(M106&lt;=$AR$1,"O","X"))</f>
        <v>O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X</v>
      </c>
      <c r="AV106" s="79" t="str">
        <f>IF(AO106="","",IF(AND(AO106="O",AP106="O",AR106="O",AT106="O",AU106="O"),"후보","X"))</f>
        <v/>
      </c>
    </row>
    <row r="107" spans="1:48" s="37" customFormat="1" ht="12" x14ac:dyDescent="0.3">
      <c r="A107" s="74" t="s">
        <v>1501</v>
      </c>
      <c r="B107" s="75" t="s">
        <v>1502</v>
      </c>
      <c r="C107" s="85">
        <v>277</v>
      </c>
      <c r="D107" s="86">
        <v>43.5</v>
      </c>
      <c r="E107" s="87">
        <v>13</v>
      </c>
      <c r="F107" s="86">
        <v>31.4</v>
      </c>
      <c r="G107" s="17">
        <v>10</v>
      </c>
      <c r="H107" s="88">
        <v>220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1</v>
      </c>
      <c r="R107" s="79">
        <v>1</v>
      </c>
      <c r="S107" s="79" t="s">
        <v>59</v>
      </c>
      <c r="T107" s="5">
        <v>43</v>
      </c>
      <c r="U107" s="9"/>
      <c r="W107" s="86">
        <f>D107</f>
        <v>43.5</v>
      </c>
      <c r="X107" s="87">
        <f>E107</f>
        <v>13</v>
      </c>
      <c r="Y107" s="92">
        <f>H107</f>
        <v>220</v>
      </c>
      <c r="Z107" s="90">
        <f>I107</f>
        <v>0</v>
      </c>
      <c r="AA107" s="90">
        <f>K107</f>
        <v>0</v>
      </c>
      <c r="AB107" s="90">
        <f t="shared" si="72"/>
        <v>0</v>
      </c>
      <c r="AC107" s="4" t="str">
        <f t="shared" si="72"/>
        <v/>
      </c>
      <c r="AD107" s="91">
        <f t="shared" si="72"/>
        <v>0</v>
      </c>
      <c r="AE107" s="79" t="str">
        <f>S107</f>
        <v>복</v>
      </c>
      <c r="AF107" s="79" t="str">
        <f>Q107&amp;"/"&amp;R107</f>
        <v>1/1</v>
      </c>
      <c r="AH107" s="20" t="str">
        <f t="shared" si="47"/>
        <v>강내면 서호e타운</v>
      </c>
      <c r="AI107" s="87">
        <f t="shared" si="48"/>
        <v>13</v>
      </c>
      <c r="AJ107" s="79" t="str">
        <f>IF(AI107="","",$AJ$2)</f>
        <v>A-</v>
      </c>
      <c r="AK107" s="79" t="s">
        <v>13</v>
      </c>
      <c r="AL107" s="79" t="s">
        <v>60</v>
      </c>
      <c r="AM107" s="79" t="s">
        <v>61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X</v>
      </c>
      <c r="AU107" s="79" t="str">
        <f>IF(C107="","",IF(C107&gt;=$AU$1,"O","X"))</f>
        <v>X</v>
      </c>
      <c r="AV107" s="79" t="str">
        <f>IF(AO107="","",IF(AND(AO107="O",AP107="O",AR107="O",AT107="O",AU107="O"),"후보","X"))</f>
        <v/>
      </c>
    </row>
    <row r="108" spans="1:48" s="37" customFormat="1" ht="12" x14ac:dyDescent="0.3">
      <c r="A108" s="74" t="s">
        <v>1501</v>
      </c>
      <c r="B108" s="75" t="s">
        <v>1502</v>
      </c>
      <c r="C108" s="85">
        <v>277</v>
      </c>
      <c r="D108" s="86">
        <v>51.9</v>
      </c>
      <c r="E108" s="87">
        <v>16</v>
      </c>
      <c r="F108" s="86">
        <v>39.200000000000003</v>
      </c>
      <c r="G108" s="17">
        <v>12</v>
      </c>
      <c r="H108" s="88">
        <v>57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2</v>
      </c>
      <c r="R108" s="79">
        <v>1</v>
      </c>
      <c r="S108" s="79" t="s">
        <v>59</v>
      </c>
      <c r="T108" s="5">
        <v>51</v>
      </c>
      <c r="U108" s="9"/>
      <c r="W108" s="86">
        <f>D108</f>
        <v>51.9</v>
      </c>
      <c r="X108" s="87">
        <f>E108</f>
        <v>16</v>
      </c>
      <c r="Y108" s="92">
        <f>H108</f>
        <v>57</v>
      </c>
      <c r="Z108" s="90">
        <f>I108</f>
        <v>0</v>
      </c>
      <c r="AA108" s="90">
        <f>K108</f>
        <v>0</v>
      </c>
      <c r="AB108" s="90">
        <f t="shared" si="72"/>
        <v>0</v>
      </c>
      <c r="AC108" s="4" t="str">
        <f t="shared" si="72"/>
        <v/>
      </c>
      <c r="AD108" s="91">
        <f t="shared" si="72"/>
        <v>0</v>
      </c>
      <c r="AE108" s="79" t="str">
        <f>S108</f>
        <v>복</v>
      </c>
      <c r="AF108" s="79" t="str">
        <f>Q108&amp;"/"&amp;R108</f>
        <v>2/1</v>
      </c>
      <c r="AH108" s="20" t="str">
        <f t="shared" si="47"/>
        <v>강내면 서호e타운</v>
      </c>
      <c r="AI108" s="87">
        <f t="shared" si="48"/>
        <v>16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s="37" customFormat="1" ht="12" x14ac:dyDescent="0.3">
      <c r="A109" s="74" t="s">
        <v>1503</v>
      </c>
      <c r="B109" s="75" t="s">
        <v>1504</v>
      </c>
      <c r="C109" s="85">
        <v>359</v>
      </c>
      <c r="D109" s="86">
        <v>90.1</v>
      </c>
      <c r="E109" s="87">
        <v>27</v>
      </c>
      <c r="F109" s="86">
        <v>65.7</v>
      </c>
      <c r="G109" s="17">
        <v>20</v>
      </c>
      <c r="H109" s="88">
        <v>359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62</v>
      </c>
      <c r="T109" s="5">
        <v>90</v>
      </c>
      <c r="U109" s="9"/>
      <c r="W109" s="86">
        <f>D109</f>
        <v>90.1</v>
      </c>
      <c r="X109" s="87">
        <f>E109</f>
        <v>27</v>
      </c>
      <c r="Y109" s="92">
        <f>H109</f>
        <v>359</v>
      </c>
      <c r="Z109" s="90">
        <f>I109</f>
        <v>0</v>
      </c>
      <c r="AA109" s="90">
        <f>K109</f>
        <v>0</v>
      </c>
      <c r="AB109" s="90">
        <f>M109</f>
        <v>0</v>
      </c>
      <c r="AC109" s="4" t="str">
        <f>N109</f>
        <v/>
      </c>
      <c r="AD109" s="91">
        <f>O109</f>
        <v>0</v>
      </c>
      <c r="AE109" s="79" t="str">
        <f>S109</f>
        <v>계</v>
      </c>
      <c r="AF109" s="79" t="str">
        <f>Q109&amp;"/"&amp;R109</f>
        <v>3/2</v>
      </c>
      <c r="AH109" s="20" t="str">
        <f t="shared" si="47"/>
        <v>강내면 강내두진하트리움</v>
      </c>
      <c r="AI109" s="87">
        <f t="shared" si="48"/>
        <v>27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/>
      </c>
    </row>
    <row r="110" spans="1:48" s="37" customFormat="1" ht="12" x14ac:dyDescent="0.3">
      <c r="A110" s="74" t="s">
        <v>1505</v>
      </c>
      <c r="B110" s="75" t="s">
        <v>1494</v>
      </c>
      <c r="C110" s="85">
        <v>410</v>
      </c>
      <c r="D110" s="86">
        <v>42</v>
      </c>
      <c r="E110" s="87">
        <v>13</v>
      </c>
      <c r="F110" s="86">
        <v>34.700000000000003</v>
      </c>
      <c r="G110" s="17">
        <v>10</v>
      </c>
      <c r="H110" s="88">
        <v>130</v>
      </c>
      <c r="I110" s="89"/>
      <c r="J110" s="89"/>
      <c r="K110" s="89"/>
      <c r="L110" s="89"/>
      <c r="M110" s="90">
        <f t="shared" ref="M110:M115" si="75">I110-K110</f>
        <v>0</v>
      </c>
      <c r="N110" s="4" t="str">
        <f t="shared" ref="N110:N115" si="76">IF(ISERROR(K110/I110),"",K110/I110)</f>
        <v/>
      </c>
      <c r="O110" s="91">
        <f t="shared" ref="O110:O115" si="77">I110/E110</f>
        <v>0</v>
      </c>
      <c r="P110" s="91">
        <f t="shared" ref="P110:P115" si="78">K110/E110</f>
        <v>0</v>
      </c>
      <c r="Q110" s="79">
        <v>1</v>
      </c>
      <c r="R110" s="79">
        <v>1</v>
      </c>
      <c r="S110" s="79" t="s">
        <v>62</v>
      </c>
      <c r="T110" s="5">
        <v>41</v>
      </c>
      <c r="U110" s="9"/>
      <c r="W110" s="86">
        <f t="shared" ref="W110:X115" si="79">D110</f>
        <v>42</v>
      </c>
      <c r="X110" s="87">
        <f t="shared" si="79"/>
        <v>13</v>
      </c>
      <c r="Y110" s="92">
        <f t="shared" ref="Y110:Z115" si="80">H110</f>
        <v>130</v>
      </c>
      <c r="Z110" s="90">
        <f t="shared" si="80"/>
        <v>0</v>
      </c>
      <c r="AA110" s="90">
        <f t="shared" ref="AA110:AA115" si="81">K110</f>
        <v>0</v>
      </c>
      <c r="AB110" s="90">
        <f t="shared" ref="AB110:AD117" si="82">M110</f>
        <v>0</v>
      </c>
      <c r="AC110" s="4" t="str">
        <f t="shared" si="82"/>
        <v/>
      </c>
      <c r="AD110" s="91">
        <f t="shared" si="82"/>
        <v>0</v>
      </c>
      <c r="AE110" s="79" t="str">
        <f t="shared" ref="AE110:AE115" si="83">S110</f>
        <v>계</v>
      </c>
      <c r="AF110" s="79" t="str">
        <f t="shared" ref="AF110:AF115" si="84">Q110&amp;"/"&amp;R110</f>
        <v>1/1</v>
      </c>
      <c r="AH110" s="20" t="str">
        <f t="shared" si="47"/>
        <v>강내면 강내태암수정</v>
      </c>
      <c r="AI110" s="87">
        <f t="shared" si="48"/>
        <v>13</v>
      </c>
      <c r="AJ110" s="79" t="str">
        <f t="shared" ref="AJ110:AJ115" si="85">IF(AI110="","",$AJ$2)</f>
        <v>A-</v>
      </c>
      <c r="AK110" s="79" t="s">
        <v>13</v>
      </c>
      <c r="AL110" s="79" t="s">
        <v>60</v>
      </c>
      <c r="AM110" s="79" t="s">
        <v>61</v>
      </c>
      <c r="AN110" s="79" t="str">
        <f t="shared" ref="AN110:AN115" si="86">IF(AI110="","",$AN$2)</f>
        <v>C</v>
      </c>
      <c r="AO110" s="79" t="str">
        <f t="shared" ref="AO110:AO115" si="87">IF(N110="","",IF(N110&gt;=$AO$1/100,"O","X"))</f>
        <v/>
      </c>
      <c r="AP110" s="79" t="str">
        <f t="shared" ref="AP110:AP115" si="88">IF(I110="","",IF(I110&lt;=$AP$1,"O","X"))</f>
        <v/>
      </c>
      <c r="AQ110" s="79" t="str">
        <f t="shared" ref="AQ110:AQ115" si="89">IF(O110="","",IF(O110&lt;=$AQ$1,"O","X"))</f>
        <v>O</v>
      </c>
      <c r="AR110" s="79" t="str">
        <f t="shared" ref="AR110:AR115" si="90">IF(M110="","",IF(M110&lt;=$AR$1,"O","X"))</f>
        <v>O</v>
      </c>
      <c r="AS110" s="79" t="s">
        <v>2</v>
      </c>
      <c r="AT110" s="79" t="str">
        <f t="shared" ref="AT110:AT115" si="91">IF(OR(F110="",AI110=""),"",IF(AND((F110&lt;=85),(AI110&gt;=15)),"O","X"))</f>
        <v>X</v>
      </c>
      <c r="AU110" s="79" t="str">
        <f t="shared" ref="AU110:AU115" si="92">IF(C110="","",IF(C110&gt;=$AU$1,"O","X"))</f>
        <v>O</v>
      </c>
      <c r="AV110" s="79" t="str">
        <f t="shared" ref="AV110:AV115" si="93">IF(AO110="","",IF(AND(AO110="O",AP110="O",AR110="O",AT110="O",AU110="O"),"후보","X"))</f>
        <v/>
      </c>
    </row>
    <row r="111" spans="1:48" s="37" customFormat="1" ht="12" x14ac:dyDescent="0.3">
      <c r="A111" s="74" t="s">
        <v>1506</v>
      </c>
      <c r="B111" s="75" t="s">
        <v>1494</v>
      </c>
      <c r="C111" s="85">
        <v>410</v>
      </c>
      <c r="D111" s="86">
        <v>51.7</v>
      </c>
      <c r="E111" s="87">
        <v>16</v>
      </c>
      <c r="F111" s="86">
        <v>42.7</v>
      </c>
      <c r="G111" s="17">
        <v>13</v>
      </c>
      <c r="H111" s="88">
        <v>134</v>
      </c>
      <c r="I111" s="89"/>
      <c r="J111" s="89"/>
      <c r="K111" s="89"/>
      <c r="L111" s="89"/>
      <c r="M111" s="90">
        <f t="shared" si="75"/>
        <v>0</v>
      </c>
      <c r="N111" s="4" t="str">
        <f t="shared" si="76"/>
        <v/>
      </c>
      <c r="O111" s="91">
        <f t="shared" si="77"/>
        <v>0</v>
      </c>
      <c r="P111" s="91">
        <f t="shared" si="78"/>
        <v>0</v>
      </c>
      <c r="Q111" s="79">
        <v>2</v>
      </c>
      <c r="R111" s="79">
        <v>1</v>
      </c>
      <c r="S111" s="79" t="s">
        <v>62</v>
      </c>
      <c r="T111" s="5">
        <v>51</v>
      </c>
      <c r="U111" s="9"/>
      <c r="W111" s="86">
        <f t="shared" si="79"/>
        <v>51.7</v>
      </c>
      <c r="X111" s="87">
        <f t="shared" si="79"/>
        <v>16</v>
      </c>
      <c r="Y111" s="92">
        <f t="shared" si="80"/>
        <v>134</v>
      </c>
      <c r="Z111" s="90">
        <f t="shared" si="80"/>
        <v>0</v>
      </c>
      <c r="AA111" s="90">
        <f t="shared" si="81"/>
        <v>0</v>
      </c>
      <c r="AB111" s="90">
        <f t="shared" si="82"/>
        <v>0</v>
      </c>
      <c r="AC111" s="4" t="str">
        <f t="shared" si="82"/>
        <v/>
      </c>
      <c r="AD111" s="91">
        <f t="shared" si="82"/>
        <v>0</v>
      </c>
      <c r="AE111" s="79" t="str">
        <f t="shared" si="83"/>
        <v>계</v>
      </c>
      <c r="AF111" s="79" t="str">
        <f t="shared" si="84"/>
        <v>2/1</v>
      </c>
      <c r="AH111" s="20" t="str">
        <f t="shared" si="47"/>
        <v>강내면 강내태암수정</v>
      </c>
      <c r="AI111" s="87">
        <f t="shared" si="48"/>
        <v>16</v>
      </c>
      <c r="AJ111" s="79" t="str">
        <f t="shared" si="85"/>
        <v>A-</v>
      </c>
      <c r="AK111" s="79" t="s">
        <v>13</v>
      </c>
      <c r="AL111" s="79" t="s">
        <v>60</v>
      </c>
      <c r="AM111" s="79" t="s">
        <v>61</v>
      </c>
      <c r="AN111" s="79" t="str">
        <f t="shared" si="86"/>
        <v>C</v>
      </c>
      <c r="AO111" s="79" t="str">
        <f t="shared" si="87"/>
        <v/>
      </c>
      <c r="AP111" s="79" t="str">
        <f t="shared" si="88"/>
        <v/>
      </c>
      <c r="AQ111" s="79" t="str">
        <f t="shared" si="89"/>
        <v>O</v>
      </c>
      <c r="AR111" s="79" t="str">
        <f t="shared" si="90"/>
        <v>O</v>
      </c>
      <c r="AS111" s="79" t="s">
        <v>2</v>
      </c>
      <c r="AT111" s="79" t="str">
        <f t="shared" si="91"/>
        <v>O</v>
      </c>
      <c r="AU111" s="79" t="str">
        <f t="shared" si="92"/>
        <v>O</v>
      </c>
      <c r="AV111" s="79" t="str">
        <f t="shared" si="93"/>
        <v/>
      </c>
    </row>
    <row r="112" spans="1:48" s="37" customFormat="1" ht="12" x14ac:dyDescent="0.3">
      <c r="A112" s="74" t="s">
        <v>1505</v>
      </c>
      <c r="B112" s="75" t="s">
        <v>1494</v>
      </c>
      <c r="C112" s="85">
        <v>410</v>
      </c>
      <c r="D112" s="86">
        <v>56.4</v>
      </c>
      <c r="E112" s="87">
        <v>17</v>
      </c>
      <c r="F112" s="86">
        <v>42.7</v>
      </c>
      <c r="G112" s="17">
        <v>13</v>
      </c>
      <c r="H112" s="88">
        <v>29</v>
      </c>
      <c r="I112" s="89"/>
      <c r="J112" s="89"/>
      <c r="K112" s="89"/>
      <c r="L112" s="89"/>
      <c r="M112" s="90">
        <f t="shared" si="75"/>
        <v>0</v>
      </c>
      <c r="N112" s="4" t="str">
        <f t="shared" si="76"/>
        <v/>
      </c>
      <c r="O112" s="91">
        <f t="shared" si="77"/>
        <v>0</v>
      </c>
      <c r="P112" s="91">
        <f t="shared" si="78"/>
        <v>0</v>
      </c>
      <c r="Q112" s="79">
        <v>2</v>
      </c>
      <c r="R112" s="79">
        <v>1</v>
      </c>
      <c r="S112" s="79" t="s">
        <v>62</v>
      </c>
      <c r="T112" s="5">
        <v>56</v>
      </c>
      <c r="U112" s="9"/>
      <c r="W112" s="86">
        <f t="shared" si="79"/>
        <v>56.4</v>
      </c>
      <c r="X112" s="87">
        <f t="shared" si="79"/>
        <v>17</v>
      </c>
      <c r="Y112" s="92">
        <f t="shared" si="80"/>
        <v>29</v>
      </c>
      <c r="Z112" s="90">
        <f t="shared" si="80"/>
        <v>0</v>
      </c>
      <c r="AA112" s="90">
        <f t="shared" si="81"/>
        <v>0</v>
      </c>
      <c r="AB112" s="90">
        <f t="shared" si="82"/>
        <v>0</v>
      </c>
      <c r="AC112" s="4" t="str">
        <f t="shared" si="82"/>
        <v/>
      </c>
      <c r="AD112" s="91">
        <f t="shared" si="82"/>
        <v>0</v>
      </c>
      <c r="AE112" s="79" t="str">
        <f t="shared" si="83"/>
        <v>계</v>
      </c>
      <c r="AF112" s="79" t="str">
        <f t="shared" si="84"/>
        <v>2/1</v>
      </c>
      <c r="AH112" s="20" t="str">
        <f t="shared" si="47"/>
        <v>강내면 강내태암수정</v>
      </c>
      <c r="AI112" s="87">
        <f t="shared" si="48"/>
        <v>17</v>
      </c>
      <c r="AJ112" s="79" t="str">
        <f t="shared" si="85"/>
        <v>A-</v>
      </c>
      <c r="AK112" s="79" t="s">
        <v>13</v>
      </c>
      <c r="AL112" s="79" t="s">
        <v>60</v>
      </c>
      <c r="AM112" s="79" t="s">
        <v>61</v>
      </c>
      <c r="AN112" s="79" t="str">
        <f t="shared" si="86"/>
        <v>C</v>
      </c>
      <c r="AO112" s="79" t="str">
        <f t="shared" si="87"/>
        <v/>
      </c>
      <c r="AP112" s="79" t="str">
        <f t="shared" si="88"/>
        <v/>
      </c>
      <c r="AQ112" s="79" t="str">
        <f t="shared" si="89"/>
        <v>O</v>
      </c>
      <c r="AR112" s="79" t="str">
        <f t="shared" si="90"/>
        <v>O</v>
      </c>
      <c r="AS112" s="79" t="s">
        <v>2</v>
      </c>
      <c r="AT112" s="79" t="str">
        <f t="shared" si="91"/>
        <v>O</v>
      </c>
      <c r="AU112" s="79" t="str">
        <f t="shared" si="92"/>
        <v>O</v>
      </c>
      <c r="AV112" s="79" t="str">
        <f t="shared" si="93"/>
        <v/>
      </c>
    </row>
    <row r="113" spans="1:48" s="37" customFormat="1" ht="12" x14ac:dyDescent="0.3">
      <c r="A113" s="74" t="s">
        <v>1505</v>
      </c>
      <c r="B113" s="75" t="s">
        <v>1507</v>
      </c>
      <c r="C113" s="85">
        <v>410</v>
      </c>
      <c r="D113" s="86">
        <v>66.400000000000006</v>
      </c>
      <c r="E113" s="87">
        <v>20</v>
      </c>
      <c r="F113" s="86">
        <v>54.9</v>
      </c>
      <c r="G113" s="17">
        <v>17</v>
      </c>
      <c r="H113" s="88">
        <v>20</v>
      </c>
      <c r="I113" s="89"/>
      <c r="J113" s="89"/>
      <c r="K113" s="89"/>
      <c r="L113" s="89"/>
      <c r="M113" s="90">
        <f t="shared" si="75"/>
        <v>0</v>
      </c>
      <c r="N113" s="4" t="str">
        <f t="shared" si="76"/>
        <v/>
      </c>
      <c r="O113" s="91">
        <f t="shared" si="77"/>
        <v>0</v>
      </c>
      <c r="P113" s="91">
        <f t="shared" si="78"/>
        <v>0</v>
      </c>
      <c r="Q113" s="79">
        <v>2</v>
      </c>
      <c r="R113" s="79">
        <v>1</v>
      </c>
      <c r="S113" s="79" t="s">
        <v>62</v>
      </c>
      <c r="T113" s="5">
        <v>66</v>
      </c>
      <c r="U113" s="9"/>
      <c r="W113" s="86">
        <f t="shared" si="79"/>
        <v>66.400000000000006</v>
      </c>
      <c r="X113" s="87">
        <f t="shared" si="79"/>
        <v>20</v>
      </c>
      <c r="Y113" s="92">
        <f t="shared" si="80"/>
        <v>20</v>
      </c>
      <c r="Z113" s="90">
        <f t="shared" si="80"/>
        <v>0</v>
      </c>
      <c r="AA113" s="90">
        <f t="shared" si="81"/>
        <v>0</v>
      </c>
      <c r="AB113" s="90">
        <f t="shared" si="82"/>
        <v>0</v>
      </c>
      <c r="AC113" s="4" t="str">
        <f t="shared" si="82"/>
        <v/>
      </c>
      <c r="AD113" s="91">
        <f t="shared" si="82"/>
        <v>0</v>
      </c>
      <c r="AE113" s="79" t="str">
        <f t="shared" si="83"/>
        <v>계</v>
      </c>
      <c r="AF113" s="79" t="str">
        <f t="shared" si="84"/>
        <v>2/1</v>
      </c>
      <c r="AH113" s="20" t="str">
        <f t="shared" si="47"/>
        <v>강내면 강내태암수정</v>
      </c>
      <c r="AI113" s="87">
        <f t="shared" si="48"/>
        <v>20</v>
      </c>
      <c r="AJ113" s="79" t="str">
        <f t="shared" si="85"/>
        <v>A-</v>
      </c>
      <c r="AK113" s="79" t="s">
        <v>13</v>
      </c>
      <c r="AL113" s="79" t="s">
        <v>60</v>
      </c>
      <c r="AM113" s="79" t="s">
        <v>61</v>
      </c>
      <c r="AN113" s="79" t="str">
        <f t="shared" si="86"/>
        <v>C</v>
      </c>
      <c r="AO113" s="79" t="str">
        <f t="shared" si="87"/>
        <v/>
      </c>
      <c r="AP113" s="79" t="str">
        <f t="shared" si="88"/>
        <v/>
      </c>
      <c r="AQ113" s="79" t="str">
        <f t="shared" si="89"/>
        <v>O</v>
      </c>
      <c r="AR113" s="79" t="str">
        <f t="shared" si="90"/>
        <v>O</v>
      </c>
      <c r="AS113" s="79" t="s">
        <v>2</v>
      </c>
      <c r="AT113" s="79" t="str">
        <f t="shared" si="91"/>
        <v>O</v>
      </c>
      <c r="AU113" s="79" t="str">
        <f t="shared" si="92"/>
        <v>O</v>
      </c>
      <c r="AV113" s="79" t="str">
        <f t="shared" si="93"/>
        <v/>
      </c>
    </row>
    <row r="114" spans="1:48" s="37" customFormat="1" ht="12" x14ac:dyDescent="0.3">
      <c r="A114" s="74" t="s">
        <v>1508</v>
      </c>
      <c r="B114" s="75" t="s">
        <v>1509</v>
      </c>
      <c r="C114" s="85">
        <v>410</v>
      </c>
      <c r="D114" s="86">
        <v>78.5</v>
      </c>
      <c r="E114" s="87">
        <v>24</v>
      </c>
      <c r="F114" s="86">
        <v>59.7</v>
      </c>
      <c r="G114" s="17">
        <v>18</v>
      </c>
      <c r="H114" s="88">
        <v>50</v>
      </c>
      <c r="I114" s="89"/>
      <c r="J114" s="89"/>
      <c r="K114" s="89"/>
      <c r="L114" s="89"/>
      <c r="M114" s="90">
        <f t="shared" si="75"/>
        <v>0</v>
      </c>
      <c r="N114" s="4" t="str">
        <f t="shared" si="76"/>
        <v/>
      </c>
      <c r="O114" s="91">
        <f t="shared" si="77"/>
        <v>0</v>
      </c>
      <c r="P114" s="91">
        <f t="shared" si="78"/>
        <v>0</v>
      </c>
      <c r="Q114" s="79">
        <v>3</v>
      </c>
      <c r="R114" s="79">
        <v>1</v>
      </c>
      <c r="S114" s="79" t="s">
        <v>62</v>
      </c>
      <c r="T114" s="5" t="s">
        <v>119</v>
      </c>
      <c r="U114" s="9"/>
      <c r="W114" s="86">
        <f t="shared" si="79"/>
        <v>78.5</v>
      </c>
      <c r="X114" s="87">
        <f t="shared" si="79"/>
        <v>24</v>
      </c>
      <c r="Y114" s="92">
        <f t="shared" si="80"/>
        <v>50</v>
      </c>
      <c r="Z114" s="90">
        <f t="shared" si="80"/>
        <v>0</v>
      </c>
      <c r="AA114" s="90">
        <f t="shared" si="81"/>
        <v>0</v>
      </c>
      <c r="AB114" s="90">
        <f t="shared" si="82"/>
        <v>0</v>
      </c>
      <c r="AC114" s="4" t="str">
        <f t="shared" si="82"/>
        <v/>
      </c>
      <c r="AD114" s="91">
        <f t="shared" si="82"/>
        <v>0</v>
      </c>
      <c r="AE114" s="79" t="str">
        <f t="shared" si="83"/>
        <v>계</v>
      </c>
      <c r="AF114" s="79" t="str">
        <f t="shared" si="84"/>
        <v>3/1</v>
      </c>
      <c r="AH114" s="20" t="str">
        <f t="shared" si="47"/>
        <v>강내면 강내태암수정</v>
      </c>
      <c r="AI114" s="87">
        <f t="shared" si="48"/>
        <v>24</v>
      </c>
      <c r="AJ114" s="79" t="str">
        <f t="shared" si="85"/>
        <v>A-</v>
      </c>
      <c r="AK114" s="79" t="s">
        <v>13</v>
      </c>
      <c r="AL114" s="79" t="s">
        <v>60</v>
      </c>
      <c r="AM114" s="79" t="s">
        <v>61</v>
      </c>
      <c r="AN114" s="79" t="str">
        <f t="shared" si="86"/>
        <v>C</v>
      </c>
      <c r="AO114" s="79" t="str">
        <f t="shared" si="87"/>
        <v/>
      </c>
      <c r="AP114" s="79" t="str">
        <f t="shared" si="88"/>
        <v/>
      </c>
      <c r="AQ114" s="79" t="str">
        <f t="shared" si="89"/>
        <v>O</v>
      </c>
      <c r="AR114" s="79" t="str">
        <f t="shared" si="90"/>
        <v>O</v>
      </c>
      <c r="AS114" s="79" t="s">
        <v>2</v>
      </c>
      <c r="AT114" s="79" t="str">
        <f t="shared" si="91"/>
        <v>O</v>
      </c>
      <c r="AU114" s="79" t="str">
        <f t="shared" si="92"/>
        <v>O</v>
      </c>
      <c r="AV114" s="79" t="str">
        <f t="shared" si="93"/>
        <v/>
      </c>
    </row>
    <row r="115" spans="1:48" s="37" customFormat="1" ht="12" x14ac:dyDescent="0.3">
      <c r="A115" s="74" t="s">
        <v>1505</v>
      </c>
      <c r="B115" s="75" t="s">
        <v>1510</v>
      </c>
      <c r="C115" s="85">
        <v>410</v>
      </c>
      <c r="D115" s="86">
        <v>78.8</v>
      </c>
      <c r="E115" s="87">
        <v>24</v>
      </c>
      <c r="F115" s="86">
        <v>59.7</v>
      </c>
      <c r="G115" s="17">
        <v>18</v>
      </c>
      <c r="H115" s="88">
        <v>47</v>
      </c>
      <c r="I115" s="89"/>
      <c r="J115" s="89"/>
      <c r="K115" s="89"/>
      <c r="L115" s="89"/>
      <c r="M115" s="90">
        <f t="shared" si="75"/>
        <v>0</v>
      </c>
      <c r="N115" s="4" t="str">
        <f t="shared" si="76"/>
        <v/>
      </c>
      <c r="O115" s="91">
        <f t="shared" si="77"/>
        <v>0</v>
      </c>
      <c r="P115" s="91">
        <f t="shared" si="78"/>
        <v>0</v>
      </c>
      <c r="Q115" s="79">
        <v>3</v>
      </c>
      <c r="R115" s="79">
        <v>1</v>
      </c>
      <c r="S115" s="79" t="s">
        <v>62</v>
      </c>
      <c r="T115" s="5" t="s">
        <v>120</v>
      </c>
      <c r="U115" s="9"/>
      <c r="W115" s="86">
        <f t="shared" si="79"/>
        <v>78.8</v>
      </c>
      <c r="X115" s="87">
        <f t="shared" si="79"/>
        <v>24</v>
      </c>
      <c r="Y115" s="92">
        <f t="shared" si="80"/>
        <v>47</v>
      </c>
      <c r="Z115" s="90">
        <f t="shared" si="80"/>
        <v>0</v>
      </c>
      <c r="AA115" s="90">
        <f t="shared" si="81"/>
        <v>0</v>
      </c>
      <c r="AB115" s="90">
        <f t="shared" si="82"/>
        <v>0</v>
      </c>
      <c r="AC115" s="4" t="str">
        <f t="shared" si="82"/>
        <v/>
      </c>
      <c r="AD115" s="91">
        <f t="shared" si="82"/>
        <v>0</v>
      </c>
      <c r="AE115" s="79" t="str">
        <f t="shared" si="83"/>
        <v>계</v>
      </c>
      <c r="AF115" s="79" t="str">
        <f t="shared" si="84"/>
        <v>3/1</v>
      </c>
      <c r="AH115" s="20" t="str">
        <f t="shared" si="47"/>
        <v>강내면 강내태암수정</v>
      </c>
      <c r="AI115" s="87">
        <f t="shared" si="48"/>
        <v>24</v>
      </c>
      <c r="AJ115" s="79" t="str">
        <f t="shared" si="85"/>
        <v>A-</v>
      </c>
      <c r="AK115" s="79" t="s">
        <v>13</v>
      </c>
      <c r="AL115" s="79" t="s">
        <v>60</v>
      </c>
      <c r="AM115" s="79" t="s">
        <v>61</v>
      </c>
      <c r="AN115" s="79" t="str">
        <f t="shared" si="86"/>
        <v>C</v>
      </c>
      <c r="AO115" s="79" t="str">
        <f t="shared" si="87"/>
        <v/>
      </c>
      <c r="AP115" s="79" t="str">
        <f t="shared" si="88"/>
        <v/>
      </c>
      <c r="AQ115" s="79" t="str">
        <f t="shared" si="89"/>
        <v>O</v>
      </c>
      <c r="AR115" s="79" t="str">
        <f t="shared" si="90"/>
        <v>O</v>
      </c>
      <c r="AS115" s="79" t="s">
        <v>2</v>
      </c>
      <c r="AT115" s="79" t="str">
        <f t="shared" si="91"/>
        <v>O</v>
      </c>
      <c r="AU115" s="79" t="str">
        <f t="shared" si="92"/>
        <v>O</v>
      </c>
      <c r="AV115" s="79" t="str">
        <f t="shared" si="93"/>
        <v/>
      </c>
    </row>
    <row r="116" spans="1:48" s="37" customFormat="1" ht="12" x14ac:dyDescent="0.3">
      <c r="A116" s="74" t="s">
        <v>1511</v>
      </c>
      <c r="B116" s="75" t="s">
        <v>1512</v>
      </c>
      <c r="C116" s="85">
        <v>284</v>
      </c>
      <c r="D116" s="86">
        <v>85</v>
      </c>
      <c r="E116" s="87">
        <v>26</v>
      </c>
      <c r="F116" s="86">
        <v>58.6</v>
      </c>
      <c r="G116" s="17">
        <v>18</v>
      </c>
      <c r="H116" s="88">
        <v>134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9">
        <v>2</v>
      </c>
      <c r="R116" s="79">
        <v>1</v>
      </c>
      <c r="S116" s="79" t="s">
        <v>59</v>
      </c>
      <c r="T116" s="5">
        <v>85</v>
      </c>
      <c r="U116" s="9"/>
      <c r="W116" s="86">
        <f>D116</f>
        <v>85</v>
      </c>
      <c r="X116" s="87">
        <f>E116</f>
        <v>26</v>
      </c>
      <c r="Y116" s="92">
        <f>H116</f>
        <v>134</v>
      </c>
      <c r="Z116" s="90">
        <f>I116</f>
        <v>0</v>
      </c>
      <c r="AA116" s="90">
        <f>K116</f>
        <v>0</v>
      </c>
      <c r="AB116" s="90">
        <f t="shared" si="82"/>
        <v>0</v>
      </c>
      <c r="AC116" s="4" t="str">
        <f t="shared" si="82"/>
        <v/>
      </c>
      <c r="AD116" s="91">
        <f t="shared" si="82"/>
        <v>0</v>
      </c>
      <c r="AE116" s="79" t="str">
        <f>S116</f>
        <v>복</v>
      </c>
      <c r="AF116" s="79" t="str">
        <f>Q116&amp;"/"&amp;R116</f>
        <v>2/1</v>
      </c>
      <c r="AH116" s="20" t="str">
        <f t="shared" si="47"/>
        <v>강서동 대림</v>
      </c>
      <c r="AI116" s="87">
        <f t="shared" si="48"/>
        <v>26</v>
      </c>
      <c r="AJ116" s="79" t="str">
        <f>IF(AI116="","",$AJ$2)</f>
        <v>A-</v>
      </c>
      <c r="AK116" s="79" t="s">
        <v>13</v>
      </c>
      <c r="AL116" s="79" t="s">
        <v>60</v>
      </c>
      <c r="AM116" s="79" t="s">
        <v>61</v>
      </c>
      <c r="AN116" s="79" t="str">
        <f>IF(AI116="","",$AN$2)</f>
        <v>C</v>
      </c>
      <c r="AO116" s="79" t="str">
        <f>IF(N116="","",IF(N116&gt;=$AO$1/100,"O","X"))</f>
        <v/>
      </c>
      <c r="AP116" s="79" t="str">
        <f>IF(I116="","",IF(I116&lt;=$AP$1,"O","X"))</f>
        <v/>
      </c>
      <c r="AQ116" s="79" t="str">
        <f>IF(O116="","",IF(O116&lt;=$AQ$1,"O","X"))</f>
        <v>O</v>
      </c>
      <c r="AR116" s="79" t="str">
        <f>IF(M116="","",IF(M116&lt;=$AR$1,"O","X"))</f>
        <v>O</v>
      </c>
      <c r="AS116" s="79" t="s">
        <v>2</v>
      </c>
      <c r="AT116" s="79" t="str">
        <f>IF(OR(F116="",AI116=""),"",IF(AND((F116&lt;=85),(AI116&gt;=15)),"O","X"))</f>
        <v>O</v>
      </c>
      <c r="AU116" s="79" t="str">
        <f>IF(C116="","",IF(C116&gt;=$AU$1,"O","X"))</f>
        <v>X</v>
      </c>
      <c r="AV116" s="79" t="str">
        <f>IF(AO116="","",IF(AND(AO116="O",AP116="O",AR116="O",AT116="O",AU116="O"),"후보","X"))</f>
        <v/>
      </c>
    </row>
    <row r="117" spans="1:48" s="37" customFormat="1" ht="12" x14ac:dyDescent="0.3">
      <c r="A117" s="74" t="s">
        <v>1511</v>
      </c>
      <c r="B117" s="75" t="s">
        <v>1513</v>
      </c>
      <c r="C117" s="85">
        <v>284</v>
      </c>
      <c r="D117" s="86">
        <v>105.4</v>
      </c>
      <c r="E117" s="87">
        <v>32</v>
      </c>
      <c r="F117" s="86">
        <v>84.9</v>
      </c>
      <c r="G117" s="17">
        <v>26</v>
      </c>
      <c r="H117" s="88">
        <v>150</v>
      </c>
      <c r="I117" s="89"/>
      <c r="J117" s="89"/>
      <c r="K117" s="89"/>
      <c r="L117" s="89"/>
      <c r="M117" s="90">
        <f>I117-K117</f>
        <v>0</v>
      </c>
      <c r="N117" s="4" t="str">
        <f>IF(ISERROR(K117/I117),"",K117/I117)</f>
        <v/>
      </c>
      <c r="O117" s="91">
        <f>I117/E117</f>
        <v>0</v>
      </c>
      <c r="P117" s="91">
        <f>K117/E117</f>
        <v>0</v>
      </c>
      <c r="Q117" s="79">
        <v>3</v>
      </c>
      <c r="R117" s="79">
        <v>2</v>
      </c>
      <c r="S117" s="79" t="s">
        <v>62</v>
      </c>
      <c r="T117" s="5">
        <v>105</v>
      </c>
      <c r="U117" s="9"/>
      <c r="W117" s="86">
        <f>D117</f>
        <v>105.4</v>
      </c>
      <c r="X117" s="87">
        <f>E117</f>
        <v>32</v>
      </c>
      <c r="Y117" s="92">
        <f>H117</f>
        <v>150</v>
      </c>
      <c r="Z117" s="90">
        <f>I117</f>
        <v>0</v>
      </c>
      <c r="AA117" s="90">
        <f>K117</f>
        <v>0</v>
      </c>
      <c r="AB117" s="90">
        <f t="shared" si="82"/>
        <v>0</v>
      </c>
      <c r="AC117" s="4" t="str">
        <f t="shared" si="82"/>
        <v/>
      </c>
      <c r="AD117" s="91">
        <f t="shared" si="82"/>
        <v>0</v>
      </c>
      <c r="AE117" s="79" t="str">
        <f>S117</f>
        <v>계</v>
      </c>
      <c r="AF117" s="79" t="str">
        <f>Q117&amp;"/"&amp;R117</f>
        <v>3/2</v>
      </c>
      <c r="AH117" s="20" t="str">
        <f t="shared" si="47"/>
        <v>강서동 대림</v>
      </c>
      <c r="AI117" s="87">
        <f t="shared" si="48"/>
        <v>32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/>
      </c>
      <c r="AP117" s="79" t="str">
        <f>IF(I117="","",IF(I117&lt;=$AP$1,"O","X"))</f>
        <v/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X</v>
      </c>
      <c r="AV117" s="79" t="str">
        <f>IF(AO117="","",IF(AND(AO117="O",AP117="O",AR117="O",AT117="O",AU117="O"),"후보","X"))</f>
        <v/>
      </c>
    </row>
    <row r="118" spans="1:48" s="37" customFormat="1" ht="12" x14ac:dyDescent="0.3">
      <c r="A118" s="74" t="s">
        <v>1514</v>
      </c>
      <c r="B118" s="75" t="s">
        <v>1515</v>
      </c>
      <c r="C118" s="85">
        <v>207</v>
      </c>
      <c r="D118" s="86">
        <v>71.099999999999994</v>
      </c>
      <c r="E118" s="87">
        <v>22</v>
      </c>
      <c r="F118" s="86">
        <v>59.9</v>
      </c>
      <c r="G118" s="17">
        <v>18</v>
      </c>
      <c r="H118" s="88">
        <v>207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3</v>
      </c>
      <c r="R118" s="79">
        <v>1</v>
      </c>
      <c r="S118" s="79" t="s">
        <v>59</v>
      </c>
      <c r="T118" s="5">
        <v>71</v>
      </c>
      <c r="U118" s="9"/>
      <c r="W118" s="86">
        <f>D118</f>
        <v>71.099999999999994</v>
      </c>
      <c r="X118" s="87">
        <f>E118</f>
        <v>22</v>
      </c>
      <c r="Y118" s="92">
        <f>H118</f>
        <v>207</v>
      </c>
      <c r="Z118" s="90">
        <f>I118</f>
        <v>0</v>
      </c>
      <c r="AA118" s="90">
        <f>K118</f>
        <v>0</v>
      </c>
      <c r="AB118" s="90">
        <f>M118</f>
        <v>0</v>
      </c>
      <c r="AC118" s="4" t="str">
        <f>N118</f>
        <v/>
      </c>
      <c r="AD118" s="91">
        <f>O118</f>
        <v>0</v>
      </c>
      <c r="AE118" s="79" t="str">
        <f>S118</f>
        <v>복</v>
      </c>
      <c r="AF118" s="79" t="str">
        <f>Q118&amp;"/"&amp;R118</f>
        <v>3/1</v>
      </c>
      <c r="AH118" s="20" t="str">
        <f t="shared" si="47"/>
        <v>강서동 청도</v>
      </c>
      <c r="AI118" s="87">
        <f t="shared" si="48"/>
        <v>22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X</v>
      </c>
      <c r="AV118" s="79" t="str">
        <f>IF(AO118="","",IF(AND(AO118="O",AP118="O",AR118="O",AT118="O",AU118="O"),"후보","X"))</f>
        <v/>
      </c>
    </row>
    <row r="119" spans="1:48" s="37" customFormat="1" ht="12" x14ac:dyDescent="0.3">
      <c r="A119" s="74" t="s">
        <v>1516</v>
      </c>
      <c r="B119" s="75" t="s">
        <v>1517</v>
      </c>
      <c r="C119" s="85">
        <v>611</v>
      </c>
      <c r="D119" s="86">
        <v>44.5</v>
      </c>
      <c r="E119" s="87">
        <v>13</v>
      </c>
      <c r="F119" s="86">
        <v>22.1</v>
      </c>
      <c r="G119" s="17">
        <v>7</v>
      </c>
      <c r="H119" s="88">
        <v>497</v>
      </c>
      <c r="I119" s="89"/>
      <c r="J119" s="89"/>
      <c r="K119" s="89"/>
      <c r="L119" s="89"/>
      <c r="M119" s="90">
        <f t="shared" ref="M119:M125" si="94">I119-K119</f>
        <v>0</v>
      </c>
      <c r="N119" s="4" t="str">
        <f t="shared" ref="N119:N125" si="95">IF(ISERROR(K119/I119),"",K119/I119)</f>
        <v/>
      </c>
      <c r="O119" s="91">
        <f t="shared" ref="O119:O125" si="96">I119/E119</f>
        <v>0</v>
      </c>
      <c r="P119" s="91">
        <f t="shared" ref="P119:P125" si="97">K119/E119</f>
        <v>0</v>
      </c>
      <c r="Q119" s="79">
        <v>1</v>
      </c>
      <c r="R119" s="79">
        <v>1</v>
      </c>
      <c r="S119" s="79" t="s">
        <v>59</v>
      </c>
      <c r="T119" s="5" t="s">
        <v>121</v>
      </c>
      <c r="U119" s="9"/>
      <c r="W119" s="86">
        <f t="shared" ref="W119:X125" si="98">D119</f>
        <v>44.5</v>
      </c>
      <c r="X119" s="87">
        <f t="shared" si="98"/>
        <v>13</v>
      </c>
      <c r="Y119" s="92">
        <f t="shared" ref="Y119:Z125" si="99">H119</f>
        <v>497</v>
      </c>
      <c r="Z119" s="90">
        <f t="shared" si="99"/>
        <v>0</v>
      </c>
      <c r="AA119" s="90">
        <f t="shared" ref="AA119:AA125" si="100">K119</f>
        <v>0</v>
      </c>
      <c r="AB119" s="90">
        <f t="shared" ref="AB119:AD127" si="101">M119</f>
        <v>0</v>
      </c>
      <c r="AC119" s="4" t="str">
        <f t="shared" si="101"/>
        <v/>
      </c>
      <c r="AD119" s="91">
        <f t="shared" si="101"/>
        <v>0</v>
      </c>
      <c r="AE119" s="79" t="str">
        <f t="shared" ref="AE119:AE125" si="102">S119</f>
        <v>복</v>
      </c>
      <c r="AF119" s="79" t="str">
        <f t="shared" ref="AF119:AF125" si="103">Q119&amp;"/"&amp;R119</f>
        <v>1/1</v>
      </c>
      <c r="AH119" s="20" t="str">
        <f t="shared" si="47"/>
        <v>강서동 신해블루지움</v>
      </c>
      <c r="AI119" s="87">
        <f t="shared" si="48"/>
        <v>13</v>
      </c>
      <c r="AJ119" s="79" t="str">
        <f t="shared" ref="AJ119:AJ125" si="104">IF(AI119="","",$AJ$2)</f>
        <v>A-</v>
      </c>
      <c r="AK119" s="79" t="s">
        <v>13</v>
      </c>
      <c r="AL119" s="79" t="s">
        <v>60</v>
      </c>
      <c r="AM119" s="79" t="s">
        <v>61</v>
      </c>
      <c r="AN119" s="79" t="str">
        <f t="shared" ref="AN119:AN125" si="105">IF(AI119="","",$AN$2)</f>
        <v>C</v>
      </c>
      <c r="AO119" s="79" t="str">
        <f t="shared" ref="AO119:AO125" si="106">IF(N119="","",IF(N119&gt;=$AO$1/100,"O","X"))</f>
        <v/>
      </c>
      <c r="AP119" s="79" t="str">
        <f t="shared" ref="AP119:AP125" si="107">IF(I119="","",IF(I119&lt;=$AP$1,"O","X"))</f>
        <v/>
      </c>
      <c r="AQ119" s="79" t="str">
        <f t="shared" ref="AQ119:AQ125" si="108">IF(O119="","",IF(O119&lt;=$AQ$1,"O","X"))</f>
        <v>O</v>
      </c>
      <c r="AR119" s="79" t="str">
        <f t="shared" ref="AR119:AR125" si="109">IF(M119="","",IF(M119&lt;=$AR$1,"O","X"))</f>
        <v>O</v>
      </c>
      <c r="AS119" s="79" t="s">
        <v>2</v>
      </c>
      <c r="AT119" s="79" t="str">
        <f t="shared" ref="AT119:AT125" si="110">IF(OR(F119="",AI119=""),"",IF(AND((F119&lt;=85),(AI119&gt;=15)),"O","X"))</f>
        <v>X</v>
      </c>
      <c r="AU119" s="79" t="str">
        <f t="shared" ref="AU119:AU125" si="111">IF(C119="","",IF(C119&gt;=$AU$1,"O","X"))</f>
        <v>O</v>
      </c>
      <c r="AV119" s="79" t="str">
        <f t="shared" ref="AV119:AV125" si="112">IF(AO119="","",IF(AND(AO119="O",AP119="O",AR119="O",AT119="O",AU119="O"),"후보","X"))</f>
        <v/>
      </c>
    </row>
    <row r="120" spans="1:48" s="37" customFormat="1" ht="12" x14ac:dyDescent="0.3">
      <c r="A120" s="74" t="s">
        <v>1518</v>
      </c>
      <c r="B120" s="75" t="s">
        <v>1517</v>
      </c>
      <c r="C120" s="85">
        <v>611</v>
      </c>
      <c r="D120" s="86">
        <v>51.4</v>
      </c>
      <c r="E120" s="87">
        <v>16</v>
      </c>
      <c r="F120" s="86">
        <v>25.5</v>
      </c>
      <c r="G120" s="17">
        <v>8</v>
      </c>
      <c r="H120" s="88">
        <v>12</v>
      </c>
      <c r="I120" s="89"/>
      <c r="J120" s="89"/>
      <c r="K120" s="89"/>
      <c r="L120" s="89"/>
      <c r="M120" s="90">
        <f t="shared" si="94"/>
        <v>0</v>
      </c>
      <c r="N120" s="4" t="str">
        <f t="shared" si="95"/>
        <v/>
      </c>
      <c r="O120" s="91">
        <f t="shared" si="96"/>
        <v>0</v>
      </c>
      <c r="P120" s="91">
        <f t="shared" si="97"/>
        <v>0</v>
      </c>
      <c r="Q120" s="79">
        <v>1</v>
      </c>
      <c r="R120" s="79">
        <v>1</v>
      </c>
      <c r="S120" s="79" t="s">
        <v>62</v>
      </c>
      <c r="T120" s="5" t="s">
        <v>122</v>
      </c>
      <c r="U120" s="9"/>
      <c r="W120" s="86">
        <f t="shared" si="98"/>
        <v>51.4</v>
      </c>
      <c r="X120" s="87">
        <f t="shared" si="98"/>
        <v>16</v>
      </c>
      <c r="Y120" s="92">
        <f t="shared" si="99"/>
        <v>12</v>
      </c>
      <c r="Z120" s="90">
        <f t="shared" si="99"/>
        <v>0</v>
      </c>
      <c r="AA120" s="90">
        <f t="shared" si="100"/>
        <v>0</v>
      </c>
      <c r="AB120" s="90">
        <f t="shared" si="101"/>
        <v>0</v>
      </c>
      <c r="AC120" s="4" t="str">
        <f t="shared" si="101"/>
        <v/>
      </c>
      <c r="AD120" s="91">
        <f t="shared" si="101"/>
        <v>0</v>
      </c>
      <c r="AE120" s="79" t="str">
        <f t="shared" si="102"/>
        <v>계</v>
      </c>
      <c r="AF120" s="79" t="str">
        <f t="shared" si="103"/>
        <v>1/1</v>
      </c>
      <c r="AH120" s="20" t="str">
        <f t="shared" si="47"/>
        <v>강서동 신해블루지움</v>
      </c>
      <c r="AI120" s="87">
        <f t="shared" si="48"/>
        <v>16</v>
      </c>
      <c r="AJ120" s="79" t="str">
        <f t="shared" si="104"/>
        <v>A-</v>
      </c>
      <c r="AK120" s="79" t="s">
        <v>13</v>
      </c>
      <c r="AL120" s="79" t="s">
        <v>60</v>
      </c>
      <c r="AM120" s="79" t="s">
        <v>61</v>
      </c>
      <c r="AN120" s="79" t="str">
        <f t="shared" si="105"/>
        <v>C</v>
      </c>
      <c r="AO120" s="79" t="str">
        <f t="shared" si="106"/>
        <v/>
      </c>
      <c r="AP120" s="79" t="str">
        <f t="shared" si="107"/>
        <v/>
      </c>
      <c r="AQ120" s="79" t="str">
        <f t="shared" si="108"/>
        <v>O</v>
      </c>
      <c r="AR120" s="79" t="str">
        <f t="shared" si="109"/>
        <v>O</v>
      </c>
      <c r="AS120" s="79" t="s">
        <v>2</v>
      </c>
      <c r="AT120" s="79" t="str">
        <f t="shared" si="110"/>
        <v>O</v>
      </c>
      <c r="AU120" s="79" t="str">
        <f t="shared" si="111"/>
        <v>O</v>
      </c>
      <c r="AV120" s="79" t="str">
        <f t="shared" si="112"/>
        <v/>
      </c>
    </row>
    <row r="121" spans="1:48" s="37" customFormat="1" ht="12" x14ac:dyDescent="0.3">
      <c r="A121" s="74" t="s">
        <v>1519</v>
      </c>
      <c r="B121" s="75" t="s">
        <v>1517</v>
      </c>
      <c r="C121" s="85">
        <v>611</v>
      </c>
      <c r="D121" s="86">
        <v>52</v>
      </c>
      <c r="E121" s="87">
        <v>16</v>
      </c>
      <c r="F121" s="86">
        <v>25.9</v>
      </c>
      <c r="G121" s="17">
        <v>8</v>
      </c>
      <c r="H121" s="88">
        <v>17</v>
      </c>
      <c r="I121" s="89"/>
      <c r="J121" s="89"/>
      <c r="K121" s="89"/>
      <c r="L121" s="89"/>
      <c r="M121" s="90">
        <f t="shared" si="94"/>
        <v>0</v>
      </c>
      <c r="N121" s="4" t="str">
        <f t="shared" si="95"/>
        <v/>
      </c>
      <c r="O121" s="91">
        <f t="shared" si="96"/>
        <v>0</v>
      </c>
      <c r="P121" s="91">
        <f t="shared" si="97"/>
        <v>0</v>
      </c>
      <c r="Q121" s="79">
        <v>1</v>
      </c>
      <c r="R121" s="79">
        <v>1</v>
      </c>
      <c r="S121" s="79" t="s">
        <v>62</v>
      </c>
      <c r="T121" s="5" t="s">
        <v>123</v>
      </c>
      <c r="U121" s="9"/>
      <c r="W121" s="86">
        <f t="shared" si="98"/>
        <v>52</v>
      </c>
      <c r="X121" s="87">
        <f t="shared" si="98"/>
        <v>16</v>
      </c>
      <c r="Y121" s="92">
        <f t="shared" si="99"/>
        <v>17</v>
      </c>
      <c r="Z121" s="90">
        <f t="shared" si="99"/>
        <v>0</v>
      </c>
      <c r="AA121" s="90">
        <f t="shared" si="100"/>
        <v>0</v>
      </c>
      <c r="AB121" s="90">
        <f t="shared" si="101"/>
        <v>0</v>
      </c>
      <c r="AC121" s="4" t="str">
        <f t="shared" si="101"/>
        <v/>
      </c>
      <c r="AD121" s="91">
        <f t="shared" si="101"/>
        <v>0</v>
      </c>
      <c r="AE121" s="79" t="str">
        <f t="shared" si="102"/>
        <v>계</v>
      </c>
      <c r="AF121" s="79" t="str">
        <f t="shared" si="103"/>
        <v>1/1</v>
      </c>
      <c r="AH121" s="20" t="str">
        <f t="shared" si="47"/>
        <v>강서동 신해블루지움</v>
      </c>
      <c r="AI121" s="87">
        <f t="shared" si="48"/>
        <v>16</v>
      </c>
      <c r="AJ121" s="79" t="str">
        <f t="shared" si="104"/>
        <v>A-</v>
      </c>
      <c r="AK121" s="79" t="s">
        <v>13</v>
      </c>
      <c r="AL121" s="79" t="s">
        <v>60</v>
      </c>
      <c r="AM121" s="79" t="s">
        <v>61</v>
      </c>
      <c r="AN121" s="79" t="str">
        <f t="shared" si="105"/>
        <v>C</v>
      </c>
      <c r="AO121" s="79" t="str">
        <f t="shared" si="106"/>
        <v/>
      </c>
      <c r="AP121" s="79" t="str">
        <f t="shared" si="107"/>
        <v/>
      </c>
      <c r="AQ121" s="79" t="str">
        <f t="shared" si="108"/>
        <v>O</v>
      </c>
      <c r="AR121" s="79" t="str">
        <f t="shared" si="109"/>
        <v>O</v>
      </c>
      <c r="AS121" s="79" t="s">
        <v>2</v>
      </c>
      <c r="AT121" s="79" t="str">
        <f t="shared" si="110"/>
        <v>O</v>
      </c>
      <c r="AU121" s="79" t="str">
        <f t="shared" si="111"/>
        <v>O</v>
      </c>
      <c r="AV121" s="79" t="str">
        <f t="shared" si="112"/>
        <v/>
      </c>
    </row>
    <row r="122" spans="1:48" s="37" customFormat="1" ht="12" x14ac:dyDescent="0.3">
      <c r="A122" s="74" t="s">
        <v>1520</v>
      </c>
      <c r="B122" s="75" t="s">
        <v>1517</v>
      </c>
      <c r="C122" s="85">
        <v>611</v>
      </c>
      <c r="D122" s="86">
        <v>84.5</v>
      </c>
      <c r="E122" s="87">
        <v>26</v>
      </c>
      <c r="F122" s="86">
        <v>41.9</v>
      </c>
      <c r="G122" s="17">
        <v>13</v>
      </c>
      <c r="H122" s="88">
        <v>32</v>
      </c>
      <c r="I122" s="89"/>
      <c r="J122" s="89"/>
      <c r="K122" s="89"/>
      <c r="L122" s="89"/>
      <c r="M122" s="90">
        <f t="shared" si="94"/>
        <v>0</v>
      </c>
      <c r="N122" s="4" t="str">
        <f t="shared" si="95"/>
        <v/>
      </c>
      <c r="O122" s="91">
        <f t="shared" si="96"/>
        <v>0</v>
      </c>
      <c r="P122" s="91">
        <f t="shared" si="97"/>
        <v>0</v>
      </c>
      <c r="Q122" s="79">
        <v>1</v>
      </c>
      <c r="R122" s="79">
        <v>1</v>
      </c>
      <c r="S122" s="79" t="s">
        <v>62</v>
      </c>
      <c r="T122" s="5" t="s">
        <v>124</v>
      </c>
      <c r="U122" s="9"/>
      <c r="W122" s="86">
        <f t="shared" si="98"/>
        <v>84.5</v>
      </c>
      <c r="X122" s="87">
        <f t="shared" si="98"/>
        <v>26</v>
      </c>
      <c r="Y122" s="92">
        <f t="shared" si="99"/>
        <v>32</v>
      </c>
      <c r="Z122" s="90">
        <f t="shared" si="99"/>
        <v>0</v>
      </c>
      <c r="AA122" s="90">
        <f t="shared" si="100"/>
        <v>0</v>
      </c>
      <c r="AB122" s="90">
        <f t="shared" si="101"/>
        <v>0</v>
      </c>
      <c r="AC122" s="4" t="str">
        <f t="shared" si="101"/>
        <v/>
      </c>
      <c r="AD122" s="91">
        <f t="shared" si="101"/>
        <v>0</v>
      </c>
      <c r="AE122" s="79" t="str">
        <f t="shared" si="102"/>
        <v>계</v>
      </c>
      <c r="AF122" s="79" t="str">
        <f t="shared" si="103"/>
        <v>1/1</v>
      </c>
      <c r="AH122" s="20" t="str">
        <f t="shared" si="47"/>
        <v>강서동 신해블루지움</v>
      </c>
      <c r="AI122" s="87">
        <f t="shared" si="48"/>
        <v>26</v>
      </c>
      <c r="AJ122" s="79" t="str">
        <f t="shared" si="104"/>
        <v>A-</v>
      </c>
      <c r="AK122" s="79" t="s">
        <v>13</v>
      </c>
      <c r="AL122" s="79" t="s">
        <v>60</v>
      </c>
      <c r="AM122" s="79" t="s">
        <v>61</v>
      </c>
      <c r="AN122" s="79" t="str">
        <f t="shared" si="105"/>
        <v>C</v>
      </c>
      <c r="AO122" s="79" t="str">
        <f t="shared" si="106"/>
        <v/>
      </c>
      <c r="AP122" s="79" t="str">
        <f t="shared" si="107"/>
        <v/>
      </c>
      <c r="AQ122" s="79" t="str">
        <f t="shared" si="108"/>
        <v>O</v>
      </c>
      <c r="AR122" s="79" t="str">
        <f t="shared" si="109"/>
        <v>O</v>
      </c>
      <c r="AS122" s="79" t="s">
        <v>2</v>
      </c>
      <c r="AT122" s="79" t="str">
        <f t="shared" si="110"/>
        <v>O</v>
      </c>
      <c r="AU122" s="79" t="str">
        <f t="shared" si="111"/>
        <v>O</v>
      </c>
      <c r="AV122" s="79" t="str">
        <f t="shared" si="112"/>
        <v/>
      </c>
    </row>
    <row r="123" spans="1:48" s="37" customFormat="1" ht="12" x14ac:dyDescent="0.3">
      <c r="A123" s="74" t="s">
        <v>1520</v>
      </c>
      <c r="B123" s="75" t="s">
        <v>1517</v>
      </c>
      <c r="C123" s="85">
        <v>611</v>
      </c>
      <c r="D123" s="86">
        <v>94.4</v>
      </c>
      <c r="E123" s="87">
        <v>29</v>
      </c>
      <c r="F123" s="86">
        <v>46.8</v>
      </c>
      <c r="G123" s="17">
        <v>14</v>
      </c>
      <c r="H123" s="88">
        <v>49</v>
      </c>
      <c r="I123" s="89"/>
      <c r="J123" s="89"/>
      <c r="K123" s="89"/>
      <c r="L123" s="89"/>
      <c r="M123" s="90">
        <f t="shared" si="94"/>
        <v>0</v>
      </c>
      <c r="N123" s="4" t="str">
        <f t="shared" si="95"/>
        <v/>
      </c>
      <c r="O123" s="91">
        <f t="shared" si="96"/>
        <v>0</v>
      </c>
      <c r="P123" s="91">
        <f t="shared" si="97"/>
        <v>0</v>
      </c>
      <c r="Q123" s="79">
        <v>2</v>
      </c>
      <c r="R123" s="79">
        <v>1</v>
      </c>
      <c r="S123" s="79" t="s">
        <v>62</v>
      </c>
      <c r="T123" s="5" t="s">
        <v>125</v>
      </c>
      <c r="U123" s="9"/>
      <c r="W123" s="86">
        <f t="shared" si="98"/>
        <v>94.4</v>
      </c>
      <c r="X123" s="87">
        <f t="shared" si="98"/>
        <v>29</v>
      </c>
      <c r="Y123" s="92">
        <f t="shared" si="99"/>
        <v>49</v>
      </c>
      <c r="Z123" s="90">
        <f t="shared" si="99"/>
        <v>0</v>
      </c>
      <c r="AA123" s="90">
        <f t="shared" si="100"/>
        <v>0</v>
      </c>
      <c r="AB123" s="90">
        <f t="shared" si="101"/>
        <v>0</v>
      </c>
      <c r="AC123" s="4" t="str">
        <f t="shared" si="101"/>
        <v/>
      </c>
      <c r="AD123" s="91">
        <f t="shared" si="101"/>
        <v>0</v>
      </c>
      <c r="AE123" s="79" t="str">
        <f t="shared" si="102"/>
        <v>계</v>
      </c>
      <c r="AF123" s="79" t="str">
        <f t="shared" si="103"/>
        <v>2/1</v>
      </c>
      <c r="AH123" s="20" t="str">
        <f t="shared" si="47"/>
        <v>강서동 신해블루지움</v>
      </c>
      <c r="AI123" s="87">
        <f t="shared" si="48"/>
        <v>29</v>
      </c>
      <c r="AJ123" s="79" t="str">
        <f t="shared" si="104"/>
        <v>A-</v>
      </c>
      <c r="AK123" s="79" t="s">
        <v>13</v>
      </c>
      <c r="AL123" s="79" t="s">
        <v>60</v>
      </c>
      <c r="AM123" s="79" t="s">
        <v>61</v>
      </c>
      <c r="AN123" s="79" t="str">
        <f t="shared" si="105"/>
        <v>C</v>
      </c>
      <c r="AO123" s="79" t="str">
        <f t="shared" si="106"/>
        <v/>
      </c>
      <c r="AP123" s="79" t="str">
        <f t="shared" si="107"/>
        <v/>
      </c>
      <c r="AQ123" s="79" t="str">
        <f t="shared" si="108"/>
        <v>O</v>
      </c>
      <c r="AR123" s="79" t="str">
        <f t="shared" si="109"/>
        <v>O</v>
      </c>
      <c r="AS123" s="79" t="s">
        <v>2</v>
      </c>
      <c r="AT123" s="79" t="str">
        <f t="shared" si="110"/>
        <v>O</v>
      </c>
      <c r="AU123" s="79" t="str">
        <f t="shared" si="111"/>
        <v>O</v>
      </c>
      <c r="AV123" s="79" t="str">
        <f t="shared" si="112"/>
        <v/>
      </c>
    </row>
    <row r="124" spans="1:48" s="37" customFormat="1" ht="12" x14ac:dyDescent="0.3">
      <c r="A124" s="74" t="s">
        <v>1520</v>
      </c>
      <c r="B124" s="75" t="s">
        <v>1517</v>
      </c>
      <c r="C124" s="85">
        <v>611</v>
      </c>
      <c r="D124" s="86">
        <v>94.7</v>
      </c>
      <c r="E124" s="87">
        <v>29</v>
      </c>
      <c r="F124" s="86">
        <v>47</v>
      </c>
      <c r="G124" s="17">
        <v>14</v>
      </c>
      <c r="H124" s="88">
        <v>2</v>
      </c>
      <c r="I124" s="89"/>
      <c r="J124" s="89"/>
      <c r="K124" s="89"/>
      <c r="L124" s="89"/>
      <c r="M124" s="90">
        <f t="shared" si="94"/>
        <v>0</v>
      </c>
      <c r="N124" s="4" t="str">
        <f t="shared" si="95"/>
        <v/>
      </c>
      <c r="O124" s="91">
        <f t="shared" si="96"/>
        <v>0</v>
      </c>
      <c r="P124" s="91">
        <f t="shared" si="97"/>
        <v>0</v>
      </c>
      <c r="Q124" s="79">
        <v>1</v>
      </c>
      <c r="R124" s="79">
        <v>1</v>
      </c>
      <c r="S124" s="79" t="s">
        <v>62</v>
      </c>
      <c r="T124" s="5" t="s">
        <v>126</v>
      </c>
      <c r="U124" s="9"/>
      <c r="W124" s="86">
        <f t="shared" si="98"/>
        <v>94.7</v>
      </c>
      <c r="X124" s="87">
        <f t="shared" si="98"/>
        <v>29</v>
      </c>
      <c r="Y124" s="92">
        <f t="shared" si="99"/>
        <v>2</v>
      </c>
      <c r="Z124" s="90">
        <f t="shared" si="99"/>
        <v>0</v>
      </c>
      <c r="AA124" s="90">
        <f t="shared" si="100"/>
        <v>0</v>
      </c>
      <c r="AB124" s="90">
        <f t="shared" si="101"/>
        <v>0</v>
      </c>
      <c r="AC124" s="4" t="str">
        <f t="shared" si="101"/>
        <v/>
      </c>
      <c r="AD124" s="91">
        <f t="shared" si="101"/>
        <v>0</v>
      </c>
      <c r="AE124" s="79" t="str">
        <f t="shared" si="102"/>
        <v>계</v>
      </c>
      <c r="AF124" s="79" t="str">
        <f t="shared" si="103"/>
        <v>1/1</v>
      </c>
      <c r="AH124" s="20" t="str">
        <f t="shared" si="47"/>
        <v>강서동 신해블루지움</v>
      </c>
      <c r="AI124" s="87">
        <f t="shared" si="48"/>
        <v>29</v>
      </c>
      <c r="AJ124" s="79" t="str">
        <f t="shared" si="104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05"/>
        <v>C</v>
      </c>
      <c r="AO124" s="79" t="str">
        <f t="shared" si="106"/>
        <v/>
      </c>
      <c r="AP124" s="79" t="str">
        <f t="shared" si="107"/>
        <v/>
      </c>
      <c r="AQ124" s="79" t="str">
        <f t="shared" si="108"/>
        <v>O</v>
      </c>
      <c r="AR124" s="79" t="str">
        <f t="shared" si="109"/>
        <v>O</v>
      </c>
      <c r="AS124" s="79" t="s">
        <v>2</v>
      </c>
      <c r="AT124" s="79" t="str">
        <f t="shared" si="110"/>
        <v>O</v>
      </c>
      <c r="AU124" s="79" t="str">
        <f t="shared" si="111"/>
        <v>O</v>
      </c>
      <c r="AV124" s="79" t="str">
        <f t="shared" si="112"/>
        <v/>
      </c>
    </row>
    <row r="125" spans="1:48" s="37" customFormat="1" ht="12" x14ac:dyDescent="0.3">
      <c r="A125" s="74" t="s">
        <v>1520</v>
      </c>
      <c r="B125" s="75" t="s">
        <v>1517</v>
      </c>
      <c r="C125" s="85">
        <v>611</v>
      </c>
      <c r="D125" s="86">
        <v>101</v>
      </c>
      <c r="E125" s="87">
        <v>31</v>
      </c>
      <c r="F125" s="86">
        <v>50.1</v>
      </c>
      <c r="G125" s="17">
        <v>15</v>
      </c>
      <c r="H125" s="88">
        <v>2</v>
      </c>
      <c r="I125" s="89"/>
      <c r="J125" s="89"/>
      <c r="K125" s="89"/>
      <c r="L125" s="89"/>
      <c r="M125" s="90">
        <f t="shared" si="94"/>
        <v>0</v>
      </c>
      <c r="N125" s="4" t="str">
        <f t="shared" si="95"/>
        <v/>
      </c>
      <c r="O125" s="91">
        <f t="shared" si="96"/>
        <v>0</v>
      </c>
      <c r="P125" s="91">
        <f t="shared" si="97"/>
        <v>0</v>
      </c>
      <c r="Q125" s="79">
        <v>2</v>
      </c>
      <c r="R125" s="79">
        <v>1</v>
      </c>
      <c r="S125" s="79" t="s">
        <v>62</v>
      </c>
      <c r="T125" s="5" t="s">
        <v>127</v>
      </c>
      <c r="U125" s="9"/>
      <c r="W125" s="86">
        <f t="shared" si="98"/>
        <v>101</v>
      </c>
      <c r="X125" s="87">
        <f t="shared" si="98"/>
        <v>31</v>
      </c>
      <c r="Y125" s="92">
        <f t="shared" si="99"/>
        <v>2</v>
      </c>
      <c r="Z125" s="90">
        <f t="shared" si="99"/>
        <v>0</v>
      </c>
      <c r="AA125" s="90">
        <f t="shared" si="100"/>
        <v>0</v>
      </c>
      <c r="AB125" s="90">
        <f t="shared" si="101"/>
        <v>0</v>
      </c>
      <c r="AC125" s="4" t="str">
        <f t="shared" si="101"/>
        <v/>
      </c>
      <c r="AD125" s="91">
        <f t="shared" si="101"/>
        <v>0</v>
      </c>
      <c r="AE125" s="79" t="str">
        <f t="shared" si="102"/>
        <v>계</v>
      </c>
      <c r="AF125" s="79" t="str">
        <f t="shared" si="103"/>
        <v>2/1</v>
      </c>
      <c r="AH125" s="20" t="str">
        <f t="shared" si="47"/>
        <v>강서동 신해블루지움</v>
      </c>
      <c r="AI125" s="87">
        <f t="shared" si="48"/>
        <v>31</v>
      </c>
      <c r="AJ125" s="79" t="str">
        <f t="shared" si="104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05"/>
        <v>C</v>
      </c>
      <c r="AO125" s="79" t="str">
        <f t="shared" si="106"/>
        <v/>
      </c>
      <c r="AP125" s="79" t="str">
        <f t="shared" si="107"/>
        <v/>
      </c>
      <c r="AQ125" s="79" t="str">
        <f t="shared" si="108"/>
        <v>O</v>
      </c>
      <c r="AR125" s="79" t="str">
        <f t="shared" si="109"/>
        <v>O</v>
      </c>
      <c r="AS125" s="79" t="s">
        <v>2</v>
      </c>
      <c r="AT125" s="79" t="str">
        <f t="shared" si="110"/>
        <v>O</v>
      </c>
      <c r="AU125" s="79" t="str">
        <f t="shared" si="111"/>
        <v>O</v>
      </c>
      <c r="AV125" s="79" t="str">
        <f t="shared" si="112"/>
        <v/>
      </c>
    </row>
    <row r="126" spans="1:48" s="37" customFormat="1" ht="12" x14ac:dyDescent="0.3">
      <c r="A126" s="74" t="s">
        <v>1521</v>
      </c>
      <c r="B126" s="75" t="s">
        <v>1522</v>
      </c>
      <c r="C126" s="85">
        <v>216</v>
      </c>
      <c r="D126" s="86">
        <v>55.9</v>
      </c>
      <c r="E126" s="87">
        <v>17</v>
      </c>
      <c r="F126" s="86">
        <v>23.4</v>
      </c>
      <c r="G126" s="17">
        <v>7</v>
      </c>
      <c r="H126" s="88">
        <v>180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9">
        <v>1</v>
      </c>
      <c r="R126" s="79">
        <v>1</v>
      </c>
      <c r="S126" s="79" t="s">
        <v>59</v>
      </c>
      <c r="T126" s="5" t="s">
        <v>128</v>
      </c>
      <c r="U126" s="9"/>
      <c r="W126" s="86">
        <f>D126</f>
        <v>55.9</v>
      </c>
      <c r="X126" s="87">
        <f>E126</f>
        <v>17</v>
      </c>
      <c r="Y126" s="92">
        <f>H126</f>
        <v>180</v>
      </c>
      <c r="Z126" s="90">
        <f>I126</f>
        <v>0</v>
      </c>
      <c r="AA126" s="90">
        <f>K126</f>
        <v>0</v>
      </c>
      <c r="AB126" s="90">
        <f t="shared" si="101"/>
        <v>0</v>
      </c>
      <c r="AC126" s="4" t="str">
        <f t="shared" si="101"/>
        <v/>
      </c>
      <c r="AD126" s="91">
        <f t="shared" si="101"/>
        <v>0</v>
      </c>
      <c r="AE126" s="79" t="str">
        <f>S126</f>
        <v>복</v>
      </c>
      <c r="AF126" s="79" t="str">
        <f>Q126&amp;"/"&amp;R126</f>
        <v>1/1</v>
      </c>
      <c r="AH126" s="20" t="str">
        <f t="shared" si="47"/>
        <v>강서동 이랜드타운힐스싱글스위트청주</v>
      </c>
      <c r="AI126" s="87">
        <f t="shared" si="48"/>
        <v>17</v>
      </c>
      <c r="AJ126" s="79" t="str">
        <f>IF(AI126="","",$AJ$2)</f>
        <v>A-</v>
      </c>
      <c r="AK126" s="79" t="s">
        <v>13</v>
      </c>
      <c r="AL126" s="79" t="s">
        <v>60</v>
      </c>
      <c r="AM126" s="79" t="s">
        <v>61</v>
      </c>
      <c r="AN126" s="79" t="str">
        <f>IF(AI126="","",$AN$2)</f>
        <v>C</v>
      </c>
      <c r="AO126" s="79" t="str">
        <f>IF(N126="","",IF(N126&gt;=$AO$1/100,"O","X"))</f>
        <v/>
      </c>
      <c r="AP126" s="79" t="str">
        <f>IF(I126="","",IF(I126&lt;=$AP$1,"O","X"))</f>
        <v/>
      </c>
      <c r="AQ126" s="79" t="str">
        <f>IF(O126="","",IF(O126&lt;=$AQ$1,"O","X"))</f>
        <v>O</v>
      </c>
      <c r="AR126" s="79" t="str">
        <f>IF(M126="","",IF(M126&lt;=$AR$1,"O","X"))</f>
        <v>O</v>
      </c>
      <c r="AS126" s="79" t="s">
        <v>2</v>
      </c>
      <c r="AT126" s="79" t="str">
        <f>IF(OR(F126="",AI126=""),"",IF(AND((F126&lt;=85),(AI126&gt;=15)),"O","X"))</f>
        <v>O</v>
      </c>
      <c r="AU126" s="79" t="str">
        <f>IF(C126="","",IF(C126&gt;=$AU$1,"O","X"))</f>
        <v>X</v>
      </c>
      <c r="AV126" s="79" t="str">
        <f>IF(AO126="","",IF(AND(AO126="O",AP126="O",AR126="O",AT126="O",AU126="O"),"후보","X"))</f>
        <v/>
      </c>
    </row>
    <row r="127" spans="1:48" s="37" customFormat="1" ht="12" x14ac:dyDescent="0.3">
      <c r="A127" s="74" t="s">
        <v>1523</v>
      </c>
      <c r="B127" s="75" t="s">
        <v>1522</v>
      </c>
      <c r="C127" s="85">
        <v>216</v>
      </c>
      <c r="D127" s="86">
        <v>56.6</v>
      </c>
      <c r="E127" s="87">
        <v>17</v>
      </c>
      <c r="F127" s="86">
        <v>23.4</v>
      </c>
      <c r="G127" s="17">
        <v>7</v>
      </c>
      <c r="H127" s="88">
        <v>36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9">
        <v>1</v>
      </c>
      <c r="R127" s="79">
        <v>1</v>
      </c>
      <c r="S127" s="79" t="s">
        <v>59</v>
      </c>
      <c r="T127" s="5" t="s">
        <v>129</v>
      </c>
      <c r="U127" s="9"/>
      <c r="W127" s="86">
        <f>D127</f>
        <v>56.6</v>
      </c>
      <c r="X127" s="87">
        <f>E127</f>
        <v>17</v>
      </c>
      <c r="Y127" s="92">
        <f>H127</f>
        <v>36</v>
      </c>
      <c r="Z127" s="90">
        <f>I127</f>
        <v>0</v>
      </c>
      <c r="AA127" s="90">
        <f>K127</f>
        <v>0</v>
      </c>
      <c r="AB127" s="90">
        <f t="shared" si="101"/>
        <v>0</v>
      </c>
      <c r="AC127" s="4" t="str">
        <f t="shared" si="101"/>
        <v/>
      </c>
      <c r="AD127" s="91">
        <f t="shared" si="101"/>
        <v>0</v>
      </c>
      <c r="AE127" s="79" t="str">
        <f>S127</f>
        <v>복</v>
      </c>
      <c r="AF127" s="79" t="str">
        <f>Q127&amp;"/"&amp;R127</f>
        <v>1/1</v>
      </c>
      <c r="AH127" s="20" t="str">
        <f t="shared" si="47"/>
        <v>강서동 이랜드타운힐스싱글스위트청주</v>
      </c>
      <c r="AI127" s="87">
        <f t="shared" si="48"/>
        <v>17</v>
      </c>
      <c r="AJ127" s="79" t="str">
        <f>IF(AI127="","",$AJ$2)</f>
        <v>A-</v>
      </c>
      <c r="AK127" s="79" t="s">
        <v>13</v>
      </c>
      <c r="AL127" s="79" t="s">
        <v>60</v>
      </c>
      <c r="AM127" s="79" t="s">
        <v>61</v>
      </c>
      <c r="AN127" s="79" t="str">
        <f>IF(AI127="","",$AN$2)</f>
        <v>C</v>
      </c>
      <c r="AO127" s="79" t="str">
        <f>IF(N127="","",IF(N127&gt;=$AO$1/100,"O","X"))</f>
        <v/>
      </c>
      <c r="AP127" s="79" t="str">
        <f>IF(I127="","",IF(I127&lt;=$AP$1,"O","X"))</f>
        <v/>
      </c>
      <c r="AQ127" s="79" t="str">
        <f>IF(O127="","",IF(O127&lt;=$AQ$1,"O","X"))</f>
        <v>O</v>
      </c>
      <c r="AR127" s="79" t="str">
        <f>IF(M127="","",IF(M127&lt;=$AR$1,"O","X"))</f>
        <v>O</v>
      </c>
      <c r="AS127" s="79" t="s">
        <v>2</v>
      </c>
      <c r="AT127" s="79" t="str">
        <f>IF(OR(F127="",AI127=""),"",IF(AND((F127&lt;=85),(AI127&gt;=15)),"O","X"))</f>
        <v>O</v>
      </c>
      <c r="AU127" s="79" t="str">
        <f>IF(C127="","",IF(C127&gt;=$AU$1,"O","X"))</f>
        <v>X</v>
      </c>
      <c r="AV127" s="79" t="str">
        <f>IF(AO127="","",IF(AND(AO127="O",AP127="O",AR127="O",AT127="O",AU127="O"),"후보","X"))</f>
        <v/>
      </c>
    </row>
    <row r="128" spans="1:48" s="37" customFormat="1" ht="12" x14ac:dyDescent="0.3">
      <c r="A128" s="74" t="s">
        <v>1524</v>
      </c>
      <c r="B128" s="75" t="s">
        <v>1525</v>
      </c>
      <c r="C128" s="85">
        <v>233</v>
      </c>
      <c r="D128" s="86">
        <v>34.6</v>
      </c>
      <c r="E128" s="87">
        <v>10</v>
      </c>
      <c r="F128" s="86">
        <v>22.6</v>
      </c>
      <c r="G128" s="17">
        <v>7</v>
      </c>
      <c r="H128" s="88">
        <v>233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9">
        <v>1</v>
      </c>
      <c r="R128" s="79">
        <v>1</v>
      </c>
      <c r="S128" s="79" t="s">
        <v>59</v>
      </c>
      <c r="T128" s="5">
        <v>34</v>
      </c>
      <c r="U128" s="9"/>
      <c r="W128" s="86">
        <f>D128</f>
        <v>34.6</v>
      </c>
      <c r="X128" s="87">
        <f>E128</f>
        <v>10</v>
      </c>
      <c r="Y128" s="92">
        <f>H128</f>
        <v>233</v>
      </c>
      <c r="Z128" s="90">
        <f>I128</f>
        <v>0</v>
      </c>
      <c r="AA128" s="90">
        <f>K128</f>
        <v>0</v>
      </c>
      <c r="AB128" s="90">
        <f>M128</f>
        <v>0</v>
      </c>
      <c r="AC128" s="4" t="str">
        <f>N128</f>
        <v/>
      </c>
      <c r="AD128" s="91">
        <f>O128</f>
        <v>0</v>
      </c>
      <c r="AE128" s="79" t="str">
        <f>S128</f>
        <v>복</v>
      </c>
      <c r="AF128" s="79" t="str">
        <f>Q128&amp;"/"&amp;R128</f>
        <v>1/1</v>
      </c>
      <c r="AH128" s="20" t="str">
        <f t="shared" si="47"/>
        <v>강서동 우정</v>
      </c>
      <c r="AI128" s="87">
        <f t="shared" si="48"/>
        <v>10</v>
      </c>
      <c r="AJ128" s="79" t="str">
        <f>IF(AI128="","",$AJ$2)</f>
        <v>A-</v>
      </c>
      <c r="AK128" s="79" t="s">
        <v>13</v>
      </c>
      <c r="AL128" s="79" t="s">
        <v>60</v>
      </c>
      <c r="AM128" s="79" t="s">
        <v>61</v>
      </c>
      <c r="AN128" s="79" t="str">
        <f>IF(AI128="","",$AN$2)</f>
        <v>C</v>
      </c>
      <c r="AO128" s="79" t="str">
        <f>IF(N128="","",IF(N128&gt;=$AO$1/100,"O","X"))</f>
        <v/>
      </c>
      <c r="AP128" s="79" t="str">
        <f>IF(I128="","",IF(I128&lt;=$AP$1,"O","X"))</f>
        <v/>
      </c>
      <c r="AQ128" s="79" t="str">
        <f>IF(O128="","",IF(O128&lt;=$AQ$1,"O","X"))</f>
        <v>O</v>
      </c>
      <c r="AR128" s="79" t="str">
        <f>IF(M128="","",IF(M128&lt;=$AR$1,"O","X"))</f>
        <v>O</v>
      </c>
      <c r="AS128" s="79" t="s">
        <v>2</v>
      </c>
      <c r="AT128" s="79" t="str">
        <f>IF(OR(F128="",AI128=""),"",IF(AND((F128&lt;=85),(AI128&gt;=15)),"O","X"))</f>
        <v>X</v>
      </c>
      <c r="AU128" s="79" t="str">
        <f>IF(C128="","",IF(C128&gt;=$AU$1,"O","X"))</f>
        <v>X</v>
      </c>
      <c r="AV128" s="79" t="str">
        <f>IF(AO128="","",IF(AND(AO128="O",AP128="O",AR128="O",AT128="O",AU128="O"),"후보","X"))</f>
        <v/>
      </c>
    </row>
    <row r="129" spans="1:48" s="37" customFormat="1" ht="12" x14ac:dyDescent="0.3">
      <c r="A129" s="74" t="s">
        <v>1526</v>
      </c>
      <c r="B129" s="75" t="s">
        <v>1527</v>
      </c>
      <c r="C129" s="85">
        <v>419</v>
      </c>
      <c r="D129" s="86">
        <v>36.799999999999997</v>
      </c>
      <c r="E129" s="87">
        <v>11</v>
      </c>
      <c r="F129" s="86">
        <v>20.5</v>
      </c>
      <c r="G129" s="17">
        <v>6</v>
      </c>
      <c r="H129" s="88">
        <v>284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9">
        <v>1</v>
      </c>
      <c r="R129" s="79">
        <v>1</v>
      </c>
      <c r="S129" s="79" t="s">
        <v>62</v>
      </c>
      <c r="T129" s="5" t="s">
        <v>130</v>
      </c>
      <c r="U129" s="9"/>
      <c r="W129" s="86">
        <f t="shared" ref="W129:X136" si="113">D129</f>
        <v>36.799999999999997</v>
      </c>
      <c r="X129" s="87">
        <f t="shared" si="113"/>
        <v>11</v>
      </c>
      <c r="Y129" s="92">
        <f t="shared" ref="Y129:Z136" si="114">H129</f>
        <v>284</v>
      </c>
      <c r="Z129" s="90">
        <f t="shared" si="114"/>
        <v>0</v>
      </c>
      <c r="AA129" s="90">
        <f>K129</f>
        <v>0</v>
      </c>
      <c r="AB129" s="90">
        <f t="shared" ref="AB129:AD144" si="115">M129</f>
        <v>0</v>
      </c>
      <c r="AC129" s="4" t="str">
        <f t="shared" si="115"/>
        <v/>
      </c>
      <c r="AD129" s="91">
        <f t="shared" si="115"/>
        <v>0</v>
      </c>
      <c r="AE129" s="79" t="str">
        <f>S129</f>
        <v>계</v>
      </c>
      <c r="AF129" s="79" t="str">
        <f>Q129&amp;"/"&amp;R129</f>
        <v>1/1</v>
      </c>
      <c r="AH129" s="20" t="str">
        <f t="shared" si="47"/>
        <v>강서동 강서동광모닝스카이</v>
      </c>
      <c r="AI129" s="87">
        <f t="shared" si="48"/>
        <v>11</v>
      </c>
      <c r="AJ129" s="79" t="str">
        <f>IF(AI129="","",$AJ$2)</f>
        <v>A-</v>
      </c>
      <c r="AK129" s="79" t="s">
        <v>13</v>
      </c>
      <c r="AL129" s="79" t="s">
        <v>60</v>
      </c>
      <c r="AM129" s="79" t="s">
        <v>61</v>
      </c>
      <c r="AN129" s="79" t="str">
        <f>IF(AI129="","",$AN$2)</f>
        <v>C</v>
      </c>
      <c r="AO129" s="79" t="str">
        <f>IF(N129="","",IF(N129&gt;=$AO$1/100,"O","X"))</f>
        <v/>
      </c>
      <c r="AP129" s="79" t="str">
        <f>IF(I129="","",IF(I129&lt;=$AP$1,"O","X"))</f>
        <v/>
      </c>
      <c r="AQ129" s="79" t="str">
        <f>IF(O129="","",IF(O129&lt;=$AQ$1,"O","X"))</f>
        <v>O</v>
      </c>
      <c r="AR129" s="79" t="str">
        <f>IF(M129="","",IF(M129&lt;=$AR$1,"O","X"))</f>
        <v>O</v>
      </c>
      <c r="AS129" s="79" t="s">
        <v>2</v>
      </c>
      <c r="AT129" s="79" t="str">
        <f>IF(OR(F129="",AI129=""),"",IF(AND((F129&lt;=85),(AI129&gt;=15)),"O","X"))</f>
        <v>X</v>
      </c>
      <c r="AU129" s="79" t="str">
        <f>IF(C129="","",IF(C129&gt;=$AU$1,"O","X"))</f>
        <v>O</v>
      </c>
      <c r="AV129" s="79" t="str">
        <f>IF(AO129="","",IF(AND(AO129="O",AP129="O",AR129="O",AT129="O",AU129="O"),"후보","X"))</f>
        <v/>
      </c>
    </row>
    <row r="130" spans="1:48" s="37" customFormat="1" ht="12" x14ac:dyDescent="0.3">
      <c r="A130" s="74" t="s">
        <v>1526</v>
      </c>
      <c r="B130" s="75" t="s">
        <v>1528</v>
      </c>
      <c r="C130" s="85">
        <v>419</v>
      </c>
      <c r="D130" s="86">
        <v>49.2</v>
      </c>
      <c r="E130" s="87">
        <v>15</v>
      </c>
      <c r="F130" s="86">
        <v>27.4</v>
      </c>
      <c r="G130" s="17">
        <v>8</v>
      </c>
      <c r="H130" s="88">
        <v>30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9">
        <v>1</v>
      </c>
      <c r="R130" s="79">
        <v>1</v>
      </c>
      <c r="S130" s="79" t="s">
        <v>62</v>
      </c>
      <c r="T130" s="5" t="s">
        <v>131</v>
      </c>
      <c r="U130" s="9"/>
      <c r="W130" s="86">
        <f t="shared" si="113"/>
        <v>49.2</v>
      </c>
      <c r="X130" s="87">
        <f t="shared" si="113"/>
        <v>15</v>
      </c>
      <c r="Y130" s="92">
        <f t="shared" si="114"/>
        <v>30</v>
      </c>
      <c r="Z130" s="90">
        <f t="shared" si="114"/>
        <v>0</v>
      </c>
      <c r="AA130" s="90">
        <f>K130</f>
        <v>0</v>
      </c>
      <c r="AB130" s="90">
        <f t="shared" si="115"/>
        <v>0</v>
      </c>
      <c r="AC130" s="4" t="str">
        <f t="shared" si="115"/>
        <v/>
      </c>
      <c r="AD130" s="91">
        <f t="shared" si="115"/>
        <v>0</v>
      </c>
      <c r="AE130" s="79" t="str">
        <f>S130</f>
        <v>계</v>
      </c>
      <c r="AF130" s="79" t="str">
        <f>Q130&amp;"/"&amp;R130</f>
        <v>1/1</v>
      </c>
      <c r="AH130" s="20" t="str">
        <f t="shared" si="47"/>
        <v>강서동 강서동광모닝스카이</v>
      </c>
      <c r="AI130" s="87">
        <f t="shared" si="48"/>
        <v>15</v>
      </c>
      <c r="AJ130" s="79" t="str">
        <f>IF(AI130="","",$AJ$2)</f>
        <v>A-</v>
      </c>
      <c r="AK130" s="79" t="s">
        <v>13</v>
      </c>
      <c r="AL130" s="79" t="s">
        <v>60</v>
      </c>
      <c r="AM130" s="79" t="s">
        <v>61</v>
      </c>
      <c r="AN130" s="79" t="str">
        <f>IF(AI130="","",$AN$2)</f>
        <v>C</v>
      </c>
      <c r="AO130" s="79" t="str">
        <f>IF(N130="","",IF(N130&gt;=$AO$1/100,"O","X"))</f>
        <v/>
      </c>
      <c r="AP130" s="79" t="str">
        <f>IF(I130="","",IF(I130&lt;=$AP$1,"O","X"))</f>
        <v/>
      </c>
      <c r="AQ130" s="79" t="str">
        <f>IF(O130="","",IF(O130&lt;=$AQ$1,"O","X"))</f>
        <v>O</v>
      </c>
      <c r="AR130" s="79" t="str">
        <f>IF(M130="","",IF(M130&lt;=$AR$1,"O","X"))</f>
        <v>O</v>
      </c>
      <c r="AS130" s="79" t="s">
        <v>2</v>
      </c>
      <c r="AT130" s="79" t="str">
        <f>IF(OR(F130="",AI130=""),"",IF(AND((F130&lt;=85),(AI130&gt;=15)),"O","X"))</f>
        <v>O</v>
      </c>
      <c r="AU130" s="79" t="str">
        <f>IF(C130="","",IF(C130&gt;=$AU$1,"O","X"))</f>
        <v>O</v>
      </c>
      <c r="AV130" s="79" t="str">
        <f>IF(AO130="","",IF(AND(AO130="O",AP130="O",AR130="O",AT130="O",AU130="O"),"후보","X"))</f>
        <v/>
      </c>
    </row>
    <row r="131" spans="1:48" s="37" customFormat="1" ht="12" x14ac:dyDescent="0.3">
      <c r="A131" s="74" t="s">
        <v>1526</v>
      </c>
      <c r="B131" s="75" t="s">
        <v>1529</v>
      </c>
      <c r="C131" s="85">
        <v>419</v>
      </c>
      <c r="D131" s="86">
        <v>67.599999999999994</v>
      </c>
      <c r="E131" s="87">
        <v>20</v>
      </c>
      <c r="F131" s="86">
        <v>37.6</v>
      </c>
      <c r="G131" s="17">
        <v>11</v>
      </c>
      <c r="H131" s="88">
        <v>105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9">
        <v>1</v>
      </c>
      <c r="R131" s="79">
        <v>1</v>
      </c>
      <c r="S131" s="79" t="s">
        <v>62</v>
      </c>
      <c r="T131" s="5" t="s">
        <v>132</v>
      </c>
      <c r="U131" s="9"/>
      <c r="W131" s="86">
        <f t="shared" si="113"/>
        <v>67.599999999999994</v>
      </c>
      <c r="X131" s="87">
        <f t="shared" si="113"/>
        <v>20</v>
      </c>
      <c r="Y131" s="92">
        <f t="shared" si="114"/>
        <v>105</v>
      </c>
      <c r="Z131" s="90">
        <f t="shared" si="114"/>
        <v>0</v>
      </c>
      <c r="AA131" s="90">
        <f>K131</f>
        <v>0</v>
      </c>
      <c r="AB131" s="90">
        <f t="shared" si="115"/>
        <v>0</v>
      </c>
      <c r="AC131" s="4" t="str">
        <f t="shared" si="115"/>
        <v/>
      </c>
      <c r="AD131" s="91">
        <f t="shared" si="115"/>
        <v>0</v>
      </c>
      <c r="AE131" s="79" t="str">
        <f>S131</f>
        <v>계</v>
      </c>
      <c r="AF131" s="79" t="str">
        <f>Q131&amp;"/"&amp;R131</f>
        <v>1/1</v>
      </c>
      <c r="AH131" s="20" t="str">
        <f t="shared" si="47"/>
        <v>강서동 강서동광모닝스카이</v>
      </c>
      <c r="AI131" s="87">
        <f t="shared" si="48"/>
        <v>20</v>
      </c>
      <c r="AJ131" s="79" t="str">
        <f>IF(AI131="","",$AJ$2)</f>
        <v>A-</v>
      </c>
      <c r="AK131" s="79" t="s">
        <v>13</v>
      </c>
      <c r="AL131" s="79" t="s">
        <v>60</v>
      </c>
      <c r="AM131" s="79" t="s">
        <v>61</v>
      </c>
      <c r="AN131" s="79" t="str">
        <f>IF(AI131="","",$AN$2)</f>
        <v>C</v>
      </c>
      <c r="AO131" s="79" t="str">
        <f>IF(N131="","",IF(N131&gt;=$AO$1/100,"O","X"))</f>
        <v/>
      </c>
      <c r="AP131" s="79" t="str">
        <f>IF(I131="","",IF(I131&lt;=$AP$1,"O","X"))</f>
        <v/>
      </c>
      <c r="AQ131" s="79" t="str">
        <f>IF(O131="","",IF(O131&lt;=$AQ$1,"O","X"))</f>
        <v>O</v>
      </c>
      <c r="AR131" s="79" t="str">
        <f>IF(M131="","",IF(M131&lt;=$AR$1,"O","X"))</f>
        <v>O</v>
      </c>
      <c r="AS131" s="79" t="s">
        <v>2</v>
      </c>
      <c r="AT131" s="79" t="str">
        <f>IF(OR(F131="",AI131=""),"",IF(AND((F131&lt;=85),(AI131&gt;=15)),"O","X"))</f>
        <v>O</v>
      </c>
      <c r="AU131" s="79" t="str">
        <f>IF(C131="","",IF(C131&gt;=$AU$1,"O","X"))</f>
        <v>O</v>
      </c>
      <c r="AV131" s="79" t="str">
        <f>IF(AO131="","",IF(AND(AO131="O",AP131="O",AR131="O",AT131="O",AU131="O"),"후보","X"))</f>
        <v/>
      </c>
    </row>
    <row r="132" spans="1:48" s="37" customFormat="1" ht="12" x14ac:dyDescent="0.3">
      <c r="A132" s="74" t="s">
        <v>1530</v>
      </c>
      <c r="B132" s="75" t="s">
        <v>1531</v>
      </c>
      <c r="C132" s="85">
        <v>1148</v>
      </c>
      <c r="D132" s="86">
        <v>79.099999999999994</v>
      </c>
      <c r="E132" s="87">
        <v>24</v>
      </c>
      <c r="F132" s="86">
        <v>60</v>
      </c>
      <c r="G132" s="17">
        <v>18</v>
      </c>
      <c r="H132" s="88">
        <v>246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9">
        <v>3</v>
      </c>
      <c r="R132" s="79">
        <v>2</v>
      </c>
      <c r="S132" s="79" t="s">
        <v>62</v>
      </c>
      <c r="T132" s="5" t="s">
        <v>133</v>
      </c>
      <c r="U132" s="9"/>
      <c r="W132" s="86">
        <f t="shared" si="113"/>
        <v>79.099999999999994</v>
      </c>
      <c r="X132" s="87">
        <f t="shared" si="113"/>
        <v>24</v>
      </c>
      <c r="Y132" s="92">
        <f t="shared" si="114"/>
        <v>246</v>
      </c>
      <c r="Z132" s="90">
        <f t="shared" si="114"/>
        <v>0</v>
      </c>
      <c r="AA132" s="90">
        <f>K132</f>
        <v>0</v>
      </c>
      <c r="AB132" s="90">
        <f t="shared" si="115"/>
        <v>0</v>
      </c>
      <c r="AC132" s="4" t="str">
        <f t="shared" si="115"/>
        <v/>
      </c>
      <c r="AD132" s="91">
        <f t="shared" si="115"/>
        <v>0</v>
      </c>
      <c r="AE132" s="79" t="str">
        <f>S132</f>
        <v>계</v>
      </c>
      <c r="AF132" s="79" t="str">
        <f>Q132&amp;"/"&amp;R132</f>
        <v>3/2</v>
      </c>
      <c r="AH132" s="20" t="str">
        <f t="shared" ref="AH132:AH195" si="116">IF(A132="","",A132)</f>
        <v>문암동 청주테크노폴리스지웰푸르지오</v>
      </c>
      <c r="AI132" s="87">
        <f t="shared" ref="AI132:AI195" si="117">IF(E132="","",E132)</f>
        <v>24</v>
      </c>
      <c r="AJ132" s="79" t="str">
        <f>IF(AI132="","",$AJ$2)</f>
        <v>A-</v>
      </c>
      <c r="AK132" s="79" t="s">
        <v>13</v>
      </c>
      <c r="AL132" s="79" t="s">
        <v>60</v>
      </c>
      <c r="AM132" s="79" t="s">
        <v>61</v>
      </c>
      <c r="AN132" s="79" t="str">
        <f>IF(AI132="","",$AN$2)</f>
        <v>C</v>
      </c>
      <c r="AO132" s="79" t="str">
        <f>IF(N132="","",IF(N132&gt;=$AO$1/100,"O","X"))</f>
        <v/>
      </c>
      <c r="AP132" s="79" t="str">
        <f>IF(I132="","",IF(I132&lt;=$AP$1,"O","X"))</f>
        <v/>
      </c>
      <c r="AQ132" s="79" t="str">
        <f>IF(O132="","",IF(O132&lt;=$AQ$1,"O","X"))</f>
        <v>O</v>
      </c>
      <c r="AR132" s="79" t="str">
        <f>IF(M132="","",IF(M132&lt;=$AR$1,"O","X"))</f>
        <v>O</v>
      </c>
      <c r="AS132" s="79" t="s">
        <v>2</v>
      </c>
      <c r="AT132" s="79" t="str">
        <f>IF(OR(F132="",AI132=""),"",IF(AND((F132&lt;=85),(AI132&gt;=15)),"O","X"))</f>
        <v>O</v>
      </c>
      <c r="AU132" s="79" t="str">
        <f>IF(C132="","",IF(C132&gt;=$AU$1,"O","X"))</f>
        <v>O</v>
      </c>
      <c r="AV132" s="79" t="str">
        <f>IF(AO132="","",IF(AND(AO132="O",AP132="O",AR132="O",AT132="O",AU132="O"),"후보","X"))</f>
        <v/>
      </c>
    </row>
    <row r="133" spans="1:48" s="37" customFormat="1" ht="12" x14ac:dyDescent="0.3">
      <c r="A133" s="74" t="s">
        <v>1530</v>
      </c>
      <c r="B133" s="75" t="s">
        <v>1531</v>
      </c>
      <c r="C133" s="85">
        <v>1148</v>
      </c>
      <c r="D133" s="86">
        <v>79.3</v>
      </c>
      <c r="E133" s="87">
        <v>24</v>
      </c>
      <c r="F133" s="86">
        <v>59.9</v>
      </c>
      <c r="G133" s="17">
        <v>18</v>
      </c>
      <c r="H133" s="88">
        <v>154</v>
      </c>
      <c r="I133" s="89">
        <v>42680</v>
      </c>
      <c r="J133" s="89" t="s">
        <v>89</v>
      </c>
      <c r="K133" s="89">
        <v>24000</v>
      </c>
      <c r="L133" s="89" t="s">
        <v>70</v>
      </c>
      <c r="M133" s="90">
        <f>I133-K133</f>
        <v>18680</v>
      </c>
      <c r="N133" s="4">
        <f>IF(ISERROR(K133/I133),"",K133/I133)</f>
        <v>0.5623242736644799</v>
      </c>
      <c r="O133" s="91">
        <f>I133/E133</f>
        <v>1778.3333333333333</v>
      </c>
      <c r="P133" s="91">
        <f>K133/E133</f>
        <v>1000</v>
      </c>
      <c r="Q133" s="79">
        <v>3</v>
      </c>
      <c r="R133" s="79">
        <v>2</v>
      </c>
      <c r="S133" s="79" t="s">
        <v>62</v>
      </c>
      <c r="T133" s="5" t="s">
        <v>134</v>
      </c>
      <c r="U133" s="9"/>
      <c r="W133" s="86">
        <f t="shared" si="113"/>
        <v>79.3</v>
      </c>
      <c r="X133" s="87">
        <f t="shared" si="113"/>
        <v>24</v>
      </c>
      <c r="Y133" s="92">
        <f t="shared" si="114"/>
        <v>154</v>
      </c>
      <c r="Z133" s="90">
        <f t="shared" si="114"/>
        <v>42680</v>
      </c>
      <c r="AA133" s="90">
        <f>K133</f>
        <v>24000</v>
      </c>
      <c r="AB133" s="90">
        <f t="shared" si="115"/>
        <v>18680</v>
      </c>
      <c r="AC133" s="4">
        <f t="shared" si="115"/>
        <v>0.5623242736644799</v>
      </c>
      <c r="AD133" s="91">
        <f t="shared" si="115"/>
        <v>1778.3333333333333</v>
      </c>
      <c r="AE133" s="79" t="str">
        <f>S133</f>
        <v>계</v>
      </c>
      <c r="AF133" s="79" t="str">
        <f>Q133&amp;"/"&amp;R133</f>
        <v>3/2</v>
      </c>
      <c r="AH133" s="20" t="str">
        <f t="shared" si="116"/>
        <v>문암동 청주테크노폴리스지웰푸르지오</v>
      </c>
      <c r="AI133" s="87">
        <f t="shared" si="117"/>
        <v>24</v>
      </c>
      <c r="AJ133" s="79" t="str">
        <f>IF(AI133="","",$AJ$2)</f>
        <v>A-</v>
      </c>
      <c r="AK133" s="79" t="s">
        <v>13</v>
      </c>
      <c r="AL133" s="79" t="s">
        <v>60</v>
      </c>
      <c r="AM133" s="79" t="s">
        <v>61</v>
      </c>
      <c r="AN133" s="79" t="str">
        <f>IF(AI133="","",$AN$2)</f>
        <v>C</v>
      </c>
      <c r="AO133" s="79" t="str">
        <f>IF(N133="","",IF(N133&gt;=$AO$1/100,"O","X"))</f>
        <v>X</v>
      </c>
      <c r="AP133" s="79" t="str">
        <f>IF(I133="","",IF(I133&lt;=$AP$1,"O","X"))</f>
        <v>O</v>
      </c>
      <c r="AQ133" s="79" t="str">
        <f>IF(O133="","",IF(O133&lt;=$AQ$1,"O","X"))</f>
        <v>X</v>
      </c>
      <c r="AR133" s="79" t="str">
        <f>IF(M133="","",IF(M133&lt;=$AR$1,"O","X"))</f>
        <v>X</v>
      </c>
      <c r="AS133" s="79" t="s">
        <v>2</v>
      </c>
      <c r="AT133" s="79" t="str">
        <f>IF(OR(F133="",AI133=""),"",IF(AND((F133&lt;=85),(AI133&gt;=15)),"O","X"))</f>
        <v>O</v>
      </c>
      <c r="AU133" s="79" t="str">
        <f>IF(C133="","",IF(C133&gt;=$AU$1,"O","X"))</f>
        <v>O</v>
      </c>
      <c r="AV133" s="79" t="str">
        <f>IF(AO133="","",IF(AND(AO133="O",AP133="O",AR133="O",AT133="O",AU133="O"),"후보","X"))</f>
        <v>X</v>
      </c>
    </row>
    <row r="134" spans="1:48" s="37" customFormat="1" ht="12" x14ac:dyDescent="0.3">
      <c r="A134" s="74" t="s">
        <v>1530</v>
      </c>
      <c r="B134" s="75" t="s">
        <v>1532</v>
      </c>
      <c r="C134" s="85">
        <v>1148</v>
      </c>
      <c r="D134" s="86">
        <v>111</v>
      </c>
      <c r="E134" s="87">
        <v>34</v>
      </c>
      <c r="F134" s="86">
        <v>85</v>
      </c>
      <c r="G134" s="17">
        <v>26</v>
      </c>
      <c r="H134" s="88">
        <v>573</v>
      </c>
      <c r="I134" s="89">
        <v>56500</v>
      </c>
      <c r="J134" s="89" t="s">
        <v>71</v>
      </c>
      <c r="K134" s="89">
        <v>29000</v>
      </c>
      <c r="L134" s="89" t="s">
        <v>71</v>
      </c>
      <c r="M134" s="90">
        <f>I134-K134</f>
        <v>27500</v>
      </c>
      <c r="N134" s="4">
        <f>IF(ISERROR(K134/I134),"",K134/I134)</f>
        <v>0.51327433628318586</v>
      </c>
      <c r="O134" s="91">
        <f>I134/E134</f>
        <v>1661.7647058823529</v>
      </c>
      <c r="P134" s="91">
        <f>K134/E134</f>
        <v>852.94117647058829</v>
      </c>
      <c r="Q134" s="79">
        <v>3</v>
      </c>
      <c r="R134" s="79">
        <v>2</v>
      </c>
      <c r="S134" s="79" t="s">
        <v>62</v>
      </c>
      <c r="T134" s="5" t="s">
        <v>135</v>
      </c>
      <c r="U134" s="9"/>
      <c r="W134" s="86">
        <f t="shared" si="113"/>
        <v>111</v>
      </c>
      <c r="X134" s="87">
        <f t="shared" si="113"/>
        <v>34</v>
      </c>
      <c r="Y134" s="92">
        <f t="shared" si="114"/>
        <v>573</v>
      </c>
      <c r="Z134" s="90">
        <f t="shared" si="114"/>
        <v>56500</v>
      </c>
      <c r="AA134" s="90">
        <f>K134</f>
        <v>29000</v>
      </c>
      <c r="AB134" s="90">
        <f t="shared" si="115"/>
        <v>27500</v>
      </c>
      <c r="AC134" s="4">
        <f t="shared" si="115"/>
        <v>0.51327433628318586</v>
      </c>
      <c r="AD134" s="91">
        <f t="shared" si="115"/>
        <v>1661.7647058823529</v>
      </c>
      <c r="AE134" s="79" t="str">
        <f>S134</f>
        <v>계</v>
      </c>
      <c r="AF134" s="79" t="str">
        <f>Q134&amp;"/"&amp;R134</f>
        <v>3/2</v>
      </c>
      <c r="AH134" s="20" t="str">
        <f t="shared" si="116"/>
        <v>문암동 청주테크노폴리스지웰푸르지오</v>
      </c>
      <c r="AI134" s="87">
        <f t="shared" si="117"/>
        <v>34</v>
      </c>
      <c r="AJ134" s="79" t="str">
        <f>IF(AI134="","",$AJ$2)</f>
        <v>A-</v>
      </c>
      <c r="AK134" s="79" t="s">
        <v>13</v>
      </c>
      <c r="AL134" s="79" t="s">
        <v>60</v>
      </c>
      <c r="AM134" s="79" t="s">
        <v>61</v>
      </c>
      <c r="AN134" s="79" t="str">
        <f>IF(AI134="","",$AN$2)</f>
        <v>C</v>
      </c>
      <c r="AO134" s="79" t="str">
        <f>IF(N134="","",IF(N134&gt;=$AO$1/100,"O","X"))</f>
        <v>X</v>
      </c>
      <c r="AP134" s="79" t="str">
        <f>IF(I134="","",IF(I134&lt;=$AP$1,"O","X"))</f>
        <v>X</v>
      </c>
      <c r="AQ134" s="79" t="str">
        <f>IF(O134="","",IF(O134&lt;=$AQ$1,"O","X"))</f>
        <v>X</v>
      </c>
      <c r="AR134" s="79" t="str">
        <f>IF(M134="","",IF(M134&lt;=$AR$1,"O","X"))</f>
        <v>X</v>
      </c>
      <c r="AS134" s="79" t="s">
        <v>2</v>
      </c>
      <c r="AT134" s="79" t="str">
        <f>IF(OR(F134="",AI134=""),"",IF(AND((F134&lt;=85),(AI134&gt;=15)),"O","X"))</f>
        <v>O</v>
      </c>
      <c r="AU134" s="79" t="str">
        <f>IF(C134="","",IF(C134&gt;=$AU$1,"O","X"))</f>
        <v>O</v>
      </c>
      <c r="AV134" s="79" t="str">
        <f>IF(AO134="","",IF(AND(AO134="O",AP134="O",AR134="O",AT134="O",AU134="O"),"후보","X"))</f>
        <v>X</v>
      </c>
    </row>
    <row r="135" spans="1:48" s="37" customFormat="1" ht="12" x14ac:dyDescent="0.3">
      <c r="A135" s="74" t="s">
        <v>1530</v>
      </c>
      <c r="B135" s="75" t="s">
        <v>1531</v>
      </c>
      <c r="C135" s="85">
        <v>1148</v>
      </c>
      <c r="D135" s="86">
        <v>110.6</v>
      </c>
      <c r="E135" s="87">
        <v>33</v>
      </c>
      <c r="F135" s="86">
        <v>84.8</v>
      </c>
      <c r="G135" s="17">
        <v>26</v>
      </c>
      <c r="H135" s="88">
        <v>84</v>
      </c>
      <c r="I135" s="89"/>
      <c r="J135" s="89"/>
      <c r="K135" s="89">
        <v>30000</v>
      </c>
      <c r="L135" s="89" t="s">
        <v>1370</v>
      </c>
      <c r="M135" s="90">
        <f>I135-K135</f>
        <v>-30000</v>
      </c>
      <c r="N135" s="4" t="str">
        <f>IF(ISERROR(K135/I135),"",K135/I135)</f>
        <v/>
      </c>
      <c r="O135" s="91">
        <f>I135/E135</f>
        <v>0</v>
      </c>
      <c r="P135" s="91">
        <f>K135/E135</f>
        <v>909.09090909090912</v>
      </c>
      <c r="Q135" s="79">
        <v>3</v>
      </c>
      <c r="R135" s="79">
        <v>2</v>
      </c>
      <c r="S135" s="79" t="s">
        <v>62</v>
      </c>
      <c r="T135" s="5" t="s">
        <v>72</v>
      </c>
      <c r="U135" s="9"/>
      <c r="W135" s="86">
        <f t="shared" si="113"/>
        <v>110.6</v>
      </c>
      <c r="X135" s="87">
        <f t="shared" si="113"/>
        <v>33</v>
      </c>
      <c r="Y135" s="92">
        <f t="shared" si="114"/>
        <v>84</v>
      </c>
      <c r="Z135" s="90">
        <f t="shared" si="114"/>
        <v>0</v>
      </c>
      <c r="AA135" s="90">
        <f>K135</f>
        <v>30000</v>
      </c>
      <c r="AB135" s="90">
        <f t="shared" si="115"/>
        <v>-30000</v>
      </c>
      <c r="AC135" s="4" t="str">
        <f t="shared" si="115"/>
        <v/>
      </c>
      <c r="AD135" s="91">
        <f t="shared" si="115"/>
        <v>0</v>
      </c>
      <c r="AE135" s="79" t="str">
        <f>S135</f>
        <v>계</v>
      </c>
      <c r="AF135" s="79" t="str">
        <f>Q135&amp;"/"&amp;R135</f>
        <v>3/2</v>
      </c>
      <c r="AH135" s="20" t="str">
        <f t="shared" si="116"/>
        <v>문암동 청주테크노폴리스지웰푸르지오</v>
      </c>
      <c r="AI135" s="87">
        <f t="shared" si="117"/>
        <v>33</v>
      </c>
      <c r="AJ135" s="79" t="str">
        <f>IF(AI135="","",$AJ$2)</f>
        <v>A-</v>
      </c>
      <c r="AK135" s="79" t="s">
        <v>13</v>
      </c>
      <c r="AL135" s="79" t="s">
        <v>60</v>
      </c>
      <c r="AM135" s="79" t="s">
        <v>61</v>
      </c>
      <c r="AN135" s="79" t="str">
        <f>IF(AI135="","",$AN$2)</f>
        <v>C</v>
      </c>
      <c r="AO135" s="79" t="str">
        <f>IF(N135="","",IF(N135&gt;=$AO$1/100,"O","X"))</f>
        <v/>
      </c>
      <c r="AP135" s="79" t="str">
        <f>IF(I135="","",IF(I135&lt;=$AP$1,"O","X"))</f>
        <v/>
      </c>
      <c r="AQ135" s="79" t="str">
        <f>IF(O135="","",IF(O135&lt;=$AQ$1,"O","X"))</f>
        <v>O</v>
      </c>
      <c r="AR135" s="79" t="str">
        <f>IF(M135="","",IF(M135&lt;=$AR$1,"O","X"))</f>
        <v>O</v>
      </c>
      <c r="AS135" s="79" t="s">
        <v>2</v>
      </c>
      <c r="AT135" s="79" t="str">
        <f>IF(OR(F135="",AI135=""),"",IF(AND((F135&lt;=85),(AI135&gt;=15)),"O","X"))</f>
        <v>O</v>
      </c>
      <c r="AU135" s="79" t="str">
        <f>IF(C135="","",IF(C135&gt;=$AU$1,"O","X"))</f>
        <v>O</v>
      </c>
      <c r="AV135" s="79" t="str">
        <f>IF(AO135="","",IF(AND(AO135="O",AP135="O",AR135="O",AT135="O",AU135="O"),"후보","X"))</f>
        <v/>
      </c>
    </row>
    <row r="136" spans="1:48" s="37" customFormat="1" ht="12" x14ac:dyDescent="0.3">
      <c r="A136" s="74" t="s">
        <v>1530</v>
      </c>
      <c r="B136" s="75" t="s">
        <v>1531</v>
      </c>
      <c r="C136" s="85">
        <v>1148</v>
      </c>
      <c r="D136" s="86">
        <v>129.80000000000001</v>
      </c>
      <c r="E136" s="87">
        <v>39</v>
      </c>
      <c r="F136" s="86">
        <v>100</v>
      </c>
      <c r="G136" s="17">
        <v>30</v>
      </c>
      <c r="H136" s="88">
        <v>91</v>
      </c>
      <c r="I136" s="89"/>
      <c r="J136" s="89"/>
      <c r="K136" s="89">
        <v>34000</v>
      </c>
      <c r="L136" s="89" t="s">
        <v>92</v>
      </c>
      <c r="M136" s="90">
        <f>I136-K136</f>
        <v>-34000</v>
      </c>
      <c r="N136" s="4" t="str">
        <f>IF(ISERROR(K136/I136),"",K136/I136)</f>
        <v/>
      </c>
      <c r="O136" s="91">
        <f>I136/E136</f>
        <v>0</v>
      </c>
      <c r="P136" s="91">
        <f>K136/E136</f>
        <v>871.79487179487182</v>
      </c>
      <c r="Q136" s="79">
        <v>4</v>
      </c>
      <c r="R136" s="79">
        <v>2</v>
      </c>
      <c r="S136" s="79" t="s">
        <v>62</v>
      </c>
      <c r="T136" s="5">
        <v>129</v>
      </c>
      <c r="U136" s="9"/>
      <c r="W136" s="86">
        <f t="shared" si="113"/>
        <v>129.80000000000001</v>
      </c>
      <c r="X136" s="87">
        <f t="shared" si="113"/>
        <v>39</v>
      </c>
      <c r="Y136" s="92">
        <f t="shared" si="114"/>
        <v>91</v>
      </c>
      <c r="Z136" s="90">
        <f t="shared" si="114"/>
        <v>0</v>
      </c>
      <c r="AA136" s="90">
        <f>K136</f>
        <v>34000</v>
      </c>
      <c r="AB136" s="90">
        <f t="shared" si="115"/>
        <v>-34000</v>
      </c>
      <c r="AC136" s="4" t="str">
        <f t="shared" si="115"/>
        <v/>
      </c>
      <c r="AD136" s="91">
        <f t="shared" si="115"/>
        <v>0</v>
      </c>
      <c r="AE136" s="79" t="str">
        <f>S136</f>
        <v>계</v>
      </c>
      <c r="AF136" s="79" t="str">
        <f>Q136&amp;"/"&amp;R136</f>
        <v>4/2</v>
      </c>
      <c r="AH136" s="20" t="str">
        <f t="shared" si="116"/>
        <v>문암동 청주테크노폴리스지웰푸르지오</v>
      </c>
      <c r="AI136" s="87">
        <f t="shared" si="117"/>
        <v>39</v>
      </c>
      <c r="AJ136" s="79" t="str">
        <f>IF(AI136="","",$AJ$2)</f>
        <v>A-</v>
      </c>
      <c r="AK136" s="79" t="s">
        <v>13</v>
      </c>
      <c r="AL136" s="79" t="s">
        <v>60</v>
      </c>
      <c r="AM136" s="79" t="s">
        <v>61</v>
      </c>
      <c r="AN136" s="79" t="str">
        <f>IF(AI136="","",$AN$2)</f>
        <v>C</v>
      </c>
      <c r="AO136" s="79" t="str">
        <f>IF(N136="","",IF(N136&gt;=$AO$1/100,"O","X"))</f>
        <v/>
      </c>
      <c r="AP136" s="79" t="str">
        <f>IF(I136="","",IF(I136&lt;=$AP$1,"O","X"))</f>
        <v/>
      </c>
      <c r="AQ136" s="79" t="str">
        <f>IF(O136="","",IF(O136&lt;=$AQ$1,"O","X"))</f>
        <v>O</v>
      </c>
      <c r="AR136" s="79" t="str">
        <f>IF(M136="","",IF(M136&lt;=$AR$1,"O","X"))</f>
        <v>O</v>
      </c>
      <c r="AS136" s="79" t="s">
        <v>2</v>
      </c>
      <c r="AT136" s="79" t="str">
        <f>IF(OR(F136="",AI136=""),"",IF(AND((F136&lt;=85),(AI136&gt;=15)),"O","X"))</f>
        <v>X</v>
      </c>
      <c r="AU136" s="79" t="str">
        <f>IF(C136="","",IF(C136&gt;=$AU$1,"O","X"))</f>
        <v>O</v>
      </c>
      <c r="AV136" s="79" t="str">
        <f>IF(AO136="","",IF(AND(AO136="O",AP136="O",AR136="O",AT136="O",AU136="O"),"후보","X"))</f>
        <v/>
      </c>
    </row>
    <row r="137" spans="1:48" s="37" customFormat="1" ht="12" x14ac:dyDescent="0.3">
      <c r="A137" s="74" t="s">
        <v>1533</v>
      </c>
      <c r="B137" s="75" t="s">
        <v>1534</v>
      </c>
      <c r="C137" s="85">
        <v>270</v>
      </c>
      <c r="D137" s="86">
        <v>61.5</v>
      </c>
      <c r="E137" s="87">
        <v>19</v>
      </c>
      <c r="F137" s="86">
        <v>47.1</v>
      </c>
      <c r="G137" s="17">
        <v>14</v>
      </c>
      <c r="H137" s="88">
        <v>200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9">
        <v>2</v>
      </c>
      <c r="R137" s="79">
        <v>1</v>
      </c>
      <c r="S137" s="79" t="s">
        <v>62</v>
      </c>
      <c r="T137" s="5">
        <v>61</v>
      </c>
      <c r="U137" s="9"/>
      <c r="W137" s="86">
        <f>D137</f>
        <v>61.5</v>
      </c>
      <c r="X137" s="87">
        <f>E137</f>
        <v>19</v>
      </c>
      <c r="Y137" s="92">
        <f>H137</f>
        <v>200</v>
      </c>
      <c r="Z137" s="90">
        <f>I137</f>
        <v>0</v>
      </c>
      <c r="AA137" s="90">
        <f>K137</f>
        <v>0</v>
      </c>
      <c r="AB137" s="90">
        <f t="shared" si="115"/>
        <v>0</v>
      </c>
      <c r="AC137" s="4" t="str">
        <f t="shared" si="115"/>
        <v/>
      </c>
      <c r="AD137" s="91">
        <f t="shared" si="115"/>
        <v>0</v>
      </c>
      <c r="AE137" s="79" t="str">
        <f>S137</f>
        <v>계</v>
      </c>
      <c r="AF137" s="79" t="str">
        <f>Q137&amp;"/"&amp;R137</f>
        <v>2/1</v>
      </c>
      <c r="AH137" s="20" t="str">
        <f t="shared" si="116"/>
        <v>복대동 형석(2442)</v>
      </c>
      <c r="AI137" s="87">
        <f t="shared" si="117"/>
        <v>19</v>
      </c>
      <c r="AJ137" s="79" t="str">
        <f>IF(AI137="","",$AJ$2)</f>
        <v>A-</v>
      </c>
      <c r="AK137" s="79" t="s">
        <v>13</v>
      </c>
      <c r="AL137" s="79" t="s">
        <v>60</v>
      </c>
      <c r="AM137" s="79" t="s">
        <v>61</v>
      </c>
      <c r="AN137" s="79" t="str">
        <f>IF(AI137="","",$AN$2)</f>
        <v>C</v>
      </c>
      <c r="AO137" s="79" t="str">
        <f>IF(N137="","",IF(N137&gt;=$AO$1/100,"O","X"))</f>
        <v/>
      </c>
      <c r="AP137" s="79" t="str">
        <f>IF(I137="","",IF(I137&lt;=$AP$1,"O","X"))</f>
        <v/>
      </c>
      <c r="AQ137" s="79" t="str">
        <f>IF(O137="","",IF(O137&lt;=$AQ$1,"O","X"))</f>
        <v>O</v>
      </c>
      <c r="AR137" s="79" t="str">
        <f>IF(M137="","",IF(M137&lt;=$AR$1,"O","X"))</f>
        <v>O</v>
      </c>
      <c r="AS137" s="79" t="s">
        <v>2</v>
      </c>
      <c r="AT137" s="79" t="str">
        <f>IF(OR(F137="",AI137=""),"",IF(AND((F137&lt;=85),(AI137&gt;=15)),"O","X"))</f>
        <v>O</v>
      </c>
      <c r="AU137" s="79" t="str">
        <f>IF(C137="","",IF(C137&gt;=$AU$1,"O","X"))</f>
        <v>X</v>
      </c>
      <c r="AV137" s="79" t="str">
        <f>IF(AO137="","",IF(AND(AO137="O",AP137="O",AR137="O",AT137="O",AU137="O"),"후보","X"))</f>
        <v/>
      </c>
    </row>
    <row r="138" spans="1:48" s="37" customFormat="1" ht="12" x14ac:dyDescent="0.3">
      <c r="A138" s="74" t="s">
        <v>1533</v>
      </c>
      <c r="B138" s="75" t="s">
        <v>1534</v>
      </c>
      <c r="C138" s="85">
        <v>270</v>
      </c>
      <c r="D138" s="86">
        <v>73</v>
      </c>
      <c r="E138" s="87">
        <v>22</v>
      </c>
      <c r="F138" s="86">
        <v>57.3</v>
      </c>
      <c r="G138" s="17">
        <v>17</v>
      </c>
      <c r="H138" s="88">
        <v>70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9">
        <v>3</v>
      </c>
      <c r="R138" s="79">
        <v>1</v>
      </c>
      <c r="S138" s="79" t="s">
        <v>62</v>
      </c>
      <c r="T138" s="5">
        <v>72</v>
      </c>
      <c r="U138" s="9"/>
      <c r="W138" s="86">
        <f>D138</f>
        <v>73</v>
      </c>
      <c r="X138" s="87">
        <f>E138</f>
        <v>22</v>
      </c>
      <c r="Y138" s="92">
        <f>H138</f>
        <v>70</v>
      </c>
      <c r="Z138" s="90">
        <f>I138</f>
        <v>0</v>
      </c>
      <c r="AA138" s="90">
        <f>K138</f>
        <v>0</v>
      </c>
      <c r="AB138" s="90">
        <f t="shared" si="115"/>
        <v>0</v>
      </c>
      <c r="AC138" s="4" t="str">
        <f t="shared" si="115"/>
        <v/>
      </c>
      <c r="AD138" s="91">
        <f t="shared" si="115"/>
        <v>0</v>
      </c>
      <c r="AE138" s="79" t="str">
        <f>S138</f>
        <v>계</v>
      </c>
      <c r="AF138" s="79" t="str">
        <f>Q138&amp;"/"&amp;R138</f>
        <v>3/1</v>
      </c>
      <c r="AH138" s="20" t="str">
        <f t="shared" si="116"/>
        <v>복대동 형석(2442)</v>
      </c>
      <c r="AI138" s="87">
        <f t="shared" si="117"/>
        <v>22</v>
      </c>
      <c r="AJ138" s="79" t="str">
        <f>IF(AI138="","",$AJ$2)</f>
        <v>A-</v>
      </c>
      <c r="AK138" s="79" t="s">
        <v>13</v>
      </c>
      <c r="AL138" s="79" t="s">
        <v>60</v>
      </c>
      <c r="AM138" s="79" t="s">
        <v>61</v>
      </c>
      <c r="AN138" s="79" t="str">
        <f>IF(AI138="","",$AN$2)</f>
        <v>C</v>
      </c>
      <c r="AO138" s="79" t="str">
        <f>IF(N138="","",IF(N138&gt;=$AO$1/100,"O","X"))</f>
        <v/>
      </c>
      <c r="AP138" s="79" t="str">
        <f>IF(I138="","",IF(I138&lt;=$AP$1,"O","X"))</f>
        <v/>
      </c>
      <c r="AQ138" s="79" t="str">
        <f>IF(O138="","",IF(O138&lt;=$AQ$1,"O","X"))</f>
        <v>O</v>
      </c>
      <c r="AR138" s="79" t="str">
        <f>IF(M138="","",IF(M138&lt;=$AR$1,"O","X"))</f>
        <v>O</v>
      </c>
      <c r="AS138" s="79" t="s">
        <v>2</v>
      </c>
      <c r="AT138" s="79" t="str">
        <f>IF(OR(F138="",AI138=""),"",IF(AND((F138&lt;=85),(AI138&gt;=15)),"O","X"))</f>
        <v>O</v>
      </c>
      <c r="AU138" s="79" t="str">
        <f>IF(C138="","",IF(C138&gt;=$AU$1,"O","X"))</f>
        <v>X</v>
      </c>
      <c r="AV138" s="79" t="str">
        <f>IF(AO138="","",IF(AND(AO138="O",AP138="O",AR138="O",AT138="O",AU138="O"),"후보","X"))</f>
        <v/>
      </c>
    </row>
    <row r="139" spans="1:48" s="37" customFormat="1" ht="12" x14ac:dyDescent="0.3">
      <c r="A139" s="74" t="s">
        <v>1535</v>
      </c>
      <c r="B139" s="75" t="s">
        <v>1536</v>
      </c>
      <c r="C139" s="85">
        <v>230</v>
      </c>
      <c r="D139" s="86">
        <v>91.4</v>
      </c>
      <c r="E139" s="87">
        <v>28</v>
      </c>
      <c r="F139" s="86">
        <v>72.599999999999994</v>
      </c>
      <c r="G139" s="17">
        <v>22</v>
      </c>
      <c r="H139" s="88">
        <v>20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9">
        <v>3</v>
      </c>
      <c r="R139" s="79">
        <v>1</v>
      </c>
      <c r="S139" s="79" t="s">
        <v>62</v>
      </c>
      <c r="T139" s="5">
        <v>91</v>
      </c>
      <c r="U139" s="9"/>
      <c r="W139" s="86">
        <f t="shared" ref="W139:X149" si="118">D139</f>
        <v>91.4</v>
      </c>
      <c r="X139" s="87">
        <f t="shared" si="118"/>
        <v>28</v>
      </c>
      <c r="Y139" s="92">
        <f t="shared" ref="Y139:Z149" si="119">H139</f>
        <v>20</v>
      </c>
      <c r="Z139" s="90">
        <f t="shared" si="119"/>
        <v>0</v>
      </c>
      <c r="AA139" s="90">
        <f>K139</f>
        <v>0</v>
      </c>
      <c r="AB139" s="90">
        <f t="shared" si="115"/>
        <v>0</v>
      </c>
      <c r="AC139" s="4" t="str">
        <f t="shared" si="115"/>
        <v/>
      </c>
      <c r="AD139" s="91">
        <f t="shared" si="115"/>
        <v>0</v>
      </c>
      <c r="AE139" s="79" t="str">
        <f>S139</f>
        <v>계</v>
      </c>
      <c r="AF139" s="79" t="str">
        <f>Q139&amp;"/"&amp;R139</f>
        <v>3/1</v>
      </c>
      <c r="AH139" s="20" t="str">
        <f t="shared" si="116"/>
        <v>복대동 삼일(2008)</v>
      </c>
      <c r="AI139" s="87">
        <f t="shared" si="117"/>
        <v>28</v>
      </c>
      <c r="AJ139" s="79" t="str">
        <f>IF(AI139="","",$AJ$2)</f>
        <v>A-</v>
      </c>
      <c r="AK139" s="79" t="s">
        <v>13</v>
      </c>
      <c r="AL139" s="79" t="s">
        <v>60</v>
      </c>
      <c r="AM139" s="79" t="s">
        <v>61</v>
      </c>
      <c r="AN139" s="79" t="str">
        <f>IF(AI139="","",$AN$2)</f>
        <v>C</v>
      </c>
      <c r="AO139" s="79" t="str">
        <f>IF(N139="","",IF(N139&gt;=$AO$1/100,"O","X"))</f>
        <v/>
      </c>
      <c r="AP139" s="79" t="str">
        <f>IF(I139="","",IF(I139&lt;=$AP$1,"O","X"))</f>
        <v/>
      </c>
      <c r="AQ139" s="79" t="str">
        <f>IF(O139="","",IF(O139&lt;=$AQ$1,"O","X"))</f>
        <v>O</v>
      </c>
      <c r="AR139" s="79" t="str">
        <f>IF(M139="","",IF(M139&lt;=$AR$1,"O","X"))</f>
        <v>O</v>
      </c>
      <c r="AS139" s="79" t="s">
        <v>2</v>
      </c>
      <c r="AT139" s="79" t="str">
        <f>IF(OR(F139="",AI139=""),"",IF(AND((F139&lt;=85),(AI139&gt;=15)),"O","X"))</f>
        <v>O</v>
      </c>
      <c r="AU139" s="79" t="str">
        <f>IF(C139="","",IF(C139&gt;=$AU$1,"O","X"))</f>
        <v>X</v>
      </c>
      <c r="AV139" s="79" t="str">
        <f>IF(AO139="","",IF(AND(AO139="O",AP139="O",AR139="O",AT139="O",AU139="O"),"후보","X"))</f>
        <v/>
      </c>
    </row>
    <row r="140" spans="1:48" s="37" customFormat="1" ht="12" x14ac:dyDescent="0.3">
      <c r="A140" s="74" t="s">
        <v>1535</v>
      </c>
      <c r="B140" s="75" t="s">
        <v>1536</v>
      </c>
      <c r="C140" s="85">
        <v>230</v>
      </c>
      <c r="D140" s="86">
        <v>105.9</v>
      </c>
      <c r="E140" s="87">
        <v>32</v>
      </c>
      <c r="F140" s="86">
        <v>84.1</v>
      </c>
      <c r="G140" s="17">
        <v>25</v>
      </c>
      <c r="H140" s="88">
        <v>130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62</v>
      </c>
      <c r="T140" s="5">
        <v>105</v>
      </c>
      <c r="U140" s="9"/>
      <c r="W140" s="86">
        <f t="shared" si="118"/>
        <v>105.9</v>
      </c>
      <c r="X140" s="87">
        <f t="shared" si="118"/>
        <v>32</v>
      </c>
      <c r="Y140" s="92">
        <f t="shared" si="119"/>
        <v>130</v>
      </c>
      <c r="Z140" s="90">
        <f t="shared" si="119"/>
        <v>0</v>
      </c>
      <c r="AA140" s="90">
        <f>K140</f>
        <v>0</v>
      </c>
      <c r="AB140" s="90">
        <f t="shared" si="115"/>
        <v>0</v>
      </c>
      <c r="AC140" s="4" t="str">
        <f t="shared" si="115"/>
        <v/>
      </c>
      <c r="AD140" s="91">
        <f t="shared" si="115"/>
        <v>0</v>
      </c>
      <c r="AE140" s="79" t="str">
        <f>S140</f>
        <v>계</v>
      </c>
      <c r="AF140" s="79" t="str">
        <f>Q140&amp;"/"&amp;R140</f>
        <v>3/2</v>
      </c>
      <c r="AH140" s="20" t="str">
        <f t="shared" si="116"/>
        <v>복대동 삼일(2008)</v>
      </c>
      <c r="AI140" s="87">
        <f t="shared" si="117"/>
        <v>32</v>
      </c>
      <c r="AJ140" s="79" t="str">
        <f>IF(AI140="","",$AJ$2)</f>
        <v>A-</v>
      </c>
      <c r="AK140" s="79" t="s">
        <v>13</v>
      </c>
      <c r="AL140" s="79" t="s">
        <v>60</v>
      </c>
      <c r="AM140" s="79" t="s">
        <v>61</v>
      </c>
      <c r="AN140" s="79" t="str">
        <f>IF(AI140="","",$AN$2)</f>
        <v>C</v>
      </c>
      <c r="AO140" s="79" t="str">
        <f>IF(N140="","",IF(N140&gt;=$AO$1/100,"O","X"))</f>
        <v/>
      </c>
      <c r="AP140" s="79" t="str">
        <f>IF(I140="","",IF(I140&lt;=$AP$1,"O","X"))</f>
        <v/>
      </c>
      <c r="AQ140" s="79" t="str">
        <f>IF(O140="","",IF(O140&lt;=$AQ$1,"O","X"))</f>
        <v>O</v>
      </c>
      <c r="AR140" s="79" t="str">
        <f>IF(M140="","",IF(M140&lt;=$AR$1,"O","X"))</f>
        <v>O</v>
      </c>
      <c r="AS140" s="79" t="s">
        <v>2</v>
      </c>
      <c r="AT140" s="79" t="str">
        <f>IF(OR(F140="",AI140=""),"",IF(AND((F140&lt;=85),(AI140&gt;=15)),"O","X"))</f>
        <v>O</v>
      </c>
      <c r="AU140" s="79" t="str">
        <f>IF(C140="","",IF(C140&gt;=$AU$1,"O","X"))</f>
        <v>X</v>
      </c>
      <c r="AV140" s="79" t="str">
        <f>IF(AO140="","",IF(AND(AO140="O",AP140="O",AR140="O",AT140="O",AU140="O"),"후보","X"))</f>
        <v/>
      </c>
    </row>
    <row r="141" spans="1:48" s="37" customFormat="1" ht="12" x14ac:dyDescent="0.3">
      <c r="A141" s="74" t="s">
        <v>1535</v>
      </c>
      <c r="B141" s="75" t="s">
        <v>1536</v>
      </c>
      <c r="C141" s="85">
        <v>230</v>
      </c>
      <c r="D141" s="86">
        <v>154</v>
      </c>
      <c r="E141" s="87">
        <v>47</v>
      </c>
      <c r="F141" s="86">
        <v>122.3</v>
      </c>
      <c r="G141" s="17">
        <v>37</v>
      </c>
      <c r="H141" s="88">
        <v>40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9">
        <v>4</v>
      </c>
      <c r="R141" s="79">
        <v>2</v>
      </c>
      <c r="S141" s="79" t="s">
        <v>62</v>
      </c>
      <c r="T141" s="5">
        <v>153</v>
      </c>
      <c r="U141" s="9"/>
      <c r="W141" s="86">
        <f t="shared" si="118"/>
        <v>154</v>
      </c>
      <c r="X141" s="87">
        <f t="shared" si="118"/>
        <v>47</v>
      </c>
      <c r="Y141" s="92">
        <f t="shared" si="119"/>
        <v>40</v>
      </c>
      <c r="Z141" s="90">
        <f t="shared" si="119"/>
        <v>0</v>
      </c>
      <c r="AA141" s="90">
        <f>K141</f>
        <v>0</v>
      </c>
      <c r="AB141" s="90">
        <f t="shared" si="115"/>
        <v>0</v>
      </c>
      <c r="AC141" s="4" t="str">
        <f t="shared" si="115"/>
        <v/>
      </c>
      <c r="AD141" s="91">
        <f t="shared" si="115"/>
        <v>0</v>
      </c>
      <c r="AE141" s="79" t="str">
        <f>S141</f>
        <v>계</v>
      </c>
      <c r="AF141" s="79" t="str">
        <f>Q141&amp;"/"&amp;R141</f>
        <v>4/2</v>
      </c>
      <c r="AH141" s="20" t="str">
        <f t="shared" si="116"/>
        <v>복대동 삼일(2008)</v>
      </c>
      <c r="AI141" s="87">
        <f t="shared" si="117"/>
        <v>47</v>
      </c>
      <c r="AJ141" s="79" t="str">
        <f>IF(AI141="","",$AJ$2)</f>
        <v>A-</v>
      </c>
      <c r="AK141" s="79" t="s">
        <v>13</v>
      </c>
      <c r="AL141" s="79" t="s">
        <v>60</v>
      </c>
      <c r="AM141" s="79" t="s">
        <v>61</v>
      </c>
      <c r="AN141" s="79" t="str">
        <f>IF(AI141="","",$AN$2)</f>
        <v>C</v>
      </c>
      <c r="AO141" s="79" t="str">
        <f>IF(N141="","",IF(N141&gt;=$AO$1/100,"O","X"))</f>
        <v/>
      </c>
      <c r="AP141" s="79" t="str">
        <f>IF(I141="","",IF(I141&lt;=$AP$1,"O","X"))</f>
        <v/>
      </c>
      <c r="AQ141" s="79" t="str">
        <f>IF(O141="","",IF(O141&lt;=$AQ$1,"O","X"))</f>
        <v>O</v>
      </c>
      <c r="AR141" s="79" t="str">
        <f>IF(M141="","",IF(M141&lt;=$AR$1,"O","X"))</f>
        <v>O</v>
      </c>
      <c r="AS141" s="79" t="s">
        <v>2</v>
      </c>
      <c r="AT141" s="79" t="str">
        <f>IF(OR(F141="",AI141=""),"",IF(AND((F141&lt;=85),(AI141&gt;=15)),"O","X"))</f>
        <v>X</v>
      </c>
      <c r="AU141" s="79" t="str">
        <f>IF(C141="","",IF(C141&gt;=$AU$1,"O","X"))</f>
        <v>X</v>
      </c>
      <c r="AV141" s="79" t="str">
        <f>IF(AO141="","",IF(AND(AO141="O",AP141="O",AR141="O",AT141="O",AU141="O"),"후보","X"))</f>
        <v/>
      </c>
    </row>
    <row r="142" spans="1:48" s="37" customFormat="1" ht="12" x14ac:dyDescent="0.3">
      <c r="A142" s="74" t="s">
        <v>1535</v>
      </c>
      <c r="B142" s="75" t="s">
        <v>1536</v>
      </c>
      <c r="C142" s="85">
        <v>230</v>
      </c>
      <c r="D142" s="86">
        <v>153.1</v>
      </c>
      <c r="E142" s="87">
        <v>46</v>
      </c>
      <c r="F142" s="86">
        <v>121.6</v>
      </c>
      <c r="G142" s="17">
        <v>37</v>
      </c>
      <c r="H142" s="88">
        <v>20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9">
        <v>4</v>
      </c>
      <c r="R142" s="79">
        <v>2</v>
      </c>
      <c r="S142" s="79" t="s">
        <v>59</v>
      </c>
      <c r="T142" s="5">
        <v>153</v>
      </c>
      <c r="U142" s="9"/>
      <c r="W142" s="86">
        <f t="shared" si="118"/>
        <v>153.1</v>
      </c>
      <c r="X142" s="87">
        <f t="shared" si="118"/>
        <v>46</v>
      </c>
      <c r="Y142" s="92">
        <f t="shared" si="119"/>
        <v>20</v>
      </c>
      <c r="Z142" s="90">
        <f t="shared" si="119"/>
        <v>0</v>
      </c>
      <c r="AA142" s="90">
        <f>K142</f>
        <v>0</v>
      </c>
      <c r="AB142" s="90">
        <f t="shared" si="115"/>
        <v>0</v>
      </c>
      <c r="AC142" s="4" t="str">
        <f t="shared" si="115"/>
        <v/>
      </c>
      <c r="AD142" s="91">
        <f t="shared" si="115"/>
        <v>0</v>
      </c>
      <c r="AE142" s="79" t="str">
        <f>S142</f>
        <v>복</v>
      </c>
      <c r="AF142" s="79" t="str">
        <f>Q142&amp;"/"&amp;R142</f>
        <v>4/2</v>
      </c>
      <c r="AH142" s="20" t="str">
        <f t="shared" si="116"/>
        <v>복대동 삼일(2008)</v>
      </c>
      <c r="AI142" s="87">
        <f t="shared" si="117"/>
        <v>46</v>
      </c>
      <c r="AJ142" s="79" t="str">
        <f>IF(AI142="","",$AJ$2)</f>
        <v>A-</v>
      </c>
      <c r="AK142" s="79" t="s">
        <v>13</v>
      </c>
      <c r="AL142" s="79" t="s">
        <v>60</v>
      </c>
      <c r="AM142" s="79" t="s">
        <v>61</v>
      </c>
      <c r="AN142" s="79" t="str">
        <f>IF(AI142="","",$AN$2)</f>
        <v>C</v>
      </c>
      <c r="AO142" s="79" t="str">
        <f>IF(N142="","",IF(N142&gt;=$AO$1/100,"O","X"))</f>
        <v/>
      </c>
      <c r="AP142" s="79" t="str">
        <f>IF(I142="","",IF(I142&lt;=$AP$1,"O","X"))</f>
        <v/>
      </c>
      <c r="AQ142" s="79" t="str">
        <f>IF(O142="","",IF(O142&lt;=$AQ$1,"O","X"))</f>
        <v>O</v>
      </c>
      <c r="AR142" s="79" t="str">
        <f>IF(M142="","",IF(M142&lt;=$AR$1,"O","X"))</f>
        <v>O</v>
      </c>
      <c r="AS142" s="79" t="s">
        <v>2</v>
      </c>
      <c r="AT142" s="79" t="str">
        <f>IF(OR(F142="",AI142=""),"",IF(AND((F142&lt;=85),(AI142&gt;=15)),"O","X"))</f>
        <v>X</v>
      </c>
      <c r="AU142" s="79" t="str">
        <f>IF(C142="","",IF(C142&gt;=$AU$1,"O","X"))</f>
        <v>X</v>
      </c>
      <c r="AV142" s="79" t="str">
        <f>IF(AO142="","",IF(AND(AO142="O",AP142="O",AR142="O",AT142="O",AU142="O"),"후보","X"))</f>
        <v/>
      </c>
    </row>
    <row r="143" spans="1:48" s="37" customFormat="1" ht="12" x14ac:dyDescent="0.3">
      <c r="A143" s="74" t="s">
        <v>1535</v>
      </c>
      <c r="B143" s="75" t="s">
        <v>1536</v>
      </c>
      <c r="C143" s="85">
        <v>230</v>
      </c>
      <c r="D143" s="86">
        <v>165.5</v>
      </c>
      <c r="E143" s="87">
        <v>50</v>
      </c>
      <c r="F143" s="86">
        <v>131.4</v>
      </c>
      <c r="G143" s="17">
        <v>40</v>
      </c>
      <c r="H143" s="88">
        <v>20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9">
        <v>4</v>
      </c>
      <c r="R143" s="79">
        <v>2</v>
      </c>
      <c r="S143" s="79" t="s">
        <v>62</v>
      </c>
      <c r="T143" s="5">
        <v>165</v>
      </c>
      <c r="U143" s="9"/>
      <c r="W143" s="86">
        <f t="shared" si="118"/>
        <v>165.5</v>
      </c>
      <c r="X143" s="87">
        <f t="shared" si="118"/>
        <v>50</v>
      </c>
      <c r="Y143" s="92">
        <f t="shared" si="119"/>
        <v>20</v>
      </c>
      <c r="Z143" s="90">
        <f t="shared" si="119"/>
        <v>0</v>
      </c>
      <c r="AA143" s="90">
        <f>K143</f>
        <v>0</v>
      </c>
      <c r="AB143" s="90">
        <f t="shared" si="115"/>
        <v>0</v>
      </c>
      <c r="AC143" s="4" t="str">
        <f t="shared" si="115"/>
        <v/>
      </c>
      <c r="AD143" s="91">
        <f t="shared" si="115"/>
        <v>0</v>
      </c>
      <c r="AE143" s="79" t="str">
        <f>S143</f>
        <v>계</v>
      </c>
      <c r="AF143" s="79" t="str">
        <f>Q143&amp;"/"&amp;R143</f>
        <v>4/2</v>
      </c>
      <c r="AH143" s="20" t="str">
        <f t="shared" si="116"/>
        <v>복대동 삼일(2008)</v>
      </c>
      <c r="AI143" s="87">
        <f t="shared" si="117"/>
        <v>50</v>
      </c>
      <c r="AJ143" s="79" t="str">
        <f>IF(AI143="","",$AJ$2)</f>
        <v>A-</v>
      </c>
      <c r="AK143" s="79" t="s">
        <v>13</v>
      </c>
      <c r="AL143" s="79" t="s">
        <v>60</v>
      </c>
      <c r="AM143" s="79" t="s">
        <v>61</v>
      </c>
      <c r="AN143" s="79" t="str">
        <f>IF(AI143="","",$AN$2)</f>
        <v>C</v>
      </c>
      <c r="AO143" s="79" t="str">
        <f>IF(N143="","",IF(N143&gt;=$AO$1/100,"O","X"))</f>
        <v/>
      </c>
      <c r="AP143" s="79" t="str">
        <f>IF(I143="","",IF(I143&lt;=$AP$1,"O","X"))</f>
        <v/>
      </c>
      <c r="AQ143" s="79" t="str">
        <f>IF(O143="","",IF(O143&lt;=$AQ$1,"O","X"))</f>
        <v>O</v>
      </c>
      <c r="AR143" s="79" t="str">
        <f>IF(M143="","",IF(M143&lt;=$AR$1,"O","X"))</f>
        <v>O</v>
      </c>
      <c r="AS143" s="79" t="s">
        <v>2</v>
      </c>
      <c r="AT143" s="79" t="str">
        <f>IF(OR(F143="",AI143=""),"",IF(AND((F143&lt;=85),(AI143&gt;=15)),"O","X"))</f>
        <v>X</v>
      </c>
      <c r="AU143" s="79" t="str">
        <f>IF(C143="","",IF(C143&gt;=$AU$1,"O","X"))</f>
        <v>X</v>
      </c>
      <c r="AV143" s="79" t="str">
        <f>IF(AO143="","",IF(AND(AO143="O",AP143="O",AR143="O",AT143="O",AU143="O"),"후보","X"))</f>
        <v/>
      </c>
    </row>
    <row r="144" spans="1:48" s="37" customFormat="1" ht="12" x14ac:dyDescent="0.3">
      <c r="A144" s="74" t="s">
        <v>1537</v>
      </c>
      <c r="B144" s="75" t="s">
        <v>1538</v>
      </c>
      <c r="C144" s="85">
        <v>380</v>
      </c>
      <c r="D144" s="86">
        <v>102</v>
      </c>
      <c r="E144" s="87">
        <v>31</v>
      </c>
      <c r="F144" s="86">
        <v>85</v>
      </c>
      <c r="G144" s="17">
        <v>26</v>
      </c>
      <c r="H144" s="88">
        <v>86</v>
      </c>
      <c r="I144" s="89">
        <v>25500</v>
      </c>
      <c r="J144" s="89" t="s">
        <v>70</v>
      </c>
      <c r="K144" s="89"/>
      <c r="L144" s="89"/>
      <c r="M144" s="90">
        <f t="shared" ref="M144:M149" si="120">I144-K144</f>
        <v>25500</v>
      </c>
      <c r="N144" s="4">
        <f t="shared" ref="N144:N149" si="121">IF(ISERROR(K144/I144),"",K144/I144)</f>
        <v>0</v>
      </c>
      <c r="O144" s="91">
        <f t="shared" ref="O144:O149" si="122">I144/E144</f>
        <v>822.58064516129036</v>
      </c>
      <c r="P144" s="91">
        <f t="shared" ref="P144:P149" si="123">K144/E144</f>
        <v>0</v>
      </c>
      <c r="Q144" s="79">
        <v>3</v>
      </c>
      <c r="R144" s="79">
        <v>2</v>
      </c>
      <c r="S144" s="79" t="s">
        <v>62</v>
      </c>
      <c r="T144" s="5">
        <v>102</v>
      </c>
      <c r="U144" s="9"/>
      <c r="W144" s="86">
        <f t="shared" si="118"/>
        <v>102</v>
      </c>
      <c r="X144" s="87">
        <f t="shared" si="118"/>
        <v>31</v>
      </c>
      <c r="Y144" s="92">
        <f t="shared" si="119"/>
        <v>86</v>
      </c>
      <c r="Z144" s="90">
        <f t="shared" si="119"/>
        <v>25500</v>
      </c>
      <c r="AA144" s="90">
        <f t="shared" ref="AA144:AA149" si="124">K144</f>
        <v>0</v>
      </c>
      <c r="AB144" s="90">
        <f t="shared" si="115"/>
        <v>25500</v>
      </c>
      <c r="AC144" s="4">
        <f t="shared" si="115"/>
        <v>0</v>
      </c>
      <c r="AD144" s="91">
        <f t="shared" si="115"/>
        <v>822.58064516129036</v>
      </c>
      <c r="AE144" s="79" t="str">
        <f t="shared" ref="AE144:AE149" si="125">S144</f>
        <v>계</v>
      </c>
      <c r="AF144" s="79" t="str">
        <f t="shared" ref="AF144:AF149" si="126">Q144&amp;"/"&amp;R144</f>
        <v>3/2</v>
      </c>
      <c r="AH144" s="20" t="str">
        <f t="shared" si="116"/>
        <v>복대동 현대1차</v>
      </c>
      <c r="AI144" s="87">
        <f t="shared" si="117"/>
        <v>31</v>
      </c>
      <c r="AJ144" s="79" t="str">
        <f t="shared" ref="AJ144:AJ149" si="127">IF(AI144="","",$AJ$2)</f>
        <v>A-</v>
      </c>
      <c r="AK144" s="79" t="s">
        <v>13</v>
      </c>
      <c r="AL144" s="79" t="s">
        <v>60</v>
      </c>
      <c r="AM144" s="79" t="s">
        <v>61</v>
      </c>
      <c r="AN144" s="79" t="str">
        <f t="shared" ref="AN144:AN149" si="128">IF(AI144="","",$AN$2)</f>
        <v>C</v>
      </c>
      <c r="AO144" s="79" t="str">
        <f t="shared" ref="AO144:AO149" si="129">IF(N144="","",IF(N144&gt;=$AO$1/100,"O","X"))</f>
        <v>X</v>
      </c>
      <c r="AP144" s="79" t="str">
        <f t="shared" ref="AP144:AP149" si="130">IF(I144="","",IF(I144&lt;=$AP$1,"O","X"))</f>
        <v>O</v>
      </c>
      <c r="AQ144" s="79" t="str">
        <f t="shared" ref="AQ144:AQ149" si="131">IF(O144="","",IF(O144&lt;=$AQ$1,"O","X"))</f>
        <v>O</v>
      </c>
      <c r="AR144" s="79" t="str">
        <f t="shared" ref="AR144:AR149" si="132">IF(M144="","",IF(M144&lt;=$AR$1,"O","X"))</f>
        <v>X</v>
      </c>
      <c r="AS144" s="79" t="s">
        <v>2</v>
      </c>
      <c r="AT144" s="79" t="str">
        <f t="shared" ref="AT144:AT149" si="133">IF(OR(F144="",AI144=""),"",IF(AND((F144&lt;=85),(AI144&gt;=15)),"O","X"))</f>
        <v>O</v>
      </c>
      <c r="AU144" s="79" t="str">
        <f t="shared" ref="AU144:AU149" si="134">IF(C144="","",IF(C144&gt;=$AU$1,"O","X"))</f>
        <v>O</v>
      </c>
      <c r="AV144" s="79" t="str">
        <f t="shared" ref="AV144:AV149" si="135">IF(AO144="","",IF(AND(AO144="O",AP144="O",AR144="O",AT144="O",AU144="O"),"후보","X"))</f>
        <v>X</v>
      </c>
    </row>
    <row r="145" spans="1:48" s="37" customFormat="1" ht="12" x14ac:dyDescent="0.3">
      <c r="A145" s="74" t="s">
        <v>1537</v>
      </c>
      <c r="B145" s="75" t="s">
        <v>1538</v>
      </c>
      <c r="C145" s="85">
        <v>380</v>
      </c>
      <c r="D145" s="86">
        <v>105.9</v>
      </c>
      <c r="E145" s="87">
        <v>32</v>
      </c>
      <c r="F145" s="86">
        <v>86.8</v>
      </c>
      <c r="G145" s="17">
        <v>26</v>
      </c>
      <c r="H145" s="88">
        <v>4</v>
      </c>
      <c r="I145" s="89"/>
      <c r="J145" s="89"/>
      <c r="K145" s="89"/>
      <c r="L145" s="89"/>
      <c r="M145" s="90">
        <f t="shared" si="120"/>
        <v>0</v>
      </c>
      <c r="N145" s="4" t="str">
        <f t="shared" si="121"/>
        <v/>
      </c>
      <c r="O145" s="91">
        <f t="shared" si="122"/>
        <v>0</v>
      </c>
      <c r="P145" s="91">
        <f t="shared" si="123"/>
        <v>0</v>
      </c>
      <c r="Q145" s="79">
        <v>2</v>
      </c>
      <c r="R145" s="79">
        <v>2</v>
      </c>
      <c r="S145" s="79" t="s">
        <v>62</v>
      </c>
      <c r="T145" s="5">
        <v>105</v>
      </c>
      <c r="U145" s="9"/>
      <c r="W145" s="86">
        <f t="shared" si="118"/>
        <v>105.9</v>
      </c>
      <c r="X145" s="87">
        <f t="shared" si="118"/>
        <v>32</v>
      </c>
      <c r="Y145" s="92">
        <f t="shared" si="119"/>
        <v>4</v>
      </c>
      <c r="Z145" s="90">
        <f t="shared" si="119"/>
        <v>0</v>
      </c>
      <c r="AA145" s="90">
        <f t="shared" si="124"/>
        <v>0</v>
      </c>
      <c r="AB145" s="90">
        <f t="shared" ref="AB145:AD160" si="136">M145</f>
        <v>0</v>
      </c>
      <c r="AC145" s="4" t="str">
        <f t="shared" si="136"/>
        <v/>
      </c>
      <c r="AD145" s="91">
        <f t="shared" si="136"/>
        <v>0</v>
      </c>
      <c r="AE145" s="79" t="str">
        <f t="shared" si="125"/>
        <v>계</v>
      </c>
      <c r="AF145" s="79" t="str">
        <f t="shared" si="126"/>
        <v>2/2</v>
      </c>
      <c r="AH145" s="20" t="str">
        <f t="shared" si="116"/>
        <v>복대동 현대1차</v>
      </c>
      <c r="AI145" s="87">
        <f t="shared" si="117"/>
        <v>32</v>
      </c>
      <c r="AJ145" s="79" t="str">
        <f t="shared" si="127"/>
        <v>A-</v>
      </c>
      <c r="AK145" s="79" t="s">
        <v>13</v>
      </c>
      <c r="AL145" s="79" t="s">
        <v>60</v>
      </c>
      <c r="AM145" s="79" t="s">
        <v>61</v>
      </c>
      <c r="AN145" s="79" t="str">
        <f t="shared" si="128"/>
        <v>C</v>
      </c>
      <c r="AO145" s="79" t="str">
        <f t="shared" si="129"/>
        <v/>
      </c>
      <c r="AP145" s="79" t="str">
        <f t="shared" si="130"/>
        <v/>
      </c>
      <c r="AQ145" s="79" t="str">
        <f t="shared" si="131"/>
        <v>O</v>
      </c>
      <c r="AR145" s="79" t="str">
        <f t="shared" si="132"/>
        <v>O</v>
      </c>
      <c r="AS145" s="79" t="s">
        <v>2</v>
      </c>
      <c r="AT145" s="79" t="str">
        <f t="shared" si="133"/>
        <v>X</v>
      </c>
      <c r="AU145" s="79" t="str">
        <f t="shared" si="134"/>
        <v>O</v>
      </c>
      <c r="AV145" s="79" t="str">
        <f t="shared" si="135"/>
        <v/>
      </c>
    </row>
    <row r="146" spans="1:48" s="37" customFormat="1" ht="12" x14ac:dyDescent="0.3">
      <c r="A146" s="74" t="s">
        <v>1537</v>
      </c>
      <c r="B146" s="75" t="s">
        <v>1538</v>
      </c>
      <c r="C146" s="85">
        <v>380</v>
      </c>
      <c r="D146" s="86">
        <v>119.7</v>
      </c>
      <c r="E146" s="87">
        <v>36</v>
      </c>
      <c r="F146" s="86">
        <v>99.8</v>
      </c>
      <c r="G146" s="17">
        <v>30</v>
      </c>
      <c r="H146" s="88">
        <v>60</v>
      </c>
      <c r="I146" s="89"/>
      <c r="J146" s="89"/>
      <c r="K146" s="89"/>
      <c r="L146" s="89"/>
      <c r="M146" s="90">
        <f t="shared" si="120"/>
        <v>0</v>
      </c>
      <c r="N146" s="4" t="str">
        <f t="shared" si="121"/>
        <v/>
      </c>
      <c r="O146" s="91">
        <f t="shared" si="122"/>
        <v>0</v>
      </c>
      <c r="P146" s="91">
        <f t="shared" si="123"/>
        <v>0</v>
      </c>
      <c r="Q146" s="79">
        <v>3</v>
      </c>
      <c r="R146" s="79">
        <v>2</v>
      </c>
      <c r="S146" s="79" t="s">
        <v>62</v>
      </c>
      <c r="T146" s="5">
        <v>119</v>
      </c>
      <c r="U146" s="9"/>
      <c r="W146" s="86">
        <f t="shared" si="118"/>
        <v>119.7</v>
      </c>
      <c r="X146" s="87">
        <f t="shared" si="118"/>
        <v>36</v>
      </c>
      <c r="Y146" s="92">
        <f t="shared" si="119"/>
        <v>60</v>
      </c>
      <c r="Z146" s="90">
        <f t="shared" si="119"/>
        <v>0</v>
      </c>
      <c r="AA146" s="90">
        <f t="shared" si="124"/>
        <v>0</v>
      </c>
      <c r="AB146" s="90">
        <f t="shared" si="136"/>
        <v>0</v>
      </c>
      <c r="AC146" s="4" t="str">
        <f t="shared" si="136"/>
        <v/>
      </c>
      <c r="AD146" s="91">
        <f t="shared" si="136"/>
        <v>0</v>
      </c>
      <c r="AE146" s="79" t="str">
        <f t="shared" si="125"/>
        <v>계</v>
      </c>
      <c r="AF146" s="79" t="str">
        <f t="shared" si="126"/>
        <v>3/2</v>
      </c>
      <c r="AH146" s="20" t="str">
        <f t="shared" si="116"/>
        <v>복대동 현대1차</v>
      </c>
      <c r="AI146" s="87">
        <f t="shared" si="117"/>
        <v>36</v>
      </c>
      <c r="AJ146" s="79" t="str">
        <f t="shared" si="127"/>
        <v>A-</v>
      </c>
      <c r="AK146" s="79" t="s">
        <v>13</v>
      </c>
      <c r="AL146" s="79" t="s">
        <v>60</v>
      </c>
      <c r="AM146" s="79" t="s">
        <v>61</v>
      </c>
      <c r="AN146" s="79" t="str">
        <f t="shared" si="128"/>
        <v>C</v>
      </c>
      <c r="AO146" s="79" t="str">
        <f t="shared" si="129"/>
        <v/>
      </c>
      <c r="AP146" s="79" t="str">
        <f t="shared" si="130"/>
        <v/>
      </c>
      <c r="AQ146" s="79" t="str">
        <f t="shared" si="131"/>
        <v>O</v>
      </c>
      <c r="AR146" s="79" t="str">
        <f t="shared" si="132"/>
        <v>O</v>
      </c>
      <c r="AS146" s="79" t="s">
        <v>2</v>
      </c>
      <c r="AT146" s="79" t="str">
        <f t="shared" si="133"/>
        <v>X</v>
      </c>
      <c r="AU146" s="79" t="str">
        <f t="shared" si="134"/>
        <v>O</v>
      </c>
      <c r="AV146" s="79" t="str">
        <f t="shared" si="135"/>
        <v/>
      </c>
    </row>
    <row r="147" spans="1:48" s="37" customFormat="1" ht="12" x14ac:dyDescent="0.3">
      <c r="A147" s="74" t="s">
        <v>1537</v>
      </c>
      <c r="B147" s="75" t="s">
        <v>1538</v>
      </c>
      <c r="C147" s="85">
        <v>380</v>
      </c>
      <c r="D147" s="86">
        <v>121.3</v>
      </c>
      <c r="E147" s="87">
        <v>37</v>
      </c>
      <c r="F147" s="86">
        <v>99.3</v>
      </c>
      <c r="G147" s="17">
        <v>30</v>
      </c>
      <c r="H147" s="88">
        <v>110</v>
      </c>
      <c r="I147" s="89">
        <v>30500</v>
      </c>
      <c r="J147" s="89" t="s">
        <v>71</v>
      </c>
      <c r="K147" s="89">
        <v>25000</v>
      </c>
      <c r="L147" s="89" t="s">
        <v>70</v>
      </c>
      <c r="M147" s="90">
        <f t="shared" si="120"/>
        <v>5500</v>
      </c>
      <c r="N147" s="4">
        <f t="shared" si="121"/>
        <v>0.81967213114754101</v>
      </c>
      <c r="O147" s="91">
        <f t="shared" si="122"/>
        <v>824.32432432432438</v>
      </c>
      <c r="P147" s="91">
        <f t="shared" si="123"/>
        <v>675.67567567567562</v>
      </c>
      <c r="Q147" s="79">
        <v>3</v>
      </c>
      <c r="R147" s="79">
        <v>2</v>
      </c>
      <c r="S147" s="79" t="s">
        <v>62</v>
      </c>
      <c r="T147" s="5">
        <v>121</v>
      </c>
      <c r="U147" s="9"/>
      <c r="W147" s="86">
        <f t="shared" si="118"/>
        <v>121.3</v>
      </c>
      <c r="X147" s="87">
        <f t="shared" si="118"/>
        <v>37</v>
      </c>
      <c r="Y147" s="92">
        <f t="shared" si="119"/>
        <v>110</v>
      </c>
      <c r="Z147" s="90">
        <f t="shared" si="119"/>
        <v>30500</v>
      </c>
      <c r="AA147" s="90">
        <f t="shared" si="124"/>
        <v>25000</v>
      </c>
      <c r="AB147" s="90">
        <f t="shared" si="136"/>
        <v>5500</v>
      </c>
      <c r="AC147" s="4">
        <f t="shared" si="136"/>
        <v>0.81967213114754101</v>
      </c>
      <c r="AD147" s="91">
        <f t="shared" si="136"/>
        <v>824.32432432432438</v>
      </c>
      <c r="AE147" s="79" t="str">
        <f t="shared" si="125"/>
        <v>계</v>
      </c>
      <c r="AF147" s="79" t="str">
        <f t="shared" si="126"/>
        <v>3/2</v>
      </c>
      <c r="AH147" s="20" t="str">
        <f t="shared" si="116"/>
        <v>복대동 현대1차</v>
      </c>
      <c r="AI147" s="87">
        <f t="shared" si="117"/>
        <v>37</v>
      </c>
      <c r="AJ147" s="79" t="str">
        <f t="shared" si="127"/>
        <v>A-</v>
      </c>
      <c r="AK147" s="79" t="s">
        <v>13</v>
      </c>
      <c r="AL147" s="79" t="s">
        <v>60</v>
      </c>
      <c r="AM147" s="79" t="s">
        <v>61</v>
      </c>
      <c r="AN147" s="79" t="str">
        <f t="shared" si="128"/>
        <v>C</v>
      </c>
      <c r="AO147" s="79" t="str">
        <f t="shared" si="129"/>
        <v>O</v>
      </c>
      <c r="AP147" s="79" t="str">
        <f t="shared" si="130"/>
        <v>O</v>
      </c>
      <c r="AQ147" s="79" t="str">
        <f t="shared" si="131"/>
        <v>O</v>
      </c>
      <c r="AR147" s="79" t="str">
        <f t="shared" si="132"/>
        <v>O</v>
      </c>
      <c r="AS147" s="79" t="s">
        <v>2</v>
      </c>
      <c r="AT147" s="79" t="str">
        <f t="shared" si="133"/>
        <v>X</v>
      </c>
      <c r="AU147" s="79" t="str">
        <f t="shared" si="134"/>
        <v>O</v>
      </c>
      <c r="AV147" s="79" t="str">
        <f t="shared" si="135"/>
        <v>X</v>
      </c>
    </row>
    <row r="148" spans="1:48" s="37" customFormat="1" ht="12" x14ac:dyDescent="0.3">
      <c r="A148" s="74" t="s">
        <v>1537</v>
      </c>
      <c r="B148" s="75" t="s">
        <v>1538</v>
      </c>
      <c r="C148" s="85">
        <v>380</v>
      </c>
      <c r="D148" s="86">
        <v>161.1</v>
      </c>
      <c r="E148" s="87">
        <v>49</v>
      </c>
      <c r="F148" s="86">
        <v>134.19999999999999</v>
      </c>
      <c r="G148" s="17">
        <v>41</v>
      </c>
      <c r="H148" s="88">
        <v>90</v>
      </c>
      <c r="I148" s="89">
        <v>35000</v>
      </c>
      <c r="J148" s="89" t="s">
        <v>92</v>
      </c>
      <c r="K148" s="89"/>
      <c r="L148" s="89"/>
      <c r="M148" s="90">
        <f t="shared" si="120"/>
        <v>35000</v>
      </c>
      <c r="N148" s="4">
        <f t="shared" si="121"/>
        <v>0</v>
      </c>
      <c r="O148" s="91">
        <f t="shared" si="122"/>
        <v>714.28571428571433</v>
      </c>
      <c r="P148" s="91">
        <f t="shared" si="123"/>
        <v>0</v>
      </c>
      <c r="Q148" s="79">
        <v>4</v>
      </c>
      <c r="R148" s="79">
        <v>2</v>
      </c>
      <c r="S148" s="79" t="s">
        <v>62</v>
      </c>
      <c r="T148" s="5">
        <v>161</v>
      </c>
      <c r="U148" s="9"/>
      <c r="W148" s="86">
        <f t="shared" si="118"/>
        <v>161.1</v>
      </c>
      <c r="X148" s="87">
        <f t="shared" si="118"/>
        <v>49</v>
      </c>
      <c r="Y148" s="92">
        <f t="shared" si="119"/>
        <v>90</v>
      </c>
      <c r="Z148" s="90">
        <f t="shared" si="119"/>
        <v>35000</v>
      </c>
      <c r="AA148" s="90">
        <f t="shared" si="124"/>
        <v>0</v>
      </c>
      <c r="AB148" s="90">
        <f t="shared" si="136"/>
        <v>35000</v>
      </c>
      <c r="AC148" s="4">
        <f t="shared" si="136"/>
        <v>0</v>
      </c>
      <c r="AD148" s="91">
        <f t="shared" si="136"/>
        <v>714.28571428571433</v>
      </c>
      <c r="AE148" s="79" t="str">
        <f t="shared" si="125"/>
        <v>계</v>
      </c>
      <c r="AF148" s="79" t="str">
        <f t="shared" si="126"/>
        <v>4/2</v>
      </c>
      <c r="AH148" s="20" t="str">
        <f t="shared" si="116"/>
        <v>복대동 현대1차</v>
      </c>
      <c r="AI148" s="87">
        <f t="shared" si="117"/>
        <v>49</v>
      </c>
      <c r="AJ148" s="79" t="str">
        <f t="shared" si="127"/>
        <v>A-</v>
      </c>
      <c r="AK148" s="79" t="s">
        <v>13</v>
      </c>
      <c r="AL148" s="79" t="s">
        <v>60</v>
      </c>
      <c r="AM148" s="79" t="s">
        <v>61</v>
      </c>
      <c r="AN148" s="79" t="str">
        <f t="shared" si="128"/>
        <v>C</v>
      </c>
      <c r="AO148" s="79" t="str">
        <f t="shared" si="129"/>
        <v>X</v>
      </c>
      <c r="AP148" s="79" t="str">
        <f t="shared" si="130"/>
        <v>O</v>
      </c>
      <c r="AQ148" s="79" t="str">
        <f t="shared" si="131"/>
        <v>O</v>
      </c>
      <c r="AR148" s="79" t="str">
        <f t="shared" si="132"/>
        <v>X</v>
      </c>
      <c r="AS148" s="79" t="s">
        <v>2</v>
      </c>
      <c r="AT148" s="79" t="str">
        <f t="shared" si="133"/>
        <v>X</v>
      </c>
      <c r="AU148" s="79" t="str">
        <f t="shared" si="134"/>
        <v>O</v>
      </c>
      <c r="AV148" s="79" t="str">
        <f t="shared" si="135"/>
        <v>X</v>
      </c>
    </row>
    <row r="149" spans="1:48" s="37" customFormat="1" ht="12" x14ac:dyDescent="0.3">
      <c r="A149" s="74" t="s">
        <v>1537</v>
      </c>
      <c r="B149" s="75" t="s">
        <v>1538</v>
      </c>
      <c r="C149" s="85">
        <v>380</v>
      </c>
      <c r="D149" s="86">
        <v>209.3</v>
      </c>
      <c r="E149" s="87">
        <v>63</v>
      </c>
      <c r="F149" s="86">
        <v>181.1</v>
      </c>
      <c r="G149" s="17">
        <v>55</v>
      </c>
      <c r="H149" s="88">
        <v>30</v>
      </c>
      <c r="I149" s="89"/>
      <c r="J149" s="89"/>
      <c r="K149" s="89"/>
      <c r="L149" s="89"/>
      <c r="M149" s="90">
        <f t="shared" si="120"/>
        <v>0</v>
      </c>
      <c r="N149" s="4" t="str">
        <f t="shared" si="121"/>
        <v/>
      </c>
      <c r="O149" s="91">
        <f t="shared" si="122"/>
        <v>0</v>
      </c>
      <c r="P149" s="91">
        <f t="shared" si="123"/>
        <v>0</v>
      </c>
      <c r="Q149" s="79">
        <v>5</v>
      </c>
      <c r="R149" s="79">
        <v>2</v>
      </c>
      <c r="S149" s="79" t="s">
        <v>62</v>
      </c>
      <c r="T149" s="5">
        <v>209</v>
      </c>
      <c r="U149" s="9"/>
      <c r="W149" s="86">
        <f t="shared" si="118"/>
        <v>209.3</v>
      </c>
      <c r="X149" s="87">
        <f t="shared" si="118"/>
        <v>63</v>
      </c>
      <c r="Y149" s="92">
        <f t="shared" si="119"/>
        <v>30</v>
      </c>
      <c r="Z149" s="90">
        <f t="shared" si="119"/>
        <v>0</v>
      </c>
      <c r="AA149" s="90">
        <f t="shared" si="124"/>
        <v>0</v>
      </c>
      <c r="AB149" s="90">
        <f t="shared" si="136"/>
        <v>0</v>
      </c>
      <c r="AC149" s="4" t="str">
        <f t="shared" si="136"/>
        <v/>
      </c>
      <c r="AD149" s="91">
        <f t="shared" si="136"/>
        <v>0</v>
      </c>
      <c r="AE149" s="79" t="str">
        <f t="shared" si="125"/>
        <v>계</v>
      </c>
      <c r="AF149" s="79" t="str">
        <f t="shared" si="126"/>
        <v>5/2</v>
      </c>
      <c r="AH149" s="20" t="str">
        <f t="shared" si="116"/>
        <v>복대동 현대1차</v>
      </c>
      <c r="AI149" s="87">
        <f t="shared" si="117"/>
        <v>63</v>
      </c>
      <c r="AJ149" s="79" t="str">
        <f t="shared" si="127"/>
        <v>A-</v>
      </c>
      <c r="AK149" s="79" t="s">
        <v>13</v>
      </c>
      <c r="AL149" s="79" t="s">
        <v>60</v>
      </c>
      <c r="AM149" s="79" t="s">
        <v>61</v>
      </c>
      <c r="AN149" s="79" t="str">
        <f t="shared" si="128"/>
        <v>C</v>
      </c>
      <c r="AO149" s="79" t="str">
        <f t="shared" si="129"/>
        <v/>
      </c>
      <c r="AP149" s="79" t="str">
        <f t="shared" si="130"/>
        <v/>
      </c>
      <c r="AQ149" s="79" t="str">
        <f t="shared" si="131"/>
        <v>O</v>
      </c>
      <c r="AR149" s="79" t="str">
        <f t="shared" si="132"/>
        <v>O</v>
      </c>
      <c r="AS149" s="79" t="s">
        <v>2</v>
      </c>
      <c r="AT149" s="79" t="str">
        <f t="shared" si="133"/>
        <v>X</v>
      </c>
      <c r="AU149" s="79" t="str">
        <f t="shared" si="134"/>
        <v>O</v>
      </c>
      <c r="AV149" s="79" t="str">
        <f t="shared" si="135"/>
        <v/>
      </c>
    </row>
    <row r="150" spans="1:48" s="37" customFormat="1" ht="12" x14ac:dyDescent="0.3">
      <c r="A150" s="74" t="s">
        <v>1539</v>
      </c>
      <c r="B150" s="75" t="s">
        <v>1540</v>
      </c>
      <c r="C150" s="85">
        <v>527</v>
      </c>
      <c r="D150" s="86">
        <v>76.400000000000006</v>
      </c>
      <c r="E150" s="87">
        <v>23</v>
      </c>
      <c r="F150" s="86">
        <v>59.9</v>
      </c>
      <c r="G150" s="17">
        <v>18</v>
      </c>
      <c r="H150" s="88">
        <v>299</v>
      </c>
      <c r="I150" s="89">
        <v>20500</v>
      </c>
      <c r="J150" s="89" t="s">
        <v>102</v>
      </c>
      <c r="K150" s="89">
        <v>19500</v>
      </c>
      <c r="L150" s="89" t="s">
        <v>75</v>
      </c>
      <c r="M150" s="90">
        <f>I150-K150</f>
        <v>1000</v>
      </c>
      <c r="N150" s="4">
        <f>IF(ISERROR(K150/I150),"",K150/I150)</f>
        <v>0.95121951219512191</v>
      </c>
      <c r="O150" s="91">
        <f>I150/E150</f>
        <v>891.304347826087</v>
      </c>
      <c r="P150" s="91">
        <f>K150/E150</f>
        <v>847.82608695652175</v>
      </c>
      <c r="Q150" s="79">
        <v>3</v>
      </c>
      <c r="R150" s="79">
        <v>2</v>
      </c>
      <c r="S150" s="79" t="s">
        <v>62</v>
      </c>
      <c r="T150" s="5">
        <v>76</v>
      </c>
      <c r="U150" s="9"/>
      <c r="W150" s="86">
        <f>D150</f>
        <v>76.400000000000006</v>
      </c>
      <c r="X150" s="87">
        <f>E150</f>
        <v>23</v>
      </c>
      <c r="Y150" s="92">
        <f>H150</f>
        <v>299</v>
      </c>
      <c r="Z150" s="90">
        <f>I150</f>
        <v>20500</v>
      </c>
      <c r="AA150" s="90">
        <f>K150</f>
        <v>19500</v>
      </c>
      <c r="AB150" s="90">
        <f t="shared" si="136"/>
        <v>1000</v>
      </c>
      <c r="AC150" s="4">
        <f t="shared" si="136"/>
        <v>0.95121951219512191</v>
      </c>
      <c r="AD150" s="91">
        <f t="shared" si="136"/>
        <v>891.304347826087</v>
      </c>
      <c r="AE150" s="79" t="str">
        <f>S150</f>
        <v>계</v>
      </c>
      <c r="AF150" s="79" t="str">
        <f>Q150&amp;"/"&amp;R150</f>
        <v>3/2</v>
      </c>
      <c r="AH150" s="20" t="str">
        <f t="shared" si="116"/>
        <v>복대동 두진하트리움</v>
      </c>
      <c r="AI150" s="87">
        <f t="shared" si="117"/>
        <v>23</v>
      </c>
      <c r="AJ150" s="79" t="str">
        <f>IF(AI150="","",$AJ$2)</f>
        <v>A-</v>
      </c>
      <c r="AK150" s="79" t="s">
        <v>13</v>
      </c>
      <c r="AL150" s="79" t="s">
        <v>60</v>
      </c>
      <c r="AM150" s="79" t="s">
        <v>61</v>
      </c>
      <c r="AN150" s="79" t="str">
        <f>IF(AI150="","",$AN$2)</f>
        <v>C</v>
      </c>
      <c r="AO150" s="79" t="str">
        <f>IF(N150="","",IF(N150&gt;=$AO$1/100,"O","X"))</f>
        <v>O</v>
      </c>
      <c r="AP150" s="79" t="str">
        <f>IF(I150="","",IF(I150&lt;=$AP$1,"O","X"))</f>
        <v>O</v>
      </c>
      <c r="AQ150" s="79" t="str">
        <f>IF(O150="","",IF(O150&lt;=$AQ$1,"O","X"))</f>
        <v>O</v>
      </c>
      <c r="AR150" s="79" t="str">
        <f>IF(M150="","",IF(M150&lt;=$AR$1,"O","X"))</f>
        <v>O</v>
      </c>
      <c r="AS150" s="79" t="s">
        <v>2</v>
      </c>
      <c r="AT150" s="79" t="str">
        <f>IF(OR(F150="",AI150=""),"",IF(AND((F150&lt;=85),(AI150&gt;=15)),"O","X"))</f>
        <v>O</v>
      </c>
      <c r="AU150" s="79" t="str">
        <f>IF(C150="","",IF(C150&gt;=$AU$1,"O","X"))</f>
        <v>O</v>
      </c>
      <c r="AV150" s="79" t="str">
        <f>IF(AO150="","",IF(AND(AO150="O",AP150="O",AR150="O",AT150="O",AU150="O"),"후보","X"))</f>
        <v>후보</v>
      </c>
    </row>
    <row r="151" spans="1:48" s="37" customFormat="1" ht="12" x14ac:dyDescent="0.3">
      <c r="A151" s="74" t="s">
        <v>1539</v>
      </c>
      <c r="B151" s="75" t="s">
        <v>1540</v>
      </c>
      <c r="C151" s="85">
        <v>527</v>
      </c>
      <c r="D151" s="86">
        <v>81</v>
      </c>
      <c r="E151" s="87">
        <v>25</v>
      </c>
      <c r="F151" s="86">
        <v>59.9</v>
      </c>
      <c r="G151" s="17">
        <v>18</v>
      </c>
      <c r="H151" s="88">
        <v>228</v>
      </c>
      <c r="I151" s="89">
        <v>21500</v>
      </c>
      <c r="J151" s="89" t="s">
        <v>83</v>
      </c>
      <c r="K151" s="89">
        <v>20000</v>
      </c>
      <c r="L151" s="89" t="s">
        <v>81</v>
      </c>
      <c r="M151" s="90">
        <f>I151-K151</f>
        <v>1500</v>
      </c>
      <c r="N151" s="4">
        <f>IF(ISERROR(K151/I151),"",K151/I151)</f>
        <v>0.93023255813953487</v>
      </c>
      <c r="O151" s="91">
        <f>I151/E151</f>
        <v>860</v>
      </c>
      <c r="P151" s="91">
        <f>K151/E151</f>
        <v>800</v>
      </c>
      <c r="Q151" s="79">
        <v>3</v>
      </c>
      <c r="R151" s="79">
        <v>2</v>
      </c>
      <c r="S151" s="79" t="s">
        <v>62</v>
      </c>
      <c r="T151" s="5">
        <v>81</v>
      </c>
      <c r="U151" s="9"/>
      <c r="W151" s="86">
        <f>D151</f>
        <v>81</v>
      </c>
      <c r="X151" s="87">
        <f>E151</f>
        <v>25</v>
      </c>
      <c r="Y151" s="92">
        <f>H151</f>
        <v>228</v>
      </c>
      <c r="Z151" s="90">
        <f>I151</f>
        <v>21500</v>
      </c>
      <c r="AA151" s="90">
        <f>K151</f>
        <v>20000</v>
      </c>
      <c r="AB151" s="90">
        <f t="shared" si="136"/>
        <v>1500</v>
      </c>
      <c r="AC151" s="4">
        <f t="shared" si="136"/>
        <v>0.93023255813953487</v>
      </c>
      <c r="AD151" s="91">
        <f t="shared" si="136"/>
        <v>860</v>
      </c>
      <c r="AE151" s="79" t="str">
        <f>S151</f>
        <v>계</v>
      </c>
      <c r="AF151" s="79" t="str">
        <f>Q151&amp;"/"&amp;R151</f>
        <v>3/2</v>
      </c>
      <c r="AH151" s="20" t="str">
        <f t="shared" si="116"/>
        <v>복대동 두진하트리움</v>
      </c>
      <c r="AI151" s="87">
        <f t="shared" si="117"/>
        <v>25</v>
      </c>
      <c r="AJ151" s="79" t="str">
        <f>IF(AI151="","",$AJ$2)</f>
        <v>A-</v>
      </c>
      <c r="AK151" s="79" t="s">
        <v>13</v>
      </c>
      <c r="AL151" s="79" t="s">
        <v>60</v>
      </c>
      <c r="AM151" s="79" t="s">
        <v>61</v>
      </c>
      <c r="AN151" s="79" t="str">
        <f>IF(AI151="","",$AN$2)</f>
        <v>C</v>
      </c>
      <c r="AO151" s="79" t="str">
        <f>IF(N151="","",IF(N151&gt;=$AO$1/100,"O","X"))</f>
        <v>O</v>
      </c>
      <c r="AP151" s="79" t="str">
        <f>IF(I151="","",IF(I151&lt;=$AP$1,"O","X"))</f>
        <v>O</v>
      </c>
      <c r="AQ151" s="79" t="str">
        <f>IF(O151="","",IF(O151&lt;=$AQ$1,"O","X"))</f>
        <v>O</v>
      </c>
      <c r="AR151" s="79" t="str">
        <f>IF(M151="","",IF(M151&lt;=$AR$1,"O","X"))</f>
        <v>O</v>
      </c>
      <c r="AS151" s="79" t="s">
        <v>2</v>
      </c>
      <c r="AT151" s="79" t="str">
        <f>IF(OR(F151="",AI151=""),"",IF(AND((F151&lt;=85),(AI151&gt;=15)),"O","X"))</f>
        <v>O</v>
      </c>
      <c r="AU151" s="79" t="str">
        <f>IF(C151="","",IF(C151&gt;=$AU$1,"O","X"))</f>
        <v>O</v>
      </c>
      <c r="AV151" s="79" t="str">
        <f>IF(AO151="","",IF(AND(AO151="O",AP151="O",AR151="O",AT151="O",AU151="O"),"후보","X"))</f>
        <v>후보</v>
      </c>
    </row>
    <row r="152" spans="1:48" s="37" customFormat="1" ht="12" x14ac:dyDescent="0.3">
      <c r="A152" s="74" t="s">
        <v>1541</v>
      </c>
      <c r="B152" s="75" t="s">
        <v>1542</v>
      </c>
      <c r="C152" s="85">
        <v>2164</v>
      </c>
      <c r="D152" s="86">
        <v>128.69999999999999</v>
      </c>
      <c r="E152" s="87">
        <v>39</v>
      </c>
      <c r="F152" s="86">
        <v>99.1</v>
      </c>
      <c r="G152" s="17">
        <v>30</v>
      </c>
      <c r="H152" s="88">
        <v>688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3</v>
      </c>
      <c r="R152" s="79">
        <v>2</v>
      </c>
      <c r="S152" s="79" t="s">
        <v>62</v>
      </c>
      <c r="T152" s="5">
        <v>128</v>
      </c>
      <c r="U152" s="9"/>
      <c r="W152" s="86">
        <f t="shared" ref="W152:X156" si="137">D152</f>
        <v>128.69999999999999</v>
      </c>
      <c r="X152" s="87">
        <f t="shared" si="137"/>
        <v>39</v>
      </c>
      <c r="Y152" s="92">
        <f t="shared" ref="Y152:Z156" si="138">H152</f>
        <v>688</v>
      </c>
      <c r="Z152" s="90">
        <f t="shared" si="138"/>
        <v>0</v>
      </c>
      <c r="AA152" s="90">
        <f>K152</f>
        <v>0</v>
      </c>
      <c r="AB152" s="90">
        <f t="shared" si="136"/>
        <v>0</v>
      </c>
      <c r="AC152" s="4" t="str">
        <f t="shared" si="136"/>
        <v/>
      </c>
      <c r="AD152" s="91">
        <f t="shared" si="136"/>
        <v>0</v>
      </c>
      <c r="AE152" s="79" t="str">
        <f>S152</f>
        <v>계</v>
      </c>
      <c r="AF152" s="79" t="str">
        <f>Q152&amp;"/"&amp;R152</f>
        <v>3/2</v>
      </c>
      <c r="AH152" s="20" t="str">
        <f t="shared" si="116"/>
        <v>복대동 신영지웰시티1차</v>
      </c>
      <c r="AI152" s="87">
        <f t="shared" si="117"/>
        <v>39</v>
      </c>
      <c r="AJ152" s="79" t="str">
        <f>IF(AI152="","",$AJ$2)</f>
        <v>A-</v>
      </c>
      <c r="AK152" s="79" t="s">
        <v>13</v>
      </c>
      <c r="AL152" s="79" t="s">
        <v>60</v>
      </c>
      <c r="AM152" s="79" t="s">
        <v>61</v>
      </c>
      <c r="AN152" s="79" t="str">
        <f>IF(AI152="","",$AN$2)</f>
        <v>C</v>
      </c>
      <c r="AO152" s="79" t="str">
        <f>IF(N152="","",IF(N152&gt;=$AO$1/100,"O","X"))</f>
        <v/>
      </c>
      <c r="AP152" s="79" t="str">
        <f>IF(I152="","",IF(I152&lt;=$AP$1,"O","X"))</f>
        <v/>
      </c>
      <c r="AQ152" s="79" t="str">
        <f>IF(O152="","",IF(O152&lt;=$AQ$1,"O","X"))</f>
        <v>O</v>
      </c>
      <c r="AR152" s="79" t="str">
        <f>IF(M152="","",IF(M152&lt;=$AR$1,"O","X"))</f>
        <v>O</v>
      </c>
      <c r="AS152" s="79" t="s">
        <v>2</v>
      </c>
      <c r="AT152" s="79" t="str">
        <f>IF(OR(F152="",AI152=""),"",IF(AND((F152&lt;=85),(AI152&gt;=15)),"O","X"))</f>
        <v>X</v>
      </c>
      <c r="AU152" s="79" t="str">
        <f>IF(C152="","",IF(C152&gt;=$AU$1,"O","X"))</f>
        <v>O</v>
      </c>
      <c r="AV152" s="79" t="str">
        <f>IF(AO152="","",IF(AND(AO152="O",AP152="O",AR152="O",AT152="O",AU152="O"),"후보","X"))</f>
        <v/>
      </c>
    </row>
    <row r="153" spans="1:48" s="37" customFormat="1" ht="12" x14ac:dyDescent="0.3">
      <c r="A153" s="74" t="s">
        <v>1541</v>
      </c>
      <c r="B153" s="75" t="s">
        <v>1542</v>
      </c>
      <c r="C153" s="85">
        <v>2164</v>
      </c>
      <c r="D153" s="86">
        <v>162.1</v>
      </c>
      <c r="E153" s="87">
        <v>49</v>
      </c>
      <c r="F153" s="86">
        <v>124.8</v>
      </c>
      <c r="G153" s="17">
        <v>38</v>
      </c>
      <c r="H153" s="88">
        <v>688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9">
        <v>3</v>
      </c>
      <c r="R153" s="79">
        <v>2</v>
      </c>
      <c r="S153" s="79" t="s">
        <v>62</v>
      </c>
      <c r="T153" s="5">
        <v>162</v>
      </c>
      <c r="U153" s="9"/>
      <c r="W153" s="86">
        <f t="shared" si="137"/>
        <v>162.1</v>
      </c>
      <c r="X153" s="87">
        <f t="shared" si="137"/>
        <v>49</v>
      </c>
      <c r="Y153" s="92">
        <f t="shared" si="138"/>
        <v>688</v>
      </c>
      <c r="Z153" s="90">
        <f t="shared" si="138"/>
        <v>0</v>
      </c>
      <c r="AA153" s="90">
        <f>K153</f>
        <v>0</v>
      </c>
      <c r="AB153" s="90">
        <f t="shared" si="136"/>
        <v>0</v>
      </c>
      <c r="AC153" s="4" t="str">
        <f t="shared" si="136"/>
        <v/>
      </c>
      <c r="AD153" s="91">
        <f t="shared" si="136"/>
        <v>0</v>
      </c>
      <c r="AE153" s="79" t="str">
        <f>S153</f>
        <v>계</v>
      </c>
      <c r="AF153" s="79" t="str">
        <f>Q153&amp;"/"&amp;R153</f>
        <v>3/2</v>
      </c>
      <c r="AH153" s="20" t="str">
        <f t="shared" si="116"/>
        <v>복대동 신영지웰시티1차</v>
      </c>
      <c r="AI153" s="87">
        <f t="shared" si="117"/>
        <v>49</v>
      </c>
      <c r="AJ153" s="79" t="str">
        <f>IF(AI153="","",$AJ$2)</f>
        <v>A-</v>
      </c>
      <c r="AK153" s="79" t="s">
        <v>13</v>
      </c>
      <c r="AL153" s="79" t="s">
        <v>60</v>
      </c>
      <c r="AM153" s="79" t="s">
        <v>61</v>
      </c>
      <c r="AN153" s="79" t="str">
        <f>IF(AI153="","",$AN$2)</f>
        <v>C</v>
      </c>
      <c r="AO153" s="79" t="str">
        <f>IF(N153="","",IF(N153&gt;=$AO$1/100,"O","X"))</f>
        <v/>
      </c>
      <c r="AP153" s="79" t="str">
        <f>IF(I153="","",IF(I153&lt;=$AP$1,"O","X"))</f>
        <v/>
      </c>
      <c r="AQ153" s="79" t="str">
        <f>IF(O153="","",IF(O153&lt;=$AQ$1,"O","X"))</f>
        <v>O</v>
      </c>
      <c r="AR153" s="79" t="str">
        <f>IF(M153="","",IF(M153&lt;=$AR$1,"O","X"))</f>
        <v>O</v>
      </c>
      <c r="AS153" s="79" t="s">
        <v>2</v>
      </c>
      <c r="AT153" s="79" t="str">
        <f>IF(OR(F153="",AI153=""),"",IF(AND((F153&lt;=85),(AI153&gt;=15)),"O","X"))</f>
        <v>X</v>
      </c>
      <c r="AU153" s="79" t="str">
        <f>IF(C153="","",IF(C153&gt;=$AU$1,"O","X"))</f>
        <v>O</v>
      </c>
      <c r="AV153" s="79" t="str">
        <f>IF(AO153="","",IF(AND(AO153="O",AP153="O",AR153="O",AT153="O",AU153="O"),"후보","X"))</f>
        <v/>
      </c>
    </row>
    <row r="154" spans="1:48" s="37" customFormat="1" ht="12" x14ac:dyDescent="0.3">
      <c r="A154" s="74" t="s">
        <v>1541</v>
      </c>
      <c r="B154" s="75" t="s">
        <v>1542</v>
      </c>
      <c r="C154" s="85">
        <v>2164</v>
      </c>
      <c r="D154" s="86">
        <v>198.2</v>
      </c>
      <c r="E154" s="87">
        <v>60</v>
      </c>
      <c r="F154" s="86">
        <v>152.69999999999999</v>
      </c>
      <c r="G154" s="17">
        <v>46</v>
      </c>
      <c r="H154" s="88">
        <v>688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4</v>
      </c>
      <c r="R154" s="79">
        <v>2</v>
      </c>
      <c r="S154" s="79" t="s">
        <v>62</v>
      </c>
      <c r="T154" s="5">
        <v>198</v>
      </c>
      <c r="U154" s="9"/>
      <c r="W154" s="86">
        <f t="shared" si="137"/>
        <v>198.2</v>
      </c>
      <c r="X154" s="87">
        <f t="shared" si="137"/>
        <v>60</v>
      </c>
      <c r="Y154" s="92">
        <f t="shared" si="138"/>
        <v>688</v>
      </c>
      <c r="Z154" s="90">
        <f t="shared" si="138"/>
        <v>0</v>
      </c>
      <c r="AA154" s="90">
        <f>K154</f>
        <v>0</v>
      </c>
      <c r="AB154" s="90">
        <f t="shared" si="136"/>
        <v>0</v>
      </c>
      <c r="AC154" s="4" t="str">
        <f t="shared" si="136"/>
        <v/>
      </c>
      <c r="AD154" s="91">
        <f t="shared" si="136"/>
        <v>0</v>
      </c>
      <c r="AE154" s="79" t="str">
        <f>S154</f>
        <v>계</v>
      </c>
      <c r="AF154" s="79" t="str">
        <f>Q154&amp;"/"&amp;R154</f>
        <v>4/2</v>
      </c>
      <c r="AH154" s="20" t="str">
        <f t="shared" si="116"/>
        <v>복대동 신영지웰시티1차</v>
      </c>
      <c r="AI154" s="87">
        <f t="shared" si="117"/>
        <v>60</v>
      </c>
      <c r="AJ154" s="79" t="str">
        <f>IF(AI154="","",$AJ$2)</f>
        <v>A-</v>
      </c>
      <c r="AK154" s="79" t="s">
        <v>13</v>
      </c>
      <c r="AL154" s="79" t="s">
        <v>60</v>
      </c>
      <c r="AM154" s="79" t="s">
        <v>61</v>
      </c>
      <c r="AN154" s="79" t="str">
        <f>IF(AI154="","",$AN$2)</f>
        <v>C</v>
      </c>
      <c r="AO154" s="79" t="str">
        <f>IF(N154="","",IF(N154&gt;=$AO$1/100,"O","X"))</f>
        <v/>
      </c>
      <c r="AP154" s="79" t="str">
        <f>IF(I154="","",IF(I154&lt;=$AP$1,"O","X"))</f>
        <v/>
      </c>
      <c r="AQ154" s="79" t="str">
        <f>IF(O154="","",IF(O154&lt;=$AQ$1,"O","X"))</f>
        <v>O</v>
      </c>
      <c r="AR154" s="79" t="str">
        <f>IF(M154="","",IF(M154&lt;=$AR$1,"O","X"))</f>
        <v>O</v>
      </c>
      <c r="AS154" s="79" t="s">
        <v>2</v>
      </c>
      <c r="AT154" s="79" t="str">
        <f>IF(OR(F154="",AI154=""),"",IF(AND((F154&lt;=85),(AI154&gt;=15)),"O","X"))</f>
        <v>X</v>
      </c>
      <c r="AU154" s="79" t="str">
        <f>IF(C154="","",IF(C154&gt;=$AU$1,"O","X"))</f>
        <v>O</v>
      </c>
      <c r="AV154" s="79" t="str">
        <f>IF(AO154="","",IF(AND(AO154="O",AP154="O",AR154="O",AT154="O",AU154="O"),"후보","X"))</f>
        <v/>
      </c>
    </row>
    <row r="155" spans="1:48" s="37" customFormat="1" ht="12" x14ac:dyDescent="0.3">
      <c r="A155" s="74" t="s">
        <v>1541</v>
      </c>
      <c r="B155" s="75" t="s">
        <v>1542</v>
      </c>
      <c r="C155" s="85">
        <v>2164</v>
      </c>
      <c r="D155" s="86">
        <v>211.2</v>
      </c>
      <c r="E155" s="87">
        <v>64</v>
      </c>
      <c r="F155" s="86">
        <v>162.6</v>
      </c>
      <c r="G155" s="17">
        <v>49</v>
      </c>
      <c r="H155" s="88">
        <v>50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5</v>
      </c>
      <c r="R155" s="79">
        <v>3</v>
      </c>
      <c r="S155" s="79" t="s">
        <v>62</v>
      </c>
      <c r="T155" s="5">
        <v>211</v>
      </c>
      <c r="U155" s="9"/>
      <c r="W155" s="86">
        <f t="shared" si="137"/>
        <v>211.2</v>
      </c>
      <c r="X155" s="87">
        <f t="shared" si="137"/>
        <v>64</v>
      </c>
      <c r="Y155" s="92">
        <f t="shared" si="138"/>
        <v>50</v>
      </c>
      <c r="Z155" s="90">
        <f t="shared" si="138"/>
        <v>0</v>
      </c>
      <c r="AA155" s="90">
        <f>K155</f>
        <v>0</v>
      </c>
      <c r="AB155" s="90">
        <f t="shared" si="136"/>
        <v>0</v>
      </c>
      <c r="AC155" s="4" t="str">
        <f t="shared" si="136"/>
        <v/>
      </c>
      <c r="AD155" s="91">
        <f t="shared" si="136"/>
        <v>0</v>
      </c>
      <c r="AE155" s="79" t="str">
        <f>S155</f>
        <v>계</v>
      </c>
      <c r="AF155" s="79" t="str">
        <f>Q155&amp;"/"&amp;R155</f>
        <v>5/3</v>
      </c>
      <c r="AH155" s="20" t="str">
        <f t="shared" si="116"/>
        <v>복대동 신영지웰시티1차</v>
      </c>
      <c r="AI155" s="87">
        <f t="shared" si="117"/>
        <v>64</v>
      </c>
      <c r="AJ155" s="79" t="str">
        <f>IF(AI155="","",$AJ$2)</f>
        <v>A-</v>
      </c>
      <c r="AK155" s="79" t="s">
        <v>13</v>
      </c>
      <c r="AL155" s="79" t="s">
        <v>60</v>
      </c>
      <c r="AM155" s="79" t="s">
        <v>61</v>
      </c>
      <c r="AN155" s="79" t="str">
        <f>IF(AI155="","",$AN$2)</f>
        <v>C</v>
      </c>
      <c r="AO155" s="79" t="str">
        <f>IF(N155="","",IF(N155&gt;=$AO$1/100,"O","X"))</f>
        <v/>
      </c>
      <c r="AP155" s="79" t="str">
        <f>IF(I155="","",IF(I155&lt;=$AP$1,"O","X"))</f>
        <v/>
      </c>
      <c r="AQ155" s="79" t="str">
        <f>IF(O155="","",IF(O155&lt;=$AQ$1,"O","X"))</f>
        <v>O</v>
      </c>
      <c r="AR155" s="79" t="str">
        <f>IF(M155="","",IF(M155&lt;=$AR$1,"O","X"))</f>
        <v>O</v>
      </c>
      <c r="AS155" s="79" t="s">
        <v>2</v>
      </c>
      <c r="AT155" s="79" t="str">
        <f>IF(OR(F155="",AI155=""),"",IF(AND((F155&lt;=85),(AI155&gt;=15)),"O","X"))</f>
        <v>X</v>
      </c>
      <c r="AU155" s="79" t="str">
        <f>IF(C155="","",IF(C155&gt;=$AU$1,"O","X"))</f>
        <v>O</v>
      </c>
      <c r="AV155" s="79" t="str">
        <f>IF(AO155="","",IF(AND(AO155="O",AP155="O",AR155="O",AT155="O",AU155="O"),"후보","X"))</f>
        <v/>
      </c>
    </row>
    <row r="156" spans="1:48" s="37" customFormat="1" ht="12" x14ac:dyDescent="0.3">
      <c r="A156" s="74" t="s">
        <v>1541</v>
      </c>
      <c r="B156" s="75" t="s">
        <v>1542</v>
      </c>
      <c r="C156" s="85">
        <v>2164</v>
      </c>
      <c r="D156" s="86">
        <v>255.8</v>
      </c>
      <c r="E156" s="87">
        <v>77</v>
      </c>
      <c r="F156" s="86">
        <v>197</v>
      </c>
      <c r="G156" s="17">
        <v>60</v>
      </c>
      <c r="H156" s="88">
        <v>50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5</v>
      </c>
      <c r="R156" s="79">
        <v>3</v>
      </c>
      <c r="S156" s="79" t="s">
        <v>62</v>
      </c>
      <c r="T156" s="5">
        <v>255</v>
      </c>
      <c r="U156" s="9"/>
      <c r="W156" s="86">
        <f t="shared" si="137"/>
        <v>255.8</v>
      </c>
      <c r="X156" s="87">
        <f t="shared" si="137"/>
        <v>77</v>
      </c>
      <c r="Y156" s="92">
        <f t="shared" si="138"/>
        <v>50</v>
      </c>
      <c r="Z156" s="90">
        <f t="shared" si="138"/>
        <v>0</v>
      </c>
      <c r="AA156" s="90">
        <f>K156</f>
        <v>0</v>
      </c>
      <c r="AB156" s="90">
        <f t="shared" si="136"/>
        <v>0</v>
      </c>
      <c r="AC156" s="4" t="str">
        <f t="shared" si="136"/>
        <v/>
      </c>
      <c r="AD156" s="91">
        <f t="shared" si="136"/>
        <v>0</v>
      </c>
      <c r="AE156" s="79" t="str">
        <f>S156</f>
        <v>계</v>
      </c>
      <c r="AF156" s="79" t="str">
        <f>Q156&amp;"/"&amp;R156</f>
        <v>5/3</v>
      </c>
      <c r="AH156" s="20" t="str">
        <f t="shared" si="116"/>
        <v>복대동 신영지웰시티1차</v>
      </c>
      <c r="AI156" s="87">
        <f t="shared" si="117"/>
        <v>77</v>
      </c>
      <c r="AJ156" s="79" t="str">
        <f>IF(AI156="","",$AJ$2)</f>
        <v>A-</v>
      </c>
      <c r="AK156" s="79" t="s">
        <v>13</v>
      </c>
      <c r="AL156" s="79" t="s">
        <v>60</v>
      </c>
      <c r="AM156" s="79" t="s">
        <v>61</v>
      </c>
      <c r="AN156" s="79" t="str">
        <f>IF(AI156="","",$AN$2)</f>
        <v>C</v>
      </c>
      <c r="AO156" s="79" t="str">
        <f>IF(N156="","",IF(N156&gt;=$AO$1/100,"O","X"))</f>
        <v/>
      </c>
      <c r="AP156" s="79" t="str">
        <f>IF(I156="","",IF(I156&lt;=$AP$1,"O","X"))</f>
        <v/>
      </c>
      <c r="AQ156" s="79" t="str">
        <f>IF(O156="","",IF(O156&lt;=$AQ$1,"O","X"))</f>
        <v>O</v>
      </c>
      <c r="AR156" s="79" t="str">
        <f>IF(M156="","",IF(M156&lt;=$AR$1,"O","X"))</f>
        <v>O</v>
      </c>
      <c r="AS156" s="79" t="s">
        <v>2</v>
      </c>
      <c r="AT156" s="79" t="str">
        <f>IF(OR(F156="",AI156=""),"",IF(AND((F156&lt;=85),(AI156&gt;=15)),"O","X"))</f>
        <v>X</v>
      </c>
      <c r="AU156" s="79" t="str">
        <f>IF(C156="","",IF(C156&gt;=$AU$1,"O","X"))</f>
        <v>O</v>
      </c>
      <c r="AV156" s="79" t="str">
        <f>IF(AO156="","",IF(AND(AO156="O",AP156="O",AR156="O",AT156="O",AU156="O"),"후보","X"))</f>
        <v/>
      </c>
    </row>
    <row r="157" spans="1:48" s="37" customFormat="1" ht="12" x14ac:dyDescent="0.3">
      <c r="A157" s="74" t="s">
        <v>1543</v>
      </c>
      <c r="B157" s="75" t="s">
        <v>1544</v>
      </c>
      <c r="C157" s="85">
        <v>388</v>
      </c>
      <c r="D157" s="86">
        <v>103.6</v>
      </c>
      <c r="E157" s="87">
        <v>31</v>
      </c>
      <c r="F157" s="86">
        <v>75</v>
      </c>
      <c r="G157" s="17">
        <v>23</v>
      </c>
      <c r="H157" s="88">
        <v>288</v>
      </c>
      <c r="I157" s="89">
        <v>26000</v>
      </c>
      <c r="J157" s="89" t="s">
        <v>81</v>
      </c>
      <c r="K157" s="89">
        <v>24000</v>
      </c>
      <c r="L157" s="89" t="s">
        <v>88</v>
      </c>
      <c r="M157" s="90">
        <f>I157-K157</f>
        <v>2000</v>
      </c>
      <c r="N157" s="4">
        <f>IF(ISERROR(K157/I157),"",K157/I157)</f>
        <v>0.92307692307692313</v>
      </c>
      <c r="O157" s="91">
        <f>I157/E157</f>
        <v>838.70967741935488</v>
      </c>
      <c r="P157" s="91">
        <f>K157/E157</f>
        <v>774.19354838709683</v>
      </c>
      <c r="Q157" s="79">
        <v>3</v>
      </c>
      <c r="R157" s="79">
        <v>2</v>
      </c>
      <c r="S157" s="79" t="s">
        <v>62</v>
      </c>
      <c r="T157" s="5">
        <v>103</v>
      </c>
      <c r="U157" s="9"/>
      <c r="W157" s="86">
        <f>D157</f>
        <v>103.6</v>
      </c>
      <c r="X157" s="87">
        <f>E157</f>
        <v>31</v>
      </c>
      <c r="Y157" s="92">
        <f>H157</f>
        <v>288</v>
      </c>
      <c r="Z157" s="90">
        <f>I157</f>
        <v>26000</v>
      </c>
      <c r="AA157" s="90">
        <f>K157</f>
        <v>24000</v>
      </c>
      <c r="AB157" s="90">
        <f t="shared" si="136"/>
        <v>2000</v>
      </c>
      <c r="AC157" s="4">
        <f t="shared" si="136"/>
        <v>0.92307692307692313</v>
      </c>
      <c r="AD157" s="91">
        <f t="shared" si="136"/>
        <v>838.70967741935488</v>
      </c>
      <c r="AE157" s="79" t="str">
        <f>S157</f>
        <v>계</v>
      </c>
      <c r="AF157" s="79" t="str">
        <f>Q157&amp;"/"&amp;R157</f>
        <v>3/2</v>
      </c>
      <c r="AH157" s="20" t="str">
        <f t="shared" si="116"/>
        <v>복대동 세원테마빌</v>
      </c>
      <c r="AI157" s="87">
        <f t="shared" si="117"/>
        <v>31</v>
      </c>
      <c r="AJ157" s="79" t="str">
        <f>IF(AI157="","",$AJ$2)</f>
        <v>A-</v>
      </c>
      <c r="AK157" s="79" t="s">
        <v>13</v>
      </c>
      <c r="AL157" s="79" t="s">
        <v>60</v>
      </c>
      <c r="AM157" s="79" t="s">
        <v>61</v>
      </c>
      <c r="AN157" s="79" t="str">
        <f>IF(AI157="","",$AN$2)</f>
        <v>C</v>
      </c>
      <c r="AO157" s="79" t="str">
        <f>IF(N157="","",IF(N157&gt;=$AO$1/100,"O","X"))</f>
        <v>O</v>
      </c>
      <c r="AP157" s="79" t="str">
        <f>IF(I157="","",IF(I157&lt;=$AP$1,"O","X"))</f>
        <v>O</v>
      </c>
      <c r="AQ157" s="79" t="str">
        <f>IF(O157="","",IF(O157&lt;=$AQ$1,"O","X"))</f>
        <v>O</v>
      </c>
      <c r="AR157" s="79" t="str">
        <f>IF(M157="","",IF(M157&lt;=$AR$1,"O","X"))</f>
        <v>O</v>
      </c>
      <c r="AS157" s="79" t="s">
        <v>2</v>
      </c>
      <c r="AT157" s="79" t="str">
        <f>IF(OR(F157="",AI157=""),"",IF(AND((F157&lt;=85),(AI157&gt;=15)),"O","X"))</f>
        <v>O</v>
      </c>
      <c r="AU157" s="79" t="str">
        <f>IF(C157="","",IF(C157&gt;=$AU$1,"O","X"))</f>
        <v>O</v>
      </c>
      <c r="AV157" s="79" t="str">
        <f>IF(AO157="","",IF(AND(AO157="O",AP157="O",AR157="O",AT157="O",AU157="O"),"후보","X"))</f>
        <v>후보</v>
      </c>
    </row>
    <row r="158" spans="1:48" s="37" customFormat="1" ht="12" x14ac:dyDescent="0.3">
      <c r="A158" s="74" t="s">
        <v>1543</v>
      </c>
      <c r="B158" s="75" t="s">
        <v>1544</v>
      </c>
      <c r="C158" s="85">
        <v>388</v>
      </c>
      <c r="D158" s="86">
        <v>118.2</v>
      </c>
      <c r="E158" s="87">
        <v>36</v>
      </c>
      <c r="F158" s="86">
        <v>85</v>
      </c>
      <c r="G158" s="17">
        <v>26</v>
      </c>
      <c r="H158" s="88">
        <v>100</v>
      </c>
      <c r="I158" s="89">
        <v>31000</v>
      </c>
      <c r="J158" s="89" t="s">
        <v>102</v>
      </c>
      <c r="K158" s="89"/>
      <c r="L158" s="89"/>
      <c r="M158" s="90">
        <f>I158-K158</f>
        <v>31000</v>
      </c>
      <c r="N158" s="4">
        <f>IF(ISERROR(K158/I158),"",K158/I158)</f>
        <v>0</v>
      </c>
      <c r="O158" s="91">
        <f>I158/E158</f>
        <v>861.11111111111109</v>
      </c>
      <c r="P158" s="91">
        <f>K158/E158</f>
        <v>0</v>
      </c>
      <c r="Q158" s="79">
        <v>3</v>
      </c>
      <c r="R158" s="79">
        <v>2</v>
      </c>
      <c r="S158" s="79" t="s">
        <v>62</v>
      </c>
      <c r="T158" s="5">
        <v>118</v>
      </c>
      <c r="U158" s="9"/>
      <c r="W158" s="86">
        <f>D158</f>
        <v>118.2</v>
      </c>
      <c r="X158" s="87">
        <f>E158</f>
        <v>36</v>
      </c>
      <c r="Y158" s="92">
        <f>H158</f>
        <v>100</v>
      </c>
      <c r="Z158" s="90">
        <f>I158</f>
        <v>31000</v>
      </c>
      <c r="AA158" s="90">
        <f>K158</f>
        <v>0</v>
      </c>
      <c r="AB158" s="90">
        <f t="shared" si="136"/>
        <v>31000</v>
      </c>
      <c r="AC158" s="4">
        <f t="shared" si="136"/>
        <v>0</v>
      </c>
      <c r="AD158" s="91">
        <f t="shared" si="136"/>
        <v>861.11111111111109</v>
      </c>
      <c r="AE158" s="79" t="str">
        <f>S158</f>
        <v>계</v>
      </c>
      <c r="AF158" s="79" t="str">
        <f>Q158&amp;"/"&amp;R158</f>
        <v>3/2</v>
      </c>
      <c r="AH158" s="20" t="str">
        <f t="shared" si="116"/>
        <v>복대동 세원테마빌</v>
      </c>
      <c r="AI158" s="87">
        <f t="shared" si="117"/>
        <v>36</v>
      </c>
      <c r="AJ158" s="79" t="str">
        <f>IF(AI158="","",$AJ$2)</f>
        <v>A-</v>
      </c>
      <c r="AK158" s="79" t="s">
        <v>13</v>
      </c>
      <c r="AL158" s="79" t="s">
        <v>60</v>
      </c>
      <c r="AM158" s="79" t="s">
        <v>61</v>
      </c>
      <c r="AN158" s="79" t="str">
        <f>IF(AI158="","",$AN$2)</f>
        <v>C</v>
      </c>
      <c r="AO158" s="79" t="str">
        <f>IF(N158="","",IF(N158&gt;=$AO$1/100,"O","X"))</f>
        <v>X</v>
      </c>
      <c r="AP158" s="79" t="str">
        <f>IF(I158="","",IF(I158&lt;=$AP$1,"O","X"))</f>
        <v>O</v>
      </c>
      <c r="AQ158" s="79" t="str">
        <f>IF(O158="","",IF(O158&lt;=$AQ$1,"O","X"))</f>
        <v>O</v>
      </c>
      <c r="AR158" s="79" t="str">
        <f>IF(M158="","",IF(M158&lt;=$AR$1,"O","X"))</f>
        <v>X</v>
      </c>
      <c r="AS158" s="79" t="s">
        <v>2</v>
      </c>
      <c r="AT158" s="79" t="str">
        <f>IF(OR(F158="",AI158=""),"",IF(AND((F158&lt;=85),(AI158&gt;=15)),"O","X"))</f>
        <v>O</v>
      </c>
      <c r="AU158" s="79" t="str">
        <f>IF(C158="","",IF(C158&gt;=$AU$1,"O","X"))</f>
        <v>O</v>
      </c>
      <c r="AV158" s="79" t="str">
        <f>IF(AO158="","",IF(AND(AO158="O",AP158="O",AR158="O",AT158="O",AU158="O"),"후보","X"))</f>
        <v>X</v>
      </c>
    </row>
    <row r="159" spans="1:48" s="37" customFormat="1" ht="12" x14ac:dyDescent="0.3">
      <c r="A159" s="74" t="s">
        <v>1545</v>
      </c>
      <c r="B159" s="75" t="s">
        <v>1546</v>
      </c>
      <c r="C159" s="85">
        <v>986</v>
      </c>
      <c r="D159" s="86">
        <v>58.8</v>
      </c>
      <c r="E159" s="87">
        <v>18</v>
      </c>
      <c r="F159" s="86">
        <v>39.299999999999997</v>
      </c>
      <c r="G159" s="17">
        <v>12</v>
      </c>
      <c r="H159" s="88">
        <v>90</v>
      </c>
      <c r="I159" s="89"/>
      <c r="J159" s="89"/>
      <c r="K159" s="89"/>
      <c r="L159" s="89"/>
      <c r="M159" s="90">
        <f t="shared" ref="M159:M166" si="139">I159-K159</f>
        <v>0</v>
      </c>
      <c r="N159" s="4" t="str">
        <f t="shared" ref="N159:N166" si="140">IF(ISERROR(K159/I159),"",K159/I159)</f>
        <v/>
      </c>
      <c r="O159" s="91">
        <f t="shared" ref="O159:O166" si="141">I159/E159</f>
        <v>0</v>
      </c>
      <c r="P159" s="91">
        <f t="shared" ref="P159:P166" si="142">K159/E159</f>
        <v>0</v>
      </c>
      <c r="Q159" s="79">
        <v>2</v>
      </c>
      <c r="R159" s="79">
        <v>1</v>
      </c>
      <c r="S159" s="79" t="s">
        <v>62</v>
      </c>
      <c r="T159" s="5">
        <v>58</v>
      </c>
      <c r="U159" s="9"/>
      <c r="W159" s="86">
        <f t="shared" ref="W159:X174" si="143">D159</f>
        <v>58.8</v>
      </c>
      <c r="X159" s="87">
        <f t="shared" si="143"/>
        <v>18</v>
      </c>
      <c r="Y159" s="92">
        <f t="shared" ref="Y159:Z174" si="144">H159</f>
        <v>90</v>
      </c>
      <c r="Z159" s="90">
        <f t="shared" si="144"/>
        <v>0</v>
      </c>
      <c r="AA159" s="90">
        <f t="shared" ref="AA159:AA166" si="145">K159</f>
        <v>0</v>
      </c>
      <c r="AB159" s="90">
        <f t="shared" si="136"/>
        <v>0</v>
      </c>
      <c r="AC159" s="4" t="str">
        <f t="shared" si="136"/>
        <v/>
      </c>
      <c r="AD159" s="91">
        <f t="shared" si="136"/>
        <v>0</v>
      </c>
      <c r="AE159" s="79" t="str">
        <f t="shared" ref="AE159:AE166" si="146">S159</f>
        <v>계</v>
      </c>
      <c r="AF159" s="79" t="str">
        <f t="shared" ref="AF159:AF166" si="147">Q159&amp;"/"&amp;R159</f>
        <v>2/1</v>
      </c>
      <c r="AH159" s="20" t="str">
        <f t="shared" si="116"/>
        <v>복대동 더샵청주센트럴</v>
      </c>
      <c r="AI159" s="87">
        <f t="shared" si="117"/>
        <v>18</v>
      </c>
      <c r="AJ159" s="79" t="str">
        <f t="shared" ref="AJ159:AJ166" si="148">IF(AI159="","",$AJ$2)</f>
        <v>A-</v>
      </c>
      <c r="AK159" s="79" t="s">
        <v>13</v>
      </c>
      <c r="AL159" s="79" t="s">
        <v>60</v>
      </c>
      <c r="AM159" s="79" t="s">
        <v>61</v>
      </c>
      <c r="AN159" s="79" t="str">
        <f t="shared" ref="AN159:AN166" si="149">IF(AI159="","",$AN$2)</f>
        <v>C</v>
      </c>
      <c r="AO159" s="79" t="str">
        <f t="shared" ref="AO159:AO166" si="150">IF(N159="","",IF(N159&gt;=$AO$1/100,"O","X"))</f>
        <v/>
      </c>
      <c r="AP159" s="79" t="str">
        <f t="shared" ref="AP159:AP166" si="151">IF(I159="","",IF(I159&lt;=$AP$1,"O","X"))</f>
        <v/>
      </c>
      <c r="AQ159" s="79" t="str">
        <f t="shared" ref="AQ159:AQ166" si="152">IF(O159="","",IF(O159&lt;=$AQ$1,"O","X"))</f>
        <v>O</v>
      </c>
      <c r="AR159" s="79" t="str">
        <f t="shared" ref="AR159:AR166" si="153">IF(M159="","",IF(M159&lt;=$AR$1,"O","X"))</f>
        <v>O</v>
      </c>
      <c r="AS159" s="79" t="s">
        <v>2</v>
      </c>
      <c r="AT159" s="79" t="str">
        <f t="shared" ref="AT159:AT166" si="154">IF(OR(F159="",AI159=""),"",IF(AND((F159&lt;=85),(AI159&gt;=15)),"O","X"))</f>
        <v>O</v>
      </c>
      <c r="AU159" s="79" t="str">
        <f t="shared" ref="AU159:AU166" si="155">IF(C159="","",IF(C159&gt;=$AU$1,"O","X"))</f>
        <v>O</v>
      </c>
      <c r="AV159" s="79" t="str">
        <f t="shared" ref="AV159:AV166" si="156">IF(AO159="","",IF(AND(AO159="O",AP159="O",AR159="O",AT159="O",AU159="O"),"후보","X"))</f>
        <v/>
      </c>
    </row>
    <row r="160" spans="1:48" s="37" customFormat="1" ht="12" x14ac:dyDescent="0.3">
      <c r="A160" s="74" t="s">
        <v>1545</v>
      </c>
      <c r="B160" s="75" t="s">
        <v>1546</v>
      </c>
      <c r="C160" s="85">
        <v>986</v>
      </c>
      <c r="D160" s="86">
        <v>82.1</v>
      </c>
      <c r="E160" s="87">
        <v>25</v>
      </c>
      <c r="F160" s="86">
        <v>59.9</v>
      </c>
      <c r="G160" s="17">
        <v>18</v>
      </c>
      <c r="H160" s="88">
        <v>48</v>
      </c>
      <c r="I160" s="89"/>
      <c r="J160" s="89"/>
      <c r="K160" s="89"/>
      <c r="L160" s="89"/>
      <c r="M160" s="90">
        <f t="shared" si="139"/>
        <v>0</v>
      </c>
      <c r="N160" s="4" t="str">
        <f t="shared" si="140"/>
        <v/>
      </c>
      <c r="O160" s="91">
        <f t="shared" si="141"/>
        <v>0</v>
      </c>
      <c r="P160" s="91">
        <f t="shared" si="142"/>
        <v>0</v>
      </c>
      <c r="Q160" s="79">
        <v>3</v>
      </c>
      <c r="R160" s="79">
        <v>2</v>
      </c>
      <c r="S160" s="79" t="s">
        <v>62</v>
      </c>
      <c r="T160" s="5" t="s">
        <v>136</v>
      </c>
      <c r="U160" s="9"/>
      <c r="W160" s="86">
        <f t="shared" si="143"/>
        <v>82.1</v>
      </c>
      <c r="X160" s="87">
        <f t="shared" si="143"/>
        <v>25</v>
      </c>
      <c r="Y160" s="92">
        <f t="shared" si="144"/>
        <v>48</v>
      </c>
      <c r="Z160" s="90">
        <f t="shared" si="144"/>
        <v>0</v>
      </c>
      <c r="AA160" s="90">
        <f t="shared" si="145"/>
        <v>0</v>
      </c>
      <c r="AB160" s="90">
        <f t="shared" si="136"/>
        <v>0</v>
      </c>
      <c r="AC160" s="4" t="str">
        <f t="shared" si="136"/>
        <v/>
      </c>
      <c r="AD160" s="91">
        <f t="shared" si="136"/>
        <v>0</v>
      </c>
      <c r="AE160" s="79" t="str">
        <f t="shared" si="146"/>
        <v>계</v>
      </c>
      <c r="AF160" s="79" t="str">
        <f t="shared" si="147"/>
        <v>3/2</v>
      </c>
      <c r="AH160" s="20" t="str">
        <f t="shared" si="116"/>
        <v>복대동 더샵청주센트럴</v>
      </c>
      <c r="AI160" s="87">
        <f t="shared" si="117"/>
        <v>25</v>
      </c>
      <c r="AJ160" s="79" t="str">
        <f t="shared" si="148"/>
        <v>A-</v>
      </c>
      <c r="AK160" s="79" t="s">
        <v>13</v>
      </c>
      <c r="AL160" s="79" t="s">
        <v>60</v>
      </c>
      <c r="AM160" s="79" t="s">
        <v>61</v>
      </c>
      <c r="AN160" s="79" t="str">
        <f t="shared" si="149"/>
        <v>C</v>
      </c>
      <c r="AO160" s="79" t="str">
        <f t="shared" si="150"/>
        <v/>
      </c>
      <c r="AP160" s="79" t="str">
        <f t="shared" si="151"/>
        <v/>
      </c>
      <c r="AQ160" s="79" t="str">
        <f t="shared" si="152"/>
        <v>O</v>
      </c>
      <c r="AR160" s="79" t="str">
        <f t="shared" si="153"/>
        <v>O</v>
      </c>
      <c r="AS160" s="79" t="s">
        <v>2</v>
      </c>
      <c r="AT160" s="79" t="str">
        <f t="shared" si="154"/>
        <v>O</v>
      </c>
      <c r="AU160" s="79" t="str">
        <f t="shared" si="155"/>
        <v>O</v>
      </c>
      <c r="AV160" s="79" t="str">
        <f t="shared" si="156"/>
        <v/>
      </c>
    </row>
    <row r="161" spans="1:48" s="37" customFormat="1" ht="12" x14ac:dyDescent="0.3">
      <c r="A161" s="74" t="s">
        <v>1545</v>
      </c>
      <c r="B161" s="75" t="s">
        <v>1546</v>
      </c>
      <c r="C161" s="85">
        <v>986</v>
      </c>
      <c r="D161" s="86">
        <v>82.7</v>
      </c>
      <c r="E161" s="87">
        <v>25</v>
      </c>
      <c r="F161" s="86">
        <v>60</v>
      </c>
      <c r="G161" s="17">
        <v>18</v>
      </c>
      <c r="H161" s="88">
        <v>16</v>
      </c>
      <c r="I161" s="89"/>
      <c r="J161" s="89"/>
      <c r="K161" s="89"/>
      <c r="L161" s="89"/>
      <c r="M161" s="90">
        <f t="shared" si="139"/>
        <v>0</v>
      </c>
      <c r="N161" s="4" t="str">
        <f t="shared" si="140"/>
        <v/>
      </c>
      <c r="O161" s="91">
        <f t="shared" si="141"/>
        <v>0</v>
      </c>
      <c r="P161" s="91">
        <f t="shared" si="142"/>
        <v>0</v>
      </c>
      <c r="Q161" s="79">
        <v>3</v>
      </c>
      <c r="R161" s="79">
        <v>2</v>
      </c>
      <c r="S161" s="79" t="s">
        <v>62</v>
      </c>
      <c r="T161" s="5" t="s">
        <v>137</v>
      </c>
      <c r="U161" s="9"/>
      <c r="W161" s="86">
        <f t="shared" si="143"/>
        <v>82.7</v>
      </c>
      <c r="X161" s="87">
        <f t="shared" si="143"/>
        <v>25</v>
      </c>
      <c r="Y161" s="92">
        <f t="shared" si="144"/>
        <v>16</v>
      </c>
      <c r="Z161" s="90">
        <f t="shared" si="144"/>
        <v>0</v>
      </c>
      <c r="AA161" s="90">
        <f t="shared" si="145"/>
        <v>0</v>
      </c>
      <c r="AB161" s="90">
        <f t="shared" ref="AB161:AD176" si="157">M161</f>
        <v>0</v>
      </c>
      <c r="AC161" s="4" t="str">
        <f t="shared" si="157"/>
        <v/>
      </c>
      <c r="AD161" s="91">
        <f t="shared" si="157"/>
        <v>0</v>
      </c>
      <c r="AE161" s="79" t="str">
        <f t="shared" si="146"/>
        <v>계</v>
      </c>
      <c r="AF161" s="79" t="str">
        <f t="shared" si="147"/>
        <v>3/2</v>
      </c>
      <c r="AH161" s="20" t="str">
        <f t="shared" si="116"/>
        <v>복대동 더샵청주센트럴</v>
      </c>
      <c r="AI161" s="87">
        <f t="shared" si="117"/>
        <v>25</v>
      </c>
      <c r="AJ161" s="79" t="str">
        <f t="shared" si="148"/>
        <v>A-</v>
      </c>
      <c r="AK161" s="79" t="s">
        <v>13</v>
      </c>
      <c r="AL161" s="79" t="s">
        <v>60</v>
      </c>
      <c r="AM161" s="79" t="s">
        <v>61</v>
      </c>
      <c r="AN161" s="79" t="str">
        <f t="shared" si="149"/>
        <v>C</v>
      </c>
      <c r="AO161" s="79" t="str">
        <f t="shared" si="150"/>
        <v/>
      </c>
      <c r="AP161" s="79" t="str">
        <f t="shared" si="151"/>
        <v/>
      </c>
      <c r="AQ161" s="79" t="str">
        <f t="shared" si="152"/>
        <v>O</v>
      </c>
      <c r="AR161" s="79" t="str">
        <f t="shared" si="153"/>
        <v>O</v>
      </c>
      <c r="AS161" s="79" t="s">
        <v>2</v>
      </c>
      <c r="AT161" s="79" t="str">
        <f t="shared" si="154"/>
        <v>O</v>
      </c>
      <c r="AU161" s="79" t="str">
        <f t="shared" si="155"/>
        <v>O</v>
      </c>
      <c r="AV161" s="79" t="str">
        <f t="shared" si="156"/>
        <v/>
      </c>
    </row>
    <row r="162" spans="1:48" s="37" customFormat="1" ht="12" x14ac:dyDescent="0.3">
      <c r="A162" s="74" t="s">
        <v>1545</v>
      </c>
      <c r="B162" s="75" t="s">
        <v>1546</v>
      </c>
      <c r="C162" s="85">
        <v>986</v>
      </c>
      <c r="D162" s="86">
        <v>101.3</v>
      </c>
      <c r="E162" s="87">
        <v>31</v>
      </c>
      <c r="F162" s="86">
        <v>75</v>
      </c>
      <c r="G162" s="17">
        <v>23</v>
      </c>
      <c r="H162" s="88">
        <v>186</v>
      </c>
      <c r="I162" s="89"/>
      <c r="J162" s="89"/>
      <c r="K162" s="89"/>
      <c r="L162" s="89"/>
      <c r="M162" s="90">
        <f t="shared" si="139"/>
        <v>0</v>
      </c>
      <c r="N162" s="4" t="str">
        <f t="shared" si="140"/>
        <v/>
      </c>
      <c r="O162" s="91">
        <f t="shared" si="141"/>
        <v>0</v>
      </c>
      <c r="P162" s="91">
        <f t="shared" si="142"/>
        <v>0</v>
      </c>
      <c r="Q162" s="79">
        <v>3</v>
      </c>
      <c r="R162" s="79">
        <v>2</v>
      </c>
      <c r="S162" s="79" t="s">
        <v>62</v>
      </c>
      <c r="T162" s="5">
        <v>101</v>
      </c>
      <c r="U162" s="9"/>
      <c r="W162" s="86">
        <f t="shared" si="143"/>
        <v>101.3</v>
      </c>
      <c r="X162" s="87">
        <f t="shared" si="143"/>
        <v>31</v>
      </c>
      <c r="Y162" s="92">
        <f t="shared" si="144"/>
        <v>186</v>
      </c>
      <c r="Z162" s="90">
        <f t="shared" si="144"/>
        <v>0</v>
      </c>
      <c r="AA162" s="90">
        <f t="shared" si="145"/>
        <v>0</v>
      </c>
      <c r="AB162" s="90">
        <f t="shared" si="157"/>
        <v>0</v>
      </c>
      <c r="AC162" s="4" t="str">
        <f t="shared" si="157"/>
        <v/>
      </c>
      <c r="AD162" s="91">
        <f t="shared" si="157"/>
        <v>0</v>
      </c>
      <c r="AE162" s="79" t="str">
        <f t="shared" si="146"/>
        <v>계</v>
      </c>
      <c r="AF162" s="79" t="str">
        <f t="shared" si="147"/>
        <v>3/2</v>
      </c>
      <c r="AH162" s="20" t="str">
        <f t="shared" si="116"/>
        <v>복대동 더샵청주센트럴</v>
      </c>
      <c r="AI162" s="87">
        <f t="shared" si="117"/>
        <v>31</v>
      </c>
      <c r="AJ162" s="79" t="str">
        <f t="shared" si="148"/>
        <v>A-</v>
      </c>
      <c r="AK162" s="79" t="s">
        <v>13</v>
      </c>
      <c r="AL162" s="79" t="s">
        <v>60</v>
      </c>
      <c r="AM162" s="79" t="s">
        <v>61</v>
      </c>
      <c r="AN162" s="79" t="str">
        <f t="shared" si="149"/>
        <v>C</v>
      </c>
      <c r="AO162" s="79" t="str">
        <f t="shared" si="150"/>
        <v/>
      </c>
      <c r="AP162" s="79" t="str">
        <f t="shared" si="151"/>
        <v/>
      </c>
      <c r="AQ162" s="79" t="str">
        <f t="shared" si="152"/>
        <v>O</v>
      </c>
      <c r="AR162" s="79" t="str">
        <f t="shared" si="153"/>
        <v>O</v>
      </c>
      <c r="AS162" s="79" t="s">
        <v>2</v>
      </c>
      <c r="AT162" s="79" t="str">
        <f t="shared" si="154"/>
        <v>O</v>
      </c>
      <c r="AU162" s="79" t="str">
        <f t="shared" si="155"/>
        <v>O</v>
      </c>
      <c r="AV162" s="79" t="str">
        <f t="shared" si="156"/>
        <v/>
      </c>
    </row>
    <row r="163" spans="1:48" s="37" customFormat="1" ht="12" x14ac:dyDescent="0.3">
      <c r="A163" s="74" t="s">
        <v>1545</v>
      </c>
      <c r="B163" s="75" t="s">
        <v>1546</v>
      </c>
      <c r="C163" s="85">
        <v>986</v>
      </c>
      <c r="D163" s="86">
        <v>111.7</v>
      </c>
      <c r="E163" s="87">
        <v>34</v>
      </c>
      <c r="F163" s="86">
        <v>85</v>
      </c>
      <c r="G163" s="17">
        <v>26</v>
      </c>
      <c r="H163" s="88">
        <v>407</v>
      </c>
      <c r="I163" s="89"/>
      <c r="J163" s="89"/>
      <c r="K163" s="89"/>
      <c r="L163" s="89"/>
      <c r="M163" s="90">
        <f t="shared" si="139"/>
        <v>0</v>
      </c>
      <c r="N163" s="4" t="str">
        <f t="shared" si="140"/>
        <v/>
      </c>
      <c r="O163" s="91">
        <f t="shared" si="141"/>
        <v>0</v>
      </c>
      <c r="P163" s="91">
        <f t="shared" si="142"/>
        <v>0</v>
      </c>
      <c r="Q163" s="79">
        <v>3</v>
      </c>
      <c r="R163" s="79">
        <v>2</v>
      </c>
      <c r="S163" s="79" t="s">
        <v>62</v>
      </c>
      <c r="T163" s="5" t="s">
        <v>73</v>
      </c>
      <c r="U163" s="9"/>
      <c r="W163" s="86">
        <f t="shared" si="143"/>
        <v>111.7</v>
      </c>
      <c r="X163" s="87">
        <f t="shared" si="143"/>
        <v>34</v>
      </c>
      <c r="Y163" s="92">
        <f t="shared" si="144"/>
        <v>407</v>
      </c>
      <c r="Z163" s="90">
        <f t="shared" si="144"/>
        <v>0</v>
      </c>
      <c r="AA163" s="90">
        <f t="shared" si="145"/>
        <v>0</v>
      </c>
      <c r="AB163" s="90">
        <f t="shared" si="157"/>
        <v>0</v>
      </c>
      <c r="AC163" s="4" t="str">
        <f t="shared" si="157"/>
        <v/>
      </c>
      <c r="AD163" s="91">
        <f t="shared" si="157"/>
        <v>0</v>
      </c>
      <c r="AE163" s="79" t="str">
        <f t="shared" si="146"/>
        <v>계</v>
      </c>
      <c r="AF163" s="79" t="str">
        <f t="shared" si="147"/>
        <v>3/2</v>
      </c>
      <c r="AH163" s="20" t="str">
        <f t="shared" si="116"/>
        <v>복대동 더샵청주센트럴</v>
      </c>
      <c r="AI163" s="87">
        <f t="shared" si="117"/>
        <v>34</v>
      </c>
      <c r="AJ163" s="79" t="str">
        <f t="shared" si="148"/>
        <v>A-</v>
      </c>
      <c r="AK163" s="79" t="s">
        <v>13</v>
      </c>
      <c r="AL163" s="79" t="s">
        <v>60</v>
      </c>
      <c r="AM163" s="79" t="s">
        <v>61</v>
      </c>
      <c r="AN163" s="79" t="str">
        <f t="shared" si="149"/>
        <v>C</v>
      </c>
      <c r="AO163" s="79" t="str">
        <f t="shared" si="150"/>
        <v/>
      </c>
      <c r="AP163" s="79" t="str">
        <f t="shared" si="151"/>
        <v/>
      </c>
      <c r="AQ163" s="79" t="str">
        <f t="shared" si="152"/>
        <v>O</v>
      </c>
      <c r="AR163" s="79" t="str">
        <f t="shared" si="153"/>
        <v>O</v>
      </c>
      <c r="AS163" s="79" t="s">
        <v>2</v>
      </c>
      <c r="AT163" s="79" t="str">
        <f t="shared" si="154"/>
        <v>O</v>
      </c>
      <c r="AU163" s="79" t="str">
        <f t="shared" si="155"/>
        <v>O</v>
      </c>
      <c r="AV163" s="79" t="str">
        <f t="shared" si="156"/>
        <v/>
      </c>
    </row>
    <row r="164" spans="1:48" s="37" customFormat="1" ht="12" x14ac:dyDescent="0.3">
      <c r="A164" s="74" t="s">
        <v>1545</v>
      </c>
      <c r="B164" s="75" t="s">
        <v>1546</v>
      </c>
      <c r="C164" s="85">
        <v>986</v>
      </c>
      <c r="D164" s="86">
        <v>112.9</v>
      </c>
      <c r="E164" s="87">
        <v>34</v>
      </c>
      <c r="F164" s="86">
        <v>85</v>
      </c>
      <c r="G164" s="17">
        <v>26</v>
      </c>
      <c r="H164" s="88">
        <v>86</v>
      </c>
      <c r="I164" s="89"/>
      <c r="J164" s="89"/>
      <c r="K164" s="89"/>
      <c r="L164" s="89"/>
      <c r="M164" s="90">
        <f t="shared" si="139"/>
        <v>0</v>
      </c>
      <c r="N164" s="4" t="str">
        <f t="shared" si="140"/>
        <v/>
      </c>
      <c r="O164" s="91">
        <f t="shared" si="141"/>
        <v>0</v>
      </c>
      <c r="P164" s="91">
        <f t="shared" si="142"/>
        <v>0</v>
      </c>
      <c r="Q164" s="79">
        <v>3</v>
      </c>
      <c r="R164" s="79">
        <v>2</v>
      </c>
      <c r="S164" s="79" t="s">
        <v>62</v>
      </c>
      <c r="T164" s="5" t="s">
        <v>107</v>
      </c>
      <c r="U164" s="9"/>
      <c r="W164" s="86">
        <f t="shared" si="143"/>
        <v>112.9</v>
      </c>
      <c r="X164" s="87">
        <f t="shared" si="143"/>
        <v>34</v>
      </c>
      <c r="Y164" s="92">
        <f t="shared" si="144"/>
        <v>86</v>
      </c>
      <c r="Z164" s="90">
        <f t="shared" si="144"/>
        <v>0</v>
      </c>
      <c r="AA164" s="90">
        <f t="shared" si="145"/>
        <v>0</v>
      </c>
      <c r="AB164" s="90">
        <f t="shared" si="157"/>
        <v>0</v>
      </c>
      <c r="AC164" s="4" t="str">
        <f t="shared" si="157"/>
        <v/>
      </c>
      <c r="AD164" s="91">
        <f t="shared" si="157"/>
        <v>0</v>
      </c>
      <c r="AE164" s="79" t="str">
        <f t="shared" si="146"/>
        <v>계</v>
      </c>
      <c r="AF164" s="79" t="str">
        <f t="shared" si="147"/>
        <v>3/2</v>
      </c>
      <c r="AH164" s="20" t="str">
        <f t="shared" si="116"/>
        <v>복대동 더샵청주센트럴</v>
      </c>
      <c r="AI164" s="87">
        <f t="shared" si="117"/>
        <v>34</v>
      </c>
      <c r="AJ164" s="79" t="str">
        <f t="shared" si="148"/>
        <v>A-</v>
      </c>
      <c r="AK164" s="79" t="s">
        <v>13</v>
      </c>
      <c r="AL164" s="79" t="s">
        <v>60</v>
      </c>
      <c r="AM164" s="79" t="s">
        <v>61</v>
      </c>
      <c r="AN164" s="79" t="str">
        <f t="shared" si="149"/>
        <v>C</v>
      </c>
      <c r="AO164" s="79" t="str">
        <f t="shared" si="150"/>
        <v/>
      </c>
      <c r="AP164" s="79" t="str">
        <f t="shared" si="151"/>
        <v/>
      </c>
      <c r="AQ164" s="79" t="str">
        <f t="shared" si="152"/>
        <v>O</v>
      </c>
      <c r="AR164" s="79" t="str">
        <f t="shared" si="153"/>
        <v>O</v>
      </c>
      <c r="AS164" s="79" t="s">
        <v>2</v>
      </c>
      <c r="AT164" s="79" t="str">
        <f t="shared" si="154"/>
        <v>O</v>
      </c>
      <c r="AU164" s="79" t="str">
        <f t="shared" si="155"/>
        <v>O</v>
      </c>
      <c r="AV164" s="79" t="str">
        <f t="shared" si="156"/>
        <v/>
      </c>
    </row>
    <row r="165" spans="1:48" s="37" customFormat="1" ht="12" x14ac:dyDescent="0.3">
      <c r="A165" s="74" t="s">
        <v>1545</v>
      </c>
      <c r="B165" s="75" t="s">
        <v>1546</v>
      </c>
      <c r="C165" s="85">
        <v>986</v>
      </c>
      <c r="D165" s="86">
        <v>112.8</v>
      </c>
      <c r="E165" s="87">
        <v>34</v>
      </c>
      <c r="F165" s="86">
        <v>85</v>
      </c>
      <c r="G165" s="17">
        <v>26</v>
      </c>
      <c r="H165" s="88">
        <v>50</v>
      </c>
      <c r="I165" s="89"/>
      <c r="J165" s="89"/>
      <c r="K165" s="89"/>
      <c r="L165" s="89"/>
      <c r="M165" s="90">
        <f t="shared" si="139"/>
        <v>0</v>
      </c>
      <c r="N165" s="4" t="str">
        <f t="shared" si="140"/>
        <v/>
      </c>
      <c r="O165" s="91">
        <f t="shared" si="141"/>
        <v>0</v>
      </c>
      <c r="P165" s="91">
        <f t="shared" si="142"/>
        <v>0</v>
      </c>
      <c r="Q165" s="79">
        <v>3</v>
      </c>
      <c r="R165" s="79">
        <v>2</v>
      </c>
      <c r="S165" s="79" t="s">
        <v>62</v>
      </c>
      <c r="T165" s="5" t="s">
        <v>113</v>
      </c>
      <c r="U165" s="9"/>
      <c r="W165" s="86">
        <f t="shared" si="143"/>
        <v>112.8</v>
      </c>
      <c r="X165" s="87">
        <f t="shared" si="143"/>
        <v>34</v>
      </c>
      <c r="Y165" s="92">
        <f t="shared" si="144"/>
        <v>50</v>
      </c>
      <c r="Z165" s="90">
        <f t="shared" si="144"/>
        <v>0</v>
      </c>
      <c r="AA165" s="90">
        <f t="shared" si="145"/>
        <v>0</v>
      </c>
      <c r="AB165" s="90">
        <f t="shared" si="157"/>
        <v>0</v>
      </c>
      <c r="AC165" s="4" t="str">
        <f t="shared" si="157"/>
        <v/>
      </c>
      <c r="AD165" s="91">
        <f t="shared" si="157"/>
        <v>0</v>
      </c>
      <c r="AE165" s="79" t="str">
        <f t="shared" si="146"/>
        <v>계</v>
      </c>
      <c r="AF165" s="79" t="str">
        <f t="shared" si="147"/>
        <v>3/2</v>
      </c>
      <c r="AH165" s="20" t="str">
        <f t="shared" si="116"/>
        <v>복대동 더샵청주센트럴</v>
      </c>
      <c r="AI165" s="87">
        <f t="shared" si="117"/>
        <v>34</v>
      </c>
      <c r="AJ165" s="79" t="str">
        <f t="shared" si="148"/>
        <v>A-</v>
      </c>
      <c r="AK165" s="79" t="s">
        <v>13</v>
      </c>
      <c r="AL165" s="79" t="s">
        <v>60</v>
      </c>
      <c r="AM165" s="79" t="s">
        <v>61</v>
      </c>
      <c r="AN165" s="79" t="str">
        <f t="shared" si="149"/>
        <v>C</v>
      </c>
      <c r="AO165" s="79" t="str">
        <f t="shared" si="150"/>
        <v/>
      </c>
      <c r="AP165" s="79" t="str">
        <f t="shared" si="151"/>
        <v/>
      </c>
      <c r="AQ165" s="79" t="str">
        <f t="shared" si="152"/>
        <v>O</v>
      </c>
      <c r="AR165" s="79" t="str">
        <f t="shared" si="153"/>
        <v>O</v>
      </c>
      <c r="AS165" s="79" t="s">
        <v>2</v>
      </c>
      <c r="AT165" s="79" t="str">
        <f t="shared" si="154"/>
        <v>O</v>
      </c>
      <c r="AU165" s="79" t="str">
        <f t="shared" si="155"/>
        <v>O</v>
      </c>
      <c r="AV165" s="79" t="str">
        <f t="shared" si="156"/>
        <v/>
      </c>
    </row>
    <row r="166" spans="1:48" s="37" customFormat="1" ht="12" x14ac:dyDescent="0.3">
      <c r="A166" s="74" t="s">
        <v>1545</v>
      </c>
      <c r="B166" s="75" t="s">
        <v>1546</v>
      </c>
      <c r="C166" s="85">
        <v>986</v>
      </c>
      <c r="D166" s="86">
        <v>112.8</v>
      </c>
      <c r="E166" s="87">
        <v>34</v>
      </c>
      <c r="F166" s="86">
        <v>85</v>
      </c>
      <c r="G166" s="17">
        <v>26</v>
      </c>
      <c r="H166" s="88">
        <v>43</v>
      </c>
      <c r="I166" s="89"/>
      <c r="J166" s="89"/>
      <c r="K166" s="89"/>
      <c r="L166" s="89"/>
      <c r="M166" s="90">
        <f t="shared" si="139"/>
        <v>0</v>
      </c>
      <c r="N166" s="4" t="str">
        <f t="shared" si="140"/>
        <v/>
      </c>
      <c r="O166" s="91">
        <f t="shared" si="141"/>
        <v>0</v>
      </c>
      <c r="P166" s="91">
        <f t="shared" si="142"/>
        <v>0</v>
      </c>
      <c r="Q166" s="79">
        <v>3</v>
      </c>
      <c r="R166" s="79">
        <v>2</v>
      </c>
      <c r="S166" s="79" t="s">
        <v>62</v>
      </c>
      <c r="T166" s="5" t="s">
        <v>138</v>
      </c>
      <c r="U166" s="9"/>
      <c r="W166" s="86">
        <f t="shared" si="143"/>
        <v>112.8</v>
      </c>
      <c r="X166" s="87">
        <f t="shared" si="143"/>
        <v>34</v>
      </c>
      <c r="Y166" s="92">
        <f t="shared" si="144"/>
        <v>43</v>
      </c>
      <c r="Z166" s="90">
        <f t="shared" si="144"/>
        <v>0</v>
      </c>
      <c r="AA166" s="90">
        <f t="shared" si="145"/>
        <v>0</v>
      </c>
      <c r="AB166" s="90">
        <f t="shared" si="157"/>
        <v>0</v>
      </c>
      <c r="AC166" s="4" t="str">
        <f t="shared" si="157"/>
        <v/>
      </c>
      <c r="AD166" s="91">
        <f t="shared" si="157"/>
        <v>0</v>
      </c>
      <c r="AE166" s="79" t="str">
        <f t="shared" si="146"/>
        <v>계</v>
      </c>
      <c r="AF166" s="79" t="str">
        <f t="shared" si="147"/>
        <v>3/2</v>
      </c>
      <c r="AH166" s="20" t="str">
        <f t="shared" si="116"/>
        <v>복대동 더샵청주센트럴</v>
      </c>
      <c r="AI166" s="87">
        <f t="shared" si="117"/>
        <v>34</v>
      </c>
      <c r="AJ166" s="79" t="str">
        <f t="shared" si="148"/>
        <v>A-</v>
      </c>
      <c r="AK166" s="79" t="s">
        <v>13</v>
      </c>
      <c r="AL166" s="79" t="s">
        <v>60</v>
      </c>
      <c r="AM166" s="79" t="s">
        <v>61</v>
      </c>
      <c r="AN166" s="79" t="str">
        <f t="shared" si="149"/>
        <v>C</v>
      </c>
      <c r="AO166" s="79" t="str">
        <f t="shared" si="150"/>
        <v/>
      </c>
      <c r="AP166" s="79" t="str">
        <f t="shared" si="151"/>
        <v/>
      </c>
      <c r="AQ166" s="79" t="str">
        <f t="shared" si="152"/>
        <v>O</v>
      </c>
      <c r="AR166" s="79" t="str">
        <f t="shared" si="153"/>
        <v>O</v>
      </c>
      <c r="AS166" s="79" t="s">
        <v>2</v>
      </c>
      <c r="AT166" s="79" t="str">
        <f t="shared" si="154"/>
        <v>O</v>
      </c>
      <c r="AU166" s="79" t="str">
        <f t="shared" si="155"/>
        <v>O</v>
      </c>
      <c r="AV166" s="79" t="str">
        <f t="shared" si="156"/>
        <v/>
      </c>
    </row>
    <row r="167" spans="1:48" s="37" customFormat="1" ht="12" x14ac:dyDescent="0.3">
      <c r="A167" s="74" t="s">
        <v>1547</v>
      </c>
      <c r="B167" s="75" t="s">
        <v>1548</v>
      </c>
      <c r="C167" s="85">
        <v>356</v>
      </c>
      <c r="D167" s="86">
        <v>85.9</v>
      </c>
      <c r="E167" s="87">
        <v>26</v>
      </c>
      <c r="F167" s="86">
        <v>59.9</v>
      </c>
      <c r="G167" s="17">
        <v>18</v>
      </c>
      <c r="H167" s="88">
        <v>92</v>
      </c>
      <c r="I167" s="89">
        <v>40500</v>
      </c>
      <c r="J167" s="89" t="s">
        <v>81</v>
      </c>
      <c r="K167" s="89">
        <v>32000</v>
      </c>
      <c r="L167" s="89" t="s">
        <v>81</v>
      </c>
      <c r="M167" s="90">
        <f>I167-K167</f>
        <v>8500</v>
      </c>
      <c r="N167" s="4">
        <f>IF(ISERROR(K167/I167),"",K167/I167)</f>
        <v>0.79012345679012341</v>
      </c>
      <c r="O167" s="91">
        <f>I167/E167</f>
        <v>1557.6923076923076</v>
      </c>
      <c r="P167" s="91">
        <f>K167/E167</f>
        <v>1230.7692307692307</v>
      </c>
      <c r="Q167" s="79">
        <v>3</v>
      </c>
      <c r="R167" s="79">
        <v>2</v>
      </c>
      <c r="S167" s="79" t="s">
        <v>62</v>
      </c>
      <c r="T167" s="5">
        <v>85</v>
      </c>
      <c r="U167" s="9"/>
      <c r="W167" s="86">
        <f t="shared" si="143"/>
        <v>85.9</v>
      </c>
      <c r="X167" s="87">
        <f t="shared" si="143"/>
        <v>26</v>
      </c>
      <c r="Y167" s="92">
        <f t="shared" si="144"/>
        <v>92</v>
      </c>
      <c r="Z167" s="90">
        <f t="shared" si="144"/>
        <v>40500</v>
      </c>
      <c r="AA167" s="90">
        <f>K167</f>
        <v>32000</v>
      </c>
      <c r="AB167" s="90">
        <f t="shared" si="157"/>
        <v>8500</v>
      </c>
      <c r="AC167" s="4">
        <f t="shared" si="157"/>
        <v>0.79012345679012341</v>
      </c>
      <c r="AD167" s="91">
        <f t="shared" si="157"/>
        <v>1557.6923076923076</v>
      </c>
      <c r="AE167" s="79" t="str">
        <f>S167</f>
        <v>계</v>
      </c>
      <c r="AF167" s="79" t="str">
        <f>Q167&amp;"/"&amp;R167</f>
        <v>3/2</v>
      </c>
      <c r="AH167" s="20" t="str">
        <f t="shared" si="116"/>
        <v>복대동 복대두진하트리움</v>
      </c>
      <c r="AI167" s="87">
        <f t="shared" si="117"/>
        <v>26</v>
      </c>
      <c r="AJ167" s="79" t="str">
        <f>IF(AI167="","",$AJ$2)</f>
        <v>A-</v>
      </c>
      <c r="AK167" s="79" t="s">
        <v>13</v>
      </c>
      <c r="AL167" s="79" t="s">
        <v>60</v>
      </c>
      <c r="AM167" s="79" t="s">
        <v>61</v>
      </c>
      <c r="AN167" s="79" t="str">
        <f>IF(AI167="","",$AN$2)</f>
        <v>C</v>
      </c>
      <c r="AO167" s="79" t="str">
        <f>IF(N167="","",IF(N167&gt;=$AO$1/100,"O","X"))</f>
        <v>X</v>
      </c>
      <c r="AP167" s="79" t="str">
        <f>IF(I167="","",IF(I167&lt;=$AP$1,"O","X"))</f>
        <v>O</v>
      </c>
      <c r="AQ167" s="79" t="str">
        <f>IF(O167="","",IF(O167&lt;=$AQ$1,"O","X"))</f>
        <v>X</v>
      </c>
      <c r="AR167" s="79" t="str">
        <f>IF(M167="","",IF(M167&lt;=$AR$1,"O","X"))</f>
        <v>X</v>
      </c>
      <c r="AS167" s="79" t="s">
        <v>2</v>
      </c>
      <c r="AT167" s="79" t="str">
        <f>IF(OR(F167="",AI167=""),"",IF(AND((F167&lt;=85),(AI167&gt;=15)),"O","X"))</f>
        <v>O</v>
      </c>
      <c r="AU167" s="79" t="str">
        <f>IF(C167="","",IF(C167&gt;=$AU$1,"O","X"))</f>
        <v>O</v>
      </c>
      <c r="AV167" s="79" t="str">
        <f>IF(AO167="","",IF(AND(AO167="O",AP167="O",AR167="O",AT167="O",AU167="O"),"후보","X"))</f>
        <v>X</v>
      </c>
    </row>
    <row r="168" spans="1:48" s="37" customFormat="1" ht="12" x14ac:dyDescent="0.3">
      <c r="A168" s="74" t="s">
        <v>1547</v>
      </c>
      <c r="B168" s="75" t="s">
        <v>1548</v>
      </c>
      <c r="C168" s="85">
        <v>356</v>
      </c>
      <c r="D168" s="86">
        <v>109.6</v>
      </c>
      <c r="E168" s="87">
        <v>33</v>
      </c>
      <c r="F168" s="86">
        <v>84.9</v>
      </c>
      <c r="G168" s="17">
        <v>26</v>
      </c>
      <c r="H168" s="88">
        <v>136</v>
      </c>
      <c r="I168" s="89">
        <v>51000</v>
      </c>
      <c r="J168" s="89" t="s">
        <v>92</v>
      </c>
      <c r="K168" s="89">
        <v>42000</v>
      </c>
      <c r="L168" s="89" t="s">
        <v>89</v>
      </c>
      <c r="M168" s="90">
        <f>I168-K168</f>
        <v>9000</v>
      </c>
      <c r="N168" s="4">
        <f>IF(ISERROR(K168/I168),"",K168/I168)</f>
        <v>0.82352941176470584</v>
      </c>
      <c r="O168" s="91">
        <f>I168/E168</f>
        <v>1545.4545454545455</v>
      </c>
      <c r="P168" s="91">
        <f>K168/E168</f>
        <v>1272.7272727272727</v>
      </c>
      <c r="Q168" s="79">
        <v>3</v>
      </c>
      <c r="R168" s="79">
        <v>2</v>
      </c>
      <c r="S168" s="79" t="s">
        <v>62</v>
      </c>
      <c r="T168" s="5" t="s">
        <v>66</v>
      </c>
      <c r="U168" s="9"/>
      <c r="W168" s="86">
        <f t="shared" si="143"/>
        <v>109.6</v>
      </c>
      <c r="X168" s="87">
        <f t="shared" si="143"/>
        <v>33</v>
      </c>
      <c r="Y168" s="92">
        <f t="shared" si="144"/>
        <v>136</v>
      </c>
      <c r="Z168" s="90">
        <f t="shared" si="144"/>
        <v>51000</v>
      </c>
      <c r="AA168" s="90">
        <f>K168</f>
        <v>42000</v>
      </c>
      <c r="AB168" s="90">
        <f t="shared" si="157"/>
        <v>9000</v>
      </c>
      <c r="AC168" s="4">
        <f t="shared" si="157"/>
        <v>0.82352941176470584</v>
      </c>
      <c r="AD168" s="91">
        <f t="shared" si="157"/>
        <v>1545.4545454545455</v>
      </c>
      <c r="AE168" s="79" t="str">
        <f>S168</f>
        <v>계</v>
      </c>
      <c r="AF168" s="79" t="str">
        <f>Q168&amp;"/"&amp;R168</f>
        <v>3/2</v>
      </c>
      <c r="AH168" s="20" t="str">
        <f t="shared" si="116"/>
        <v>복대동 복대두진하트리움</v>
      </c>
      <c r="AI168" s="87">
        <f t="shared" si="117"/>
        <v>33</v>
      </c>
      <c r="AJ168" s="79" t="str">
        <f>IF(AI168="","",$AJ$2)</f>
        <v>A-</v>
      </c>
      <c r="AK168" s="79" t="s">
        <v>13</v>
      </c>
      <c r="AL168" s="79" t="s">
        <v>60</v>
      </c>
      <c r="AM168" s="79" t="s">
        <v>61</v>
      </c>
      <c r="AN168" s="79" t="str">
        <f>IF(AI168="","",$AN$2)</f>
        <v>C</v>
      </c>
      <c r="AO168" s="79" t="str">
        <f>IF(N168="","",IF(N168&gt;=$AO$1/100,"O","X"))</f>
        <v>O</v>
      </c>
      <c r="AP168" s="79" t="str">
        <f>IF(I168="","",IF(I168&lt;=$AP$1,"O","X"))</f>
        <v>X</v>
      </c>
      <c r="AQ168" s="79" t="str">
        <f>IF(O168="","",IF(O168&lt;=$AQ$1,"O","X"))</f>
        <v>X</v>
      </c>
      <c r="AR168" s="79" t="str">
        <f>IF(M168="","",IF(M168&lt;=$AR$1,"O","X"))</f>
        <v>X</v>
      </c>
      <c r="AS168" s="79" t="s">
        <v>2</v>
      </c>
      <c r="AT168" s="79" t="str">
        <f>IF(OR(F168="",AI168=""),"",IF(AND((F168&lt;=85),(AI168&gt;=15)),"O","X"))</f>
        <v>O</v>
      </c>
      <c r="AU168" s="79" t="str">
        <f>IF(C168="","",IF(C168&gt;=$AU$1,"O","X"))</f>
        <v>O</v>
      </c>
      <c r="AV168" s="79" t="str">
        <f>IF(AO168="","",IF(AND(AO168="O",AP168="O",AR168="O",AT168="O",AU168="O"),"후보","X"))</f>
        <v>X</v>
      </c>
    </row>
    <row r="169" spans="1:48" s="37" customFormat="1" ht="12" x14ac:dyDescent="0.3">
      <c r="A169" s="74" t="s">
        <v>1547</v>
      </c>
      <c r="B169" s="75" t="s">
        <v>1548</v>
      </c>
      <c r="C169" s="85">
        <v>356</v>
      </c>
      <c r="D169" s="86">
        <v>109.4</v>
      </c>
      <c r="E169" s="87">
        <v>33</v>
      </c>
      <c r="F169" s="86">
        <v>84.9</v>
      </c>
      <c r="G169" s="17">
        <v>26</v>
      </c>
      <c r="H169" s="88">
        <v>68</v>
      </c>
      <c r="I169" s="89">
        <v>50000</v>
      </c>
      <c r="J169" s="89" t="s">
        <v>64</v>
      </c>
      <c r="K169" s="89">
        <v>39000</v>
      </c>
      <c r="L169" s="89" t="s">
        <v>71</v>
      </c>
      <c r="M169" s="90">
        <f>I169-K169</f>
        <v>11000</v>
      </c>
      <c r="N169" s="4">
        <f>IF(ISERROR(K169/I169),"",K169/I169)</f>
        <v>0.78</v>
      </c>
      <c r="O169" s="91">
        <f>I169/E169</f>
        <v>1515.1515151515152</v>
      </c>
      <c r="P169" s="91">
        <f>K169/E169</f>
        <v>1181.8181818181818</v>
      </c>
      <c r="Q169" s="79">
        <v>3</v>
      </c>
      <c r="R169" s="79">
        <v>2</v>
      </c>
      <c r="S169" s="79" t="s">
        <v>62</v>
      </c>
      <c r="T169" s="5" t="s">
        <v>67</v>
      </c>
      <c r="U169" s="9"/>
      <c r="W169" s="86">
        <f t="shared" si="143"/>
        <v>109.4</v>
      </c>
      <c r="X169" s="87">
        <f t="shared" si="143"/>
        <v>33</v>
      </c>
      <c r="Y169" s="92">
        <f t="shared" si="144"/>
        <v>68</v>
      </c>
      <c r="Z169" s="90">
        <f t="shared" si="144"/>
        <v>50000</v>
      </c>
      <c r="AA169" s="90">
        <f>K169</f>
        <v>39000</v>
      </c>
      <c r="AB169" s="90">
        <f t="shared" si="157"/>
        <v>11000</v>
      </c>
      <c r="AC169" s="4">
        <f t="shared" si="157"/>
        <v>0.78</v>
      </c>
      <c r="AD169" s="91">
        <f t="shared" si="157"/>
        <v>1515.1515151515152</v>
      </c>
      <c r="AE169" s="79" t="str">
        <f>S169</f>
        <v>계</v>
      </c>
      <c r="AF169" s="79" t="str">
        <f>Q169&amp;"/"&amp;R169</f>
        <v>3/2</v>
      </c>
      <c r="AH169" s="20" t="str">
        <f t="shared" si="116"/>
        <v>복대동 복대두진하트리움</v>
      </c>
      <c r="AI169" s="87">
        <f t="shared" si="117"/>
        <v>33</v>
      </c>
      <c r="AJ169" s="79" t="str">
        <f>IF(AI169="","",$AJ$2)</f>
        <v>A-</v>
      </c>
      <c r="AK169" s="79" t="s">
        <v>13</v>
      </c>
      <c r="AL169" s="79" t="s">
        <v>60</v>
      </c>
      <c r="AM169" s="79" t="s">
        <v>61</v>
      </c>
      <c r="AN169" s="79" t="str">
        <f>IF(AI169="","",$AN$2)</f>
        <v>C</v>
      </c>
      <c r="AO169" s="79" t="str">
        <f>IF(N169="","",IF(N169&gt;=$AO$1/100,"O","X"))</f>
        <v>X</v>
      </c>
      <c r="AP169" s="79" t="str">
        <f>IF(I169="","",IF(I169&lt;=$AP$1,"O","X"))</f>
        <v>X</v>
      </c>
      <c r="AQ169" s="79" t="str">
        <f>IF(O169="","",IF(O169&lt;=$AQ$1,"O","X"))</f>
        <v>X</v>
      </c>
      <c r="AR169" s="79" t="str">
        <f>IF(M169="","",IF(M169&lt;=$AR$1,"O","X"))</f>
        <v>X</v>
      </c>
      <c r="AS169" s="79" t="s">
        <v>2</v>
      </c>
      <c r="AT169" s="79" t="str">
        <f>IF(OR(F169="",AI169=""),"",IF(AND((F169&lt;=85),(AI169&gt;=15)),"O","X"))</f>
        <v>O</v>
      </c>
      <c r="AU169" s="79" t="str">
        <f>IF(C169="","",IF(C169&gt;=$AU$1,"O","X"))</f>
        <v>O</v>
      </c>
      <c r="AV169" s="79" t="str">
        <f>IF(AO169="","",IF(AND(AO169="O",AP169="O",AR169="O",AT169="O",AU169="O"),"후보","X"))</f>
        <v>X</v>
      </c>
    </row>
    <row r="170" spans="1:48" s="37" customFormat="1" ht="12" x14ac:dyDescent="0.3">
      <c r="A170" s="74" t="s">
        <v>1547</v>
      </c>
      <c r="B170" s="75" t="s">
        <v>1548</v>
      </c>
      <c r="C170" s="85">
        <v>356</v>
      </c>
      <c r="D170" s="86">
        <v>109.2</v>
      </c>
      <c r="E170" s="87">
        <v>33</v>
      </c>
      <c r="F170" s="86">
        <v>84.9</v>
      </c>
      <c r="G170" s="17">
        <v>26</v>
      </c>
      <c r="H170" s="88">
        <v>60</v>
      </c>
      <c r="I170" s="89">
        <v>54800</v>
      </c>
      <c r="J170" s="89" t="s">
        <v>63</v>
      </c>
      <c r="K170" s="89">
        <v>39000</v>
      </c>
      <c r="L170" s="89" t="s">
        <v>71</v>
      </c>
      <c r="M170" s="90">
        <f>I170-K170</f>
        <v>15800</v>
      </c>
      <c r="N170" s="4">
        <f>IF(ISERROR(K170/I170),"",K170/I170)</f>
        <v>0.71167883211678828</v>
      </c>
      <c r="O170" s="91">
        <f>I170/E170</f>
        <v>1660.6060606060605</v>
      </c>
      <c r="P170" s="91">
        <f>K170/E170</f>
        <v>1181.8181818181818</v>
      </c>
      <c r="Q170" s="79">
        <v>3</v>
      </c>
      <c r="R170" s="79">
        <v>2</v>
      </c>
      <c r="S170" s="79" t="s">
        <v>62</v>
      </c>
      <c r="T170" s="5" t="s">
        <v>139</v>
      </c>
      <c r="U170" s="9"/>
      <c r="W170" s="86">
        <f t="shared" si="143"/>
        <v>109.2</v>
      </c>
      <c r="X170" s="87">
        <f t="shared" si="143"/>
        <v>33</v>
      </c>
      <c r="Y170" s="92">
        <f t="shared" si="144"/>
        <v>60</v>
      </c>
      <c r="Z170" s="90">
        <f t="shared" si="144"/>
        <v>54800</v>
      </c>
      <c r="AA170" s="90">
        <f>K170</f>
        <v>39000</v>
      </c>
      <c r="AB170" s="90">
        <f t="shared" si="157"/>
        <v>15800</v>
      </c>
      <c r="AC170" s="4">
        <f t="shared" si="157"/>
        <v>0.71167883211678828</v>
      </c>
      <c r="AD170" s="91">
        <f t="shared" si="157"/>
        <v>1660.6060606060605</v>
      </c>
      <c r="AE170" s="79" t="str">
        <f>S170</f>
        <v>계</v>
      </c>
      <c r="AF170" s="79" t="str">
        <f>Q170&amp;"/"&amp;R170</f>
        <v>3/2</v>
      </c>
      <c r="AH170" s="20" t="str">
        <f t="shared" si="116"/>
        <v>복대동 복대두진하트리움</v>
      </c>
      <c r="AI170" s="87">
        <f t="shared" si="117"/>
        <v>33</v>
      </c>
      <c r="AJ170" s="79" t="str">
        <f>IF(AI170="","",$AJ$2)</f>
        <v>A-</v>
      </c>
      <c r="AK170" s="79" t="s">
        <v>13</v>
      </c>
      <c r="AL170" s="79" t="s">
        <v>60</v>
      </c>
      <c r="AM170" s="79" t="s">
        <v>61</v>
      </c>
      <c r="AN170" s="79" t="str">
        <f>IF(AI170="","",$AN$2)</f>
        <v>C</v>
      </c>
      <c r="AO170" s="79" t="str">
        <f>IF(N170="","",IF(N170&gt;=$AO$1/100,"O","X"))</f>
        <v>X</v>
      </c>
      <c r="AP170" s="79" t="str">
        <f>IF(I170="","",IF(I170&lt;=$AP$1,"O","X"))</f>
        <v>X</v>
      </c>
      <c r="AQ170" s="79" t="str">
        <f>IF(O170="","",IF(O170&lt;=$AQ$1,"O","X"))</f>
        <v>X</v>
      </c>
      <c r="AR170" s="79" t="str">
        <f>IF(M170="","",IF(M170&lt;=$AR$1,"O","X"))</f>
        <v>X</v>
      </c>
      <c r="AS170" s="79" t="s">
        <v>2</v>
      </c>
      <c r="AT170" s="79" t="str">
        <f>IF(OR(F170="",AI170=""),"",IF(AND((F170&lt;=85),(AI170&gt;=15)),"O","X"))</f>
        <v>O</v>
      </c>
      <c r="AU170" s="79" t="str">
        <f>IF(C170="","",IF(C170&gt;=$AU$1,"O","X"))</f>
        <v>O</v>
      </c>
      <c r="AV170" s="79" t="str">
        <f>IF(AO170="","",IF(AND(AO170="O",AP170="O",AR170="O",AT170="O",AU170="O"),"후보","X"))</f>
        <v>X</v>
      </c>
    </row>
    <row r="171" spans="1:48" s="37" customFormat="1" ht="12" x14ac:dyDescent="0.3">
      <c r="A171" s="74" t="s">
        <v>1549</v>
      </c>
      <c r="B171" s="75" t="s">
        <v>1550</v>
      </c>
      <c r="C171" s="85">
        <v>586</v>
      </c>
      <c r="D171" s="86">
        <v>113.7</v>
      </c>
      <c r="E171" s="87">
        <v>34</v>
      </c>
      <c r="F171" s="86">
        <v>84.6</v>
      </c>
      <c r="G171" s="17">
        <v>26</v>
      </c>
      <c r="H171" s="88">
        <v>268</v>
      </c>
      <c r="I171" s="89">
        <v>49000</v>
      </c>
      <c r="J171" s="89" t="s">
        <v>81</v>
      </c>
      <c r="K171" s="89">
        <v>36000</v>
      </c>
      <c r="L171" s="89" t="s">
        <v>81</v>
      </c>
      <c r="M171" s="90">
        <f t="shared" ref="M171:M176" si="158">I171-K171</f>
        <v>13000</v>
      </c>
      <c r="N171" s="4">
        <f t="shared" ref="N171:N176" si="159">IF(ISERROR(K171/I171),"",K171/I171)</f>
        <v>0.73469387755102045</v>
      </c>
      <c r="O171" s="91">
        <f t="shared" ref="O171:O176" si="160">I171/E171</f>
        <v>1441.1764705882354</v>
      </c>
      <c r="P171" s="91">
        <f t="shared" ref="P171:P176" si="161">K171/E171</f>
        <v>1058.8235294117646</v>
      </c>
      <c r="Q171" s="79">
        <v>3</v>
      </c>
      <c r="R171" s="79">
        <v>2</v>
      </c>
      <c r="S171" s="79" t="s">
        <v>62</v>
      </c>
      <c r="T171" s="5">
        <v>113</v>
      </c>
      <c r="U171" s="9"/>
      <c r="W171" s="86">
        <f t="shared" si="143"/>
        <v>113.7</v>
      </c>
      <c r="X171" s="87">
        <f t="shared" si="143"/>
        <v>34</v>
      </c>
      <c r="Y171" s="92">
        <f t="shared" si="144"/>
        <v>268</v>
      </c>
      <c r="Z171" s="90">
        <f t="shared" si="144"/>
        <v>49000</v>
      </c>
      <c r="AA171" s="90">
        <f t="shared" ref="AA171:AA176" si="162">K171</f>
        <v>36000</v>
      </c>
      <c r="AB171" s="90">
        <f t="shared" si="157"/>
        <v>13000</v>
      </c>
      <c r="AC171" s="4">
        <f t="shared" si="157"/>
        <v>0.73469387755102045</v>
      </c>
      <c r="AD171" s="91">
        <f t="shared" si="157"/>
        <v>1441.1764705882354</v>
      </c>
      <c r="AE171" s="79" t="str">
        <f t="shared" ref="AE171:AE176" si="163">S171</f>
        <v>계</v>
      </c>
      <c r="AF171" s="79" t="str">
        <f t="shared" ref="AF171:AF176" si="164">Q171&amp;"/"&amp;R171</f>
        <v>3/2</v>
      </c>
      <c r="AH171" s="20" t="str">
        <f t="shared" si="116"/>
        <v>복대동 금호어울림2단지</v>
      </c>
      <c r="AI171" s="87">
        <f t="shared" si="117"/>
        <v>34</v>
      </c>
      <c r="AJ171" s="79" t="str">
        <f t="shared" ref="AJ171:AJ176" si="165">IF(AI171="","",$AJ$2)</f>
        <v>A-</v>
      </c>
      <c r="AK171" s="79" t="s">
        <v>13</v>
      </c>
      <c r="AL171" s="79" t="s">
        <v>60</v>
      </c>
      <c r="AM171" s="79" t="s">
        <v>61</v>
      </c>
      <c r="AN171" s="79" t="str">
        <f t="shared" ref="AN171:AN176" si="166">IF(AI171="","",$AN$2)</f>
        <v>C</v>
      </c>
      <c r="AO171" s="79" t="str">
        <f t="shared" ref="AO171:AO176" si="167">IF(N171="","",IF(N171&gt;=$AO$1/100,"O","X"))</f>
        <v>X</v>
      </c>
      <c r="AP171" s="79" t="str">
        <f t="shared" ref="AP171:AP176" si="168">IF(I171="","",IF(I171&lt;=$AP$1,"O","X"))</f>
        <v>X</v>
      </c>
      <c r="AQ171" s="79" t="str">
        <f t="shared" ref="AQ171:AQ176" si="169">IF(O171="","",IF(O171&lt;=$AQ$1,"O","X"))</f>
        <v>O</v>
      </c>
      <c r="AR171" s="79" t="str">
        <f t="shared" ref="AR171:AR176" si="170">IF(M171="","",IF(M171&lt;=$AR$1,"O","X"))</f>
        <v>X</v>
      </c>
      <c r="AS171" s="79" t="s">
        <v>2</v>
      </c>
      <c r="AT171" s="79" t="str">
        <f t="shared" ref="AT171:AT176" si="171">IF(OR(F171="",AI171=""),"",IF(AND((F171&lt;=85),(AI171&gt;=15)),"O","X"))</f>
        <v>O</v>
      </c>
      <c r="AU171" s="79" t="str">
        <f t="shared" ref="AU171:AU176" si="172">IF(C171="","",IF(C171&gt;=$AU$1,"O","X"))</f>
        <v>O</v>
      </c>
      <c r="AV171" s="79" t="str">
        <f t="shared" ref="AV171:AV176" si="173">IF(AO171="","",IF(AND(AO171="O",AP171="O",AR171="O",AT171="O",AU171="O"),"후보","X"))</f>
        <v>X</v>
      </c>
    </row>
    <row r="172" spans="1:48" s="37" customFormat="1" ht="12" x14ac:dyDescent="0.3">
      <c r="A172" s="74" t="s">
        <v>1549</v>
      </c>
      <c r="B172" s="75" t="s">
        <v>1550</v>
      </c>
      <c r="C172" s="85">
        <v>586</v>
      </c>
      <c r="D172" s="86">
        <v>125.5</v>
      </c>
      <c r="E172" s="87">
        <v>38</v>
      </c>
      <c r="F172" s="86">
        <v>99.7</v>
      </c>
      <c r="G172" s="17">
        <v>30</v>
      </c>
      <c r="H172" s="88">
        <v>56</v>
      </c>
      <c r="I172" s="89">
        <v>53000</v>
      </c>
      <c r="J172" s="89" t="s">
        <v>89</v>
      </c>
      <c r="K172" s="89"/>
      <c r="L172" s="89"/>
      <c r="M172" s="90">
        <f t="shared" si="158"/>
        <v>53000</v>
      </c>
      <c r="N172" s="4">
        <f t="shared" si="159"/>
        <v>0</v>
      </c>
      <c r="O172" s="91">
        <f t="shared" si="160"/>
        <v>1394.7368421052631</v>
      </c>
      <c r="P172" s="91">
        <f t="shared" si="161"/>
        <v>0</v>
      </c>
      <c r="Q172" s="79">
        <v>3</v>
      </c>
      <c r="R172" s="79">
        <v>2</v>
      </c>
      <c r="S172" s="79" t="s">
        <v>62</v>
      </c>
      <c r="T172" s="5" t="s">
        <v>140</v>
      </c>
      <c r="U172" s="9"/>
      <c r="W172" s="86">
        <f t="shared" si="143"/>
        <v>125.5</v>
      </c>
      <c r="X172" s="87">
        <f t="shared" si="143"/>
        <v>38</v>
      </c>
      <c r="Y172" s="92">
        <f t="shared" si="144"/>
        <v>56</v>
      </c>
      <c r="Z172" s="90">
        <f t="shared" si="144"/>
        <v>53000</v>
      </c>
      <c r="AA172" s="90">
        <f t="shared" si="162"/>
        <v>0</v>
      </c>
      <c r="AB172" s="90">
        <f t="shared" si="157"/>
        <v>53000</v>
      </c>
      <c r="AC172" s="4">
        <f t="shared" si="157"/>
        <v>0</v>
      </c>
      <c r="AD172" s="91">
        <f t="shared" si="157"/>
        <v>1394.7368421052631</v>
      </c>
      <c r="AE172" s="79" t="str">
        <f t="shared" si="163"/>
        <v>계</v>
      </c>
      <c r="AF172" s="79" t="str">
        <f t="shared" si="164"/>
        <v>3/2</v>
      </c>
      <c r="AH172" s="20" t="str">
        <f t="shared" si="116"/>
        <v>복대동 금호어울림2단지</v>
      </c>
      <c r="AI172" s="87">
        <f t="shared" si="117"/>
        <v>38</v>
      </c>
      <c r="AJ172" s="79" t="str">
        <f t="shared" si="165"/>
        <v>A-</v>
      </c>
      <c r="AK172" s="79" t="s">
        <v>13</v>
      </c>
      <c r="AL172" s="79" t="s">
        <v>60</v>
      </c>
      <c r="AM172" s="79" t="s">
        <v>61</v>
      </c>
      <c r="AN172" s="79" t="str">
        <f t="shared" si="166"/>
        <v>C</v>
      </c>
      <c r="AO172" s="79" t="str">
        <f t="shared" si="167"/>
        <v>X</v>
      </c>
      <c r="AP172" s="79" t="str">
        <f t="shared" si="168"/>
        <v>X</v>
      </c>
      <c r="AQ172" s="79" t="str">
        <f t="shared" si="169"/>
        <v>O</v>
      </c>
      <c r="AR172" s="79" t="str">
        <f t="shared" si="170"/>
        <v>X</v>
      </c>
      <c r="AS172" s="79" t="s">
        <v>2</v>
      </c>
      <c r="AT172" s="79" t="str">
        <f t="shared" si="171"/>
        <v>X</v>
      </c>
      <c r="AU172" s="79" t="str">
        <f t="shared" si="172"/>
        <v>O</v>
      </c>
      <c r="AV172" s="79" t="str">
        <f t="shared" si="173"/>
        <v>X</v>
      </c>
    </row>
    <row r="173" spans="1:48" s="37" customFormat="1" ht="12" x14ac:dyDescent="0.3">
      <c r="A173" s="74" t="s">
        <v>1549</v>
      </c>
      <c r="B173" s="75" t="s">
        <v>1550</v>
      </c>
      <c r="C173" s="85">
        <v>586</v>
      </c>
      <c r="D173" s="86">
        <v>154.1</v>
      </c>
      <c r="E173" s="87">
        <v>47</v>
      </c>
      <c r="F173" s="86">
        <v>123.6</v>
      </c>
      <c r="G173" s="17">
        <v>37</v>
      </c>
      <c r="H173" s="88">
        <v>89</v>
      </c>
      <c r="I173" s="89">
        <v>65000</v>
      </c>
      <c r="J173" s="89" t="s">
        <v>102</v>
      </c>
      <c r="K173" s="89"/>
      <c r="L173" s="89"/>
      <c r="M173" s="90">
        <f t="shared" si="158"/>
        <v>65000</v>
      </c>
      <c r="N173" s="4">
        <f t="shared" si="159"/>
        <v>0</v>
      </c>
      <c r="O173" s="91">
        <f t="shared" si="160"/>
        <v>1382.9787234042553</v>
      </c>
      <c r="P173" s="91">
        <f t="shared" si="161"/>
        <v>0</v>
      </c>
      <c r="Q173" s="79">
        <v>4</v>
      </c>
      <c r="R173" s="79">
        <v>2</v>
      </c>
      <c r="S173" s="79" t="s">
        <v>62</v>
      </c>
      <c r="T173" s="5">
        <v>154</v>
      </c>
      <c r="U173" s="9"/>
      <c r="W173" s="86">
        <f t="shared" si="143"/>
        <v>154.1</v>
      </c>
      <c r="X173" s="87">
        <f t="shared" si="143"/>
        <v>47</v>
      </c>
      <c r="Y173" s="92">
        <f t="shared" si="144"/>
        <v>89</v>
      </c>
      <c r="Z173" s="90">
        <f t="shared" si="144"/>
        <v>65000</v>
      </c>
      <c r="AA173" s="90">
        <f t="shared" si="162"/>
        <v>0</v>
      </c>
      <c r="AB173" s="90">
        <f t="shared" si="157"/>
        <v>65000</v>
      </c>
      <c r="AC173" s="4">
        <f t="shared" si="157"/>
        <v>0</v>
      </c>
      <c r="AD173" s="91">
        <f t="shared" si="157"/>
        <v>1382.9787234042553</v>
      </c>
      <c r="AE173" s="79" t="str">
        <f t="shared" si="163"/>
        <v>계</v>
      </c>
      <c r="AF173" s="79" t="str">
        <f t="shared" si="164"/>
        <v>4/2</v>
      </c>
      <c r="AH173" s="20" t="str">
        <f t="shared" si="116"/>
        <v>복대동 금호어울림2단지</v>
      </c>
      <c r="AI173" s="87">
        <f t="shared" si="117"/>
        <v>47</v>
      </c>
      <c r="AJ173" s="79" t="str">
        <f t="shared" si="165"/>
        <v>A-</v>
      </c>
      <c r="AK173" s="79" t="s">
        <v>13</v>
      </c>
      <c r="AL173" s="79" t="s">
        <v>60</v>
      </c>
      <c r="AM173" s="79" t="s">
        <v>61</v>
      </c>
      <c r="AN173" s="79" t="str">
        <f t="shared" si="166"/>
        <v>C</v>
      </c>
      <c r="AO173" s="79" t="str">
        <f t="shared" si="167"/>
        <v>X</v>
      </c>
      <c r="AP173" s="79" t="str">
        <f t="shared" si="168"/>
        <v>X</v>
      </c>
      <c r="AQ173" s="79" t="str">
        <f t="shared" si="169"/>
        <v>O</v>
      </c>
      <c r="AR173" s="79" t="str">
        <f t="shared" si="170"/>
        <v>X</v>
      </c>
      <c r="AS173" s="79" t="s">
        <v>2</v>
      </c>
      <c r="AT173" s="79" t="str">
        <f t="shared" si="171"/>
        <v>X</v>
      </c>
      <c r="AU173" s="79" t="str">
        <f t="shared" si="172"/>
        <v>O</v>
      </c>
      <c r="AV173" s="79" t="str">
        <f t="shared" si="173"/>
        <v>X</v>
      </c>
    </row>
    <row r="174" spans="1:48" s="37" customFormat="1" ht="12" x14ac:dyDescent="0.3">
      <c r="A174" s="74" t="s">
        <v>1549</v>
      </c>
      <c r="B174" s="75" t="s">
        <v>1550</v>
      </c>
      <c r="C174" s="85">
        <v>586</v>
      </c>
      <c r="D174" s="86">
        <v>164.7</v>
      </c>
      <c r="E174" s="87">
        <v>50</v>
      </c>
      <c r="F174" s="86">
        <v>131.30000000000001</v>
      </c>
      <c r="G174" s="17">
        <v>40</v>
      </c>
      <c r="H174" s="88">
        <v>56</v>
      </c>
      <c r="I174" s="89">
        <v>70000</v>
      </c>
      <c r="J174" s="89" t="s">
        <v>71</v>
      </c>
      <c r="K174" s="89">
        <v>45000</v>
      </c>
      <c r="L174" s="89" t="s">
        <v>71</v>
      </c>
      <c r="M174" s="90">
        <f t="shared" si="158"/>
        <v>25000</v>
      </c>
      <c r="N174" s="4">
        <f t="shared" si="159"/>
        <v>0.6428571428571429</v>
      </c>
      <c r="O174" s="91">
        <f t="shared" si="160"/>
        <v>1400</v>
      </c>
      <c r="P174" s="91">
        <f t="shared" si="161"/>
        <v>900</v>
      </c>
      <c r="Q174" s="79">
        <v>4</v>
      </c>
      <c r="R174" s="79">
        <v>2</v>
      </c>
      <c r="S174" s="79" t="s">
        <v>62</v>
      </c>
      <c r="T174" s="5" t="s">
        <v>141</v>
      </c>
      <c r="U174" s="9"/>
      <c r="W174" s="86">
        <f t="shared" si="143"/>
        <v>164.7</v>
      </c>
      <c r="X174" s="87">
        <f t="shared" si="143"/>
        <v>50</v>
      </c>
      <c r="Y174" s="92">
        <f t="shared" si="144"/>
        <v>56</v>
      </c>
      <c r="Z174" s="90">
        <f t="shared" si="144"/>
        <v>70000</v>
      </c>
      <c r="AA174" s="90">
        <f t="shared" si="162"/>
        <v>45000</v>
      </c>
      <c r="AB174" s="90">
        <f t="shared" si="157"/>
        <v>25000</v>
      </c>
      <c r="AC174" s="4">
        <f t="shared" si="157"/>
        <v>0.6428571428571429</v>
      </c>
      <c r="AD174" s="91">
        <f t="shared" si="157"/>
        <v>1400</v>
      </c>
      <c r="AE174" s="79" t="str">
        <f t="shared" si="163"/>
        <v>계</v>
      </c>
      <c r="AF174" s="79" t="str">
        <f t="shared" si="164"/>
        <v>4/2</v>
      </c>
      <c r="AH174" s="20" t="str">
        <f t="shared" si="116"/>
        <v>복대동 금호어울림2단지</v>
      </c>
      <c r="AI174" s="87">
        <f t="shared" si="117"/>
        <v>50</v>
      </c>
      <c r="AJ174" s="79" t="str">
        <f t="shared" si="165"/>
        <v>A-</v>
      </c>
      <c r="AK174" s="79" t="s">
        <v>13</v>
      </c>
      <c r="AL174" s="79" t="s">
        <v>60</v>
      </c>
      <c r="AM174" s="79" t="s">
        <v>61</v>
      </c>
      <c r="AN174" s="79" t="str">
        <f t="shared" si="166"/>
        <v>C</v>
      </c>
      <c r="AO174" s="79" t="str">
        <f t="shared" si="167"/>
        <v>X</v>
      </c>
      <c r="AP174" s="79" t="str">
        <f t="shared" si="168"/>
        <v>X</v>
      </c>
      <c r="AQ174" s="79" t="str">
        <f t="shared" si="169"/>
        <v>O</v>
      </c>
      <c r="AR174" s="79" t="str">
        <f t="shared" si="170"/>
        <v>X</v>
      </c>
      <c r="AS174" s="79" t="s">
        <v>2</v>
      </c>
      <c r="AT174" s="79" t="str">
        <f t="shared" si="171"/>
        <v>X</v>
      </c>
      <c r="AU174" s="79" t="str">
        <f t="shared" si="172"/>
        <v>O</v>
      </c>
      <c r="AV174" s="79" t="str">
        <f t="shared" si="173"/>
        <v>X</v>
      </c>
    </row>
    <row r="175" spans="1:48" s="37" customFormat="1" ht="12" x14ac:dyDescent="0.3">
      <c r="A175" s="74" t="s">
        <v>1549</v>
      </c>
      <c r="B175" s="75" t="s">
        <v>1550</v>
      </c>
      <c r="C175" s="85">
        <v>586</v>
      </c>
      <c r="D175" s="86">
        <v>197</v>
      </c>
      <c r="E175" s="87">
        <v>60</v>
      </c>
      <c r="F175" s="86">
        <v>163.80000000000001</v>
      </c>
      <c r="G175" s="17">
        <v>50</v>
      </c>
      <c r="H175" s="88">
        <v>114</v>
      </c>
      <c r="I175" s="89">
        <v>72000</v>
      </c>
      <c r="J175" s="89" t="s">
        <v>89</v>
      </c>
      <c r="K175" s="89"/>
      <c r="L175" s="89"/>
      <c r="M175" s="90">
        <f t="shared" si="158"/>
        <v>72000</v>
      </c>
      <c r="N175" s="4">
        <f t="shared" si="159"/>
        <v>0</v>
      </c>
      <c r="O175" s="91">
        <f t="shared" si="160"/>
        <v>1200</v>
      </c>
      <c r="P175" s="91">
        <f t="shared" si="161"/>
        <v>0</v>
      </c>
      <c r="Q175" s="79">
        <v>4</v>
      </c>
      <c r="R175" s="79">
        <v>2</v>
      </c>
      <c r="S175" s="79" t="s">
        <v>62</v>
      </c>
      <c r="T175" s="5">
        <v>196</v>
      </c>
      <c r="U175" s="9"/>
      <c r="W175" s="86">
        <f t="shared" ref="W175:X176" si="174">D175</f>
        <v>197</v>
      </c>
      <c r="X175" s="87">
        <f t="shared" si="174"/>
        <v>60</v>
      </c>
      <c r="Y175" s="92">
        <f t="shared" ref="Y175:Z176" si="175">H175</f>
        <v>114</v>
      </c>
      <c r="Z175" s="90">
        <f t="shared" si="175"/>
        <v>72000</v>
      </c>
      <c r="AA175" s="90">
        <f t="shared" si="162"/>
        <v>0</v>
      </c>
      <c r="AB175" s="90">
        <f t="shared" si="157"/>
        <v>72000</v>
      </c>
      <c r="AC175" s="4">
        <f t="shared" si="157"/>
        <v>0</v>
      </c>
      <c r="AD175" s="91">
        <f t="shared" si="157"/>
        <v>1200</v>
      </c>
      <c r="AE175" s="79" t="str">
        <f t="shared" si="163"/>
        <v>계</v>
      </c>
      <c r="AF175" s="79" t="str">
        <f t="shared" si="164"/>
        <v>4/2</v>
      </c>
      <c r="AH175" s="20" t="str">
        <f t="shared" si="116"/>
        <v>복대동 금호어울림2단지</v>
      </c>
      <c r="AI175" s="87">
        <f t="shared" si="117"/>
        <v>60</v>
      </c>
      <c r="AJ175" s="79" t="str">
        <f t="shared" si="165"/>
        <v>A-</v>
      </c>
      <c r="AK175" s="79" t="s">
        <v>13</v>
      </c>
      <c r="AL175" s="79" t="s">
        <v>60</v>
      </c>
      <c r="AM175" s="79" t="s">
        <v>61</v>
      </c>
      <c r="AN175" s="79" t="str">
        <f t="shared" si="166"/>
        <v>C</v>
      </c>
      <c r="AO175" s="79" t="str">
        <f t="shared" si="167"/>
        <v>X</v>
      </c>
      <c r="AP175" s="79" t="str">
        <f t="shared" si="168"/>
        <v>X</v>
      </c>
      <c r="AQ175" s="79" t="str">
        <f t="shared" si="169"/>
        <v>O</v>
      </c>
      <c r="AR175" s="79" t="str">
        <f t="shared" si="170"/>
        <v>X</v>
      </c>
      <c r="AS175" s="79" t="s">
        <v>2</v>
      </c>
      <c r="AT175" s="79" t="str">
        <f t="shared" si="171"/>
        <v>X</v>
      </c>
      <c r="AU175" s="79" t="str">
        <f t="shared" si="172"/>
        <v>O</v>
      </c>
      <c r="AV175" s="79" t="str">
        <f t="shared" si="173"/>
        <v>X</v>
      </c>
    </row>
    <row r="176" spans="1:48" s="37" customFormat="1" ht="12" x14ac:dyDescent="0.3">
      <c r="A176" s="74" t="s">
        <v>1549</v>
      </c>
      <c r="B176" s="75" t="s">
        <v>1550</v>
      </c>
      <c r="C176" s="85">
        <v>586</v>
      </c>
      <c r="D176" s="86">
        <v>258.39999999999998</v>
      </c>
      <c r="E176" s="87">
        <v>78</v>
      </c>
      <c r="F176" s="86">
        <v>212</v>
      </c>
      <c r="G176" s="17">
        <v>64</v>
      </c>
      <c r="H176" s="88">
        <v>3</v>
      </c>
      <c r="I176" s="89">
        <v>170000</v>
      </c>
      <c r="J176" s="89" t="s">
        <v>68</v>
      </c>
      <c r="K176" s="89"/>
      <c r="L176" s="89"/>
      <c r="M176" s="90">
        <f t="shared" si="158"/>
        <v>170000</v>
      </c>
      <c r="N176" s="4">
        <f t="shared" si="159"/>
        <v>0</v>
      </c>
      <c r="O176" s="91">
        <f t="shared" si="160"/>
        <v>2179.4871794871797</v>
      </c>
      <c r="P176" s="91">
        <f t="shared" si="161"/>
        <v>0</v>
      </c>
      <c r="Q176" s="79">
        <v>4</v>
      </c>
      <c r="R176" s="79">
        <v>2</v>
      </c>
      <c r="S176" s="79" t="s">
        <v>62</v>
      </c>
      <c r="T176" s="5">
        <v>258</v>
      </c>
      <c r="U176" s="9"/>
      <c r="W176" s="86">
        <f t="shared" si="174"/>
        <v>258.39999999999998</v>
      </c>
      <c r="X176" s="87">
        <f t="shared" si="174"/>
        <v>78</v>
      </c>
      <c r="Y176" s="92">
        <f t="shared" si="175"/>
        <v>3</v>
      </c>
      <c r="Z176" s="90">
        <f t="shared" si="175"/>
        <v>170000</v>
      </c>
      <c r="AA176" s="90">
        <f t="shared" si="162"/>
        <v>0</v>
      </c>
      <c r="AB176" s="90">
        <f t="shared" si="157"/>
        <v>170000</v>
      </c>
      <c r="AC176" s="4">
        <f t="shared" si="157"/>
        <v>0</v>
      </c>
      <c r="AD176" s="91">
        <f t="shared" si="157"/>
        <v>2179.4871794871797</v>
      </c>
      <c r="AE176" s="79" t="str">
        <f t="shared" si="163"/>
        <v>계</v>
      </c>
      <c r="AF176" s="79" t="str">
        <f t="shared" si="164"/>
        <v>4/2</v>
      </c>
      <c r="AH176" s="20" t="str">
        <f t="shared" si="116"/>
        <v>복대동 금호어울림2단지</v>
      </c>
      <c r="AI176" s="87">
        <f t="shared" si="117"/>
        <v>78</v>
      </c>
      <c r="AJ176" s="79" t="str">
        <f t="shared" si="165"/>
        <v>A-</v>
      </c>
      <c r="AK176" s="79" t="s">
        <v>13</v>
      </c>
      <c r="AL176" s="79" t="s">
        <v>60</v>
      </c>
      <c r="AM176" s="79" t="s">
        <v>61</v>
      </c>
      <c r="AN176" s="79" t="str">
        <f t="shared" si="166"/>
        <v>C</v>
      </c>
      <c r="AO176" s="79" t="str">
        <f t="shared" si="167"/>
        <v>X</v>
      </c>
      <c r="AP176" s="79" t="str">
        <f t="shared" si="168"/>
        <v>X</v>
      </c>
      <c r="AQ176" s="79" t="str">
        <f t="shared" si="169"/>
        <v>X</v>
      </c>
      <c r="AR176" s="79" t="str">
        <f t="shared" si="170"/>
        <v>X</v>
      </c>
      <c r="AS176" s="79" t="s">
        <v>2</v>
      </c>
      <c r="AT176" s="79" t="str">
        <f t="shared" si="171"/>
        <v>X</v>
      </c>
      <c r="AU176" s="79" t="str">
        <f t="shared" si="172"/>
        <v>O</v>
      </c>
      <c r="AV176" s="79" t="str">
        <f t="shared" si="173"/>
        <v>X</v>
      </c>
    </row>
    <row r="177" spans="1:48" s="37" customFormat="1" ht="12" x14ac:dyDescent="0.3">
      <c r="A177" s="74" t="s">
        <v>1551</v>
      </c>
      <c r="B177" s="75" t="s">
        <v>1552</v>
      </c>
      <c r="C177" s="85">
        <v>478</v>
      </c>
      <c r="D177" s="86">
        <v>105.5</v>
      </c>
      <c r="E177" s="87">
        <v>32</v>
      </c>
      <c r="F177" s="86">
        <v>84.9</v>
      </c>
      <c r="G177" s="17">
        <v>26</v>
      </c>
      <c r="H177" s="88">
        <v>328</v>
      </c>
      <c r="I177" s="89">
        <v>26500</v>
      </c>
      <c r="J177" s="89" t="s">
        <v>71</v>
      </c>
      <c r="K177" s="89">
        <v>24700</v>
      </c>
      <c r="L177" s="89" t="s">
        <v>102</v>
      </c>
      <c r="M177" s="90">
        <f>I177-K177</f>
        <v>1800</v>
      </c>
      <c r="N177" s="4">
        <f>IF(ISERROR(K177/I177),"",K177/I177)</f>
        <v>0.93207547169811322</v>
      </c>
      <c r="O177" s="91">
        <f>I177/E177</f>
        <v>828.125</v>
      </c>
      <c r="P177" s="91">
        <f>K177/E177</f>
        <v>771.875</v>
      </c>
      <c r="Q177" s="79">
        <v>3</v>
      </c>
      <c r="R177" s="79">
        <v>2</v>
      </c>
      <c r="S177" s="79" t="s">
        <v>62</v>
      </c>
      <c r="T177" s="5">
        <v>105</v>
      </c>
      <c r="U177" s="9"/>
      <c r="W177" s="86">
        <f>D177</f>
        <v>105.5</v>
      </c>
      <c r="X177" s="87">
        <f>E177</f>
        <v>32</v>
      </c>
      <c r="Y177" s="92">
        <f>H177</f>
        <v>328</v>
      </c>
      <c r="Z177" s="90">
        <f>I177</f>
        <v>26500</v>
      </c>
      <c r="AA177" s="90">
        <f>K177</f>
        <v>24700</v>
      </c>
      <c r="AB177" s="90">
        <f t="shared" ref="AB177:AD178" si="176">M177</f>
        <v>1800</v>
      </c>
      <c r="AC177" s="4">
        <f t="shared" si="176"/>
        <v>0.93207547169811322</v>
      </c>
      <c r="AD177" s="91">
        <f t="shared" si="176"/>
        <v>828.125</v>
      </c>
      <c r="AE177" s="79" t="str">
        <f>S177</f>
        <v>계</v>
      </c>
      <c r="AF177" s="79" t="str">
        <f>Q177&amp;"/"&amp;R177</f>
        <v>3/2</v>
      </c>
      <c r="AH177" s="20" t="str">
        <f t="shared" si="116"/>
        <v>복대동 삼일(3034)</v>
      </c>
      <c r="AI177" s="87">
        <f t="shared" si="117"/>
        <v>32</v>
      </c>
      <c r="AJ177" s="79" t="str">
        <f>IF(AI177="","",$AJ$2)</f>
        <v>A-</v>
      </c>
      <c r="AK177" s="79" t="s">
        <v>13</v>
      </c>
      <c r="AL177" s="79" t="s">
        <v>60</v>
      </c>
      <c r="AM177" s="79" t="s">
        <v>61</v>
      </c>
      <c r="AN177" s="79" t="str">
        <f>IF(AI177="","",$AN$2)</f>
        <v>C</v>
      </c>
      <c r="AO177" s="79" t="str">
        <f>IF(N177="","",IF(N177&gt;=$AO$1/100,"O","X"))</f>
        <v>O</v>
      </c>
      <c r="AP177" s="79" t="str">
        <f>IF(I177="","",IF(I177&lt;=$AP$1,"O","X"))</f>
        <v>O</v>
      </c>
      <c r="AQ177" s="79" t="str">
        <f>IF(O177="","",IF(O177&lt;=$AQ$1,"O","X"))</f>
        <v>O</v>
      </c>
      <c r="AR177" s="79" t="str">
        <f>IF(M177="","",IF(M177&lt;=$AR$1,"O","X"))</f>
        <v>O</v>
      </c>
      <c r="AS177" s="79" t="s">
        <v>2</v>
      </c>
      <c r="AT177" s="79" t="str">
        <f>IF(OR(F177="",AI177=""),"",IF(AND((F177&lt;=85),(AI177&gt;=15)),"O","X"))</f>
        <v>O</v>
      </c>
      <c r="AU177" s="79" t="str">
        <f>IF(C177="","",IF(C177&gt;=$AU$1,"O","X"))</f>
        <v>O</v>
      </c>
      <c r="AV177" s="79" t="str">
        <f>IF(AO177="","",IF(AND(AO177="O",AP177="O",AR177="O",AT177="O",AU177="O"),"후보","X"))</f>
        <v>후보</v>
      </c>
    </row>
    <row r="178" spans="1:48" s="37" customFormat="1" ht="12" x14ac:dyDescent="0.3">
      <c r="A178" s="74" t="s">
        <v>1551</v>
      </c>
      <c r="B178" s="75" t="s">
        <v>1552</v>
      </c>
      <c r="C178" s="85">
        <v>478</v>
      </c>
      <c r="D178" s="86">
        <v>108</v>
      </c>
      <c r="E178" s="87">
        <v>33</v>
      </c>
      <c r="F178" s="86">
        <v>84.9</v>
      </c>
      <c r="G178" s="17">
        <v>26</v>
      </c>
      <c r="H178" s="88">
        <v>150</v>
      </c>
      <c r="I178" s="89">
        <v>24500</v>
      </c>
      <c r="J178" s="89" t="s">
        <v>97</v>
      </c>
      <c r="K178" s="89"/>
      <c r="L178" s="89"/>
      <c r="M178" s="90">
        <f>I178-K178</f>
        <v>24500</v>
      </c>
      <c r="N178" s="4">
        <f>IF(ISERROR(K178/I178),"",K178/I178)</f>
        <v>0</v>
      </c>
      <c r="O178" s="91">
        <f>I178/E178</f>
        <v>742.42424242424238</v>
      </c>
      <c r="P178" s="91">
        <f>K178/E178</f>
        <v>0</v>
      </c>
      <c r="Q178" s="79">
        <v>3</v>
      </c>
      <c r="R178" s="79">
        <v>2</v>
      </c>
      <c r="S178" s="79" t="s">
        <v>62</v>
      </c>
      <c r="T178" s="5">
        <v>108</v>
      </c>
      <c r="U178" s="9"/>
      <c r="W178" s="86">
        <f>D178</f>
        <v>108</v>
      </c>
      <c r="X178" s="87">
        <f>E178</f>
        <v>33</v>
      </c>
      <c r="Y178" s="92">
        <f>H178</f>
        <v>150</v>
      </c>
      <c r="Z178" s="90">
        <f>I178</f>
        <v>24500</v>
      </c>
      <c r="AA178" s="90">
        <f>K178</f>
        <v>0</v>
      </c>
      <c r="AB178" s="90">
        <f t="shared" si="176"/>
        <v>24500</v>
      </c>
      <c r="AC178" s="4">
        <f t="shared" si="176"/>
        <v>0</v>
      </c>
      <c r="AD178" s="91">
        <f t="shared" si="176"/>
        <v>742.42424242424238</v>
      </c>
      <c r="AE178" s="79" t="str">
        <f>S178</f>
        <v>계</v>
      </c>
      <c r="AF178" s="79" t="str">
        <f>Q178&amp;"/"&amp;R178</f>
        <v>3/2</v>
      </c>
      <c r="AH178" s="20" t="str">
        <f t="shared" si="116"/>
        <v>복대동 삼일(3034)</v>
      </c>
      <c r="AI178" s="87">
        <f t="shared" si="117"/>
        <v>33</v>
      </c>
      <c r="AJ178" s="79" t="str">
        <f>IF(AI178="","",$AJ$2)</f>
        <v>A-</v>
      </c>
      <c r="AK178" s="79" t="s">
        <v>13</v>
      </c>
      <c r="AL178" s="79" t="s">
        <v>60</v>
      </c>
      <c r="AM178" s="79" t="s">
        <v>61</v>
      </c>
      <c r="AN178" s="79" t="str">
        <f>IF(AI178="","",$AN$2)</f>
        <v>C</v>
      </c>
      <c r="AO178" s="79" t="str">
        <f>IF(N178="","",IF(N178&gt;=$AO$1/100,"O","X"))</f>
        <v>X</v>
      </c>
      <c r="AP178" s="79" t="str">
        <f>IF(I178="","",IF(I178&lt;=$AP$1,"O","X"))</f>
        <v>O</v>
      </c>
      <c r="AQ178" s="79" t="str">
        <f>IF(O178="","",IF(O178&lt;=$AQ$1,"O","X"))</f>
        <v>O</v>
      </c>
      <c r="AR178" s="79" t="str">
        <f>IF(M178="","",IF(M178&lt;=$AR$1,"O","X"))</f>
        <v>X</v>
      </c>
      <c r="AS178" s="79" t="s">
        <v>2</v>
      </c>
      <c r="AT178" s="79" t="str">
        <f>IF(OR(F178="",AI178=""),"",IF(AND((F178&lt;=85),(AI178&gt;=15)),"O","X"))</f>
        <v>O</v>
      </c>
      <c r="AU178" s="79" t="str">
        <f>IF(C178="","",IF(C178&gt;=$AU$1,"O","X"))</f>
        <v>O</v>
      </c>
      <c r="AV178" s="79" t="str">
        <f>IF(AO178="","",IF(AND(AO178="O",AP178="O",AR178="O",AT178="O",AU178="O"),"후보","X"))</f>
        <v>X</v>
      </c>
    </row>
    <row r="179" spans="1:48" s="37" customFormat="1" ht="12" x14ac:dyDescent="0.3">
      <c r="A179" s="74" t="s">
        <v>1553</v>
      </c>
      <c r="B179" s="75" t="s">
        <v>1419</v>
      </c>
      <c r="C179" s="85">
        <v>220</v>
      </c>
      <c r="D179" s="86">
        <v>78</v>
      </c>
      <c r="E179" s="87">
        <v>24</v>
      </c>
      <c r="F179" s="86">
        <v>59.6</v>
      </c>
      <c r="G179" s="17">
        <v>18</v>
      </c>
      <c r="H179" s="88">
        <v>220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3</v>
      </c>
      <c r="R179" s="79">
        <v>1</v>
      </c>
      <c r="S179" s="79" t="s">
        <v>62</v>
      </c>
      <c r="T179" s="5">
        <v>78</v>
      </c>
      <c r="U179" s="9"/>
      <c r="W179" s="86">
        <f>D179</f>
        <v>78</v>
      </c>
      <c r="X179" s="87">
        <f>E179</f>
        <v>24</v>
      </c>
      <c r="Y179" s="92">
        <f>H179</f>
        <v>220</v>
      </c>
      <c r="Z179" s="90">
        <f>I179</f>
        <v>0</v>
      </c>
      <c r="AA179" s="90">
        <f>K179</f>
        <v>0</v>
      </c>
      <c r="AB179" s="90">
        <f>M179</f>
        <v>0</v>
      </c>
      <c r="AC179" s="4" t="str">
        <f>N179</f>
        <v/>
      </c>
      <c r="AD179" s="91">
        <f>O179</f>
        <v>0</v>
      </c>
      <c r="AE179" s="79" t="str">
        <f>S179</f>
        <v>계</v>
      </c>
      <c r="AF179" s="79" t="str">
        <f>Q179&amp;"/"&amp;R179</f>
        <v>3/1</v>
      </c>
      <c r="AH179" s="20" t="str">
        <f t="shared" si="116"/>
        <v>복대동 주은</v>
      </c>
      <c r="AI179" s="87">
        <f t="shared" si="117"/>
        <v>24</v>
      </c>
      <c r="AJ179" s="79" t="str">
        <f>IF(AI179="","",$AJ$2)</f>
        <v>A-</v>
      </c>
      <c r="AK179" s="79" t="s">
        <v>13</v>
      </c>
      <c r="AL179" s="79" t="s">
        <v>60</v>
      </c>
      <c r="AM179" s="79" t="s">
        <v>61</v>
      </c>
      <c r="AN179" s="79" t="str">
        <f>IF(AI179="","",$AN$2)</f>
        <v>C</v>
      </c>
      <c r="AO179" s="79" t="str">
        <f>IF(N179="","",IF(N179&gt;=$AO$1/100,"O","X"))</f>
        <v/>
      </c>
      <c r="AP179" s="79" t="str">
        <f>IF(I179="","",IF(I179&lt;=$AP$1,"O","X"))</f>
        <v/>
      </c>
      <c r="AQ179" s="79" t="str">
        <f>IF(O179="","",IF(O179&lt;=$AQ$1,"O","X"))</f>
        <v>O</v>
      </c>
      <c r="AR179" s="79" t="str">
        <f>IF(M179="","",IF(M179&lt;=$AR$1,"O","X"))</f>
        <v>O</v>
      </c>
      <c r="AS179" s="79" t="s">
        <v>2</v>
      </c>
      <c r="AT179" s="79" t="str">
        <f>IF(OR(F179="",AI179=""),"",IF(AND((F179&lt;=85),(AI179&gt;=15)),"O","X"))</f>
        <v>O</v>
      </c>
      <c r="AU179" s="79" t="str">
        <f>IF(C179="","",IF(C179&gt;=$AU$1,"O","X"))</f>
        <v>X</v>
      </c>
      <c r="AV179" s="79" t="str">
        <f>IF(AO179="","",IF(AND(AO179="O",AP179="O",AR179="O",AT179="O",AU179="O"),"후보","X"))</f>
        <v/>
      </c>
    </row>
    <row r="180" spans="1:48" s="37" customFormat="1" ht="12" x14ac:dyDescent="0.3">
      <c r="A180" s="74" t="s">
        <v>1554</v>
      </c>
      <c r="B180" s="75" t="s">
        <v>1555</v>
      </c>
      <c r="C180" s="85">
        <v>466</v>
      </c>
      <c r="D180" s="86">
        <v>106.1</v>
      </c>
      <c r="E180" s="87">
        <v>32</v>
      </c>
      <c r="F180" s="86">
        <v>70.7</v>
      </c>
      <c r="G180" s="17">
        <v>21</v>
      </c>
      <c r="H180" s="88">
        <v>47</v>
      </c>
      <c r="I180" s="89"/>
      <c r="J180" s="89"/>
      <c r="K180" s="89"/>
      <c r="L180" s="89"/>
      <c r="M180" s="90">
        <f t="shared" ref="M180:M186" si="177">I180-K180</f>
        <v>0</v>
      </c>
      <c r="N180" s="4" t="str">
        <f t="shared" ref="N180:N186" si="178">IF(ISERROR(K180/I180),"",K180/I180)</f>
        <v/>
      </c>
      <c r="O180" s="91">
        <f t="shared" ref="O180:O186" si="179">I180/E180</f>
        <v>0</v>
      </c>
      <c r="P180" s="91">
        <f t="shared" ref="P180:P186" si="180">K180/E180</f>
        <v>0</v>
      </c>
      <c r="Q180" s="79">
        <v>3</v>
      </c>
      <c r="R180" s="79">
        <v>2</v>
      </c>
      <c r="S180" s="79" t="s">
        <v>62</v>
      </c>
      <c r="T180" s="5" t="s">
        <v>142</v>
      </c>
      <c r="U180" s="9"/>
      <c r="W180" s="86">
        <f t="shared" ref="W180:X195" si="181">D180</f>
        <v>106.1</v>
      </c>
      <c r="X180" s="87">
        <f t="shared" si="181"/>
        <v>32</v>
      </c>
      <c r="Y180" s="92">
        <f t="shared" ref="Y180:Z195" si="182">H180</f>
        <v>47</v>
      </c>
      <c r="Z180" s="90">
        <f t="shared" si="182"/>
        <v>0</v>
      </c>
      <c r="AA180" s="90">
        <f t="shared" ref="AA180:AA186" si="183">K180</f>
        <v>0</v>
      </c>
      <c r="AB180" s="90">
        <f t="shared" ref="AB180:AD195" si="184">M180</f>
        <v>0</v>
      </c>
      <c r="AC180" s="4" t="str">
        <f t="shared" si="184"/>
        <v/>
      </c>
      <c r="AD180" s="91">
        <f t="shared" si="184"/>
        <v>0</v>
      </c>
      <c r="AE180" s="79" t="str">
        <f t="shared" ref="AE180:AE186" si="185">S180</f>
        <v>계</v>
      </c>
      <c r="AF180" s="79" t="str">
        <f t="shared" ref="AF180:AF186" si="186">Q180&amp;"/"&amp;R180</f>
        <v>3/2</v>
      </c>
      <c r="AH180" s="20" t="str">
        <f t="shared" si="116"/>
        <v>복대동 청주지웰시티푸르지오</v>
      </c>
      <c r="AI180" s="87">
        <f t="shared" si="117"/>
        <v>32</v>
      </c>
      <c r="AJ180" s="79" t="str">
        <f t="shared" ref="AJ180:AJ186" si="187">IF(AI180="","",$AJ$2)</f>
        <v>A-</v>
      </c>
      <c r="AK180" s="79" t="s">
        <v>13</v>
      </c>
      <c r="AL180" s="79" t="s">
        <v>60</v>
      </c>
      <c r="AM180" s="79" t="s">
        <v>61</v>
      </c>
      <c r="AN180" s="79" t="str">
        <f t="shared" ref="AN180:AN186" si="188">IF(AI180="","",$AN$2)</f>
        <v>C</v>
      </c>
      <c r="AO180" s="79" t="str">
        <f t="shared" ref="AO180:AO186" si="189">IF(N180="","",IF(N180&gt;=$AO$1/100,"O","X"))</f>
        <v/>
      </c>
      <c r="AP180" s="79" t="str">
        <f t="shared" ref="AP180:AP186" si="190">IF(I180="","",IF(I180&lt;=$AP$1,"O","X"))</f>
        <v/>
      </c>
      <c r="AQ180" s="79" t="str">
        <f t="shared" ref="AQ180:AQ186" si="191">IF(O180="","",IF(O180&lt;=$AQ$1,"O","X"))</f>
        <v>O</v>
      </c>
      <c r="AR180" s="79" t="str">
        <f t="shared" ref="AR180:AR186" si="192">IF(M180="","",IF(M180&lt;=$AR$1,"O","X"))</f>
        <v>O</v>
      </c>
      <c r="AS180" s="79" t="s">
        <v>2</v>
      </c>
      <c r="AT180" s="79" t="str">
        <f t="shared" ref="AT180:AT186" si="193">IF(OR(F180="",AI180=""),"",IF(AND((F180&lt;=85),(AI180&gt;=15)),"O","X"))</f>
        <v>O</v>
      </c>
      <c r="AU180" s="79" t="str">
        <f t="shared" ref="AU180:AU186" si="194">IF(C180="","",IF(C180&gt;=$AU$1,"O","X"))</f>
        <v>O</v>
      </c>
      <c r="AV180" s="79" t="str">
        <f t="shared" ref="AV180:AV186" si="195">IF(AO180="","",IF(AND(AO180="O",AP180="O",AR180="O",AT180="O",AU180="O"),"후보","X"))</f>
        <v/>
      </c>
    </row>
    <row r="181" spans="1:48" s="37" customFormat="1" ht="12" x14ac:dyDescent="0.3">
      <c r="A181" s="74" t="s">
        <v>1554</v>
      </c>
      <c r="B181" s="75" t="s">
        <v>1555</v>
      </c>
      <c r="C181" s="85">
        <v>466</v>
      </c>
      <c r="D181" s="86">
        <v>107.3</v>
      </c>
      <c r="E181" s="87">
        <v>32</v>
      </c>
      <c r="F181" s="86">
        <v>70.900000000000006</v>
      </c>
      <c r="G181" s="17">
        <v>21</v>
      </c>
      <c r="H181" s="88">
        <v>47</v>
      </c>
      <c r="I181" s="89"/>
      <c r="J181" s="89"/>
      <c r="K181" s="89"/>
      <c r="L181" s="89"/>
      <c r="M181" s="90">
        <f t="shared" si="177"/>
        <v>0</v>
      </c>
      <c r="N181" s="4" t="str">
        <f t="shared" si="178"/>
        <v/>
      </c>
      <c r="O181" s="91">
        <f t="shared" si="179"/>
        <v>0</v>
      </c>
      <c r="P181" s="91">
        <f t="shared" si="180"/>
        <v>0</v>
      </c>
      <c r="Q181" s="79">
        <v>3</v>
      </c>
      <c r="R181" s="79">
        <v>2</v>
      </c>
      <c r="S181" s="79" t="s">
        <v>62</v>
      </c>
      <c r="T181" s="5" t="s">
        <v>93</v>
      </c>
      <c r="U181" s="9"/>
      <c r="W181" s="86">
        <f t="shared" si="181"/>
        <v>107.3</v>
      </c>
      <c r="X181" s="87">
        <f t="shared" si="181"/>
        <v>32</v>
      </c>
      <c r="Y181" s="92">
        <f t="shared" si="182"/>
        <v>47</v>
      </c>
      <c r="Z181" s="90">
        <f t="shared" si="182"/>
        <v>0</v>
      </c>
      <c r="AA181" s="90">
        <f t="shared" si="183"/>
        <v>0</v>
      </c>
      <c r="AB181" s="90">
        <f t="shared" si="184"/>
        <v>0</v>
      </c>
      <c r="AC181" s="4" t="str">
        <f t="shared" si="184"/>
        <v/>
      </c>
      <c r="AD181" s="91">
        <f t="shared" si="184"/>
        <v>0</v>
      </c>
      <c r="AE181" s="79" t="str">
        <f t="shared" si="185"/>
        <v>계</v>
      </c>
      <c r="AF181" s="79" t="str">
        <f t="shared" si="186"/>
        <v>3/2</v>
      </c>
      <c r="AH181" s="20" t="str">
        <f t="shared" si="116"/>
        <v>복대동 청주지웰시티푸르지오</v>
      </c>
      <c r="AI181" s="87">
        <f t="shared" si="117"/>
        <v>32</v>
      </c>
      <c r="AJ181" s="79" t="str">
        <f t="shared" si="187"/>
        <v>A-</v>
      </c>
      <c r="AK181" s="79" t="s">
        <v>13</v>
      </c>
      <c r="AL181" s="79" t="s">
        <v>60</v>
      </c>
      <c r="AM181" s="79" t="s">
        <v>61</v>
      </c>
      <c r="AN181" s="79" t="str">
        <f t="shared" si="188"/>
        <v>C</v>
      </c>
      <c r="AO181" s="79" t="str">
        <f t="shared" si="189"/>
        <v/>
      </c>
      <c r="AP181" s="79" t="str">
        <f t="shared" si="190"/>
        <v/>
      </c>
      <c r="AQ181" s="79" t="str">
        <f t="shared" si="191"/>
        <v>O</v>
      </c>
      <c r="AR181" s="79" t="str">
        <f t="shared" si="192"/>
        <v>O</v>
      </c>
      <c r="AS181" s="79" t="s">
        <v>2</v>
      </c>
      <c r="AT181" s="79" t="str">
        <f t="shared" si="193"/>
        <v>O</v>
      </c>
      <c r="AU181" s="79" t="str">
        <f t="shared" si="194"/>
        <v>O</v>
      </c>
      <c r="AV181" s="79" t="str">
        <f t="shared" si="195"/>
        <v/>
      </c>
    </row>
    <row r="182" spans="1:48" s="37" customFormat="1" ht="12" x14ac:dyDescent="0.3">
      <c r="A182" s="74" t="s">
        <v>1554</v>
      </c>
      <c r="B182" s="75" t="s">
        <v>1555</v>
      </c>
      <c r="C182" s="85">
        <v>466</v>
      </c>
      <c r="D182" s="86">
        <v>125.3</v>
      </c>
      <c r="E182" s="87">
        <v>38</v>
      </c>
      <c r="F182" s="86">
        <v>84.8</v>
      </c>
      <c r="G182" s="17">
        <v>26</v>
      </c>
      <c r="H182" s="88">
        <v>47</v>
      </c>
      <c r="I182" s="89"/>
      <c r="J182" s="89"/>
      <c r="K182" s="89"/>
      <c r="L182" s="89"/>
      <c r="M182" s="90">
        <f t="shared" si="177"/>
        <v>0</v>
      </c>
      <c r="N182" s="4" t="str">
        <f t="shared" si="178"/>
        <v/>
      </c>
      <c r="O182" s="91">
        <f t="shared" si="179"/>
        <v>0</v>
      </c>
      <c r="P182" s="91">
        <f t="shared" si="180"/>
        <v>0</v>
      </c>
      <c r="Q182" s="79">
        <v>3</v>
      </c>
      <c r="R182" s="79">
        <v>2</v>
      </c>
      <c r="S182" s="79" t="s">
        <v>62</v>
      </c>
      <c r="T182" s="5" t="s">
        <v>143</v>
      </c>
      <c r="U182" s="9"/>
      <c r="W182" s="86">
        <f t="shared" si="181"/>
        <v>125.3</v>
      </c>
      <c r="X182" s="87">
        <f t="shared" si="181"/>
        <v>38</v>
      </c>
      <c r="Y182" s="92">
        <f t="shared" si="182"/>
        <v>47</v>
      </c>
      <c r="Z182" s="90">
        <f t="shared" si="182"/>
        <v>0</v>
      </c>
      <c r="AA182" s="90">
        <f t="shared" si="183"/>
        <v>0</v>
      </c>
      <c r="AB182" s="90">
        <f t="shared" si="184"/>
        <v>0</v>
      </c>
      <c r="AC182" s="4" t="str">
        <f t="shared" si="184"/>
        <v/>
      </c>
      <c r="AD182" s="91">
        <f t="shared" si="184"/>
        <v>0</v>
      </c>
      <c r="AE182" s="79" t="str">
        <f t="shared" si="185"/>
        <v>계</v>
      </c>
      <c r="AF182" s="79" t="str">
        <f t="shared" si="186"/>
        <v>3/2</v>
      </c>
      <c r="AH182" s="20" t="str">
        <f t="shared" si="116"/>
        <v>복대동 청주지웰시티푸르지오</v>
      </c>
      <c r="AI182" s="87">
        <f t="shared" si="117"/>
        <v>38</v>
      </c>
      <c r="AJ182" s="79" t="str">
        <f t="shared" si="187"/>
        <v>A-</v>
      </c>
      <c r="AK182" s="79" t="s">
        <v>13</v>
      </c>
      <c r="AL182" s="79" t="s">
        <v>60</v>
      </c>
      <c r="AM182" s="79" t="s">
        <v>61</v>
      </c>
      <c r="AN182" s="79" t="str">
        <f t="shared" si="188"/>
        <v>C</v>
      </c>
      <c r="AO182" s="79" t="str">
        <f t="shared" si="189"/>
        <v/>
      </c>
      <c r="AP182" s="79" t="str">
        <f t="shared" si="190"/>
        <v/>
      </c>
      <c r="AQ182" s="79" t="str">
        <f t="shared" si="191"/>
        <v>O</v>
      </c>
      <c r="AR182" s="79" t="str">
        <f t="shared" si="192"/>
        <v>O</v>
      </c>
      <c r="AS182" s="79" t="s">
        <v>2</v>
      </c>
      <c r="AT182" s="79" t="str">
        <f t="shared" si="193"/>
        <v>O</v>
      </c>
      <c r="AU182" s="79" t="str">
        <f t="shared" si="194"/>
        <v>O</v>
      </c>
      <c r="AV182" s="79" t="str">
        <f t="shared" si="195"/>
        <v/>
      </c>
    </row>
    <row r="183" spans="1:48" s="37" customFormat="1" ht="12" x14ac:dyDescent="0.3">
      <c r="A183" s="74" t="s">
        <v>1554</v>
      </c>
      <c r="B183" s="75" t="s">
        <v>1555</v>
      </c>
      <c r="C183" s="85">
        <v>466</v>
      </c>
      <c r="D183" s="86">
        <v>126.4</v>
      </c>
      <c r="E183" s="87">
        <v>38</v>
      </c>
      <c r="F183" s="86">
        <v>84.7</v>
      </c>
      <c r="G183" s="17">
        <v>26</v>
      </c>
      <c r="H183" s="88">
        <v>94</v>
      </c>
      <c r="I183" s="89"/>
      <c r="J183" s="89"/>
      <c r="K183" s="89"/>
      <c r="L183" s="89"/>
      <c r="M183" s="90">
        <f t="shared" si="177"/>
        <v>0</v>
      </c>
      <c r="N183" s="4" t="str">
        <f t="shared" si="178"/>
        <v/>
      </c>
      <c r="O183" s="91">
        <f t="shared" si="179"/>
        <v>0</v>
      </c>
      <c r="P183" s="91">
        <f t="shared" si="180"/>
        <v>0</v>
      </c>
      <c r="Q183" s="79">
        <v>3</v>
      </c>
      <c r="R183" s="79">
        <v>2</v>
      </c>
      <c r="S183" s="79" t="s">
        <v>62</v>
      </c>
      <c r="T183" s="5" t="s">
        <v>144</v>
      </c>
      <c r="U183" s="9"/>
      <c r="W183" s="86">
        <f t="shared" si="181"/>
        <v>126.4</v>
      </c>
      <c r="X183" s="87">
        <f t="shared" si="181"/>
        <v>38</v>
      </c>
      <c r="Y183" s="92">
        <f t="shared" si="182"/>
        <v>94</v>
      </c>
      <c r="Z183" s="90">
        <f t="shared" si="182"/>
        <v>0</v>
      </c>
      <c r="AA183" s="90">
        <f t="shared" si="183"/>
        <v>0</v>
      </c>
      <c r="AB183" s="90">
        <f t="shared" si="184"/>
        <v>0</v>
      </c>
      <c r="AC183" s="4" t="str">
        <f t="shared" si="184"/>
        <v/>
      </c>
      <c r="AD183" s="91">
        <f t="shared" si="184"/>
        <v>0</v>
      </c>
      <c r="AE183" s="79" t="str">
        <f t="shared" si="185"/>
        <v>계</v>
      </c>
      <c r="AF183" s="79" t="str">
        <f t="shared" si="186"/>
        <v>3/2</v>
      </c>
      <c r="AH183" s="20" t="str">
        <f t="shared" si="116"/>
        <v>복대동 청주지웰시티푸르지오</v>
      </c>
      <c r="AI183" s="87">
        <f t="shared" si="117"/>
        <v>38</v>
      </c>
      <c r="AJ183" s="79" t="str">
        <f t="shared" si="187"/>
        <v>A-</v>
      </c>
      <c r="AK183" s="79" t="s">
        <v>13</v>
      </c>
      <c r="AL183" s="79" t="s">
        <v>60</v>
      </c>
      <c r="AM183" s="79" t="s">
        <v>61</v>
      </c>
      <c r="AN183" s="79" t="str">
        <f t="shared" si="188"/>
        <v>C</v>
      </c>
      <c r="AO183" s="79" t="str">
        <f t="shared" si="189"/>
        <v/>
      </c>
      <c r="AP183" s="79" t="str">
        <f t="shared" si="190"/>
        <v/>
      </c>
      <c r="AQ183" s="79" t="str">
        <f t="shared" si="191"/>
        <v>O</v>
      </c>
      <c r="AR183" s="79" t="str">
        <f t="shared" si="192"/>
        <v>O</v>
      </c>
      <c r="AS183" s="79" t="s">
        <v>2</v>
      </c>
      <c r="AT183" s="79" t="str">
        <f t="shared" si="193"/>
        <v>O</v>
      </c>
      <c r="AU183" s="79" t="str">
        <f t="shared" si="194"/>
        <v>O</v>
      </c>
      <c r="AV183" s="79" t="str">
        <f t="shared" si="195"/>
        <v/>
      </c>
    </row>
    <row r="184" spans="1:48" s="37" customFormat="1" ht="12" x14ac:dyDescent="0.3">
      <c r="A184" s="74" t="s">
        <v>1554</v>
      </c>
      <c r="B184" s="75" t="s">
        <v>1555</v>
      </c>
      <c r="C184" s="85">
        <v>466</v>
      </c>
      <c r="D184" s="86">
        <v>126.4</v>
      </c>
      <c r="E184" s="87">
        <v>38</v>
      </c>
      <c r="F184" s="86">
        <v>84.7</v>
      </c>
      <c r="G184" s="17">
        <v>26</v>
      </c>
      <c r="H184" s="88">
        <v>92</v>
      </c>
      <c r="I184" s="89"/>
      <c r="J184" s="89"/>
      <c r="K184" s="89"/>
      <c r="L184" s="89"/>
      <c r="M184" s="90">
        <f t="shared" si="177"/>
        <v>0</v>
      </c>
      <c r="N184" s="4" t="str">
        <f t="shared" si="178"/>
        <v/>
      </c>
      <c r="O184" s="91">
        <f t="shared" si="179"/>
        <v>0</v>
      </c>
      <c r="P184" s="91">
        <f t="shared" si="180"/>
        <v>0</v>
      </c>
      <c r="Q184" s="79">
        <v>3</v>
      </c>
      <c r="R184" s="79">
        <v>2</v>
      </c>
      <c r="S184" s="79" t="s">
        <v>62</v>
      </c>
      <c r="T184" s="5" t="s">
        <v>145</v>
      </c>
      <c r="U184" s="9"/>
      <c r="W184" s="86">
        <f t="shared" si="181"/>
        <v>126.4</v>
      </c>
      <c r="X184" s="87">
        <f t="shared" si="181"/>
        <v>38</v>
      </c>
      <c r="Y184" s="92">
        <f t="shared" si="182"/>
        <v>92</v>
      </c>
      <c r="Z184" s="90">
        <f t="shared" si="182"/>
        <v>0</v>
      </c>
      <c r="AA184" s="90">
        <f t="shared" si="183"/>
        <v>0</v>
      </c>
      <c r="AB184" s="90">
        <f t="shared" si="184"/>
        <v>0</v>
      </c>
      <c r="AC184" s="4" t="str">
        <f t="shared" si="184"/>
        <v/>
      </c>
      <c r="AD184" s="91">
        <f t="shared" si="184"/>
        <v>0</v>
      </c>
      <c r="AE184" s="79" t="str">
        <f t="shared" si="185"/>
        <v>계</v>
      </c>
      <c r="AF184" s="79" t="str">
        <f t="shared" si="186"/>
        <v>3/2</v>
      </c>
      <c r="AH184" s="20" t="str">
        <f t="shared" si="116"/>
        <v>복대동 청주지웰시티푸르지오</v>
      </c>
      <c r="AI184" s="87">
        <f t="shared" si="117"/>
        <v>38</v>
      </c>
      <c r="AJ184" s="79" t="str">
        <f t="shared" si="187"/>
        <v>A-</v>
      </c>
      <c r="AK184" s="79" t="s">
        <v>13</v>
      </c>
      <c r="AL184" s="79" t="s">
        <v>60</v>
      </c>
      <c r="AM184" s="79" t="s">
        <v>61</v>
      </c>
      <c r="AN184" s="79" t="str">
        <f t="shared" si="188"/>
        <v>C</v>
      </c>
      <c r="AO184" s="79" t="str">
        <f t="shared" si="189"/>
        <v/>
      </c>
      <c r="AP184" s="79" t="str">
        <f t="shared" si="190"/>
        <v/>
      </c>
      <c r="AQ184" s="79" t="str">
        <f t="shared" si="191"/>
        <v>O</v>
      </c>
      <c r="AR184" s="79" t="str">
        <f t="shared" si="192"/>
        <v>O</v>
      </c>
      <c r="AS184" s="79" t="s">
        <v>2</v>
      </c>
      <c r="AT184" s="79" t="str">
        <f t="shared" si="193"/>
        <v>O</v>
      </c>
      <c r="AU184" s="79" t="str">
        <f t="shared" si="194"/>
        <v>O</v>
      </c>
      <c r="AV184" s="79" t="str">
        <f t="shared" si="195"/>
        <v/>
      </c>
    </row>
    <row r="185" spans="1:48" s="37" customFormat="1" ht="12" x14ac:dyDescent="0.3">
      <c r="A185" s="74" t="s">
        <v>1554</v>
      </c>
      <c r="B185" s="75" t="s">
        <v>1555</v>
      </c>
      <c r="C185" s="85">
        <v>466</v>
      </c>
      <c r="D185" s="86">
        <v>126.1</v>
      </c>
      <c r="E185" s="87">
        <v>38</v>
      </c>
      <c r="F185" s="86">
        <v>84.7</v>
      </c>
      <c r="G185" s="17">
        <v>26</v>
      </c>
      <c r="H185" s="88">
        <v>92</v>
      </c>
      <c r="I185" s="89"/>
      <c r="J185" s="89"/>
      <c r="K185" s="89"/>
      <c r="L185" s="89"/>
      <c r="M185" s="90">
        <f t="shared" si="177"/>
        <v>0</v>
      </c>
      <c r="N185" s="4" t="str">
        <f t="shared" si="178"/>
        <v/>
      </c>
      <c r="O185" s="91">
        <f t="shared" si="179"/>
        <v>0</v>
      </c>
      <c r="P185" s="91">
        <f t="shared" si="180"/>
        <v>0</v>
      </c>
      <c r="Q185" s="79">
        <v>3</v>
      </c>
      <c r="R185" s="79">
        <v>2</v>
      </c>
      <c r="S185" s="79" t="s">
        <v>62</v>
      </c>
      <c r="T185" s="5" t="s">
        <v>146</v>
      </c>
      <c r="U185" s="9"/>
      <c r="W185" s="86">
        <f t="shared" si="181"/>
        <v>126.1</v>
      </c>
      <c r="X185" s="87">
        <f t="shared" si="181"/>
        <v>38</v>
      </c>
      <c r="Y185" s="92">
        <f t="shared" si="182"/>
        <v>92</v>
      </c>
      <c r="Z185" s="90">
        <f t="shared" si="182"/>
        <v>0</v>
      </c>
      <c r="AA185" s="90">
        <f t="shared" si="183"/>
        <v>0</v>
      </c>
      <c r="AB185" s="90">
        <f t="shared" si="184"/>
        <v>0</v>
      </c>
      <c r="AC185" s="4" t="str">
        <f t="shared" si="184"/>
        <v/>
      </c>
      <c r="AD185" s="91">
        <f t="shared" si="184"/>
        <v>0</v>
      </c>
      <c r="AE185" s="79" t="str">
        <f t="shared" si="185"/>
        <v>계</v>
      </c>
      <c r="AF185" s="79" t="str">
        <f t="shared" si="186"/>
        <v>3/2</v>
      </c>
      <c r="AH185" s="20" t="str">
        <f t="shared" si="116"/>
        <v>복대동 청주지웰시티푸르지오</v>
      </c>
      <c r="AI185" s="87">
        <f t="shared" si="117"/>
        <v>38</v>
      </c>
      <c r="AJ185" s="79" t="str">
        <f t="shared" si="187"/>
        <v>A-</v>
      </c>
      <c r="AK185" s="79" t="s">
        <v>13</v>
      </c>
      <c r="AL185" s="79" t="s">
        <v>60</v>
      </c>
      <c r="AM185" s="79" t="s">
        <v>61</v>
      </c>
      <c r="AN185" s="79" t="str">
        <f t="shared" si="188"/>
        <v>C</v>
      </c>
      <c r="AO185" s="79" t="str">
        <f t="shared" si="189"/>
        <v/>
      </c>
      <c r="AP185" s="79" t="str">
        <f t="shared" si="190"/>
        <v/>
      </c>
      <c r="AQ185" s="79" t="str">
        <f t="shared" si="191"/>
        <v>O</v>
      </c>
      <c r="AR185" s="79" t="str">
        <f t="shared" si="192"/>
        <v>O</v>
      </c>
      <c r="AS185" s="79" t="s">
        <v>2</v>
      </c>
      <c r="AT185" s="79" t="str">
        <f t="shared" si="193"/>
        <v>O</v>
      </c>
      <c r="AU185" s="79" t="str">
        <f t="shared" si="194"/>
        <v>O</v>
      </c>
      <c r="AV185" s="79" t="str">
        <f t="shared" si="195"/>
        <v/>
      </c>
    </row>
    <row r="186" spans="1:48" s="37" customFormat="1" ht="12" x14ac:dyDescent="0.3">
      <c r="A186" s="74" t="s">
        <v>1554</v>
      </c>
      <c r="B186" s="75" t="s">
        <v>1555</v>
      </c>
      <c r="C186" s="85">
        <v>466</v>
      </c>
      <c r="D186" s="86">
        <v>126.1</v>
      </c>
      <c r="E186" s="87">
        <v>38</v>
      </c>
      <c r="F186" s="86">
        <v>84.7</v>
      </c>
      <c r="G186" s="17">
        <v>26</v>
      </c>
      <c r="H186" s="88">
        <v>47</v>
      </c>
      <c r="I186" s="89"/>
      <c r="J186" s="89"/>
      <c r="K186" s="89"/>
      <c r="L186" s="89"/>
      <c r="M186" s="90">
        <f t="shared" si="177"/>
        <v>0</v>
      </c>
      <c r="N186" s="4" t="str">
        <f t="shared" si="178"/>
        <v/>
      </c>
      <c r="O186" s="91">
        <f t="shared" si="179"/>
        <v>0</v>
      </c>
      <c r="P186" s="91">
        <f t="shared" si="180"/>
        <v>0</v>
      </c>
      <c r="Q186" s="79">
        <v>3</v>
      </c>
      <c r="R186" s="79">
        <v>2</v>
      </c>
      <c r="S186" s="79" t="s">
        <v>62</v>
      </c>
      <c r="T186" s="5" t="s">
        <v>147</v>
      </c>
      <c r="U186" s="9"/>
      <c r="W186" s="86">
        <f t="shared" si="181"/>
        <v>126.1</v>
      </c>
      <c r="X186" s="87">
        <f t="shared" si="181"/>
        <v>38</v>
      </c>
      <c r="Y186" s="92">
        <f t="shared" si="182"/>
        <v>47</v>
      </c>
      <c r="Z186" s="90">
        <f t="shared" si="182"/>
        <v>0</v>
      </c>
      <c r="AA186" s="90">
        <f t="shared" si="183"/>
        <v>0</v>
      </c>
      <c r="AB186" s="90">
        <f t="shared" si="184"/>
        <v>0</v>
      </c>
      <c r="AC186" s="4" t="str">
        <f t="shared" si="184"/>
        <v/>
      </c>
      <c r="AD186" s="91">
        <f t="shared" si="184"/>
        <v>0</v>
      </c>
      <c r="AE186" s="79" t="str">
        <f t="shared" si="185"/>
        <v>계</v>
      </c>
      <c r="AF186" s="79" t="str">
        <f t="shared" si="186"/>
        <v>3/2</v>
      </c>
      <c r="AH186" s="20" t="str">
        <f t="shared" si="116"/>
        <v>복대동 청주지웰시티푸르지오</v>
      </c>
      <c r="AI186" s="87">
        <f t="shared" si="117"/>
        <v>38</v>
      </c>
      <c r="AJ186" s="79" t="str">
        <f t="shared" si="187"/>
        <v>A-</v>
      </c>
      <c r="AK186" s="79" t="s">
        <v>13</v>
      </c>
      <c r="AL186" s="79" t="s">
        <v>60</v>
      </c>
      <c r="AM186" s="79" t="s">
        <v>61</v>
      </c>
      <c r="AN186" s="79" t="str">
        <f t="shared" si="188"/>
        <v>C</v>
      </c>
      <c r="AO186" s="79" t="str">
        <f t="shared" si="189"/>
        <v/>
      </c>
      <c r="AP186" s="79" t="str">
        <f t="shared" si="190"/>
        <v/>
      </c>
      <c r="AQ186" s="79" t="str">
        <f t="shared" si="191"/>
        <v>O</v>
      </c>
      <c r="AR186" s="79" t="str">
        <f t="shared" si="192"/>
        <v>O</v>
      </c>
      <c r="AS186" s="79" t="s">
        <v>2</v>
      </c>
      <c r="AT186" s="79" t="str">
        <f t="shared" si="193"/>
        <v>O</v>
      </c>
      <c r="AU186" s="79" t="str">
        <f t="shared" si="194"/>
        <v>O</v>
      </c>
      <c r="AV186" s="79" t="str">
        <f t="shared" si="195"/>
        <v/>
      </c>
    </row>
    <row r="187" spans="1:48" s="37" customFormat="1" ht="12" x14ac:dyDescent="0.3">
      <c r="A187" s="74" t="s">
        <v>1556</v>
      </c>
      <c r="B187" s="75" t="s">
        <v>1557</v>
      </c>
      <c r="C187" s="85">
        <v>355</v>
      </c>
      <c r="D187" s="86">
        <v>35.4</v>
      </c>
      <c r="E187" s="87">
        <v>11</v>
      </c>
      <c r="F187" s="86">
        <v>22.7</v>
      </c>
      <c r="G187" s="17">
        <v>7</v>
      </c>
      <c r="H187" s="88">
        <v>95</v>
      </c>
      <c r="I187" s="89">
        <v>7000</v>
      </c>
      <c r="J187" s="89" t="s">
        <v>83</v>
      </c>
      <c r="K187" s="89"/>
      <c r="L187" s="89"/>
      <c r="M187" s="90">
        <f>I187-K187</f>
        <v>7000</v>
      </c>
      <c r="N187" s="4">
        <f>IF(ISERROR(K187/I187),"",K187/I187)</f>
        <v>0</v>
      </c>
      <c r="O187" s="91">
        <f>I187/E187</f>
        <v>636.36363636363637</v>
      </c>
      <c r="P187" s="91">
        <f>K187/E187</f>
        <v>0</v>
      </c>
      <c r="Q187" s="79">
        <v>1</v>
      </c>
      <c r="R187" s="79">
        <v>1</v>
      </c>
      <c r="S187" s="79" t="s">
        <v>62</v>
      </c>
      <c r="T187" s="5">
        <v>35</v>
      </c>
      <c r="U187" s="9"/>
      <c r="W187" s="86">
        <f t="shared" si="181"/>
        <v>35.4</v>
      </c>
      <c r="X187" s="87">
        <f t="shared" si="181"/>
        <v>11</v>
      </c>
      <c r="Y187" s="92">
        <f t="shared" si="182"/>
        <v>95</v>
      </c>
      <c r="Z187" s="90">
        <f t="shared" si="182"/>
        <v>7000</v>
      </c>
      <c r="AA187" s="90">
        <f>K187</f>
        <v>0</v>
      </c>
      <c r="AB187" s="90">
        <f t="shared" si="184"/>
        <v>7000</v>
      </c>
      <c r="AC187" s="4">
        <f t="shared" si="184"/>
        <v>0</v>
      </c>
      <c r="AD187" s="91">
        <f t="shared" si="184"/>
        <v>636.36363636363637</v>
      </c>
      <c r="AE187" s="79" t="str">
        <f>S187</f>
        <v>계</v>
      </c>
      <c r="AF187" s="79" t="str">
        <f>Q187&amp;"/"&amp;R187</f>
        <v>1/1</v>
      </c>
      <c r="AH187" s="20" t="str">
        <f t="shared" si="116"/>
        <v>복대동 형석(992)</v>
      </c>
      <c r="AI187" s="87">
        <f t="shared" si="117"/>
        <v>11</v>
      </c>
      <c r="AJ187" s="79" t="str">
        <f>IF(AI187="","",$AJ$2)</f>
        <v>A-</v>
      </c>
      <c r="AK187" s="79" t="s">
        <v>13</v>
      </c>
      <c r="AL187" s="79" t="s">
        <v>60</v>
      </c>
      <c r="AM187" s="79" t="s">
        <v>61</v>
      </c>
      <c r="AN187" s="79" t="str">
        <f>IF(AI187="","",$AN$2)</f>
        <v>C</v>
      </c>
      <c r="AO187" s="79" t="str">
        <f>IF(N187="","",IF(N187&gt;=$AO$1/100,"O","X"))</f>
        <v>X</v>
      </c>
      <c r="AP187" s="79" t="str">
        <f>IF(I187="","",IF(I187&lt;=$AP$1,"O","X"))</f>
        <v>O</v>
      </c>
      <c r="AQ187" s="79" t="str">
        <f>IF(O187="","",IF(O187&lt;=$AQ$1,"O","X"))</f>
        <v>O</v>
      </c>
      <c r="AR187" s="79" t="str">
        <f>IF(M187="","",IF(M187&lt;=$AR$1,"O","X"))</f>
        <v>X</v>
      </c>
      <c r="AS187" s="79" t="s">
        <v>2</v>
      </c>
      <c r="AT187" s="79" t="str">
        <f>IF(OR(F187="",AI187=""),"",IF(AND((F187&lt;=85),(AI187&gt;=15)),"O","X"))</f>
        <v>X</v>
      </c>
      <c r="AU187" s="79" t="str">
        <f>IF(C187="","",IF(C187&gt;=$AU$1,"O","X"))</f>
        <v>O</v>
      </c>
      <c r="AV187" s="79" t="str">
        <f>IF(AO187="","",IF(AND(AO187="O",AP187="O",AR187="O",AT187="O",AU187="O"),"후보","X"))</f>
        <v>X</v>
      </c>
    </row>
    <row r="188" spans="1:48" s="37" customFormat="1" ht="12" x14ac:dyDescent="0.3">
      <c r="A188" s="74" t="s">
        <v>1556</v>
      </c>
      <c r="B188" s="75" t="s">
        <v>1557</v>
      </c>
      <c r="C188" s="85">
        <v>355</v>
      </c>
      <c r="D188" s="86">
        <v>50.9</v>
      </c>
      <c r="E188" s="87">
        <v>15</v>
      </c>
      <c r="F188" s="86">
        <v>39.799999999999997</v>
      </c>
      <c r="G188" s="17">
        <v>12</v>
      </c>
      <c r="H188" s="88">
        <v>100</v>
      </c>
      <c r="I188" s="89">
        <v>12000</v>
      </c>
      <c r="J188" s="89" t="s">
        <v>83</v>
      </c>
      <c r="K188" s="89"/>
      <c r="L188" s="89"/>
      <c r="M188" s="90">
        <f>I188-K188</f>
        <v>12000</v>
      </c>
      <c r="N188" s="4">
        <f>IF(ISERROR(K188/I188),"",K188/I188)</f>
        <v>0</v>
      </c>
      <c r="O188" s="91">
        <f>I188/E188</f>
        <v>800</v>
      </c>
      <c r="P188" s="91">
        <f>K188/E188</f>
        <v>0</v>
      </c>
      <c r="Q188" s="79">
        <v>2</v>
      </c>
      <c r="R188" s="79">
        <v>1</v>
      </c>
      <c r="S188" s="79" t="s">
        <v>62</v>
      </c>
      <c r="T188" s="5">
        <v>50</v>
      </c>
      <c r="U188" s="9"/>
      <c r="W188" s="86">
        <f t="shared" si="181"/>
        <v>50.9</v>
      </c>
      <c r="X188" s="87">
        <f t="shared" si="181"/>
        <v>15</v>
      </c>
      <c r="Y188" s="92">
        <f t="shared" si="182"/>
        <v>100</v>
      </c>
      <c r="Z188" s="90">
        <f t="shared" si="182"/>
        <v>12000</v>
      </c>
      <c r="AA188" s="90">
        <f>K188</f>
        <v>0</v>
      </c>
      <c r="AB188" s="90">
        <f t="shared" si="184"/>
        <v>12000</v>
      </c>
      <c r="AC188" s="4">
        <f t="shared" si="184"/>
        <v>0</v>
      </c>
      <c r="AD188" s="91">
        <f t="shared" si="184"/>
        <v>800</v>
      </c>
      <c r="AE188" s="79" t="str">
        <f>S188</f>
        <v>계</v>
      </c>
      <c r="AF188" s="79" t="str">
        <f>Q188&amp;"/"&amp;R188</f>
        <v>2/1</v>
      </c>
      <c r="AH188" s="20" t="str">
        <f t="shared" si="116"/>
        <v>복대동 형석(992)</v>
      </c>
      <c r="AI188" s="87">
        <f t="shared" si="117"/>
        <v>15</v>
      </c>
      <c r="AJ188" s="79" t="str">
        <f>IF(AI188="","",$AJ$2)</f>
        <v>A-</v>
      </c>
      <c r="AK188" s="79" t="s">
        <v>13</v>
      </c>
      <c r="AL188" s="79" t="s">
        <v>60</v>
      </c>
      <c r="AM188" s="79" t="s">
        <v>61</v>
      </c>
      <c r="AN188" s="79" t="str">
        <f>IF(AI188="","",$AN$2)</f>
        <v>C</v>
      </c>
      <c r="AO188" s="79" t="str">
        <f>IF(N188="","",IF(N188&gt;=$AO$1/100,"O","X"))</f>
        <v>X</v>
      </c>
      <c r="AP188" s="79" t="str">
        <f>IF(I188="","",IF(I188&lt;=$AP$1,"O","X"))</f>
        <v>O</v>
      </c>
      <c r="AQ188" s="79" t="str">
        <f>IF(O188="","",IF(O188&lt;=$AQ$1,"O","X"))</f>
        <v>O</v>
      </c>
      <c r="AR188" s="79" t="str">
        <f>IF(M188="","",IF(M188&lt;=$AR$1,"O","X"))</f>
        <v>X</v>
      </c>
      <c r="AS188" s="79" t="s">
        <v>2</v>
      </c>
      <c r="AT188" s="79" t="str">
        <f>IF(OR(F188="",AI188=""),"",IF(AND((F188&lt;=85),(AI188&gt;=15)),"O","X"))</f>
        <v>O</v>
      </c>
      <c r="AU188" s="79" t="str">
        <f>IF(C188="","",IF(C188&gt;=$AU$1,"O","X"))</f>
        <v>O</v>
      </c>
      <c r="AV188" s="79" t="str">
        <f>IF(AO188="","",IF(AND(AO188="O",AP188="O",AR188="O",AT188="O",AU188="O"),"후보","X"))</f>
        <v>X</v>
      </c>
    </row>
    <row r="189" spans="1:48" s="37" customFormat="1" ht="12" x14ac:dyDescent="0.3">
      <c r="A189" s="74" t="s">
        <v>1556</v>
      </c>
      <c r="B189" s="75" t="s">
        <v>1557</v>
      </c>
      <c r="C189" s="85">
        <v>355</v>
      </c>
      <c r="D189" s="86">
        <v>73.099999999999994</v>
      </c>
      <c r="E189" s="87">
        <v>22</v>
      </c>
      <c r="F189" s="86">
        <v>59.9</v>
      </c>
      <c r="G189" s="17">
        <v>18</v>
      </c>
      <c r="H189" s="88">
        <v>80</v>
      </c>
      <c r="I189" s="89">
        <v>13500</v>
      </c>
      <c r="J189" s="89" t="s">
        <v>83</v>
      </c>
      <c r="K189" s="89"/>
      <c r="L189" s="89"/>
      <c r="M189" s="90">
        <f>I189-K189</f>
        <v>13500</v>
      </c>
      <c r="N189" s="4">
        <f>IF(ISERROR(K189/I189),"",K189/I189)</f>
        <v>0</v>
      </c>
      <c r="O189" s="91">
        <f>I189/E189</f>
        <v>613.63636363636363</v>
      </c>
      <c r="P189" s="91">
        <f>K189/E189</f>
        <v>0</v>
      </c>
      <c r="Q189" s="79">
        <v>3</v>
      </c>
      <c r="R189" s="79">
        <v>1</v>
      </c>
      <c r="S189" s="79" t="s">
        <v>62</v>
      </c>
      <c r="T189" s="5">
        <v>73</v>
      </c>
      <c r="U189" s="9"/>
      <c r="W189" s="86">
        <f t="shared" si="181"/>
        <v>73.099999999999994</v>
      </c>
      <c r="X189" s="87">
        <f t="shared" si="181"/>
        <v>22</v>
      </c>
      <c r="Y189" s="92">
        <f t="shared" si="182"/>
        <v>80</v>
      </c>
      <c r="Z189" s="90">
        <f t="shared" si="182"/>
        <v>13500</v>
      </c>
      <c r="AA189" s="90">
        <f>K189</f>
        <v>0</v>
      </c>
      <c r="AB189" s="90">
        <f t="shared" si="184"/>
        <v>13500</v>
      </c>
      <c r="AC189" s="4">
        <f t="shared" si="184"/>
        <v>0</v>
      </c>
      <c r="AD189" s="91">
        <f t="shared" si="184"/>
        <v>613.63636363636363</v>
      </c>
      <c r="AE189" s="79" t="str">
        <f>S189</f>
        <v>계</v>
      </c>
      <c r="AF189" s="79" t="str">
        <f>Q189&amp;"/"&amp;R189</f>
        <v>3/1</v>
      </c>
      <c r="AH189" s="20" t="str">
        <f t="shared" si="116"/>
        <v>복대동 형석(992)</v>
      </c>
      <c r="AI189" s="87">
        <f t="shared" si="117"/>
        <v>22</v>
      </c>
      <c r="AJ189" s="79" t="str">
        <f>IF(AI189="","",$AJ$2)</f>
        <v>A-</v>
      </c>
      <c r="AK189" s="79" t="s">
        <v>13</v>
      </c>
      <c r="AL189" s="79" t="s">
        <v>60</v>
      </c>
      <c r="AM189" s="79" t="s">
        <v>61</v>
      </c>
      <c r="AN189" s="79" t="str">
        <f>IF(AI189="","",$AN$2)</f>
        <v>C</v>
      </c>
      <c r="AO189" s="79" t="str">
        <f>IF(N189="","",IF(N189&gt;=$AO$1/100,"O","X"))</f>
        <v>X</v>
      </c>
      <c r="AP189" s="79" t="str">
        <f>IF(I189="","",IF(I189&lt;=$AP$1,"O","X"))</f>
        <v>O</v>
      </c>
      <c r="AQ189" s="79" t="str">
        <f>IF(O189="","",IF(O189&lt;=$AQ$1,"O","X"))</f>
        <v>O</v>
      </c>
      <c r="AR189" s="79" t="str">
        <f>IF(M189="","",IF(M189&lt;=$AR$1,"O","X"))</f>
        <v>X</v>
      </c>
      <c r="AS189" s="79" t="s">
        <v>2</v>
      </c>
      <c r="AT189" s="79" t="str">
        <f>IF(OR(F189="",AI189=""),"",IF(AND((F189&lt;=85),(AI189&gt;=15)),"O","X"))</f>
        <v>O</v>
      </c>
      <c r="AU189" s="79" t="str">
        <f>IF(C189="","",IF(C189&gt;=$AU$1,"O","X"))</f>
        <v>O</v>
      </c>
      <c r="AV189" s="79" t="str">
        <f>IF(AO189="","",IF(AND(AO189="O",AP189="O",AR189="O",AT189="O",AU189="O"),"후보","X"))</f>
        <v>X</v>
      </c>
    </row>
    <row r="190" spans="1:48" s="37" customFormat="1" ht="12" x14ac:dyDescent="0.3">
      <c r="A190" s="74" t="s">
        <v>1556</v>
      </c>
      <c r="B190" s="75" t="s">
        <v>1557</v>
      </c>
      <c r="C190" s="85">
        <v>355</v>
      </c>
      <c r="D190" s="86">
        <v>99.4</v>
      </c>
      <c r="E190" s="87">
        <v>30</v>
      </c>
      <c r="F190" s="86">
        <v>84.9</v>
      </c>
      <c r="G190" s="17">
        <v>26</v>
      </c>
      <c r="H190" s="88">
        <v>80</v>
      </c>
      <c r="I190" s="89">
        <v>17500</v>
      </c>
      <c r="J190" s="89" t="s">
        <v>89</v>
      </c>
      <c r="K190" s="89"/>
      <c r="L190" s="89"/>
      <c r="M190" s="90">
        <f>I190-K190</f>
        <v>17500</v>
      </c>
      <c r="N190" s="4">
        <f>IF(ISERROR(K190/I190),"",K190/I190)</f>
        <v>0</v>
      </c>
      <c r="O190" s="91">
        <f>I190/E190</f>
        <v>583.33333333333337</v>
      </c>
      <c r="P190" s="91">
        <f>K190/E190</f>
        <v>0</v>
      </c>
      <c r="Q190" s="79">
        <v>3</v>
      </c>
      <c r="R190" s="79">
        <v>2</v>
      </c>
      <c r="S190" s="79" t="s">
        <v>62</v>
      </c>
      <c r="T190" s="5">
        <v>99</v>
      </c>
      <c r="U190" s="9"/>
      <c r="W190" s="86">
        <f t="shared" si="181"/>
        <v>99.4</v>
      </c>
      <c r="X190" s="87">
        <f t="shared" si="181"/>
        <v>30</v>
      </c>
      <c r="Y190" s="92">
        <f t="shared" si="182"/>
        <v>80</v>
      </c>
      <c r="Z190" s="90">
        <f t="shared" si="182"/>
        <v>17500</v>
      </c>
      <c r="AA190" s="90">
        <f>K190</f>
        <v>0</v>
      </c>
      <c r="AB190" s="90">
        <f t="shared" si="184"/>
        <v>17500</v>
      </c>
      <c r="AC190" s="4">
        <f t="shared" si="184"/>
        <v>0</v>
      </c>
      <c r="AD190" s="91">
        <f t="shared" si="184"/>
        <v>583.33333333333337</v>
      </c>
      <c r="AE190" s="79" t="str">
        <f>S190</f>
        <v>계</v>
      </c>
      <c r="AF190" s="79" t="str">
        <f>Q190&amp;"/"&amp;R190</f>
        <v>3/2</v>
      </c>
      <c r="AH190" s="20" t="str">
        <f t="shared" si="116"/>
        <v>복대동 형석(992)</v>
      </c>
      <c r="AI190" s="87">
        <f t="shared" si="117"/>
        <v>30</v>
      </c>
      <c r="AJ190" s="79" t="str">
        <f>IF(AI190="","",$AJ$2)</f>
        <v>A-</v>
      </c>
      <c r="AK190" s="79" t="s">
        <v>13</v>
      </c>
      <c r="AL190" s="79" t="s">
        <v>60</v>
      </c>
      <c r="AM190" s="79" t="s">
        <v>61</v>
      </c>
      <c r="AN190" s="79" t="str">
        <f>IF(AI190="","",$AN$2)</f>
        <v>C</v>
      </c>
      <c r="AO190" s="79" t="str">
        <f>IF(N190="","",IF(N190&gt;=$AO$1/100,"O","X"))</f>
        <v>X</v>
      </c>
      <c r="AP190" s="79" t="str">
        <f>IF(I190="","",IF(I190&lt;=$AP$1,"O","X"))</f>
        <v>O</v>
      </c>
      <c r="AQ190" s="79" t="str">
        <f>IF(O190="","",IF(O190&lt;=$AQ$1,"O","X"))</f>
        <v>O</v>
      </c>
      <c r="AR190" s="79" t="str">
        <f>IF(M190="","",IF(M190&lt;=$AR$1,"O","X"))</f>
        <v>X</v>
      </c>
      <c r="AS190" s="79" t="s">
        <v>2</v>
      </c>
      <c r="AT190" s="79" t="str">
        <f>IF(OR(F190="",AI190=""),"",IF(AND((F190&lt;=85),(AI190&gt;=15)),"O","X"))</f>
        <v>O</v>
      </c>
      <c r="AU190" s="79" t="str">
        <f>IF(C190="","",IF(C190&gt;=$AU$1,"O","X"))</f>
        <v>O</v>
      </c>
      <c r="AV190" s="79" t="str">
        <f>IF(AO190="","",IF(AND(AO190="O",AP190="O",AR190="O",AT190="O",AU190="O"),"후보","X"))</f>
        <v>X</v>
      </c>
    </row>
    <row r="191" spans="1:48" s="37" customFormat="1" ht="12" x14ac:dyDescent="0.3">
      <c r="A191" s="74" t="s">
        <v>1558</v>
      </c>
      <c r="B191" s="75" t="s">
        <v>1559</v>
      </c>
      <c r="C191" s="85">
        <v>274</v>
      </c>
      <c r="D191" s="86">
        <v>124.5</v>
      </c>
      <c r="E191" s="87">
        <v>38</v>
      </c>
      <c r="F191" s="86">
        <v>99.7</v>
      </c>
      <c r="G191" s="17">
        <v>30</v>
      </c>
      <c r="H191" s="88">
        <v>26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2</v>
      </c>
      <c r="S191" s="79" t="s">
        <v>62</v>
      </c>
      <c r="T191" s="5">
        <v>124</v>
      </c>
      <c r="U191" s="9"/>
      <c r="W191" s="86">
        <f t="shared" si="181"/>
        <v>124.5</v>
      </c>
      <c r="X191" s="87">
        <f t="shared" si="181"/>
        <v>38</v>
      </c>
      <c r="Y191" s="92">
        <f t="shared" si="182"/>
        <v>26</v>
      </c>
      <c r="Z191" s="90">
        <f t="shared" si="182"/>
        <v>0</v>
      </c>
      <c r="AA191" s="90">
        <f>K191</f>
        <v>0</v>
      </c>
      <c r="AB191" s="90">
        <f t="shared" si="184"/>
        <v>0</v>
      </c>
      <c r="AC191" s="4" t="str">
        <f t="shared" si="184"/>
        <v/>
      </c>
      <c r="AD191" s="91">
        <f t="shared" si="184"/>
        <v>0</v>
      </c>
      <c r="AE191" s="79" t="str">
        <f>S191</f>
        <v>계</v>
      </c>
      <c r="AF191" s="79" t="str">
        <f>Q191&amp;"/"&amp;R191</f>
        <v>3/2</v>
      </c>
      <c r="AH191" s="20" t="str">
        <f t="shared" si="116"/>
        <v>복대동 벽산</v>
      </c>
      <c r="AI191" s="87">
        <f t="shared" si="117"/>
        <v>38</v>
      </c>
      <c r="AJ191" s="79" t="str">
        <f>IF(AI191="","",$AJ$2)</f>
        <v>A-</v>
      </c>
      <c r="AK191" s="79" t="s">
        <v>13</v>
      </c>
      <c r="AL191" s="79" t="s">
        <v>60</v>
      </c>
      <c r="AM191" s="79" t="s">
        <v>61</v>
      </c>
      <c r="AN191" s="79" t="str">
        <f>IF(AI191="","",$AN$2)</f>
        <v>C</v>
      </c>
      <c r="AO191" s="79" t="str">
        <f>IF(N191="","",IF(N191&gt;=$AO$1/100,"O","X"))</f>
        <v/>
      </c>
      <c r="AP191" s="79" t="str">
        <f>IF(I191="","",IF(I191&lt;=$AP$1,"O","X"))</f>
        <v/>
      </c>
      <c r="AQ191" s="79" t="str">
        <f>IF(O191="","",IF(O191&lt;=$AQ$1,"O","X"))</f>
        <v>O</v>
      </c>
      <c r="AR191" s="79" t="str">
        <f>IF(M191="","",IF(M191&lt;=$AR$1,"O","X"))</f>
        <v>O</v>
      </c>
      <c r="AS191" s="79" t="s">
        <v>2</v>
      </c>
      <c r="AT191" s="79" t="str">
        <f>IF(OR(F191="",AI191=""),"",IF(AND((F191&lt;=85),(AI191&gt;=15)),"O","X"))</f>
        <v>X</v>
      </c>
      <c r="AU191" s="79" t="str">
        <f>IF(C191="","",IF(C191&gt;=$AU$1,"O","X"))</f>
        <v>X</v>
      </c>
      <c r="AV191" s="79" t="str">
        <f>IF(AO191="","",IF(AND(AO191="O",AP191="O",AR191="O",AT191="O",AU191="O"),"후보","X"))</f>
        <v/>
      </c>
    </row>
    <row r="192" spans="1:48" s="37" customFormat="1" ht="12" x14ac:dyDescent="0.3">
      <c r="A192" s="74" t="s">
        <v>1558</v>
      </c>
      <c r="B192" s="75" t="s">
        <v>1559</v>
      </c>
      <c r="C192" s="85">
        <v>274</v>
      </c>
      <c r="D192" s="86">
        <v>126.3</v>
      </c>
      <c r="E192" s="87">
        <v>38</v>
      </c>
      <c r="F192" s="86">
        <v>100.9</v>
      </c>
      <c r="G192" s="17">
        <v>31</v>
      </c>
      <c r="H192" s="88">
        <v>102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3</v>
      </c>
      <c r="R192" s="79">
        <v>2</v>
      </c>
      <c r="S192" s="79" t="s">
        <v>62</v>
      </c>
      <c r="T192" s="5">
        <v>126</v>
      </c>
      <c r="U192" s="9"/>
      <c r="W192" s="86">
        <f t="shared" si="181"/>
        <v>126.3</v>
      </c>
      <c r="X192" s="87">
        <f t="shared" si="181"/>
        <v>38</v>
      </c>
      <c r="Y192" s="92">
        <f t="shared" si="182"/>
        <v>102</v>
      </c>
      <c r="Z192" s="90">
        <f t="shared" si="182"/>
        <v>0</v>
      </c>
      <c r="AA192" s="90">
        <f>K192</f>
        <v>0</v>
      </c>
      <c r="AB192" s="90">
        <f t="shared" si="184"/>
        <v>0</v>
      </c>
      <c r="AC192" s="4" t="str">
        <f t="shared" si="184"/>
        <v/>
      </c>
      <c r="AD192" s="91">
        <f t="shared" si="184"/>
        <v>0</v>
      </c>
      <c r="AE192" s="79" t="str">
        <f>S192</f>
        <v>계</v>
      </c>
      <c r="AF192" s="79" t="str">
        <f>Q192&amp;"/"&amp;R192</f>
        <v>3/2</v>
      </c>
      <c r="AH192" s="20" t="str">
        <f t="shared" si="116"/>
        <v>복대동 벽산</v>
      </c>
      <c r="AI192" s="87">
        <f t="shared" si="117"/>
        <v>38</v>
      </c>
      <c r="AJ192" s="79" t="str">
        <f>IF(AI192="","",$AJ$2)</f>
        <v>A-</v>
      </c>
      <c r="AK192" s="79" t="s">
        <v>13</v>
      </c>
      <c r="AL192" s="79" t="s">
        <v>60</v>
      </c>
      <c r="AM192" s="79" t="s">
        <v>61</v>
      </c>
      <c r="AN192" s="79" t="str">
        <f>IF(AI192="","",$AN$2)</f>
        <v>C</v>
      </c>
      <c r="AO192" s="79" t="str">
        <f>IF(N192="","",IF(N192&gt;=$AO$1/100,"O","X"))</f>
        <v/>
      </c>
      <c r="AP192" s="79" t="str">
        <f>IF(I192="","",IF(I192&lt;=$AP$1,"O","X"))</f>
        <v/>
      </c>
      <c r="AQ192" s="79" t="str">
        <f>IF(O192="","",IF(O192&lt;=$AQ$1,"O","X"))</f>
        <v>O</v>
      </c>
      <c r="AR192" s="79" t="str">
        <f>IF(M192="","",IF(M192&lt;=$AR$1,"O","X"))</f>
        <v>O</v>
      </c>
      <c r="AS192" s="79" t="s">
        <v>2</v>
      </c>
      <c r="AT192" s="79" t="str">
        <f>IF(OR(F192="",AI192=""),"",IF(AND((F192&lt;=85),(AI192&gt;=15)),"O","X"))</f>
        <v>X</v>
      </c>
      <c r="AU192" s="79" t="str">
        <f>IF(C192="","",IF(C192&gt;=$AU$1,"O","X"))</f>
        <v>X</v>
      </c>
      <c r="AV192" s="79" t="str">
        <f>IF(AO192="","",IF(AND(AO192="O",AP192="O",AR192="O",AT192="O",AU192="O"),"후보","X"))</f>
        <v/>
      </c>
    </row>
    <row r="193" spans="1:48" s="37" customFormat="1" ht="12" x14ac:dyDescent="0.3">
      <c r="A193" s="74" t="s">
        <v>1558</v>
      </c>
      <c r="B193" s="75" t="s">
        <v>1559</v>
      </c>
      <c r="C193" s="85">
        <v>274</v>
      </c>
      <c r="D193" s="86">
        <v>159.1</v>
      </c>
      <c r="E193" s="87">
        <v>48</v>
      </c>
      <c r="F193" s="86">
        <v>134.19999999999999</v>
      </c>
      <c r="G193" s="17">
        <v>41</v>
      </c>
      <c r="H193" s="88">
        <v>116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4</v>
      </c>
      <c r="R193" s="79">
        <v>2</v>
      </c>
      <c r="S193" s="79" t="s">
        <v>62</v>
      </c>
      <c r="T193" s="5">
        <v>159</v>
      </c>
      <c r="U193" s="9"/>
      <c r="W193" s="86">
        <f t="shared" si="181"/>
        <v>159.1</v>
      </c>
      <c r="X193" s="87">
        <f t="shared" si="181"/>
        <v>48</v>
      </c>
      <c r="Y193" s="92">
        <f t="shared" si="182"/>
        <v>116</v>
      </c>
      <c r="Z193" s="90">
        <f t="shared" si="182"/>
        <v>0</v>
      </c>
      <c r="AA193" s="90">
        <f>K193</f>
        <v>0</v>
      </c>
      <c r="AB193" s="90">
        <f t="shared" si="184"/>
        <v>0</v>
      </c>
      <c r="AC193" s="4" t="str">
        <f t="shared" si="184"/>
        <v/>
      </c>
      <c r="AD193" s="91">
        <f t="shared" si="184"/>
        <v>0</v>
      </c>
      <c r="AE193" s="79" t="str">
        <f>S193</f>
        <v>계</v>
      </c>
      <c r="AF193" s="79" t="str">
        <f>Q193&amp;"/"&amp;R193</f>
        <v>4/2</v>
      </c>
      <c r="AH193" s="20" t="str">
        <f t="shared" si="116"/>
        <v>복대동 벽산</v>
      </c>
      <c r="AI193" s="87">
        <f t="shared" si="117"/>
        <v>48</v>
      </c>
      <c r="AJ193" s="79" t="str">
        <f>IF(AI193="","",$AJ$2)</f>
        <v>A-</v>
      </c>
      <c r="AK193" s="79" t="s">
        <v>13</v>
      </c>
      <c r="AL193" s="79" t="s">
        <v>60</v>
      </c>
      <c r="AM193" s="79" t="s">
        <v>61</v>
      </c>
      <c r="AN193" s="79" t="str">
        <f>IF(AI193="","",$AN$2)</f>
        <v>C</v>
      </c>
      <c r="AO193" s="79" t="str">
        <f>IF(N193="","",IF(N193&gt;=$AO$1/100,"O","X"))</f>
        <v/>
      </c>
      <c r="AP193" s="79" t="str">
        <f>IF(I193="","",IF(I193&lt;=$AP$1,"O","X"))</f>
        <v/>
      </c>
      <c r="AQ193" s="79" t="str">
        <f>IF(O193="","",IF(O193&lt;=$AQ$1,"O","X"))</f>
        <v>O</v>
      </c>
      <c r="AR193" s="79" t="str">
        <f>IF(M193="","",IF(M193&lt;=$AR$1,"O","X"))</f>
        <v>O</v>
      </c>
      <c r="AS193" s="79" t="s">
        <v>2</v>
      </c>
      <c r="AT193" s="79" t="str">
        <f>IF(OR(F193="",AI193=""),"",IF(AND((F193&lt;=85),(AI193&gt;=15)),"O","X"))</f>
        <v>X</v>
      </c>
      <c r="AU193" s="79" t="str">
        <f>IF(C193="","",IF(C193&gt;=$AU$1,"O","X"))</f>
        <v>X</v>
      </c>
      <c r="AV193" s="79" t="str">
        <f>IF(AO193="","",IF(AND(AO193="O",AP193="O",AR193="O",AT193="O",AU193="O"),"후보","X"))</f>
        <v/>
      </c>
    </row>
    <row r="194" spans="1:48" s="37" customFormat="1" ht="12" x14ac:dyDescent="0.3">
      <c r="A194" s="74" t="s">
        <v>1558</v>
      </c>
      <c r="B194" s="75" t="s">
        <v>1559</v>
      </c>
      <c r="C194" s="85">
        <v>274</v>
      </c>
      <c r="D194" s="86">
        <v>206.8</v>
      </c>
      <c r="E194" s="87">
        <v>63</v>
      </c>
      <c r="F194" s="86">
        <v>175.8</v>
      </c>
      <c r="G194" s="17">
        <v>53</v>
      </c>
      <c r="H194" s="88">
        <v>30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5</v>
      </c>
      <c r="R194" s="79">
        <v>2</v>
      </c>
      <c r="S194" s="79" t="s">
        <v>62</v>
      </c>
      <c r="T194" s="5">
        <v>206</v>
      </c>
      <c r="U194" s="9"/>
      <c r="W194" s="86">
        <f t="shared" si="181"/>
        <v>206.8</v>
      </c>
      <c r="X194" s="87">
        <f t="shared" si="181"/>
        <v>63</v>
      </c>
      <c r="Y194" s="92">
        <f t="shared" si="182"/>
        <v>30</v>
      </c>
      <c r="Z194" s="90">
        <f t="shared" si="182"/>
        <v>0</v>
      </c>
      <c r="AA194" s="90">
        <f>K194</f>
        <v>0</v>
      </c>
      <c r="AB194" s="90">
        <f t="shared" si="184"/>
        <v>0</v>
      </c>
      <c r="AC194" s="4" t="str">
        <f t="shared" si="184"/>
        <v/>
      </c>
      <c r="AD194" s="91">
        <f t="shared" si="184"/>
        <v>0</v>
      </c>
      <c r="AE194" s="79" t="str">
        <f>S194</f>
        <v>계</v>
      </c>
      <c r="AF194" s="79" t="str">
        <f>Q194&amp;"/"&amp;R194</f>
        <v>5/2</v>
      </c>
      <c r="AH194" s="20" t="str">
        <f t="shared" si="116"/>
        <v>복대동 벽산</v>
      </c>
      <c r="AI194" s="87">
        <f t="shared" si="117"/>
        <v>63</v>
      </c>
      <c r="AJ194" s="79" t="str">
        <f>IF(AI194="","",$AJ$2)</f>
        <v>A-</v>
      </c>
      <c r="AK194" s="79" t="s">
        <v>13</v>
      </c>
      <c r="AL194" s="79" t="s">
        <v>60</v>
      </c>
      <c r="AM194" s="79" t="s">
        <v>61</v>
      </c>
      <c r="AN194" s="79" t="str">
        <f>IF(AI194="","",$AN$2)</f>
        <v>C</v>
      </c>
      <c r="AO194" s="79" t="str">
        <f>IF(N194="","",IF(N194&gt;=$AO$1/100,"O","X"))</f>
        <v/>
      </c>
      <c r="AP194" s="79" t="str">
        <f>IF(I194="","",IF(I194&lt;=$AP$1,"O","X"))</f>
        <v/>
      </c>
      <c r="AQ194" s="79" t="str">
        <f>IF(O194="","",IF(O194&lt;=$AQ$1,"O","X"))</f>
        <v>O</v>
      </c>
      <c r="AR194" s="79" t="str">
        <f>IF(M194="","",IF(M194&lt;=$AR$1,"O","X"))</f>
        <v>O</v>
      </c>
      <c r="AS194" s="79" t="s">
        <v>2</v>
      </c>
      <c r="AT194" s="79" t="str">
        <f>IF(OR(F194="",AI194=""),"",IF(AND((F194&lt;=85),(AI194&gt;=15)),"O","X"))</f>
        <v>X</v>
      </c>
      <c r="AU194" s="79" t="str">
        <f>IF(C194="","",IF(C194&gt;=$AU$1,"O","X"))</f>
        <v>X</v>
      </c>
      <c r="AV194" s="79" t="str">
        <f>IF(AO194="","",IF(AND(AO194="O",AP194="O",AR194="O",AT194="O",AU194="O"),"후보","X"))</f>
        <v/>
      </c>
    </row>
    <row r="195" spans="1:48" s="37" customFormat="1" ht="12" x14ac:dyDescent="0.3">
      <c r="A195" s="74" t="s">
        <v>1560</v>
      </c>
      <c r="B195" s="75" t="s">
        <v>1561</v>
      </c>
      <c r="C195" s="85">
        <v>812</v>
      </c>
      <c r="D195" s="86">
        <v>76.2</v>
      </c>
      <c r="E195" s="87">
        <v>23</v>
      </c>
      <c r="F195" s="86">
        <v>59.9</v>
      </c>
      <c r="G195" s="17">
        <v>18</v>
      </c>
      <c r="H195" s="88">
        <v>169</v>
      </c>
      <c r="I195" s="89">
        <v>18000</v>
      </c>
      <c r="J195" s="89" t="s">
        <v>63</v>
      </c>
      <c r="K195" s="89"/>
      <c r="L195" s="89"/>
      <c r="M195" s="90">
        <f>I195-K195</f>
        <v>18000</v>
      </c>
      <c r="N195" s="4">
        <f>IF(ISERROR(K195/I195),"",K195/I195)</f>
        <v>0</v>
      </c>
      <c r="O195" s="91">
        <f>I195/E195</f>
        <v>782.60869565217388</v>
      </c>
      <c r="P195" s="91">
        <f>K195/E195</f>
        <v>0</v>
      </c>
      <c r="Q195" s="79">
        <v>3</v>
      </c>
      <c r="R195" s="79">
        <v>2</v>
      </c>
      <c r="S195" s="79" t="s">
        <v>62</v>
      </c>
      <c r="T195" s="5" t="s">
        <v>111</v>
      </c>
      <c r="U195" s="9"/>
      <c r="W195" s="86">
        <f t="shared" si="181"/>
        <v>76.2</v>
      </c>
      <c r="X195" s="87">
        <f t="shared" si="181"/>
        <v>23</v>
      </c>
      <c r="Y195" s="92">
        <f t="shared" si="182"/>
        <v>169</v>
      </c>
      <c r="Z195" s="90">
        <f t="shared" si="182"/>
        <v>18000</v>
      </c>
      <c r="AA195" s="90">
        <f>K195</f>
        <v>0</v>
      </c>
      <c r="AB195" s="90">
        <f t="shared" si="184"/>
        <v>18000</v>
      </c>
      <c r="AC195" s="4">
        <f t="shared" si="184"/>
        <v>0</v>
      </c>
      <c r="AD195" s="91">
        <f t="shared" si="184"/>
        <v>782.60869565217388</v>
      </c>
      <c r="AE195" s="79" t="str">
        <f>S195</f>
        <v>계</v>
      </c>
      <c r="AF195" s="79" t="str">
        <f>Q195&amp;"/"&amp;R195</f>
        <v>3/2</v>
      </c>
      <c r="AH195" s="20" t="str">
        <f t="shared" si="116"/>
        <v>복대동 복대대원</v>
      </c>
      <c r="AI195" s="87">
        <f t="shared" si="117"/>
        <v>23</v>
      </c>
      <c r="AJ195" s="79" t="str">
        <f>IF(AI195="","",$AJ$2)</f>
        <v>A-</v>
      </c>
      <c r="AK195" s="79" t="s">
        <v>13</v>
      </c>
      <c r="AL195" s="79" t="s">
        <v>60</v>
      </c>
      <c r="AM195" s="79" t="s">
        <v>61</v>
      </c>
      <c r="AN195" s="79" t="str">
        <f>IF(AI195="","",$AN$2)</f>
        <v>C</v>
      </c>
      <c r="AO195" s="79" t="str">
        <f>IF(N195="","",IF(N195&gt;=$AO$1/100,"O","X"))</f>
        <v>X</v>
      </c>
      <c r="AP195" s="79" t="str">
        <f>IF(I195="","",IF(I195&lt;=$AP$1,"O","X"))</f>
        <v>O</v>
      </c>
      <c r="AQ195" s="79" t="str">
        <f>IF(O195="","",IF(O195&lt;=$AQ$1,"O","X"))</f>
        <v>O</v>
      </c>
      <c r="AR195" s="79" t="str">
        <f>IF(M195="","",IF(M195&lt;=$AR$1,"O","X"))</f>
        <v>X</v>
      </c>
      <c r="AS195" s="79" t="s">
        <v>2</v>
      </c>
      <c r="AT195" s="79" t="str">
        <f>IF(OR(F195="",AI195=""),"",IF(AND((F195&lt;=85),(AI195&gt;=15)),"O","X"))</f>
        <v>O</v>
      </c>
      <c r="AU195" s="79" t="str">
        <f>IF(C195="","",IF(C195&gt;=$AU$1,"O","X"))</f>
        <v>O</v>
      </c>
      <c r="AV195" s="79" t="str">
        <f>IF(AO195="","",IF(AND(AO195="O",AP195="O",AR195="O",AT195="O",AU195="O"),"후보","X"))</f>
        <v>X</v>
      </c>
    </row>
    <row r="196" spans="1:48" s="37" customFormat="1" ht="12" x14ac:dyDescent="0.3">
      <c r="A196" s="74" t="s">
        <v>1562</v>
      </c>
      <c r="B196" s="75" t="s">
        <v>1563</v>
      </c>
      <c r="C196" s="85">
        <v>812</v>
      </c>
      <c r="D196" s="86">
        <v>76.8</v>
      </c>
      <c r="E196" s="87">
        <v>23</v>
      </c>
      <c r="F196" s="86">
        <v>60</v>
      </c>
      <c r="G196" s="17">
        <v>18</v>
      </c>
      <c r="H196" s="88">
        <v>69</v>
      </c>
      <c r="I196" s="89">
        <v>19200</v>
      </c>
      <c r="J196" s="89" t="s">
        <v>102</v>
      </c>
      <c r="K196" s="89">
        <v>18000</v>
      </c>
      <c r="L196" s="89" t="s">
        <v>102</v>
      </c>
      <c r="M196" s="90">
        <f>I196-K196</f>
        <v>1200</v>
      </c>
      <c r="N196" s="4">
        <f>IF(ISERROR(K196/I196),"",K196/I196)</f>
        <v>0.9375</v>
      </c>
      <c r="O196" s="91">
        <f>I196/E196</f>
        <v>834.78260869565213</v>
      </c>
      <c r="P196" s="91">
        <f>K196/E196</f>
        <v>782.60869565217388</v>
      </c>
      <c r="Q196" s="79">
        <v>2</v>
      </c>
      <c r="R196" s="79">
        <v>1</v>
      </c>
      <c r="S196" s="79" t="s">
        <v>62</v>
      </c>
      <c r="T196" s="5" t="s">
        <v>110</v>
      </c>
      <c r="U196" s="9"/>
      <c r="W196" s="86">
        <f t="shared" ref="W196:X204" si="196">D196</f>
        <v>76.8</v>
      </c>
      <c r="X196" s="87">
        <f t="shared" si="196"/>
        <v>23</v>
      </c>
      <c r="Y196" s="92">
        <f t="shared" ref="Y196:Z204" si="197">H196</f>
        <v>69</v>
      </c>
      <c r="Z196" s="90">
        <f t="shared" si="197"/>
        <v>19200</v>
      </c>
      <c r="AA196" s="90">
        <f>K196</f>
        <v>18000</v>
      </c>
      <c r="AB196" s="90">
        <f t="shared" ref="AB196:AD211" si="198">M196</f>
        <v>1200</v>
      </c>
      <c r="AC196" s="4">
        <f t="shared" si="198"/>
        <v>0.9375</v>
      </c>
      <c r="AD196" s="91">
        <f t="shared" si="198"/>
        <v>834.78260869565213</v>
      </c>
      <c r="AE196" s="79" t="str">
        <f>S196</f>
        <v>계</v>
      </c>
      <c r="AF196" s="79" t="str">
        <f>Q196&amp;"/"&amp;R196</f>
        <v>2/1</v>
      </c>
      <c r="AH196" s="20" t="str">
        <f t="shared" ref="AH196:AH259" si="199">IF(A196="","",A196)</f>
        <v>복대동 복대대원</v>
      </c>
      <c r="AI196" s="87">
        <f t="shared" ref="AI196:AI259" si="200">IF(E196="","",E196)</f>
        <v>23</v>
      </c>
      <c r="AJ196" s="79" t="str">
        <f>IF(AI196="","",$AJ$2)</f>
        <v>A-</v>
      </c>
      <c r="AK196" s="79" t="s">
        <v>13</v>
      </c>
      <c r="AL196" s="79" t="s">
        <v>60</v>
      </c>
      <c r="AM196" s="79" t="s">
        <v>61</v>
      </c>
      <c r="AN196" s="79" t="str">
        <f>IF(AI196="","",$AN$2)</f>
        <v>C</v>
      </c>
      <c r="AO196" s="79" t="str">
        <f>IF(N196="","",IF(N196&gt;=$AO$1/100,"O","X"))</f>
        <v>O</v>
      </c>
      <c r="AP196" s="79" t="str">
        <f>IF(I196="","",IF(I196&lt;=$AP$1,"O","X"))</f>
        <v>O</v>
      </c>
      <c r="AQ196" s="79" t="str">
        <f>IF(O196="","",IF(O196&lt;=$AQ$1,"O","X"))</f>
        <v>O</v>
      </c>
      <c r="AR196" s="79" t="str">
        <f>IF(M196="","",IF(M196&lt;=$AR$1,"O","X"))</f>
        <v>O</v>
      </c>
      <c r="AS196" s="79" t="s">
        <v>2</v>
      </c>
      <c r="AT196" s="79" t="str">
        <f>IF(OR(F196="",AI196=""),"",IF(AND((F196&lt;=85),(AI196&gt;=15)),"O","X"))</f>
        <v>O</v>
      </c>
      <c r="AU196" s="79" t="str">
        <f>IF(C196="","",IF(C196&gt;=$AU$1,"O","X"))</f>
        <v>O</v>
      </c>
      <c r="AV196" s="79" t="str">
        <f>IF(AO196="","",IF(AND(AO196="O",AP196="O",AR196="O",AT196="O",AU196="O"),"후보","X"))</f>
        <v>후보</v>
      </c>
    </row>
    <row r="197" spans="1:48" s="37" customFormat="1" ht="12" x14ac:dyDescent="0.3">
      <c r="A197" s="74" t="s">
        <v>1560</v>
      </c>
      <c r="B197" s="75" t="s">
        <v>1563</v>
      </c>
      <c r="C197" s="85">
        <v>812</v>
      </c>
      <c r="D197" s="86">
        <v>83.1</v>
      </c>
      <c r="E197" s="87">
        <v>25</v>
      </c>
      <c r="F197" s="86">
        <v>69.900000000000006</v>
      </c>
      <c r="G197" s="17">
        <v>21</v>
      </c>
      <c r="H197" s="88">
        <v>12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3</v>
      </c>
      <c r="R197" s="79">
        <v>2</v>
      </c>
      <c r="S197" s="79" t="s">
        <v>62</v>
      </c>
      <c r="T197" s="5">
        <v>83</v>
      </c>
      <c r="U197" s="9"/>
      <c r="W197" s="86">
        <f t="shared" si="196"/>
        <v>83.1</v>
      </c>
      <c r="X197" s="87">
        <f t="shared" si="196"/>
        <v>25</v>
      </c>
      <c r="Y197" s="92">
        <f t="shared" si="197"/>
        <v>12</v>
      </c>
      <c r="Z197" s="90">
        <f t="shared" si="197"/>
        <v>0</v>
      </c>
      <c r="AA197" s="90">
        <f>K197</f>
        <v>0</v>
      </c>
      <c r="AB197" s="90">
        <f t="shared" si="198"/>
        <v>0</v>
      </c>
      <c r="AC197" s="4" t="str">
        <f t="shared" si="198"/>
        <v/>
      </c>
      <c r="AD197" s="91">
        <f t="shared" si="198"/>
        <v>0</v>
      </c>
      <c r="AE197" s="79" t="str">
        <f>S197</f>
        <v>계</v>
      </c>
      <c r="AF197" s="79" t="str">
        <f>Q197&amp;"/"&amp;R197</f>
        <v>3/2</v>
      </c>
      <c r="AH197" s="20" t="str">
        <f t="shared" si="199"/>
        <v>복대동 복대대원</v>
      </c>
      <c r="AI197" s="87">
        <f t="shared" si="200"/>
        <v>25</v>
      </c>
      <c r="AJ197" s="79" t="str">
        <f>IF(AI197="","",$AJ$2)</f>
        <v>A-</v>
      </c>
      <c r="AK197" s="79" t="s">
        <v>13</v>
      </c>
      <c r="AL197" s="79" t="s">
        <v>60</v>
      </c>
      <c r="AM197" s="79" t="s">
        <v>61</v>
      </c>
      <c r="AN197" s="79" t="str">
        <f>IF(AI197="","",$AN$2)</f>
        <v>C</v>
      </c>
      <c r="AO197" s="79" t="str">
        <f>IF(N197="","",IF(N197&gt;=$AO$1/100,"O","X"))</f>
        <v/>
      </c>
      <c r="AP197" s="79" t="str">
        <f>IF(I197="","",IF(I197&lt;=$AP$1,"O","X"))</f>
        <v/>
      </c>
      <c r="AQ197" s="79" t="str">
        <f>IF(O197="","",IF(O197&lt;=$AQ$1,"O","X"))</f>
        <v>O</v>
      </c>
      <c r="AR197" s="79" t="str">
        <f>IF(M197="","",IF(M197&lt;=$AR$1,"O","X"))</f>
        <v>O</v>
      </c>
      <c r="AS197" s="79" t="s">
        <v>2</v>
      </c>
      <c r="AT197" s="79" t="str">
        <f>IF(OR(F197="",AI197=""),"",IF(AND((F197&lt;=85),(AI197&gt;=15)),"O","X"))</f>
        <v>O</v>
      </c>
      <c r="AU197" s="79" t="str">
        <f>IF(C197="","",IF(C197&gt;=$AU$1,"O","X"))</f>
        <v>O</v>
      </c>
      <c r="AV197" s="79" t="str">
        <f>IF(AO197="","",IF(AND(AO197="O",AP197="O",AR197="O",AT197="O",AU197="O"),"후보","X"))</f>
        <v/>
      </c>
    </row>
    <row r="198" spans="1:48" s="37" customFormat="1" ht="12" x14ac:dyDescent="0.3">
      <c r="A198" s="74" t="s">
        <v>1560</v>
      </c>
      <c r="B198" s="75" t="s">
        <v>1563</v>
      </c>
      <c r="C198" s="85">
        <v>812</v>
      </c>
      <c r="D198" s="86">
        <v>97.9</v>
      </c>
      <c r="E198" s="87">
        <v>30</v>
      </c>
      <c r="F198" s="86">
        <v>80.3</v>
      </c>
      <c r="G198" s="17">
        <v>24</v>
      </c>
      <c r="H198" s="88">
        <v>298</v>
      </c>
      <c r="I198" s="89">
        <v>21200</v>
      </c>
      <c r="J198" s="89" t="s">
        <v>88</v>
      </c>
      <c r="K198" s="89"/>
      <c r="L198" s="89"/>
      <c r="M198" s="90">
        <f>I198-K198</f>
        <v>21200</v>
      </c>
      <c r="N198" s="4">
        <f>IF(ISERROR(K198/I198),"",K198/I198)</f>
        <v>0</v>
      </c>
      <c r="O198" s="91">
        <f>I198/E198</f>
        <v>706.66666666666663</v>
      </c>
      <c r="P198" s="91">
        <f>K198/E198</f>
        <v>0</v>
      </c>
      <c r="Q198" s="79">
        <v>3</v>
      </c>
      <c r="R198" s="79">
        <v>2</v>
      </c>
      <c r="S198" s="79" t="s">
        <v>62</v>
      </c>
      <c r="T198" s="5">
        <v>97</v>
      </c>
      <c r="U198" s="9"/>
      <c r="W198" s="86">
        <f t="shared" si="196"/>
        <v>97.9</v>
      </c>
      <c r="X198" s="87">
        <f t="shared" si="196"/>
        <v>30</v>
      </c>
      <c r="Y198" s="92">
        <f t="shared" si="197"/>
        <v>298</v>
      </c>
      <c r="Z198" s="90">
        <f t="shared" si="197"/>
        <v>21200</v>
      </c>
      <c r="AA198" s="90">
        <f>K198</f>
        <v>0</v>
      </c>
      <c r="AB198" s="90">
        <f t="shared" si="198"/>
        <v>21200</v>
      </c>
      <c r="AC198" s="4">
        <f t="shared" si="198"/>
        <v>0</v>
      </c>
      <c r="AD198" s="91">
        <f t="shared" si="198"/>
        <v>706.66666666666663</v>
      </c>
      <c r="AE198" s="79" t="str">
        <f>S198</f>
        <v>계</v>
      </c>
      <c r="AF198" s="79" t="str">
        <f>Q198&amp;"/"&amp;R198</f>
        <v>3/2</v>
      </c>
      <c r="AH198" s="20" t="str">
        <f t="shared" si="199"/>
        <v>복대동 복대대원</v>
      </c>
      <c r="AI198" s="87">
        <f t="shared" si="200"/>
        <v>30</v>
      </c>
      <c r="AJ198" s="79" t="str">
        <f>IF(AI198="","",$AJ$2)</f>
        <v>A-</v>
      </c>
      <c r="AK198" s="79" t="s">
        <v>13</v>
      </c>
      <c r="AL198" s="79" t="s">
        <v>60</v>
      </c>
      <c r="AM198" s="79" t="s">
        <v>61</v>
      </c>
      <c r="AN198" s="79" t="str">
        <f>IF(AI198="","",$AN$2)</f>
        <v>C</v>
      </c>
      <c r="AO198" s="79" t="str">
        <f>IF(N198="","",IF(N198&gt;=$AO$1/100,"O","X"))</f>
        <v>X</v>
      </c>
      <c r="AP198" s="79" t="str">
        <f>IF(I198="","",IF(I198&lt;=$AP$1,"O","X"))</f>
        <v>O</v>
      </c>
      <c r="AQ198" s="79" t="str">
        <f>IF(O198="","",IF(O198&lt;=$AQ$1,"O","X"))</f>
        <v>O</v>
      </c>
      <c r="AR198" s="79" t="str">
        <f>IF(M198="","",IF(M198&lt;=$AR$1,"O","X"))</f>
        <v>X</v>
      </c>
      <c r="AS198" s="79" t="s">
        <v>2</v>
      </c>
      <c r="AT198" s="79" t="str">
        <f>IF(OR(F198="",AI198=""),"",IF(AND((F198&lt;=85),(AI198&gt;=15)),"O","X"))</f>
        <v>O</v>
      </c>
      <c r="AU198" s="79" t="str">
        <f>IF(C198="","",IF(C198&gt;=$AU$1,"O","X"))</f>
        <v>O</v>
      </c>
      <c r="AV198" s="79" t="str">
        <f>IF(AO198="","",IF(AND(AO198="O",AP198="O",AR198="O",AT198="O",AU198="O"),"후보","X"))</f>
        <v>X</v>
      </c>
    </row>
    <row r="199" spans="1:48" s="37" customFormat="1" ht="12" x14ac:dyDescent="0.3">
      <c r="A199" s="74" t="s">
        <v>1562</v>
      </c>
      <c r="B199" s="75" t="s">
        <v>1564</v>
      </c>
      <c r="C199" s="85">
        <v>812</v>
      </c>
      <c r="D199" s="86">
        <v>107.6</v>
      </c>
      <c r="E199" s="87">
        <v>33</v>
      </c>
      <c r="F199" s="86">
        <v>85</v>
      </c>
      <c r="G199" s="17">
        <v>26</v>
      </c>
      <c r="H199" s="88">
        <v>264</v>
      </c>
      <c r="I199" s="89">
        <v>25500</v>
      </c>
      <c r="J199" s="89" t="s">
        <v>64</v>
      </c>
      <c r="K199" s="89"/>
      <c r="L199" s="89"/>
      <c r="M199" s="90">
        <f>I199-K199</f>
        <v>25500</v>
      </c>
      <c r="N199" s="4">
        <f>IF(ISERROR(K199/I199),"",K199/I199)</f>
        <v>0</v>
      </c>
      <c r="O199" s="91">
        <f>I199/E199</f>
        <v>772.72727272727275</v>
      </c>
      <c r="P199" s="91">
        <f>K199/E199</f>
        <v>0</v>
      </c>
      <c r="Q199" s="79">
        <v>3</v>
      </c>
      <c r="R199" s="79">
        <v>2</v>
      </c>
      <c r="S199" s="79" t="s">
        <v>62</v>
      </c>
      <c r="T199" s="5">
        <v>107</v>
      </c>
      <c r="U199" s="9"/>
      <c r="W199" s="86">
        <f t="shared" si="196"/>
        <v>107.6</v>
      </c>
      <c r="X199" s="87">
        <f t="shared" si="196"/>
        <v>33</v>
      </c>
      <c r="Y199" s="92">
        <f t="shared" si="197"/>
        <v>264</v>
      </c>
      <c r="Z199" s="90">
        <f t="shared" si="197"/>
        <v>25500</v>
      </c>
      <c r="AA199" s="90">
        <f>K199</f>
        <v>0</v>
      </c>
      <c r="AB199" s="90">
        <f t="shared" si="198"/>
        <v>25500</v>
      </c>
      <c r="AC199" s="4">
        <f t="shared" si="198"/>
        <v>0</v>
      </c>
      <c r="AD199" s="91">
        <f t="shared" si="198"/>
        <v>772.72727272727275</v>
      </c>
      <c r="AE199" s="79" t="str">
        <f>S199</f>
        <v>계</v>
      </c>
      <c r="AF199" s="79" t="str">
        <f>Q199&amp;"/"&amp;R199</f>
        <v>3/2</v>
      </c>
      <c r="AH199" s="20" t="str">
        <f t="shared" si="199"/>
        <v>복대동 복대대원</v>
      </c>
      <c r="AI199" s="87">
        <f t="shared" si="200"/>
        <v>33</v>
      </c>
      <c r="AJ199" s="79" t="str">
        <f>IF(AI199="","",$AJ$2)</f>
        <v>A-</v>
      </c>
      <c r="AK199" s="79" t="s">
        <v>13</v>
      </c>
      <c r="AL199" s="79" t="s">
        <v>60</v>
      </c>
      <c r="AM199" s="79" t="s">
        <v>61</v>
      </c>
      <c r="AN199" s="79" t="str">
        <f>IF(AI199="","",$AN$2)</f>
        <v>C</v>
      </c>
      <c r="AO199" s="79" t="str">
        <f>IF(N199="","",IF(N199&gt;=$AO$1/100,"O","X"))</f>
        <v>X</v>
      </c>
      <c r="AP199" s="79" t="str">
        <f>IF(I199="","",IF(I199&lt;=$AP$1,"O","X"))</f>
        <v>O</v>
      </c>
      <c r="AQ199" s="79" t="str">
        <f>IF(O199="","",IF(O199&lt;=$AQ$1,"O","X"))</f>
        <v>O</v>
      </c>
      <c r="AR199" s="79" t="str">
        <f>IF(M199="","",IF(M199&lt;=$AR$1,"O","X"))</f>
        <v>X</v>
      </c>
      <c r="AS199" s="79" t="s">
        <v>2</v>
      </c>
      <c r="AT199" s="79" t="str">
        <f>IF(OR(F199="",AI199=""),"",IF(AND((F199&lt;=85),(AI199&gt;=15)),"O","X"))</f>
        <v>O</v>
      </c>
      <c r="AU199" s="79" t="str">
        <f>IF(C199="","",IF(C199&gt;=$AU$1,"O","X"))</f>
        <v>O</v>
      </c>
      <c r="AV199" s="79" t="str">
        <f>IF(AO199="","",IF(AND(AO199="O",AP199="O",AR199="O",AT199="O",AU199="O"),"후보","X"))</f>
        <v>X</v>
      </c>
    </row>
    <row r="200" spans="1:48" s="37" customFormat="1" ht="12" x14ac:dyDescent="0.3">
      <c r="A200" s="74" t="s">
        <v>1565</v>
      </c>
      <c r="B200" s="75" t="s">
        <v>1566</v>
      </c>
      <c r="C200" s="85">
        <v>452</v>
      </c>
      <c r="D200" s="86">
        <v>110.8</v>
      </c>
      <c r="E200" s="87">
        <v>34</v>
      </c>
      <c r="F200" s="86">
        <v>84.8</v>
      </c>
      <c r="G200" s="17">
        <v>26</v>
      </c>
      <c r="H200" s="88">
        <v>129</v>
      </c>
      <c r="I200" s="89">
        <v>49000</v>
      </c>
      <c r="J200" s="89" t="s">
        <v>71</v>
      </c>
      <c r="K200" s="89">
        <v>38000</v>
      </c>
      <c r="L200" s="89" t="s">
        <v>71</v>
      </c>
      <c r="M200" s="90">
        <f>I200-K200</f>
        <v>11000</v>
      </c>
      <c r="N200" s="4">
        <f>IF(ISERROR(K200/I200),"",K200/I200)</f>
        <v>0.77551020408163263</v>
      </c>
      <c r="O200" s="91">
        <f>I200/E200</f>
        <v>1441.1764705882354</v>
      </c>
      <c r="P200" s="91">
        <f>K200/E200</f>
        <v>1117.6470588235295</v>
      </c>
      <c r="Q200" s="79">
        <v>3</v>
      </c>
      <c r="R200" s="79">
        <v>2</v>
      </c>
      <c r="S200" s="79" t="s">
        <v>62</v>
      </c>
      <c r="T200" s="5" t="s">
        <v>72</v>
      </c>
      <c r="U200" s="9"/>
      <c r="W200" s="86">
        <f t="shared" si="196"/>
        <v>110.8</v>
      </c>
      <c r="X200" s="87">
        <f t="shared" si="196"/>
        <v>34</v>
      </c>
      <c r="Y200" s="92">
        <f t="shared" si="197"/>
        <v>129</v>
      </c>
      <c r="Z200" s="90">
        <f t="shared" si="197"/>
        <v>49000</v>
      </c>
      <c r="AA200" s="90">
        <f>K200</f>
        <v>38000</v>
      </c>
      <c r="AB200" s="90">
        <f t="shared" si="198"/>
        <v>11000</v>
      </c>
      <c r="AC200" s="4">
        <f t="shared" si="198"/>
        <v>0.77551020408163263</v>
      </c>
      <c r="AD200" s="91">
        <f t="shared" si="198"/>
        <v>1441.1764705882354</v>
      </c>
      <c r="AE200" s="79" t="str">
        <f>S200</f>
        <v>계</v>
      </c>
      <c r="AF200" s="79" t="str">
        <f>Q200&amp;"/"&amp;R200</f>
        <v>3/2</v>
      </c>
      <c r="AH200" s="20" t="str">
        <f t="shared" si="199"/>
        <v>복대동 신영지웰홈스</v>
      </c>
      <c r="AI200" s="87">
        <f t="shared" si="200"/>
        <v>34</v>
      </c>
      <c r="AJ200" s="79" t="str">
        <f>IF(AI200="","",$AJ$2)</f>
        <v>A-</v>
      </c>
      <c r="AK200" s="79" t="s">
        <v>13</v>
      </c>
      <c r="AL200" s="79" t="s">
        <v>60</v>
      </c>
      <c r="AM200" s="79" t="s">
        <v>61</v>
      </c>
      <c r="AN200" s="79" t="str">
        <f>IF(AI200="","",$AN$2)</f>
        <v>C</v>
      </c>
      <c r="AO200" s="79" t="str">
        <f>IF(N200="","",IF(N200&gt;=$AO$1/100,"O","X"))</f>
        <v>X</v>
      </c>
      <c r="AP200" s="79" t="str">
        <f>IF(I200="","",IF(I200&lt;=$AP$1,"O","X"))</f>
        <v>X</v>
      </c>
      <c r="AQ200" s="79" t="str">
        <f>IF(O200="","",IF(O200&lt;=$AQ$1,"O","X"))</f>
        <v>O</v>
      </c>
      <c r="AR200" s="79" t="str">
        <f>IF(M200="","",IF(M200&lt;=$AR$1,"O","X"))</f>
        <v>X</v>
      </c>
      <c r="AS200" s="79" t="s">
        <v>2</v>
      </c>
      <c r="AT200" s="79" t="str">
        <f>IF(OR(F200="",AI200=""),"",IF(AND((F200&lt;=85),(AI200&gt;=15)),"O","X"))</f>
        <v>O</v>
      </c>
      <c r="AU200" s="79" t="str">
        <f>IF(C200="","",IF(C200&gt;=$AU$1,"O","X"))</f>
        <v>O</v>
      </c>
      <c r="AV200" s="79" t="str">
        <f>IF(AO200="","",IF(AND(AO200="O",AP200="O",AR200="O",AT200="O",AU200="O"),"후보","X"))</f>
        <v>X</v>
      </c>
    </row>
    <row r="201" spans="1:48" s="37" customFormat="1" ht="12" x14ac:dyDescent="0.3">
      <c r="A201" s="74" t="s">
        <v>1565</v>
      </c>
      <c r="B201" s="75" t="s">
        <v>1566</v>
      </c>
      <c r="C201" s="85">
        <v>452</v>
      </c>
      <c r="D201" s="86">
        <v>110.8</v>
      </c>
      <c r="E201" s="87">
        <v>34</v>
      </c>
      <c r="F201" s="86">
        <v>84.8</v>
      </c>
      <c r="G201" s="17">
        <v>26</v>
      </c>
      <c r="H201" s="88">
        <v>115</v>
      </c>
      <c r="I201" s="89">
        <v>49000</v>
      </c>
      <c r="J201" s="89" t="s">
        <v>71</v>
      </c>
      <c r="K201" s="89">
        <v>38000</v>
      </c>
      <c r="L201" s="89" t="s">
        <v>71</v>
      </c>
      <c r="M201" s="90">
        <f>I201-K201</f>
        <v>11000</v>
      </c>
      <c r="N201" s="4">
        <f>IF(ISERROR(K201/I201),"",K201/I201)</f>
        <v>0.77551020408163263</v>
      </c>
      <c r="O201" s="91">
        <f>I201/E201</f>
        <v>1441.1764705882354</v>
      </c>
      <c r="P201" s="91">
        <f>K201/E201</f>
        <v>1117.6470588235295</v>
      </c>
      <c r="Q201" s="79">
        <v>3</v>
      </c>
      <c r="R201" s="79">
        <v>2</v>
      </c>
      <c r="S201" s="79" t="s">
        <v>62</v>
      </c>
      <c r="T201" s="5" t="s">
        <v>90</v>
      </c>
      <c r="U201" s="9"/>
      <c r="W201" s="86">
        <f t="shared" si="196"/>
        <v>110.8</v>
      </c>
      <c r="X201" s="87">
        <f t="shared" si="196"/>
        <v>34</v>
      </c>
      <c r="Y201" s="92">
        <f t="shared" si="197"/>
        <v>115</v>
      </c>
      <c r="Z201" s="90">
        <f t="shared" si="197"/>
        <v>49000</v>
      </c>
      <c r="AA201" s="90">
        <f>K201</f>
        <v>38000</v>
      </c>
      <c r="AB201" s="90">
        <f t="shared" si="198"/>
        <v>11000</v>
      </c>
      <c r="AC201" s="4">
        <f t="shared" si="198"/>
        <v>0.77551020408163263</v>
      </c>
      <c r="AD201" s="91">
        <f t="shared" si="198"/>
        <v>1441.1764705882354</v>
      </c>
      <c r="AE201" s="79" t="str">
        <f>S201</f>
        <v>계</v>
      </c>
      <c r="AF201" s="79" t="str">
        <f>Q201&amp;"/"&amp;R201</f>
        <v>3/2</v>
      </c>
      <c r="AH201" s="20" t="str">
        <f t="shared" si="199"/>
        <v>복대동 신영지웰홈스</v>
      </c>
      <c r="AI201" s="87">
        <f t="shared" si="200"/>
        <v>34</v>
      </c>
      <c r="AJ201" s="79" t="str">
        <f>IF(AI201="","",$AJ$2)</f>
        <v>A-</v>
      </c>
      <c r="AK201" s="79" t="s">
        <v>13</v>
      </c>
      <c r="AL201" s="79" t="s">
        <v>60</v>
      </c>
      <c r="AM201" s="79" t="s">
        <v>61</v>
      </c>
      <c r="AN201" s="79" t="str">
        <f>IF(AI201="","",$AN$2)</f>
        <v>C</v>
      </c>
      <c r="AO201" s="79" t="str">
        <f>IF(N201="","",IF(N201&gt;=$AO$1/100,"O","X"))</f>
        <v>X</v>
      </c>
      <c r="AP201" s="79" t="str">
        <f>IF(I201="","",IF(I201&lt;=$AP$1,"O","X"))</f>
        <v>X</v>
      </c>
      <c r="AQ201" s="79" t="str">
        <f>IF(O201="","",IF(O201&lt;=$AQ$1,"O","X"))</f>
        <v>O</v>
      </c>
      <c r="AR201" s="79" t="str">
        <f>IF(M201="","",IF(M201&lt;=$AR$1,"O","X"))</f>
        <v>X</v>
      </c>
      <c r="AS201" s="79" t="s">
        <v>2</v>
      </c>
      <c r="AT201" s="79" t="str">
        <f>IF(OR(F201="",AI201=""),"",IF(AND((F201&lt;=85),(AI201&gt;=15)),"O","X"))</f>
        <v>O</v>
      </c>
      <c r="AU201" s="79" t="str">
        <f>IF(C201="","",IF(C201&gt;=$AU$1,"O","X"))</f>
        <v>O</v>
      </c>
      <c r="AV201" s="79" t="str">
        <f>IF(AO201="","",IF(AND(AO201="O",AP201="O",AR201="O",AT201="O",AU201="O"),"후보","X"))</f>
        <v>X</v>
      </c>
    </row>
    <row r="202" spans="1:48" s="37" customFormat="1" ht="12" x14ac:dyDescent="0.3">
      <c r="A202" s="74" t="s">
        <v>1565</v>
      </c>
      <c r="B202" s="75" t="s">
        <v>1566</v>
      </c>
      <c r="C202" s="85">
        <v>452</v>
      </c>
      <c r="D202" s="86">
        <v>111.5</v>
      </c>
      <c r="E202" s="87">
        <v>34</v>
      </c>
      <c r="F202" s="86">
        <v>84.9</v>
      </c>
      <c r="G202" s="17">
        <v>26</v>
      </c>
      <c r="H202" s="88">
        <v>127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62</v>
      </c>
      <c r="T202" s="5" t="s">
        <v>73</v>
      </c>
      <c r="U202" s="9"/>
      <c r="W202" s="86">
        <f t="shared" si="196"/>
        <v>111.5</v>
      </c>
      <c r="X202" s="87">
        <f t="shared" si="196"/>
        <v>34</v>
      </c>
      <c r="Y202" s="92">
        <f t="shared" si="197"/>
        <v>127</v>
      </c>
      <c r="Z202" s="90">
        <f t="shared" si="197"/>
        <v>0</v>
      </c>
      <c r="AA202" s="90">
        <f>K202</f>
        <v>0</v>
      </c>
      <c r="AB202" s="90">
        <f t="shared" si="198"/>
        <v>0</v>
      </c>
      <c r="AC202" s="4" t="str">
        <f t="shared" si="198"/>
        <v/>
      </c>
      <c r="AD202" s="91">
        <f t="shared" si="198"/>
        <v>0</v>
      </c>
      <c r="AE202" s="79" t="str">
        <f>S202</f>
        <v>계</v>
      </c>
      <c r="AF202" s="79" t="str">
        <f>Q202&amp;"/"&amp;R202</f>
        <v>3/2</v>
      </c>
      <c r="AH202" s="20" t="str">
        <f t="shared" si="199"/>
        <v>복대동 신영지웰홈스</v>
      </c>
      <c r="AI202" s="87">
        <f t="shared" si="200"/>
        <v>34</v>
      </c>
      <c r="AJ202" s="79" t="str">
        <f>IF(AI202="","",$AJ$2)</f>
        <v>A-</v>
      </c>
      <c r="AK202" s="79" t="s">
        <v>13</v>
      </c>
      <c r="AL202" s="79" t="s">
        <v>60</v>
      </c>
      <c r="AM202" s="79" t="s">
        <v>61</v>
      </c>
      <c r="AN202" s="79" t="str">
        <f>IF(AI202="","",$AN$2)</f>
        <v>C</v>
      </c>
      <c r="AO202" s="79" t="str">
        <f>IF(N202="","",IF(N202&gt;=$AO$1/100,"O","X"))</f>
        <v/>
      </c>
      <c r="AP202" s="79" t="str">
        <f>IF(I202="","",IF(I202&lt;=$AP$1,"O","X"))</f>
        <v/>
      </c>
      <c r="AQ202" s="79" t="str">
        <f>IF(O202="","",IF(O202&lt;=$AQ$1,"O","X"))</f>
        <v>O</v>
      </c>
      <c r="AR202" s="79" t="str">
        <f>IF(M202="","",IF(M202&lt;=$AR$1,"O","X"))</f>
        <v>O</v>
      </c>
      <c r="AS202" s="79" t="s">
        <v>2</v>
      </c>
      <c r="AT202" s="79" t="str">
        <f>IF(OR(F202="",AI202=""),"",IF(AND((F202&lt;=85),(AI202&gt;=15)),"O","X"))</f>
        <v>O</v>
      </c>
      <c r="AU202" s="79" t="str">
        <f>IF(C202="","",IF(C202&gt;=$AU$1,"O","X"))</f>
        <v>O</v>
      </c>
      <c r="AV202" s="79" t="str">
        <f>IF(AO202="","",IF(AND(AO202="O",AP202="O",AR202="O",AT202="O",AU202="O"),"후보","X"))</f>
        <v/>
      </c>
    </row>
    <row r="203" spans="1:48" s="37" customFormat="1" ht="12" x14ac:dyDescent="0.3">
      <c r="A203" s="74" t="s">
        <v>1565</v>
      </c>
      <c r="B203" s="75" t="s">
        <v>1566</v>
      </c>
      <c r="C203" s="85">
        <v>452</v>
      </c>
      <c r="D203" s="86">
        <v>156.80000000000001</v>
      </c>
      <c r="E203" s="87">
        <v>47</v>
      </c>
      <c r="F203" s="86">
        <v>124.9</v>
      </c>
      <c r="G203" s="17">
        <v>38</v>
      </c>
      <c r="H203" s="88">
        <v>78</v>
      </c>
      <c r="I203" s="89">
        <v>77000</v>
      </c>
      <c r="J203" s="89" t="s">
        <v>89</v>
      </c>
      <c r="K203" s="89"/>
      <c r="L203" s="89"/>
      <c r="M203" s="90">
        <f>I203-K203</f>
        <v>77000</v>
      </c>
      <c r="N203" s="4">
        <f>IF(ISERROR(K203/I203),"",K203/I203)</f>
        <v>0</v>
      </c>
      <c r="O203" s="91">
        <f>I203/E203</f>
        <v>1638.2978723404256</v>
      </c>
      <c r="P203" s="91">
        <f>K203/E203</f>
        <v>0</v>
      </c>
      <c r="Q203" s="79">
        <v>4</v>
      </c>
      <c r="R203" s="79">
        <v>2</v>
      </c>
      <c r="S203" s="79" t="s">
        <v>62</v>
      </c>
      <c r="T203" s="5">
        <v>156</v>
      </c>
      <c r="U203" s="9"/>
      <c r="W203" s="86">
        <f t="shared" si="196"/>
        <v>156.80000000000001</v>
      </c>
      <c r="X203" s="87">
        <f t="shared" si="196"/>
        <v>47</v>
      </c>
      <c r="Y203" s="92">
        <f t="shared" si="197"/>
        <v>78</v>
      </c>
      <c r="Z203" s="90">
        <f t="shared" si="197"/>
        <v>77000</v>
      </c>
      <c r="AA203" s="90">
        <f>K203</f>
        <v>0</v>
      </c>
      <c r="AB203" s="90">
        <f t="shared" si="198"/>
        <v>77000</v>
      </c>
      <c r="AC203" s="4">
        <f t="shared" si="198"/>
        <v>0</v>
      </c>
      <c r="AD203" s="91">
        <f t="shared" si="198"/>
        <v>1638.2978723404256</v>
      </c>
      <c r="AE203" s="79" t="str">
        <f>S203</f>
        <v>계</v>
      </c>
      <c r="AF203" s="79" t="str">
        <f>Q203&amp;"/"&amp;R203</f>
        <v>4/2</v>
      </c>
      <c r="AH203" s="20" t="str">
        <f t="shared" si="199"/>
        <v>복대동 신영지웰홈스</v>
      </c>
      <c r="AI203" s="87">
        <f t="shared" si="200"/>
        <v>47</v>
      </c>
      <c r="AJ203" s="79" t="str">
        <f>IF(AI203="","",$AJ$2)</f>
        <v>A-</v>
      </c>
      <c r="AK203" s="79" t="s">
        <v>13</v>
      </c>
      <c r="AL203" s="79" t="s">
        <v>60</v>
      </c>
      <c r="AM203" s="79" t="s">
        <v>61</v>
      </c>
      <c r="AN203" s="79" t="str">
        <f>IF(AI203="","",$AN$2)</f>
        <v>C</v>
      </c>
      <c r="AO203" s="79" t="str">
        <f>IF(N203="","",IF(N203&gt;=$AO$1/100,"O","X"))</f>
        <v>X</v>
      </c>
      <c r="AP203" s="79" t="str">
        <f>IF(I203="","",IF(I203&lt;=$AP$1,"O","X"))</f>
        <v>X</v>
      </c>
      <c r="AQ203" s="79" t="str">
        <f>IF(O203="","",IF(O203&lt;=$AQ$1,"O","X"))</f>
        <v>X</v>
      </c>
      <c r="AR203" s="79" t="str">
        <f>IF(M203="","",IF(M203&lt;=$AR$1,"O","X"))</f>
        <v>X</v>
      </c>
      <c r="AS203" s="79" t="s">
        <v>2</v>
      </c>
      <c r="AT203" s="79" t="str">
        <f>IF(OR(F203="",AI203=""),"",IF(AND((F203&lt;=85),(AI203&gt;=15)),"O","X"))</f>
        <v>X</v>
      </c>
      <c r="AU203" s="79" t="str">
        <f>IF(C203="","",IF(C203&gt;=$AU$1,"O","X"))</f>
        <v>O</v>
      </c>
      <c r="AV203" s="79" t="str">
        <f>IF(AO203="","",IF(AND(AO203="O",AP203="O",AR203="O",AT203="O",AU203="O"),"후보","X"))</f>
        <v>X</v>
      </c>
    </row>
    <row r="204" spans="1:48" s="37" customFormat="1" ht="12" x14ac:dyDescent="0.3">
      <c r="A204" s="74" t="s">
        <v>1565</v>
      </c>
      <c r="B204" s="75" t="s">
        <v>1566</v>
      </c>
      <c r="C204" s="85">
        <v>452</v>
      </c>
      <c r="D204" s="86">
        <v>225.6</v>
      </c>
      <c r="E204" s="87">
        <v>68</v>
      </c>
      <c r="F204" s="86">
        <v>176.9</v>
      </c>
      <c r="G204" s="17">
        <v>54</v>
      </c>
      <c r="H204" s="88">
        <v>3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4</v>
      </c>
      <c r="R204" s="79">
        <v>3</v>
      </c>
      <c r="S204" s="79" t="s">
        <v>62</v>
      </c>
      <c r="T204" s="5">
        <v>225</v>
      </c>
      <c r="U204" s="9"/>
      <c r="W204" s="86">
        <f t="shared" si="196"/>
        <v>225.6</v>
      </c>
      <c r="X204" s="87">
        <f t="shared" si="196"/>
        <v>68</v>
      </c>
      <c r="Y204" s="92">
        <f t="shared" si="197"/>
        <v>3</v>
      </c>
      <c r="Z204" s="90">
        <f t="shared" si="197"/>
        <v>0</v>
      </c>
      <c r="AA204" s="90">
        <f>K204</f>
        <v>0</v>
      </c>
      <c r="AB204" s="90">
        <f t="shared" si="198"/>
        <v>0</v>
      </c>
      <c r="AC204" s="4" t="str">
        <f t="shared" si="198"/>
        <v/>
      </c>
      <c r="AD204" s="91">
        <f t="shared" si="198"/>
        <v>0</v>
      </c>
      <c r="AE204" s="79" t="str">
        <f>S204</f>
        <v>계</v>
      </c>
      <c r="AF204" s="79" t="str">
        <f>Q204&amp;"/"&amp;R204</f>
        <v>4/3</v>
      </c>
      <c r="AH204" s="20" t="str">
        <f t="shared" si="199"/>
        <v>복대동 신영지웰홈스</v>
      </c>
      <c r="AI204" s="87">
        <f t="shared" si="200"/>
        <v>68</v>
      </c>
      <c r="AJ204" s="79" t="str">
        <f>IF(AI204="","",$AJ$2)</f>
        <v>A-</v>
      </c>
      <c r="AK204" s="79" t="s">
        <v>13</v>
      </c>
      <c r="AL204" s="79" t="s">
        <v>60</v>
      </c>
      <c r="AM204" s="79" t="s">
        <v>61</v>
      </c>
      <c r="AN204" s="79" t="str">
        <f>IF(AI204="","",$AN$2)</f>
        <v>C</v>
      </c>
      <c r="AO204" s="79" t="str">
        <f>IF(N204="","",IF(N204&gt;=$AO$1/100,"O","X"))</f>
        <v/>
      </c>
      <c r="AP204" s="79" t="str">
        <f>IF(I204="","",IF(I204&lt;=$AP$1,"O","X"))</f>
        <v/>
      </c>
      <c r="AQ204" s="79" t="str">
        <f>IF(O204="","",IF(O204&lt;=$AQ$1,"O","X"))</f>
        <v>O</v>
      </c>
      <c r="AR204" s="79" t="str">
        <f>IF(M204="","",IF(M204&lt;=$AR$1,"O","X"))</f>
        <v>O</v>
      </c>
      <c r="AS204" s="79" t="s">
        <v>2</v>
      </c>
      <c r="AT204" s="79" t="str">
        <f>IF(OR(F204="",AI204=""),"",IF(AND((F204&lt;=85),(AI204&gt;=15)),"O","X"))</f>
        <v>X</v>
      </c>
      <c r="AU204" s="79" t="str">
        <f>IF(C204="","",IF(C204&gt;=$AU$1,"O","X"))</f>
        <v>O</v>
      </c>
      <c r="AV204" s="79" t="str">
        <f>IF(AO204="","",IF(AND(AO204="O",AP204="O",AR204="O",AT204="O",AU204="O"),"후보","X"))</f>
        <v/>
      </c>
    </row>
    <row r="205" spans="1:48" s="37" customFormat="1" ht="12" x14ac:dyDescent="0.3">
      <c r="A205" s="74" t="s">
        <v>1567</v>
      </c>
      <c r="B205" s="75" t="s">
        <v>1568</v>
      </c>
      <c r="C205" s="85">
        <v>952</v>
      </c>
      <c r="D205" s="86">
        <v>76.3</v>
      </c>
      <c r="E205" s="87">
        <v>23</v>
      </c>
      <c r="F205" s="86">
        <v>59.3</v>
      </c>
      <c r="G205" s="17">
        <v>18</v>
      </c>
      <c r="H205" s="88">
        <v>734</v>
      </c>
      <c r="I205" s="89">
        <v>20000</v>
      </c>
      <c r="J205" s="89" t="s">
        <v>64</v>
      </c>
      <c r="K205" s="89">
        <v>21000</v>
      </c>
      <c r="L205" s="89" t="s">
        <v>79</v>
      </c>
      <c r="M205" s="90">
        <f>I205-K205</f>
        <v>-1000</v>
      </c>
      <c r="N205" s="4">
        <f>IF(ISERROR(K205/I205),"",K205/I205)</f>
        <v>1.05</v>
      </c>
      <c r="O205" s="91">
        <f>I205/E205</f>
        <v>869.56521739130437</v>
      </c>
      <c r="P205" s="91">
        <f>K205/E205</f>
        <v>913.04347826086962</v>
      </c>
      <c r="Q205" s="79">
        <v>3</v>
      </c>
      <c r="R205" s="79">
        <v>1</v>
      </c>
      <c r="S205" s="79" t="s">
        <v>62</v>
      </c>
      <c r="T205" s="5" t="s">
        <v>111</v>
      </c>
      <c r="U205" s="9"/>
      <c r="W205" s="86">
        <f>D205</f>
        <v>76.3</v>
      </c>
      <c r="X205" s="87">
        <f>E205</f>
        <v>23</v>
      </c>
      <c r="Y205" s="92">
        <f>H205</f>
        <v>734</v>
      </c>
      <c r="Z205" s="90">
        <f>I205</f>
        <v>20000</v>
      </c>
      <c r="AA205" s="90">
        <f>K205</f>
        <v>21000</v>
      </c>
      <c r="AB205" s="90">
        <f t="shared" si="198"/>
        <v>-1000</v>
      </c>
      <c r="AC205" s="4">
        <f t="shared" si="198"/>
        <v>1.05</v>
      </c>
      <c r="AD205" s="91">
        <f t="shared" si="198"/>
        <v>869.56521739130437</v>
      </c>
      <c r="AE205" s="79" t="str">
        <f>S205</f>
        <v>계</v>
      </c>
      <c r="AF205" s="79" t="str">
        <f>Q205&amp;"/"&amp;R205</f>
        <v>3/1</v>
      </c>
      <c r="AH205" s="20" t="str">
        <f t="shared" si="199"/>
        <v>복대동 영조아름다운나날1차</v>
      </c>
      <c r="AI205" s="87">
        <f t="shared" si="200"/>
        <v>23</v>
      </c>
      <c r="AJ205" s="79" t="str">
        <f>IF(AI205="","",$AJ$2)</f>
        <v>A-</v>
      </c>
      <c r="AK205" s="79" t="s">
        <v>13</v>
      </c>
      <c r="AL205" s="79" t="s">
        <v>60</v>
      </c>
      <c r="AM205" s="79" t="s">
        <v>61</v>
      </c>
      <c r="AN205" s="79" t="str">
        <f>IF(AI205="","",$AN$2)</f>
        <v>C</v>
      </c>
      <c r="AO205" s="79" t="str">
        <f>IF(N205="","",IF(N205&gt;=$AO$1/100,"O","X"))</f>
        <v>O</v>
      </c>
      <c r="AP205" s="79" t="str">
        <f>IF(I205="","",IF(I205&lt;=$AP$1,"O","X"))</f>
        <v>O</v>
      </c>
      <c r="AQ205" s="79" t="str">
        <f>IF(O205="","",IF(O205&lt;=$AQ$1,"O","X"))</f>
        <v>O</v>
      </c>
      <c r="AR205" s="79" t="str">
        <f>IF(M205="","",IF(M205&lt;=$AR$1,"O","X"))</f>
        <v>O</v>
      </c>
      <c r="AS205" s="79" t="s">
        <v>2</v>
      </c>
      <c r="AT205" s="79" t="str">
        <f>IF(OR(F205="",AI205=""),"",IF(AND((F205&lt;=85),(AI205&gt;=15)),"O","X"))</f>
        <v>O</v>
      </c>
      <c r="AU205" s="79" t="str">
        <f>IF(C205="","",IF(C205&gt;=$AU$1,"O","X"))</f>
        <v>O</v>
      </c>
      <c r="AV205" s="79" t="str">
        <f>IF(AO205="","",IF(AND(AO205="O",AP205="O",AR205="O",AT205="O",AU205="O"),"후보","X"))</f>
        <v>후보</v>
      </c>
    </row>
    <row r="206" spans="1:48" s="37" customFormat="1" ht="12" x14ac:dyDescent="0.3">
      <c r="A206" s="74" t="s">
        <v>1567</v>
      </c>
      <c r="B206" s="75" t="s">
        <v>1568</v>
      </c>
      <c r="C206" s="85">
        <v>952</v>
      </c>
      <c r="D206" s="86">
        <v>76.400000000000006</v>
      </c>
      <c r="E206" s="87">
        <v>23</v>
      </c>
      <c r="F206" s="86">
        <v>59.3</v>
      </c>
      <c r="G206" s="17">
        <v>18</v>
      </c>
      <c r="H206" s="88">
        <v>218</v>
      </c>
      <c r="I206" s="89">
        <v>22000</v>
      </c>
      <c r="J206" s="89" t="s">
        <v>92</v>
      </c>
      <c r="K206" s="89">
        <v>19000</v>
      </c>
      <c r="L206" s="89" t="s">
        <v>64</v>
      </c>
      <c r="M206" s="90">
        <f>I206-K206</f>
        <v>3000</v>
      </c>
      <c r="N206" s="4">
        <f>IF(ISERROR(K206/I206),"",K206/I206)</f>
        <v>0.86363636363636365</v>
      </c>
      <c r="O206" s="91">
        <f>I206/E206</f>
        <v>956.52173913043475</v>
      </c>
      <c r="P206" s="91">
        <f>K206/E206</f>
        <v>826.08695652173913</v>
      </c>
      <c r="Q206" s="79">
        <v>3</v>
      </c>
      <c r="R206" s="79">
        <v>1</v>
      </c>
      <c r="S206" s="79" t="s">
        <v>62</v>
      </c>
      <c r="T206" s="5" t="s">
        <v>110</v>
      </c>
      <c r="U206" s="9"/>
      <c r="W206" s="86">
        <f>D206</f>
        <v>76.400000000000006</v>
      </c>
      <c r="X206" s="87">
        <f>E206</f>
        <v>23</v>
      </c>
      <c r="Y206" s="92">
        <f>H206</f>
        <v>218</v>
      </c>
      <c r="Z206" s="90">
        <f>I206</f>
        <v>22000</v>
      </c>
      <c r="AA206" s="90">
        <f>K206</f>
        <v>19000</v>
      </c>
      <c r="AB206" s="90">
        <f t="shared" si="198"/>
        <v>3000</v>
      </c>
      <c r="AC206" s="4">
        <f t="shared" si="198"/>
        <v>0.86363636363636365</v>
      </c>
      <c r="AD206" s="91">
        <f t="shared" si="198"/>
        <v>956.52173913043475</v>
      </c>
      <c r="AE206" s="79" t="str">
        <f>S206</f>
        <v>계</v>
      </c>
      <c r="AF206" s="79" t="str">
        <f>Q206&amp;"/"&amp;R206</f>
        <v>3/1</v>
      </c>
      <c r="AH206" s="20" t="str">
        <f t="shared" si="199"/>
        <v>복대동 영조아름다운나날1차</v>
      </c>
      <c r="AI206" s="87">
        <f t="shared" si="200"/>
        <v>23</v>
      </c>
      <c r="AJ206" s="79" t="str">
        <f>IF(AI206="","",$AJ$2)</f>
        <v>A-</v>
      </c>
      <c r="AK206" s="79" t="s">
        <v>13</v>
      </c>
      <c r="AL206" s="79" t="s">
        <v>60</v>
      </c>
      <c r="AM206" s="79" t="s">
        <v>61</v>
      </c>
      <c r="AN206" s="79" t="str">
        <f>IF(AI206="","",$AN$2)</f>
        <v>C</v>
      </c>
      <c r="AO206" s="79" t="str">
        <f>IF(N206="","",IF(N206&gt;=$AO$1/100,"O","X"))</f>
        <v>O</v>
      </c>
      <c r="AP206" s="79" t="str">
        <f>IF(I206="","",IF(I206&lt;=$AP$1,"O","X"))</f>
        <v>O</v>
      </c>
      <c r="AQ206" s="79" t="str">
        <f>IF(O206="","",IF(O206&lt;=$AQ$1,"O","X"))</f>
        <v>O</v>
      </c>
      <c r="AR206" s="79" t="str">
        <f>IF(M206="","",IF(M206&lt;=$AR$1,"O","X"))</f>
        <v>O</v>
      </c>
      <c r="AS206" s="79" t="s">
        <v>2</v>
      </c>
      <c r="AT206" s="79" t="str">
        <f>IF(OR(F206="",AI206=""),"",IF(AND((F206&lt;=85),(AI206&gt;=15)),"O","X"))</f>
        <v>O</v>
      </c>
      <c r="AU206" s="79" t="str">
        <f>IF(C206="","",IF(C206&gt;=$AU$1,"O","X"))</f>
        <v>O</v>
      </c>
      <c r="AV206" s="79" t="str">
        <f>IF(AO206="","",IF(AND(AO206="O",AP206="O",AR206="O",AT206="O",AU206="O"),"후보","X"))</f>
        <v>후보</v>
      </c>
    </row>
    <row r="207" spans="1:48" s="37" customFormat="1" ht="12" x14ac:dyDescent="0.3">
      <c r="A207" s="74" t="s">
        <v>1569</v>
      </c>
      <c r="B207" s="75" t="s">
        <v>1538</v>
      </c>
      <c r="C207" s="85">
        <v>1464</v>
      </c>
      <c r="D207" s="86">
        <v>77.400000000000006</v>
      </c>
      <c r="E207" s="87">
        <v>23</v>
      </c>
      <c r="F207" s="86">
        <v>60</v>
      </c>
      <c r="G207" s="17">
        <v>18</v>
      </c>
      <c r="H207" s="88">
        <v>1158</v>
      </c>
      <c r="I207" s="89">
        <v>21500</v>
      </c>
      <c r="J207" s="89" t="s">
        <v>83</v>
      </c>
      <c r="K207" s="89">
        <v>22000</v>
      </c>
      <c r="L207" s="89" t="s">
        <v>81</v>
      </c>
      <c r="M207" s="90">
        <f>I207-K207</f>
        <v>-500</v>
      </c>
      <c r="N207" s="4">
        <f>IF(ISERROR(K207/I207),"",K207/I207)</f>
        <v>1.0232558139534884</v>
      </c>
      <c r="O207" s="91">
        <f>I207/E207</f>
        <v>934.78260869565213</v>
      </c>
      <c r="P207" s="91">
        <f>K207/E207</f>
        <v>956.52173913043475</v>
      </c>
      <c r="Q207" s="79">
        <v>3</v>
      </c>
      <c r="R207" s="79">
        <v>2</v>
      </c>
      <c r="S207" s="79" t="s">
        <v>62</v>
      </c>
      <c r="T207" s="5" t="s">
        <v>148</v>
      </c>
      <c r="U207" s="9"/>
      <c r="W207" s="86">
        <f>D207</f>
        <v>77.400000000000006</v>
      </c>
      <c r="X207" s="87">
        <f>E207</f>
        <v>23</v>
      </c>
      <c r="Y207" s="92">
        <f>H207</f>
        <v>1158</v>
      </c>
      <c r="Z207" s="90">
        <f>I207</f>
        <v>21500</v>
      </c>
      <c r="AA207" s="90">
        <f>K207</f>
        <v>22000</v>
      </c>
      <c r="AB207" s="90">
        <f t="shared" si="198"/>
        <v>-500</v>
      </c>
      <c r="AC207" s="4">
        <f t="shared" si="198"/>
        <v>1.0232558139534884</v>
      </c>
      <c r="AD207" s="91">
        <f t="shared" si="198"/>
        <v>934.78260869565213</v>
      </c>
      <c r="AE207" s="79" t="str">
        <f>S207</f>
        <v>계</v>
      </c>
      <c r="AF207" s="79" t="str">
        <f>Q207&amp;"/"&amp;R207</f>
        <v>3/2</v>
      </c>
      <c r="AH207" s="20" t="str">
        <f t="shared" si="199"/>
        <v>복대동 현대2차</v>
      </c>
      <c r="AI207" s="87">
        <f t="shared" si="200"/>
        <v>23</v>
      </c>
      <c r="AJ207" s="79" t="str">
        <f>IF(AI207="","",$AJ$2)</f>
        <v>A-</v>
      </c>
      <c r="AK207" s="79" t="s">
        <v>13</v>
      </c>
      <c r="AL207" s="79" t="s">
        <v>60</v>
      </c>
      <c r="AM207" s="79" t="s">
        <v>61</v>
      </c>
      <c r="AN207" s="79" t="str">
        <f>IF(AI207="","",$AN$2)</f>
        <v>C</v>
      </c>
      <c r="AO207" s="79" t="str">
        <f>IF(N207="","",IF(N207&gt;=$AO$1/100,"O","X"))</f>
        <v>O</v>
      </c>
      <c r="AP207" s="79" t="str">
        <f>IF(I207="","",IF(I207&lt;=$AP$1,"O","X"))</f>
        <v>O</v>
      </c>
      <c r="AQ207" s="79" t="str">
        <f>IF(O207="","",IF(O207&lt;=$AQ$1,"O","X"))</f>
        <v>O</v>
      </c>
      <c r="AR207" s="79" t="str">
        <f>IF(M207="","",IF(M207&lt;=$AR$1,"O","X"))</f>
        <v>O</v>
      </c>
      <c r="AS207" s="79" t="s">
        <v>2</v>
      </c>
      <c r="AT207" s="79" t="str">
        <f>IF(OR(F207="",AI207=""),"",IF(AND((F207&lt;=85),(AI207&gt;=15)),"O","X"))</f>
        <v>O</v>
      </c>
      <c r="AU207" s="79" t="str">
        <f>IF(C207="","",IF(C207&gt;=$AU$1,"O","X"))</f>
        <v>O</v>
      </c>
      <c r="AV207" s="79" t="str">
        <f>IF(AO207="","",IF(AND(AO207="O",AP207="O",AR207="O",AT207="O",AU207="O"),"후보","X"))</f>
        <v>후보</v>
      </c>
    </row>
    <row r="208" spans="1:48" s="37" customFormat="1" ht="12" x14ac:dyDescent="0.3">
      <c r="A208" s="74" t="s">
        <v>1569</v>
      </c>
      <c r="B208" s="75" t="s">
        <v>1538</v>
      </c>
      <c r="C208" s="85">
        <v>1464</v>
      </c>
      <c r="D208" s="86">
        <v>77.5</v>
      </c>
      <c r="E208" s="87">
        <v>23</v>
      </c>
      <c r="F208" s="86">
        <v>59.9</v>
      </c>
      <c r="G208" s="17">
        <v>18</v>
      </c>
      <c r="H208" s="88">
        <v>306</v>
      </c>
      <c r="I208" s="89">
        <v>22000</v>
      </c>
      <c r="J208" s="89" t="s">
        <v>97</v>
      </c>
      <c r="K208" s="89">
        <v>22000</v>
      </c>
      <c r="L208" s="89" t="s">
        <v>102</v>
      </c>
      <c r="M208" s="90">
        <f>I208-K208</f>
        <v>0</v>
      </c>
      <c r="N208" s="4">
        <f>IF(ISERROR(K208/I208),"",K208/I208)</f>
        <v>1</v>
      </c>
      <c r="O208" s="91">
        <f>I208/E208</f>
        <v>956.52173913043475</v>
      </c>
      <c r="P208" s="91">
        <f>K208/E208</f>
        <v>956.52173913043475</v>
      </c>
      <c r="Q208" s="79">
        <v>2</v>
      </c>
      <c r="R208" s="79">
        <v>1</v>
      </c>
      <c r="S208" s="79" t="s">
        <v>62</v>
      </c>
      <c r="T208" s="5" t="s">
        <v>149</v>
      </c>
      <c r="U208" s="9"/>
      <c r="W208" s="86">
        <f>D208</f>
        <v>77.5</v>
      </c>
      <c r="X208" s="87">
        <f>E208</f>
        <v>23</v>
      </c>
      <c r="Y208" s="92">
        <f>H208</f>
        <v>306</v>
      </c>
      <c r="Z208" s="90">
        <f>I208</f>
        <v>22000</v>
      </c>
      <c r="AA208" s="90">
        <f>K208</f>
        <v>22000</v>
      </c>
      <c r="AB208" s="90">
        <f t="shared" si="198"/>
        <v>0</v>
      </c>
      <c r="AC208" s="4">
        <f t="shared" si="198"/>
        <v>1</v>
      </c>
      <c r="AD208" s="91">
        <f t="shared" si="198"/>
        <v>956.52173913043475</v>
      </c>
      <c r="AE208" s="79" t="str">
        <f>S208</f>
        <v>계</v>
      </c>
      <c r="AF208" s="79" t="str">
        <f>Q208&amp;"/"&amp;R208</f>
        <v>2/1</v>
      </c>
      <c r="AH208" s="20" t="str">
        <f t="shared" si="199"/>
        <v>복대동 현대2차</v>
      </c>
      <c r="AI208" s="87">
        <f t="shared" si="200"/>
        <v>23</v>
      </c>
      <c r="AJ208" s="79" t="str">
        <f>IF(AI208="","",$AJ$2)</f>
        <v>A-</v>
      </c>
      <c r="AK208" s="79" t="s">
        <v>13</v>
      </c>
      <c r="AL208" s="79" t="s">
        <v>60</v>
      </c>
      <c r="AM208" s="79" t="s">
        <v>61</v>
      </c>
      <c r="AN208" s="79" t="str">
        <f>IF(AI208="","",$AN$2)</f>
        <v>C</v>
      </c>
      <c r="AO208" s="79" t="str">
        <f>IF(N208="","",IF(N208&gt;=$AO$1/100,"O","X"))</f>
        <v>O</v>
      </c>
      <c r="AP208" s="79" t="str">
        <f>IF(I208="","",IF(I208&lt;=$AP$1,"O","X"))</f>
        <v>O</v>
      </c>
      <c r="AQ208" s="79" t="str">
        <f>IF(O208="","",IF(O208&lt;=$AQ$1,"O","X"))</f>
        <v>O</v>
      </c>
      <c r="AR208" s="79" t="str">
        <f>IF(M208="","",IF(M208&lt;=$AR$1,"O","X"))</f>
        <v>O</v>
      </c>
      <c r="AS208" s="79" t="s">
        <v>2</v>
      </c>
      <c r="AT208" s="79" t="str">
        <f>IF(OR(F208="",AI208=""),"",IF(AND((F208&lt;=85),(AI208&gt;=15)),"O","X"))</f>
        <v>O</v>
      </c>
      <c r="AU208" s="79" t="str">
        <f>IF(C208="","",IF(C208&gt;=$AU$1,"O","X"))</f>
        <v>O</v>
      </c>
      <c r="AV208" s="79" t="str">
        <f>IF(AO208="","",IF(AND(AO208="O",AP208="O",AR208="O",AT208="O",AU208="O"),"후보","X"))</f>
        <v>후보</v>
      </c>
    </row>
    <row r="209" spans="1:48" s="37" customFormat="1" ht="12" x14ac:dyDescent="0.3">
      <c r="A209" s="74" t="s">
        <v>1570</v>
      </c>
      <c r="B209" s="75" t="s">
        <v>1571</v>
      </c>
      <c r="C209" s="85">
        <v>293</v>
      </c>
      <c r="D209" s="86">
        <v>101.4</v>
      </c>
      <c r="E209" s="87">
        <v>31</v>
      </c>
      <c r="F209" s="86">
        <v>74.900000000000006</v>
      </c>
      <c r="G209" s="17">
        <v>23</v>
      </c>
      <c r="H209" s="88">
        <v>126</v>
      </c>
      <c r="I209" s="89">
        <v>51000</v>
      </c>
      <c r="J209" s="89">
        <v>11</v>
      </c>
      <c r="K209" s="89">
        <v>39000</v>
      </c>
      <c r="L209" s="89">
        <v>7</v>
      </c>
      <c r="M209" s="90">
        <f>I209-K209</f>
        <v>12000</v>
      </c>
      <c r="N209" s="4">
        <f>IF(ISERROR(K209/I209),"",K209/I209)</f>
        <v>0.76470588235294112</v>
      </c>
      <c r="O209" s="91">
        <f>I209/E209</f>
        <v>1645.1612903225807</v>
      </c>
      <c r="P209" s="91">
        <f>K209/E209</f>
        <v>1258.0645161290322</v>
      </c>
      <c r="Q209" s="79">
        <v>3</v>
      </c>
      <c r="R209" s="79">
        <v>2</v>
      </c>
      <c r="S209" s="79" t="s">
        <v>62</v>
      </c>
      <c r="T209" s="5" t="s">
        <v>150</v>
      </c>
      <c r="U209" s="9"/>
      <c r="W209" s="86">
        <f t="shared" ref="W209:X214" si="201">D209</f>
        <v>101.4</v>
      </c>
      <c r="X209" s="87">
        <f t="shared" si="201"/>
        <v>31</v>
      </c>
      <c r="Y209" s="92">
        <f t="shared" ref="Y209:Z214" si="202">H209</f>
        <v>126</v>
      </c>
      <c r="Z209" s="90">
        <f t="shared" si="202"/>
        <v>51000</v>
      </c>
      <c r="AA209" s="90">
        <f>K209</f>
        <v>39000</v>
      </c>
      <c r="AB209" s="90">
        <f t="shared" si="198"/>
        <v>12000</v>
      </c>
      <c r="AC209" s="4">
        <f t="shared" si="198"/>
        <v>0.76470588235294112</v>
      </c>
      <c r="AD209" s="91">
        <f t="shared" si="198"/>
        <v>1645.1612903225807</v>
      </c>
      <c r="AE209" s="79" t="str">
        <f>S209</f>
        <v>계</v>
      </c>
      <c r="AF209" s="79" t="str">
        <f>Q209&amp;"/"&amp;R209</f>
        <v>3/2</v>
      </c>
      <c r="AH209" s="20" t="str">
        <f t="shared" si="199"/>
        <v>복대동 청주복대두진하트리움2차</v>
      </c>
      <c r="AI209" s="87">
        <f t="shared" si="200"/>
        <v>31</v>
      </c>
      <c r="AJ209" s="79" t="str">
        <f>IF(AI209="","",$AJ$2)</f>
        <v>A-</v>
      </c>
      <c r="AK209" s="79" t="s">
        <v>13</v>
      </c>
      <c r="AL209" s="79" t="s">
        <v>60</v>
      </c>
      <c r="AM209" s="79" t="s">
        <v>61</v>
      </c>
      <c r="AN209" s="79" t="str">
        <f>IF(AI209="","",$AN$2)</f>
        <v>C</v>
      </c>
      <c r="AO209" s="79" t="str">
        <f>IF(N209="","",IF(N209&gt;=$AO$1/100,"O","X"))</f>
        <v>X</v>
      </c>
      <c r="AP209" s="79" t="str">
        <f>IF(I209="","",IF(I209&lt;=$AP$1,"O","X"))</f>
        <v>X</v>
      </c>
      <c r="AQ209" s="79" t="str">
        <f>IF(O209="","",IF(O209&lt;=$AQ$1,"O","X"))</f>
        <v>X</v>
      </c>
      <c r="AR209" s="79" t="str">
        <f>IF(M209="","",IF(M209&lt;=$AR$1,"O","X"))</f>
        <v>X</v>
      </c>
      <c r="AS209" s="79" t="s">
        <v>2</v>
      </c>
      <c r="AT209" s="79" t="str">
        <f>IF(OR(F209="",AI209=""),"",IF(AND((F209&lt;=85),(AI209&gt;=15)),"O","X"))</f>
        <v>O</v>
      </c>
      <c r="AU209" s="79" t="str">
        <f>IF(C209="","",IF(C209&gt;=$AU$1,"O","X"))</f>
        <v>X</v>
      </c>
      <c r="AV209" s="79" t="str">
        <f>IF(AO209="","",IF(AND(AO209="O",AP209="O",AR209="O",AT209="O",AU209="O"),"후보","X"))</f>
        <v>X</v>
      </c>
    </row>
    <row r="210" spans="1:48" s="37" customFormat="1" ht="12" x14ac:dyDescent="0.3">
      <c r="A210" s="74" t="s">
        <v>1570</v>
      </c>
      <c r="B210" s="75" t="s">
        <v>1571</v>
      </c>
      <c r="C210" s="85">
        <v>293</v>
      </c>
      <c r="D210" s="86">
        <v>102</v>
      </c>
      <c r="E210" s="87">
        <v>31</v>
      </c>
      <c r="F210" s="86">
        <v>74.900000000000006</v>
      </c>
      <c r="G210" s="17">
        <v>23</v>
      </c>
      <c r="H210" s="88">
        <v>137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3</v>
      </c>
      <c r="R210" s="79">
        <v>2</v>
      </c>
      <c r="S210" s="79" t="s">
        <v>62</v>
      </c>
      <c r="T210" s="5" t="s">
        <v>151</v>
      </c>
      <c r="U210" s="9"/>
      <c r="W210" s="86">
        <f t="shared" si="201"/>
        <v>102</v>
      </c>
      <c r="X210" s="87">
        <f t="shared" si="201"/>
        <v>31</v>
      </c>
      <c r="Y210" s="92">
        <f t="shared" si="202"/>
        <v>137</v>
      </c>
      <c r="Z210" s="90">
        <f t="shared" si="202"/>
        <v>0</v>
      </c>
      <c r="AA210" s="90">
        <f>K210</f>
        <v>0</v>
      </c>
      <c r="AB210" s="90">
        <f t="shared" si="198"/>
        <v>0</v>
      </c>
      <c r="AC210" s="4" t="str">
        <f t="shared" si="198"/>
        <v/>
      </c>
      <c r="AD210" s="91">
        <f t="shared" si="198"/>
        <v>0</v>
      </c>
      <c r="AE210" s="79" t="str">
        <f>S210</f>
        <v>계</v>
      </c>
      <c r="AF210" s="79" t="str">
        <f>Q210&amp;"/"&amp;R210</f>
        <v>3/2</v>
      </c>
      <c r="AH210" s="20" t="str">
        <f t="shared" si="199"/>
        <v>복대동 청주복대두진하트리움2차</v>
      </c>
      <c r="AI210" s="87">
        <f t="shared" si="200"/>
        <v>31</v>
      </c>
      <c r="AJ210" s="79" t="str">
        <f>IF(AI210="","",$AJ$2)</f>
        <v>A-</v>
      </c>
      <c r="AK210" s="79" t="s">
        <v>13</v>
      </c>
      <c r="AL210" s="79" t="s">
        <v>60</v>
      </c>
      <c r="AM210" s="79" t="s">
        <v>61</v>
      </c>
      <c r="AN210" s="79" t="str">
        <f>IF(AI210="","",$AN$2)</f>
        <v>C</v>
      </c>
      <c r="AO210" s="79" t="str">
        <f>IF(N210="","",IF(N210&gt;=$AO$1/100,"O","X"))</f>
        <v/>
      </c>
      <c r="AP210" s="79" t="str">
        <f>IF(I210="","",IF(I210&lt;=$AP$1,"O","X"))</f>
        <v/>
      </c>
      <c r="AQ210" s="79" t="str">
        <f>IF(O210="","",IF(O210&lt;=$AQ$1,"O","X"))</f>
        <v>O</v>
      </c>
      <c r="AR210" s="79" t="str">
        <f>IF(M210="","",IF(M210&lt;=$AR$1,"O","X"))</f>
        <v>O</v>
      </c>
      <c r="AS210" s="79" t="s">
        <v>2</v>
      </c>
      <c r="AT210" s="79" t="str">
        <f>IF(OR(F210="",AI210=""),"",IF(AND((F210&lt;=85),(AI210&gt;=15)),"O","X"))</f>
        <v>O</v>
      </c>
      <c r="AU210" s="79" t="str">
        <f>IF(C210="","",IF(C210&gt;=$AU$1,"O","X"))</f>
        <v>X</v>
      </c>
      <c r="AV210" s="79" t="str">
        <f>IF(AO210="","",IF(AND(AO210="O",AP210="O",AR210="O",AT210="O",AU210="O"),"후보","X"))</f>
        <v/>
      </c>
    </row>
    <row r="211" spans="1:48" s="37" customFormat="1" ht="12" x14ac:dyDescent="0.3">
      <c r="A211" s="74" t="s">
        <v>1570</v>
      </c>
      <c r="B211" s="75" t="s">
        <v>1571</v>
      </c>
      <c r="C211" s="85">
        <v>293</v>
      </c>
      <c r="D211" s="86">
        <v>102.1</v>
      </c>
      <c r="E211" s="87">
        <v>31</v>
      </c>
      <c r="F211" s="86">
        <v>74.8</v>
      </c>
      <c r="G211" s="17">
        <v>23</v>
      </c>
      <c r="H211" s="88">
        <v>30</v>
      </c>
      <c r="I211" s="89">
        <v>53000</v>
      </c>
      <c r="J211" s="89">
        <v>10</v>
      </c>
      <c r="K211" s="89">
        <v>40000</v>
      </c>
      <c r="L211" s="89">
        <v>15</v>
      </c>
      <c r="M211" s="90">
        <f>I211-K211</f>
        <v>13000</v>
      </c>
      <c r="N211" s="4">
        <f>IF(ISERROR(K211/I211),"",K211/I211)</f>
        <v>0.75471698113207553</v>
      </c>
      <c r="O211" s="91">
        <f>I211/E211</f>
        <v>1709.6774193548388</v>
      </c>
      <c r="P211" s="91">
        <f>K211/E211</f>
        <v>1290.3225806451612</v>
      </c>
      <c r="Q211" s="79">
        <v>3</v>
      </c>
      <c r="R211" s="79">
        <v>2</v>
      </c>
      <c r="S211" s="79" t="s">
        <v>62</v>
      </c>
      <c r="T211" s="5" t="s">
        <v>152</v>
      </c>
      <c r="U211" s="9"/>
      <c r="W211" s="86">
        <f t="shared" si="201"/>
        <v>102.1</v>
      </c>
      <c r="X211" s="87">
        <f t="shared" si="201"/>
        <v>31</v>
      </c>
      <c r="Y211" s="92">
        <f t="shared" si="202"/>
        <v>30</v>
      </c>
      <c r="Z211" s="90">
        <f t="shared" si="202"/>
        <v>53000</v>
      </c>
      <c r="AA211" s="90">
        <f>K211</f>
        <v>40000</v>
      </c>
      <c r="AB211" s="90">
        <f t="shared" si="198"/>
        <v>13000</v>
      </c>
      <c r="AC211" s="4">
        <f t="shared" si="198"/>
        <v>0.75471698113207553</v>
      </c>
      <c r="AD211" s="91">
        <f t="shared" si="198"/>
        <v>1709.6774193548388</v>
      </c>
      <c r="AE211" s="79" t="str">
        <f>S211</f>
        <v>계</v>
      </c>
      <c r="AF211" s="79" t="str">
        <f>Q211&amp;"/"&amp;R211</f>
        <v>3/2</v>
      </c>
      <c r="AH211" s="20" t="str">
        <f t="shared" si="199"/>
        <v>복대동 청주복대두진하트리움2차</v>
      </c>
      <c r="AI211" s="87">
        <f t="shared" si="200"/>
        <v>31</v>
      </c>
      <c r="AJ211" s="79" t="str">
        <f>IF(AI211="","",$AJ$2)</f>
        <v>A-</v>
      </c>
      <c r="AK211" s="79" t="s">
        <v>13</v>
      </c>
      <c r="AL211" s="79" t="s">
        <v>60</v>
      </c>
      <c r="AM211" s="79" t="s">
        <v>61</v>
      </c>
      <c r="AN211" s="79" t="str">
        <f>IF(AI211="","",$AN$2)</f>
        <v>C</v>
      </c>
      <c r="AO211" s="79" t="str">
        <f>IF(N211="","",IF(N211&gt;=$AO$1/100,"O","X"))</f>
        <v>X</v>
      </c>
      <c r="AP211" s="79" t="str">
        <f>IF(I211="","",IF(I211&lt;=$AP$1,"O","X"))</f>
        <v>X</v>
      </c>
      <c r="AQ211" s="79" t="str">
        <f>IF(O211="","",IF(O211&lt;=$AQ$1,"O","X"))</f>
        <v>X</v>
      </c>
      <c r="AR211" s="79" t="str">
        <f>IF(M211="","",IF(M211&lt;=$AR$1,"O","X"))</f>
        <v>X</v>
      </c>
      <c r="AS211" s="79" t="s">
        <v>2</v>
      </c>
      <c r="AT211" s="79" t="str">
        <f>IF(OR(F211="",AI211=""),"",IF(AND((F211&lt;=85),(AI211&gt;=15)),"O","X"))</f>
        <v>O</v>
      </c>
      <c r="AU211" s="79" t="str">
        <f>IF(C211="","",IF(C211&gt;=$AU$1,"O","X"))</f>
        <v>X</v>
      </c>
      <c r="AV211" s="79" t="str">
        <f>IF(AO211="","",IF(AND(AO211="O",AP211="O",AR211="O",AT211="O",AU211="O"),"후보","X"))</f>
        <v>X</v>
      </c>
    </row>
    <row r="212" spans="1:48" s="37" customFormat="1" ht="12" x14ac:dyDescent="0.3">
      <c r="A212" s="74" t="s">
        <v>1572</v>
      </c>
      <c r="B212" s="75" t="s">
        <v>1573</v>
      </c>
      <c r="C212" s="85">
        <v>1956</v>
      </c>
      <c r="D212" s="86">
        <v>112.9</v>
      </c>
      <c r="E212" s="87">
        <v>34</v>
      </c>
      <c r="F212" s="86">
        <v>80.5</v>
      </c>
      <c r="G212" s="17">
        <v>24</v>
      </c>
      <c r="H212" s="88">
        <v>652</v>
      </c>
      <c r="I212" s="89">
        <v>63000</v>
      </c>
      <c r="J212" s="89">
        <v>4</v>
      </c>
      <c r="K212" s="89">
        <v>52000</v>
      </c>
      <c r="L212" s="89">
        <v>16</v>
      </c>
      <c r="M212" s="90">
        <f>I212-K212</f>
        <v>11000</v>
      </c>
      <c r="N212" s="4">
        <f>IF(ISERROR(K212/I212),"",K212/I212)</f>
        <v>0.82539682539682535</v>
      </c>
      <c r="O212" s="91">
        <f>I212/E212</f>
        <v>1852.9411764705883</v>
      </c>
      <c r="P212" s="91">
        <f>K212/E212</f>
        <v>1529.4117647058824</v>
      </c>
      <c r="Q212" s="79">
        <v>3</v>
      </c>
      <c r="R212" s="79">
        <v>2</v>
      </c>
      <c r="S212" s="79" t="s">
        <v>62</v>
      </c>
      <c r="T212" s="5" t="s">
        <v>107</v>
      </c>
      <c r="U212" s="9"/>
      <c r="W212" s="86">
        <f t="shared" si="201"/>
        <v>112.9</v>
      </c>
      <c r="X212" s="87">
        <f t="shared" si="201"/>
        <v>34</v>
      </c>
      <c r="Y212" s="92">
        <f t="shared" si="202"/>
        <v>652</v>
      </c>
      <c r="Z212" s="90">
        <f t="shared" si="202"/>
        <v>63000</v>
      </c>
      <c r="AA212" s="90">
        <f>K212</f>
        <v>52000</v>
      </c>
      <c r="AB212" s="90">
        <f t="shared" ref="AB212:AD227" si="203">M212</f>
        <v>11000</v>
      </c>
      <c r="AC212" s="4">
        <f t="shared" si="203"/>
        <v>0.82539682539682535</v>
      </c>
      <c r="AD212" s="91">
        <f t="shared" si="203"/>
        <v>1852.9411764705883</v>
      </c>
      <c r="AE212" s="79" t="str">
        <f>S212</f>
        <v>계</v>
      </c>
      <c r="AF212" s="79" t="str">
        <f>Q212&amp;"/"&amp;R212</f>
        <v>3/2</v>
      </c>
      <c r="AH212" s="20" t="str">
        <f t="shared" si="199"/>
        <v>복대동 두산위브지웰시티2차</v>
      </c>
      <c r="AI212" s="87">
        <f t="shared" si="200"/>
        <v>34</v>
      </c>
      <c r="AJ212" s="79" t="str">
        <f>IF(AI212="","",$AJ$2)</f>
        <v>A-</v>
      </c>
      <c r="AK212" s="79" t="s">
        <v>13</v>
      </c>
      <c r="AL212" s="79" t="s">
        <v>60</v>
      </c>
      <c r="AM212" s="79" t="s">
        <v>61</v>
      </c>
      <c r="AN212" s="79" t="str">
        <f>IF(AI212="","",$AN$2)</f>
        <v>C</v>
      </c>
      <c r="AO212" s="79" t="str">
        <f>IF(N212="","",IF(N212&gt;=$AO$1/100,"O","X"))</f>
        <v>O</v>
      </c>
      <c r="AP212" s="79" t="str">
        <f>IF(I212="","",IF(I212&lt;=$AP$1,"O","X"))</f>
        <v>X</v>
      </c>
      <c r="AQ212" s="79" t="str">
        <f>IF(O212="","",IF(O212&lt;=$AQ$1,"O","X"))</f>
        <v>X</v>
      </c>
      <c r="AR212" s="79" t="str">
        <f>IF(M212="","",IF(M212&lt;=$AR$1,"O","X"))</f>
        <v>X</v>
      </c>
      <c r="AS212" s="79" t="s">
        <v>2</v>
      </c>
      <c r="AT212" s="79" t="str">
        <f>IF(OR(F212="",AI212=""),"",IF(AND((F212&lt;=85),(AI212&gt;=15)),"O","X"))</f>
        <v>O</v>
      </c>
      <c r="AU212" s="79" t="str">
        <f>IF(C212="","",IF(C212&gt;=$AU$1,"O","X"))</f>
        <v>O</v>
      </c>
      <c r="AV212" s="79" t="str">
        <f>IF(AO212="","",IF(AND(AO212="O",AP212="O",AR212="O",AT212="O",AU212="O"),"후보","X"))</f>
        <v>X</v>
      </c>
    </row>
    <row r="213" spans="1:48" s="37" customFormat="1" ht="12" x14ac:dyDescent="0.3">
      <c r="A213" s="74" t="s">
        <v>1572</v>
      </c>
      <c r="B213" s="75" t="s">
        <v>1573</v>
      </c>
      <c r="C213" s="85">
        <v>1956</v>
      </c>
      <c r="D213" s="86">
        <v>113.1</v>
      </c>
      <c r="E213" s="87">
        <v>34</v>
      </c>
      <c r="F213" s="86">
        <v>80.099999999999994</v>
      </c>
      <c r="G213" s="17">
        <v>24</v>
      </c>
      <c r="H213" s="88">
        <v>652</v>
      </c>
      <c r="I213" s="89">
        <v>63000</v>
      </c>
      <c r="J213" s="89">
        <v>8</v>
      </c>
      <c r="K213" s="89">
        <v>50000</v>
      </c>
      <c r="L213" s="89">
        <v>36</v>
      </c>
      <c r="M213" s="90">
        <f>I213-K213</f>
        <v>13000</v>
      </c>
      <c r="N213" s="4">
        <f>IF(ISERROR(K213/I213),"",K213/I213)</f>
        <v>0.79365079365079361</v>
      </c>
      <c r="O213" s="91">
        <f>I213/E213</f>
        <v>1852.9411764705883</v>
      </c>
      <c r="P213" s="91">
        <f>K213/E213</f>
        <v>1470.5882352941176</v>
      </c>
      <c r="Q213" s="79">
        <v>3</v>
      </c>
      <c r="R213" s="79">
        <v>2</v>
      </c>
      <c r="S213" s="79" t="s">
        <v>62</v>
      </c>
      <c r="T213" s="5" t="s">
        <v>153</v>
      </c>
      <c r="U213" s="9"/>
      <c r="W213" s="86">
        <f t="shared" si="201"/>
        <v>113.1</v>
      </c>
      <c r="X213" s="87">
        <f t="shared" si="201"/>
        <v>34</v>
      </c>
      <c r="Y213" s="92">
        <f t="shared" si="202"/>
        <v>652</v>
      </c>
      <c r="Z213" s="90">
        <f t="shared" si="202"/>
        <v>63000</v>
      </c>
      <c r="AA213" s="90">
        <f>K213</f>
        <v>50000</v>
      </c>
      <c r="AB213" s="90">
        <f t="shared" si="203"/>
        <v>13000</v>
      </c>
      <c r="AC213" s="4">
        <f t="shared" si="203"/>
        <v>0.79365079365079361</v>
      </c>
      <c r="AD213" s="91">
        <f t="shared" si="203"/>
        <v>1852.9411764705883</v>
      </c>
      <c r="AE213" s="79" t="str">
        <f>S213</f>
        <v>계</v>
      </c>
      <c r="AF213" s="79" t="str">
        <f>Q213&amp;"/"&amp;R213</f>
        <v>3/2</v>
      </c>
      <c r="AH213" s="20" t="str">
        <f t="shared" si="199"/>
        <v>복대동 두산위브지웰시티2차</v>
      </c>
      <c r="AI213" s="87">
        <f t="shared" si="200"/>
        <v>34</v>
      </c>
      <c r="AJ213" s="79" t="str">
        <f>IF(AI213="","",$AJ$2)</f>
        <v>A-</v>
      </c>
      <c r="AK213" s="79" t="s">
        <v>13</v>
      </c>
      <c r="AL213" s="79" t="s">
        <v>60</v>
      </c>
      <c r="AM213" s="79" t="s">
        <v>61</v>
      </c>
      <c r="AN213" s="79" t="str">
        <f>IF(AI213="","",$AN$2)</f>
        <v>C</v>
      </c>
      <c r="AO213" s="79" t="str">
        <f>IF(N213="","",IF(N213&gt;=$AO$1/100,"O","X"))</f>
        <v>X</v>
      </c>
      <c r="AP213" s="79" t="str">
        <f>IF(I213="","",IF(I213&lt;=$AP$1,"O","X"))</f>
        <v>X</v>
      </c>
      <c r="AQ213" s="79" t="str">
        <f>IF(O213="","",IF(O213&lt;=$AQ$1,"O","X"))</f>
        <v>X</v>
      </c>
      <c r="AR213" s="79" t="str">
        <f>IF(M213="","",IF(M213&lt;=$AR$1,"O","X"))</f>
        <v>X</v>
      </c>
      <c r="AS213" s="79" t="s">
        <v>2</v>
      </c>
      <c r="AT213" s="79" t="str">
        <f>IF(OR(F213="",AI213=""),"",IF(AND((F213&lt;=85),(AI213&gt;=15)),"O","X"))</f>
        <v>O</v>
      </c>
      <c r="AU213" s="79" t="str">
        <f>IF(C213="","",IF(C213&gt;=$AU$1,"O","X"))</f>
        <v>O</v>
      </c>
      <c r="AV213" s="79" t="str">
        <f>IF(AO213="","",IF(AND(AO213="O",AP213="O",AR213="O",AT213="O",AU213="O"),"후보","X"))</f>
        <v>X</v>
      </c>
    </row>
    <row r="214" spans="1:48" s="37" customFormat="1" ht="12" x14ac:dyDescent="0.3">
      <c r="A214" s="74" t="s">
        <v>1572</v>
      </c>
      <c r="B214" s="75" t="s">
        <v>1573</v>
      </c>
      <c r="C214" s="85">
        <v>1956</v>
      </c>
      <c r="D214" s="86">
        <v>113.4</v>
      </c>
      <c r="E214" s="87">
        <v>34</v>
      </c>
      <c r="F214" s="86">
        <v>80</v>
      </c>
      <c r="G214" s="17">
        <v>24</v>
      </c>
      <c r="H214" s="88">
        <v>652</v>
      </c>
      <c r="I214" s="89">
        <v>65000</v>
      </c>
      <c r="J214" s="89">
        <v>6</v>
      </c>
      <c r="K214" s="89">
        <v>52000</v>
      </c>
      <c r="L214" s="89">
        <v>15</v>
      </c>
      <c r="M214" s="90">
        <f>I214-K214</f>
        <v>13000</v>
      </c>
      <c r="N214" s="4">
        <f>IF(ISERROR(K214/I214),"",K214/I214)</f>
        <v>0.8</v>
      </c>
      <c r="O214" s="91">
        <f>I214/E214</f>
        <v>1911.7647058823529</v>
      </c>
      <c r="P214" s="91">
        <f>K214/E214</f>
        <v>1529.4117647058824</v>
      </c>
      <c r="Q214" s="79">
        <v>3</v>
      </c>
      <c r="R214" s="79">
        <v>2</v>
      </c>
      <c r="S214" s="79" t="s">
        <v>62</v>
      </c>
      <c r="T214" s="5" t="s">
        <v>154</v>
      </c>
      <c r="U214" s="9"/>
      <c r="W214" s="86">
        <f t="shared" si="201"/>
        <v>113.4</v>
      </c>
      <c r="X214" s="87">
        <f t="shared" si="201"/>
        <v>34</v>
      </c>
      <c r="Y214" s="92">
        <f t="shared" si="202"/>
        <v>652</v>
      </c>
      <c r="Z214" s="90">
        <f t="shared" si="202"/>
        <v>65000</v>
      </c>
      <c r="AA214" s="90">
        <f>K214</f>
        <v>52000</v>
      </c>
      <c r="AB214" s="90">
        <f t="shared" si="203"/>
        <v>13000</v>
      </c>
      <c r="AC214" s="4">
        <f t="shared" si="203"/>
        <v>0.8</v>
      </c>
      <c r="AD214" s="91">
        <f t="shared" si="203"/>
        <v>1911.7647058823529</v>
      </c>
      <c r="AE214" s="79" t="str">
        <f>S214</f>
        <v>계</v>
      </c>
      <c r="AF214" s="79" t="str">
        <f>Q214&amp;"/"&amp;R214</f>
        <v>3/2</v>
      </c>
      <c r="AH214" s="20" t="str">
        <f t="shared" si="199"/>
        <v>복대동 두산위브지웰시티2차</v>
      </c>
      <c r="AI214" s="87">
        <f t="shared" si="200"/>
        <v>34</v>
      </c>
      <c r="AJ214" s="79" t="str">
        <f>IF(AI214="","",$AJ$2)</f>
        <v>A-</v>
      </c>
      <c r="AK214" s="79" t="s">
        <v>13</v>
      </c>
      <c r="AL214" s="79" t="s">
        <v>60</v>
      </c>
      <c r="AM214" s="79" t="s">
        <v>61</v>
      </c>
      <c r="AN214" s="79" t="str">
        <f>IF(AI214="","",$AN$2)</f>
        <v>C</v>
      </c>
      <c r="AO214" s="79" t="str">
        <f>IF(N214="","",IF(N214&gt;=$AO$1/100,"O","X"))</f>
        <v>O</v>
      </c>
      <c r="AP214" s="79" t="str">
        <f>IF(I214="","",IF(I214&lt;=$AP$1,"O","X"))</f>
        <v>X</v>
      </c>
      <c r="AQ214" s="79" t="str">
        <f>IF(O214="","",IF(O214&lt;=$AQ$1,"O","X"))</f>
        <v>X</v>
      </c>
      <c r="AR214" s="79" t="str">
        <f>IF(M214="","",IF(M214&lt;=$AR$1,"O","X"))</f>
        <v>X</v>
      </c>
      <c r="AS214" s="79" t="s">
        <v>2</v>
      </c>
      <c r="AT214" s="79" t="str">
        <f>IF(OR(F214="",AI214=""),"",IF(AND((F214&lt;=85),(AI214&gt;=15)),"O","X"))</f>
        <v>O</v>
      </c>
      <c r="AU214" s="79" t="str">
        <f>IF(C214="","",IF(C214&gt;=$AU$1,"O","X"))</f>
        <v>O</v>
      </c>
      <c r="AV214" s="79" t="str">
        <f>IF(AO214="","",IF(AND(AO214="O",AP214="O",AR214="O",AT214="O",AU214="O"),"후보","X"))</f>
        <v>X</v>
      </c>
    </row>
    <row r="215" spans="1:48" s="37" customFormat="1" ht="12" x14ac:dyDescent="0.3">
      <c r="A215" s="74" t="s">
        <v>1574</v>
      </c>
      <c r="B215" s="75" t="s">
        <v>1575</v>
      </c>
      <c r="C215" s="85">
        <v>498</v>
      </c>
      <c r="D215" s="86">
        <v>35.1</v>
      </c>
      <c r="E215" s="87">
        <v>11</v>
      </c>
      <c r="F215" s="86">
        <v>22.7</v>
      </c>
      <c r="G215" s="17">
        <v>7</v>
      </c>
      <c r="H215" s="88">
        <v>456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1</v>
      </c>
      <c r="R215" s="79">
        <v>1</v>
      </c>
      <c r="S215" s="79" t="s">
        <v>59</v>
      </c>
      <c r="T215" s="5">
        <v>35</v>
      </c>
      <c r="U215" s="9"/>
      <c r="W215" s="86">
        <f>D215</f>
        <v>35.1</v>
      </c>
      <c r="X215" s="87">
        <f>E215</f>
        <v>11</v>
      </c>
      <c r="Y215" s="92">
        <f>H215</f>
        <v>456</v>
      </c>
      <c r="Z215" s="90">
        <f>I215</f>
        <v>0</v>
      </c>
      <c r="AA215" s="90">
        <f>K215</f>
        <v>0</v>
      </c>
      <c r="AB215" s="90">
        <f t="shared" si="203"/>
        <v>0</v>
      </c>
      <c r="AC215" s="4" t="str">
        <f t="shared" si="203"/>
        <v/>
      </c>
      <c r="AD215" s="91">
        <f t="shared" si="203"/>
        <v>0</v>
      </c>
      <c r="AE215" s="79" t="str">
        <f>S215</f>
        <v>복</v>
      </c>
      <c r="AF215" s="79" t="str">
        <f>Q215&amp;"/"&amp;R215</f>
        <v>1/1</v>
      </c>
      <c r="AH215" s="20" t="str">
        <f t="shared" si="199"/>
        <v>복대동 덕성</v>
      </c>
      <c r="AI215" s="87">
        <f t="shared" si="200"/>
        <v>11</v>
      </c>
      <c r="AJ215" s="79" t="str">
        <f>IF(AI215="","",$AJ$2)</f>
        <v>A-</v>
      </c>
      <c r="AK215" s="79" t="s">
        <v>13</v>
      </c>
      <c r="AL215" s="79" t="s">
        <v>60</v>
      </c>
      <c r="AM215" s="79" t="s">
        <v>61</v>
      </c>
      <c r="AN215" s="79" t="str">
        <f>IF(AI215="","",$AN$2)</f>
        <v>C</v>
      </c>
      <c r="AO215" s="79" t="str">
        <f>IF(N215="","",IF(N215&gt;=$AO$1/100,"O","X"))</f>
        <v/>
      </c>
      <c r="AP215" s="79" t="str">
        <f>IF(I215="","",IF(I215&lt;=$AP$1,"O","X"))</f>
        <v/>
      </c>
      <c r="AQ215" s="79" t="str">
        <f>IF(O215="","",IF(O215&lt;=$AQ$1,"O","X"))</f>
        <v>O</v>
      </c>
      <c r="AR215" s="79" t="str">
        <f>IF(M215="","",IF(M215&lt;=$AR$1,"O","X"))</f>
        <v>O</v>
      </c>
      <c r="AS215" s="79" t="s">
        <v>2</v>
      </c>
      <c r="AT215" s="79" t="str">
        <f>IF(OR(F215="",AI215=""),"",IF(AND((F215&lt;=85),(AI215&gt;=15)),"O","X"))</f>
        <v>X</v>
      </c>
      <c r="AU215" s="79" t="str">
        <f>IF(C215="","",IF(C215&gt;=$AU$1,"O","X"))</f>
        <v>O</v>
      </c>
      <c r="AV215" s="79" t="str">
        <f>IF(AO215="","",IF(AND(AO215="O",AP215="O",AR215="O",AT215="O",AU215="O"),"후보","X"))</f>
        <v/>
      </c>
    </row>
    <row r="216" spans="1:48" s="37" customFormat="1" ht="12" x14ac:dyDescent="0.3">
      <c r="A216" s="74" t="s">
        <v>1574</v>
      </c>
      <c r="B216" s="75" t="s">
        <v>1575</v>
      </c>
      <c r="C216" s="85">
        <v>498</v>
      </c>
      <c r="D216" s="86">
        <v>80.5</v>
      </c>
      <c r="E216" s="87">
        <v>24</v>
      </c>
      <c r="F216" s="86">
        <v>52.1</v>
      </c>
      <c r="G216" s="17">
        <v>16</v>
      </c>
      <c r="H216" s="88">
        <v>42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2</v>
      </c>
      <c r="S216" s="79" t="s">
        <v>59</v>
      </c>
      <c r="T216" s="5">
        <v>80</v>
      </c>
      <c r="U216" s="9"/>
      <c r="W216" s="86">
        <f>D216</f>
        <v>80.5</v>
      </c>
      <c r="X216" s="87">
        <f>E216</f>
        <v>24</v>
      </c>
      <c r="Y216" s="92">
        <f>H216</f>
        <v>42</v>
      </c>
      <c r="Z216" s="90">
        <f>I216</f>
        <v>0</v>
      </c>
      <c r="AA216" s="90">
        <f>K216</f>
        <v>0</v>
      </c>
      <c r="AB216" s="90">
        <f t="shared" si="203"/>
        <v>0</v>
      </c>
      <c r="AC216" s="4" t="str">
        <f t="shared" si="203"/>
        <v/>
      </c>
      <c r="AD216" s="91">
        <f t="shared" si="203"/>
        <v>0</v>
      </c>
      <c r="AE216" s="79" t="str">
        <f>S216</f>
        <v>복</v>
      </c>
      <c r="AF216" s="79" t="str">
        <f>Q216&amp;"/"&amp;R216</f>
        <v>3/2</v>
      </c>
      <c r="AH216" s="20" t="str">
        <f t="shared" si="199"/>
        <v>복대동 덕성</v>
      </c>
      <c r="AI216" s="87">
        <f t="shared" si="200"/>
        <v>24</v>
      </c>
      <c r="AJ216" s="79" t="str">
        <f>IF(AI216="","",$AJ$2)</f>
        <v>A-</v>
      </c>
      <c r="AK216" s="79" t="s">
        <v>13</v>
      </c>
      <c r="AL216" s="79" t="s">
        <v>60</v>
      </c>
      <c r="AM216" s="79" t="s">
        <v>61</v>
      </c>
      <c r="AN216" s="79" t="str">
        <f>IF(AI216="","",$AN$2)</f>
        <v>C</v>
      </c>
      <c r="AO216" s="79" t="str">
        <f>IF(N216="","",IF(N216&gt;=$AO$1/100,"O","X"))</f>
        <v/>
      </c>
      <c r="AP216" s="79" t="str">
        <f>IF(I216="","",IF(I216&lt;=$AP$1,"O","X"))</f>
        <v/>
      </c>
      <c r="AQ216" s="79" t="str">
        <f>IF(O216="","",IF(O216&lt;=$AQ$1,"O","X"))</f>
        <v>O</v>
      </c>
      <c r="AR216" s="79" t="str">
        <f>IF(M216="","",IF(M216&lt;=$AR$1,"O","X"))</f>
        <v>O</v>
      </c>
      <c r="AS216" s="79" t="s">
        <v>2</v>
      </c>
      <c r="AT216" s="79" t="str">
        <f>IF(OR(F216="",AI216=""),"",IF(AND((F216&lt;=85),(AI216&gt;=15)),"O","X"))</f>
        <v>O</v>
      </c>
      <c r="AU216" s="79" t="str">
        <f>IF(C216="","",IF(C216&gt;=$AU$1,"O","X"))</f>
        <v>O</v>
      </c>
      <c r="AV216" s="79" t="str">
        <f>IF(AO216="","",IF(AND(AO216="O",AP216="O",AR216="O",AT216="O",AU216="O"),"후보","X"))</f>
        <v/>
      </c>
    </row>
    <row r="217" spans="1:48" s="37" customFormat="1" ht="12" x14ac:dyDescent="0.3">
      <c r="A217" s="74" t="s">
        <v>1576</v>
      </c>
      <c r="B217" s="75" t="s">
        <v>1577</v>
      </c>
      <c r="C217" s="85">
        <v>200</v>
      </c>
      <c r="D217" s="86">
        <v>60.7</v>
      </c>
      <c r="E217" s="87">
        <v>18</v>
      </c>
      <c r="F217" s="86">
        <v>48.4</v>
      </c>
      <c r="G217" s="17">
        <v>15</v>
      </c>
      <c r="H217" s="88">
        <v>5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2</v>
      </c>
      <c r="R217" s="79">
        <v>1</v>
      </c>
      <c r="S217" s="79" t="s">
        <v>62</v>
      </c>
      <c r="T217" s="5">
        <v>60</v>
      </c>
      <c r="U217" s="9"/>
      <c r="W217" s="86">
        <f t="shared" ref="W217:X224" si="204">D217</f>
        <v>60.7</v>
      </c>
      <c r="X217" s="87">
        <f t="shared" si="204"/>
        <v>18</v>
      </c>
      <c r="Y217" s="92">
        <f t="shared" ref="Y217:Z224" si="205">H217</f>
        <v>5</v>
      </c>
      <c r="Z217" s="90">
        <f t="shared" si="205"/>
        <v>0</v>
      </c>
      <c r="AA217" s="90">
        <f>K217</f>
        <v>0</v>
      </c>
      <c r="AB217" s="90">
        <f t="shared" si="203"/>
        <v>0</v>
      </c>
      <c r="AC217" s="4" t="str">
        <f t="shared" si="203"/>
        <v/>
      </c>
      <c r="AD217" s="91">
        <f t="shared" si="203"/>
        <v>0</v>
      </c>
      <c r="AE217" s="79" t="str">
        <f>S217</f>
        <v>계</v>
      </c>
      <c r="AF217" s="79" t="str">
        <f>Q217&amp;"/"&amp;R217</f>
        <v>2/1</v>
      </c>
      <c r="AH217" s="20" t="str">
        <f t="shared" si="199"/>
        <v>복대동 세원</v>
      </c>
      <c r="AI217" s="87">
        <f t="shared" si="200"/>
        <v>18</v>
      </c>
      <c r="AJ217" s="79" t="str">
        <f>IF(AI217="","",$AJ$2)</f>
        <v>A-</v>
      </c>
      <c r="AK217" s="79" t="s">
        <v>13</v>
      </c>
      <c r="AL217" s="79" t="s">
        <v>60</v>
      </c>
      <c r="AM217" s="79" t="s">
        <v>61</v>
      </c>
      <c r="AN217" s="79" t="str">
        <f>IF(AI217="","",$AN$2)</f>
        <v>C</v>
      </c>
      <c r="AO217" s="79" t="str">
        <f>IF(N217="","",IF(N217&gt;=$AO$1/100,"O","X"))</f>
        <v/>
      </c>
      <c r="AP217" s="79" t="str">
        <f>IF(I217="","",IF(I217&lt;=$AP$1,"O","X"))</f>
        <v/>
      </c>
      <c r="AQ217" s="79" t="str">
        <f>IF(O217="","",IF(O217&lt;=$AQ$1,"O","X"))</f>
        <v>O</v>
      </c>
      <c r="AR217" s="79" t="str">
        <f>IF(M217="","",IF(M217&lt;=$AR$1,"O","X"))</f>
        <v>O</v>
      </c>
      <c r="AS217" s="79" t="s">
        <v>2</v>
      </c>
      <c r="AT217" s="79" t="str">
        <f>IF(OR(F217="",AI217=""),"",IF(AND((F217&lt;=85),(AI217&gt;=15)),"O","X"))</f>
        <v>O</v>
      </c>
      <c r="AU217" s="79" t="str">
        <f>IF(C217="","",IF(C217&gt;=$AU$1,"O","X"))</f>
        <v>X</v>
      </c>
      <c r="AV217" s="79" t="str">
        <f>IF(AO217="","",IF(AND(AO217="O",AP217="O",AR217="O",AT217="O",AU217="O"),"후보","X"))</f>
        <v/>
      </c>
    </row>
    <row r="218" spans="1:48" s="37" customFormat="1" ht="12" x14ac:dyDescent="0.3">
      <c r="A218" s="74" t="s">
        <v>1576</v>
      </c>
      <c r="B218" s="75" t="s">
        <v>1577</v>
      </c>
      <c r="C218" s="85">
        <v>200</v>
      </c>
      <c r="D218" s="86">
        <v>72.900000000000006</v>
      </c>
      <c r="E218" s="87">
        <v>22</v>
      </c>
      <c r="F218" s="86">
        <v>59.4</v>
      </c>
      <c r="G218" s="17">
        <v>18</v>
      </c>
      <c r="H218" s="88">
        <v>75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3</v>
      </c>
      <c r="R218" s="79">
        <v>1</v>
      </c>
      <c r="S218" s="79" t="s">
        <v>62</v>
      </c>
      <c r="T218" s="5">
        <v>72</v>
      </c>
      <c r="U218" s="9"/>
      <c r="W218" s="86">
        <f t="shared" si="204"/>
        <v>72.900000000000006</v>
      </c>
      <c r="X218" s="87">
        <f t="shared" si="204"/>
        <v>22</v>
      </c>
      <c r="Y218" s="92">
        <f t="shared" si="205"/>
        <v>75</v>
      </c>
      <c r="Z218" s="90">
        <f t="shared" si="205"/>
        <v>0</v>
      </c>
      <c r="AA218" s="90">
        <f>K218</f>
        <v>0</v>
      </c>
      <c r="AB218" s="90">
        <f t="shared" si="203"/>
        <v>0</v>
      </c>
      <c r="AC218" s="4" t="str">
        <f t="shared" si="203"/>
        <v/>
      </c>
      <c r="AD218" s="91">
        <f t="shared" si="203"/>
        <v>0</v>
      </c>
      <c r="AE218" s="79" t="str">
        <f>S218</f>
        <v>계</v>
      </c>
      <c r="AF218" s="79" t="str">
        <f>Q218&amp;"/"&amp;R218</f>
        <v>3/1</v>
      </c>
      <c r="AH218" s="20" t="str">
        <f t="shared" si="199"/>
        <v>복대동 세원</v>
      </c>
      <c r="AI218" s="87">
        <f t="shared" si="200"/>
        <v>22</v>
      </c>
      <c r="AJ218" s="79" t="str">
        <f>IF(AI218="","",$AJ$2)</f>
        <v>A-</v>
      </c>
      <c r="AK218" s="79" t="s">
        <v>13</v>
      </c>
      <c r="AL218" s="79" t="s">
        <v>60</v>
      </c>
      <c r="AM218" s="79" t="s">
        <v>61</v>
      </c>
      <c r="AN218" s="79" t="str">
        <f>IF(AI218="","",$AN$2)</f>
        <v>C</v>
      </c>
      <c r="AO218" s="79" t="str">
        <f>IF(N218="","",IF(N218&gt;=$AO$1/100,"O","X"))</f>
        <v/>
      </c>
      <c r="AP218" s="79" t="str">
        <f>IF(I218="","",IF(I218&lt;=$AP$1,"O","X"))</f>
        <v/>
      </c>
      <c r="AQ218" s="79" t="str">
        <f>IF(O218="","",IF(O218&lt;=$AQ$1,"O","X"))</f>
        <v>O</v>
      </c>
      <c r="AR218" s="79" t="str">
        <f>IF(M218="","",IF(M218&lt;=$AR$1,"O","X"))</f>
        <v>O</v>
      </c>
      <c r="AS218" s="79" t="s">
        <v>2</v>
      </c>
      <c r="AT218" s="79" t="str">
        <f>IF(OR(F218="",AI218=""),"",IF(AND((F218&lt;=85),(AI218&gt;=15)),"O","X"))</f>
        <v>O</v>
      </c>
      <c r="AU218" s="79" t="str">
        <f>IF(C218="","",IF(C218&gt;=$AU$1,"O","X"))</f>
        <v>X</v>
      </c>
      <c r="AV218" s="79" t="str">
        <f>IF(AO218="","",IF(AND(AO218="O",AP218="O",AR218="O",AT218="O",AU218="O"),"후보","X"))</f>
        <v/>
      </c>
    </row>
    <row r="219" spans="1:48" s="37" customFormat="1" ht="12" x14ac:dyDescent="0.3">
      <c r="A219" s="74" t="s">
        <v>1576</v>
      </c>
      <c r="B219" s="75" t="s">
        <v>1577</v>
      </c>
      <c r="C219" s="85">
        <v>200</v>
      </c>
      <c r="D219" s="86">
        <v>101.9</v>
      </c>
      <c r="E219" s="87">
        <v>31</v>
      </c>
      <c r="F219" s="86">
        <v>84.9</v>
      </c>
      <c r="G219" s="17">
        <v>26</v>
      </c>
      <c r="H219" s="88">
        <v>120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3</v>
      </c>
      <c r="R219" s="79">
        <v>2</v>
      </c>
      <c r="S219" s="79" t="s">
        <v>62</v>
      </c>
      <c r="T219" s="5">
        <v>101</v>
      </c>
      <c r="U219" s="9"/>
      <c r="W219" s="86">
        <f t="shared" si="204"/>
        <v>101.9</v>
      </c>
      <c r="X219" s="87">
        <f t="shared" si="204"/>
        <v>31</v>
      </c>
      <c r="Y219" s="92">
        <f t="shared" si="205"/>
        <v>120</v>
      </c>
      <c r="Z219" s="90">
        <f t="shared" si="205"/>
        <v>0</v>
      </c>
      <c r="AA219" s="90">
        <f>K219</f>
        <v>0</v>
      </c>
      <c r="AB219" s="90">
        <f t="shared" si="203"/>
        <v>0</v>
      </c>
      <c r="AC219" s="4" t="str">
        <f t="shared" si="203"/>
        <v/>
      </c>
      <c r="AD219" s="91">
        <f t="shared" si="203"/>
        <v>0</v>
      </c>
      <c r="AE219" s="79" t="str">
        <f>S219</f>
        <v>계</v>
      </c>
      <c r="AF219" s="79" t="str">
        <f>Q219&amp;"/"&amp;R219</f>
        <v>3/2</v>
      </c>
      <c r="AH219" s="20" t="str">
        <f t="shared" si="199"/>
        <v>복대동 세원</v>
      </c>
      <c r="AI219" s="87">
        <f t="shared" si="200"/>
        <v>31</v>
      </c>
      <c r="AJ219" s="79" t="str">
        <f>IF(AI219="","",$AJ$2)</f>
        <v>A-</v>
      </c>
      <c r="AK219" s="79" t="s">
        <v>13</v>
      </c>
      <c r="AL219" s="79" t="s">
        <v>60</v>
      </c>
      <c r="AM219" s="79" t="s">
        <v>61</v>
      </c>
      <c r="AN219" s="79" t="str">
        <f>IF(AI219="","",$AN$2)</f>
        <v>C</v>
      </c>
      <c r="AO219" s="79" t="str">
        <f>IF(N219="","",IF(N219&gt;=$AO$1/100,"O","X"))</f>
        <v/>
      </c>
      <c r="AP219" s="79" t="str">
        <f>IF(I219="","",IF(I219&lt;=$AP$1,"O","X"))</f>
        <v/>
      </c>
      <c r="AQ219" s="79" t="str">
        <f>IF(O219="","",IF(O219&lt;=$AQ$1,"O","X"))</f>
        <v>O</v>
      </c>
      <c r="AR219" s="79" t="str">
        <f>IF(M219="","",IF(M219&lt;=$AR$1,"O","X"))</f>
        <v>O</v>
      </c>
      <c r="AS219" s="79" t="s">
        <v>2</v>
      </c>
      <c r="AT219" s="79" t="str">
        <f>IF(OR(F219="",AI219=""),"",IF(AND((F219&lt;=85),(AI219&gt;=15)),"O","X"))</f>
        <v>O</v>
      </c>
      <c r="AU219" s="79" t="str">
        <f>IF(C219="","",IF(C219&gt;=$AU$1,"O","X"))</f>
        <v>X</v>
      </c>
      <c r="AV219" s="79" t="str">
        <f>IF(AO219="","",IF(AND(AO219="O",AP219="O",AR219="O",AT219="O",AU219="O"),"후보","X"))</f>
        <v/>
      </c>
    </row>
    <row r="220" spans="1:48" s="37" customFormat="1" ht="12" x14ac:dyDescent="0.3">
      <c r="A220" s="74" t="s">
        <v>1578</v>
      </c>
      <c r="B220" s="75" t="s">
        <v>1579</v>
      </c>
      <c r="C220" s="85">
        <v>350</v>
      </c>
      <c r="D220" s="86">
        <v>58.7</v>
      </c>
      <c r="E220" s="87">
        <v>18</v>
      </c>
      <c r="F220" s="86">
        <v>49.6</v>
      </c>
      <c r="G220" s="17">
        <v>15</v>
      </c>
      <c r="H220" s="88">
        <v>200</v>
      </c>
      <c r="I220" s="89">
        <v>12000</v>
      </c>
      <c r="J220" s="89" t="s">
        <v>83</v>
      </c>
      <c r="K220" s="89">
        <v>11000</v>
      </c>
      <c r="L220" s="89" t="s">
        <v>83</v>
      </c>
      <c r="M220" s="90">
        <f>I220-K220</f>
        <v>1000</v>
      </c>
      <c r="N220" s="4">
        <f>IF(ISERROR(K220/I220),"",K220/I220)</f>
        <v>0.91666666666666663</v>
      </c>
      <c r="O220" s="91">
        <f>I220/E220</f>
        <v>666.66666666666663</v>
      </c>
      <c r="P220" s="91">
        <f>K220/E220</f>
        <v>611.11111111111109</v>
      </c>
      <c r="Q220" s="79">
        <v>2</v>
      </c>
      <c r="R220" s="79">
        <v>1</v>
      </c>
      <c r="S220" s="79" t="s">
        <v>62</v>
      </c>
      <c r="T220" s="5">
        <v>58</v>
      </c>
      <c r="U220" s="9"/>
      <c r="W220" s="86">
        <f t="shared" si="204"/>
        <v>58.7</v>
      </c>
      <c r="X220" s="87">
        <f t="shared" si="204"/>
        <v>18</v>
      </c>
      <c r="Y220" s="92">
        <f t="shared" si="205"/>
        <v>200</v>
      </c>
      <c r="Z220" s="90">
        <f t="shared" si="205"/>
        <v>12000</v>
      </c>
      <c r="AA220" s="90">
        <f>K220</f>
        <v>11000</v>
      </c>
      <c r="AB220" s="90">
        <f t="shared" si="203"/>
        <v>1000</v>
      </c>
      <c r="AC220" s="4">
        <f t="shared" si="203"/>
        <v>0.91666666666666663</v>
      </c>
      <c r="AD220" s="91">
        <f t="shared" si="203"/>
        <v>666.66666666666663</v>
      </c>
      <c r="AE220" s="79" t="str">
        <f>S220</f>
        <v>계</v>
      </c>
      <c r="AF220" s="79" t="str">
        <f>Q220&amp;"/"&amp;R220</f>
        <v>2/1</v>
      </c>
      <c r="AH220" s="20" t="str">
        <f t="shared" si="199"/>
        <v>복대동 덕일</v>
      </c>
      <c r="AI220" s="87">
        <f t="shared" si="200"/>
        <v>18</v>
      </c>
      <c r="AJ220" s="79" t="str">
        <f>IF(AI220="","",$AJ$2)</f>
        <v>A-</v>
      </c>
      <c r="AK220" s="79" t="s">
        <v>13</v>
      </c>
      <c r="AL220" s="79" t="s">
        <v>60</v>
      </c>
      <c r="AM220" s="79" t="s">
        <v>61</v>
      </c>
      <c r="AN220" s="79" t="str">
        <f>IF(AI220="","",$AN$2)</f>
        <v>C</v>
      </c>
      <c r="AO220" s="79" t="str">
        <f>IF(N220="","",IF(N220&gt;=$AO$1/100,"O","X"))</f>
        <v>O</v>
      </c>
      <c r="AP220" s="79" t="str">
        <f>IF(I220="","",IF(I220&lt;=$AP$1,"O","X"))</f>
        <v>O</v>
      </c>
      <c r="AQ220" s="79" t="str">
        <f>IF(O220="","",IF(O220&lt;=$AQ$1,"O","X"))</f>
        <v>O</v>
      </c>
      <c r="AR220" s="79" t="str">
        <f>IF(M220="","",IF(M220&lt;=$AR$1,"O","X"))</f>
        <v>O</v>
      </c>
      <c r="AS220" s="79" t="s">
        <v>2</v>
      </c>
      <c r="AT220" s="79" t="str">
        <f>IF(OR(F220="",AI220=""),"",IF(AND((F220&lt;=85),(AI220&gt;=15)),"O","X"))</f>
        <v>O</v>
      </c>
      <c r="AU220" s="79" t="str">
        <f>IF(C220="","",IF(C220&gt;=$AU$1,"O","X"))</f>
        <v>O</v>
      </c>
      <c r="AV220" s="79" t="str">
        <f>IF(AO220="","",IF(AND(AO220="O",AP220="O",AR220="O",AT220="O",AU220="O"),"후보","X"))</f>
        <v>후보</v>
      </c>
    </row>
    <row r="221" spans="1:48" s="37" customFormat="1" ht="12" x14ac:dyDescent="0.3">
      <c r="A221" s="74" t="s">
        <v>1578</v>
      </c>
      <c r="B221" s="75" t="s">
        <v>1579</v>
      </c>
      <c r="C221" s="85">
        <v>350</v>
      </c>
      <c r="D221" s="86">
        <v>64.900000000000006</v>
      </c>
      <c r="E221" s="87">
        <v>20</v>
      </c>
      <c r="F221" s="86">
        <v>49.6</v>
      </c>
      <c r="G221" s="17">
        <v>15</v>
      </c>
      <c r="H221" s="88">
        <v>10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3</v>
      </c>
      <c r="R221" s="79">
        <v>2</v>
      </c>
      <c r="S221" s="79" t="s">
        <v>62</v>
      </c>
      <c r="T221" s="5">
        <v>64</v>
      </c>
      <c r="U221" s="9"/>
      <c r="W221" s="86">
        <f t="shared" si="204"/>
        <v>64.900000000000006</v>
      </c>
      <c r="X221" s="87">
        <f t="shared" si="204"/>
        <v>20</v>
      </c>
      <c r="Y221" s="92">
        <f t="shared" si="205"/>
        <v>10</v>
      </c>
      <c r="Z221" s="90">
        <f t="shared" si="205"/>
        <v>0</v>
      </c>
      <c r="AA221" s="90">
        <f>K221</f>
        <v>0</v>
      </c>
      <c r="AB221" s="90">
        <f t="shared" si="203"/>
        <v>0</v>
      </c>
      <c r="AC221" s="4" t="str">
        <f t="shared" si="203"/>
        <v/>
      </c>
      <c r="AD221" s="91">
        <f t="shared" si="203"/>
        <v>0</v>
      </c>
      <c r="AE221" s="79" t="str">
        <f>S221</f>
        <v>계</v>
      </c>
      <c r="AF221" s="79" t="str">
        <f>Q221&amp;"/"&amp;R221</f>
        <v>3/2</v>
      </c>
      <c r="AH221" s="20" t="str">
        <f t="shared" si="199"/>
        <v>복대동 덕일</v>
      </c>
      <c r="AI221" s="87">
        <f t="shared" si="200"/>
        <v>20</v>
      </c>
      <c r="AJ221" s="79" t="str">
        <f>IF(AI221="","",$AJ$2)</f>
        <v>A-</v>
      </c>
      <c r="AK221" s="79" t="s">
        <v>13</v>
      </c>
      <c r="AL221" s="79" t="s">
        <v>60</v>
      </c>
      <c r="AM221" s="79" t="s">
        <v>61</v>
      </c>
      <c r="AN221" s="79" t="str">
        <f>IF(AI221="","",$AN$2)</f>
        <v>C</v>
      </c>
      <c r="AO221" s="79" t="str">
        <f>IF(N221="","",IF(N221&gt;=$AO$1/100,"O","X"))</f>
        <v/>
      </c>
      <c r="AP221" s="79" t="str">
        <f>IF(I221="","",IF(I221&lt;=$AP$1,"O","X"))</f>
        <v/>
      </c>
      <c r="AQ221" s="79" t="str">
        <f>IF(O221="","",IF(O221&lt;=$AQ$1,"O","X"))</f>
        <v>O</v>
      </c>
      <c r="AR221" s="79" t="str">
        <f>IF(M221="","",IF(M221&lt;=$AR$1,"O","X"))</f>
        <v>O</v>
      </c>
      <c r="AS221" s="79" t="s">
        <v>2</v>
      </c>
      <c r="AT221" s="79" t="str">
        <f>IF(OR(F221="",AI221=""),"",IF(AND((F221&lt;=85),(AI221&gt;=15)),"O","X"))</f>
        <v>O</v>
      </c>
      <c r="AU221" s="79" t="str">
        <f>IF(C221="","",IF(C221&gt;=$AU$1,"O","X"))</f>
        <v>O</v>
      </c>
      <c r="AV221" s="79" t="str">
        <f>IF(AO221="","",IF(AND(AO221="O",AP221="O",AR221="O",AT221="O",AU221="O"),"후보","X"))</f>
        <v/>
      </c>
    </row>
    <row r="222" spans="1:48" s="37" customFormat="1" ht="12" x14ac:dyDescent="0.3">
      <c r="A222" s="74" t="s">
        <v>1578</v>
      </c>
      <c r="B222" s="75" t="s">
        <v>1579</v>
      </c>
      <c r="C222" s="85">
        <v>350</v>
      </c>
      <c r="D222" s="86">
        <v>68.7</v>
      </c>
      <c r="E222" s="87">
        <v>21</v>
      </c>
      <c r="F222" s="86">
        <v>59.6</v>
      </c>
      <c r="G222" s="17">
        <v>18</v>
      </c>
      <c r="H222" s="88">
        <v>5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3</v>
      </c>
      <c r="R222" s="79">
        <v>1</v>
      </c>
      <c r="S222" s="79" t="s">
        <v>62</v>
      </c>
      <c r="T222" s="5" t="s">
        <v>155</v>
      </c>
      <c r="U222" s="9"/>
      <c r="W222" s="86">
        <f t="shared" si="204"/>
        <v>68.7</v>
      </c>
      <c r="X222" s="87">
        <f t="shared" si="204"/>
        <v>21</v>
      </c>
      <c r="Y222" s="92">
        <f t="shared" si="205"/>
        <v>5</v>
      </c>
      <c r="Z222" s="90">
        <f t="shared" si="205"/>
        <v>0</v>
      </c>
      <c r="AA222" s="90">
        <f>K222</f>
        <v>0</v>
      </c>
      <c r="AB222" s="90">
        <f t="shared" si="203"/>
        <v>0</v>
      </c>
      <c r="AC222" s="4" t="str">
        <f t="shared" si="203"/>
        <v/>
      </c>
      <c r="AD222" s="91">
        <f t="shared" si="203"/>
        <v>0</v>
      </c>
      <c r="AE222" s="79" t="str">
        <f>S222</f>
        <v>계</v>
      </c>
      <c r="AF222" s="79" t="str">
        <f>Q222&amp;"/"&amp;R222</f>
        <v>3/1</v>
      </c>
      <c r="AH222" s="20" t="str">
        <f t="shared" si="199"/>
        <v>복대동 덕일</v>
      </c>
      <c r="AI222" s="87">
        <f t="shared" si="200"/>
        <v>21</v>
      </c>
      <c r="AJ222" s="79" t="str">
        <f>IF(AI222="","",$AJ$2)</f>
        <v>A-</v>
      </c>
      <c r="AK222" s="79" t="s">
        <v>13</v>
      </c>
      <c r="AL222" s="79" t="s">
        <v>60</v>
      </c>
      <c r="AM222" s="79" t="s">
        <v>61</v>
      </c>
      <c r="AN222" s="79" t="str">
        <f>IF(AI222="","",$AN$2)</f>
        <v>C</v>
      </c>
      <c r="AO222" s="79" t="str">
        <f>IF(N222="","",IF(N222&gt;=$AO$1/100,"O","X"))</f>
        <v/>
      </c>
      <c r="AP222" s="79" t="str">
        <f>IF(I222="","",IF(I222&lt;=$AP$1,"O","X"))</f>
        <v/>
      </c>
      <c r="AQ222" s="79" t="str">
        <f>IF(O222="","",IF(O222&lt;=$AQ$1,"O","X"))</f>
        <v>O</v>
      </c>
      <c r="AR222" s="79" t="str">
        <f>IF(M222="","",IF(M222&lt;=$AR$1,"O","X"))</f>
        <v>O</v>
      </c>
      <c r="AS222" s="79" t="s">
        <v>2</v>
      </c>
      <c r="AT222" s="79" t="str">
        <f>IF(OR(F222="",AI222=""),"",IF(AND((F222&lt;=85),(AI222&gt;=15)),"O","X"))</f>
        <v>O</v>
      </c>
      <c r="AU222" s="79" t="str">
        <f>IF(C222="","",IF(C222&gt;=$AU$1,"O","X"))</f>
        <v>O</v>
      </c>
      <c r="AV222" s="79" t="str">
        <f>IF(AO222="","",IF(AND(AO222="O",AP222="O",AR222="O",AT222="O",AU222="O"),"후보","X"))</f>
        <v/>
      </c>
    </row>
    <row r="223" spans="1:48" s="37" customFormat="1" ht="12" x14ac:dyDescent="0.3">
      <c r="A223" s="74" t="s">
        <v>1578</v>
      </c>
      <c r="B223" s="75" t="s">
        <v>1579</v>
      </c>
      <c r="C223" s="85">
        <v>350</v>
      </c>
      <c r="D223" s="86">
        <v>68.7</v>
      </c>
      <c r="E223" s="87">
        <v>21</v>
      </c>
      <c r="F223" s="86">
        <v>59.6</v>
      </c>
      <c r="G223" s="17">
        <v>18</v>
      </c>
      <c r="H223" s="88">
        <v>5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3</v>
      </c>
      <c r="R223" s="79">
        <v>1</v>
      </c>
      <c r="S223" s="79" t="s">
        <v>62</v>
      </c>
      <c r="T223" s="5" t="s">
        <v>156</v>
      </c>
      <c r="U223" s="9"/>
      <c r="W223" s="86">
        <f t="shared" si="204"/>
        <v>68.7</v>
      </c>
      <c r="X223" s="87">
        <f t="shared" si="204"/>
        <v>21</v>
      </c>
      <c r="Y223" s="92">
        <f t="shared" si="205"/>
        <v>5</v>
      </c>
      <c r="Z223" s="90">
        <f t="shared" si="205"/>
        <v>0</v>
      </c>
      <c r="AA223" s="90">
        <f>K223</f>
        <v>0</v>
      </c>
      <c r="AB223" s="90">
        <f t="shared" si="203"/>
        <v>0</v>
      </c>
      <c r="AC223" s="4" t="str">
        <f t="shared" si="203"/>
        <v/>
      </c>
      <c r="AD223" s="91">
        <f t="shared" si="203"/>
        <v>0</v>
      </c>
      <c r="AE223" s="79" t="str">
        <f>S223</f>
        <v>계</v>
      </c>
      <c r="AF223" s="79" t="str">
        <f>Q223&amp;"/"&amp;R223</f>
        <v>3/1</v>
      </c>
      <c r="AH223" s="20" t="str">
        <f t="shared" si="199"/>
        <v>복대동 덕일</v>
      </c>
      <c r="AI223" s="87">
        <f t="shared" si="200"/>
        <v>21</v>
      </c>
      <c r="AJ223" s="79" t="str">
        <f>IF(AI223="","",$AJ$2)</f>
        <v>A-</v>
      </c>
      <c r="AK223" s="79" t="s">
        <v>13</v>
      </c>
      <c r="AL223" s="79" t="s">
        <v>60</v>
      </c>
      <c r="AM223" s="79" t="s">
        <v>61</v>
      </c>
      <c r="AN223" s="79" t="str">
        <f>IF(AI223="","",$AN$2)</f>
        <v>C</v>
      </c>
      <c r="AO223" s="79" t="str">
        <f>IF(N223="","",IF(N223&gt;=$AO$1/100,"O","X"))</f>
        <v/>
      </c>
      <c r="AP223" s="79" t="str">
        <f>IF(I223="","",IF(I223&lt;=$AP$1,"O","X"))</f>
        <v/>
      </c>
      <c r="AQ223" s="79" t="str">
        <f>IF(O223="","",IF(O223&lt;=$AQ$1,"O","X"))</f>
        <v>O</v>
      </c>
      <c r="AR223" s="79" t="str">
        <f>IF(M223="","",IF(M223&lt;=$AR$1,"O","X"))</f>
        <v>O</v>
      </c>
      <c r="AS223" s="79" t="s">
        <v>2</v>
      </c>
      <c r="AT223" s="79" t="str">
        <f>IF(OR(F223="",AI223=""),"",IF(AND((F223&lt;=85),(AI223&gt;=15)),"O","X"))</f>
        <v>O</v>
      </c>
      <c r="AU223" s="79" t="str">
        <f>IF(C223="","",IF(C223&gt;=$AU$1,"O","X"))</f>
        <v>O</v>
      </c>
      <c r="AV223" s="79" t="str">
        <f>IF(AO223="","",IF(AND(AO223="O",AP223="O",AR223="O",AT223="O",AU223="O"),"후보","X"))</f>
        <v/>
      </c>
    </row>
    <row r="224" spans="1:48" s="37" customFormat="1" ht="12" x14ac:dyDescent="0.3">
      <c r="A224" s="74" t="s">
        <v>1578</v>
      </c>
      <c r="B224" s="75" t="s">
        <v>1579</v>
      </c>
      <c r="C224" s="85">
        <v>350</v>
      </c>
      <c r="D224" s="86">
        <v>69</v>
      </c>
      <c r="E224" s="87">
        <v>21</v>
      </c>
      <c r="F224" s="86">
        <v>59.9</v>
      </c>
      <c r="G224" s="17">
        <v>18</v>
      </c>
      <c r="H224" s="88">
        <v>130</v>
      </c>
      <c r="I224" s="89">
        <v>13600</v>
      </c>
      <c r="J224" s="89" t="s">
        <v>83</v>
      </c>
      <c r="K224" s="89"/>
      <c r="L224" s="89"/>
      <c r="M224" s="90">
        <f>I224-K224</f>
        <v>13600</v>
      </c>
      <c r="N224" s="4">
        <f>IF(ISERROR(K224/I224),"",K224/I224)</f>
        <v>0</v>
      </c>
      <c r="O224" s="91">
        <f>I224/E224</f>
        <v>647.61904761904759</v>
      </c>
      <c r="P224" s="91">
        <f>K224/E224</f>
        <v>0</v>
      </c>
      <c r="Q224" s="79">
        <v>3</v>
      </c>
      <c r="R224" s="79">
        <v>1</v>
      </c>
      <c r="S224" s="79" t="s">
        <v>62</v>
      </c>
      <c r="T224" s="5">
        <v>69</v>
      </c>
      <c r="U224" s="9"/>
      <c r="W224" s="86">
        <f t="shared" si="204"/>
        <v>69</v>
      </c>
      <c r="X224" s="87">
        <f t="shared" si="204"/>
        <v>21</v>
      </c>
      <c r="Y224" s="92">
        <f t="shared" si="205"/>
        <v>130</v>
      </c>
      <c r="Z224" s="90">
        <f t="shared" si="205"/>
        <v>13600</v>
      </c>
      <c r="AA224" s="90">
        <f>K224</f>
        <v>0</v>
      </c>
      <c r="AB224" s="90">
        <f t="shared" si="203"/>
        <v>13600</v>
      </c>
      <c r="AC224" s="4">
        <f t="shared" si="203"/>
        <v>0</v>
      </c>
      <c r="AD224" s="91">
        <f t="shared" si="203"/>
        <v>647.61904761904759</v>
      </c>
      <c r="AE224" s="79" t="str">
        <f>S224</f>
        <v>계</v>
      </c>
      <c r="AF224" s="79" t="str">
        <f>Q224&amp;"/"&amp;R224</f>
        <v>3/1</v>
      </c>
      <c r="AH224" s="20" t="str">
        <f t="shared" si="199"/>
        <v>복대동 덕일</v>
      </c>
      <c r="AI224" s="87">
        <f t="shared" si="200"/>
        <v>21</v>
      </c>
      <c r="AJ224" s="79" t="str">
        <f>IF(AI224="","",$AJ$2)</f>
        <v>A-</v>
      </c>
      <c r="AK224" s="79" t="s">
        <v>13</v>
      </c>
      <c r="AL224" s="79" t="s">
        <v>60</v>
      </c>
      <c r="AM224" s="79" t="s">
        <v>61</v>
      </c>
      <c r="AN224" s="79" t="str">
        <f>IF(AI224="","",$AN$2)</f>
        <v>C</v>
      </c>
      <c r="AO224" s="79" t="str">
        <f>IF(N224="","",IF(N224&gt;=$AO$1/100,"O","X"))</f>
        <v>X</v>
      </c>
      <c r="AP224" s="79" t="str">
        <f>IF(I224="","",IF(I224&lt;=$AP$1,"O","X"))</f>
        <v>O</v>
      </c>
      <c r="AQ224" s="79" t="str">
        <f>IF(O224="","",IF(O224&lt;=$AQ$1,"O","X"))</f>
        <v>O</v>
      </c>
      <c r="AR224" s="79" t="str">
        <f>IF(M224="","",IF(M224&lt;=$AR$1,"O","X"))</f>
        <v>X</v>
      </c>
      <c r="AS224" s="79" t="s">
        <v>2</v>
      </c>
      <c r="AT224" s="79" t="str">
        <f>IF(OR(F224="",AI224=""),"",IF(AND((F224&lt;=85),(AI224&gt;=15)),"O","X"))</f>
        <v>O</v>
      </c>
      <c r="AU224" s="79" t="str">
        <f>IF(C224="","",IF(C224&gt;=$AU$1,"O","X"))</f>
        <v>O</v>
      </c>
      <c r="AV224" s="79" t="str">
        <f>IF(AO224="","",IF(AND(AO224="O",AP224="O",AR224="O",AT224="O",AU224="O"),"후보","X"))</f>
        <v>X</v>
      </c>
    </row>
    <row r="225" spans="1:48" s="37" customFormat="1" ht="12" x14ac:dyDescent="0.3">
      <c r="A225" s="74" t="s">
        <v>1580</v>
      </c>
      <c r="B225" s="75" t="s">
        <v>1581</v>
      </c>
      <c r="C225" s="85">
        <v>526</v>
      </c>
      <c r="D225" s="86">
        <v>76.3</v>
      </c>
      <c r="E225" s="87">
        <v>23</v>
      </c>
      <c r="F225" s="86">
        <v>60</v>
      </c>
      <c r="G225" s="17">
        <v>18</v>
      </c>
      <c r="H225" s="88">
        <v>380</v>
      </c>
      <c r="I225" s="89">
        <v>19500</v>
      </c>
      <c r="J225" s="89" t="s">
        <v>79</v>
      </c>
      <c r="K225" s="89">
        <v>19500</v>
      </c>
      <c r="L225" s="89" t="s">
        <v>79</v>
      </c>
      <c r="M225" s="90">
        <f>I225-K225</f>
        <v>0</v>
      </c>
      <c r="N225" s="4">
        <f>IF(ISERROR(K225/I225),"",K225/I225)</f>
        <v>1</v>
      </c>
      <c r="O225" s="91">
        <f>I225/E225</f>
        <v>847.82608695652175</v>
      </c>
      <c r="P225" s="91">
        <f>K225/E225</f>
        <v>847.82608695652175</v>
      </c>
      <c r="Q225" s="79">
        <v>3</v>
      </c>
      <c r="R225" s="79">
        <v>2</v>
      </c>
      <c r="S225" s="79" t="s">
        <v>62</v>
      </c>
      <c r="T225" s="5">
        <v>76</v>
      </c>
      <c r="U225" s="9"/>
      <c r="W225" s="86">
        <f>D225</f>
        <v>76.3</v>
      </c>
      <c r="X225" s="87">
        <f>E225</f>
        <v>23</v>
      </c>
      <c r="Y225" s="92">
        <f>H225</f>
        <v>380</v>
      </c>
      <c r="Z225" s="90">
        <f>I225</f>
        <v>19500</v>
      </c>
      <c r="AA225" s="90">
        <f>K225</f>
        <v>19500</v>
      </c>
      <c r="AB225" s="90">
        <f t="shared" si="203"/>
        <v>0</v>
      </c>
      <c r="AC225" s="4">
        <f t="shared" si="203"/>
        <v>1</v>
      </c>
      <c r="AD225" s="91">
        <f t="shared" si="203"/>
        <v>847.82608695652175</v>
      </c>
      <c r="AE225" s="79" t="str">
        <f>S225</f>
        <v>계</v>
      </c>
      <c r="AF225" s="79" t="str">
        <f>Q225&amp;"/"&amp;R225</f>
        <v>3/2</v>
      </c>
      <c r="AH225" s="20" t="str">
        <f t="shared" si="199"/>
        <v>복대동 세원느티마을</v>
      </c>
      <c r="AI225" s="87">
        <f t="shared" si="200"/>
        <v>23</v>
      </c>
      <c r="AJ225" s="79" t="str">
        <f>IF(AI225="","",$AJ$2)</f>
        <v>A-</v>
      </c>
      <c r="AK225" s="79" t="s">
        <v>13</v>
      </c>
      <c r="AL225" s="79" t="s">
        <v>60</v>
      </c>
      <c r="AM225" s="79" t="s">
        <v>61</v>
      </c>
      <c r="AN225" s="79" t="str">
        <f>IF(AI225="","",$AN$2)</f>
        <v>C</v>
      </c>
      <c r="AO225" s="79" t="str">
        <f>IF(N225="","",IF(N225&gt;=$AO$1/100,"O","X"))</f>
        <v>O</v>
      </c>
      <c r="AP225" s="79" t="str">
        <f>IF(I225="","",IF(I225&lt;=$AP$1,"O","X"))</f>
        <v>O</v>
      </c>
      <c r="AQ225" s="79" t="str">
        <f>IF(O225="","",IF(O225&lt;=$AQ$1,"O","X"))</f>
        <v>O</v>
      </c>
      <c r="AR225" s="79" t="str">
        <f>IF(M225="","",IF(M225&lt;=$AR$1,"O","X"))</f>
        <v>O</v>
      </c>
      <c r="AS225" s="79" t="s">
        <v>2</v>
      </c>
      <c r="AT225" s="79" t="str">
        <f>IF(OR(F225="",AI225=""),"",IF(AND((F225&lt;=85),(AI225&gt;=15)),"O","X"))</f>
        <v>O</v>
      </c>
      <c r="AU225" s="79" t="str">
        <f>IF(C225="","",IF(C225&gt;=$AU$1,"O","X"))</f>
        <v>O</v>
      </c>
      <c r="AV225" s="79" t="str">
        <f>IF(AO225="","",IF(AND(AO225="O",AP225="O",AR225="O",AT225="O",AU225="O"),"후보","X"))</f>
        <v>후보</v>
      </c>
    </row>
    <row r="226" spans="1:48" s="37" customFormat="1" ht="12" x14ac:dyDescent="0.3">
      <c r="A226" s="74" t="s">
        <v>1580</v>
      </c>
      <c r="B226" s="75" t="s">
        <v>1581</v>
      </c>
      <c r="C226" s="85">
        <v>526</v>
      </c>
      <c r="D226" s="86">
        <v>81.599999999999994</v>
      </c>
      <c r="E226" s="87">
        <v>25</v>
      </c>
      <c r="F226" s="86">
        <v>60</v>
      </c>
      <c r="G226" s="17">
        <v>18</v>
      </c>
      <c r="H226" s="88">
        <v>146</v>
      </c>
      <c r="I226" s="89">
        <v>19700</v>
      </c>
      <c r="J226" s="89" t="s">
        <v>75</v>
      </c>
      <c r="K226" s="89">
        <v>20000</v>
      </c>
      <c r="L226" s="89" t="s">
        <v>83</v>
      </c>
      <c r="M226" s="90">
        <f>I226-K226</f>
        <v>-300</v>
      </c>
      <c r="N226" s="4">
        <f>IF(ISERROR(K226/I226),"",K226/I226)</f>
        <v>1.015228426395939</v>
      </c>
      <c r="O226" s="91">
        <f>I226/E226</f>
        <v>788</v>
      </c>
      <c r="P226" s="91">
        <f>K226/E226</f>
        <v>800</v>
      </c>
      <c r="Q226" s="79">
        <v>3</v>
      </c>
      <c r="R226" s="79">
        <v>2</v>
      </c>
      <c r="S226" s="79" t="s">
        <v>62</v>
      </c>
      <c r="T226" s="5">
        <v>81</v>
      </c>
      <c r="U226" s="9"/>
      <c r="W226" s="86">
        <f>D226</f>
        <v>81.599999999999994</v>
      </c>
      <c r="X226" s="87">
        <f>E226</f>
        <v>25</v>
      </c>
      <c r="Y226" s="92">
        <f>H226</f>
        <v>146</v>
      </c>
      <c r="Z226" s="90">
        <f>I226</f>
        <v>19700</v>
      </c>
      <c r="AA226" s="90">
        <f>K226</f>
        <v>20000</v>
      </c>
      <c r="AB226" s="90">
        <f t="shared" si="203"/>
        <v>-300</v>
      </c>
      <c r="AC226" s="4">
        <f t="shared" si="203"/>
        <v>1.015228426395939</v>
      </c>
      <c r="AD226" s="91">
        <f t="shared" si="203"/>
        <v>788</v>
      </c>
      <c r="AE226" s="79" t="str">
        <f>S226</f>
        <v>계</v>
      </c>
      <c r="AF226" s="79" t="str">
        <f>Q226&amp;"/"&amp;R226</f>
        <v>3/2</v>
      </c>
      <c r="AH226" s="20" t="str">
        <f t="shared" si="199"/>
        <v>복대동 세원느티마을</v>
      </c>
      <c r="AI226" s="87">
        <f t="shared" si="200"/>
        <v>25</v>
      </c>
      <c r="AJ226" s="79" t="str">
        <f>IF(AI226="","",$AJ$2)</f>
        <v>A-</v>
      </c>
      <c r="AK226" s="79" t="s">
        <v>13</v>
      </c>
      <c r="AL226" s="79" t="s">
        <v>60</v>
      </c>
      <c r="AM226" s="79" t="s">
        <v>61</v>
      </c>
      <c r="AN226" s="79" t="str">
        <f>IF(AI226="","",$AN$2)</f>
        <v>C</v>
      </c>
      <c r="AO226" s="79" t="str">
        <f>IF(N226="","",IF(N226&gt;=$AO$1/100,"O","X"))</f>
        <v>O</v>
      </c>
      <c r="AP226" s="79" t="str">
        <f>IF(I226="","",IF(I226&lt;=$AP$1,"O","X"))</f>
        <v>O</v>
      </c>
      <c r="AQ226" s="79" t="str">
        <f>IF(O226="","",IF(O226&lt;=$AQ$1,"O","X"))</f>
        <v>O</v>
      </c>
      <c r="AR226" s="79" t="str">
        <f>IF(M226="","",IF(M226&lt;=$AR$1,"O","X"))</f>
        <v>O</v>
      </c>
      <c r="AS226" s="79" t="s">
        <v>2</v>
      </c>
      <c r="AT226" s="79" t="str">
        <f>IF(OR(F226="",AI226=""),"",IF(AND((F226&lt;=85),(AI226&gt;=15)),"O","X"))</f>
        <v>O</v>
      </c>
      <c r="AU226" s="79" t="str">
        <f>IF(C226="","",IF(C226&gt;=$AU$1,"O","X"))</f>
        <v>O</v>
      </c>
      <c r="AV226" s="79" t="str">
        <f>IF(AO226="","",IF(AND(AO226="O",AP226="O",AR226="O",AT226="O",AU226="O"),"후보","X"))</f>
        <v>후보</v>
      </c>
    </row>
    <row r="227" spans="1:48" s="37" customFormat="1" ht="12" x14ac:dyDescent="0.3">
      <c r="A227" s="74" t="s">
        <v>1582</v>
      </c>
      <c r="B227" s="75" t="s">
        <v>1583</v>
      </c>
      <c r="C227" s="85">
        <v>539</v>
      </c>
      <c r="D227" s="86">
        <v>103.2</v>
      </c>
      <c r="E227" s="87">
        <v>31</v>
      </c>
      <c r="F227" s="86">
        <v>79.400000000000006</v>
      </c>
      <c r="G227" s="17">
        <v>24</v>
      </c>
      <c r="H227" s="88">
        <v>202</v>
      </c>
      <c r="I227" s="89">
        <v>30500</v>
      </c>
      <c r="J227" s="89" t="s">
        <v>88</v>
      </c>
      <c r="K227" s="89">
        <v>26000</v>
      </c>
      <c r="L227" s="89" t="s">
        <v>83</v>
      </c>
      <c r="M227" s="90">
        <f>I227-K227</f>
        <v>4500</v>
      </c>
      <c r="N227" s="4">
        <f>IF(ISERROR(K227/I227),"",K227/I227)</f>
        <v>0.85245901639344257</v>
      </c>
      <c r="O227" s="91">
        <f>I227/E227</f>
        <v>983.87096774193549</v>
      </c>
      <c r="P227" s="91">
        <f>K227/E227</f>
        <v>838.70967741935488</v>
      </c>
      <c r="Q227" s="79">
        <v>3</v>
      </c>
      <c r="R227" s="79">
        <v>2</v>
      </c>
      <c r="S227" s="79" t="s">
        <v>62</v>
      </c>
      <c r="T227" s="5">
        <v>103</v>
      </c>
      <c r="U227" s="9"/>
      <c r="W227" s="86">
        <f>D227</f>
        <v>103.2</v>
      </c>
      <c r="X227" s="87">
        <f>E227</f>
        <v>31</v>
      </c>
      <c r="Y227" s="92">
        <f>H227</f>
        <v>202</v>
      </c>
      <c r="Z227" s="90">
        <f>I227</f>
        <v>30500</v>
      </c>
      <c r="AA227" s="90">
        <f>K227</f>
        <v>26000</v>
      </c>
      <c r="AB227" s="90">
        <f t="shared" si="203"/>
        <v>4500</v>
      </c>
      <c r="AC227" s="4">
        <f t="shared" si="203"/>
        <v>0.85245901639344257</v>
      </c>
      <c r="AD227" s="91">
        <f t="shared" si="203"/>
        <v>983.87096774193549</v>
      </c>
      <c r="AE227" s="79" t="str">
        <f>S227</f>
        <v>계</v>
      </c>
      <c r="AF227" s="79" t="str">
        <f>Q227&amp;"/"&amp;R227</f>
        <v>3/2</v>
      </c>
      <c r="AH227" s="20" t="str">
        <f t="shared" si="199"/>
        <v>복대동 아름다운나날2차</v>
      </c>
      <c r="AI227" s="87">
        <f t="shared" si="200"/>
        <v>31</v>
      </c>
      <c r="AJ227" s="79" t="str">
        <f>IF(AI227="","",$AJ$2)</f>
        <v>A-</v>
      </c>
      <c r="AK227" s="79" t="s">
        <v>13</v>
      </c>
      <c r="AL227" s="79" t="s">
        <v>60</v>
      </c>
      <c r="AM227" s="79" t="s">
        <v>61</v>
      </c>
      <c r="AN227" s="79" t="str">
        <f>IF(AI227="","",$AN$2)</f>
        <v>C</v>
      </c>
      <c r="AO227" s="79" t="str">
        <f>IF(N227="","",IF(N227&gt;=$AO$1/100,"O","X"))</f>
        <v>O</v>
      </c>
      <c r="AP227" s="79" t="str">
        <f>IF(I227="","",IF(I227&lt;=$AP$1,"O","X"))</f>
        <v>O</v>
      </c>
      <c r="AQ227" s="79" t="str">
        <f>IF(O227="","",IF(O227&lt;=$AQ$1,"O","X"))</f>
        <v>O</v>
      </c>
      <c r="AR227" s="79" t="str">
        <f>IF(M227="","",IF(M227&lt;=$AR$1,"O","X"))</f>
        <v>O</v>
      </c>
      <c r="AS227" s="79" t="s">
        <v>2</v>
      </c>
      <c r="AT227" s="79" t="str">
        <f>IF(OR(F227="",AI227=""),"",IF(AND((F227&lt;=85),(AI227&gt;=15)),"O","X"))</f>
        <v>O</v>
      </c>
      <c r="AU227" s="79" t="str">
        <f>IF(C227="","",IF(C227&gt;=$AU$1,"O","X"))</f>
        <v>O</v>
      </c>
      <c r="AV227" s="79" t="str">
        <f>IF(AO227="","",IF(AND(AO227="O",AP227="O",AR227="O",AT227="O",AU227="O"),"후보","X"))</f>
        <v>후보</v>
      </c>
    </row>
    <row r="228" spans="1:48" s="37" customFormat="1" ht="12" x14ac:dyDescent="0.3">
      <c r="A228" s="74" t="s">
        <v>1582</v>
      </c>
      <c r="B228" s="75" t="s">
        <v>1583</v>
      </c>
      <c r="C228" s="85">
        <v>539</v>
      </c>
      <c r="D228" s="86">
        <v>112.9</v>
      </c>
      <c r="E228" s="87">
        <v>34</v>
      </c>
      <c r="F228" s="86">
        <v>84.9</v>
      </c>
      <c r="G228" s="17">
        <v>26</v>
      </c>
      <c r="H228" s="88">
        <v>337</v>
      </c>
      <c r="I228" s="89">
        <v>32000</v>
      </c>
      <c r="J228" s="89" t="s">
        <v>81</v>
      </c>
      <c r="K228" s="89"/>
      <c r="L228" s="89"/>
      <c r="M228" s="90">
        <f>I228-K228</f>
        <v>32000</v>
      </c>
      <c r="N228" s="4">
        <f>IF(ISERROR(K228/I228),"",K228/I228)</f>
        <v>0</v>
      </c>
      <c r="O228" s="91">
        <f>I228/E228</f>
        <v>941.17647058823525</v>
      </c>
      <c r="P228" s="91">
        <f>K228/E228</f>
        <v>0</v>
      </c>
      <c r="Q228" s="79">
        <v>3</v>
      </c>
      <c r="R228" s="79">
        <v>2</v>
      </c>
      <c r="S228" s="79" t="s">
        <v>62</v>
      </c>
      <c r="T228" s="5">
        <v>112</v>
      </c>
      <c r="U228" s="9"/>
      <c r="W228" s="86">
        <f>D228</f>
        <v>112.9</v>
      </c>
      <c r="X228" s="87">
        <f>E228</f>
        <v>34</v>
      </c>
      <c r="Y228" s="92">
        <f>H228</f>
        <v>337</v>
      </c>
      <c r="Z228" s="90">
        <f>I228</f>
        <v>32000</v>
      </c>
      <c r="AA228" s="90">
        <f>K228</f>
        <v>0</v>
      </c>
      <c r="AB228" s="90">
        <f t="shared" ref="AB228:AD235" si="206">M228</f>
        <v>32000</v>
      </c>
      <c r="AC228" s="4">
        <f t="shared" si="206"/>
        <v>0</v>
      </c>
      <c r="AD228" s="91">
        <f t="shared" si="206"/>
        <v>941.17647058823525</v>
      </c>
      <c r="AE228" s="79" t="str">
        <f>S228</f>
        <v>계</v>
      </c>
      <c r="AF228" s="79" t="str">
        <f>Q228&amp;"/"&amp;R228</f>
        <v>3/2</v>
      </c>
      <c r="AH228" s="20" t="str">
        <f t="shared" si="199"/>
        <v>복대동 아름다운나날2차</v>
      </c>
      <c r="AI228" s="87">
        <f t="shared" si="200"/>
        <v>34</v>
      </c>
      <c r="AJ228" s="79" t="str">
        <f>IF(AI228="","",$AJ$2)</f>
        <v>A-</v>
      </c>
      <c r="AK228" s="79" t="s">
        <v>13</v>
      </c>
      <c r="AL228" s="79" t="s">
        <v>60</v>
      </c>
      <c r="AM228" s="79" t="s">
        <v>61</v>
      </c>
      <c r="AN228" s="79" t="str">
        <f>IF(AI228="","",$AN$2)</f>
        <v>C</v>
      </c>
      <c r="AO228" s="79" t="str">
        <f>IF(N228="","",IF(N228&gt;=$AO$1/100,"O","X"))</f>
        <v>X</v>
      </c>
      <c r="AP228" s="79" t="str">
        <f>IF(I228="","",IF(I228&lt;=$AP$1,"O","X"))</f>
        <v>O</v>
      </c>
      <c r="AQ228" s="79" t="str">
        <f>IF(O228="","",IF(O228&lt;=$AQ$1,"O","X"))</f>
        <v>O</v>
      </c>
      <c r="AR228" s="79" t="str">
        <f>IF(M228="","",IF(M228&lt;=$AR$1,"O","X"))</f>
        <v>X</v>
      </c>
      <c r="AS228" s="79" t="s">
        <v>2</v>
      </c>
      <c r="AT228" s="79" t="str">
        <f>IF(OR(F228="",AI228=""),"",IF(AND((F228&lt;=85),(AI228&gt;=15)),"O","X"))</f>
        <v>O</v>
      </c>
      <c r="AU228" s="79" t="str">
        <f>IF(C228="","",IF(C228&gt;=$AU$1,"O","X"))</f>
        <v>O</v>
      </c>
      <c r="AV228" s="79" t="str">
        <f>IF(AO228="","",IF(AND(AO228="O",AP228="O",AR228="O",AT228="O",AU228="O"),"후보","X"))</f>
        <v>X</v>
      </c>
    </row>
    <row r="229" spans="1:48" s="37" customFormat="1" ht="12" x14ac:dyDescent="0.3">
      <c r="A229" s="74" t="s">
        <v>1584</v>
      </c>
      <c r="B229" s="75" t="s">
        <v>1550</v>
      </c>
      <c r="C229" s="85">
        <v>648</v>
      </c>
      <c r="D229" s="86">
        <v>114.2</v>
      </c>
      <c r="E229" s="87">
        <v>35</v>
      </c>
      <c r="F229" s="86">
        <v>84.6</v>
      </c>
      <c r="G229" s="17">
        <v>26</v>
      </c>
      <c r="H229" s="88">
        <v>136</v>
      </c>
      <c r="I229" s="89">
        <v>49000</v>
      </c>
      <c r="J229" s="89" t="s">
        <v>83</v>
      </c>
      <c r="K229" s="89">
        <v>38000</v>
      </c>
      <c r="L229" s="89" t="s">
        <v>79</v>
      </c>
      <c r="M229" s="90">
        <f t="shared" ref="M229:M235" si="207">I229-K229</f>
        <v>11000</v>
      </c>
      <c r="N229" s="4">
        <f t="shared" ref="N229:N235" si="208">IF(ISERROR(K229/I229),"",K229/I229)</f>
        <v>0.77551020408163263</v>
      </c>
      <c r="O229" s="91">
        <f t="shared" ref="O229:O235" si="209">I229/E229</f>
        <v>1400</v>
      </c>
      <c r="P229" s="91">
        <f t="shared" ref="P229:P235" si="210">K229/E229</f>
        <v>1085.7142857142858</v>
      </c>
      <c r="Q229" s="79">
        <v>3</v>
      </c>
      <c r="R229" s="79">
        <v>2</v>
      </c>
      <c r="S229" s="79" t="s">
        <v>62</v>
      </c>
      <c r="T229" s="5">
        <v>114</v>
      </c>
      <c r="U229" s="9"/>
      <c r="W229" s="86">
        <f t="shared" ref="W229:X235" si="211">D229</f>
        <v>114.2</v>
      </c>
      <c r="X229" s="87">
        <f t="shared" si="211"/>
        <v>35</v>
      </c>
      <c r="Y229" s="92">
        <f t="shared" ref="Y229:Z235" si="212">H229</f>
        <v>136</v>
      </c>
      <c r="Z229" s="90">
        <f t="shared" si="212"/>
        <v>49000</v>
      </c>
      <c r="AA229" s="90">
        <f t="shared" ref="AA229:AA235" si="213">K229</f>
        <v>38000</v>
      </c>
      <c r="AB229" s="90">
        <f t="shared" si="206"/>
        <v>11000</v>
      </c>
      <c r="AC229" s="4">
        <f t="shared" si="206"/>
        <v>0.77551020408163263</v>
      </c>
      <c r="AD229" s="91">
        <f t="shared" si="206"/>
        <v>1400</v>
      </c>
      <c r="AE229" s="79" t="str">
        <f t="shared" ref="AE229:AE235" si="214">S229</f>
        <v>계</v>
      </c>
      <c r="AF229" s="79" t="str">
        <f t="shared" ref="AF229:AF235" si="215">Q229&amp;"/"&amp;R229</f>
        <v>3/2</v>
      </c>
      <c r="AH229" s="20" t="str">
        <f t="shared" si="199"/>
        <v>복대동 금호어울림1단지</v>
      </c>
      <c r="AI229" s="87">
        <f t="shared" si="200"/>
        <v>35</v>
      </c>
      <c r="AJ229" s="79" t="str">
        <f t="shared" ref="AJ229:AJ235" si="216">IF(AI229="","",$AJ$2)</f>
        <v>A-</v>
      </c>
      <c r="AK229" s="79" t="s">
        <v>13</v>
      </c>
      <c r="AL229" s="79" t="s">
        <v>60</v>
      </c>
      <c r="AM229" s="79" t="s">
        <v>61</v>
      </c>
      <c r="AN229" s="79" t="str">
        <f t="shared" ref="AN229:AN235" si="217">IF(AI229="","",$AN$2)</f>
        <v>C</v>
      </c>
      <c r="AO229" s="79" t="str">
        <f t="shared" ref="AO229:AO235" si="218">IF(N229="","",IF(N229&gt;=$AO$1/100,"O","X"))</f>
        <v>X</v>
      </c>
      <c r="AP229" s="79" t="str">
        <f t="shared" ref="AP229:AP235" si="219">IF(I229="","",IF(I229&lt;=$AP$1,"O","X"))</f>
        <v>X</v>
      </c>
      <c r="AQ229" s="79" t="str">
        <f t="shared" ref="AQ229:AQ235" si="220">IF(O229="","",IF(O229&lt;=$AQ$1,"O","X"))</f>
        <v>O</v>
      </c>
      <c r="AR229" s="79" t="str">
        <f t="shared" ref="AR229:AR235" si="221">IF(M229="","",IF(M229&lt;=$AR$1,"O","X"))</f>
        <v>X</v>
      </c>
      <c r="AS229" s="79" t="s">
        <v>2</v>
      </c>
      <c r="AT229" s="79" t="str">
        <f t="shared" ref="AT229:AT235" si="222">IF(OR(F229="",AI229=""),"",IF(AND((F229&lt;=85),(AI229&gt;=15)),"O","X"))</f>
        <v>O</v>
      </c>
      <c r="AU229" s="79" t="str">
        <f t="shared" ref="AU229:AU235" si="223">IF(C229="","",IF(C229&gt;=$AU$1,"O","X"))</f>
        <v>O</v>
      </c>
      <c r="AV229" s="79" t="str">
        <f t="shared" ref="AV229:AV235" si="224">IF(AO229="","",IF(AND(AO229="O",AP229="O",AR229="O",AT229="O",AU229="O"),"후보","X"))</f>
        <v>X</v>
      </c>
    </row>
    <row r="230" spans="1:48" s="37" customFormat="1" ht="12" x14ac:dyDescent="0.3">
      <c r="A230" s="74" t="s">
        <v>1584</v>
      </c>
      <c r="B230" s="75" t="s">
        <v>1550</v>
      </c>
      <c r="C230" s="85">
        <v>648</v>
      </c>
      <c r="D230" s="86">
        <v>125.1</v>
      </c>
      <c r="E230" s="87">
        <v>38</v>
      </c>
      <c r="F230" s="86">
        <v>99.7</v>
      </c>
      <c r="G230" s="17">
        <v>30</v>
      </c>
      <c r="H230" s="88">
        <v>76</v>
      </c>
      <c r="I230" s="89">
        <v>52000</v>
      </c>
      <c r="J230" s="89" t="s">
        <v>83</v>
      </c>
      <c r="K230" s="89"/>
      <c r="L230" s="89"/>
      <c r="M230" s="90">
        <f t="shared" si="207"/>
        <v>52000</v>
      </c>
      <c r="N230" s="4">
        <f t="shared" si="208"/>
        <v>0</v>
      </c>
      <c r="O230" s="91">
        <f t="shared" si="209"/>
        <v>1368.421052631579</v>
      </c>
      <c r="P230" s="91">
        <f t="shared" si="210"/>
        <v>0</v>
      </c>
      <c r="Q230" s="79">
        <v>3</v>
      </c>
      <c r="R230" s="79">
        <v>2</v>
      </c>
      <c r="S230" s="79" t="s">
        <v>62</v>
      </c>
      <c r="T230" s="5" t="s">
        <v>157</v>
      </c>
      <c r="U230" s="9"/>
      <c r="W230" s="86">
        <f t="shared" si="211"/>
        <v>125.1</v>
      </c>
      <c r="X230" s="87">
        <f t="shared" si="211"/>
        <v>38</v>
      </c>
      <c r="Y230" s="92">
        <f t="shared" si="212"/>
        <v>76</v>
      </c>
      <c r="Z230" s="90">
        <f t="shared" si="212"/>
        <v>52000</v>
      </c>
      <c r="AA230" s="90">
        <f t="shared" si="213"/>
        <v>0</v>
      </c>
      <c r="AB230" s="90">
        <f t="shared" si="206"/>
        <v>52000</v>
      </c>
      <c r="AC230" s="4">
        <f t="shared" si="206"/>
        <v>0</v>
      </c>
      <c r="AD230" s="91">
        <f t="shared" si="206"/>
        <v>1368.421052631579</v>
      </c>
      <c r="AE230" s="79" t="str">
        <f t="shared" si="214"/>
        <v>계</v>
      </c>
      <c r="AF230" s="79" t="str">
        <f t="shared" si="215"/>
        <v>3/2</v>
      </c>
      <c r="AH230" s="20" t="str">
        <f t="shared" si="199"/>
        <v>복대동 금호어울림1단지</v>
      </c>
      <c r="AI230" s="87">
        <f t="shared" si="200"/>
        <v>38</v>
      </c>
      <c r="AJ230" s="79" t="str">
        <f t="shared" si="216"/>
        <v>A-</v>
      </c>
      <c r="AK230" s="79" t="s">
        <v>13</v>
      </c>
      <c r="AL230" s="79" t="s">
        <v>60</v>
      </c>
      <c r="AM230" s="79" t="s">
        <v>61</v>
      </c>
      <c r="AN230" s="79" t="str">
        <f t="shared" si="217"/>
        <v>C</v>
      </c>
      <c r="AO230" s="79" t="str">
        <f t="shared" si="218"/>
        <v>X</v>
      </c>
      <c r="AP230" s="79" t="str">
        <f t="shared" si="219"/>
        <v>X</v>
      </c>
      <c r="AQ230" s="79" t="str">
        <f t="shared" si="220"/>
        <v>O</v>
      </c>
      <c r="AR230" s="79" t="str">
        <f t="shared" si="221"/>
        <v>X</v>
      </c>
      <c r="AS230" s="79" t="s">
        <v>2</v>
      </c>
      <c r="AT230" s="79" t="str">
        <f t="shared" si="222"/>
        <v>X</v>
      </c>
      <c r="AU230" s="79" t="str">
        <f t="shared" si="223"/>
        <v>O</v>
      </c>
      <c r="AV230" s="79" t="str">
        <f t="shared" si="224"/>
        <v>X</v>
      </c>
    </row>
    <row r="231" spans="1:48" s="37" customFormat="1" ht="12" x14ac:dyDescent="0.3">
      <c r="A231" s="74" t="s">
        <v>1585</v>
      </c>
      <c r="B231" s="75" t="s">
        <v>1586</v>
      </c>
      <c r="C231" s="85">
        <v>648</v>
      </c>
      <c r="D231" s="86">
        <v>125.2</v>
      </c>
      <c r="E231" s="87">
        <v>38</v>
      </c>
      <c r="F231" s="86">
        <v>99.7</v>
      </c>
      <c r="G231" s="17">
        <v>30</v>
      </c>
      <c r="H231" s="88">
        <v>73</v>
      </c>
      <c r="I231" s="89">
        <v>58000</v>
      </c>
      <c r="J231" s="89" t="s">
        <v>158</v>
      </c>
      <c r="K231" s="89">
        <v>45000</v>
      </c>
      <c r="L231" s="89" t="s">
        <v>158</v>
      </c>
      <c r="M231" s="90">
        <f t="shared" si="207"/>
        <v>13000</v>
      </c>
      <c r="N231" s="4">
        <f t="shared" si="208"/>
        <v>0.77586206896551724</v>
      </c>
      <c r="O231" s="91">
        <f t="shared" si="209"/>
        <v>1526.3157894736842</v>
      </c>
      <c r="P231" s="91">
        <f t="shared" si="210"/>
        <v>1184.2105263157894</v>
      </c>
      <c r="Q231" s="79">
        <v>3</v>
      </c>
      <c r="R231" s="79">
        <v>2</v>
      </c>
      <c r="S231" s="79" t="s">
        <v>62</v>
      </c>
      <c r="T231" s="5" t="s">
        <v>140</v>
      </c>
      <c r="U231" s="9"/>
      <c r="W231" s="86">
        <f t="shared" si="211"/>
        <v>125.2</v>
      </c>
      <c r="X231" s="87">
        <f t="shared" si="211"/>
        <v>38</v>
      </c>
      <c r="Y231" s="92">
        <f t="shared" si="212"/>
        <v>73</v>
      </c>
      <c r="Z231" s="90">
        <f t="shared" si="212"/>
        <v>58000</v>
      </c>
      <c r="AA231" s="90">
        <f t="shared" si="213"/>
        <v>45000</v>
      </c>
      <c r="AB231" s="90">
        <f t="shared" si="206"/>
        <v>13000</v>
      </c>
      <c r="AC231" s="4">
        <f t="shared" si="206"/>
        <v>0.77586206896551724</v>
      </c>
      <c r="AD231" s="91">
        <f t="shared" si="206"/>
        <v>1526.3157894736842</v>
      </c>
      <c r="AE231" s="79" t="str">
        <f t="shared" si="214"/>
        <v>계</v>
      </c>
      <c r="AF231" s="79" t="str">
        <f t="shared" si="215"/>
        <v>3/2</v>
      </c>
      <c r="AH231" s="20" t="str">
        <f t="shared" si="199"/>
        <v>복대동 금호어울림1단지</v>
      </c>
      <c r="AI231" s="87">
        <f t="shared" si="200"/>
        <v>38</v>
      </c>
      <c r="AJ231" s="79" t="str">
        <f t="shared" si="216"/>
        <v>A-</v>
      </c>
      <c r="AK231" s="79" t="s">
        <v>13</v>
      </c>
      <c r="AL231" s="79" t="s">
        <v>60</v>
      </c>
      <c r="AM231" s="79" t="s">
        <v>61</v>
      </c>
      <c r="AN231" s="79" t="str">
        <f t="shared" si="217"/>
        <v>C</v>
      </c>
      <c r="AO231" s="79" t="str">
        <f t="shared" si="218"/>
        <v>X</v>
      </c>
      <c r="AP231" s="79" t="str">
        <f t="shared" si="219"/>
        <v>X</v>
      </c>
      <c r="AQ231" s="79" t="str">
        <f t="shared" si="220"/>
        <v>X</v>
      </c>
      <c r="AR231" s="79" t="str">
        <f t="shared" si="221"/>
        <v>X</v>
      </c>
      <c r="AS231" s="79" t="s">
        <v>2</v>
      </c>
      <c r="AT231" s="79" t="str">
        <f t="shared" si="222"/>
        <v>X</v>
      </c>
      <c r="AU231" s="79" t="str">
        <f t="shared" si="223"/>
        <v>O</v>
      </c>
      <c r="AV231" s="79" t="str">
        <f t="shared" si="224"/>
        <v>X</v>
      </c>
    </row>
    <row r="232" spans="1:48" s="37" customFormat="1" ht="12" x14ac:dyDescent="0.3">
      <c r="A232" s="74" t="s">
        <v>1584</v>
      </c>
      <c r="B232" s="75" t="s">
        <v>1550</v>
      </c>
      <c r="C232" s="85">
        <v>648</v>
      </c>
      <c r="D232" s="86">
        <v>152.6</v>
      </c>
      <c r="E232" s="87">
        <v>46</v>
      </c>
      <c r="F232" s="86">
        <v>123.6</v>
      </c>
      <c r="G232" s="17">
        <v>37</v>
      </c>
      <c r="H232" s="88">
        <v>136</v>
      </c>
      <c r="I232" s="89">
        <v>62000</v>
      </c>
      <c r="J232" s="89" t="s">
        <v>64</v>
      </c>
      <c r="K232" s="89">
        <v>45000</v>
      </c>
      <c r="L232" s="89" t="s">
        <v>64</v>
      </c>
      <c r="M232" s="90">
        <f t="shared" si="207"/>
        <v>17000</v>
      </c>
      <c r="N232" s="4">
        <f t="shared" si="208"/>
        <v>0.72580645161290325</v>
      </c>
      <c r="O232" s="91">
        <f t="shared" si="209"/>
        <v>1347.8260869565217</v>
      </c>
      <c r="P232" s="91">
        <f t="shared" si="210"/>
        <v>978.26086956521738</v>
      </c>
      <c r="Q232" s="79">
        <v>4</v>
      </c>
      <c r="R232" s="79">
        <v>2</v>
      </c>
      <c r="S232" s="79" t="s">
        <v>62</v>
      </c>
      <c r="T232" s="5">
        <v>152</v>
      </c>
      <c r="U232" s="9"/>
      <c r="W232" s="86">
        <f t="shared" si="211"/>
        <v>152.6</v>
      </c>
      <c r="X232" s="87">
        <f t="shared" si="211"/>
        <v>46</v>
      </c>
      <c r="Y232" s="92">
        <f t="shared" si="212"/>
        <v>136</v>
      </c>
      <c r="Z232" s="90">
        <f t="shared" si="212"/>
        <v>62000</v>
      </c>
      <c r="AA232" s="90">
        <f t="shared" si="213"/>
        <v>45000</v>
      </c>
      <c r="AB232" s="90">
        <f t="shared" si="206"/>
        <v>17000</v>
      </c>
      <c r="AC232" s="4">
        <f t="shared" si="206"/>
        <v>0.72580645161290325</v>
      </c>
      <c r="AD232" s="91">
        <f t="shared" si="206"/>
        <v>1347.8260869565217</v>
      </c>
      <c r="AE232" s="79" t="str">
        <f t="shared" si="214"/>
        <v>계</v>
      </c>
      <c r="AF232" s="79" t="str">
        <f t="shared" si="215"/>
        <v>4/2</v>
      </c>
      <c r="AH232" s="20" t="str">
        <f t="shared" si="199"/>
        <v>복대동 금호어울림1단지</v>
      </c>
      <c r="AI232" s="87">
        <f t="shared" si="200"/>
        <v>46</v>
      </c>
      <c r="AJ232" s="79" t="str">
        <f t="shared" si="216"/>
        <v>A-</v>
      </c>
      <c r="AK232" s="79" t="s">
        <v>13</v>
      </c>
      <c r="AL232" s="79" t="s">
        <v>60</v>
      </c>
      <c r="AM232" s="79" t="s">
        <v>61</v>
      </c>
      <c r="AN232" s="79" t="str">
        <f t="shared" si="217"/>
        <v>C</v>
      </c>
      <c r="AO232" s="79" t="str">
        <f t="shared" si="218"/>
        <v>X</v>
      </c>
      <c r="AP232" s="79" t="str">
        <f t="shared" si="219"/>
        <v>X</v>
      </c>
      <c r="AQ232" s="79" t="str">
        <f t="shared" si="220"/>
        <v>O</v>
      </c>
      <c r="AR232" s="79" t="str">
        <f t="shared" si="221"/>
        <v>X</v>
      </c>
      <c r="AS232" s="79" t="s">
        <v>2</v>
      </c>
      <c r="AT232" s="79" t="str">
        <f t="shared" si="222"/>
        <v>X</v>
      </c>
      <c r="AU232" s="79" t="str">
        <f t="shared" si="223"/>
        <v>O</v>
      </c>
      <c r="AV232" s="79" t="str">
        <f t="shared" si="224"/>
        <v>X</v>
      </c>
    </row>
    <row r="233" spans="1:48" s="37" customFormat="1" ht="12" x14ac:dyDescent="0.3">
      <c r="A233" s="74" t="s">
        <v>1585</v>
      </c>
      <c r="B233" s="75" t="s">
        <v>1586</v>
      </c>
      <c r="C233" s="85">
        <v>648</v>
      </c>
      <c r="D233" s="86">
        <v>164.7</v>
      </c>
      <c r="E233" s="87">
        <v>50</v>
      </c>
      <c r="F233" s="86">
        <v>131.6</v>
      </c>
      <c r="G233" s="17">
        <v>40</v>
      </c>
      <c r="H233" s="88">
        <v>150</v>
      </c>
      <c r="I233" s="89">
        <v>65000</v>
      </c>
      <c r="J233" s="89" t="s">
        <v>88</v>
      </c>
      <c r="K233" s="89">
        <v>50000</v>
      </c>
      <c r="L233" s="89" t="s">
        <v>70</v>
      </c>
      <c r="M233" s="90">
        <f t="shared" si="207"/>
        <v>15000</v>
      </c>
      <c r="N233" s="4">
        <f t="shared" si="208"/>
        <v>0.76923076923076927</v>
      </c>
      <c r="O233" s="91">
        <f t="shared" si="209"/>
        <v>1300</v>
      </c>
      <c r="P233" s="91">
        <f t="shared" si="210"/>
        <v>1000</v>
      </c>
      <c r="Q233" s="79">
        <v>4</v>
      </c>
      <c r="R233" s="79">
        <v>2</v>
      </c>
      <c r="S233" s="79" t="s">
        <v>62</v>
      </c>
      <c r="T233" s="5" t="s">
        <v>159</v>
      </c>
      <c r="U233" s="9"/>
      <c r="W233" s="86">
        <f t="shared" si="211"/>
        <v>164.7</v>
      </c>
      <c r="X233" s="87">
        <f t="shared" si="211"/>
        <v>50</v>
      </c>
      <c r="Y233" s="92">
        <f t="shared" si="212"/>
        <v>150</v>
      </c>
      <c r="Z233" s="90">
        <f t="shared" si="212"/>
        <v>65000</v>
      </c>
      <c r="AA233" s="90">
        <f t="shared" si="213"/>
        <v>50000</v>
      </c>
      <c r="AB233" s="90">
        <f t="shared" si="206"/>
        <v>15000</v>
      </c>
      <c r="AC233" s="4">
        <f t="shared" si="206"/>
        <v>0.76923076923076927</v>
      </c>
      <c r="AD233" s="91">
        <f t="shared" si="206"/>
        <v>1300</v>
      </c>
      <c r="AE233" s="79" t="str">
        <f t="shared" si="214"/>
        <v>계</v>
      </c>
      <c r="AF233" s="79" t="str">
        <f t="shared" si="215"/>
        <v>4/2</v>
      </c>
      <c r="AH233" s="20" t="str">
        <f t="shared" si="199"/>
        <v>복대동 금호어울림1단지</v>
      </c>
      <c r="AI233" s="87">
        <f t="shared" si="200"/>
        <v>50</v>
      </c>
      <c r="AJ233" s="79" t="str">
        <f t="shared" si="216"/>
        <v>A-</v>
      </c>
      <c r="AK233" s="79" t="s">
        <v>13</v>
      </c>
      <c r="AL233" s="79" t="s">
        <v>60</v>
      </c>
      <c r="AM233" s="79" t="s">
        <v>61</v>
      </c>
      <c r="AN233" s="79" t="str">
        <f t="shared" si="217"/>
        <v>C</v>
      </c>
      <c r="AO233" s="79" t="str">
        <f t="shared" si="218"/>
        <v>X</v>
      </c>
      <c r="AP233" s="79" t="str">
        <f t="shared" si="219"/>
        <v>X</v>
      </c>
      <c r="AQ233" s="79" t="str">
        <f t="shared" si="220"/>
        <v>O</v>
      </c>
      <c r="AR233" s="79" t="str">
        <f t="shared" si="221"/>
        <v>X</v>
      </c>
      <c r="AS233" s="79" t="s">
        <v>2</v>
      </c>
      <c r="AT233" s="79" t="str">
        <f t="shared" si="222"/>
        <v>X</v>
      </c>
      <c r="AU233" s="79" t="str">
        <f t="shared" si="223"/>
        <v>O</v>
      </c>
      <c r="AV233" s="79" t="str">
        <f t="shared" si="224"/>
        <v>X</v>
      </c>
    </row>
    <row r="234" spans="1:48" s="37" customFormat="1" ht="12" x14ac:dyDescent="0.3">
      <c r="A234" s="74" t="s">
        <v>1584</v>
      </c>
      <c r="B234" s="75" t="s">
        <v>1550</v>
      </c>
      <c r="C234" s="85">
        <v>648</v>
      </c>
      <c r="D234" s="86">
        <v>164.2</v>
      </c>
      <c r="E234" s="87">
        <v>50</v>
      </c>
      <c r="F234" s="86">
        <v>131.30000000000001</v>
      </c>
      <c r="G234" s="17">
        <v>40</v>
      </c>
      <c r="H234" s="88">
        <v>73</v>
      </c>
      <c r="I234" s="89">
        <v>68000</v>
      </c>
      <c r="J234" s="89" t="s">
        <v>92</v>
      </c>
      <c r="K234" s="89">
        <v>46000</v>
      </c>
      <c r="L234" s="89" t="s">
        <v>71</v>
      </c>
      <c r="M234" s="90">
        <f t="shared" si="207"/>
        <v>22000</v>
      </c>
      <c r="N234" s="4">
        <f t="shared" si="208"/>
        <v>0.67647058823529416</v>
      </c>
      <c r="O234" s="91">
        <f t="shared" si="209"/>
        <v>1360</v>
      </c>
      <c r="P234" s="91">
        <f t="shared" si="210"/>
        <v>920</v>
      </c>
      <c r="Q234" s="79">
        <v>4</v>
      </c>
      <c r="R234" s="79">
        <v>2</v>
      </c>
      <c r="S234" s="79" t="s">
        <v>62</v>
      </c>
      <c r="T234" s="5" t="s">
        <v>141</v>
      </c>
      <c r="U234" s="9"/>
      <c r="W234" s="86">
        <f t="shared" si="211"/>
        <v>164.2</v>
      </c>
      <c r="X234" s="87">
        <f t="shared" si="211"/>
        <v>50</v>
      </c>
      <c r="Y234" s="92">
        <f t="shared" si="212"/>
        <v>73</v>
      </c>
      <c r="Z234" s="90">
        <f t="shared" si="212"/>
        <v>68000</v>
      </c>
      <c r="AA234" s="90">
        <f t="shared" si="213"/>
        <v>46000</v>
      </c>
      <c r="AB234" s="90">
        <f t="shared" si="206"/>
        <v>22000</v>
      </c>
      <c r="AC234" s="4">
        <f t="shared" si="206"/>
        <v>0.67647058823529416</v>
      </c>
      <c r="AD234" s="91">
        <f t="shared" si="206"/>
        <v>1360</v>
      </c>
      <c r="AE234" s="79" t="str">
        <f t="shared" si="214"/>
        <v>계</v>
      </c>
      <c r="AF234" s="79" t="str">
        <f t="shared" si="215"/>
        <v>4/2</v>
      </c>
      <c r="AH234" s="20" t="str">
        <f t="shared" si="199"/>
        <v>복대동 금호어울림1단지</v>
      </c>
      <c r="AI234" s="87">
        <f t="shared" si="200"/>
        <v>50</v>
      </c>
      <c r="AJ234" s="79" t="str">
        <f t="shared" si="216"/>
        <v>A-</v>
      </c>
      <c r="AK234" s="79" t="s">
        <v>13</v>
      </c>
      <c r="AL234" s="79" t="s">
        <v>60</v>
      </c>
      <c r="AM234" s="79" t="s">
        <v>61</v>
      </c>
      <c r="AN234" s="79" t="str">
        <f t="shared" si="217"/>
        <v>C</v>
      </c>
      <c r="AO234" s="79" t="str">
        <f t="shared" si="218"/>
        <v>X</v>
      </c>
      <c r="AP234" s="79" t="str">
        <f t="shared" si="219"/>
        <v>X</v>
      </c>
      <c r="AQ234" s="79" t="str">
        <f t="shared" si="220"/>
        <v>O</v>
      </c>
      <c r="AR234" s="79" t="str">
        <f t="shared" si="221"/>
        <v>X</v>
      </c>
      <c r="AS234" s="79" t="s">
        <v>2</v>
      </c>
      <c r="AT234" s="79" t="str">
        <f t="shared" si="222"/>
        <v>X</v>
      </c>
      <c r="AU234" s="79" t="str">
        <f t="shared" si="223"/>
        <v>O</v>
      </c>
      <c r="AV234" s="79" t="str">
        <f t="shared" si="224"/>
        <v>X</v>
      </c>
    </row>
    <row r="235" spans="1:48" s="37" customFormat="1" ht="12" x14ac:dyDescent="0.3">
      <c r="A235" s="74" t="s">
        <v>1587</v>
      </c>
      <c r="B235" s="75" t="s">
        <v>1588</v>
      </c>
      <c r="C235" s="85">
        <v>648</v>
      </c>
      <c r="D235" s="86">
        <v>256.60000000000002</v>
      </c>
      <c r="E235" s="87">
        <v>78</v>
      </c>
      <c r="F235" s="86">
        <v>201.5</v>
      </c>
      <c r="G235" s="17">
        <v>61</v>
      </c>
      <c r="H235" s="88">
        <v>4</v>
      </c>
      <c r="I235" s="89"/>
      <c r="J235" s="89"/>
      <c r="K235" s="89"/>
      <c r="L235" s="89"/>
      <c r="M235" s="90">
        <f t="shared" si="207"/>
        <v>0</v>
      </c>
      <c r="N235" s="4" t="str">
        <f t="shared" si="208"/>
        <v/>
      </c>
      <c r="O235" s="91">
        <f t="shared" si="209"/>
        <v>0</v>
      </c>
      <c r="P235" s="91">
        <f t="shared" si="210"/>
        <v>0</v>
      </c>
      <c r="Q235" s="79">
        <v>4</v>
      </c>
      <c r="R235" s="79">
        <v>2</v>
      </c>
      <c r="S235" s="79" t="s">
        <v>62</v>
      </c>
      <c r="T235" s="5">
        <v>256</v>
      </c>
      <c r="U235" s="9"/>
      <c r="W235" s="86">
        <f t="shared" si="211"/>
        <v>256.60000000000002</v>
      </c>
      <c r="X235" s="87">
        <f t="shared" si="211"/>
        <v>78</v>
      </c>
      <c r="Y235" s="92">
        <f t="shared" si="212"/>
        <v>4</v>
      </c>
      <c r="Z235" s="90">
        <f t="shared" si="212"/>
        <v>0</v>
      </c>
      <c r="AA235" s="90">
        <f t="shared" si="213"/>
        <v>0</v>
      </c>
      <c r="AB235" s="90">
        <f t="shared" si="206"/>
        <v>0</v>
      </c>
      <c r="AC235" s="4" t="str">
        <f t="shared" si="206"/>
        <v/>
      </c>
      <c r="AD235" s="91">
        <f t="shared" si="206"/>
        <v>0</v>
      </c>
      <c r="AE235" s="79" t="str">
        <f t="shared" si="214"/>
        <v>계</v>
      </c>
      <c r="AF235" s="79" t="str">
        <f t="shared" si="215"/>
        <v>4/2</v>
      </c>
      <c r="AH235" s="20" t="str">
        <f t="shared" si="199"/>
        <v>복대동 금호어울림1단지</v>
      </c>
      <c r="AI235" s="87">
        <f t="shared" si="200"/>
        <v>78</v>
      </c>
      <c r="AJ235" s="79" t="str">
        <f t="shared" si="216"/>
        <v>A-</v>
      </c>
      <c r="AK235" s="79" t="s">
        <v>13</v>
      </c>
      <c r="AL235" s="79" t="s">
        <v>60</v>
      </c>
      <c r="AM235" s="79" t="s">
        <v>61</v>
      </c>
      <c r="AN235" s="79" t="str">
        <f t="shared" si="217"/>
        <v>C</v>
      </c>
      <c r="AO235" s="79" t="str">
        <f t="shared" si="218"/>
        <v/>
      </c>
      <c r="AP235" s="79" t="str">
        <f t="shared" si="219"/>
        <v/>
      </c>
      <c r="AQ235" s="79" t="str">
        <f t="shared" si="220"/>
        <v>O</v>
      </c>
      <c r="AR235" s="79" t="str">
        <f t="shared" si="221"/>
        <v>O</v>
      </c>
      <c r="AS235" s="79" t="s">
        <v>2</v>
      </c>
      <c r="AT235" s="79" t="str">
        <f t="shared" si="222"/>
        <v>X</v>
      </c>
      <c r="AU235" s="79" t="str">
        <f t="shared" si="223"/>
        <v>O</v>
      </c>
      <c r="AV235" s="79" t="str">
        <f t="shared" si="224"/>
        <v/>
      </c>
    </row>
    <row r="236" spans="1:48" s="37" customFormat="1" ht="12" x14ac:dyDescent="0.3">
      <c r="A236" s="74" t="s">
        <v>1589</v>
      </c>
      <c r="B236" s="75" t="s">
        <v>1590</v>
      </c>
      <c r="C236" s="85">
        <v>232</v>
      </c>
      <c r="D236" s="86">
        <v>71.5</v>
      </c>
      <c r="E236" s="87">
        <v>22</v>
      </c>
      <c r="F236" s="86">
        <v>49.9</v>
      </c>
      <c r="G236" s="17">
        <v>15</v>
      </c>
      <c r="H236" s="88">
        <v>232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9">
        <v>2</v>
      </c>
      <c r="R236" s="79">
        <v>1</v>
      </c>
      <c r="S236" s="79" t="s">
        <v>59</v>
      </c>
      <c r="T236" s="5">
        <v>71</v>
      </c>
      <c r="U236" s="9"/>
      <c r="W236" s="86">
        <f>D236</f>
        <v>71.5</v>
      </c>
      <c r="X236" s="87">
        <f>E236</f>
        <v>22</v>
      </c>
      <c r="Y236" s="92">
        <f>H236</f>
        <v>232</v>
      </c>
      <c r="Z236" s="90">
        <f>I236</f>
        <v>0</v>
      </c>
      <c r="AA236" s="90">
        <f>K236</f>
        <v>0</v>
      </c>
      <c r="AB236" s="90">
        <f>M236</f>
        <v>0</v>
      </c>
      <c r="AC236" s="4" t="str">
        <f>N236</f>
        <v/>
      </c>
      <c r="AD236" s="91">
        <f>O236</f>
        <v>0</v>
      </c>
      <c r="AE236" s="79" t="str">
        <f>S236</f>
        <v>복</v>
      </c>
      <c r="AF236" s="79" t="str">
        <f>Q236&amp;"/"&amp;R236</f>
        <v>2/1</v>
      </c>
      <c r="AH236" s="20" t="str">
        <f t="shared" si="199"/>
        <v>봉명동 초원</v>
      </c>
      <c r="AI236" s="87">
        <f t="shared" si="200"/>
        <v>22</v>
      </c>
      <c r="AJ236" s="79" t="str">
        <f>IF(AI236="","",$AJ$2)</f>
        <v>A-</v>
      </c>
      <c r="AK236" s="79" t="s">
        <v>13</v>
      </c>
      <c r="AL236" s="79" t="s">
        <v>60</v>
      </c>
      <c r="AM236" s="79" t="s">
        <v>61</v>
      </c>
      <c r="AN236" s="79" t="str">
        <f>IF(AI236="","",$AN$2)</f>
        <v>C</v>
      </c>
      <c r="AO236" s="79" t="str">
        <f>IF(N236="","",IF(N236&gt;=$AO$1/100,"O","X"))</f>
        <v/>
      </c>
      <c r="AP236" s="79" t="str">
        <f>IF(I236="","",IF(I236&lt;=$AP$1,"O","X"))</f>
        <v/>
      </c>
      <c r="AQ236" s="79" t="str">
        <f>IF(O236="","",IF(O236&lt;=$AQ$1,"O","X"))</f>
        <v>O</v>
      </c>
      <c r="AR236" s="79" t="str">
        <f>IF(M236="","",IF(M236&lt;=$AR$1,"O","X"))</f>
        <v>O</v>
      </c>
      <c r="AS236" s="79" t="s">
        <v>2</v>
      </c>
      <c r="AT236" s="79" t="str">
        <f>IF(OR(F236="",AI236=""),"",IF(AND((F236&lt;=85),(AI236&gt;=15)),"O","X"))</f>
        <v>O</v>
      </c>
      <c r="AU236" s="79" t="str">
        <f>IF(C236="","",IF(C236&gt;=$AU$1,"O","X"))</f>
        <v>X</v>
      </c>
      <c r="AV236" s="79" t="str">
        <f>IF(AO236="","",IF(AND(AO236="O",AP236="O",AR236="O",AT236="O",AU236="O"),"후보","X"))</f>
        <v/>
      </c>
    </row>
    <row r="237" spans="1:48" s="37" customFormat="1" ht="12" x14ac:dyDescent="0.3">
      <c r="A237" s="74" t="s">
        <v>1591</v>
      </c>
      <c r="B237" s="75" t="s">
        <v>1592</v>
      </c>
      <c r="C237" s="85">
        <v>204</v>
      </c>
      <c r="D237" s="86">
        <v>104.6</v>
      </c>
      <c r="E237" s="87">
        <v>32</v>
      </c>
      <c r="F237" s="86">
        <v>84.8</v>
      </c>
      <c r="G237" s="17">
        <v>26</v>
      </c>
      <c r="H237" s="88">
        <v>200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9">
        <v>3</v>
      </c>
      <c r="R237" s="79">
        <v>2</v>
      </c>
      <c r="S237" s="79" t="s">
        <v>62</v>
      </c>
      <c r="T237" s="5">
        <v>104</v>
      </c>
      <c r="U237" s="9"/>
      <c r="W237" s="86">
        <f>D237</f>
        <v>104.6</v>
      </c>
      <c r="X237" s="87">
        <f>E237</f>
        <v>32</v>
      </c>
      <c r="Y237" s="92">
        <f>H237</f>
        <v>200</v>
      </c>
      <c r="Z237" s="90">
        <f>I237</f>
        <v>0</v>
      </c>
      <c r="AA237" s="90">
        <f>K237</f>
        <v>0</v>
      </c>
      <c r="AB237" s="90">
        <f t="shared" ref="AB237:AD251" si="225">M237</f>
        <v>0</v>
      </c>
      <c r="AC237" s="4" t="str">
        <f t="shared" si="225"/>
        <v/>
      </c>
      <c r="AD237" s="91">
        <f t="shared" si="225"/>
        <v>0</v>
      </c>
      <c r="AE237" s="79" t="str">
        <f>S237</f>
        <v>계</v>
      </c>
      <c r="AF237" s="79" t="str">
        <f>Q237&amp;"/"&amp;R237</f>
        <v>3/2</v>
      </c>
      <c r="AH237" s="20" t="str">
        <f t="shared" si="199"/>
        <v>봉명동 두진하트리움</v>
      </c>
      <c r="AI237" s="87">
        <f t="shared" si="200"/>
        <v>32</v>
      </c>
      <c r="AJ237" s="79" t="str">
        <f>IF(AI237="","",$AJ$2)</f>
        <v>A-</v>
      </c>
      <c r="AK237" s="79" t="s">
        <v>13</v>
      </c>
      <c r="AL237" s="79" t="s">
        <v>60</v>
      </c>
      <c r="AM237" s="79" t="s">
        <v>61</v>
      </c>
      <c r="AN237" s="79" t="str">
        <f>IF(AI237="","",$AN$2)</f>
        <v>C</v>
      </c>
      <c r="AO237" s="79" t="str">
        <f>IF(N237="","",IF(N237&gt;=$AO$1/100,"O","X"))</f>
        <v/>
      </c>
      <c r="AP237" s="79" t="str">
        <f>IF(I237="","",IF(I237&lt;=$AP$1,"O","X"))</f>
        <v/>
      </c>
      <c r="AQ237" s="79" t="str">
        <f>IF(O237="","",IF(O237&lt;=$AQ$1,"O","X"))</f>
        <v>O</v>
      </c>
      <c r="AR237" s="79" t="str">
        <f>IF(M237="","",IF(M237&lt;=$AR$1,"O","X"))</f>
        <v>O</v>
      </c>
      <c r="AS237" s="79" t="s">
        <v>2</v>
      </c>
      <c r="AT237" s="79" t="str">
        <f>IF(OR(F237="",AI237=""),"",IF(AND((F237&lt;=85),(AI237&gt;=15)),"O","X"))</f>
        <v>O</v>
      </c>
      <c r="AU237" s="79" t="str">
        <f>IF(C237="","",IF(C237&gt;=$AU$1,"O","X"))</f>
        <v>X</v>
      </c>
      <c r="AV237" s="79" t="str">
        <f>IF(AO237="","",IF(AND(AO237="O",AP237="O",AR237="O",AT237="O",AU237="O"),"후보","X"))</f>
        <v/>
      </c>
    </row>
    <row r="238" spans="1:48" s="37" customFormat="1" ht="12" x14ac:dyDescent="0.3">
      <c r="A238" s="74" t="s">
        <v>1591</v>
      </c>
      <c r="B238" s="75" t="s">
        <v>1592</v>
      </c>
      <c r="C238" s="85">
        <v>204</v>
      </c>
      <c r="D238" s="86">
        <v>168.9</v>
      </c>
      <c r="E238" s="87">
        <v>51</v>
      </c>
      <c r="F238" s="86">
        <v>136.5</v>
      </c>
      <c r="G238" s="17">
        <v>41</v>
      </c>
      <c r="H238" s="88">
        <v>4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9">
        <v>4</v>
      </c>
      <c r="R238" s="79">
        <v>2</v>
      </c>
      <c r="S238" s="79" t="s">
        <v>62</v>
      </c>
      <c r="T238" s="5">
        <v>168</v>
      </c>
      <c r="U238" s="9"/>
      <c r="W238" s="86">
        <f>D238</f>
        <v>168.9</v>
      </c>
      <c r="X238" s="87">
        <f>E238</f>
        <v>51</v>
      </c>
      <c r="Y238" s="92">
        <f>H238</f>
        <v>4</v>
      </c>
      <c r="Z238" s="90">
        <f>I238</f>
        <v>0</v>
      </c>
      <c r="AA238" s="90">
        <f>K238</f>
        <v>0</v>
      </c>
      <c r="AB238" s="90">
        <f t="shared" si="225"/>
        <v>0</v>
      </c>
      <c r="AC238" s="4" t="str">
        <f t="shared" si="225"/>
        <v/>
      </c>
      <c r="AD238" s="91">
        <f t="shared" si="225"/>
        <v>0</v>
      </c>
      <c r="AE238" s="79" t="str">
        <f>S238</f>
        <v>계</v>
      </c>
      <c r="AF238" s="79" t="str">
        <f>Q238&amp;"/"&amp;R238</f>
        <v>4/2</v>
      </c>
      <c r="AH238" s="20" t="str">
        <f t="shared" si="199"/>
        <v>봉명동 두진하트리움</v>
      </c>
      <c r="AI238" s="87">
        <f t="shared" si="200"/>
        <v>51</v>
      </c>
      <c r="AJ238" s="79" t="str">
        <f>IF(AI238="","",$AJ$2)</f>
        <v>A-</v>
      </c>
      <c r="AK238" s="79" t="s">
        <v>13</v>
      </c>
      <c r="AL238" s="79" t="s">
        <v>60</v>
      </c>
      <c r="AM238" s="79" t="s">
        <v>61</v>
      </c>
      <c r="AN238" s="79" t="str">
        <f>IF(AI238="","",$AN$2)</f>
        <v>C</v>
      </c>
      <c r="AO238" s="79" t="str">
        <f>IF(N238="","",IF(N238&gt;=$AO$1/100,"O","X"))</f>
        <v/>
      </c>
      <c r="AP238" s="79" t="str">
        <f>IF(I238="","",IF(I238&lt;=$AP$1,"O","X"))</f>
        <v/>
      </c>
      <c r="AQ238" s="79" t="str">
        <f>IF(O238="","",IF(O238&lt;=$AQ$1,"O","X"))</f>
        <v>O</v>
      </c>
      <c r="AR238" s="79" t="str">
        <f>IF(M238="","",IF(M238&lt;=$AR$1,"O","X"))</f>
        <v>O</v>
      </c>
      <c r="AS238" s="79" t="s">
        <v>2</v>
      </c>
      <c r="AT238" s="79" t="str">
        <f>IF(OR(F238="",AI238=""),"",IF(AND((F238&lt;=85),(AI238&gt;=15)),"O","X"))</f>
        <v>X</v>
      </c>
      <c r="AU238" s="79" t="str">
        <f>IF(C238="","",IF(C238&gt;=$AU$1,"O","X"))</f>
        <v>X</v>
      </c>
      <c r="AV238" s="79" t="str">
        <f>IF(AO238="","",IF(AND(AO238="O",AP238="O",AR238="O",AT238="O",AU238="O"),"후보","X"))</f>
        <v/>
      </c>
    </row>
    <row r="239" spans="1:48" s="37" customFormat="1" ht="12" x14ac:dyDescent="0.3">
      <c r="A239" s="74" t="s">
        <v>1593</v>
      </c>
      <c r="B239" s="75" t="s">
        <v>1594</v>
      </c>
      <c r="C239" s="85">
        <v>276</v>
      </c>
      <c r="D239" s="86">
        <v>82.6</v>
      </c>
      <c r="E239" s="87">
        <v>25</v>
      </c>
      <c r="F239" s="86">
        <v>66.7</v>
      </c>
      <c r="G239" s="17">
        <v>20</v>
      </c>
      <c r="H239" s="88">
        <v>90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9">
        <v>3</v>
      </c>
      <c r="R239" s="79">
        <v>1</v>
      </c>
      <c r="S239" s="79" t="s">
        <v>62</v>
      </c>
      <c r="T239" s="5">
        <v>82</v>
      </c>
      <c r="U239" s="9"/>
      <c r="W239" s="86">
        <f t="shared" ref="W239:X251" si="226">D239</f>
        <v>82.6</v>
      </c>
      <c r="X239" s="87">
        <f t="shared" si="226"/>
        <v>25</v>
      </c>
      <c r="Y239" s="92">
        <f t="shared" ref="Y239:Z251" si="227">H239</f>
        <v>90</v>
      </c>
      <c r="Z239" s="90">
        <f t="shared" si="227"/>
        <v>0</v>
      </c>
      <c r="AA239" s="90">
        <f>K239</f>
        <v>0</v>
      </c>
      <c r="AB239" s="90">
        <f t="shared" si="225"/>
        <v>0</v>
      </c>
      <c r="AC239" s="4" t="str">
        <f t="shared" si="225"/>
        <v/>
      </c>
      <c r="AD239" s="91">
        <f t="shared" si="225"/>
        <v>0</v>
      </c>
      <c r="AE239" s="79" t="str">
        <f>S239</f>
        <v>계</v>
      </c>
      <c r="AF239" s="79" t="str">
        <f>Q239&amp;"/"&amp;R239</f>
        <v>3/1</v>
      </c>
      <c r="AH239" s="20" t="str">
        <f t="shared" si="199"/>
        <v>봉명동 봉명세원</v>
      </c>
      <c r="AI239" s="87">
        <f t="shared" si="200"/>
        <v>25</v>
      </c>
      <c r="AJ239" s="79" t="str">
        <f>IF(AI239="","",$AJ$2)</f>
        <v>A-</v>
      </c>
      <c r="AK239" s="79" t="s">
        <v>13</v>
      </c>
      <c r="AL239" s="79" t="s">
        <v>60</v>
      </c>
      <c r="AM239" s="79" t="s">
        <v>61</v>
      </c>
      <c r="AN239" s="79" t="str">
        <f>IF(AI239="","",$AN$2)</f>
        <v>C</v>
      </c>
      <c r="AO239" s="79" t="str">
        <f>IF(N239="","",IF(N239&gt;=$AO$1/100,"O","X"))</f>
        <v/>
      </c>
      <c r="AP239" s="79" t="str">
        <f>IF(I239="","",IF(I239&lt;=$AP$1,"O","X"))</f>
        <v/>
      </c>
      <c r="AQ239" s="79" t="str">
        <f>IF(O239="","",IF(O239&lt;=$AQ$1,"O","X"))</f>
        <v>O</v>
      </c>
      <c r="AR239" s="79" t="str">
        <f>IF(M239="","",IF(M239&lt;=$AR$1,"O","X"))</f>
        <v>O</v>
      </c>
      <c r="AS239" s="79" t="s">
        <v>2</v>
      </c>
      <c r="AT239" s="79" t="str">
        <f>IF(OR(F239="",AI239=""),"",IF(AND((F239&lt;=85),(AI239&gt;=15)),"O","X"))</f>
        <v>O</v>
      </c>
      <c r="AU239" s="79" t="str">
        <f>IF(C239="","",IF(C239&gt;=$AU$1,"O","X"))</f>
        <v>X</v>
      </c>
      <c r="AV239" s="79" t="str">
        <f>IF(AO239="","",IF(AND(AO239="O",AP239="O",AR239="O",AT239="O",AU239="O"),"후보","X"))</f>
        <v/>
      </c>
    </row>
    <row r="240" spans="1:48" s="37" customFormat="1" ht="12" x14ac:dyDescent="0.3">
      <c r="A240" s="74" t="s">
        <v>1593</v>
      </c>
      <c r="B240" s="75" t="s">
        <v>1594</v>
      </c>
      <c r="C240" s="85">
        <v>276</v>
      </c>
      <c r="D240" s="86">
        <v>104.9</v>
      </c>
      <c r="E240" s="87">
        <v>32</v>
      </c>
      <c r="F240" s="86">
        <v>85</v>
      </c>
      <c r="G240" s="17">
        <v>26</v>
      </c>
      <c r="H240" s="88">
        <v>138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9">
        <v>3</v>
      </c>
      <c r="R240" s="79">
        <v>2</v>
      </c>
      <c r="S240" s="79" t="s">
        <v>62</v>
      </c>
      <c r="T240" s="5">
        <v>104</v>
      </c>
      <c r="U240" s="9"/>
      <c r="W240" s="86">
        <f t="shared" si="226"/>
        <v>104.9</v>
      </c>
      <c r="X240" s="87">
        <f t="shared" si="226"/>
        <v>32</v>
      </c>
      <c r="Y240" s="92">
        <f t="shared" si="227"/>
        <v>138</v>
      </c>
      <c r="Z240" s="90">
        <f t="shared" si="227"/>
        <v>0</v>
      </c>
      <c r="AA240" s="90">
        <f>K240</f>
        <v>0</v>
      </c>
      <c r="AB240" s="90">
        <f t="shared" si="225"/>
        <v>0</v>
      </c>
      <c r="AC240" s="4" t="str">
        <f t="shared" si="225"/>
        <v/>
      </c>
      <c r="AD240" s="91">
        <f t="shared" si="225"/>
        <v>0</v>
      </c>
      <c r="AE240" s="79" t="str">
        <f>S240</f>
        <v>계</v>
      </c>
      <c r="AF240" s="79" t="str">
        <f>Q240&amp;"/"&amp;R240</f>
        <v>3/2</v>
      </c>
      <c r="AH240" s="20" t="str">
        <f t="shared" si="199"/>
        <v>봉명동 봉명세원</v>
      </c>
      <c r="AI240" s="87">
        <f t="shared" si="200"/>
        <v>32</v>
      </c>
      <c r="AJ240" s="79" t="str">
        <f>IF(AI240="","",$AJ$2)</f>
        <v>A-</v>
      </c>
      <c r="AK240" s="79" t="s">
        <v>13</v>
      </c>
      <c r="AL240" s="79" t="s">
        <v>60</v>
      </c>
      <c r="AM240" s="79" t="s">
        <v>61</v>
      </c>
      <c r="AN240" s="79" t="str">
        <f>IF(AI240="","",$AN$2)</f>
        <v>C</v>
      </c>
      <c r="AO240" s="79" t="str">
        <f>IF(N240="","",IF(N240&gt;=$AO$1/100,"O","X"))</f>
        <v/>
      </c>
      <c r="AP240" s="79" t="str">
        <f>IF(I240="","",IF(I240&lt;=$AP$1,"O","X"))</f>
        <v/>
      </c>
      <c r="AQ240" s="79" t="str">
        <f>IF(O240="","",IF(O240&lt;=$AQ$1,"O","X"))</f>
        <v>O</v>
      </c>
      <c r="AR240" s="79" t="str">
        <f>IF(M240="","",IF(M240&lt;=$AR$1,"O","X"))</f>
        <v>O</v>
      </c>
      <c r="AS240" s="79" t="s">
        <v>2</v>
      </c>
      <c r="AT240" s="79" t="str">
        <f>IF(OR(F240="",AI240=""),"",IF(AND((F240&lt;=85),(AI240&gt;=15)),"O","X"))</f>
        <v>O</v>
      </c>
      <c r="AU240" s="79" t="str">
        <f>IF(C240="","",IF(C240&gt;=$AU$1,"O","X"))</f>
        <v>X</v>
      </c>
      <c r="AV240" s="79" t="str">
        <f>IF(AO240="","",IF(AND(AO240="O",AP240="O",AR240="O",AT240="O",AU240="O"),"후보","X"))</f>
        <v/>
      </c>
    </row>
    <row r="241" spans="1:48" s="37" customFormat="1" ht="12" x14ac:dyDescent="0.3">
      <c r="A241" s="74" t="s">
        <v>1593</v>
      </c>
      <c r="B241" s="75" t="s">
        <v>1594</v>
      </c>
      <c r="C241" s="85">
        <v>276</v>
      </c>
      <c r="D241" s="86">
        <v>144.69999999999999</v>
      </c>
      <c r="E241" s="87">
        <v>44</v>
      </c>
      <c r="F241" s="86">
        <v>124</v>
      </c>
      <c r="G241" s="17">
        <v>38</v>
      </c>
      <c r="H241" s="88">
        <v>48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9">
        <v>4</v>
      </c>
      <c r="R241" s="79">
        <v>2</v>
      </c>
      <c r="S241" s="79" t="s">
        <v>62</v>
      </c>
      <c r="T241" s="5">
        <v>144</v>
      </c>
      <c r="U241" s="9"/>
      <c r="W241" s="86">
        <f t="shared" si="226"/>
        <v>144.69999999999999</v>
      </c>
      <c r="X241" s="87">
        <f t="shared" si="226"/>
        <v>44</v>
      </c>
      <c r="Y241" s="92">
        <f t="shared" si="227"/>
        <v>48</v>
      </c>
      <c r="Z241" s="90">
        <f t="shared" si="227"/>
        <v>0</v>
      </c>
      <c r="AA241" s="90">
        <f>K241</f>
        <v>0</v>
      </c>
      <c r="AB241" s="90">
        <f t="shared" si="225"/>
        <v>0</v>
      </c>
      <c r="AC241" s="4" t="str">
        <f t="shared" si="225"/>
        <v/>
      </c>
      <c r="AD241" s="91">
        <f t="shared" si="225"/>
        <v>0</v>
      </c>
      <c r="AE241" s="79" t="str">
        <f>S241</f>
        <v>계</v>
      </c>
      <c r="AF241" s="79" t="str">
        <f>Q241&amp;"/"&amp;R241</f>
        <v>4/2</v>
      </c>
      <c r="AH241" s="20" t="str">
        <f t="shared" si="199"/>
        <v>봉명동 봉명세원</v>
      </c>
      <c r="AI241" s="87">
        <f t="shared" si="200"/>
        <v>44</v>
      </c>
      <c r="AJ241" s="79" t="str">
        <f>IF(AI241="","",$AJ$2)</f>
        <v>A-</v>
      </c>
      <c r="AK241" s="79" t="s">
        <v>13</v>
      </c>
      <c r="AL241" s="79" t="s">
        <v>60</v>
      </c>
      <c r="AM241" s="79" t="s">
        <v>61</v>
      </c>
      <c r="AN241" s="79" t="str">
        <f>IF(AI241="","",$AN$2)</f>
        <v>C</v>
      </c>
      <c r="AO241" s="79" t="str">
        <f>IF(N241="","",IF(N241&gt;=$AO$1/100,"O","X"))</f>
        <v/>
      </c>
      <c r="AP241" s="79" t="str">
        <f>IF(I241="","",IF(I241&lt;=$AP$1,"O","X"))</f>
        <v/>
      </c>
      <c r="AQ241" s="79" t="str">
        <f>IF(O241="","",IF(O241&lt;=$AQ$1,"O","X"))</f>
        <v>O</v>
      </c>
      <c r="AR241" s="79" t="str">
        <f>IF(M241="","",IF(M241&lt;=$AR$1,"O","X"))</f>
        <v>O</v>
      </c>
      <c r="AS241" s="79" t="s">
        <v>2</v>
      </c>
      <c r="AT241" s="79" t="str">
        <f>IF(OR(F241="",AI241=""),"",IF(AND((F241&lt;=85),(AI241&gt;=15)),"O","X"))</f>
        <v>X</v>
      </c>
      <c r="AU241" s="79" t="str">
        <f>IF(C241="","",IF(C241&gt;=$AU$1,"O","X"))</f>
        <v>X</v>
      </c>
      <c r="AV241" s="79" t="str">
        <f>IF(AO241="","",IF(AND(AO241="O",AP241="O",AR241="O",AT241="O",AU241="O"),"후보","X"))</f>
        <v/>
      </c>
    </row>
    <row r="242" spans="1:48" s="37" customFormat="1" ht="12" x14ac:dyDescent="0.3">
      <c r="A242" s="74" t="s">
        <v>1595</v>
      </c>
      <c r="B242" s="75" t="s">
        <v>1596</v>
      </c>
      <c r="C242" s="85">
        <v>1222</v>
      </c>
      <c r="D242" s="86">
        <v>97.5</v>
      </c>
      <c r="E242" s="87">
        <v>30</v>
      </c>
      <c r="F242" s="86">
        <v>74.3</v>
      </c>
      <c r="G242" s="17">
        <v>22</v>
      </c>
      <c r="H242" s="88">
        <v>30</v>
      </c>
      <c r="I242" s="89">
        <v>28500</v>
      </c>
      <c r="J242" s="89" t="s">
        <v>102</v>
      </c>
      <c r="K242" s="89"/>
      <c r="L242" s="89"/>
      <c r="M242" s="90">
        <f t="shared" ref="M242:M251" si="228">I242-K242</f>
        <v>28500</v>
      </c>
      <c r="N242" s="4">
        <f t="shared" ref="N242:N251" si="229">IF(ISERROR(K242/I242),"",K242/I242)</f>
        <v>0</v>
      </c>
      <c r="O242" s="91">
        <f t="shared" ref="O242:O251" si="230">I242/E242</f>
        <v>950</v>
      </c>
      <c r="P242" s="91">
        <f t="shared" ref="P242:P251" si="231">K242/E242</f>
        <v>0</v>
      </c>
      <c r="Q242" s="79">
        <v>3</v>
      </c>
      <c r="R242" s="79">
        <v>2</v>
      </c>
      <c r="S242" s="79" t="s">
        <v>62</v>
      </c>
      <c r="T242" s="5">
        <v>97</v>
      </c>
      <c r="U242" s="9"/>
      <c r="W242" s="86">
        <f t="shared" si="226"/>
        <v>97.5</v>
      </c>
      <c r="X242" s="87">
        <f t="shared" si="226"/>
        <v>30</v>
      </c>
      <c r="Y242" s="92">
        <f t="shared" si="227"/>
        <v>30</v>
      </c>
      <c r="Z242" s="90">
        <f t="shared" si="227"/>
        <v>28500</v>
      </c>
      <c r="AA242" s="90">
        <f t="shared" ref="AA242:AA251" si="232">K242</f>
        <v>0</v>
      </c>
      <c r="AB242" s="90">
        <f t="shared" si="225"/>
        <v>28500</v>
      </c>
      <c r="AC242" s="4">
        <f t="shared" si="225"/>
        <v>0</v>
      </c>
      <c r="AD242" s="91">
        <f t="shared" si="225"/>
        <v>950</v>
      </c>
      <c r="AE242" s="79" t="str">
        <f t="shared" ref="AE242:AE251" si="233">S242</f>
        <v>계</v>
      </c>
      <c r="AF242" s="79" t="str">
        <f t="shared" ref="AF242:AF251" si="234">Q242&amp;"/"&amp;R242</f>
        <v>3/2</v>
      </c>
      <c r="AH242" s="20" t="str">
        <f t="shared" si="199"/>
        <v>봉명동 봉명아이파크</v>
      </c>
      <c r="AI242" s="87">
        <f t="shared" si="200"/>
        <v>30</v>
      </c>
      <c r="AJ242" s="79" t="str">
        <f t="shared" ref="AJ242:AJ251" si="235">IF(AI242="","",$AJ$2)</f>
        <v>A-</v>
      </c>
      <c r="AK242" s="79" t="s">
        <v>13</v>
      </c>
      <c r="AL242" s="79" t="s">
        <v>60</v>
      </c>
      <c r="AM242" s="79" t="s">
        <v>61</v>
      </c>
      <c r="AN242" s="79" t="str">
        <f t="shared" ref="AN242:AN251" si="236">IF(AI242="","",$AN$2)</f>
        <v>C</v>
      </c>
      <c r="AO242" s="79" t="str">
        <f t="shared" ref="AO242:AO251" si="237">IF(N242="","",IF(N242&gt;=$AO$1/100,"O","X"))</f>
        <v>X</v>
      </c>
      <c r="AP242" s="79" t="str">
        <f t="shared" ref="AP242:AP251" si="238">IF(I242="","",IF(I242&lt;=$AP$1,"O","X"))</f>
        <v>O</v>
      </c>
      <c r="AQ242" s="79" t="str">
        <f t="shared" ref="AQ242:AQ251" si="239">IF(O242="","",IF(O242&lt;=$AQ$1,"O","X"))</f>
        <v>O</v>
      </c>
      <c r="AR242" s="79" t="str">
        <f t="shared" ref="AR242:AR251" si="240">IF(M242="","",IF(M242&lt;=$AR$1,"O","X"))</f>
        <v>X</v>
      </c>
      <c r="AS242" s="79" t="s">
        <v>2</v>
      </c>
      <c r="AT242" s="79" t="str">
        <f t="shared" ref="AT242:AT251" si="241">IF(OR(F242="",AI242=""),"",IF(AND((F242&lt;=85),(AI242&gt;=15)),"O","X"))</f>
        <v>O</v>
      </c>
      <c r="AU242" s="79" t="str">
        <f t="shared" ref="AU242:AU251" si="242">IF(C242="","",IF(C242&gt;=$AU$1,"O","X"))</f>
        <v>O</v>
      </c>
      <c r="AV242" s="79" t="str">
        <f t="shared" ref="AV242:AV251" si="243">IF(AO242="","",IF(AND(AO242="O",AP242="O",AR242="O",AT242="O",AU242="O"),"후보","X"))</f>
        <v>X</v>
      </c>
    </row>
    <row r="243" spans="1:48" s="37" customFormat="1" ht="12" x14ac:dyDescent="0.3">
      <c r="A243" s="74" t="s">
        <v>1595</v>
      </c>
      <c r="B243" s="75" t="s">
        <v>1596</v>
      </c>
      <c r="C243" s="85">
        <v>1222</v>
      </c>
      <c r="D243" s="86">
        <v>113.7</v>
      </c>
      <c r="E243" s="87">
        <v>34</v>
      </c>
      <c r="F243" s="86">
        <v>84.9</v>
      </c>
      <c r="G243" s="17">
        <v>26</v>
      </c>
      <c r="H243" s="88">
        <v>110</v>
      </c>
      <c r="I243" s="89">
        <v>31500</v>
      </c>
      <c r="J243" s="89" t="s">
        <v>81</v>
      </c>
      <c r="K243" s="89">
        <v>28000</v>
      </c>
      <c r="L243" s="89" t="s">
        <v>92</v>
      </c>
      <c r="M243" s="90">
        <f t="shared" si="228"/>
        <v>3500</v>
      </c>
      <c r="N243" s="4">
        <f t="shared" si="229"/>
        <v>0.88888888888888884</v>
      </c>
      <c r="O243" s="91">
        <f t="shared" si="230"/>
        <v>926.47058823529414</v>
      </c>
      <c r="P243" s="91">
        <f t="shared" si="231"/>
        <v>823.52941176470586</v>
      </c>
      <c r="Q243" s="79">
        <v>3</v>
      </c>
      <c r="R243" s="79">
        <v>2</v>
      </c>
      <c r="S243" s="79" t="s">
        <v>62</v>
      </c>
      <c r="T243" s="5" t="s">
        <v>160</v>
      </c>
      <c r="U243" s="9"/>
      <c r="W243" s="86">
        <f t="shared" si="226"/>
        <v>113.7</v>
      </c>
      <c r="X243" s="87">
        <f t="shared" si="226"/>
        <v>34</v>
      </c>
      <c r="Y243" s="92">
        <f t="shared" si="227"/>
        <v>110</v>
      </c>
      <c r="Z243" s="90">
        <f t="shared" si="227"/>
        <v>31500</v>
      </c>
      <c r="AA243" s="90">
        <f t="shared" si="232"/>
        <v>28000</v>
      </c>
      <c r="AB243" s="90">
        <f t="shared" si="225"/>
        <v>3500</v>
      </c>
      <c r="AC243" s="4">
        <f t="shared" si="225"/>
        <v>0.88888888888888884</v>
      </c>
      <c r="AD243" s="91">
        <f t="shared" si="225"/>
        <v>926.47058823529414</v>
      </c>
      <c r="AE243" s="79" t="str">
        <f t="shared" si="233"/>
        <v>계</v>
      </c>
      <c r="AF243" s="79" t="str">
        <f t="shared" si="234"/>
        <v>3/2</v>
      </c>
      <c r="AH243" s="20" t="str">
        <f t="shared" si="199"/>
        <v>봉명동 봉명아이파크</v>
      </c>
      <c r="AI243" s="87">
        <f t="shared" si="200"/>
        <v>34</v>
      </c>
      <c r="AJ243" s="79" t="str">
        <f t="shared" si="235"/>
        <v>A-</v>
      </c>
      <c r="AK243" s="79" t="s">
        <v>13</v>
      </c>
      <c r="AL243" s="79" t="s">
        <v>60</v>
      </c>
      <c r="AM243" s="79" t="s">
        <v>61</v>
      </c>
      <c r="AN243" s="79" t="str">
        <f t="shared" si="236"/>
        <v>C</v>
      </c>
      <c r="AO243" s="79" t="str">
        <f t="shared" si="237"/>
        <v>O</v>
      </c>
      <c r="AP243" s="79" t="str">
        <f t="shared" si="238"/>
        <v>O</v>
      </c>
      <c r="AQ243" s="79" t="str">
        <f t="shared" si="239"/>
        <v>O</v>
      </c>
      <c r="AR243" s="79" t="str">
        <f t="shared" si="240"/>
        <v>O</v>
      </c>
      <c r="AS243" s="79" t="s">
        <v>2</v>
      </c>
      <c r="AT243" s="79" t="str">
        <f t="shared" si="241"/>
        <v>O</v>
      </c>
      <c r="AU243" s="79" t="str">
        <f t="shared" si="242"/>
        <v>O</v>
      </c>
      <c r="AV243" s="79" t="str">
        <f t="shared" si="243"/>
        <v>후보</v>
      </c>
    </row>
    <row r="244" spans="1:48" s="37" customFormat="1" ht="12" x14ac:dyDescent="0.3">
      <c r="A244" s="74" t="s">
        <v>1595</v>
      </c>
      <c r="B244" s="75" t="s">
        <v>1596</v>
      </c>
      <c r="C244" s="85">
        <v>1222</v>
      </c>
      <c r="D244" s="86">
        <v>114.8</v>
      </c>
      <c r="E244" s="87">
        <v>35</v>
      </c>
      <c r="F244" s="86">
        <v>84.9</v>
      </c>
      <c r="G244" s="17">
        <v>26</v>
      </c>
      <c r="H244" s="88">
        <v>420</v>
      </c>
      <c r="I244" s="89">
        <v>31000</v>
      </c>
      <c r="J244" s="89" t="s">
        <v>97</v>
      </c>
      <c r="K244" s="89">
        <v>27000</v>
      </c>
      <c r="L244" s="89" t="s">
        <v>92</v>
      </c>
      <c r="M244" s="90">
        <f t="shared" si="228"/>
        <v>4000</v>
      </c>
      <c r="N244" s="4">
        <f t="shared" si="229"/>
        <v>0.87096774193548387</v>
      </c>
      <c r="O244" s="91">
        <f t="shared" si="230"/>
        <v>885.71428571428567</v>
      </c>
      <c r="P244" s="91">
        <f t="shared" si="231"/>
        <v>771.42857142857144</v>
      </c>
      <c r="Q244" s="79">
        <v>3</v>
      </c>
      <c r="R244" s="79">
        <v>2</v>
      </c>
      <c r="S244" s="79" t="s">
        <v>62</v>
      </c>
      <c r="T244" s="5" t="s">
        <v>161</v>
      </c>
      <c r="U244" s="9"/>
      <c r="W244" s="86">
        <f t="shared" si="226"/>
        <v>114.8</v>
      </c>
      <c r="X244" s="87">
        <f t="shared" si="226"/>
        <v>35</v>
      </c>
      <c r="Y244" s="92">
        <f t="shared" si="227"/>
        <v>420</v>
      </c>
      <c r="Z244" s="90">
        <f t="shared" si="227"/>
        <v>31000</v>
      </c>
      <c r="AA244" s="90">
        <f t="shared" si="232"/>
        <v>27000</v>
      </c>
      <c r="AB244" s="90">
        <f t="shared" si="225"/>
        <v>4000</v>
      </c>
      <c r="AC244" s="4">
        <f t="shared" si="225"/>
        <v>0.87096774193548387</v>
      </c>
      <c r="AD244" s="91">
        <f t="shared" si="225"/>
        <v>885.71428571428567</v>
      </c>
      <c r="AE244" s="79" t="str">
        <f t="shared" si="233"/>
        <v>계</v>
      </c>
      <c r="AF244" s="79" t="str">
        <f t="shared" si="234"/>
        <v>3/2</v>
      </c>
      <c r="AH244" s="20" t="str">
        <f t="shared" si="199"/>
        <v>봉명동 봉명아이파크</v>
      </c>
      <c r="AI244" s="87">
        <f t="shared" si="200"/>
        <v>35</v>
      </c>
      <c r="AJ244" s="79" t="str">
        <f t="shared" si="235"/>
        <v>A-</v>
      </c>
      <c r="AK244" s="79" t="s">
        <v>13</v>
      </c>
      <c r="AL244" s="79" t="s">
        <v>60</v>
      </c>
      <c r="AM244" s="79" t="s">
        <v>61</v>
      </c>
      <c r="AN244" s="79" t="str">
        <f t="shared" si="236"/>
        <v>C</v>
      </c>
      <c r="AO244" s="79" t="str">
        <f t="shared" si="237"/>
        <v>O</v>
      </c>
      <c r="AP244" s="79" t="str">
        <f t="shared" si="238"/>
        <v>O</v>
      </c>
      <c r="AQ244" s="79" t="str">
        <f t="shared" si="239"/>
        <v>O</v>
      </c>
      <c r="AR244" s="79" t="str">
        <f t="shared" si="240"/>
        <v>O</v>
      </c>
      <c r="AS244" s="79" t="s">
        <v>2</v>
      </c>
      <c r="AT244" s="79" t="str">
        <f t="shared" si="241"/>
        <v>O</v>
      </c>
      <c r="AU244" s="79" t="str">
        <f t="shared" si="242"/>
        <v>O</v>
      </c>
      <c r="AV244" s="79" t="str">
        <f t="shared" si="243"/>
        <v>후보</v>
      </c>
    </row>
    <row r="245" spans="1:48" s="37" customFormat="1" ht="12" x14ac:dyDescent="0.3">
      <c r="A245" s="74" t="s">
        <v>1595</v>
      </c>
      <c r="B245" s="75" t="s">
        <v>1596</v>
      </c>
      <c r="C245" s="85">
        <v>1222</v>
      </c>
      <c r="D245" s="86">
        <v>114.6</v>
      </c>
      <c r="E245" s="87">
        <v>35</v>
      </c>
      <c r="F245" s="86">
        <v>84.9</v>
      </c>
      <c r="G245" s="17">
        <v>26</v>
      </c>
      <c r="H245" s="88">
        <v>50</v>
      </c>
      <c r="I245" s="89">
        <v>33000</v>
      </c>
      <c r="J245" s="89" t="s">
        <v>71</v>
      </c>
      <c r="K245" s="89"/>
      <c r="L245" s="89"/>
      <c r="M245" s="90">
        <f t="shared" si="228"/>
        <v>33000</v>
      </c>
      <c r="N245" s="4">
        <f t="shared" si="229"/>
        <v>0</v>
      </c>
      <c r="O245" s="91">
        <f t="shared" si="230"/>
        <v>942.85714285714289</v>
      </c>
      <c r="P245" s="91">
        <f t="shared" si="231"/>
        <v>0</v>
      </c>
      <c r="Q245" s="79">
        <v>3</v>
      </c>
      <c r="R245" s="79">
        <v>2</v>
      </c>
      <c r="S245" s="79" t="s">
        <v>62</v>
      </c>
      <c r="T245" s="5" t="s">
        <v>162</v>
      </c>
      <c r="U245" s="9"/>
      <c r="W245" s="86">
        <f t="shared" si="226"/>
        <v>114.6</v>
      </c>
      <c r="X245" s="87">
        <f t="shared" si="226"/>
        <v>35</v>
      </c>
      <c r="Y245" s="92">
        <f t="shared" si="227"/>
        <v>50</v>
      </c>
      <c r="Z245" s="90">
        <f t="shared" si="227"/>
        <v>33000</v>
      </c>
      <c r="AA245" s="90">
        <f t="shared" si="232"/>
        <v>0</v>
      </c>
      <c r="AB245" s="90">
        <f t="shared" si="225"/>
        <v>33000</v>
      </c>
      <c r="AC245" s="4">
        <f t="shared" si="225"/>
        <v>0</v>
      </c>
      <c r="AD245" s="91">
        <f t="shared" si="225"/>
        <v>942.85714285714289</v>
      </c>
      <c r="AE245" s="79" t="str">
        <f t="shared" si="233"/>
        <v>계</v>
      </c>
      <c r="AF245" s="79" t="str">
        <f t="shared" si="234"/>
        <v>3/2</v>
      </c>
      <c r="AH245" s="20" t="str">
        <f t="shared" si="199"/>
        <v>봉명동 봉명아이파크</v>
      </c>
      <c r="AI245" s="87">
        <f t="shared" si="200"/>
        <v>35</v>
      </c>
      <c r="AJ245" s="79" t="str">
        <f t="shared" si="235"/>
        <v>A-</v>
      </c>
      <c r="AK245" s="79" t="s">
        <v>13</v>
      </c>
      <c r="AL245" s="79" t="s">
        <v>60</v>
      </c>
      <c r="AM245" s="79" t="s">
        <v>61</v>
      </c>
      <c r="AN245" s="79" t="str">
        <f t="shared" si="236"/>
        <v>C</v>
      </c>
      <c r="AO245" s="79" t="str">
        <f t="shared" si="237"/>
        <v>X</v>
      </c>
      <c r="AP245" s="79" t="str">
        <f t="shared" si="238"/>
        <v>O</v>
      </c>
      <c r="AQ245" s="79" t="str">
        <f t="shared" si="239"/>
        <v>O</v>
      </c>
      <c r="AR245" s="79" t="str">
        <f t="shared" si="240"/>
        <v>X</v>
      </c>
      <c r="AS245" s="79" t="s">
        <v>2</v>
      </c>
      <c r="AT245" s="79" t="str">
        <f t="shared" si="241"/>
        <v>O</v>
      </c>
      <c r="AU245" s="79" t="str">
        <f t="shared" si="242"/>
        <v>O</v>
      </c>
      <c r="AV245" s="79" t="str">
        <f t="shared" si="243"/>
        <v>X</v>
      </c>
    </row>
    <row r="246" spans="1:48" s="37" customFormat="1" ht="12" x14ac:dyDescent="0.3">
      <c r="A246" s="74" t="s">
        <v>1595</v>
      </c>
      <c r="B246" s="75" t="s">
        <v>1596</v>
      </c>
      <c r="C246" s="85">
        <v>1222</v>
      </c>
      <c r="D246" s="86">
        <v>129.30000000000001</v>
      </c>
      <c r="E246" s="87">
        <v>39</v>
      </c>
      <c r="F246" s="86">
        <v>106.1</v>
      </c>
      <c r="G246" s="17">
        <v>32</v>
      </c>
      <c r="H246" s="88">
        <v>330</v>
      </c>
      <c r="I246" s="89">
        <v>34000</v>
      </c>
      <c r="J246" s="89" t="s">
        <v>63</v>
      </c>
      <c r="K246" s="89">
        <v>29000</v>
      </c>
      <c r="L246" s="89" t="s">
        <v>79</v>
      </c>
      <c r="M246" s="90">
        <f t="shared" si="228"/>
        <v>5000</v>
      </c>
      <c r="N246" s="4">
        <f t="shared" si="229"/>
        <v>0.8529411764705882</v>
      </c>
      <c r="O246" s="91">
        <f t="shared" si="230"/>
        <v>871.79487179487182</v>
      </c>
      <c r="P246" s="91">
        <f t="shared" si="231"/>
        <v>743.58974358974353</v>
      </c>
      <c r="Q246" s="79">
        <v>3</v>
      </c>
      <c r="R246" s="79">
        <v>2</v>
      </c>
      <c r="S246" s="79" t="s">
        <v>62</v>
      </c>
      <c r="T246" s="5">
        <v>129</v>
      </c>
      <c r="U246" s="9"/>
      <c r="W246" s="86">
        <f t="shared" si="226"/>
        <v>129.30000000000001</v>
      </c>
      <c r="X246" s="87">
        <f t="shared" si="226"/>
        <v>39</v>
      </c>
      <c r="Y246" s="92">
        <f t="shared" si="227"/>
        <v>330</v>
      </c>
      <c r="Z246" s="90">
        <f t="shared" si="227"/>
        <v>34000</v>
      </c>
      <c r="AA246" s="90">
        <f t="shared" si="232"/>
        <v>29000</v>
      </c>
      <c r="AB246" s="90">
        <f t="shared" si="225"/>
        <v>5000</v>
      </c>
      <c r="AC246" s="4">
        <f t="shared" si="225"/>
        <v>0.8529411764705882</v>
      </c>
      <c r="AD246" s="91">
        <f t="shared" si="225"/>
        <v>871.79487179487182</v>
      </c>
      <c r="AE246" s="79" t="str">
        <f t="shared" si="233"/>
        <v>계</v>
      </c>
      <c r="AF246" s="79" t="str">
        <f t="shared" si="234"/>
        <v>3/2</v>
      </c>
      <c r="AH246" s="20" t="str">
        <f t="shared" si="199"/>
        <v>봉명동 봉명아이파크</v>
      </c>
      <c r="AI246" s="87">
        <f t="shared" si="200"/>
        <v>39</v>
      </c>
      <c r="AJ246" s="79" t="str">
        <f t="shared" si="235"/>
        <v>A-</v>
      </c>
      <c r="AK246" s="79" t="s">
        <v>13</v>
      </c>
      <c r="AL246" s="79" t="s">
        <v>60</v>
      </c>
      <c r="AM246" s="79" t="s">
        <v>61</v>
      </c>
      <c r="AN246" s="79" t="str">
        <f t="shared" si="236"/>
        <v>C</v>
      </c>
      <c r="AO246" s="79" t="str">
        <f t="shared" si="237"/>
        <v>O</v>
      </c>
      <c r="AP246" s="79" t="str">
        <f t="shared" si="238"/>
        <v>O</v>
      </c>
      <c r="AQ246" s="79" t="str">
        <f t="shared" si="239"/>
        <v>O</v>
      </c>
      <c r="AR246" s="79" t="str">
        <f t="shared" si="240"/>
        <v>O</v>
      </c>
      <c r="AS246" s="79" t="s">
        <v>2</v>
      </c>
      <c r="AT246" s="79" t="str">
        <f t="shared" si="241"/>
        <v>X</v>
      </c>
      <c r="AU246" s="79" t="str">
        <f t="shared" si="242"/>
        <v>O</v>
      </c>
      <c r="AV246" s="79" t="str">
        <f t="shared" si="243"/>
        <v>X</v>
      </c>
    </row>
    <row r="247" spans="1:48" s="37" customFormat="1" ht="12" x14ac:dyDescent="0.3">
      <c r="A247" s="74" t="s">
        <v>1595</v>
      </c>
      <c r="B247" s="75" t="s">
        <v>1596</v>
      </c>
      <c r="C247" s="85">
        <v>1222</v>
      </c>
      <c r="D247" s="86">
        <v>134.30000000000001</v>
      </c>
      <c r="E247" s="87">
        <v>41</v>
      </c>
      <c r="F247" s="86">
        <v>112.6</v>
      </c>
      <c r="G247" s="17">
        <v>34</v>
      </c>
      <c r="H247" s="88">
        <v>90</v>
      </c>
      <c r="I247" s="89">
        <v>38000</v>
      </c>
      <c r="J247" s="89" t="s">
        <v>79</v>
      </c>
      <c r="K247" s="89"/>
      <c r="L247" s="89"/>
      <c r="M247" s="90">
        <f t="shared" si="228"/>
        <v>38000</v>
      </c>
      <c r="N247" s="4">
        <f t="shared" si="229"/>
        <v>0</v>
      </c>
      <c r="O247" s="91">
        <f t="shared" si="230"/>
        <v>926.82926829268297</v>
      </c>
      <c r="P247" s="91">
        <f t="shared" si="231"/>
        <v>0</v>
      </c>
      <c r="Q247" s="79">
        <v>4</v>
      </c>
      <c r="R247" s="79">
        <v>2</v>
      </c>
      <c r="S247" s="79" t="s">
        <v>62</v>
      </c>
      <c r="T247" s="5">
        <v>134</v>
      </c>
      <c r="U247" s="9"/>
      <c r="W247" s="86">
        <f t="shared" si="226"/>
        <v>134.30000000000001</v>
      </c>
      <c r="X247" s="87">
        <f t="shared" si="226"/>
        <v>41</v>
      </c>
      <c r="Y247" s="92">
        <f t="shared" si="227"/>
        <v>90</v>
      </c>
      <c r="Z247" s="90">
        <f t="shared" si="227"/>
        <v>38000</v>
      </c>
      <c r="AA247" s="90">
        <f t="shared" si="232"/>
        <v>0</v>
      </c>
      <c r="AB247" s="90">
        <f t="shared" si="225"/>
        <v>38000</v>
      </c>
      <c r="AC247" s="4">
        <f t="shared" si="225"/>
        <v>0</v>
      </c>
      <c r="AD247" s="91">
        <f t="shared" si="225"/>
        <v>926.82926829268297</v>
      </c>
      <c r="AE247" s="79" t="str">
        <f t="shared" si="233"/>
        <v>계</v>
      </c>
      <c r="AF247" s="79" t="str">
        <f t="shared" si="234"/>
        <v>4/2</v>
      </c>
      <c r="AH247" s="20" t="str">
        <f t="shared" si="199"/>
        <v>봉명동 봉명아이파크</v>
      </c>
      <c r="AI247" s="87">
        <f t="shared" si="200"/>
        <v>41</v>
      </c>
      <c r="AJ247" s="79" t="str">
        <f t="shared" si="235"/>
        <v>A-</v>
      </c>
      <c r="AK247" s="79" t="s">
        <v>13</v>
      </c>
      <c r="AL247" s="79" t="s">
        <v>60</v>
      </c>
      <c r="AM247" s="79" t="s">
        <v>61</v>
      </c>
      <c r="AN247" s="79" t="str">
        <f t="shared" si="236"/>
        <v>C</v>
      </c>
      <c r="AO247" s="79" t="str">
        <f t="shared" si="237"/>
        <v>X</v>
      </c>
      <c r="AP247" s="79" t="str">
        <f t="shared" si="238"/>
        <v>O</v>
      </c>
      <c r="AQ247" s="79" t="str">
        <f t="shared" si="239"/>
        <v>O</v>
      </c>
      <c r="AR247" s="79" t="str">
        <f t="shared" si="240"/>
        <v>X</v>
      </c>
      <c r="AS247" s="79" t="s">
        <v>2</v>
      </c>
      <c r="AT247" s="79" t="str">
        <f t="shared" si="241"/>
        <v>X</v>
      </c>
      <c r="AU247" s="79" t="str">
        <f t="shared" si="242"/>
        <v>O</v>
      </c>
      <c r="AV247" s="79" t="str">
        <f t="shared" si="243"/>
        <v>X</v>
      </c>
    </row>
    <row r="248" spans="1:48" s="37" customFormat="1" ht="12" x14ac:dyDescent="0.3">
      <c r="A248" s="74" t="s">
        <v>1595</v>
      </c>
      <c r="B248" s="75" t="s">
        <v>1596</v>
      </c>
      <c r="C248" s="85">
        <v>1222</v>
      </c>
      <c r="D248" s="86">
        <v>151</v>
      </c>
      <c r="E248" s="87">
        <v>46</v>
      </c>
      <c r="F248" s="86">
        <v>127.6</v>
      </c>
      <c r="G248" s="17">
        <v>39</v>
      </c>
      <c r="H248" s="88">
        <v>104</v>
      </c>
      <c r="I248" s="89">
        <v>42000</v>
      </c>
      <c r="J248" s="89" t="s">
        <v>83</v>
      </c>
      <c r="K248" s="89"/>
      <c r="L248" s="89"/>
      <c r="M248" s="90">
        <f t="shared" si="228"/>
        <v>42000</v>
      </c>
      <c r="N248" s="4">
        <f t="shared" si="229"/>
        <v>0</v>
      </c>
      <c r="O248" s="91">
        <f t="shared" si="230"/>
        <v>913.04347826086962</v>
      </c>
      <c r="P248" s="91">
        <f t="shared" si="231"/>
        <v>0</v>
      </c>
      <c r="Q248" s="79">
        <v>4</v>
      </c>
      <c r="R248" s="79">
        <v>2</v>
      </c>
      <c r="S248" s="79" t="s">
        <v>62</v>
      </c>
      <c r="T248" s="5">
        <v>150</v>
      </c>
      <c r="U248" s="9"/>
      <c r="W248" s="86">
        <f t="shared" si="226"/>
        <v>151</v>
      </c>
      <c r="X248" s="87">
        <f t="shared" si="226"/>
        <v>46</v>
      </c>
      <c r="Y248" s="92">
        <f t="shared" si="227"/>
        <v>104</v>
      </c>
      <c r="Z248" s="90">
        <f t="shared" si="227"/>
        <v>42000</v>
      </c>
      <c r="AA248" s="90">
        <f t="shared" si="232"/>
        <v>0</v>
      </c>
      <c r="AB248" s="90">
        <f t="shared" si="225"/>
        <v>42000</v>
      </c>
      <c r="AC248" s="4">
        <f t="shared" si="225"/>
        <v>0</v>
      </c>
      <c r="AD248" s="91">
        <f t="shared" si="225"/>
        <v>913.04347826086962</v>
      </c>
      <c r="AE248" s="79" t="str">
        <f t="shared" si="233"/>
        <v>계</v>
      </c>
      <c r="AF248" s="79" t="str">
        <f t="shared" si="234"/>
        <v>4/2</v>
      </c>
      <c r="AH248" s="20" t="str">
        <f t="shared" si="199"/>
        <v>봉명동 봉명아이파크</v>
      </c>
      <c r="AI248" s="87">
        <f t="shared" si="200"/>
        <v>46</v>
      </c>
      <c r="AJ248" s="79" t="str">
        <f t="shared" si="235"/>
        <v>A-</v>
      </c>
      <c r="AK248" s="79" t="s">
        <v>13</v>
      </c>
      <c r="AL248" s="79" t="s">
        <v>60</v>
      </c>
      <c r="AM248" s="79" t="s">
        <v>61</v>
      </c>
      <c r="AN248" s="79" t="str">
        <f t="shared" si="236"/>
        <v>C</v>
      </c>
      <c r="AO248" s="79" t="str">
        <f t="shared" si="237"/>
        <v>X</v>
      </c>
      <c r="AP248" s="79" t="str">
        <f t="shared" si="238"/>
        <v>O</v>
      </c>
      <c r="AQ248" s="79" t="str">
        <f t="shared" si="239"/>
        <v>O</v>
      </c>
      <c r="AR248" s="79" t="str">
        <f t="shared" si="240"/>
        <v>X</v>
      </c>
      <c r="AS248" s="79" t="s">
        <v>2</v>
      </c>
      <c r="AT248" s="79" t="str">
        <f t="shared" si="241"/>
        <v>X</v>
      </c>
      <c r="AU248" s="79" t="str">
        <f t="shared" si="242"/>
        <v>O</v>
      </c>
      <c r="AV248" s="79" t="str">
        <f t="shared" si="243"/>
        <v>X</v>
      </c>
    </row>
    <row r="249" spans="1:48" s="37" customFormat="1" ht="12" x14ac:dyDescent="0.3">
      <c r="A249" s="74" t="s">
        <v>1595</v>
      </c>
      <c r="B249" s="75" t="s">
        <v>1596</v>
      </c>
      <c r="C249" s="85">
        <v>1222</v>
      </c>
      <c r="D249" s="86">
        <v>180.1</v>
      </c>
      <c r="E249" s="87">
        <v>54</v>
      </c>
      <c r="F249" s="86">
        <v>150.80000000000001</v>
      </c>
      <c r="G249" s="17">
        <v>46</v>
      </c>
      <c r="H249" s="88">
        <v>74</v>
      </c>
      <c r="I249" s="89">
        <v>48000</v>
      </c>
      <c r="J249" s="89" t="s">
        <v>64</v>
      </c>
      <c r="K249" s="89"/>
      <c r="L249" s="89"/>
      <c r="M249" s="90">
        <f t="shared" si="228"/>
        <v>48000</v>
      </c>
      <c r="N249" s="4">
        <f t="shared" si="229"/>
        <v>0</v>
      </c>
      <c r="O249" s="91">
        <f t="shared" si="230"/>
        <v>888.88888888888891</v>
      </c>
      <c r="P249" s="91">
        <f t="shared" si="231"/>
        <v>0</v>
      </c>
      <c r="Q249" s="79">
        <v>4</v>
      </c>
      <c r="R249" s="79">
        <v>2</v>
      </c>
      <c r="S249" s="79" t="s">
        <v>62</v>
      </c>
      <c r="T249" s="5">
        <v>180</v>
      </c>
      <c r="U249" s="9"/>
      <c r="W249" s="86">
        <f t="shared" si="226"/>
        <v>180.1</v>
      </c>
      <c r="X249" s="87">
        <f t="shared" si="226"/>
        <v>54</v>
      </c>
      <c r="Y249" s="92">
        <f t="shared" si="227"/>
        <v>74</v>
      </c>
      <c r="Z249" s="90">
        <f t="shared" si="227"/>
        <v>48000</v>
      </c>
      <c r="AA249" s="90">
        <f t="shared" si="232"/>
        <v>0</v>
      </c>
      <c r="AB249" s="90">
        <f t="shared" si="225"/>
        <v>48000</v>
      </c>
      <c r="AC249" s="4">
        <f t="shared" si="225"/>
        <v>0</v>
      </c>
      <c r="AD249" s="91">
        <f t="shared" si="225"/>
        <v>888.88888888888891</v>
      </c>
      <c r="AE249" s="79" t="str">
        <f t="shared" si="233"/>
        <v>계</v>
      </c>
      <c r="AF249" s="79" t="str">
        <f t="shared" si="234"/>
        <v>4/2</v>
      </c>
      <c r="AH249" s="20" t="str">
        <f t="shared" si="199"/>
        <v>봉명동 봉명아이파크</v>
      </c>
      <c r="AI249" s="87">
        <f t="shared" si="200"/>
        <v>54</v>
      </c>
      <c r="AJ249" s="79" t="str">
        <f t="shared" si="235"/>
        <v>A-</v>
      </c>
      <c r="AK249" s="79" t="s">
        <v>13</v>
      </c>
      <c r="AL249" s="79" t="s">
        <v>60</v>
      </c>
      <c r="AM249" s="79" t="s">
        <v>61</v>
      </c>
      <c r="AN249" s="79" t="str">
        <f t="shared" si="236"/>
        <v>C</v>
      </c>
      <c r="AO249" s="79" t="str">
        <f t="shared" si="237"/>
        <v>X</v>
      </c>
      <c r="AP249" s="79" t="str">
        <f t="shared" si="238"/>
        <v>X</v>
      </c>
      <c r="AQ249" s="79" t="str">
        <f t="shared" si="239"/>
        <v>O</v>
      </c>
      <c r="AR249" s="79" t="str">
        <f t="shared" si="240"/>
        <v>X</v>
      </c>
      <c r="AS249" s="79" t="s">
        <v>2</v>
      </c>
      <c r="AT249" s="79" t="str">
        <f t="shared" si="241"/>
        <v>X</v>
      </c>
      <c r="AU249" s="79" t="str">
        <f t="shared" si="242"/>
        <v>O</v>
      </c>
      <c r="AV249" s="79" t="str">
        <f t="shared" si="243"/>
        <v>X</v>
      </c>
    </row>
    <row r="250" spans="1:48" s="37" customFormat="1" ht="12" x14ac:dyDescent="0.3">
      <c r="A250" s="74" t="s">
        <v>1595</v>
      </c>
      <c r="B250" s="75" t="s">
        <v>1596</v>
      </c>
      <c r="C250" s="85">
        <v>1222</v>
      </c>
      <c r="D250" s="86">
        <v>259.8</v>
      </c>
      <c r="E250" s="87">
        <v>79</v>
      </c>
      <c r="F250" s="86">
        <v>219</v>
      </c>
      <c r="G250" s="17">
        <v>66</v>
      </c>
      <c r="H250" s="88">
        <v>8</v>
      </c>
      <c r="I250" s="89">
        <v>65000</v>
      </c>
      <c r="J250" s="89" t="s">
        <v>70</v>
      </c>
      <c r="K250" s="89"/>
      <c r="L250" s="89"/>
      <c r="M250" s="90">
        <f t="shared" si="228"/>
        <v>65000</v>
      </c>
      <c r="N250" s="4">
        <f t="shared" si="229"/>
        <v>0</v>
      </c>
      <c r="O250" s="91">
        <f t="shared" si="230"/>
        <v>822.78481012658233</v>
      </c>
      <c r="P250" s="91">
        <f t="shared" si="231"/>
        <v>0</v>
      </c>
      <c r="Q250" s="79">
        <v>5</v>
      </c>
      <c r="R250" s="79">
        <v>4</v>
      </c>
      <c r="S250" s="79" t="s">
        <v>62</v>
      </c>
      <c r="T250" s="5">
        <v>259</v>
      </c>
      <c r="U250" s="9"/>
      <c r="W250" s="86">
        <f t="shared" si="226"/>
        <v>259.8</v>
      </c>
      <c r="X250" s="87">
        <f t="shared" si="226"/>
        <v>79</v>
      </c>
      <c r="Y250" s="92">
        <f t="shared" si="227"/>
        <v>8</v>
      </c>
      <c r="Z250" s="90">
        <f t="shared" si="227"/>
        <v>65000</v>
      </c>
      <c r="AA250" s="90">
        <f t="shared" si="232"/>
        <v>0</v>
      </c>
      <c r="AB250" s="90">
        <f t="shared" si="225"/>
        <v>65000</v>
      </c>
      <c r="AC250" s="4">
        <f t="shared" si="225"/>
        <v>0</v>
      </c>
      <c r="AD250" s="91">
        <f t="shared" si="225"/>
        <v>822.78481012658233</v>
      </c>
      <c r="AE250" s="79" t="str">
        <f t="shared" si="233"/>
        <v>계</v>
      </c>
      <c r="AF250" s="79" t="str">
        <f t="shared" si="234"/>
        <v>5/4</v>
      </c>
      <c r="AH250" s="20" t="str">
        <f t="shared" si="199"/>
        <v>봉명동 봉명아이파크</v>
      </c>
      <c r="AI250" s="87">
        <f t="shared" si="200"/>
        <v>79</v>
      </c>
      <c r="AJ250" s="79" t="str">
        <f t="shared" si="235"/>
        <v>A-</v>
      </c>
      <c r="AK250" s="79" t="s">
        <v>13</v>
      </c>
      <c r="AL250" s="79" t="s">
        <v>60</v>
      </c>
      <c r="AM250" s="79" t="s">
        <v>61</v>
      </c>
      <c r="AN250" s="79" t="str">
        <f t="shared" si="236"/>
        <v>C</v>
      </c>
      <c r="AO250" s="79" t="str">
        <f t="shared" si="237"/>
        <v>X</v>
      </c>
      <c r="AP250" s="79" t="str">
        <f t="shared" si="238"/>
        <v>X</v>
      </c>
      <c r="AQ250" s="79" t="str">
        <f t="shared" si="239"/>
        <v>O</v>
      </c>
      <c r="AR250" s="79" t="str">
        <f t="shared" si="240"/>
        <v>X</v>
      </c>
      <c r="AS250" s="79" t="s">
        <v>2</v>
      </c>
      <c r="AT250" s="79" t="str">
        <f t="shared" si="241"/>
        <v>X</v>
      </c>
      <c r="AU250" s="79" t="str">
        <f t="shared" si="242"/>
        <v>O</v>
      </c>
      <c r="AV250" s="79" t="str">
        <f t="shared" si="243"/>
        <v>X</v>
      </c>
    </row>
    <row r="251" spans="1:48" s="37" customFormat="1" ht="12" x14ac:dyDescent="0.3">
      <c r="A251" s="74" t="s">
        <v>1595</v>
      </c>
      <c r="B251" s="75" t="s">
        <v>1596</v>
      </c>
      <c r="C251" s="85">
        <v>1222</v>
      </c>
      <c r="D251" s="86">
        <v>285.5</v>
      </c>
      <c r="E251" s="87">
        <v>86</v>
      </c>
      <c r="F251" s="86">
        <v>239.4</v>
      </c>
      <c r="G251" s="17">
        <v>72</v>
      </c>
      <c r="H251" s="88">
        <v>6</v>
      </c>
      <c r="I251" s="89"/>
      <c r="J251" s="89"/>
      <c r="K251" s="89"/>
      <c r="L251" s="89"/>
      <c r="M251" s="90">
        <f t="shared" si="228"/>
        <v>0</v>
      </c>
      <c r="N251" s="4" t="str">
        <f t="shared" si="229"/>
        <v/>
      </c>
      <c r="O251" s="91">
        <f t="shared" si="230"/>
        <v>0</v>
      </c>
      <c r="P251" s="91">
        <f t="shared" si="231"/>
        <v>0</v>
      </c>
      <c r="Q251" s="79">
        <v>5</v>
      </c>
      <c r="R251" s="79">
        <v>3</v>
      </c>
      <c r="S251" s="79" t="s">
        <v>62</v>
      </c>
      <c r="T251" s="5">
        <v>285</v>
      </c>
      <c r="U251" s="9"/>
      <c r="W251" s="86">
        <f t="shared" si="226"/>
        <v>285.5</v>
      </c>
      <c r="X251" s="87">
        <f t="shared" si="226"/>
        <v>86</v>
      </c>
      <c r="Y251" s="92">
        <f t="shared" si="227"/>
        <v>6</v>
      </c>
      <c r="Z251" s="90">
        <f t="shared" si="227"/>
        <v>0</v>
      </c>
      <c r="AA251" s="90">
        <f t="shared" si="232"/>
        <v>0</v>
      </c>
      <c r="AB251" s="90">
        <f t="shared" si="225"/>
        <v>0</v>
      </c>
      <c r="AC251" s="4" t="str">
        <f t="shared" si="225"/>
        <v/>
      </c>
      <c r="AD251" s="91">
        <f t="shared" si="225"/>
        <v>0</v>
      </c>
      <c r="AE251" s="79" t="str">
        <f t="shared" si="233"/>
        <v>계</v>
      </c>
      <c r="AF251" s="79" t="str">
        <f t="shared" si="234"/>
        <v>5/3</v>
      </c>
      <c r="AH251" s="20" t="str">
        <f t="shared" si="199"/>
        <v>봉명동 봉명아이파크</v>
      </c>
      <c r="AI251" s="87">
        <f t="shared" si="200"/>
        <v>86</v>
      </c>
      <c r="AJ251" s="79" t="str">
        <f t="shared" si="235"/>
        <v>A-</v>
      </c>
      <c r="AK251" s="79" t="s">
        <v>13</v>
      </c>
      <c r="AL251" s="79" t="s">
        <v>60</v>
      </c>
      <c r="AM251" s="79" t="s">
        <v>61</v>
      </c>
      <c r="AN251" s="79" t="str">
        <f t="shared" si="236"/>
        <v>C</v>
      </c>
      <c r="AO251" s="79" t="str">
        <f t="shared" si="237"/>
        <v/>
      </c>
      <c r="AP251" s="79" t="str">
        <f t="shared" si="238"/>
        <v/>
      </c>
      <c r="AQ251" s="79" t="str">
        <f t="shared" si="239"/>
        <v>O</v>
      </c>
      <c r="AR251" s="79" t="str">
        <f t="shared" si="240"/>
        <v>O</v>
      </c>
      <c r="AS251" s="79" t="s">
        <v>2</v>
      </c>
      <c r="AT251" s="79" t="str">
        <f t="shared" si="241"/>
        <v>X</v>
      </c>
      <c r="AU251" s="79" t="str">
        <f t="shared" si="242"/>
        <v>O</v>
      </c>
      <c r="AV251" s="79" t="str">
        <f t="shared" si="243"/>
        <v/>
      </c>
    </row>
    <row r="252" spans="1:48" s="37" customFormat="1" ht="12" x14ac:dyDescent="0.3">
      <c r="A252" s="74" t="s">
        <v>1597</v>
      </c>
      <c r="B252" s="75" t="s">
        <v>1598</v>
      </c>
      <c r="C252" s="85">
        <v>603</v>
      </c>
      <c r="D252" s="86">
        <v>63.7</v>
      </c>
      <c r="E252" s="87">
        <v>19</v>
      </c>
      <c r="F252" s="86">
        <v>44.1</v>
      </c>
      <c r="G252" s="17">
        <v>13</v>
      </c>
      <c r="H252" s="88">
        <v>603</v>
      </c>
      <c r="I252" s="89">
        <v>9200</v>
      </c>
      <c r="J252" s="89" t="s">
        <v>89</v>
      </c>
      <c r="K252" s="89"/>
      <c r="L252" s="89"/>
      <c r="M252" s="90">
        <f>I252-K252</f>
        <v>9200</v>
      </c>
      <c r="N252" s="4">
        <f>IF(ISERROR(K252/I252),"",K252/I252)</f>
        <v>0</v>
      </c>
      <c r="O252" s="91">
        <f>I252/E252</f>
        <v>484.21052631578948</v>
      </c>
      <c r="P252" s="91">
        <f>K252/E252</f>
        <v>0</v>
      </c>
      <c r="Q252" s="79">
        <v>2</v>
      </c>
      <c r="R252" s="79">
        <v>1</v>
      </c>
      <c r="S252" s="79" t="s">
        <v>59</v>
      </c>
      <c r="T252" s="5">
        <v>63</v>
      </c>
      <c r="U252" s="9"/>
      <c r="W252" s="86">
        <f>D252</f>
        <v>63.7</v>
      </c>
      <c r="X252" s="87">
        <f>E252</f>
        <v>19</v>
      </c>
      <c r="Y252" s="92">
        <f>H252</f>
        <v>603</v>
      </c>
      <c r="Z252" s="90">
        <f>I252</f>
        <v>9200</v>
      </c>
      <c r="AA252" s="90">
        <f>K252</f>
        <v>0</v>
      </c>
      <c r="AB252" s="90">
        <f>M252</f>
        <v>9200</v>
      </c>
      <c r="AC252" s="4">
        <f>N252</f>
        <v>0</v>
      </c>
      <c r="AD252" s="91">
        <f>O252</f>
        <v>484.21052631578948</v>
      </c>
      <c r="AE252" s="79" t="str">
        <f>S252</f>
        <v>복</v>
      </c>
      <c r="AF252" s="79" t="str">
        <f>Q252&amp;"/"&amp;R252</f>
        <v>2/1</v>
      </c>
      <c r="AH252" s="20" t="str">
        <f t="shared" si="199"/>
        <v>봉명동 푸른</v>
      </c>
      <c r="AI252" s="87">
        <f t="shared" si="200"/>
        <v>19</v>
      </c>
      <c r="AJ252" s="79" t="str">
        <f>IF(AI252="","",$AJ$2)</f>
        <v>A-</v>
      </c>
      <c r="AK252" s="79" t="s">
        <v>13</v>
      </c>
      <c r="AL252" s="79" t="s">
        <v>60</v>
      </c>
      <c r="AM252" s="79" t="s">
        <v>61</v>
      </c>
      <c r="AN252" s="79" t="str">
        <f>IF(AI252="","",$AN$2)</f>
        <v>C</v>
      </c>
      <c r="AO252" s="79" t="str">
        <f>IF(N252="","",IF(N252&gt;=$AO$1/100,"O","X"))</f>
        <v>X</v>
      </c>
      <c r="AP252" s="79" t="str">
        <f>IF(I252="","",IF(I252&lt;=$AP$1,"O","X"))</f>
        <v>O</v>
      </c>
      <c r="AQ252" s="79" t="str">
        <f>IF(O252="","",IF(O252&lt;=$AQ$1,"O","X"))</f>
        <v>O</v>
      </c>
      <c r="AR252" s="79" t="str">
        <f>IF(M252="","",IF(M252&lt;=$AR$1,"O","X"))</f>
        <v>X</v>
      </c>
      <c r="AS252" s="79" t="s">
        <v>2</v>
      </c>
      <c r="AT252" s="79" t="str">
        <f>IF(OR(F252="",AI252=""),"",IF(AND((F252&lt;=85),(AI252&gt;=15)),"O","X"))</f>
        <v>O</v>
      </c>
      <c r="AU252" s="79" t="str">
        <f>IF(C252="","",IF(C252&gt;=$AU$1,"O","X"))</f>
        <v>O</v>
      </c>
      <c r="AV252" s="79" t="str">
        <f>IF(AO252="","",IF(AND(AO252="O",AP252="O",AR252="O",AT252="O",AU252="O"),"후보","X"))</f>
        <v>X</v>
      </c>
    </row>
    <row r="253" spans="1:48" s="37" customFormat="1" ht="12" x14ac:dyDescent="0.3">
      <c r="A253" s="74" t="s">
        <v>1599</v>
      </c>
      <c r="B253" s="75" t="s">
        <v>1600</v>
      </c>
      <c r="C253" s="85">
        <v>574</v>
      </c>
      <c r="D253" s="86">
        <v>40.299999999999997</v>
      </c>
      <c r="E253" s="87">
        <v>12</v>
      </c>
      <c r="F253" s="86">
        <v>40.299999999999997</v>
      </c>
      <c r="G253" s="17">
        <v>12</v>
      </c>
      <c r="H253" s="88">
        <v>86</v>
      </c>
      <c r="I253" s="89"/>
      <c r="J253" s="89"/>
      <c r="K253" s="89"/>
      <c r="L253" s="89"/>
      <c r="M253" s="90">
        <f t="shared" ref="M253:M262" si="244">I253-K253</f>
        <v>0</v>
      </c>
      <c r="N253" s="4" t="str">
        <f t="shared" ref="N253:N262" si="245">IF(ISERROR(K253/I253),"",K253/I253)</f>
        <v/>
      </c>
      <c r="O253" s="91">
        <f t="shared" ref="O253:O262" si="246">I253/E253</f>
        <v>0</v>
      </c>
      <c r="P253" s="91">
        <f t="shared" ref="P253:P262" si="247">K253/E253</f>
        <v>0</v>
      </c>
      <c r="Q253" s="79">
        <v>2</v>
      </c>
      <c r="R253" s="79">
        <v>1</v>
      </c>
      <c r="S253" s="79" t="s">
        <v>62</v>
      </c>
      <c r="T253" s="5">
        <v>40</v>
      </c>
      <c r="U253" s="9"/>
      <c r="W253" s="86">
        <f t="shared" ref="W253:X262" si="248">D253</f>
        <v>40.299999999999997</v>
      </c>
      <c r="X253" s="87">
        <f t="shared" si="248"/>
        <v>12</v>
      </c>
      <c r="Y253" s="92">
        <f t="shared" ref="Y253:Z262" si="249">H253</f>
        <v>86</v>
      </c>
      <c r="Z253" s="90">
        <f t="shared" si="249"/>
        <v>0</v>
      </c>
      <c r="AA253" s="90">
        <f t="shared" ref="AA253:AA262" si="250">K253</f>
        <v>0</v>
      </c>
      <c r="AB253" s="90">
        <f t="shared" ref="AB253:AD262" si="251">M253</f>
        <v>0</v>
      </c>
      <c r="AC253" s="4" t="str">
        <f t="shared" si="251"/>
        <v/>
      </c>
      <c r="AD253" s="91">
        <f t="shared" si="251"/>
        <v>0</v>
      </c>
      <c r="AE253" s="79" t="str">
        <f t="shared" ref="AE253:AE262" si="252">S253</f>
        <v>계</v>
      </c>
      <c r="AF253" s="79" t="str">
        <f t="shared" ref="AF253:AF262" si="253">Q253&amp;"/"&amp;R253</f>
        <v>2/1</v>
      </c>
      <c r="AH253" s="20" t="str">
        <f t="shared" si="199"/>
        <v>봉명동 주공1단지</v>
      </c>
      <c r="AI253" s="87">
        <f t="shared" si="200"/>
        <v>12</v>
      </c>
      <c r="AJ253" s="79" t="str">
        <f t="shared" ref="AJ253:AJ262" si="254">IF(AI253="","",$AJ$2)</f>
        <v>A-</v>
      </c>
      <c r="AK253" s="79" t="s">
        <v>13</v>
      </c>
      <c r="AL253" s="79" t="s">
        <v>60</v>
      </c>
      <c r="AM253" s="79" t="s">
        <v>61</v>
      </c>
      <c r="AN253" s="79" t="str">
        <f t="shared" ref="AN253:AN262" si="255">IF(AI253="","",$AN$2)</f>
        <v>C</v>
      </c>
      <c r="AO253" s="79" t="str">
        <f t="shared" ref="AO253:AO262" si="256">IF(N253="","",IF(N253&gt;=$AO$1/100,"O","X"))</f>
        <v/>
      </c>
      <c r="AP253" s="79" t="str">
        <f t="shared" ref="AP253:AP262" si="257">IF(I253="","",IF(I253&lt;=$AP$1,"O","X"))</f>
        <v/>
      </c>
      <c r="AQ253" s="79" t="str">
        <f t="shared" ref="AQ253:AQ262" si="258">IF(O253="","",IF(O253&lt;=$AQ$1,"O","X"))</f>
        <v>O</v>
      </c>
      <c r="AR253" s="79" t="str">
        <f t="shared" ref="AR253:AR262" si="259">IF(M253="","",IF(M253&lt;=$AR$1,"O","X"))</f>
        <v>O</v>
      </c>
      <c r="AS253" s="79" t="s">
        <v>2</v>
      </c>
      <c r="AT253" s="79" t="str">
        <f t="shared" ref="AT253:AT262" si="260">IF(OR(F253="",AI253=""),"",IF(AND((F253&lt;=85),(AI253&gt;=15)),"O","X"))</f>
        <v>X</v>
      </c>
      <c r="AU253" s="79" t="str">
        <f t="shared" ref="AU253:AU262" si="261">IF(C253="","",IF(C253&gt;=$AU$1,"O","X"))</f>
        <v>O</v>
      </c>
      <c r="AV253" s="79" t="str">
        <f t="shared" ref="AV253:AV262" si="262">IF(AO253="","",IF(AND(AO253="O",AP253="O",AR253="O",AT253="O",AU253="O"),"후보","X"))</f>
        <v/>
      </c>
    </row>
    <row r="254" spans="1:48" s="37" customFormat="1" ht="12" x14ac:dyDescent="0.3">
      <c r="A254" s="74" t="s">
        <v>1599</v>
      </c>
      <c r="B254" s="75" t="s">
        <v>1600</v>
      </c>
      <c r="C254" s="85">
        <v>574</v>
      </c>
      <c r="D254" s="86">
        <v>49.9</v>
      </c>
      <c r="E254" s="87">
        <v>15</v>
      </c>
      <c r="F254" s="86">
        <v>46.8</v>
      </c>
      <c r="G254" s="17">
        <v>14</v>
      </c>
      <c r="H254" s="88">
        <v>44</v>
      </c>
      <c r="I254" s="89"/>
      <c r="J254" s="89"/>
      <c r="K254" s="89"/>
      <c r="L254" s="89"/>
      <c r="M254" s="90">
        <f t="shared" si="244"/>
        <v>0</v>
      </c>
      <c r="N254" s="4" t="str">
        <f t="shared" si="245"/>
        <v/>
      </c>
      <c r="O254" s="91">
        <f t="shared" si="246"/>
        <v>0</v>
      </c>
      <c r="P254" s="91">
        <f t="shared" si="247"/>
        <v>0</v>
      </c>
      <c r="Q254" s="79">
        <v>2</v>
      </c>
      <c r="R254" s="79">
        <v>1</v>
      </c>
      <c r="S254" s="79" t="s">
        <v>62</v>
      </c>
      <c r="T254" s="5" t="s">
        <v>163</v>
      </c>
      <c r="U254" s="9"/>
      <c r="W254" s="86">
        <f t="shared" si="248"/>
        <v>49.9</v>
      </c>
      <c r="X254" s="87">
        <f t="shared" si="248"/>
        <v>15</v>
      </c>
      <c r="Y254" s="92">
        <f t="shared" si="249"/>
        <v>44</v>
      </c>
      <c r="Z254" s="90">
        <f t="shared" si="249"/>
        <v>0</v>
      </c>
      <c r="AA254" s="90">
        <f t="shared" si="250"/>
        <v>0</v>
      </c>
      <c r="AB254" s="90">
        <f t="shared" si="251"/>
        <v>0</v>
      </c>
      <c r="AC254" s="4" t="str">
        <f t="shared" si="251"/>
        <v/>
      </c>
      <c r="AD254" s="91">
        <f t="shared" si="251"/>
        <v>0</v>
      </c>
      <c r="AE254" s="79" t="str">
        <f t="shared" si="252"/>
        <v>계</v>
      </c>
      <c r="AF254" s="79" t="str">
        <f t="shared" si="253"/>
        <v>2/1</v>
      </c>
      <c r="AH254" s="20" t="str">
        <f t="shared" si="199"/>
        <v>봉명동 주공1단지</v>
      </c>
      <c r="AI254" s="87">
        <f t="shared" si="200"/>
        <v>15</v>
      </c>
      <c r="AJ254" s="79" t="str">
        <f t="shared" si="254"/>
        <v>A-</v>
      </c>
      <c r="AK254" s="79" t="s">
        <v>13</v>
      </c>
      <c r="AL254" s="79" t="s">
        <v>60</v>
      </c>
      <c r="AM254" s="79" t="s">
        <v>61</v>
      </c>
      <c r="AN254" s="79" t="str">
        <f t="shared" si="255"/>
        <v>C</v>
      </c>
      <c r="AO254" s="79" t="str">
        <f t="shared" si="256"/>
        <v/>
      </c>
      <c r="AP254" s="79" t="str">
        <f t="shared" si="257"/>
        <v/>
      </c>
      <c r="AQ254" s="79" t="str">
        <f t="shared" si="258"/>
        <v>O</v>
      </c>
      <c r="AR254" s="79" t="str">
        <f t="shared" si="259"/>
        <v>O</v>
      </c>
      <c r="AS254" s="79" t="s">
        <v>2</v>
      </c>
      <c r="AT254" s="79" t="str">
        <f t="shared" si="260"/>
        <v>O</v>
      </c>
      <c r="AU254" s="79" t="str">
        <f t="shared" si="261"/>
        <v>O</v>
      </c>
      <c r="AV254" s="79" t="str">
        <f t="shared" si="262"/>
        <v/>
      </c>
    </row>
    <row r="255" spans="1:48" s="37" customFormat="1" ht="12" x14ac:dyDescent="0.3">
      <c r="A255" s="74" t="s">
        <v>1599</v>
      </c>
      <c r="B255" s="75" t="s">
        <v>1600</v>
      </c>
      <c r="C255" s="85">
        <v>574</v>
      </c>
      <c r="D255" s="86">
        <v>50.6</v>
      </c>
      <c r="E255" s="87">
        <v>15</v>
      </c>
      <c r="F255" s="86">
        <v>50.6</v>
      </c>
      <c r="G255" s="17">
        <v>15</v>
      </c>
      <c r="H255" s="88">
        <v>44</v>
      </c>
      <c r="I255" s="89"/>
      <c r="J255" s="89"/>
      <c r="K255" s="89"/>
      <c r="L255" s="89"/>
      <c r="M255" s="90">
        <f t="shared" si="244"/>
        <v>0</v>
      </c>
      <c r="N255" s="4" t="str">
        <f t="shared" si="245"/>
        <v/>
      </c>
      <c r="O255" s="91">
        <f t="shared" si="246"/>
        <v>0</v>
      </c>
      <c r="P255" s="91">
        <f t="shared" si="247"/>
        <v>0</v>
      </c>
      <c r="Q255" s="79">
        <v>2</v>
      </c>
      <c r="R255" s="79">
        <v>1</v>
      </c>
      <c r="S255" s="79" t="s">
        <v>62</v>
      </c>
      <c r="T255" s="5" t="s">
        <v>164</v>
      </c>
      <c r="U255" s="9"/>
      <c r="W255" s="86">
        <f t="shared" si="248"/>
        <v>50.6</v>
      </c>
      <c r="X255" s="87">
        <f t="shared" si="248"/>
        <v>15</v>
      </c>
      <c r="Y255" s="92">
        <f t="shared" si="249"/>
        <v>44</v>
      </c>
      <c r="Z255" s="90">
        <f t="shared" si="249"/>
        <v>0</v>
      </c>
      <c r="AA255" s="90">
        <f t="shared" si="250"/>
        <v>0</v>
      </c>
      <c r="AB255" s="90">
        <f t="shared" si="251"/>
        <v>0</v>
      </c>
      <c r="AC255" s="4" t="str">
        <f t="shared" si="251"/>
        <v/>
      </c>
      <c r="AD255" s="91">
        <f t="shared" si="251"/>
        <v>0</v>
      </c>
      <c r="AE255" s="79" t="str">
        <f t="shared" si="252"/>
        <v>계</v>
      </c>
      <c r="AF255" s="79" t="str">
        <f t="shared" si="253"/>
        <v>2/1</v>
      </c>
      <c r="AH255" s="20" t="str">
        <f t="shared" si="199"/>
        <v>봉명동 주공1단지</v>
      </c>
      <c r="AI255" s="87">
        <f t="shared" si="200"/>
        <v>15</v>
      </c>
      <c r="AJ255" s="79" t="str">
        <f t="shared" si="254"/>
        <v>A-</v>
      </c>
      <c r="AK255" s="79" t="s">
        <v>13</v>
      </c>
      <c r="AL255" s="79" t="s">
        <v>60</v>
      </c>
      <c r="AM255" s="79" t="s">
        <v>61</v>
      </c>
      <c r="AN255" s="79" t="str">
        <f t="shared" si="255"/>
        <v>C</v>
      </c>
      <c r="AO255" s="79" t="str">
        <f t="shared" si="256"/>
        <v/>
      </c>
      <c r="AP255" s="79" t="str">
        <f t="shared" si="257"/>
        <v/>
      </c>
      <c r="AQ255" s="79" t="str">
        <f t="shared" si="258"/>
        <v>O</v>
      </c>
      <c r="AR255" s="79" t="str">
        <f t="shared" si="259"/>
        <v>O</v>
      </c>
      <c r="AS255" s="79" t="s">
        <v>2</v>
      </c>
      <c r="AT255" s="79" t="str">
        <f t="shared" si="260"/>
        <v>O</v>
      </c>
      <c r="AU255" s="79" t="str">
        <f t="shared" si="261"/>
        <v>O</v>
      </c>
      <c r="AV255" s="79" t="str">
        <f t="shared" si="262"/>
        <v/>
      </c>
    </row>
    <row r="256" spans="1:48" s="37" customFormat="1" ht="12" x14ac:dyDescent="0.3">
      <c r="A256" s="74" t="s">
        <v>1599</v>
      </c>
      <c r="B256" s="75" t="s">
        <v>1600</v>
      </c>
      <c r="C256" s="85">
        <v>574</v>
      </c>
      <c r="D256" s="86">
        <v>50.7</v>
      </c>
      <c r="E256" s="87">
        <v>15</v>
      </c>
      <c r="F256" s="86">
        <v>50.7</v>
      </c>
      <c r="G256" s="17">
        <v>15</v>
      </c>
      <c r="H256" s="88">
        <v>40</v>
      </c>
      <c r="I256" s="89"/>
      <c r="J256" s="89"/>
      <c r="K256" s="89"/>
      <c r="L256" s="89"/>
      <c r="M256" s="90">
        <f t="shared" si="244"/>
        <v>0</v>
      </c>
      <c r="N256" s="4" t="str">
        <f t="shared" si="245"/>
        <v/>
      </c>
      <c r="O256" s="91">
        <f t="shared" si="246"/>
        <v>0</v>
      </c>
      <c r="P256" s="91">
        <f t="shared" si="247"/>
        <v>0</v>
      </c>
      <c r="Q256" s="79">
        <v>2</v>
      </c>
      <c r="R256" s="79">
        <v>1</v>
      </c>
      <c r="S256" s="79" t="s">
        <v>62</v>
      </c>
      <c r="T256" s="5" t="s">
        <v>165</v>
      </c>
      <c r="U256" s="9"/>
      <c r="W256" s="86">
        <f t="shared" si="248"/>
        <v>50.7</v>
      </c>
      <c r="X256" s="87">
        <f t="shared" si="248"/>
        <v>15</v>
      </c>
      <c r="Y256" s="92">
        <f t="shared" si="249"/>
        <v>40</v>
      </c>
      <c r="Z256" s="90">
        <f t="shared" si="249"/>
        <v>0</v>
      </c>
      <c r="AA256" s="90">
        <f t="shared" si="250"/>
        <v>0</v>
      </c>
      <c r="AB256" s="90">
        <f t="shared" si="251"/>
        <v>0</v>
      </c>
      <c r="AC256" s="4" t="str">
        <f t="shared" si="251"/>
        <v/>
      </c>
      <c r="AD256" s="91">
        <f t="shared" si="251"/>
        <v>0</v>
      </c>
      <c r="AE256" s="79" t="str">
        <f t="shared" si="252"/>
        <v>계</v>
      </c>
      <c r="AF256" s="79" t="str">
        <f t="shared" si="253"/>
        <v>2/1</v>
      </c>
      <c r="AH256" s="20" t="str">
        <f t="shared" si="199"/>
        <v>봉명동 주공1단지</v>
      </c>
      <c r="AI256" s="87">
        <f t="shared" si="200"/>
        <v>15</v>
      </c>
      <c r="AJ256" s="79" t="str">
        <f t="shared" si="254"/>
        <v>A-</v>
      </c>
      <c r="AK256" s="79" t="s">
        <v>13</v>
      </c>
      <c r="AL256" s="79" t="s">
        <v>60</v>
      </c>
      <c r="AM256" s="79" t="s">
        <v>61</v>
      </c>
      <c r="AN256" s="79" t="str">
        <f t="shared" si="255"/>
        <v>C</v>
      </c>
      <c r="AO256" s="79" t="str">
        <f t="shared" si="256"/>
        <v/>
      </c>
      <c r="AP256" s="79" t="str">
        <f t="shared" si="257"/>
        <v/>
      </c>
      <c r="AQ256" s="79" t="str">
        <f t="shared" si="258"/>
        <v>O</v>
      </c>
      <c r="AR256" s="79" t="str">
        <f t="shared" si="259"/>
        <v>O</v>
      </c>
      <c r="AS256" s="79" t="s">
        <v>2</v>
      </c>
      <c r="AT256" s="79" t="str">
        <f t="shared" si="260"/>
        <v>O</v>
      </c>
      <c r="AU256" s="79" t="str">
        <f t="shared" si="261"/>
        <v>O</v>
      </c>
      <c r="AV256" s="79" t="str">
        <f t="shared" si="262"/>
        <v/>
      </c>
    </row>
    <row r="257" spans="1:48" s="37" customFormat="1" ht="12" x14ac:dyDescent="0.3">
      <c r="A257" s="74" t="s">
        <v>1599</v>
      </c>
      <c r="B257" s="75" t="s">
        <v>1600</v>
      </c>
      <c r="C257" s="85">
        <v>574</v>
      </c>
      <c r="D257" s="86">
        <v>52.4</v>
      </c>
      <c r="E257" s="87">
        <v>16</v>
      </c>
      <c r="F257" s="86">
        <v>47</v>
      </c>
      <c r="G257" s="17">
        <v>14</v>
      </c>
      <c r="H257" s="88">
        <v>90</v>
      </c>
      <c r="I257" s="89"/>
      <c r="J257" s="89"/>
      <c r="K257" s="89"/>
      <c r="L257" s="89"/>
      <c r="M257" s="90">
        <f t="shared" si="244"/>
        <v>0</v>
      </c>
      <c r="N257" s="4" t="str">
        <f t="shared" si="245"/>
        <v/>
      </c>
      <c r="O257" s="91">
        <f t="shared" si="246"/>
        <v>0</v>
      </c>
      <c r="P257" s="91">
        <f t="shared" si="247"/>
        <v>0</v>
      </c>
      <c r="Q257" s="79">
        <v>2</v>
      </c>
      <c r="R257" s="79">
        <v>1</v>
      </c>
      <c r="S257" s="79" t="s">
        <v>62</v>
      </c>
      <c r="T257" s="5" t="s">
        <v>166</v>
      </c>
      <c r="U257" s="9"/>
      <c r="W257" s="86">
        <f t="shared" si="248"/>
        <v>52.4</v>
      </c>
      <c r="X257" s="87">
        <f t="shared" si="248"/>
        <v>16</v>
      </c>
      <c r="Y257" s="92">
        <f t="shared" si="249"/>
        <v>90</v>
      </c>
      <c r="Z257" s="90">
        <f t="shared" si="249"/>
        <v>0</v>
      </c>
      <c r="AA257" s="90">
        <f t="shared" si="250"/>
        <v>0</v>
      </c>
      <c r="AB257" s="90">
        <f t="shared" si="251"/>
        <v>0</v>
      </c>
      <c r="AC257" s="4" t="str">
        <f t="shared" si="251"/>
        <v/>
      </c>
      <c r="AD257" s="91">
        <f t="shared" si="251"/>
        <v>0</v>
      </c>
      <c r="AE257" s="79" t="str">
        <f t="shared" si="252"/>
        <v>계</v>
      </c>
      <c r="AF257" s="79" t="str">
        <f t="shared" si="253"/>
        <v>2/1</v>
      </c>
      <c r="AH257" s="20" t="str">
        <f t="shared" si="199"/>
        <v>봉명동 주공1단지</v>
      </c>
      <c r="AI257" s="87">
        <f t="shared" si="200"/>
        <v>16</v>
      </c>
      <c r="AJ257" s="79" t="str">
        <f t="shared" si="254"/>
        <v>A-</v>
      </c>
      <c r="AK257" s="79" t="s">
        <v>13</v>
      </c>
      <c r="AL257" s="79" t="s">
        <v>60</v>
      </c>
      <c r="AM257" s="79" t="s">
        <v>61</v>
      </c>
      <c r="AN257" s="79" t="str">
        <f t="shared" si="255"/>
        <v>C</v>
      </c>
      <c r="AO257" s="79" t="str">
        <f t="shared" si="256"/>
        <v/>
      </c>
      <c r="AP257" s="79" t="str">
        <f t="shared" si="257"/>
        <v/>
      </c>
      <c r="AQ257" s="79" t="str">
        <f t="shared" si="258"/>
        <v>O</v>
      </c>
      <c r="AR257" s="79" t="str">
        <f t="shared" si="259"/>
        <v>O</v>
      </c>
      <c r="AS257" s="79" t="s">
        <v>2</v>
      </c>
      <c r="AT257" s="79" t="str">
        <f t="shared" si="260"/>
        <v>O</v>
      </c>
      <c r="AU257" s="79" t="str">
        <f t="shared" si="261"/>
        <v>O</v>
      </c>
      <c r="AV257" s="79" t="str">
        <f t="shared" si="262"/>
        <v/>
      </c>
    </row>
    <row r="258" spans="1:48" s="37" customFormat="1" ht="12" x14ac:dyDescent="0.3">
      <c r="A258" s="74" t="s">
        <v>1599</v>
      </c>
      <c r="B258" s="75" t="s">
        <v>1600</v>
      </c>
      <c r="C258" s="85">
        <v>574</v>
      </c>
      <c r="D258" s="86">
        <v>52.7</v>
      </c>
      <c r="E258" s="87">
        <v>16</v>
      </c>
      <c r="F258" s="86">
        <v>47.3</v>
      </c>
      <c r="G258" s="17">
        <v>14</v>
      </c>
      <c r="H258" s="88">
        <v>90</v>
      </c>
      <c r="I258" s="89"/>
      <c r="J258" s="89"/>
      <c r="K258" s="89"/>
      <c r="L258" s="89"/>
      <c r="M258" s="90">
        <f t="shared" si="244"/>
        <v>0</v>
      </c>
      <c r="N258" s="4" t="str">
        <f t="shared" si="245"/>
        <v/>
      </c>
      <c r="O258" s="91">
        <f t="shared" si="246"/>
        <v>0</v>
      </c>
      <c r="P258" s="91">
        <f t="shared" si="247"/>
        <v>0</v>
      </c>
      <c r="Q258" s="79">
        <v>2</v>
      </c>
      <c r="R258" s="79">
        <v>1</v>
      </c>
      <c r="S258" s="79" t="s">
        <v>62</v>
      </c>
      <c r="T258" s="5" t="s">
        <v>167</v>
      </c>
      <c r="U258" s="9"/>
      <c r="W258" s="86">
        <f t="shared" si="248"/>
        <v>52.7</v>
      </c>
      <c r="X258" s="87">
        <f t="shared" si="248"/>
        <v>16</v>
      </c>
      <c r="Y258" s="92">
        <f t="shared" si="249"/>
        <v>90</v>
      </c>
      <c r="Z258" s="90">
        <f t="shared" si="249"/>
        <v>0</v>
      </c>
      <c r="AA258" s="90">
        <f t="shared" si="250"/>
        <v>0</v>
      </c>
      <c r="AB258" s="90">
        <f t="shared" si="251"/>
        <v>0</v>
      </c>
      <c r="AC258" s="4" t="str">
        <f t="shared" si="251"/>
        <v/>
      </c>
      <c r="AD258" s="91">
        <f t="shared" si="251"/>
        <v>0</v>
      </c>
      <c r="AE258" s="79" t="str">
        <f t="shared" si="252"/>
        <v>계</v>
      </c>
      <c r="AF258" s="79" t="str">
        <f t="shared" si="253"/>
        <v>2/1</v>
      </c>
      <c r="AH258" s="20" t="str">
        <f t="shared" si="199"/>
        <v>봉명동 주공1단지</v>
      </c>
      <c r="AI258" s="87">
        <f t="shared" si="200"/>
        <v>16</v>
      </c>
      <c r="AJ258" s="79" t="str">
        <f t="shared" si="254"/>
        <v>A-</v>
      </c>
      <c r="AK258" s="79" t="s">
        <v>13</v>
      </c>
      <c r="AL258" s="79" t="s">
        <v>60</v>
      </c>
      <c r="AM258" s="79" t="s">
        <v>61</v>
      </c>
      <c r="AN258" s="79" t="str">
        <f t="shared" si="255"/>
        <v>C</v>
      </c>
      <c r="AO258" s="79" t="str">
        <f t="shared" si="256"/>
        <v/>
      </c>
      <c r="AP258" s="79" t="str">
        <f t="shared" si="257"/>
        <v/>
      </c>
      <c r="AQ258" s="79" t="str">
        <f t="shared" si="258"/>
        <v>O</v>
      </c>
      <c r="AR258" s="79" t="str">
        <f t="shared" si="259"/>
        <v>O</v>
      </c>
      <c r="AS258" s="79" t="s">
        <v>2</v>
      </c>
      <c r="AT258" s="79" t="str">
        <f t="shared" si="260"/>
        <v>O</v>
      </c>
      <c r="AU258" s="79" t="str">
        <f t="shared" si="261"/>
        <v>O</v>
      </c>
      <c r="AV258" s="79" t="str">
        <f t="shared" si="262"/>
        <v/>
      </c>
    </row>
    <row r="259" spans="1:48" s="37" customFormat="1" ht="12" x14ac:dyDescent="0.3">
      <c r="A259" s="74" t="s">
        <v>1599</v>
      </c>
      <c r="B259" s="75" t="s">
        <v>1600</v>
      </c>
      <c r="C259" s="85">
        <v>574</v>
      </c>
      <c r="D259" s="86">
        <v>52.7</v>
      </c>
      <c r="E259" s="87">
        <v>16</v>
      </c>
      <c r="F259" s="86">
        <v>48.7</v>
      </c>
      <c r="G259" s="17">
        <v>15</v>
      </c>
      <c r="H259" s="88">
        <v>40</v>
      </c>
      <c r="I259" s="89"/>
      <c r="J259" s="89"/>
      <c r="K259" s="89"/>
      <c r="L259" s="89"/>
      <c r="M259" s="90">
        <f t="shared" si="244"/>
        <v>0</v>
      </c>
      <c r="N259" s="4" t="str">
        <f t="shared" si="245"/>
        <v/>
      </c>
      <c r="O259" s="91">
        <f t="shared" si="246"/>
        <v>0</v>
      </c>
      <c r="P259" s="91">
        <f t="shared" si="247"/>
        <v>0</v>
      </c>
      <c r="Q259" s="79">
        <v>2</v>
      </c>
      <c r="R259" s="79">
        <v>1</v>
      </c>
      <c r="S259" s="79" t="s">
        <v>62</v>
      </c>
      <c r="T259" s="5" t="s">
        <v>168</v>
      </c>
      <c r="U259" s="9"/>
      <c r="W259" s="86">
        <f t="shared" si="248"/>
        <v>52.7</v>
      </c>
      <c r="X259" s="87">
        <f t="shared" si="248"/>
        <v>16</v>
      </c>
      <c r="Y259" s="92">
        <f t="shared" si="249"/>
        <v>40</v>
      </c>
      <c r="Z259" s="90">
        <f t="shared" si="249"/>
        <v>0</v>
      </c>
      <c r="AA259" s="90">
        <f t="shared" si="250"/>
        <v>0</v>
      </c>
      <c r="AB259" s="90">
        <f t="shared" si="251"/>
        <v>0</v>
      </c>
      <c r="AC259" s="4" t="str">
        <f t="shared" si="251"/>
        <v/>
      </c>
      <c r="AD259" s="91">
        <f t="shared" si="251"/>
        <v>0</v>
      </c>
      <c r="AE259" s="79" t="str">
        <f t="shared" si="252"/>
        <v>계</v>
      </c>
      <c r="AF259" s="79" t="str">
        <f t="shared" si="253"/>
        <v>2/1</v>
      </c>
      <c r="AH259" s="20" t="str">
        <f t="shared" si="199"/>
        <v>봉명동 주공1단지</v>
      </c>
      <c r="AI259" s="87">
        <f t="shared" si="200"/>
        <v>16</v>
      </c>
      <c r="AJ259" s="79" t="str">
        <f t="shared" si="254"/>
        <v>A-</v>
      </c>
      <c r="AK259" s="79" t="s">
        <v>13</v>
      </c>
      <c r="AL259" s="79" t="s">
        <v>60</v>
      </c>
      <c r="AM259" s="79" t="s">
        <v>61</v>
      </c>
      <c r="AN259" s="79" t="str">
        <f t="shared" si="255"/>
        <v>C</v>
      </c>
      <c r="AO259" s="79" t="str">
        <f t="shared" si="256"/>
        <v/>
      </c>
      <c r="AP259" s="79" t="str">
        <f t="shared" si="257"/>
        <v/>
      </c>
      <c r="AQ259" s="79" t="str">
        <f t="shared" si="258"/>
        <v>O</v>
      </c>
      <c r="AR259" s="79" t="str">
        <f t="shared" si="259"/>
        <v>O</v>
      </c>
      <c r="AS259" s="79" t="s">
        <v>2</v>
      </c>
      <c r="AT259" s="79" t="str">
        <f t="shared" si="260"/>
        <v>O</v>
      </c>
      <c r="AU259" s="79" t="str">
        <f t="shared" si="261"/>
        <v>O</v>
      </c>
      <c r="AV259" s="79" t="str">
        <f t="shared" si="262"/>
        <v/>
      </c>
    </row>
    <row r="260" spans="1:48" s="37" customFormat="1" ht="12" x14ac:dyDescent="0.3">
      <c r="A260" s="74" t="s">
        <v>1599</v>
      </c>
      <c r="B260" s="75" t="s">
        <v>1600</v>
      </c>
      <c r="C260" s="85">
        <v>574</v>
      </c>
      <c r="D260" s="86">
        <v>59.5</v>
      </c>
      <c r="E260" s="87">
        <v>18</v>
      </c>
      <c r="F260" s="86">
        <v>54.1</v>
      </c>
      <c r="G260" s="17">
        <v>16</v>
      </c>
      <c r="H260" s="88">
        <v>80</v>
      </c>
      <c r="I260" s="89"/>
      <c r="J260" s="89"/>
      <c r="K260" s="89"/>
      <c r="L260" s="89"/>
      <c r="M260" s="90">
        <f t="shared" si="244"/>
        <v>0</v>
      </c>
      <c r="N260" s="4" t="str">
        <f t="shared" si="245"/>
        <v/>
      </c>
      <c r="O260" s="91">
        <f t="shared" si="246"/>
        <v>0</v>
      </c>
      <c r="P260" s="91">
        <f t="shared" si="247"/>
        <v>0</v>
      </c>
      <c r="Q260" s="79">
        <v>2</v>
      </c>
      <c r="R260" s="79">
        <v>1</v>
      </c>
      <c r="S260" s="79" t="s">
        <v>62</v>
      </c>
      <c r="T260" s="5" t="s">
        <v>169</v>
      </c>
      <c r="U260" s="9"/>
      <c r="W260" s="86">
        <f t="shared" si="248"/>
        <v>59.5</v>
      </c>
      <c r="X260" s="87">
        <f t="shared" si="248"/>
        <v>18</v>
      </c>
      <c r="Y260" s="92">
        <f t="shared" si="249"/>
        <v>80</v>
      </c>
      <c r="Z260" s="90">
        <f t="shared" si="249"/>
        <v>0</v>
      </c>
      <c r="AA260" s="90">
        <f t="shared" si="250"/>
        <v>0</v>
      </c>
      <c r="AB260" s="90">
        <f t="shared" si="251"/>
        <v>0</v>
      </c>
      <c r="AC260" s="4" t="str">
        <f t="shared" si="251"/>
        <v/>
      </c>
      <c r="AD260" s="91">
        <f t="shared" si="251"/>
        <v>0</v>
      </c>
      <c r="AE260" s="79" t="str">
        <f t="shared" si="252"/>
        <v>계</v>
      </c>
      <c r="AF260" s="79" t="str">
        <f t="shared" si="253"/>
        <v>2/1</v>
      </c>
      <c r="AH260" s="20" t="str">
        <f t="shared" ref="AH260:AH323" si="263">IF(A260="","",A260)</f>
        <v>봉명동 주공1단지</v>
      </c>
      <c r="AI260" s="87">
        <f t="shared" ref="AI260:AI323" si="264">IF(E260="","",E260)</f>
        <v>18</v>
      </c>
      <c r="AJ260" s="79" t="str">
        <f t="shared" si="254"/>
        <v>A-</v>
      </c>
      <c r="AK260" s="79" t="s">
        <v>13</v>
      </c>
      <c r="AL260" s="79" t="s">
        <v>60</v>
      </c>
      <c r="AM260" s="79" t="s">
        <v>61</v>
      </c>
      <c r="AN260" s="79" t="str">
        <f t="shared" si="255"/>
        <v>C</v>
      </c>
      <c r="AO260" s="79" t="str">
        <f t="shared" si="256"/>
        <v/>
      </c>
      <c r="AP260" s="79" t="str">
        <f t="shared" si="257"/>
        <v/>
      </c>
      <c r="AQ260" s="79" t="str">
        <f t="shared" si="258"/>
        <v>O</v>
      </c>
      <c r="AR260" s="79" t="str">
        <f t="shared" si="259"/>
        <v>O</v>
      </c>
      <c r="AS260" s="79" t="s">
        <v>2</v>
      </c>
      <c r="AT260" s="79" t="str">
        <f t="shared" si="260"/>
        <v>O</v>
      </c>
      <c r="AU260" s="79" t="str">
        <f t="shared" si="261"/>
        <v>O</v>
      </c>
      <c r="AV260" s="79" t="str">
        <f t="shared" si="262"/>
        <v/>
      </c>
    </row>
    <row r="261" spans="1:48" s="37" customFormat="1" ht="12" x14ac:dyDescent="0.3">
      <c r="A261" s="74" t="s">
        <v>1599</v>
      </c>
      <c r="B261" s="75" t="s">
        <v>1600</v>
      </c>
      <c r="C261" s="85">
        <v>574</v>
      </c>
      <c r="D261" s="86">
        <v>59.1</v>
      </c>
      <c r="E261" s="87">
        <v>18</v>
      </c>
      <c r="F261" s="86">
        <v>53.7</v>
      </c>
      <c r="G261" s="17">
        <v>16</v>
      </c>
      <c r="H261" s="88">
        <v>40</v>
      </c>
      <c r="I261" s="89"/>
      <c r="J261" s="89"/>
      <c r="K261" s="89"/>
      <c r="L261" s="89"/>
      <c r="M261" s="90">
        <f t="shared" si="244"/>
        <v>0</v>
      </c>
      <c r="N261" s="4" t="str">
        <f t="shared" si="245"/>
        <v/>
      </c>
      <c r="O261" s="91">
        <f t="shared" si="246"/>
        <v>0</v>
      </c>
      <c r="P261" s="91">
        <f t="shared" si="247"/>
        <v>0</v>
      </c>
      <c r="Q261" s="79">
        <v>2</v>
      </c>
      <c r="R261" s="79">
        <v>1</v>
      </c>
      <c r="S261" s="79" t="s">
        <v>62</v>
      </c>
      <c r="T261" s="5" t="s">
        <v>170</v>
      </c>
      <c r="U261" s="9"/>
      <c r="W261" s="86">
        <f t="shared" si="248"/>
        <v>59.1</v>
      </c>
      <c r="X261" s="87">
        <f t="shared" si="248"/>
        <v>18</v>
      </c>
      <c r="Y261" s="92">
        <f t="shared" si="249"/>
        <v>40</v>
      </c>
      <c r="Z261" s="90">
        <f t="shared" si="249"/>
        <v>0</v>
      </c>
      <c r="AA261" s="90">
        <f t="shared" si="250"/>
        <v>0</v>
      </c>
      <c r="AB261" s="90">
        <f t="shared" si="251"/>
        <v>0</v>
      </c>
      <c r="AC261" s="4" t="str">
        <f t="shared" si="251"/>
        <v/>
      </c>
      <c r="AD261" s="91">
        <f t="shared" si="251"/>
        <v>0</v>
      </c>
      <c r="AE261" s="79" t="str">
        <f t="shared" si="252"/>
        <v>계</v>
      </c>
      <c r="AF261" s="79" t="str">
        <f t="shared" si="253"/>
        <v>2/1</v>
      </c>
      <c r="AH261" s="20" t="str">
        <f t="shared" si="263"/>
        <v>봉명동 주공1단지</v>
      </c>
      <c r="AI261" s="87">
        <f t="shared" si="264"/>
        <v>18</v>
      </c>
      <c r="AJ261" s="79" t="str">
        <f t="shared" si="254"/>
        <v>A-</v>
      </c>
      <c r="AK261" s="79" t="s">
        <v>13</v>
      </c>
      <c r="AL261" s="79" t="s">
        <v>60</v>
      </c>
      <c r="AM261" s="79" t="s">
        <v>61</v>
      </c>
      <c r="AN261" s="79" t="str">
        <f t="shared" si="255"/>
        <v>C</v>
      </c>
      <c r="AO261" s="79" t="str">
        <f t="shared" si="256"/>
        <v/>
      </c>
      <c r="AP261" s="79" t="str">
        <f t="shared" si="257"/>
        <v/>
      </c>
      <c r="AQ261" s="79" t="str">
        <f t="shared" si="258"/>
        <v>O</v>
      </c>
      <c r="AR261" s="79" t="str">
        <f t="shared" si="259"/>
        <v>O</v>
      </c>
      <c r="AS261" s="79" t="s">
        <v>2</v>
      </c>
      <c r="AT261" s="79" t="str">
        <f t="shared" si="260"/>
        <v>O</v>
      </c>
      <c r="AU261" s="79" t="str">
        <f t="shared" si="261"/>
        <v>O</v>
      </c>
      <c r="AV261" s="79" t="str">
        <f t="shared" si="262"/>
        <v/>
      </c>
    </row>
    <row r="262" spans="1:48" s="37" customFormat="1" ht="12" x14ac:dyDescent="0.3">
      <c r="A262" s="74" t="s">
        <v>1599</v>
      </c>
      <c r="B262" s="75" t="s">
        <v>1600</v>
      </c>
      <c r="C262" s="85">
        <v>574</v>
      </c>
      <c r="D262" s="86">
        <v>59.4</v>
      </c>
      <c r="E262" s="87">
        <v>18</v>
      </c>
      <c r="F262" s="86">
        <v>54</v>
      </c>
      <c r="G262" s="17">
        <v>16</v>
      </c>
      <c r="H262" s="88">
        <v>20</v>
      </c>
      <c r="I262" s="89"/>
      <c r="J262" s="89"/>
      <c r="K262" s="89"/>
      <c r="L262" s="89"/>
      <c r="M262" s="90">
        <f t="shared" si="244"/>
        <v>0</v>
      </c>
      <c r="N262" s="4" t="str">
        <f t="shared" si="245"/>
        <v/>
      </c>
      <c r="O262" s="91">
        <f t="shared" si="246"/>
        <v>0</v>
      </c>
      <c r="P262" s="91">
        <f t="shared" si="247"/>
        <v>0</v>
      </c>
      <c r="Q262" s="79">
        <v>2</v>
      </c>
      <c r="R262" s="79">
        <v>1</v>
      </c>
      <c r="S262" s="79" t="s">
        <v>62</v>
      </c>
      <c r="T262" s="5" t="s">
        <v>171</v>
      </c>
      <c r="U262" s="9"/>
      <c r="W262" s="86">
        <f t="shared" si="248"/>
        <v>59.4</v>
      </c>
      <c r="X262" s="87">
        <f t="shared" si="248"/>
        <v>18</v>
      </c>
      <c r="Y262" s="92">
        <f t="shared" si="249"/>
        <v>20</v>
      </c>
      <c r="Z262" s="90">
        <f t="shared" si="249"/>
        <v>0</v>
      </c>
      <c r="AA262" s="90">
        <f t="shared" si="250"/>
        <v>0</v>
      </c>
      <c r="AB262" s="90">
        <f t="shared" si="251"/>
        <v>0</v>
      </c>
      <c r="AC262" s="4" t="str">
        <f t="shared" si="251"/>
        <v/>
      </c>
      <c r="AD262" s="91">
        <f t="shared" si="251"/>
        <v>0</v>
      </c>
      <c r="AE262" s="79" t="str">
        <f t="shared" si="252"/>
        <v>계</v>
      </c>
      <c r="AF262" s="79" t="str">
        <f t="shared" si="253"/>
        <v>2/1</v>
      </c>
      <c r="AH262" s="20" t="str">
        <f t="shared" si="263"/>
        <v>봉명동 주공1단지</v>
      </c>
      <c r="AI262" s="87">
        <f t="shared" si="264"/>
        <v>18</v>
      </c>
      <c r="AJ262" s="79" t="str">
        <f t="shared" si="254"/>
        <v>A-</v>
      </c>
      <c r="AK262" s="79" t="s">
        <v>13</v>
      </c>
      <c r="AL262" s="79" t="s">
        <v>60</v>
      </c>
      <c r="AM262" s="79" t="s">
        <v>61</v>
      </c>
      <c r="AN262" s="79" t="str">
        <f t="shared" si="255"/>
        <v>C</v>
      </c>
      <c r="AO262" s="79" t="str">
        <f t="shared" si="256"/>
        <v/>
      </c>
      <c r="AP262" s="79" t="str">
        <f t="shared" si="257"/>
        <v/>
      </c>
      <c r="AQ262" s="79" t="str">
        <f t="shared" si="258"/>
        <v>O</v>
      </c>
      <c r="AR262" s="79" t="str">
        <f t="shared" si="259"/>
        <v>O</v>
      </c>
      <c r="AS262" s="79" t="s">
        <v>2</v>
      </c>
      <c r="AT262" s="79" t="str">
        <f t="shared" si="260"/>
        <v>O</v>
      </c>
      <c r="AU262" s="79" t="str">
        <f t="shared" si="261"/>
        <v>O</v>
      </c>
      <c r="AV262" s="79" t="str">
        <f t="shared" si="262"/>
        <v/>
      </c>
    </row>
    <row r="263" spans="1:48" s="37" customFormat="1" ht="12" x14ac:dyDescent="0.3">
      <c r="A263" s="74" t="s">
        <v>1601</v>
      </c>
      <c r="B263" s="75" t="s">
        <v>1525</v>
      </c>
      <c r="C263" s="85">
        <v>240</v>
      </c>
      <c r="D263" s="86">
        <v>54.7</v>
      </c>
      <c r="E263" s="87">
        <v>17</v>
      </c>
      <c r="F263" s="86">
        <v>48.5</v>
      </c>
      <c r="G263" s="17">
        <v>15</v>
      </c>
      <c r="H263" s="88">
        <v>240</v>
      </c>
      <c r="I263" s="89"/>
      <c r="J263" s="89"/>
      <c r="K263" s="89"/>
      <c r="L263" s="89"/>
      <c r="M263" s="90">
        <f>I263-K263</f>
        <v>0</v>
      </c>
      <c r="N263" s="4" t="str">
        <f>IF(ISERROR(K263/I263),"",K263/I263)</f>
        <v/>
      </c>
      <c r="O263" s="91">
        <f>I263/E263</f>
        <v>0</v>
      </c>
      <c r="P263" s="91">
        <f>K263/E263</f>
        <v>0</v>
      </c>
      <c r="Q263" s="79">
        <v>2</v>
      </c>
      <c r="R263" s="79">
        <v>1</v>
      </c>
      <c r="S263" s="79" t="s">
        <v>62</v>
      </c>
      <c r="T263" s="5">
        <v>54</v>
      </c>
      <c r="U263" s="9"/>
      <c r="W263" s="86">
        <f>D263</f>
        <v>54.7</v>
      </c>
      <c r="X263" s="87">
        <f>E263</f>
        <v>17</v>
      </c>
      <c r="Y263" s="92">
        <f>H263</f>
        <v>240</v>
      </c>
      <c r="Z263" s="90">
        <f>I263</f>
        <v>0</v>
      </c>
      <c r="AA263" s="90">
        <f>K263</f>
        <v>0</v>
      </c>
      <c r="AB263" s="90">
        <f>M263</f>
        <v>0</v>
      </c>
      <c r="AC263" s="4" t="str">
        <f>N263</f>
        <v/>
      </c>
      <c r="AD263" s="91">
        <f>O263</f>
        <v>0</v>
      </c>
      <c r="AE263" s="79" t="str">
        <f>S263</f>
        <v>계</v>
      </c>
      <c r="AF263" s="79" t="str">
        <f>Q263&amp;"/"&amp;R263</f>
        <v>2/1</v>
      </c>
      <c r="AH263" s="20" t="str">
        <f t="shared" si="263"/>
        <v>봉명동 백봉</v>
      </c>
      <c r="AI263" s="87">
        <f t="shared" si="264"/>
        <v>17</v>
      </c>
      <c r="AJ263" s="79" t="str">
        <f>IF(AI263="","",$AJ$2)</f>
        <v>A-</v>
      </c>
      <c r="AK263" s="79" t="s">
        <v>13</v>
      </c>
      <c r="AL263" s="79" t="s">
        <v>60</v>
      </c>
      <c r="AM263" s="79" t="s">
        <v>61</v>
      </c>
      <c r="AN263" s="79" t="str">
        <f>IF(AI263="","",$AN$2)</f>
        <v>C</v>
      </c>
      <c r="AO263" s="79" t="str">
        <f>IF(N263="","",IF(N263&gt;=$AO$1/100,"O","X"))</f>
        <v/>
      </c>
      <c r="AP263" s="79" t="str">
        <f>IF(I263="","",IF(I263&lt;=$AP$1,"O","X"))</f>
        <v/>
      </c>
      <c r="AQ263" s="79" t="str">
        <f>IF(O263="","",IF(O263&lt;=$AQ$1,"O","X"))</f>
        <v>O</v>
      </c>
      <c r="AR263" s="79" t="str">
        <f>IF(M263="","",IF(M263&lt;=$AR$1,"O","X"))</f>
        <v>O</v>
      </c>
      <c r="AS263" s="79" t="s">
        <v>2</v>
      </c>
      <c r="AT263" s="79" t="str">
        <f>IF(OR(F263="",AI263=""),"",IF(AND((F263&lt;=85),(AI263&gt;=15)),"O","X"))</f>
        <v>O</v>
      </c>
      <c r="AU263" s="79" t="str">
        <f>IF(C263="","",IF(C263&gt;=$AU$1,"O","X"))</f>
        <v>X</v>
      </c>
      <c r="AV263" s="79" t="str">
        <f>IF(AO263="","",IF(AND(AO263="O",AP263="O",AR263="O",AT263="O",AU263="O"),"후보","X"))</f>
        <v/>
      </c>
    </row>
    <row r="264" spans="1:48" s="37" customFormat="1" ht="12" x14ac:dyDescent="0.3">
      <c r="A264" s="74" t="s">
        <v>1602</v>
      </c>
      <c r="B264" s="75" t="s">
        <v>1603</v>
      </c>
      <c r="C264" s="85">
        <v>277</v>
      </c>
      <c r="D264" s="86">
        <v>45.4</v>
      </c>
      <c r="E264" s="87">
        <v>14</v>
      </c>
      <c r="F264" s="86">
        <v>29.3</v>
      </c>
      <c r="G264" s="17">
        <v>9</v>
      </c>
      <c r="H264" s="88">
        <v>67</v>
      </c>
      <c r="I264" s="89"/>
      <c r="J264" s="89"/>
      <c r="K264" s="89"/>
      <c r="L264" s="89"/>
      <c r="M264" s="90">
        <f>I264-K264</f>
        <v>0</v>
      </c>
      <c r="N264" s="4" t="str">
        <f>IF(ISERROR(K264/I264),"",K264/I264)</f>
        <v/>
      </c>
      <c r="O264" s="91">
        <f>I264/E264</f>
        <v>0</v>
      </c>
      <c r="P264" s="91">
        <f>K264/E264</f>
        <v>0</v>
      </c>
      <c r="Q264" s="79">
        <v>2</v>
      </c>
      <c r="R264" s="79">
        <v>1</v>
      </c>
      <c r="S264" s="79" t="s">
        <v>62</v>
      </c>
      <c r="T264" s="5">
        <v>45</v>
      </c>
      <c r="U264" s="9"/>
      <c r="W264" s="86">
        <f t="shared" ref="W264:X279" si="265">D264</f>
        <v>45.4</v>
      </c>
      <c r="X264" s="87">
        <f t="shared" si="265"/>
        <v>14</v>
      </c>
      <c r="Y264" s="92">
        <f t="shared" ref="Y264:Z279" si="266">H264</f>
        <v>67</v>
      </c>
      <c r="Z264" s="90">
        <f t="shared" si="266"/>
        <v>0</v>
      </c>
      <c r="AA264" s="90">
        <f>K264</f>
        <v>0</v>
      </c>
      <c r="AB264" s="90">
        <f t="shared" ref="AB264:AD279" si="267">M264</f>
        <v>0</v>
      </c>
      <c r="AC264" s="4" t="str">
        <f t="shared" si="267"/>
        <v/>
      </c>
      <c r="AD264" s="91">
        <f t="shared" si="267"/>
        <v>0</v>
      </c>
      <c r="AE264" s="79" t="str">
        <f>S264</f>
        <v>계</v>
      </c>
      <c r="AF264" s="79" t="str">
        <f>Q264&amp;"/"&amp;R264</f>
        <v>2/1</v>
      </c>
      <c r="AH264" s="20" t="str">
        <f t="shared" si="263"/>
        <v>봉명동 신라</v>
      </c>
      <c r="AI264" s="87">
        <f t="shared" si="264"/>
        <v>14</v>
      </c>
      <c r="AJ264" s="79" t="str">
        <f>IF(AI264="","",$AJ$2)</f>
        <v>A-</v>
      </c>
      <c r="AK264" s="79" t="s">
        <v>13</v>
      </c>
      <c r="AL264" s="79" t="s">
        <v>60</v>
      </c>
      <c r="AM264" s="79" t="s">
        <v>61</v>
      </c>
      <c r="AN264" s="79" t="str">
        <f>IF(AI264="","",$AN$2)</f>
        <v>C</v>
      </c>
      <c r="AO264" s="79" t="str">
        <f>IF(N264="","",IF(N264&gt;=$AO$1/100,"O","X"))</f>
        <v/>
      </c>
      <c r="AP264" s="79" t="str">
        <f>IF(I264="","",IF(I264&lt;=$AP$1,"O","X"))</f>
        <v/>
      </c>
      <c r="AQ264" s="79" t="str">
        <f>IF(O264="","",IF(O264&lt;=$AQ$1,"O","X"))</f>
        <v>O</v>
      </c>
      <c r="AR264" s="79" t="str">
        <f>IF(M264="","",IF(M264&lt;=$AR$1,"O","X"))</f>
        <v>O</v>
      </c>
      <c r="AS264" s="79" t="s">
        <v>2</v>
      </c>
      <c r="AT264" s="79" t="str">
        <f>IF(OR(F264="",AI264=""),"",IF(AND((F264&lt;=85),(AI264&gt;=15)),"O","X"))</f>
        <v>X</v>
      </c>
      <c r="AU264" s="79" t="str">
        <f>IF(C264="","",IF(C264&gt;=$AU$1,"O","X"))</f>
        <v>X</v>
      </c>
      <c r="AV264" s="79" t="str">
        <f>IF(AO264="","",IF(AND(AO264="O",AP264="O",AR264="O",AT264="O",AU264="O"),"후보","X"))</f>
        <v/>
      </c>
    </row>
    <row r="265" spans="1:48" s="37" customFormat="1" ht="12" x14ac:dyDescent="0.3">
      <c r="A265" s="74" t="s">
        <v>1602</v>
      </c>
      <c r="B265" s="75" t="s">
        <v>1603</v>
      </c>
      <c r="C265" s="85">
        <v>277</v>
      </c>
      <c r="D265" s="86">
        <v>53.1</v>
      </c>
      <c r="E265" s="87">
        <v>16</v>
      </c>
      <c r="F265" s="86">
        <v>34.200000000000003</v>
      </c>
      <c r="G265" s="17">
        <v>10</v>
      </c>
      <c r="H265" s="88">
        <v>30</v>
      </c>
      <c r="I265" s="89"/>
      <c r="J265" s="89"/>
      <c r="K265" s="89"/>
      <c r="L265" s="89"/>
      <c r="M265" s="90">
        <f>I265-K265</f>
        <v>0</v>
      </c>
      <c r="N265" s="4" t="str">
        <f>IF(ISERROR(K265/I265),"",K265/I265)</f>
        <v/>
      </c>
      <c r="O265" s="91">
        <f>I265/E265</f>
        <v>0</v>
      </c>
      <c r="P265" s="91">
        <f>K265/E265</f>
        <v>0</v>
      </c>
      <c r="Q265" s="79">
        <v>2</v>
      </c>
      <c r="R265" s="79">
        <v>1</v>
      </c>
      <c r="S265" s="79" t="s">
        <v>62</v>
      </c>
      <c r="T265" s="5">
        <v>53</v>
      </c>
      <c r="U265" s="9"/>
      <c r="W265" s="86">
        <f t="shared" si="265"/>
        <v>53.1</v>
      </c>
      <c r="X265" s="87">
        <f t="shared" si="265"/>
        <v>16</v>
      </c>
      <c r="Y265" s="92">
        <f t="shared" si="266"/>
        <v>30</v>
      </c>
      <c r="Z265" s="90">
        <f t="shared" si="266"/>
        <v>0</v>
      </c>
      <c r="AA265" s="90">
        <f>K265</f>
        <v>0</v>
      </c>
      <c r="AB265" s="90">
        <f t="shared" si="267"/>
        <v>0</v>
      </c>
      <c r="AC265" s="4" t="str">
        <f t="shared" si="267"/>
        <v/>
      </c>
      <c r="AD265" s="91">
        <f t="shared" si="267"/>
        <v>0</v>
      </c>
      <c r="AE265" s="79" t="str">
        <f>S265</f>
        <v>계</v>
      </c>
      <c r="AF265" s="79" t="str">
        <f>Q265&amp;"/"&amp;R265</f>
        <v>2/1</v>
      </c>
      <c r="AH265" s="20" t="str">
        <f t="shared" si="263"/>
        <v>봉명동 신라</v>
      </c>
      <c r="AI265" s="87">
        <f t="shared" si="264"/>
        <v>16</v>
      </c>
      <c r="AJ265" s="79" t="str">
        <f>IF(AI265="","",$AJ$2)</f>
        <v>A-</v>
      </c>
      <c r="AK265" s="79" t="s">
        <v>13</v>
      </c>
      <c r="AL265" s="79" t="s">
        <v>60</v>
      </c>
      <c r="AM265" s="79" t="s">
        <v>61</v>
      </c>
      <c r="AN265" s="79" t="str">
        <f>IF(AI265="","",$AN$2)</f>
        <v>C</v>
      </c>
      <c r="AO265" s="79" t="str">
        <f>IF(N265="","",IF(N265&gt;=$AO$1/100,"O","X"))</f>
        <v/>
      </c>
      <c r="AP265" s="79" t="str">
        <f>IF(I265="","",IF(I265&lt;=$AP$1,"O","X"))</f>
        <v/>
      </c>
      <c r="AQ265" s="79" t="str">
        <f>IF(O265="","",IF(O265&lt;=$AQ$1,"O","X"))</f>
        <v>O</v>
      </c>
      <c r="AR265" s="79" t="str">
        <f>IF(M265="","",IF(M265&lt;=$AR$1,"O","X"))</f>
        <v>O</v>
      </c>
      <c r="AS265" s="79" t="s">
        <v>2</v>
      </c>
      <c r="AT265" s="79" t="str">
        <f>IF(OR(F265="",AI265=""),"",IF(AND((F265&lt;=85),(AI265&gt;=15)),"O","X"))</f>
        <v>O</v>
      </c>
      <c r="AU265" s="79" t="str">
        <f>IF(C265="","",IF(C265&gt;=$AU$1,"O","X"))</f>
        <v>X</v>
      </c>
      <c r="AV265" s="79" t="str">
        <f>IF(AO265="","",IF(AND(AO265="O",AP265="O",AR265="O",AT265="O",AU265="O"),"후보","X"))</f>
        <v/>
      </c>
    </row>
    <row r="266" spans="1:48" s="37" customFormat="1" ht="12" x14ac:dyDescent="0.3">
      <c r="A266" s="74" t="s">
        <v>1602</v>
      </c>
      <c r="B266" s="75" t="s">
        <v>1603</v>
      </c>
      <c r="C266" s="85">
        <v>277</v>
      </c>
      <c r="D266" s="86">
        <v>81.5</v>
      </c>
      <c r="E266" s="87">
        <v>25</v>
      </c>
      <c r="F266" s="86">
        <v>65.8</v>
      </c>
      <c r="G266" s="17">
        <v>20</v>
      </c>
      <c r="H266" s="88">
        <v>150</v>
      </c>
      <c r="I266" s="89"/>
      <c r="J266" s="89"/>
      <c r="K266" s="89"/>
      <c r="L266" s="89"/>
      <c r="M266" s="90">
        <f>I266-K266</f>
        <v>0</v>
      </c>
      <c r="N266" s="4" t="str">
        <f>IF(ISERROR(K266/I266),"",K266/I266)</f>
        <v/>
      </c>
      <c r="O266" s="91">
        <f>I266/E266</f>
        <v>0</v>
      </c>
      <c r="P266" s="91">
        <f>K266/E266</f>
        <v>0</v>
      </c>
      <c r="Q266" s="79">
        <v>3</v>
      </c>
      <c r="R266" s="79">
        <v>1</v>
      </c>
      <c r="S266" s="79" t="s">
        <v>62</v>
      </c>
      <c r="T266" s="5" t="s">
        <v>172</v>
      </c>
      <c r="U266" s="9"/>
      <c r="W266" s="86">
        <f t="shared" si="265"/>
        <v>81.5</v>
      </c>
      <c r="X266" s="87">
        <f t="shared" si="265"/>
        <v>25</v>
      </c>
      <c r="Y266" s="92">
        <f t="shared" si="266"/>
        <v>150</v>
      </c>
      <c r="Z266" s="90">
        <f t="shared" si="266"/>
        <v>0</v>
      </c>
      <c r="AA266" s="90">
        <f>K266</f>
        <v>0</v>
      </c>
      <c r="AB266" s="90">
        <f t="shared" si="267"/>
        <v>0</v>
      </c>
      <c r="AC266" s="4" t="str">
        <f t="shared" si="267"/>
        <v/>
      </c>
      <c r="AD266" s="91">
        <f t="shared" si="267"/>
        <v>0</v>
      </c>
      <c r="AE266" s="79" t="str">
        <f>S266</f>
        <v>계</v>
      </c>
      <c r="AF266" s="79" t="str">
        <f>Q266&amp;"/"&amp;R266</f>
        <v>3/1</v>
      </c>
      <c r="AH266" s="20" t="str">
        <f t="shared" si="263"/>
        <v>봉명동 신라</v>
      </c>
      <c r="AI266" s="87">
        <f t="shared" si="264"/>
        <v>25</v>
      </c>
      <c r="AJ266" s="79" t="str">
        <f>IF(AI266="","",$AJ$2)</f>
        <v>A-</v>
      </c>
      <c r="AK266" s="79" t="s">
        <v>13</v>
      </c>
      <c r="AL266" s="79" t="s">
        <v>60</v>
      </c>
      <c r="AM266" s="79" t="s">
        <v>61</v>
      </c>
      <c r="AN266" s="79" t="str">
        <f>IF(AI266="","",$AN$2)</f>
        <v>C</v>
      </c>
      <c r="AO266" s="79" t="str">
        <f>IF(N266="","",IF(N266&gt;=$AO$1/100,"O","X"))</f>
        <v/>
      </c>
      <c r="AP266" s="79" t="str">
        <f>IF(I266="","",IF(I266&lt;=$AP$1,"O","X"))</f>
        <v/>
      </c>
      <c r="AQ266" s="79" t="str">
        <f>IF(O266="","",IF(O266&lt;=$AQ$1,"O","X"))</f>
        <v>O</v>
      </c>
      <c r="AR266" s="79" t="str">
        <f>IF(M266="","",IF(M266&lt;=$AR$1,"O","X"))</f>
        <v>O</v>
      </c>
      <c r="AS266" s="79" t="s">
        <v>2</v>
      </c>
      <c r="AT266" s="79" t="str">
        <f>IF(OR(F266="",AI266=""),"",IF(AND((F266&lt;=85),(AI266&gt;=15)),"O","X"))</f>
        <v>O</v>
      </c>
      <c r="AU266" s="79" t="str">
        <f>IF(C266="","",IF(C266&gt;=$AU$1,"O","X"))</f>
        <v>X</v>
      </c>
      <c r="AV266" s="79" t="str">
        <f>IF(AO266="","",IF(AND(AO266="O",AP266="O",AR266="O",AT266="O",AU266="O"),"후보","X"))</f>
        <v/>
      </c>
    </row>
    <row r="267" spans="1:48" s="37" customFormat="1" ht="12" x14ac:dyDescent="0.3">
      <c r="A267" s="74" t="s">
        <v>1602</v>
      </c>
      <c r="B267" s="75" t="s">
        <v>1603</v>
      </c>
      <c r="C267" s="85">
        <v>277</v>
      </c>
      <c r="D267" s="86">
        <v>84.2</v>
      </c>
      <c r="E267" s="87">
        <v>25</v>
      </c>
      <c r="F267" s="86">
        <v>66.900000000000006</v>
      </c>
      <c r="G267" s="17">
        <v>20</v>
      </c>
      <c r="H267" s="88">
        <v>30</v>
      </c>
      <c r="I267" s="89"/>
      <c r="J267" s="89"/>
      <c r="K267" s="89"/>
      <c r="L267" s="89"/>
      <c r="M267" s="90">
        <f>I267-K267</f>
        <v>0</v>
      </c>
      <c r="N267" s="4" t="str">
        <f>IF(ISERROR(K267/I267),"",K267/I267)</f>
        <v/>
      </c>
      <c r="O267" s="91">
        <f>I267/E267</f>
        <v>0</v>
      </c>
      <c r="P267" s="91">
        <f>K267/E267</f>
        <v>0</v>
      </c>
      <c r="Q267" s="79">
        <v>3</v>
      </c>
      <c r="R267" s="79">
        <v>1</v>
      </c>
      <c r="S267" s="79" t="s">
        <v>62</v>
      </c>
      <c r="T267" s="5" t="s">
        <v>173</v>
      </c>
      <c r="U267" s="9"/>
      <c r="W267" s="86">
        <f t="shared" si="265"/>
        <v>84.2</v>
      </c>
      <c r="X267" s="87">
        <f t="shared" si="265"/>
        <v>25</v>
      </c>
      <c r="Y267" s="92">
        <f t="shared" si="266"/>
        <v>30</v>
      </c>
      <c r="Z267" s="90">
        <f t="shared" si="266"/>
        <v>0</v>
      </c>
      <c r="AA267" s="90">
        <f>K267</f>
        <v>0</v>
      </c>
      <c r="AB267" s="90">
        <f t="shared" si="267"/>
        <v>0</v>
      </c>
      <c r="AC267" s="4" t="str">
        <f t="shared" si="267"/>
        <v/>
      </c>
      <c r="AD267" s="91">
        <f t="shared" si="267"/>
        <v>0</v>
      </c>
      <c r="AE267" s="79" t="str">
        <f>S267</f>
        <v>계</v>
      </c>
      <c r="AF267" s="79" t="str">
        <f>Q267&amp;"/"&amp;R267</f>
        <v>3/1</v>
      </c>
      <c r="AH267" s="20" t="str">
        <f t="shared" si="263"/>
        <v>봉명동 신라</v>
      </c>
      <c r="AI267" s="87">
        <f t="shared" si="264"/>
        <v>25</v>
      </c>
      <c r="AJ267" s="79" t="str">
        <f>IF(AI267="","",$AJ$2)</f>
        <v>A-</v>
      </c>
      <c r="AK267" s="79" t="s">
        <v>13</v>
      </c>
      <c r="AL267" s="79" t="s">
        <v>60</v>
      </c>
      <c r="AM267" s="79" t="s">
        <v>61</v>
      </c>
      <c r="AN267" s="79" t="str">
        <f>IF(AI267="","",$AN$2)</f>
        <v>C</v>
      </c>
      <c r="AO267" s="79" t="str">
        <f>IF(N267="","",IF(N267&gt;=$AO$1/100,"O","X"))</f>
        <v/>
      </c>
      <c r="AP267" s="79" t="str">
        <f>IF(I267="","",IF(I267&lt;=$AP$1,"O","X"))</f>
        <v/>
      </c>
      <c r="AQ267" s="79" t="str">
        <f>IF(O267="","",IF(O267&lt;=$AQ$1,"O","X"))</f>
        <v>O</v>
      </c>
      <c r="AR267" s="79" t="str">
        <f>IF(M267="","",IF(M267&lt;=$AR$1,"O","X"))</f>
        <v>O</v>
      </c>
      <c r="AS267" s="79" t="s">
        <v>2</v>
      </c>
      <c r="AT267" s="79" t="str">
        <f>IF(OR(F267="",AI267=""),"",IF(AND((F267&lt;=85),(AI267&gt;=15)),"O","X"))</f>
        <v>O</v>
      </c>
      <c r="AU267" s="79" t="str">
        <f>IF(C267="","",IF(C267&gt;=$AU$1,"O","X"))</f>
        <v>X</v>
      </c>
      <c r="AV267" s="79" t="str">
        <f>IF(AO267="","",IF(AND(AO267="O",AP267="O",AR267="O",AT267="O",AU267="O"),"후보","X"))</f>
        <v/>
      </c>
    </row>
    <row r="268" spans="1:48" s="37" customFormat="1" ht="12" x14ac:dyDescent="0.3">
      <c r="A268" s="74" t="s">
        <v>1604</v>
      </c>
      <c r="B268" s="75" t="s">
        <v>1605</v>
      </c>
      <c r="C268" s="85">
        <v>556</v>
      </c>
      <c r="D268" s="86">
        <v>45.1</v>
      </c>
      <c r="E268" s="87">
        <v>14</v>
      </c>
      <c r="F268" s="86">
        <v>39.700000000000003</v>
      </c>
      <c r="G268" s="17">
        <v>12</v>
      </c>
      <c r="H268" s="88">
        <v>90</v>
      </c>
      <c r="I268" s="89"/>
      <c r="J268" s="89"/>
      <c r="K268" s="89"/>
      <c r="L268" s="89"/>
      <c r="M268" s="90">
        <f t="shared" ref="M268:M277" si="268">I268-K268</f>
        <v>0</v>
      </c>
      <c r="N268" s="4" t="str">
        <f t="shared" ref="N268:N277" si="269">IF(ISERROR(K268/I268),"",K268/I268)</f>
        <v/>
      </c>
      <c r="O268" s="91">
        <f t="shared" ref="O268:O277" si="270">I268/E268</f>
        <v>0</v>
      </c>
      <c r="P268" s="91">
        <f t="shared" ref="P268:P277" si="271">K268/E268</f>
        <v>0</v>
      </c>
      <c r="Q268" s="79">
        <v>2</v>
      </c>
      <c r="R268" s="79">
        <v>1</v>
      </c>
      <c r="S268" s="79" t="s">
        <v>62</v>
      </c>
      <c r="T268" s="5">
        <v>45</v>
      </c>
      <c r="U268" s="9"/>
      <c r="W268" s="86">
        <f t="shared" si="265"/>
        <v>45.1</v>
      </c>
      <c r="X268" s="87">
        <f t="shared" si="265"/>
        <v>14</v>
      </c>
      <c r="Y268" s="92">
        <f t="shared" si="266"/>
        <v>90</v>
      </c>
      <c r="Z268" s="90">
        <f t="shared" si="266"/>
        <v>0</v>
      </c>
      <c r="AA268" s="90">
        <f t="shared" ref="AA268:AA277" si="272">K268</f>
        <v>0</v>
      </c>
      <c r="AB268" s="90">
        <f t="shared" si="267"/>
        <v>0</v>
      </c>
      <c r="AC268" s="4" t="str">
        <f t="shared" si="267"/>
        <v/>
      </c>
      <c r="AD268" s="91">
        <f t="shared" si="267"/>
        <v>0</v>
      </c>
      <c r="AE268" s="79" t="str">
        <f t="shared" ref="AE268:AE277" si="273">S268</f>
        <v>계</v>
      </c>
      <c r="AF268" s="79" t="str">
        <f t="shared" ref="AF268:AF277" si="274">Q268&amp;"/"&amp;R268</f>
        <v>2/1</v>
      </c>
      <c r="AH268" s="20" t="str">
        <f t="shared" si="263"/>
        <v>봉명동 주공2단지</v>
      </c>
      <c r="AI268" s="87">
        <f t="shared" si="264"/>
        <v>14</v>
      </c>
      <c r="AJ268" s="79" t="str">
        <f t="shared" ref="AJ268:AJ277" si="275">IF(AI268="","",$AJ$2)</f>
        <v>A-</v>
      </c>
      <c r="AK268" s="79" t="s">
        <v>13</v>
      </c>
      <c r="AL268" s="79" t="s">
        <v>60</v>
      </c>
      <c r="AM268" s="79" t="s">
        <v>61</v>
      </c>
      <c r="AN268" s="79" t="str">
        <f t="shared" ref="AN268:AN277" si="276">IF(AI268="","",$AN$2)</f>
        <v>C</v>
      </c>
      <c r="AO268" s="79" t="str">
        <f t="shared" ref="AO268:AO277" si="277">IF(N268="","",IF(N268&gt;=$AO$1/100,"O","X"))</f>
        <v/>
      </c>
      <c r="AP268" s="79" t="str">
        <f t="shared" ref="AP268:AP277" si="278">IF(I268="","",IF(I268&lt;=$AP$1,"O","X"))</f>
        <v/>
      </c>
      <c r="AQ268" s="79" t="str">
        <f t="shared" ref="AQ268:AQ277" si="279">IF(O268="","",IF(O268&lt;=$AQ$1,"O","X"))</f>
        <v>O</v>
      </c>
      <c r="AR268" s="79" t="str">
        <f t="shared" ref="AR268:AR277" si="280">IF(M268="","",IF(M268&lt;=$AR$1,"O","X"))</f>
        <v>O</v>
      </c>
      <c r="AS268" s="79" t="s">
        <v>2</v>
      </c>
      <c r="AT268" s="79" t="str">
        <f t="shared" ref="AT268:AT277" si="281">IF(OR(F268="",AI268=""),"",IF(AND((F268&lt;=85),(AI268&gt;=15)),"O","X"))</f>
        <v>X</v>
      </c>
      <c r="AU268" s="79" t="str">
        <f t="shared" ref="AU268:AU277" si="282">IF(C268="","",IF(C268&gt;=$AU$1,"O","X"))</f>
        <v>O</v>
      </c>
      <c r="AV268" s="79" t="str">
        <f t="shared" ref="AV268:AV277" si="283">IF(AO268="","",IF(AND(AO268="O",AP268="O",AR268="O",AT268="O",AU268="O"),"후보","X"))</f>
        <v/>
      </c>
    </row>
    <row r="269" spans="1:48" s="37" customFormat="1" ht="12" x14ac:dyDescent="0.3">
      <c r="A269" s="74" t="s">
        <v>1604</v>
      </c>
      <c r="B269" s="75" t="s">
        <v>1605</v>
      </c>
      <c r="C269" s="85">
        <v>556</v>
      </c>
      <c r="D269" s="86">
        <v>45.6</v>
      </c>
      <c r="E269" s="87">
        <v>14</v>
      </c>
      <c r="F269" s="86">
        <v>39.799999999999997</v>
      </c>
      <c r="G269" s="17">
        <v>12</v>
      </c>
      <c r="H269" s="88">
        <v>1</v>
      </c>
      <c r="I269" s="89"/>
      <c r="J269" s="89"/>
      <c r="K269" s="89"/>
      <c r="L269" s="89"/>
      <c r="M269" s="90">
        <f t="shared" si="268"/>
        <v>0</v>
      </c>
      <c r="N269" s="4" t="str">
        <f t="shared" si="269"/>
        <v/>
      </c>
      <c r="O269" s="91">
        <f t="shared" si="270"/>
        <v>0</v>
      </c>
      <c r="P269" s="91">
        <f t="shared" si="271"/>
        <v>0</v>
      </c>
      <c r="Q269" s="79">
        <v>2</v>
      </c>
      <c r="R269" s="79">
        <v>1</v>
      </c>
      <c r="S269" s="79" t="s">
        <v>62</v>
      </c>
      <c r="T269" s="5" t="s">
        <v>174</v>
      </c>
      <c r="U269" s="9"/>
      <c r="W269" s="86">
        <f t="shared" si="265"/>
        <v>45.6</v>
      </c>
      <c r="X269" s="87">
        <f t="shared" si="265"/>
        <v>14</v>
      </c>
      <c r="Y269" s="92">
        <f t="shared" si="266"/>
        <v>1</v>
      </c>
      <c r="Z269" s="90">
        <f t="shared" si="266"/>
        <v>0</v>
      </c>
      <c r="AA269" s="90">
        <f t="shared" si="272"/>
        <v>0</v>
      </c>
      <c r="AB269" s="90">
        <f t="shared" si="267"/>
        <v>0</v>
      </c>
      <c r="AC269" s="4" t="str">
        <f t="shared" si="267"/>
        <v/>
      </c>
      <c r="AD269" s="91">
        <f t="shared" si="267"/>
        <v>0</v>
      </c>
      <c r="AE269" s="79" t="str">
        <f t="shared" si="273"/>
        <v>계</v>
      </c>
      <c r="AF269" s="79" t="str">
        <f t="shared" si="274"/>
        <v>2/1</v>
      </c>
      <c r="AH269" s="20" t="str">
        <f t="shared" si="263"/>
        <v>봉명동 주공2단지</v>
      </c>
      <c r="AI269" s="87">
        <f t="shared" si="264"/>
        <v>14</v>
      </c>
      <c r="AJ269" s="79" t="str">
        <f t="shared" si="275"/>
        <v>A-</v>
      </c>
      <c r="AK269" s="79" t="s">
        <v>13</v>
      </c>
      <c r="AL269" s="79" t="s">
        <v>60</v>
      </c>
      <c r="AM269" s="79" t="s">
        <v>61</v>
      </c>
      <c r="AN269" s="79" t="str">
        <f t="shared" si="276"/>
        <v>C</v>
      </c>
      <c r="AO269" s="79" t="str">
        <f t="shared" si="277"/>
        <v/>
      </c>
      <c r="AP269" s="79" t="str">
        <f t="shared" si="278"/>
        <v/>
      </c>
      <c r="AQ269" s="79" t="str">
        <f t="shared" si="279"/>
        <v>O</v>
      </c>
      <c r="AR269" s="79" t="str">
        <f t="shared" si="280"/>
        <v>O</v>
      </c>
      <c r="AS269" s="79" t="s">
        <v>2</v>
      </c>
      <c r="AT269" s="79" t="str">
        <f t="shared" si="281"/>
        <v>X</v>
      </c>
      <c r="AU269" s="79" t="str">
        <f t="shared" si="282"/>
        <v>O</v>
      </c>
      <c r="AV269" s="79" t="str">
        <f t="shared" si="283"/>
        <v/>
      </c>
    </row>
    <row r="270" spans="1:48" s="37" customFormat="1" ht="12" x14ac:dyDescent="0.3">
      <c r="A270" s="74" t="s">
        <v>1604</v>
      </c>
      <c r="B270" s="75" t="s">
        <v>1605</v>
      </c>
      <c r="C270" s="85">
        <v>556</v>
      </c>
      <c r="D270" s="86">
        <v>52.3</v>
      </c>
      <c r="E270" s="87">
        <v>16</v>
      </c>
      <c r="F270" s="86">
        <v>46.8</v>
      </c>
      <c r="G270" s="17">
        <v>14</v>
      </c>
      <c r="H270" s="88">
        <v>48</v>
      </c>
      <c r="I270" s="89"/>
      <c r="J270" s="89"/>
      <c r="K270" s="89"/>
      <c r="L270" s="89"/>
      <c r="M270" s="90">
        <f t="shared" si="268"/>
        <v>0</v>
      </c>
      <c r="N270" s="4" t="str">
        <f t="shared" si="269"/>
        <v/>
      </c>
      <c r="O270" s="91">
        <f t="shared" si="270"/>
        <v>0</v>
      </c>
      <c r="P270" s="91">
        <f t="shared" si="271"/>
        <v>0</v>
      </c>
      <c r="Q270" s="79">
        <v>2</v>
      </c>
      <c r="R270" s="79">
        <v>1</v>
      </c>
      <c r="S270" s="79" t="s">
        <v>62</v>
      </c>
      <c r="T270" s="5" t="s">
        <v>167</v>
      </c>
      <c r="U270" s="9"/>
      <c r="W270" s="86">
        <f t="shared" si="265"/>
        <v>52.3</v>
      </c>
      <c r="X270" s="87">
        <f t="shared" si="265"/>
        <v>16</v>
      </c>
      <c r="Y270" s="92">
        <f t="shared" si="266"/>
        <v>48</v>
      </c>
      <c r="Z270" s="90">
        <f t="shared" si="266"/>
        <v>0</v>
      </c>
      <c r="AA270" s="90">
        <f t="shared" si="272"/>
        <v>0</v>
      </c>
      <c r="AB270" s="90">
        <f t="shared" si="267"/>
        <v>0</v>
      </c>
      <c r="AC270" s="4" t="str">
        <f t="shared" si="267"/>
        <v/>
      </c>
      <c r="AD270" s="91">
        <f t="shared" si="267"/>
        <v>0</v>
      </c>
      <c r="AE270" s="79" t="str">
        <f t="shared" si="273"/>
        <v>계</v>
      </c>
      <c r="AF270" s="79" t="str">
        <f t="shared" si="274"/>
        <v>2/1</v>
      </c>
      <c r="AH270" s="20" t="str">
        <f t="shared" si="263"/>
        <v>봉명동 주공2단지</v>
      </c>
      <c r="AI270" s="87">
        <f t="shared" si="264"/>
        <v>16</v>
      </c>
      <c r="AJ270" s="79" t="str">
        <f t="shared" si="275"/>
        <v>A-</v>
      </c>
      <c r="AK270" s="79" t="s">
        <v>13</v>
      </c>
      <c r="AL270" s="79" t="s">
        <v>60</v>
      </c>
      <c r="AM270" s="79" t="s">
        <v>61</v>
      </c>
      <c r="AN270" s="79" t="str">
        <f t="shared" si="276"/>
        <v>C</v>
      </c>
      <c r="AO270" s="79" t="str">
        <f t="shared" si="277"/>
        <v/>
      </c>
      <c r="AP270" s="79" t="str">
        <f t="shared" si="278"/>
        <v/>
      </c>
      <c r="AQ270" s="79" t="str">
        <f t="shared" si="279"/>
        <v>O</v>
      </c>
      <c r="AR270" s="79" t="str">
        <f t="shared" si="280"/>
        <v>O</v>
      </c>
      <c r="AS270" s="79" t="s">
        <v>2</v>
      </c>
      <c r="AT270" s="79" t="str">
        <f t="shared" si="281"/>
        <v>O</v>
      </c>
      <c r="AU270" s="79" t="str">
        <f t="shared" si="282"/>
        <v>O</v>
      </c>
      <c r="AV270" s="79" t="str">
        <f t="shared" si="283"/>
        <v/>
      </c>
    </row>
    <row r="271" spans="1:48" s="37" customFormat="1" ht="12" x14ac:dyDescent="0.3">
      <c r="A271" s="74" t="s">
        <v>1604</v>
      </c>
      <c r="B271" s="75" t="s">
        <v>1605</v>
      </c>
      <c r="C271" s="85">
        <v>556</v>
      </c>
      <c r="D271" s="86">
        <v>52.3</v>
      </c>
      <c r="E271" s="87">
        <v>16</v>
      </c>
      <c r="F271" s="86">
        <v>46.9</v>
      </c>
      <c r="G271" s="17">
        <v>14</v>
      </c>
      <c r="H271" s="88">
        <v>36</v>
      </c>
      <c r="I271" s="89"/>
      <c r="J271" s="89"/>
      <c r="K271" s="89"/>
      <c r="L271" s="89"/>
      <c r="M271" s="90">
        <f t="shared" si="268"/>
        <v>0</v>
      </c>
      <c r="N271" s="4" t="str">
        <f t="shared" si="269"/>
        <v/>
      </c>
      <c r="O271" s="91">
        <f t="shared" si="270"/>
        <v>0</v>
      </c>
      <c r="P271" s="91">
        <f t="shared" si="271"/>
        <v>0</v>
      </c>
      <c r="Q271" s="79">
        <v>2</v>
      </c>
      <c r="R271" s="79">
        <v>1</v>
      </c>
      <c r="S271" s="79" t="s">
        <v>62</v>
      </c>
      <c r="T271" s="5" t="s">
        <v>168</v>
      </c>
      <c r="U271" s="9"/>
      <c r="W271" s="86">
        <f t="shared" si="265"/>
        <v>52.3</v>
      </c>
      <c r="X271" s="87">
        <f t="shared" si="265"/>
        <v>16</v>
      </c>
      <c r="Y271" s="92">
        <f t="shared" si="266"/>
        <v>36</v>
      </c>
      <c r="Z271" s="90">
        <f t="shared" si="266"/>
        <v>0</v>
      </c>
      <c r="AA271" s="90">
        <f t="shared" si="272"/>
        <v>0</v>
      </c>
      <c r="AB271" s="90">
        <f t="shared" si="267"/>
        <v>0</v>
      </c>
      <c r="AC271" s="4" t="str">
        <f t="shared" si="267"/>
        <v/>
      </c>
      <c r="AD271" s="91">
        <f t="shared" si="267"/>
        <v>0</v>
      </c>
      <c r="AE271" s="79" t="str">
        <f t="shared" si="273"/>
        <v>계</v>
      </c>
      <c r="AF271" s="79" t="str">
        <f t="shared" si="274"/>
        <v>2/1</v>
      </c>
      <c r="AH271" s="20" t="str">
        <f t="shared" si="263"/>
        <v>봉명동 주공2단지</v>
      </c>
      <c r="AI271" s="87">
        <f t="shared" si="264"/>
        <v>16</v>
      </c>
      <c r="AJ271" s="79" t="str">
        <f t="shared" si="275"/>
        <v>A-</v>
      </c>
      <c r="AK271" s="79" t="s">
        <v>13</v>
      </c>
      <c r="AL271" s="79" t="s">
        <v>60</v>
      </c>
      <c r="AM271" s="79" t="s">
        <v>61</v>
      </c>
      <c r="AN271" s="79" t="str">
        <f t="shared" si="276"/>
        <v>C</v>
      </c>
      <c r="AO271" s="79" t="str">
        <f t="shared" si="277"/>
        <v/>
      </c>
      <c r="AP271" s="79" t="str">
        <f t="shared" si="278"/>
        <v/>
      </c>
      <c r="AQ271" s="79" t="str">
        <f t="shared" si="279"/>
        <v>O</v>
      </c>
      <c r="AR271" s="79" t="str">
        <f t="shared" si="280"/>
        <v>O</v>
      </c>
      <c r="AS271" s="79" t="s">
        <v>2</v>
      </c>
      <c r="AT271" s="79" t="str">
        <f t="shared" si="281"/>
        <v>O</v>
      </c>
      <c r="AU271" s="79" t="str">
        <f t="shared" si="282"/>
        <v>O</v>
      </c>
      <c r="AV271" s="79" t="str">
        <f t="shared" si="283"/>
        <v/>
      </c>
    </row>
    <row r="272" spans="1:48" s="37" customFormat="1" ht="12" x14ac:dyDescent="0.3">
      <c r="A272" s="74" t="s">
        <v>1604</v>
      </c>
      <c r="B272" s="75" t="s">
        <v>1605</v>
      </c>
      <c r="C272" s="85">
        <v>556</v>
      </c>
      <c r="D272" s="86">
        <v>52.5</v>
      </c>
      <c r="E272" s="87">
        <v>16</v>
      </c>
      <c r="F272" s="86">
        <v>52.5</v>
      </c>
      <c r="G272" s="17">
        <v>16</v>
      </c>
      <c r="H272" s="88">
        <v>8</v>
      </c>
      <c r="I272" s="89"/>
      <c r="J272" s="89"/>
      <c r="K272" s="89"/>
      <c r="L272" s="89"/>
      <c r="M272" s="90">
        <f t="shared" si="268"/>
        <v>0</v>
      </c>
      <c r="N272" s="4" t="str">
        <f t="shared" si="269"/>
        <v/>
      </c>
      <c r="O272" s="91">
        <f t="shared" si="270"/>
        <v>0</v>
      </c>
      <c r="P272" s="91">
        <f t="shared" si="271"/>
        <v>0</v>
      </c>
      <c r="Q272" s="79">
        <v>2</v>
      </c>
      <c r="R272" s="79">
        <v>1</v>
      </c>
      <c r="S272" s="79" t="s">
        <v>62</v>
      </c>
      <c r="T272" s="5" t="s">
        <v>175</v>
      </c>
      <c r="U272" s="9"/>
      <c r="W272" s="86">
        <f t="shared" si="265"/>
        <v>52.5</v>
      </c>
      <c r="X272" s="87">
        <f t="shared" si="265"/>
        <v>16</v>
      </c>
      <c r="Y272" s="92">
        <f t="shared" si="266"/>
        <v>8</v>
      </c>
      <c r="Z272" s="90">
        <f t="shared" si="266"/>
        <v>0</v>
      </c>
      <c r="AA272" s="90">
        <f t="shared" si="272"/>
        <v>0</v>
      </c>
      <c r="AB272" s="90">
        <f t="shared" si="267"/>
        <v>0</v>
      </c>
      <c r="AC272" s="4" t="str">
        <f t="shared" si="267"/>
        <v/>
      </c>
      <c r="AD272" s="91">
        <f t="shared" si="267"/>
        <v>0</v>
      </c>
      <c r="AE272" s="79" t="str">
        <f t="shared" si="273"/>
        <v>계</v>
      </c>
      <c r="AF272" s="79" t="str">
        <f t="shared" si="274"/>
        <v>2/1</v>
      </c>
      <c r="AH272" s="20" t="str">
        <f t="shared" si="263"/>
        <v>봉명동 주공2단지</v>
      </c>
      <c r="AI272" s="87">
        <f t="shared" si="264"/>
        <v>16</v>
      </c>
      <c r="AJ272" s="79" t="str">
        <f t="shared" si="275"/>
        <v>A-</v>
      </c>
      <c r="AK272" s="79" t="s">
        <v>13</v>
      </c>
      <c r="AL272" s="79" t="s">
        <v>60</v>
      </c>
      <c r="AM272" s="79" t="s">
        <v>61</v>
      </c>
      <c r="AN272" s="79" t="str">
        <f t="shared" si="276"/>
        <v>C</v>
      </c>
      <c r="AO272" s="79" t="str">
        <f t="shared" si="277"/>
        <v/>
      </c>
      <c r="AP272" s="79" t="str">
        <f t="shared" si="278"/>
        <v/>
      </c>
      <c r="AQ272" s="79" t="str">
        <f t="shared" si="279"/>
        <v>O</v>
      </c>
      <c r="AR272" s="79" t="str">
        <f t="shared" si="280"/>
        <v>O</v>
      </c>
      <c r="AS272" s="79" t="s">
        <v>2</v>
      </c>
      <c r="AT272" s="79" t="str">
        <f t="shared" si="281"/>
        <v>O</v>
      </c>
      <c r="AU272" s="79" t="str">
        <f t="shared" si="282"/>
        <v>O</v>
      </c>
      <c r="AV272" s="79" t="str">
        <f t="shared" si="283"/>
        <v/>
      </c>
    </row>
    <row r="273" spans="1:48" s="37" customFormat="1" ht="12" x14ac:dyDescent="0.3">
      <c r="A273" s="74" t="s">
        <v>1604</v>
      </c>
      <c r="B273" s="75" t="s">
        <v>1605</v>
      </c>
      <c r="C273" s="85">
        <v>556</v>
      </c>
      <c r="D273" s="86">
        <v>53.1</v>
      </c>
      <c r="E273" s="87">
        <v>16</v>
      </c>
      <c r="F273" s="86">
        <v>50</v>
      </c>
      <c r="G273" s="17">
        <v>15</v>
      </c>
      <c r="H273" s="88">
        <v>8</v>
      </c>
      <c r="I273" s="89">
        <v>15500</v>
      </c>
      <c r="J273" s="89" t="s">
        <v>89</v>
      </c>
      <c r="K273" s="89">
        <v>6000</v>
      </c>
      <c r="L273" s="89" t="s">
        <v>89</v>
      </c>
      <c r="M273" s="90">
        <f t="shared" si="268"/>
        <v>9500</v>
      </c>
      <c r="N273" s="4">
        <f t="shared" si="269"/>
        <v>0.38709677419354838</v>
      </c>
      <c r="O273" s="91">
        <f t="shared" si="270"/>
        <v>968.75</v>
      </c>
      <c r="P273" s="91">
        <f t="shared" si="271"/>
        <v>375</v>
      </c>
      <c r="Q273" s="79">
        <v>2</v>
      </c>
      <c r="R273" s="79">
        <v>1</v>
      </c>
      <c r="S273" s="79" t="s">
        <v>62</v>
      </c>
      <c r="T273" s="5" t="s">
        <v>176</v>
      </c>
      <c r="U273" s="9"/>
      <c r="W273" s="86">
        <f t="shared" si="265"/>
        <v>53.1</v>
      </c>
      <c r="X273" s="87">
        <f t="shared" si="265"/>
        <v>16</v>
      </c>
      <c r="Y273" s="92">
        <f t="shared" si="266"/>
        <v>8</v>
      </c>
      <c r="Z273" s="90">
        <f t="shared" si="266"/>
        <v>15500</v>
      </c>
      <c r="AA273" s="90">
        <f t="shared" si="272"/>
        <v>6000</v>
      </c>
      <c r="AB273" s="90">
        <f t="shared" si="267"/>
        <v>9500</v>
      </c>
      <c r="AC273" s="4">
        <f t="shared" si="267"/>
        <v>0.38709677419354838</v>
      </c>
      <c r="AD273" s="91">
        <f t="shared" si="267"/>
        <v>968.75</v>
      </c>
      <c r="AE273" s="79" t="str">
        <f t="shared" si="273"/>
        <v>계</v>
      </c>
      <c r="AF273" s="79" t="str">
        <f t="shared" si="274"/>
        <v>2/1</v>
      </c>
      <c r="AH273" s="20" t="str">
        <f t="shared" si="263"/>
        <v>봉명동 주공2단지</v>
      </c>
      <c r="AI273" s="87">
        <f t="shared" si="264"/>
        <v>16</v>
      </c>
      <c r="AJ273" s="79" t="str">
        <f t="shared" si="275"/>
        <v>A-</v>
      </c>
      <c r="AK273" s="79" t="s">
        <v>13</v>
      </c>
      <c r="AL273" s="79" t="s">
        <v>60</v>
      </c>
      <c r="AM273" s="79" t="s">
        <v>61</v>
      </c>
      <c r="AN273" s="79" t="str">
        <f t="shared" si="276"/>
        <v>C</v>
      </c>
      <c r="AO273" s="79" t="str">
        <f t="shared" si="277"/>
        <v>X</v>
      </c>
      <c r="AP273" s="79" t="str">
        <f t="shared" si="278"/>
        <v>O</v>
      </c>
      <c r="AQ273" s="79" t="str">
        <f t="shared" si="279"/>
        <v>O</v>
      </c>
      <c r="AR273" s="79" t="str">
        <f t="shared" si="280"/>
        <v>X</v>
      </c>
      <c r="AS273" s="79" t="s">
        <v>2</v>
      </c>
      <c r="AT273" s="79" t="str">
        <f t="shared" si="281"/>
        <v>O</v>
      </c>
      <c r="AU273" s="79" t="str">
        <f t="shared" si="282"/>
        <v>O</v>
      </c>
      <c r="AV273" s="79" t="str">
        <f t="shared" si="283"/>
        <v>X</v>
      </c>
    </row>
    <row r="274" spans="1:48" s="37" customFormat="1" ht="12" x14ac:dyDescent="0.3">
      <c r="A274" s="74" t="s">
        <v>1604</v>
      </c>
      <c r="B274" s="75" t="s">
        <v>1605</v>
      </c>
      <c r="C274" s="85">
        <v>556</v>
      </c>
      <c r="D274" s="86">
        <v>53.6</v>
      </c>
      <c r="E274" s="87">
        <v>16</v>
      </c>
      <c r="F274" s="86">
        <v>46.8</v>
      </c>
      <c r="G274" s="17">
        <v>14</v>
      </c>
      <c r="H274" s="88">
        <v>3</v>
      </c>
      <c r="I274" s="89"/>
      <c r="J274" s="89"/>
      <c r="K274" s="89"/>
      <c r="L274" s="89"/>
      <c r="M274" s="90">
        <f t="shared" si="268"/>
        <v>0</v>
      </c>
      <c r="N274" s="4" t="str">
        <f t="shared" si="269"/>
        <v/>
      </c>
      <c r="O274" s="91">
        <f t="shared" si="270"/>
        <v>0</v>
      </c>
      <c r="P274" s="91">
        <f t="shared" si="271"/>
        <v>0</v>
      </c>
      <c r="Q274" s="79">
        <v>2</v>
      </c>
      <c r="R274" s="79">
        <v>1</v>
      </c>
      <c r="S274" s="79" t="s">
        <v>62</v>
      </c>
      <c r="T274" s="5" t="s">
        <v>177</v>
      </c>
      <c r="U274" s="9"/>
      <c r="W274" s="86">
        <f t="shared" si="265"/>
        <v>53.6</v>
      </c>
      <c r="X274" s="87">
        <f t="shared" si="265"/>
        <v>16</v>
      </c>
      <c r="Y274" s="92">
        <f t="shared" si="266"/>
        <v>3</v>
      </c>
      <c r="Z274" s="90">
        <f t="shared" si="266"/>
        <v>0</v>
      </c>
      <c r="AA274" s="90">
        <f t="shared" si="272"/>
        <v>0</v>
      </c>
      <c r="AB274" s="90">
        <f t="shared" si="267"/>
        <v>0</v>
      </c>
      <c r="AC274" s="4" t="str">
        <f t="shared" si="267"/>
        <v/>
      </c>
      <c r="AD274" s="91">
        <f t="shared" si="267"/>
        <v>0</v>
      </c>
      <c r="AE274" s="79" t="str">
        <f t="shared" si="273"/>
        <v>계</v>
      </c>
      <c r="AF274" s="79" t="str">
        <f t="shared" si="274"/>
        <v>2/1</v>
      </c>
      <c r="AH274" s="20" t="str">
        <f t="shared" si="263"/>
        <v>봉명동 주공2단지</v>
      </c>
      <c r="AI274" s="87">
        <f t="shared" si="264"/>
        <v>16</v>
      </c>
      <c r="AJ274" s="79" t="str">
        <f t="shared" si="275"/>
        <v>A-</v>
      </c>
      <c r="AK274" s="79" t="s">
        <v>13</v>
      </c>
      <c r="AL274" s="79" t="s">
        <v>60</v>
      </c>
      <c r="AM274" s="79" t="s">
        <v>61</v>
      </c>
      <c r="AN274" s="79" t="str">
        <f t="shared" si="276"/>
        <v>C</v>
      </c>
      <c r="AO274" s="79" t="str">
        <f t="shared" si="277"/>
        <v/>
      </c>
      <c r="AP274" s="79" t="str">
        <f t="shared" si="278"/>
        <v/>
      </c>
      <c r="AQ274" s="79" t="str">
        <f t="shared" si="279"/>
        <v>O</v>
      </c>
      <c r="AR274" s="79" t="str">
        <f t="shared" si="280"/>
        <v>O</v>
      </c>
      <c r="AS274" s="79" t="s">
        <v>2</v>
      </c>
      <c r="AT274" s="79" t="str">
        <f t="shared" si="281"/>
        <v>O</v>
      </c>
      <c r="AU274" s="79" t="str">
        <f t="shared" si="282"/>
        <v>O</v>
      </c>
      <c r="AV274" s="79" t="str">
        <f t="shared" si="283"/>
        <v/>
      </c>
    </row>
    <row r="275" spans="1:48" s="37" customFormat="1" ht="12" x14ac:dyDescent="0.3">
      <c r="A275" s="74" t="s">
        <v>1604</v>
      </c>
      <c r="B275" s="75" t="s">
        <v>1605</v>
      </c>
      <c r="C275" s="85">
        <v>556</v>
      </c>
      <c r="D275" s="86">
        <v>53.8</v>
      </c>
      <c r="E275" s="87">
        <v>16</v>
      </c>
      <c r="F275" s="86">
        <v>47</v>
      </c>
      <c r="G275" s="17">
        <v>14</v>
      </c>
      <c r="H275" s="88">
        <v>2</v>
      </c>
      <c r="I275" s="89"/>
      <c r="J275" s="89"/>
      <c r="K275" s="89"/>
      <c r="L275" s="89"/>
      <c r="M275" s="90">
        <f t="shared" si="268"/>
        <v>0</v>
      </c>
      <c r="N275" s="4" t="str">
        <f t="shared" si="269"/>
        <v/>
      </c>
      <c r="O275" s="91">
        <f t="shared" si="270"/>
        <v>0</v>
      </c>
      <c r="P275" s="91">
        <f t="shared" si="271"/>
        <v>0</v>
      </c>
      <c r="Q275" s="79">
        <v>2</v>
      </c>
      <c r="R275" s="79">
        <v>1</v>
      </c>
      <c r="S275" s="79" t="s">
        <v>62</v>
      </c>
      <c r="T275" s="5" t="s">
        <v>178</v>
      </c>
      <c r="U275" s="9"/>
      <c r="W275" s="86">
        <f t="shared" si="265"/>
        <v>53.8</v>
      </c>
      <c r="X275" s="87">
        <f t="shared" si="265"/>
        <v>16</v>
      </c>
      <c r="Y275" s="92">
        <f t="shared" si="266"/>
        <v>2</v>
      </c>
      <c r="Z275" s="90">
        <f t="shared" si="266"/>
        <v>0</v>
      </c>
      <c r="AA275" s="90">
        <f t="shared" si="272"/>
        <v>0</v>
      </c>
      <c r="AB275" s="90">
        <f t="shared" si="267"/>
        <v>0</v>
      </c>
      <c r="AC275" s="4" t="str">
        <f t="shared" si="267"/>
        <v/>
      </c>
      <c r="AD275" s="91">
        <f t="shared" si="267"/>
        <v>0</v>
      </c>
      <c r="AE275" s="79" t="str">
        <f t="shared" si="273"/>
        <v>계</v>
      </c>
      <c r="AF275" s="79" t="str">
        <f t="shared" si="274"/>
        <v>2/1</v>
      </c>
      <c r="AH275" s="20" t="str">
        <f t="shared" si="263"/>
        <v>봉명동 주공2단지</v>
      </c>
      <c r="AI275" s="87">
        <f t="shared" si="264"/>
        <v>16</v>
      </c>
      <c r="AJ275" s="79" t="str">
        <f t="shared" si="275"/>
        <v>A-</v>
      </c>
      <c r="AK275" s="79" t="s">
        <v>13</v>
      </c>
      <c r="AL275" s="79" t="s">
        <v>60</v>
      </c>
      <c r="AM275" s="79" t="s">
        <v>61</v>
      </c>
      <c r="AN275" s="79" t="str">
        <f t="shared" si="276"/>
        <v>C</v>
      </c>
      <c r="AO275" s="79" t="str">
        <f t="shared" si="277"/>
        <v/>
      </c>
      <c r="AP275" s="79" t="str">
        <f t="shared" si="278"/>
        <v/>
      </c>
      <c r="AQ275" s="79" t="str">
        <f t="shared" si="279"/>
        <v>O</v>
      </c>
      <c r="AR275" s="79" t="str">
        <f t="shared" si="280"/>
        <v>O</v>
      </c>
      <c r="AS275" s="79" t="s">
        <v>2</v>
      </c>
      <c r="AT275" s="79" t="str">
        <f t="shared" si="281"/>
        <v>O</v>
      </c>
      <c r="AU275" s="79" t="str">
        <f t="shared" si="282"/>
        <v>O</v>
      </c>
      <c r="AV275" s="79" t="str">
        <f t="shared" si="283"/>
        <v/>
      </c>
    </row>
    <row r="276" spans="1:48" s="37" customFormat="1" ht="12" x14ac:dyDescent="0.3">
      <c r="A276" s="74" t="s">
        <v>1604</v>
      </c>
      <c r="B276" s="75" t="s">
        <v>1605</v>
      </c>
      <c r="C276" s="85">
        <v>556</v>
      </c>
      <c r="D276" s="86">
        <v>58.9</v>
      </c>
      <c r="E276" s="87">
        <v>18</v>
      </c>
      <c r="F276" s="86">
        <v>53.9</v>
      </c>
      <c r="G276" s="17">
        <v>16</v>
      </c>
      <c r="H276" s="88">
        <v>198</v>
      </c>
      <c r="I276" s="89">
        <v>17000</v>
      </c>
      <c r="J276" s="89" t="s">
        <v>83</v>
      </c>
      <c r="K276" s="89">
        <v>6000</v>
      </c>
      <c r="L276" s="89" t="s">
        <v>89</v>
      </c>
      <c r="M276" s="90">
        <f t="shared" si="268"/>
        <v>11000</v>
      </c>
      <c r="N276" s="4">
        <f t="shared" si="269"/>
        <v>0.35294117647058826</v>
      </c>
      <c r="O276" s="91">
        <f t="shared" si="270"/>
        <v>944.44444444444446</v>
      </c>
      <c r="P276" s="91">
        <f t="shared" si="271"/>
        <v>333.33333333333331</v>
      </c>
      <c r="Q276" s="79">
        <v>2</v>
      </c>
      <c r="R276" s="79">
        <v>1</v>
      </c>
      <c r="S276" s="79" t="s">
        <v>62</v>
      </c>
      <c r="T276" s="5">
        <v>58</v>
      </c>
      <c r="U276" s="9"/>
      <c r="W276" s="86">
        <f t="shared" si="265"/>
        <v>58.9</v>
      </c>
      <c r="X276" s="87">
        <f t="shared" si="265"/>
        <v>18</v>
      </c>
      <c r="Y276" s="92">
        <f t="shared" si="266"/>
        <v>198</v>
      </c>
      <c r="Z276" s="90">
        <f t="shared" si="266"/>
        <v>17000</v>
      </c>
      <c r="AA276" s="90">
        <f t="shared" si="272"/>
        <v>6000</v>
      </c>
      <c r="AB276" s="90">
        <f t="shared" si="267"/>
        <v>11000</v>
      </c>
      <c r="AC276" s="4">
        <f t="shared" si="267"/>
        <v>0.35294117647058826</v>
      </c>
      <c r="AD276" s="91">
        <f t="shared" si="267"/>
        <v>944.44444444444446</v>
      </c>
      <c r="AE276" s="79" t="str">
        <f t="shared" si="273"/>
        <v>계</v>
      </c>
      <c r="AF276" s="79" t="str">
        <f t="shared" si="274"/>
        <v>2/1</v>
      </c>
      <c r="AH276" s="20" t="str">
        <f t="shared" si="263"/>
        <v>봉명동 주공2단지</v>
      </c>
      <c r="AI276" s="87">
        <f t="shared" si="264"/>
        <v>18</v>
      </c>
      <c r="AJ276" s="79" t="str">
        <f t="shared" si="275"/>
        <v>A-</v>
      </c>
      <c r="AK276" s="79" t="s">
        <v>13</v>
      </c>
      <c r="AL276" s="79" t="s">
        <v>60</v>
      </c>
      <c r="AM276" s="79" t="s">
        <v>61</v>
      </c>
      <c r="AN276" s="79" t="str">
        <f t="shared" si="276"/>
        <v>C</v>
      </c>
      <c r="AO276" s="79" t="str">
        <f t="shared" si="277"/>
        <v>X</v>
      </c>
      <c r="AP276" s="79" t="str">
        <f t="shared" si="278"/>
        <v>O</v>
      </c>
      <c r="AQ276" s="79" t="str">
        <f t="shared" si="279"/>
        <v>O</v>
      </c>
      <c r="AR276" s="79" t="str">
        <f t="shared" si="280"/>
        <v>X</v>
      </c>
      <c r="AS276" s="79" t="s">
        <v>2</v>
      </c>
      <c r="AT276" s="79" t="str">
        <f t="shared" si="281"/>
        <v>O</v>
      </c>
      <c r="AU276" s="79" t="str">
        <f t="shared" si="282"/>
        <v>O</v>
      </c>
      <c r="AV276" s="79" t="str">
        <f t="shared" si="283"/>
        <v>X</v>
      </c>
    </row>
    <row r="277" spans="1:48" s="37" customFormat="1" ht="12" x14ac:dyDescent="0.3">
      <c r="A277" s="74" t="s">
        <v>1604</v>
      </c>
      <c r="B277" s="75" t="s">
        <v>1605</v>
      </c>
      <c r="C277" s="85">
        <v>556</v>
      </c>
      <c r="D277" s="86">
        <v>67.5</v>
      </c>
      <c r="E277" s="87">
        <v>20</v>
      </c>
      <c r="F277" s="86">
        <v>61.8</v>
      </c>
      <c r="G277" s="17">
        <v>19</v>
      </c>
      <c r="H277" s="88">
        <v>162</v>
      </c>
      <c r="I277" s="89">
        <v>19500</v>
      </c>
      <c r="J277" s="89" t="s">
        <v>89</v>
      </c>
      <c r="K277" s="89">
        <v>7000</v>
      </c>
      <c r="L277" s="89" t="s">
        <v>89</v>
      </c>
      <c r="M277" s="90">
        <f t="shared" si="268"/>
        <v>12500</v>
      </c>
      <c r="N277" s="4">
        <f t="shared" si="269"/>
        <v>0.35897435897435898</v>
      </c>
      <c r="O277" s="91">
        <f t="shared" si="270"/>
        <v>975</v>
      </c>
      <c r="P277" s="91">
        <f t="shared" si="271"/>
        <v>350</v>
      </c>
      <c r="Q277" s="79">
        <v>3</v>
      </c>
      <c r="R277" s="79">
        <v>1</v>
      </c>
      <c r="S277" s="79" t="s">
        <v>62</v>
      </c>
      <c r="T277" s="5">
        <v>67</v>
      </c>
      <c r="U277" s="9"/>
      <c r="W277" s="86">
        <f t="shared" si="265"/>
        <v>67.5</v>
      </c>
      <c r="X277" s="87">
        <f t="shared" si="265"/>
        <v>20</v>
      </c>
      <c r="Y277" s="92">
        <f t="shared" si="266"/>
        <v>162</v>
      </c>
      <c r="Z277" s="90">
        <f t="shared" si="266"/>
        <v>19500</v>
      </c>
      <c r="AA277" s="90">
        <f t="shared" si="272"/>
        <v>7000</v>
      </c>
      <c r="AB277" s="90">
        <f t="shared" si="267"/>
        <v>12500</v>
      </c>
      <c r="AC277" s="4">
        <f t="shared" si="267"/>
        <v>0.35897435897435898</v>
      </c>
      <c r="AD277" s="91">
        <f t="shared" si="267"/>
        <v>975</v>
      </c>
      <c r="AE277" s="79" t="str">
        <f t="shared" si="273"/>
        <v>계</v>
      </c>
      <c r="AF277" s="79" t="str">
        <f t="shared" si="274"/>
        <v>3/1</v>
      </c>
      <c r="AH277" s="20" t="str">
        <f t="shared" si="263"/>
        <v>봉명동 주공2단지</v>
      </c>
      <c r="AI277" s="87">
        <f t="shared" si="264"/>
        <v>20</v>
      </c>
      <c r="AJ277" s="79" t="str">
        <f t="shared" si="275"/>
        <v>A-</v>
      </c>
      <c r="AK277" s="79" t="s">
        <v>13</v>
      </c>
      <c r="AL277" s="79" t="s">
        <v>60</v>
      </c>
      <c r="AM277" s="79" t="s">
        <v>61</v>
      </c>
      <c r="AN277" s="79" t="str">
        <f t="shared" si="276"/>
        <v>C</v>
      </c>
      <c r="AO277" s="79" t="str">
        <f t="shared" si="277"/>
        <v>X</v>
      </c>
      <c r="AP277" s="79" t="str">
        <f t="shared" si="278"/>
        <v>O</v>
      </c>
      <c r="AQ277" s="79" t="str">
        <f t="shared" si="279"/>
        <v>O</v>
      </c>
      <c r="AR277" s="79" t="str">
        <f t="shared" si="280"/>
        <v>X</v>
      </c>
      <c r="AS277" s="79" t="s">
        <v>2</v>
      </c>
      <c r="AT277" s="79" t="str">
        <f t="shared" si="281"/>
        <v>O</v>
      </c>
      <c r="AU277" s="79" t="str">
        <f t="shared" si="282"/>
        <v>O</v>
      </c>
      <c r="AV277" s="79" t="str">
        <f t="shared" si="283"/>
        <v>X</v>
      </c>
    </row>
    <row r="278" spans="1:48" s="37" customFormat="1" ht="12" x14ac:dyDescent="0.3">
      <c r="A278" s="74" t="s">
        <v>1606</v>
      </c>
      <c r="B278" s="75" t="s">
        <v>1607</v>
      </c>
      <c r="C278" s="85">
        <v>540</v>
      </c>
      <c r="D278" s="86">
        <v>114.9</v>
      </c>
      <c r="E278" s="87">
        <v>35</v>
      </c>
      <c r="F278" s="86">
        <v>85</v>
      </c>
      <c r="G278" s="17">
        <v>26</v>
      </c>
      <c r="H278" s="88">
        <v>176</v>
      </c>
      <c r="I278" s="89">
        <v>36000</v>
      </c>
      <c r="J278" s="89" t="s">
        <v>97</v>
      </c>
      <c r="K278" s="89"/>
      <c r="L278" s="89"/>
      <c r="M278" s="90">
        <f>I278-K278</f>
        <v>36000</v>
      </c>
      <c r="N278" s="4">
        <f>IF(ISERROR(K278/I278),"",K278/I278)</f>
        <v>0</v>
      </c>
      <c r="O278" s="91">
        <f>I278/E278</f>
        <v>1028.5714285714287</v>
      </c>
      <c r="P278" s="91">
        <f>K278/E278</f>
        <v>0</v>
      </c>
      <c r="Q278" s="79">
        <v>3</v>
      </c>
      <c r="R278" s="79">
        <v>2</v>
      </c>
      <c r="S278" s="79" t="s">
        <v>62</v>
      </c>
      <c r="T278" s="5">
        <v>114</v>
      </c>
      <c r="U278" s="9"/>
      <c r="W278" s="86">
        <f t="shared" si="265"/>
        <v>114.9</v>
      </c>
      <c r="X278" s="87">
        <f t="shared" si="265"/>
        <v>35</v>
      </c>
      <c r="Y278" s="92">
        <f t="shared" si="266"/>
        <v>176</v>
      </c>
      <c r="Z278" s="90">
        <f t="shared" si="266"/>
        <v>36000</v>
      </c>
      <c r="AA278" s="90">
        <f>K278</f>
        <v>0</v>
      </c>
      <c r="AB278" s="90">
        <f t="shared" si="267"/>
        <v>36000</v>
      </c>
      <c r="AC278" s="4">
        <f t="shared" si="267"/>
        <v>0</v>
      </c>
      <c r="AD278" s="91">
        <f t="shared" si="267"/>
        <v>1028.5714285714287</v>
      </c>
      <c r="AE278" s="79" t="str">
        <f>S278</f>
        <v>계</v>
      </c>
      <c r="AF278" s="79" t="str">
        <f>Q278&amp;"/"&amp;R278</f>
        <v>3/2</v>
      </c>
      <c r="AH278" s="20" t="str">
        <f t="shared" si="263"/>
        <v>비하동 청주비하계룡리슈빌2차</v>
      </c>
      <c r="AI278" s="87">
        <f t="shared" si="264"/>
        <v>35</v>
      </c>
      <c r="AJ278" s="79" t="str">
        <f>IF(AI278="","",$AJ$2)</f>
        <v>A-</v>
      </c>
      <c r="AK278" s="79" t="s">
        <v>13</v>
      </c>
      <c r="AL278" s="79" t="s">
        <v>60</v>
      </c>
      <c r="AM278" s="79" t="s">
        <v>61</v>
      </c>
      <c r="AN278" s="79" t="str">
        <f>IF(AI278="","",$AN$2)</f>
        <v>C</v>
      </c>
      <c r="AO278" s="79" t="str">
        <f>IF(N278="","",IF(N278&gt;=$AO$1/100,"O","X"))</f>
        <v>X</v>
      </c>
      <c r="AP278" s="79" t="str">
        <f>IF(I278="","",IF(I278&lt;=$AP$1,"O","X"))</f>
        <v>O</v>
      </c>
      <c r="AQ278" s="79" t="str">
        <f>IF(O278="","",IF(O278&lt;=$AQ$1,"O","X"))</f>
        <v>O</v>
      </c>
      <c r="AR278" s="79" t="str">
        <f>IF(M278="","",IF(M278&lt;=$AR$1,"O","X"))</f>
        <v>X</v>
      </c>
      <c r="AS278" s="79" t="s">
        <v>2</v>
      </c>
      <c r="AT278" s="79" t="str">
        <f>IF(OR(F278="",AI278=""),"",IF(AND((F278&lt;=85),(AI278&gt;=15)),"O","X"))</f>
        <v>O</v>
      </c>
      <c r="AU278" s="79" t="str">
        <f>IF(C278="","",IF(C278&gt;=$AU$1,"O","X"))</f>
        <v>O</v>
      </c>
      <c r="AV278" s="79" t="str">
        <f>IF(AO278="","",IF(AND(AO278="O",AP278="O",AR278="O",AT278="O",AU278="O"),"후보","X"))</f>
        <v>X</v>
      </c>
    </row>
    <row r="279" spans="1:48" s="37" customFormat="1" ht="12" x14ac:dyDescent="0.3">
      <c r="A279" s="74" t="s">
        <v>1606</v>
      </c>
      <c r="B279" s="75" t="s">
        <v>1607</v>
      </c>
      <c r="C279" s="85">
        <v>540</v>
      </c>
      <c r="D279" s="86">
        <v>131.69999999999999</v>
      </c>
      <c r="E279" s="87">
        <v>40</v>
      </c>
      <c r="F279" s="86">
        <v>106.7</v>
      </c>
      <c r="G279" s="17">
        <v>32</v>
      </c>
      <c r="H279" s="88">
        <v>85</v>
      </c>
      <c r="I279" s="89">
        <v>42000</v>
      </c>
      <c r="J279" s="89" t="s">
        <v>79</v>
      </c>
      <c r="K279" s="89"/>
      <c r="L279" s="89"/>
      <c r="M279" s="90">
        <f>I279-K279</f>
        <v>42000</v>
      </c>
      <c r="N279" s="4">
        <f>IF(ISERROR(K279/I279),"",K279/I279)</f>
        <v>0</v>
      </c>
      <c r="O279" s="91">
        <f>I279/E279</f>
        <v>1050</v>
      </c>
      <c r="P279" s="91">
        <f>K279/E279</f>
        <v>0</v>
      </c>
      <c r="Q279" s="79">
        <v>3</v>
      </c>
      <c r="R279" s="79">
        <v>2</v>
      </c>
      <c r="S279" s="79" t="s">
        <v>62</v>
      </c>
      <c r="T279" s="5" t="s">
        <v>179</v>
      </c>
      <c r="U279" s="9"/>
      <c r="W279" s="86">
        <f t="shared" si="265"/>
        <v>131.69999999999999</v>
      </c>
      <c r="X279" s="87">
        <f t="shared" si="265"/>
        <v>40</v>
      </c>
      <c r="Y279" s="92">
        <f t="shared" si="266"/>
        <v>85</v>
      </c>
      <c r="Z279" s="90">
        <f t="shared" si="266"/>
        <v>42000</v>
      </c>
      <c r="AA279" s="90">
        <f>K279</f>
        <v>0</v>
      </c>
      <c r="AB279" s="90">
        <f t="shared" si="267"/>
        <v>42000</v>
      </c>
      <c r="AC279" s="4">
        <f t="shared" si="267"/>
        <v>0</v>
      </c>
      <c r="AD279" s="91">
        <f t="shared" si="267"/>
        <v>1050</v>
      </c>
      <c r="AE279" s="79" t="str">
        <f>S279</f>
        <v>계</v>
      </c>
      <c r="AF279" s="79" t="str">
        <f>Q279&amp;"/"&amp;R279</f>
        <v>3/2</v>
      </c>
      <c r="AH279" s="20" t="str">
        <f t="shared" si="263"/>
        <v>비하동 청주비하계룡리슈빌2차</v>
      </c>
      <c r="AI279" s="87">
        <f t="shared" si="264"/>
        <v>40</v>
      </c>
      <c r="AJ279" s="79" t="str">
        <f>IF(AI279="","",$AJ$2)</f>
        <v>A-</v>
      </c>
      <c r="AK279" s="79" t="s">
        <v>13</v>
      </c>
      <c r="AL279" s="79" t="s">
        <v>60</v>
      </c>
      <c r="AM279" s="79" t="s">
        <v>61</v>
      </c>
      <c r="AN279" s="79" t="str">
        <f>IF(AI279="","",$AN$2)</f>
        <v>C</v>
      </c>
      <c r="AO279" s="79" t="str">
        <f>IF(N279="","",IF(N279&gt;=$AO$1/100,"O","X"))</f>
        <v>X</v>
      </c>
      <c r="AP279" s="79" t="str">
        <f>IF(I279="","",IF(I279&lt;=$AP$1,"O","X"))</f>
        <v>O</v>
      </c>
      <c r="AQ279" s="79" t="str">
        <f>IF(O279="","",IF(O279&lt;=$AQ$1,"O","X"))</f>
        <v>O</v>
      </c>
      <c r="AR279" s="79" t="str">
        <f>IF(M279="","",IF(M279&lt;=$AR$1,"O","X"))</f>
        <v>X</v>
      </c>
      <c r="AS279" s="79" t="s">
        <v>2</v>
      </c>
      <c r="AT279" s="79" t="str">
        <f>IF(OR(F279="",AI279=""),"",IF(AND((F279&lt;=85),(AI279&gt;=15)),"O","X"))</f>
        <v>X</v>
      </c>
      <c r="AU279" s="79" t="str">
        <f>IF(C279="","",IF(C279&gt;=$AU$1,"O","X"))</f>
        <v>O</v>
      </c>
      <c r="AV279" s="79" t="str">
        <f>IF(AO279="","",IF(AND(AO279="O",AP279="O",AR279="O",AT279="O",AU279="O"),"후보","X"))</f>
        <v>X</v>
      </c>
    </row>
    <row r="280" spans="1:48" s="37" customFormat="1" ht="12" x14ac:dyDescent="0.3">
      <c r="A280" s="74" t="s">
        <v>1606</v>
      </c>
      <c r="B280" s="75" t="s">
        <v>1607</v>
      </c>
      <c r="C280" s="85">
        <v>540</v>
      </c>
      <c r="D280" s="86">
        <v>131.69999999999999</v>
      </c>
      <c r="E280" s="87">
        <v>40</v>
      </c>
      <c r="F280" s="86">
        <v>106.7</v>
      </c>
      <c r="G280" s="17">
        <v>32</v>
      </c>
      <c r="H280" s="88">
        <v>83</v>
      </c>
      <c r="I280" s="89">
        <v>42000</v>
      </c>
      <c r="J280" s="89" t="s">
        <v>79</v>
      </c>
      <c r="K280" s="89"/>
      <c r="L280" s="89"/>
      <c r="M280" s="90">
        <f>I280-K280</f>
        <v>42000</v>
      </c>
      <c r="N280" s="4">
        <f>IF(ISERROR(K280/I280),"",K280/I280)</f>
        <v>0</v>
      </c>
      <c r="O280" s="91">
        <f>I280/E280</f>
        <v>1050</v>
      </c>
      <c r="P280" s="91">
        <f>K280/E280</f>
        <v>0</v>
      </c>
      <c r="Q280" s="79">
        <v>3</v>
      </c>
      <c r="R280" s="79">
        <v>2</v>
      </c>
      <c r="S280" s="79" t="s">
        <v>62</v>
      </c>
      <c r="T280" s="5" t="s">
        <v>85</v>
      </c>
      <c r="U280" s="9"/>
      <c r="W280" s="86">
        <f t="shared" ref="W280:X282" si="284">D280</f>
        <v>131.69999999999999</v>
      </c>
      <c r="X280" s="87">
        <f t="shared" si="284"/>
        <v>40</v>
      </c>
      <c r="Y280" s="92">
        <f t="shared" ref="Y280:Z282" si="285">H280</f>
        <v>83</v>
      </c>
      <c r="Z280" s="90">
        <f t="shared" si="285"/>
        <v>42000</v>
      </c>
      <c r="AA280" s="90">
        <f>K280</f>
        <v>0</v>
      </c>
      <c r="AB280" s="90">
        <f t="shared" ref="AB280:AD295" si="286">M280</f>
        <v>42000</v>
      </c>
      <c r="AC280" s="4">
        <f t="shared" si="286"/>
        <v>0</v>
      </c>
      <c r="AD280" s="91">
        <f t="shared" si="286"/>
        <v>1050</v>
      </c>
      <c r="AE280" s="79" t="str">
        <f>S280</f>
        <v>계</v>
      </c>
      <c r="AF280" s="79" t="str">
        <f>Q280&amp;"/"&amp;R280</f>
        <v>3/2</v>
      </c>
      <c r="AH280" s="20" t="str">
        <f t="shared" si="263"/>
        <v>비하동 청주비하계룡리슈빌2차</v>
      </c>
      <c r="AI280" s="87">
        <f t="shared" si="264"/>
        <v>40</v>
      </c>
      <c r="AJ280" s="79" t="str">
        <f>IF(AI280="","",$AJ$2)</f>
        <v>A-</v>
      </c>
      <c r="AK280" s="79" t="s">
        <v>13</v>
      </c>
      <c r="AL280" s="79" t="s">
        <v>60</v>
      </c>
      <c r="AM280" s="79" t="s">
        <v>61</v>
      </c>
      <c r="AN280" s="79" t="str">
        <f>IF(AI280="","",$AN$2)</f>
        <v>C</v>
      </c>
      <c r="AO280" s="79" t="str">
        <f>IF(N280="","",IF(N280&gt;=$AO$1/100,"O","X"))</f>
        <v>X</v>
      </c>
      <c r="AP280" s="79" t="str">
        <f>IF(I280="","",IF(I280&lt;=$AP$1,"O","X"))</f>
        <v>O</v>
      </c>
      <c r="AQ280" s="79" t="str">
        <f>IF(O280="","",IF(O280&lt;=$AQ$1,"O","X"))</f>
        <v>O</v>
      </c>
      <c r="AR280" s="79" t="str">
        <f>IF(M280="","",IF(M280&lt;=$AR$1,"O","X"))</f>
        <v>X</v>
      </c>
      <c r="AS280" s="79" t="s">
        <v>2</v>
      </c>
      <c r="AT280" s="79" t="str">
        <f>IF(OR(F280="",AI280=""),"",IF(AND((F280&lt;=85),(AI280&gt;=15)),"O","X"))</f>
        <v>X</v>
      </c>
      <c r="AU280" s="79" t="str">
        <f>IF(C280="","",IF(C280&gt;=$AU$1,"O","X"))</f>
        <v>O</v>
      </c>
      <c r="AV280" s="79" t="str">
        <f>IF(AO280="","",IF(AND(AO280="O",AP280="O",AR280="O",AT280="O",AU280="O"),"후보","X"))</f>
        <v>X</v>
      </c>
    </row>
    <row r="281" spans="1:48" s="37" customFormat="1" ht="12" x14ac:dyDescent="0.3">
      <c r="A281" s="74" t="s">
        <v>1606</v>
      </c>
      <c r="B281" s="75" t="s">
        <v>1607</v>
      </c>
      <c r="C281" s="85">
        <v>540</v>
      </c>
      <c r="D281" s="86">
        <v>151.80000000000001</v>
      </c>
      <c r="E281" s="87">
        <v>46</v>
      </c>
      <c r="F281" s="86">
        <v>123.8</v>
      </c>
      <c r="G281" s="17">
        <v>37</v>
      </c>
      <c r="H281" s="88">
        <v>85</v>
      </c>
      <c r="I281" s="89">
        <v>53000</v>
      </c>
      <c r="J281" s="89" t="s">
        <v>88</v>
      </c>
      <c r="K281" s="89">
        <v>40000</v>
      </c>
      <c r="L281" s="89" t="s">
        <v>102</v>
      </c>
      <c r="M281" s="90">
        <f>I281-K281</f>
        <v>13000</v>
      </c>
      <c r="N281" s="4">
        <f>IF(ISERROR(K281/I281),"",K281/I281)</f>
        <v>0.75471698113207553</v>
      </c>
      <c r="O281" s="91">
        <f>I281/E281</f>
        <v>1152.1739130434783</v>
      </c>
      <c r="P281" s="91">
        <f>K281/E281</f>
        <v>869.56521739130437</v>
      </c>
      <c r="Q281" s="79">
        <v>4</v>
      </c>
      <c r="R281" s="79">
        <v>2</v>
      </c>
      <c r="S281" s="79" t="s">
        <v>62</v>
      </c>
      <c r="T281" s="5">
        <v>151</v>
      </c>
      <c r="U281" s="9"/>
      <c r="W281" s="86">
        <f t="shared" si="284"/>
        <v>151.80000000000001</v>
      </c>
      <c r="X281" s="87">
        <f t="shared" si="284"/>
        <v>46</v>
      </c>
      <c r="Y281" s="92">
        <f t="shared" si="285"/>
        <v>85</v>
      </c>
      <c r="Z281" s="90">
        <f t="shared" si="285"/>
        <v>53000</v>
      </c>
      <c r="AA281" s="90">
        <f>K281</f>
        <v>40000</v>
      </c>
      <c r="AB281" s="90">
        <f t="shared" si="286"/>
        <v>13000</v>
      </c>
      <c r="AC281" s="4">
        <f t="shared" si="286"/>
        <v>0.75471698113207553</v>
      </c>
      <c r="AD281" s="91">
        <f t="shared" si="286"/>
        <v>1152.1739130434783</v>
      </c>
      <c r="AE281" s="79" t="str">
        <f>S281</f>
        <v>계</v>
      </c>
      <c r="AF281" s="79" t="str">
        <f>Q281&amp;"/"&amp;R281</f>
        <v>4/2</v>
      </c>
      <c r="AH281" s="20" t="str">
        <f t="shared" si="263"/>
        <v>비하동 청주비하계룡리슈빌2차</v>
      </c>
      <c r="AI281" s="87">
        <f t="shared" si="264"/>
        <v>46</v>
      </c>
      <c r="AJ281" s="79" t="str">
        <f>IF(AI281="","",$AJ$2)</f>
        <v>A-</v>
      </c>
      <c r="AK281" s="79" t="s">
        <v>13</v>
      </c>
      <c r="AL281" s="79" t="s">
        <v>60</v>
      </c>
      <c r="AM281" s="79" t="s">
        <v>61</v>
      </c>
      <c r="AN281" s="79" t="str">
        <f>IF(AI281="","",$AN$2)</f>
        <v>C</v>
      </c>
      <c r="AO281" s="79" t="str">
        <f>IF(N281="","",IF(N281&gt;=$AO$1/100,"O","X"))</f>
        <v>X</v>
      </c>
      <c r="AP281" s="79" t="str">
        <f>IF(I281="","",IF(I281&lt;=$AP$1,"O","X"))</f>
        <v>X</v>
      </c>
      <c r="AQ281" s="79" t="str">
        <f>IF(O281="","",IF(O281&lt;=$AQ$1,"O","X"))</f>
        <v>O</v>
      </c>
      <c r="AR281" s="79" t="str">
        <f>IF(M281="","",IF(M281&lt;=$AR$1,"O","X"))</f>
        <v>X</v>
      </c>
      <c r="AS281" s="79" t="s">
        <v>2</v>
      </c>
      <c r="AT281" s="79" t="str">
        <f>IF(OR(F281="",AI281=""),"",IF(AND((F281&lt;=85),(AI281&gt;=15)),"O","X"))</f>
        <v>X</v>
      </c>
      <c r="AU281" s="79" t="str">
        <f>IF(C281="","",IF(C281&gt;=$AU$1,"O","X"))</f>
        <v>O</v>
      </c>
      <c r="AV281" s="79" t="str">
        <f>IF(AO281="","",IF(AND(AO281="O",AP281="O",AR281="O",AT281="O",AU281="O"),"후보","X"))</f>
        <v>X</v>
      </c>
    </row>
    <row r="282" spans="1:48" s="37" customFormat="1" ht="12" x14ac:dyDescent="0.3">
      <c r="A282" s="74" t="s">
        <v>1606</v>
      </c>
      <c r="B282" s="75" t="s">
        <v>1607</v>
      </c>
      <c r="C282" s="85">
        <v>540</v>
      </c>
      <c r="D282" s="86">
        <v>184.6</v>
      </c>
      <c r="E282" s="87">
        <v>56</v>
      </c>
      <c r="F282" s="86">
        <v>155.4</v>
      </c>
      <c r="G282" s="17">
        <v>47</v>
      </c>
      <c r="H282" s="88">
        <v>111</v>
      </c>
      <c r="I282" s="89">
        <v>56000</v>
      </c>
      <c r="J282" s="89" t="s">
        <v>71</v>
      </c>
      <c r="K282" s="89">
        <v>38000</v>
      </c>
      <c r="L282" s="89" t="s">
        <v>81</v>
      </c>
      <c r="M282" s="90">
        <f>I282-K282</f>
        <v>18000</v>
      </c>
      <c r="N282" s="4">
        <f>IF(ISERROR(K282/I282),"",K282/I282)</f>
        <v>0.6785714285714286</v>
      </c>
      <c r="O282" s="91">
        <f>I282/E282</f>
        <v>1000</v>
      </c>
      <c r="P282" s="91">
        <f>K282/E282</f>
        <v>678.57142857142856</v>
      </c>
      <c r="Q282" s="79">
        <v>4</v>
      </c>
      <c r="R282" s="79">
        <v>2</v>
      </c>
      <c r="S282" s="79" t="s">
        <v>62</v>
      </c>
      <c r="T282" s="5">
        <v>184</v>
      </c>
      <c r="U282" s="9"/>
      <c r="W282" s="86">
        <f t="shared" si="284"/>
        <v>184.6</v>
      </c>
      <c r="X282" s="87">
        <f t="shared" si="284"/>
        <v>56</v>
      </c>
      <c r="Y282" s="92">
        <f t="shared" si="285"/>
        <v>111</v>
      </c>
      <c r="Z282" s="90">
        <f t="shared" si="285"/>
        <v>56000</v>
      </c>
      <c r="AA282" s="90">
        <f>K282</f>
        <v>38000</v>
      </c>
      <c r="AB282" s="90">
        <f t="shared" si="286"/>
        <v>18000</v>
      </c>
      <c r="AC282" s="4">
        <f t="shared" si="286"/>
        <v>0.6785714285714286</v>
      </c>
      <c r="AD282" s="91">
        <f t="shared" si="286"/>
        <v>1000</v>
      </c>
      <c r="AE282" s="79" t="str">
        <f>S282</f>
        <v>계</v>
      </c>
      <c r="AF282" s="79" t="str">
        <f>Q282&amp;"/"&amp;R282</f>
        <v>4/2</v>
      </c>
      <c r="AH282" s="20" t="str">
        <f t="shared" si="263"/>
        <v>비하동 청주비하계룡리슈빌2차</v>
      </c>
      <c r="AI282" s="87">
        <f t="shared" si="264"/>
        <v>56</v>
      </c>
      <c r="AJ282" s="79" t="str">
        <f>IF(AI282="","",$AJ$2)</f>
        <v>A-</v>
      </c>
      <c r="AK282" s="79" t="s">
        <v>13</v>
      </c>
      <c r="AL282" s="79" t="s">
        <v>60</v>
      </c>
      <c r="AM282" s="79" t="s">
        <v>61</v>
      </c>
      <c r="AN282" s="79" t="str">
        <f>IF(AI282="","",$AN$2)</f>
        <v>C</v>
      </c>
      <c r="AO282" s="79" t="str">
        <f>IF(N282="","",IF(N282&gt;=$AO$1/100,"O","X"))</f>
        <v>X</v>
      </c>
      <c r="AP282" s="79" t="str">
        <f>IF(I282="","",IF(I282&lt;=$AP$1,"O","X"))</f>
        <v>X</v>
      </c>
      <c r="AQ282" s="79" t="str">
        <f>IF(O282="","",IF(O282&lt;=$AQ$1,"O","X"))</f>
        <v>O</v>
      </c>
      <c r="AR282" s="79" t="str">
        <f>IF(M282="","",IF(M282&lt;=$AR$1,"O","X"))</f>
        <v>X</v>
      </c>
      <c r="AS282" s="79" t="s">
        <v>2</v>
      </c>
      <c r="AT282" s="79" t="str">
        <f>IF(OR(F282="",AI282=""),"",IF(AND((F282&lt;=85),(AI282&gt;=15)),"O","X"))</f>
        <v>X</v>
      </c>
      <c r="AU282" s="79" t="str">
        <f>IF(C282="","",IF(C282&gt;=$AU$1,"O","X"))</f>
        <v>O</v>
      </c>
      <c r="AV282" s="79" t="str">
        <f>IF(AO282="","",IF(AND(AO282="O",AP282="O",AR282="O",AT282="O",AU282="O"),"후보","X"))</f>
        <v>X</v>
      </c>
    </row>
    <row r="283" spans="1:48" s="37" customFormat="1" ht="12" x14ac:dyDescent="0.3">
      <c r="A283" s="74" t="s">
        <v>1608</v>
      </c>
      <c r="B283" s="75" t="s">
        <v>1609</v>
      </c>
      <c r="C283" s="85">
        <v>418</v>
      </c>
      <c r="D283" s="86">
        <v>112.7</v>
      </c>
      <c r="E283" s="87">
        <v>34</v>
      </c>
      <c r="F283" s="86">
        <v>85</v>
      </c>
      <c r="G283" s="17">
        <v>26</v>
      </c>
      <c r="H283" s="88">
        <v>289</v>
      </c>
      <c r="I283" s="89">
        <v>42000</v>
      </c>
      <c r="J283" s="89" t="s">
        <v>89</v>
      </c>
      <c r="K283" s="89">
        <v>34000</v>
      </c>
      <c r="L283" s="89" t="s">
        <v>89</v>
      </c>
      <c r="M283" s="90">
        <f>I283-K283</f>
        <v>8000</v>
      </c>
      <c r="N283" s="4">
        <f>IF(ISERROR(K283/I283),"",K283/I283)</f>
        <v>0.80952380952380953</v>
      </c>
      <c r="O283" s="91">
        <f>I283/E283</f>
        <v>1235.2941176470588</v>
      </c>
      <c r="P283" s="91">
        <f>K283/E283</f>
        <v>1000</v>
      </c>
      <c r="Q283" s="79">
        <v>4</v>
      </c>
      <c r="R283" s="79">
        <v>2</v>
      </c>
      <c r="S283" s="79" t="s">
        <v>62</v>
      </c>
      <c r="T283" s="5" t="s">
        <v>106</v>
      </c>
      <c r="U283" s="9"/>
      <c r="W283" s="86">
        <f>D283</f>
        <v>112.7</v>
      </c>
      <c r="X283" s="87">
        <f>E283</f>
        <v>34</v>
      </c>
      <c r="Y283" s="92">
        <f>H283</f>
        <v>289</v>
      </c>
      <c r="Z283" s="90">
        <f>I283</f>
        <v>42000</v>
      </c>
      <c r="AA283" s="90">
        <f>K283</f>
        <v>34000</v>
      </c>
      <c r="AB283" s="90">
        <f t="shared" si="286"/>
        <v>8000</v>
      </c>
      <c r="AC283" s="4">
        <f t="shared" si="286"/>
        <v>0.80952380952380953</v>
      </c>
      <c r="AD283" s="91">
        <f t="shared" si="286"/>
        <v>1235.2941176470588</v>
      </c>
      <c r="AE283" s="79" t="str">
        <f>S283</f>
        <v>계</v>
      </c>
      <c r="AF283" s="79" t="str">
        <f>Q283&amp;"/"&amp;R283</f>
        <v>4/2</v>
      </c>
      <c r="AH283" s="20" t="str">
        <f t="shared" si="263"/>
        <v>비하동 청주비하대광로제비앙1차</v>
      </c>
      <c r="AI283" s="87">
        <f t="shared" si="264"/>
        <v>34</v>
      </c>
      <c r="AJ283" s="79" t="str">
        <f>IF(AI283="","",$AJ$2)</f>
        <v>A-</v>
      </c>
      <c r="AK283" s="79" t="s">
        <v>13</v>
      </c>
      <c r="AL283" s="79" t="s">
        <v>60</v>
      </c>
      <c r="AM283" s="79" t="s">
        <v>61</v>
      </c>
      <c r="AN283" s="79" t="str">
        <f>IF(AI283="","",$AN$2)</f>
        <v>C</v>
      </c>
      <c r="AO283" s="79" t="str">
        <f>IF(N283="","",IF(N283&gt;=$AO$1/100,"O","X"))</f>
        <v>O</v>
      </c>
      <c r="AP283" s="79" t="str">
        <f>IF(I283="","",IF(I283&lt;=$AP$1,"O","X"))</f>
        <v>O</v>
      </c>
      <c r="AQ283" s="79" t="str">
        <f>IF(O283="","",IF(O283&lt;=$AQ$1,"O","X"))</f>
        <v>O</v>
      </c>
      <c r="AR283" s="79" t="str">
        <f>IF(M283="","",IF(M283&lt;=$AR$1,"O","X"))</f>
        <v>X</v>
      </c>
      <c r="AS283" s="79" t="s">
        <v>2</v>
      </c>
      <c r="AT283" s="79" t="str">
        <f>IF(OR(F283="",AI283=""),"",IF(AND((F283&lt;=85),(AI283&gt;=15)),"O","X"))</f>
        <v>O</v>
      </c>
      <c r="AU283" s="79" t="str">
        <f>IF(C283="","",IF(C283&gt;=$AU$1,"O","X"))</f>
        <v>O</v>
      </c>
      <c r="AV283" s="79" t="str">
        <f>IF(AO283="","",IF(AND(AO283="O",AP283="O",AR283="O",AT283="O",AU283="O"),"후보","X"))</f>
        <v>X</v>
      </c>
    </row>
    <row r="284" spans="1:48" s="37" customFormat="1" ht="12" x14ac:dyDescent="0.3">
      <c r="A284" s="74" t="s">
        <v>1608</v>
      </c>
      <c r="B284" s="75" t="s">
        <v>1609</v>
      </c>
      <c r="C284" s="85">
        <v>418</v>
      </c>
      <c r="D284" s="86">
        <v>113</v>
      </c>
      <c r="E284" s="87">
        <v>34</v>
      </c>
      <c r="F284" s="86">
        <v>84.9</v>
      </c>
      <c r="G284" s="17">
        <v>26</v>
      </c>
      <c r="H284" s="88">
        <v>129</v>
      </c>
      <c r="I284" s="89">
        <v>39000</v>
      </c>
      <c r="J284" s="89" t="s">
        <v>83</v>
      </c>
      <c r="K284" s="89">
        <v>35000</v>
      </c>
      <c r="L284" s="89" t="s">
        <v>69</v>
      </c>
      <c r="M284" s="90">
        <f>I284-K284</f>
        <v>4000</v>
      </c>
      <c r="N284" s="4">
        <f>IF(ISERROR(K284/I284),"",K284/I284)</f>
        <v>0.89743589743589747</v>
      </c>
      <c r="O284" s="91">
        <f>I284/E284</f>
        <v>1147.0588235294117</v>
      </c>
      <c r="P284" s="91">
        <f>K284/E284</f>
        <v>1029.4117647058824</v>
      </c>
      <c r="Q284" s="79">
        <v>4</v>
      </c>
      <c r="R284" s="79">
        <v>2</v>
      </c>
      <c r="S284" s="79" t="s">
        <v>62</v>
      </c>
      <c r="T284" s="5" t="s">
        <v>107</v>
      </c>
      <c r="U284" s="9"/>
      <c r="W284" s="86">
        <f>D284</f>
        <v>113</v>
      </c>
      <c r="X284" s="87">
        <f>E284</f>
        <v>34</v>
      </c>
      <c r="Y284" s="92">
        <f>H284</f>
        <v>129</v>
      </c>
      <c r="Z284" s="90">
        <f>I284</f>
        <v>39000</v>
      </c>
      <c r="AA284" s="90">
        <f>K284</f>
        <v>35000</v>
      </c>
      <c r="AB284" s="90">
        <f t="shared" si="286"/>
        <v>4000</v>
      </c>
      <c r="AC284" s="4">
        <f t="shared" si="286"/>
        <v>0.89743589743589747</v>
      </c>
      <c r="AD284" s="91">
        <f t="shared" si="286"/>
        <v>1147.0588235294117</v>
      </c>
      <c r="AE284" s="79" t="str">
        <f>S284</f>
        <v>계</v>
      </c>
      <c r="AF284" s="79" t="str">
        <f>Q284&amp;"/"&amp;R284</f>
        <v>4/2</v>
      </c>
      <c r="AH284" s="20" t="str">
        <f t="shared" si="263"/>
        <v>비하동 청주비하대광로제비앙1차</v>
      </c>
      <c r="AI284" s="87">
        <f t="shared" si="264"/>
        <v>34</v>
      </c>
      <c r="AJ284" s="79" t="str">
        <f>IF(AI284="","",$AJ$2)</f>
        <v>A-</v>
      </c>
      <c r="AK284" s="79" t="s">
        <v>13</v>
      </c>
      <c r="AL284" s="79" t="s">
        <v>60</v>
      </c>
      <c r="AM284" s="79" t="s">
        <v>61</v>
      </c>
      <c r="AN284" s="79" t="str">
        <f>IF(AI284="","",$AN$2)</f>
        <v>C</v>
      </c>
      <c r="AO284" s="79" t="str">
        <f>IF(N284="","",IF(N284&gt;=$AO$1/100,"O","X"))</f>
        <v>O</v>
      </c>
      <c r="AP284" s="79" t="str">
        <f>IF(I284="","",IF(I284&lt;=$AP$1,"O","X"))</f>
        <v>O</v>
      </c>
      <c r="AQ284" s="79" t="str">
        <f>IF(O284="","",IF(O284&lt;=$AQ$1,"O","X"))</f>
        <v>O</v>
      </c>
      <c r="AR284" s="79" t="str">
        <f>IF(M284="","",IF(M284&lt;=$AR$1,"O","X"))</f>
        <v>O</v>
      </c>
      <c r="AS284" s="79" t="s">
        <v>2</v>
      </c>
      <c r="AT284" s="79" t="str">
        <f>IF(OR(F284="",AI284=""),"",IF(AND((F284&lt;=85),(AI284&gt;=15)),"O","X"))</f>
        <v>O</v>
      </c>
      <c r="AU284" s="79" t="str">
        <f>IF(C284="","",IF(C284&gt;=$AU$1,"O","X"))</f>
        <v>O</v>
      </c>
      <c r="AV284" s="79" t="str">
        <f>IF(AO284="","",IF(AND(AO284="O",AP284="O",AR284="O",AT284="O",AU284="O"),"후보","X"))</f>
        <v>후보</v>
      </c>
    </row>
    <row r="285" spans="1:48" s="37" customFormat="1" ht="12" x14ac:dyDescent="0.3">
      <c r="A285" s="74" t="s">
        <v>1610</v>
      </c>
      <c r="B285" s="75" t="s">
        <v>1522</v>
      </c>
      <c r="C285" s="85">
        <v>1495</v>
      </c>
      <c r="D285" s="86">
        <v>82.2</v>
      </c>
      <c r="E285" s="87">
        <v>25</v>
      </c>
      <c r="F285" s="86">
        <v>59.9</v>
      </c>
      <c r="G285" s="17">
        <v>18</v>
      </c>
      <c r="H285" s="88">
        <v>159</v>
      </c>
      <c r="I285" s="89">
        <v>40500</v>
      </c>
      <c r="J285" s="89" t="s">
        <v>83</v>
      </c>
      <c r="K285" s="89">
        <v>34000</v>
      </c>
      <c r="L285" s="89" t="s">
        <v>102</v>
      </c>
      <c r="M285" s="90">
        <f>I285-K285</f>
        <v>6500</v>
      </c>
      <c r="N285" s="4">
        <f>IF(ISERROR(K285/I285),"",K285/I285)</f>
        <v>0.83950617283950613</v>
      </c>
      <c r="O285" s="91">
        <f>I285/E285</f>
        <v>1620</v>
      </c>
      <c r="P285" s="91">
        <f>K285/E285</f>
        <v>1360</v>
      </c>
      <c r="Q285" s="79">
        <v>3</v>
      </c>
      <c r="R285" s="79">
        <v>2</v>
      </c>
      <c r="S285" s="79" t="s">
        <v>62</v>
      </c>
      <c r="T285" s="5">
        <v>82</v>
      </c>
      <c r="U285" s="9"/>
      <c r="W285" s="86">
        <f t="shared" ref="W285:X293" si="287">D285</f>
        <v>82.2</v>
      </c>
      <c r="X285" s="87">
        <f t="shared" si="287"/>
        <v>25</v>
      </c>
      <c r="Y285" s="92">
        <f t="shared" ref="Y285:Z293" si="288">H285</f>
        <v>159</v>
      </c>
      <c r="Z285" s="90">
        <f t="shared" si="288"/>
        <v>40500</v>
      </c>
      <c r="AA285" s="90">
        <f>K285</f>
        <v>34000</v>
      </c>
      <c r="AB285" s="90">
        <f t="shared" si="286"/>
        <v>6500</v>
      </c>
      <c r="AC285" s="4">
        <f t="shared" si="286"/>
        <v>0.83950617283950613</v>
      </c>
      <c r="AD285" s="91">
        <f t="shared" si="286"/>
        <v>1620</v>
      </c>
      <c r="AE285" s="79" t="str">
        <f>S285</f>
        <v>계</v>
      </c>
      <c r="AF285" s="79" t="str">
        <f>Q285&amp;"/"&amp;R285</f>
        <v>3/2</v>
      </c>
      <c r="AH285" s="20" t="str">
        <f t="shared" si="263"/>
        <v>비하동 서청주파크자이</v>
      </c>
      <c r="AI285" s="87">
        <f t="shared" si="264"/>
        <v>25</v>
      </c>
      <c r="AJ285" s="79" t="str">
        <f>IF(AI285="","",$AJ$2)</f>
        <v>A-</v>
      </c>
      <c r="AK285" s="79" t="s">
        <v>13</v>
      </c>
      <c r="AL285" s="79" t="s">
        <v>60</v>
      </c>
      <c r="AM285" s="79" t="s">
        <v>61</v>
      </c>
      <c r="AN285" s="79" t="str">
        <f>IF(AI285="","",$AN$2)</f>
        <v>C</v>
      </c>
      <c r="AO285" s="79" t="str">
        <f>IF(N285="","",IF(N285&gt;=$AO$1/100,"O","X"))</f>
        <v>O</v>
      </c>
      <c r="AP285" s="79" t="str">
        <f>IF(I285="","",IF(I285&lt;=$AP$1,"O","X"))</f>
        <v>O</v>
      </c>
      <c r="AQ285" s="79" t="str">
        <f>IF(O285="","",IF(O285&lt;=$AQ$1,"O","X"))</f>
        <v>X</v>
      </c>
      <c r="AR285" s="79" t="str">
        <f>IF(M285="","",IF(M285&lt;=$AR$1,"O","X"))</f>
        <v>X</v>
      </c>
      <c r="AS285" s="79" t="s">
        <v>2</v>
      </c>
      <c r="AT285" s="79" t="str">
        <f>IF(OR(F285="",AI285=""),"",IF(AND((F285&lt;=85),(AI285&gt;=15)),"O","X"))</f>
        <v>O</v>
      </c>
      <c r="AU285" s="79" t="str">
        <f>IF(C285="","",IF(C285&gt;=$AU$1,"O","X"))</f>
        <v>O</v>
      </c>
      <c r="AV285" s="79" t="str">
        <f>IF(AO285="","",IF(AND(AO285="O",AP285="O",AR285="O",AT285="O",AU285="O"),"후보","X"))</f>
        <v>X</v>
      </c>
    </row>
    <row r="286" spans="1:48" s="37" customFormat="1" ht="12" x14ac:dyDescent="0.3">
      <c r="A286" s="74" t="s">
        <v>1610</v>
      </c>
      <c r="B286" s="75" t="s">
        <v>1522</v>
      </c>
      <c r="C286" s="85">
        <v>1495</v>
      </c>
      <c r="D286" s="86">
        <v>98.7</v>
      </c>
      <c r="E286" s="87">
        <v>30</v>
      </c>
      <c r="F286" s="86">
        <v>74.400000000000006</v>
      </c>
      <c r="G286" s="17">
        <v>22</v>
      </c>
      <c r="H286" s="88">
        <v>334</v>
      </c>
      <c r="I286" s="89">
        <v>49000</v>
      </c>
      <c r="J286" s="89" t="s">
        <v>97</v>
      </c>
      <c r="K286" s="89">
        <v>39000</v>
      </c>
      <c r="L286" s="89" t="s">
        <v>79</v>
      </c>
      <c r="M286" s="90">
        <f>I286-K286</f>
        <v>10000</v>
      </c>
      <c r="N286" s="4">
        <f>IF(ISERROR(K286/I286),"",K286/I286)</f>
        <v>0.79591836734693877</v>
      </c>
      <c r="O286" s="91">
        <f>I286/E286</f>
        <v>1633.3333333333333</v>
      </c>
      <c r="P286" s="91">
        <f>K286/E286</f>
        <v>1300</v>
      </c>
      <c r="Q286" s="79">
        <v>3</v>
      </c>
      <c r="R286" s="79">
        <v>2</v>
      </c>
      <c r="S286" s="79" t="s">
        <v>62</v>
      </c>
      <c r="T286" s="5">
        <v>98</v>
      </c>
      <c r="U286" s="9"/>
      <c r="W286" s="86">
        <f t="shared" si="287"/>
        <v>98.7</v>
      </c>
      <c r="X286" s="87">
        <f t="shared" si="287"/>
        <v>30</v>
      </c>
      <c r="Y286" s="92">
        <f t="shared" si="288"/>
        <v>334</v>
      </c>
      <c r="Z286" s="90">
        <f t="shared" si="288"/>
        <v>49000</v>
      </c>
      <c r="AA286" s="90">
        <f>K286</f>
        <v>39000</v>
      </c>
      <c r="AB286" s="90">
        <f t="shared" si="286"/>
        <v>10000</v>
      </c>
      <c r="AC286" s="4">
        <f t="shared" si="286"/>
        <v>0.79591836734693877</v>
      </c>
      <c r="AD286" s="91">
        <f t="shared" si="286"/>
        <v>1633.3333333333333</v>
      </c>
      <c r="AE286" s="79" t="str">
        <f>S286</f>
        <v>계</v>
      </c>
      <c r="AF286" s="79" t="str">
        <f>Q286&amp;"/"&amp;R286</f>
        <v>3/2</v>
      </c>
      <c r="AH286" s="20" t="str">
        <f t="shared" si="263"/>
        <v>비하동 서청주파크자이</v>
      </c>
      <c r="AI286" s="87">
        <f t="shared" si="264"/>
        <v>30</v>
      </c>
      <c r="AJ286" s="79" t="str">
        <f>IF(AI286="","",$AJ$2)</f>
        <v>A-</v>
      </c>
      <c r="AK286" s="79" t="s">
        <v>13</v>
      </c>
      <c r="AL286" s="79" t="s">
        <v>60</v>
      </c>
      <c r="AM286" s="79" t="s">
        <v>61</v>
      </c>
      <c r="AN286" s="79" t="str">
        <f>IF(AI286="","",$AN$2)</f>
        <v>C</v>
      </c>
      <c r="AO286" s="79" t="str">
        <f>IF(N286="","",IF(N286&gt;=$AO$1/100,"O","X"))</f>
        <v>X</v>
      </c>
      <c r="AP286" s="79" t="str">
        <f>IF(I286="","",IF(I286&lt;=$AP$1,"O","X"))</f>
        <v>X</v>
      </c>
      <c r="AQ286" s="79" t="str">
        <f>IF(O286="","",IF(O286&lt;=$AQ$1,"O","X"))</f>
        <v>X</v>
      </c>
      <c r="AR286" s="79" t="str">
        <f>IF(M286="","",IF(M286&lt;=$AR$1,"O","X"))</f>
        <v>X</v>
      </c>
      <c r="AS286" s="79" t="s">
        <v>2</v>
      </c>
      <c r="AT286" s="79" t="str">
        <f>IF(OR(F286="",AI286=""),"",IF(AND((F286&lt;=85),(AI286&gt;=15)),"O","X"))</f>
        <v>O</v>
      </c>
      <c r="AU286" s="79" t="str">
        <f>IF(C286="","",IF(C286&gt;=$AU$1,"O","X"))</f>
        <v>O</v>
      </c>
      <c r="AV286" s="79" t="str">
        <f>IF(AO286="","",IF(AND(AO286="O",AP286="O",AR286="O",AT286="O",AU286="O"),"후보","X"))</f>
        <v>X</v>
      </c>
    </row>
    <row r="287" spans="1:48" s="37" customFormat="1" ht="12" x14ac:dyDescent="0.3">
      <c r="A287" s="74" t="s">
        <v>1610</v>
      </c>
      <c r="B287" s="75" t="s">
        <v>1522</v>
      </c>
      <c r="C287" s="85">
        <v>1495</v>
      </c>
      <c r="D287" s="86">
        <v>112.2</v>
      </c>
      <c r="E287" s="87">
        <v>34</v>
      </c>
      <c r="F287" s="86">
        <v>85</v>
      </c>
      <c r="G287" s="17">
        <v>26</v>
      </c>
      <c r="H287" s="88">
        <v>636</v>
      </c>
      <c r="I287" s="89">
        <v>58000</v>
      </c>
      <c r="J287" s="89" t="s">
        <v>70</v>
      </c>
      <c r="K287" s="89">
        <v>43000</v>
      </c>
      <c r="L287" s="89" t="s">
        <v>102</v>
      </c>
      <c r="M287" s="90">
        <f>I287-K287</f>
        <v>15000</v>
      </c>
      <c r="N287" s="4">
        <f>IF(ISERROR(K287/I287),"",K287/I287)</f>
        <v>0.74137931034482762</v>
      </c>
      <c r="O287" s="91">
        <f>I287/E287</f>
        <v>1705.8823529411766</v>
      </c>
      <c r="P287" s="91">
        <f>K287/E287</f>
        <v>1264.7058823529412</v>
      </c>
      <c r="Q287" s="79">
        <v>3</v>
      </c>
      <c r="R287" s="79">
        <v>2</v>
      </c>
      <c r="S287" s="79" t="s">
        <v>62</v>
      </c>
      <c r="T287" s="5" t="s">
        <v>106</v>
      </c>
      <c r="U287" s="9"/>
      <c r="W287" s="86">
        <f t="shared" si="287"/>
        <v>112.2</v>
      </c>
      <c r="X287" s="87">
        <f t="shared" si="287"/>
        <v>34</v>
      </c>
      <c r="Y287" s="92">
        <f t="shared" si="288"/>
        <v>636</v>
      </c>
      <c r="Z287" s="90">
        <f t="shared" si="288"/>
        <v>58000</v>
      </c>
      <c r="AA287" s="90">
        <f>K287</f>
        <v>43000</v>
      </c>
      <c r="AB287" s="90">
        <f t="shared" si="286"/>
        <v>15000</v>
      </c>
      <c r="AC287" s="4">
        <f t="shared" si="286"/>
        <v>0.74137931034482762</v>
      </c>
      <c r="AD287" s="91">
        <f t="shared" si="286"/>
        <v>1705.8823529411766</v>
      </c>
      <c r="AE287" s="79" t="str">
        <f>S287</f>
        <v>계</v>
      </c>
      <c r="AF287" s="79" t="str">
        <f>Q287&amp;"/"&amp;R287</f>
        <v>3/2</v>
      </c>
      <c r="AH287" s="20" t="str">
        <f t="shared" si="263"/>
        <v>비하동 서청주파크자이</v>
      </c>
      <c r="AI287" s="87">
        <f t="shared" si="264"/>
        <v>34</v>
      </c>
      <c r="AJ287" s="79" t="str">
        <f>IF(AI287="","",$AJ$2)</f>
        <v>A-</v>
      </c>
      <c r="AK287" s="79" t="s">
        <v>13</v>
      </c>
      <c r="AL287" s="79" t="s">
        <v>60</v>
      </c>
      <c r="AM287" s="79" t="s">
        <v>61</v>
      </c>
      <c r="AN287" s="79" t="str">
        <f>IF(AI287="","",$AN$2)</f>
        <v>C</v>
      </c>
      <c r="AO287" s="79" t="str">
        <f>IF(N287="","",IF(N287&gt;=$AO$1/100,"O","X"))</f>
        <v>X</v>
      </c>
      <c r="AP287" s="79" t="str">
        <f>IF(I287="","",IF(I287&lt;=$AP$1,"O","X"))</f>
        <v>X</v>
      </c>
      <c r="AQ287" s="79" t="str">
        <f>IF(O287="","",IF(O287&lt;=$AQ$1,"O","X"))</f>
        <v>X</v>
      </c>
      <c r="AR287" s="79" t="str">
        <f>IF(M287="","",IF(M287&lt;=$AR$1,"O","X"))</f>
        <v>X</v>
      </c>
      <c r="AS287" s="79" t="s">
        <v>2</v>
      </c>
      <c r="AT287" s="79" t="str">
        <f>IF(OR(F287="",AI287=""),"",IF(AND((F287&lt;=85),(AI287&gt;=15)),"O","X"))</f>
        <v>O</v>
      </c>
      <c r="AU287" s="79" t="str">
        <f>IF(C287="","",IF(C287&gt;=$AU$1,"O","X"))</f>
        <v>O</v>
      </c>
      <c r="AV287" s="79" t="str">
        <f>IF(AO287="","",IF(AND(AO287="O",AP287="O",AR287="O",AT287="O",AU287="O"),"후보","X"))</f>
        <v>X</v>
      </c>
    </row>
    <row r="288" spans="1:48" s="37" customFormat="1" ht="12" x14ac:dyDescent="0.3">
      <c r="A288" s="74" t="s">
        <v>1610</v>
      </c>
      <c r="B288" s="75" t="s">
        <v>1522</v>
      </c>
      <c r="C288" s="85">
        <v>1495</v>
      </c>
      <c r="D288" s="86">
        <v>112.4</v>
      </c>
      <c r="E288" s="87">
        <v>34</v>
      </c>
      <c r="F288" s="86">
        <v>85</v>
      </c>
      <c r="G288" s="17">
        <v>26</v>
      </c>
      <c r="H288" s="88">
        <v>219</v>
      </c>
      <c r="I288" s="89">
        <v>57000</v>
      </c>
      <c r="J288" s="89" t="s">
        <v>75</v>
      </c>
      <c r="K288" s="89">
        <v>45000</v>
      </c>
      <c r="L288" s="89" t="s">
        <v>64</v>
      </c>
      <c r="M288" s="90">
        <f>I288-K288</f>
        <v>12000</v>
      </c>
      <c r="N288" s="4">
        <f>IF(ISERROR(K288/I288),"",K288/I288)</f>
        <v>0.78947368421052633</v>
      </c>
      <c r="O288" s="91">
        <f>I288/E288</f>
        <v>1676.4705882352941</v>
      </c>
      <c r="P288" s="91">
        <f>K288/E288</f>
        <v>1323.5294117647059</v>
      </c>
      <c r="Q288" s="79">
        <v>3</v>
      </c>
      <c r="R288" s="79">
        <v>2</v>
      </c>
      <c r="S288" s="79" t="s">
        <v>62</v>
      </c>
      <c r="T288" s="5" t="s">
        <v>107</v>
      </c>
      <c r="U288" s="9"/>
      <c r="W288" s="86">
        <f t="shared" si="287"/>
        <v>112.4</v>
      </c>
      <c r="X288" s="87">
        <f t="shared" si="287"/>
        <v>34</v>
      </c>
      <c r="Y288" s="92">
        <f t="shared" si="288"/>
        <v>219</v>
      </c>
      <c r="Z288" s="90">
        <f t="shared" si="288"/>
        <v>57000</v>
      </c>
      <c r="AA288" s="90">
        <f>K288</f>
        <v>45000</v>
      </c>
      <c r="AB288" s="90">
        <f t="shared" si="286"/>
        <v>12000</v>
      </c>
      <c r="AC288" s="4">
        <f t="shared" si="286"/>
        <v>0.78947368421052633</v>
      </c>
      <c r="AD288" s="91">
        <f t="shared" si="286"/>
        <v>1676.4705882352941</v>
      </c>
      <c r="AE288" s="79" t="str">
        <f>S288</f>
        <v>계</v>
      </c>
      <c r="AF288" s="79" t="str">
        <f>Q288&amp;"/"&amp;R288</f>
        <v>3/2</v>
      </c>
      <c r="AH288" s="20" t="str">
        <f t="shared" si="263"/>
        <v>비하동 서청주파크자이</v>
      </c>
      <c r="AI288" s="87">
        <f t="shared" si="264"/>
        <v>34</v>
      </c>
      <c r="AJ288" s="79" t="str">
        <f>IF(AI288="","",$AJ$2)</f>
        <v>A-</v>
      </c>
      <c r="AK288" s="79" t="s">
        <v>13</v>
      </c>
      <c r="AL288" s="79" t="s">
        <v>60</v>
      </c>
      <c r="AM288" s="79" t="s">
        <v>61</v>
      </c>
      <c r="AN288" s="79" t="str">
        <f>IF(AI288="","",$AN$2)</f>
        <v>C</v>
      </c>
      <c r="AO288" s="79" t="str">
        <f>IF(N288="","",IF(N288&gt;=$AO$1/100,"O","X"))</f>
        <v>X</v>
      </c>
      <c r="AP288" s="79" t="str">
        <f>IF(I288="","",IF(I288&lt;=$AP$1,"O","X"))</f>
        <v>X</v>
      </c>
      <c r="AQ288" s="79" t="str">
        <f>IF(O288="","",IF(O288&lt;=$AQ$1,"O","X"))</f>
        <v>X</v>
      </c>
      <c r="AR288" s="79" t="str">
        <f>IF(M288="","",IF(M288&lt;=$AR$1,"O","X"))</f>
        <v>X</v>
      </c>
      <c r="AS288" s="79" t="s">
        <v>2</v>
      </c>
      <c r="AT288" s="79" t="str">
        <f>IF(OR(F288="",AI288=""),"",IF(AND((F288&lt;=85),(AI288&gt;=15)),"O","X"))</f>
        <v>O</v>
      </c>
      <c r="AU288" s="79" t="str">
        <f>IF(C288="","",IF(C288&gt;=$AU$1,"O","X"))</f>
        <v>O</v>
      </c>
      <c r="AV288" s="79" t="str">
        <f>IF(AO288="","",IF(AND(AO288="O",AP288="O",AR288="O",AT288="O",AU288="O"),"후보","X"))</f>
        <v>X</v>
      </c>
    </row>
    <row r="289" spans="1:48" s="37" customFormat="1" ht="12" x14ac:dyDescent="0.3">
      <c r="A289" s="74" t="s">
        <v>1610</v>
      </c>
      <c r="B289" s="75" t="s">
        <v>1522</v>
      </c>
      <c r="C289" s="85">
        <v>1495</v>
      </c>
      <c r="D289" s="86">
        <v>138.19999999999999</v>
      </c>
      <c r="E289" s="87">
        <v>42</v>
      </c>
      <c r="F289" s="86">
        <v>111</v>
      </c>
      <c r="G289" s="17">
        <v>34</v>
      </c>
      <c r="H289" s="88">
        <v>147</v>
      </c>
      <c r="I289" s="89">
        <v>75000</v>
      </c>
      <c r="J289" s="89" t="s">
        <v>68</v>
      </c>
      <c r="K289" s="89"/>
      <c r="L289" s="89"/>
      <c r="M289" s="90">
        <f>I289-K289</f>
        <v>75000</v>
      </c>
      <c r="N289" s="4">
        <f>IF(ISERROR(K289/I289),"",K289/I289)</f>
        <v>0</v>
      </c>
      <c r="O289" s="91">
        <f>I289/E289</f>
        <v>1785.7142857142858</v>
      </c>
      <c r="P289" s="91">
        <f>K289/E289</f>
        <v>0</v>
      </c>
      <c r="Q289" s="79">
        <v>4</v>
      </c>
      <c r="R289" s="79">
        <v>2</v>
      </c>
      <c r="S289" s="79" t="s">
        <v>62</v>
      </c>
      <c r="T289" s="5">
        <v>138</v>
      </c>
      <c r="U289" s="9"/>
      <c r="W289" s="86">
        <f t="shared" si="287"/>
        <v>138.19999999999999</v>
      </c>
      <c r="X289" s="87">
        <f t="shared" si="287"/>
        <v>42</v>
      </c>
      <c r="Y289" s="92">
        <f t="shared" si="288"/>
        <v>147</v>
      </c>
      <c r="Z289" s="90">
        <f t="shared" si="288"/>
        <v>75000</v>
      </c>
      <c r="AA289" s="90">
        <f>K289</f>
        <v>0</v>
      </c>
      <c r="AB289" s="90">
        <f t="shared" si="286"/>
        <v>75000</v>
      </c>
      <c r="AC289" s="4">
        <f t="shared" si="286"/>
        <v>0</v>
      </c>
      <c r="AD289" s="91">
        <f t="shared" si="286"/>
        <v>1785.7142857142858</v>
      </c>
      <c r="AE289" s="79" t="str">
        <f>S289</f>
        <v>계</v>
      </c>
      <c r="AF289" s="79" t="str">
        <f>Q289&amp;"/"&amp;R289</f>
        <v>4/2</v>
      </c>
      <c r="AH289" s="20" t="str">
        <f t="shared" si="263"/>
        <v>비하동 서청주파크자이</v>
      </c>
      <c r="AI289" s="87">
        <f t="shared" si="264"/>
        <v>42</v>
      </c>
      <c r="AJ289" s="79" t="str">
        <f>IF(AI289="","",$AJ$2)</f>
        <v>A-</v>
      </c>
      <c r="AK289" s="79" t="s">
        <v>13</v>
      </c>
      <c r="AL289" s="79" t="s">
        <v>60</v>
      </c>
      <c r="AM289" s="79" t="s">
        <v>61</v>
      </c>
      <c r="AN289" s="79" t="str">
        <f>IF(AI289="","",$AN$2)</f>
        <v>C</v>
      </c>
      <c r="AO289" s="79" t="str">
        <f>IF(N289="","",IF(N289&gt;=$AO$1/100,"O","X"))</f>
        <v>X</v>
      </c>
      <c r="AP289" s="79" t="str">
        <f>IF(I289="","",IF(I289&lt;=$AP$1,"O","X"))</f>
        <v>X</v>
      </c>
      <c r="AQ289" s="79" t="str">
        <f>IF(O289="","",IF(O289&lt;=$AQ$1,"O","X"))</f>
        <v>X</v>
      </c>
      <c r="AR289" s="79" t="str">
        <f>IF(M289="","",IF(M289&lt;=$AR$1,"O","X"))</f>
        <v>X</v>
      </c>
      <c r="AS289" s="79" t="s">
        <v>2</v>
      </c>
      <c r="AT289" s="79" t="str">
        <f>IF(OR(F289="",AI289=""),"",IF(AND((F289&lt;=85),(AI289&gt;=15)),"O","X"))</f>
        <v>X</v>
      </c>
      <c r="AU289" s="79" t="str">
        <f>IF(C289="","",IF(C289&gt;=$AU$1,"O","X"))</f>
        <v>O</v>
      </c>
      <c r="AV289" s="79" t="str">
        <f>IF(AO289="","",IF(AND(AO289="O",AP289="O",AR289="O",AT289="O",AU289="O"),"후보","X"))</f>
        <v>X</v>
      </c>
    </row>
    <row r="290" spans="1:48" s="37" customFormat="1" ht="12" x14ac:dyDescent="0.3">
      <c r="A290" s="74" t="s">
        <v>1611</v>
      </c>
      <c r="B290" s="75" t="s">
        <v>1612</v>
      </c>
      <c r="C290" s="85">
        <v>365</v>
      </c>
      <c r="D290" s="86">
        <v>82.5</v>
      </c>
      <c r="E290" s="87">
        <v>25</v>
      </c>
      <c r="F290" s="86">
        <v>59.9</v>
      </c>
      <c r="G290" s="17">
        <v>18</v>
      </c>
      <c r="H290" s="88">
        <v>128</v>
      </c>
      <c r="I290" s="89">
        <v>12000</v>
      </c>
      <c r="J290" s="89" t="s">
        <v>88</v>
      </c>
      <c r="K290" s="89">
        <v>11000</v>
      </c>
      <c r="L290" s="89" t="s">
        <v>71</v>
      </c>
      <c r="M290" s="90">
        <f>I290-K290</f>
        <v>1000</v>
      </c>
      <c r="N290" s="4">
        <f>IF(ISERROR(K290/I290),"",K290/I290)</f>
        <v>0.91666666666666663</v>
      </c>
      <c r="O290" s="91">
        <f>I290/E290</f>
        <v>480</v>
      </c>
      <c r="P290" s="91">
        <f>K290/E290</f>
        <v>440</v>
      </c>
      <c r="Q290" s="79">
        <v>3</v>
      </c>
      <c r="R290" s="79">
        <v>1</v>
      </c>
      <c r="S290" s="79" t="s">
        <v>59</v>
      </c>
      <c r="T290" s="5">
        <v>82</v>
      </c>
      <c r="U290" s="9"/>
      <c r="W290" s="86">
        <f t="shared" si="287"/>
        <v>82.5</v>
      </c>
      <c r="X290" s="87">
        <f t="shared" si="287"/>
        <v>25</v>
      </c>
      <c r="Y290" s="92">
        <f t="shared" si="288"/>
        <v>128</v>
      </c>
      <c r="Z290" s="90">
        <f t="shared" si="288"/>
        <v>12000</v>
      </c>
      <c r="AA290" s="90">
        <f>K290</f>
        <v>11000</v>
      </c>
      <c r="AB290" s="90">
        <f t="shared" si="286"/>
        <v>1000</v>
      </c>
      <c r="AC290" s="4">
        <f t="shared" si="286"/>
        <v>0.91666666666666663</v>
      </c>
      <c r="AD290" s="91">
        <f t="shared" si="286"/>
        <v>480</v>
      </c>
      <c r="AE290" s="79" t="str">
        <f>S290</f>
        <v>복</v>
      </c>
      <c r="AF290" s="79" t="str">
        <f>Q290&amp;"/"&amp;R290</f>
        <v>3/1</v>
      </c>
      <c r="AH290" s="20" t="str">
        <f t="shared" si="263"/>
        <v>비하동 삼일</v>
      </c>
      <c r="AI290" s="87">
        <f t="shared" si="264"/>
        <v>25</v>
      </c>
      <c r="AJ290" s="79" t="str">
        <f>IF(AI290="","",$AJ$2)</f>
        <v>A-</v>
      </c>
      <c r="AK290" s="79" t="s">
        <v>13</v>
      </c>
      <c r="AL290" s="79" t="s">
        <v>60</v>
      </c>
      <c r="AM290" s="79" t="s">
        <v>61</v>
      </c>
      <c r="AN290" s="79" t="str">
        <f>IF(AI290="","",$AN$2)</f>
        <v>C</v>
      </c>
      <c r="AO290" s="79" t="str">
        <f>IF(N290="","",IF(N290&gt;=$AO$1/100,"O","X"))</f>
        <v>O</v>
      </c>
      <c r="AP290" s="79" t="str">
        <f>IF(I290="","",IF(I290&lt;=$AP$1,"O","X"))</f>
        <v>O</v>
      </c>
      <c r="AQ290" s="79" t="str">
        <f>IF(O290="","",IF(O290&lt;=$AQ$1,"O","X"))</f>
        <v>O</v>
      </c>
      <c r="AR290" s="79" t="str">
        <f>IF(M290="","",IF(M290&lt;=$AR$1,"O","X"))</f>
        <v>O</v>
      </c>
      <c r="AS290" s="79" t="s">
        <v>2</v>
      </c>
      <c r="AT290" s="79" t="str">
        <f>IF(OR(F290="",AI290=""),"",IF(AND((F290&lt;=85),(AI290&gt;=15)),"O","X"))</f>
        <v>O</v>
      </c>
      <c r="AU290" s="79" t="str">
        <f>IF(C290="","",IF(C290&gt;=$AU$1,"O","X"))</f>
        <v>O</v>
      </c>
      <c r="AV290" s="79" t="str">
        <f>IF(AO290="","",IF(AND(AO290="O",AP290="O",AR290="O",AT290="O",AU290="O"),"후보","X"))</f>
        <v>후보</v>
      </c>
    </row>
    <row r="291" spans="1:48" s="37" customFormat="1" ht="12" x14ac:dyDescent="0.3">
      <c r="A291" s="74" t="s">
        <v>1611</v>
      </c>
      <c r="B291" s="75" t="s">
        <v>1612</v>
      </c>
      <c r="C291" s="85">
        <v>365</v>
      </c>
      <c r="D291" s="86">
        <v>93.3</v>
      </c>
      <c r="E291" s="87">
        <v>28</v>
      </c>
      <c r="F291" s="86">
        <v>74.7</v>
      </c>
      <c r="G291" s="17">
        <v>23</v>
      </c>
      <c r="H291" s="88">
        <v>7</v>
      </c>
      <c r="I291" s="89"/>
      <c r="J291" s="89"/>
      <c r="K291" s="89"/>
      <c r="L291" s="89"/>
      <c r="M291" s="90">
        <f>I291-K291</f>
        <v>0</v>
      </c>
      <c r="N291" s="4" t="str">
        <f>IF(ISERROR(K291/I291),"",K291/I291)</f>
        <v/>
      </c>
      <c r="O291" s="91">
        <f>I291/E291</f>
        <v>0</v>
      </c>
      <c r="P291" s="91">
        <f>K291/E291</f>
        <v>0</v>
      </c>
      <c r="Q291" s="79">
        <v>3</v>
      </c>
      <c r="R291" s="79">
        <v>2</v>
      </c>
      <c r="S291" s="79" t="s">
        <v>62</v>
      </c>
      <c r="T291" s="5">
        <v>93</v>
      </c>
      <c r="U291" s="9"/>
      <c r="W291" s="86">
        <f t="shared" si="287"/>
        <v>93.3</v>
      </c>
      <c r="X291" s="87">
        <f t="shared" si="287"/>
        <v>28</v>
      </c>
      <c r="Y291" s="92">
        <f t="shared" si="288"/>
        <v>7</v>
      </c>
      <c r="Z291" s="90">
        <f t="shared" si="288"/>
        <v>0</v>
      </c>
      <c r="AA291" s="90">
        <f>K291</f>
        <v>0</v>
      </c>
      <c r="AB291" s="90">
        <f t="shared" si="286"/>
        <v>0</v>
      </c>
      <c r="AC291" s="4" t="str">
        <f t="shared" si="286"/>
        <v/>
      </c>
      <c r="AD291" s="91">
        <f t="shared" si="286"/>
        <v>0</v>
      </c>
      <c r="AE291" s="79" t="str">
        <f>S291</f>
        <v>계</v>
      </c>
      <c r="AF291" s="79" t="str">
        <f>Q291&amp;"/"&amp;R291</f>
        <v>3/2</v>
      </c>
      <c r="AH291" s="20" t="str">
        <f t="shared" si="263"/>
        <v>비하동 삼일</v>
      </c>
      <c r="AI291" s="87">
        <f t="shared" si="264"/>
        <v>28</v>
      </c>
      <c r="AJ291" s="79" t="str">
        <f>IF(AI291="","",$AJ$2)</f>
        <v>A-</v>
      </c>
      <c r="AK291" s="79" t="s">
        <v>13</v>
      </c>
      <c r="AL291" s="79" t="s">
        <v>60</v>
      </c>
      <c r="AM291" s="79" t="s">
        <v>61</v>
      </c>
      <c r="AN291" s="79" t="str">
        <f>IF(AI291="","",$AN$2)</f>
        <v>C</v>
      </c>
      <c r="AO291" s="79" t="str">
        <f>IF(N291="","",IF(N291&gt;=$AO$1/100,"O","X"))</f>
        <v/>
      </c>
      <c r="AP291" s="79" t="str">
        <f>IF(I291="","",IF(I291&lt;=$AP$1,"O","X"))</f>
        <v/>
      </c>
      <c r="AQ291" s="79" t="str">
        <f>IF(O291="","",IF(O291&lt;=$AQ$1,"O","X"))</f>
        <v>O</v>
      </c>
      <c r="AR291" s="79" t="str">
        <f>IF(M291="","",IF(M291&lt;=$AR$1,"O","X"))</f>
        <v>O</v>
      </c>
      <c r="AS291" s="79" t="s">
        <v>2</v>
      </c>
      <c r="AT291" s="79" t="str">
        <f>IF(OR(F291="",AI291=""),"",IF(AND((F291&lt;=85),(AI291&gt;=15)),"O","X"))</f>
        <v>O</v>
      </c>
      <c r="AU291" s="79" t="str">
        <f>IF(C291="","",IF(C291&gt;=$AU$1,"O","X"))</f>
        <v>O</v>
      </c>
      <c r="AV291" s="79" t="str">
        <f>IF(AO291="","",IF(AND(AO291="O",AP291="O",AR291="O",AT291="O",AU291="O"),"후보","X"))</f>
        <v/>
      </c>
    </row>
    <row r="292" spans="1:48" s="37" customFormat="1" ht="12" x14ac:dyDescent="0.3">
      <c r="A292" s="74" t="s">
        <v>1611</v>
      </c>
      <c r="B292" s="75" t="s">
        <v>1612</v>
      </c>
      <c r="C292" s="85">
        <v>365</v>
      </c>
      <c r="D292" s="86">
        <v>96</v>
      </c>
      <c r="E292" s="87">
        <v>29</v>
      </c>
      <c r="F292" s="86">
        <v>69.599999999999994</v>
      </c>
      <c r="G292" s="17">
        <v>21</v>
      </c>
      <c r="H292" s="88">
        <v>102</v>
      </c>
      <c r="I292" s="89">
        <v>14500</v>
      </c>
      <c r="J292" s="89" t="s">
        <v>71</v>
      </c>
      <c r="K292" s="89">
        <v>14000</v>
      </c>
      <c r="L292" s="89" t="s">
        <v>89</v>
      </c>
      <c r="M292" s="90">
        <f>I292-K292</f>
        <v>500</v>
      </c>
      <c r="N292" s="4">
        <f>IF(ISERROR(K292/I292),"",K292/I292)</f>
        <v>0.96551724137931039</v>
      </c>
      <c r="O292" s="91">
        <f>I292/E292</f>
        <v>500</v>
      </c>
      <c r="P292" s="91">
        <f>K292/E292</f>
        <v>482.75862068965517</v>
      </c>
      <c r="Q292" s="79">
        <v>3</v>
      </c>
      <c r="R292" s="79">
        <v>1</v>
      </c>
      <c r="S292" s="79" t="s">
        <v>59</v>
      </c>
      <c r="T292" s="5">
        <v>96</v>
      </c>
      <c r="U292" s="9"/>
      <c r="W292" s="86">
        <f t="shared" si="287"/>
        <v>96</v>
      </c>
      <c r="X292" s="87">
        <f t="shared" si="287"/>
        <v>29</v>
      </c>
      <c r="Y292" s="92">
        <f t="shared" si="288"/>
        <v>102</v>
      </c>
      <c r="Z292" s="90">
        <f t="shared" si="288"/>
        <v>14500</v>
      </c>
      <c r="AA292" s="90">
        <f>K292</f>
        <v>14000</v>
      </c>
      <c r="AB292" s="90">
        <f t="shared" si="286"/>
        <v>500</v>
      </c>
      <c r="AC292" s="4">
        <f t="shared" si="286"/>
        <v>0.96551724137931039</v>
      </c>
      <c r="AD292" s="91">
        <f t="shared" si="286"/>
        <v>500</v>
      </c>
      <c r="AE292" s="79" t="str">
        <f>S292</f>
        <v>복</v>
      </c>
      <c r="AF292" s="79" t="str">
        <f>Q292&amp;"/"&amp;R292</f>
        <v>3/1</v>
      </c>
      <c r="AH292" s="20" t="str">
        <f t="shared" si="263"/>
        <v>비하동 삼일</v>
      </c>
      <c r="AI292" s="87">
        <f t="shared" si="264"/>
        <v>29</v>
      </c>
      <c r="AJ292" s="79" t="str">
        <f>IF(AI292="","",$AJ$2)</f>
        <v>A-</v>
      </c>
      <c r="AK292" s="79" t="s">
        <v>13</v>
      </c>
      <c r="AL292" s="79" t="s">
        <v>60</v>
      </c>
      <c r="AM292" s="79" t="s">
        <v>61</v>
      </c>
      <c r="AN292" s="79" t="str">
        <f>IF(AI292="","",$AN$2)</f>
        <v>C</v>
      </c>
      <c r="AO292" s="79" t="str">
        <f>IF(N292="","",IF(N292&gt;=$AO$1/100,"O","X"))</f>
        <v>O</v>
      </c>
      <c r="AP292" s="79" t="str">
        <f>IF(I292="","",IF(I292&lt;=$AP$1,"O","X"))</f>
        <v>O</v>
      </c>
      <c r="AQ292" s="79" t="str">
        <f>IF(O292="","",IF(O292&lt;=$AQ$1,"O","X"))</f>
        <v>O</v>
      </c>
      <c r="AR292" s="79" t="str">
        <f>IF(M292="","",IF(M292&lt;=$AR$1,"O","X"))</f>
        <v>O</v>
      </c>
      <c r="AS292" s="79" t="s">
        <v>2</v>
      </c>
      <c r="AT292" s="79" t="str">
        <f>IF(OR(F292="",AI292=""),"",IF(AND((F292&lt;=85),(AI292&gt;=15)),"O","X"))</f>
        <v>O</v>
      </c>
      <c r="AU292" s="79" t="str">
        <f>IF(C292="","",IF(C292&gt;=$AU$1,"O","X"))</f>
        <v>O</v>
      </c>
      <c r="AV292" s="79" t="str">
        <f>IF(AO292="","",IF(AND(AO292="O",AP292="O",AR292="O",AT292="O",AU292="O"),"후보","X"))</f>
        <v>후보</v>
      </c>
    </row>
    <row r="293" spans="1:48" s="37" customFormat="1" ht="12" x14ac:dyDescent="0.3">
      <c r="A293" s="74" t="s">
        <v>1611</v>
      </c>
      <c r="B293" s="75" t="s">
        <v>1612</v>
      </c>
      <c r="C293" s="85">
        <v>365</v>
      </c>
      <c r="D293" s="86">
        <v>105.6</v>
      </c>
      <c r="E293" s="87">
        <v>32</v>
      </c>
      <c r="F293" s="86">
        <v>84.9</v>
      </c>
      <c r="G293" s="17">
        <v>26</v>
      </c>
      <c r="H293" s="88">
        <v>128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9">
        <v>3</v>
      </c>
      <c r="R293" s="79">
        <v>2</v>
      </c>
      <c r="S293" s="79" t="s">
        <v>62</v>
      </c>
      <c r="T293" s="5">
        <v>105</v>
      </c>
      <c r="U293" s="9"/>
      <c r="W293" s="86">
        <f t="shared" si="287"/>
        <v>105.6</v>
      </c>
      <c r="X293" s="87">
        <f t="shared" si="287"/>
        <v>32</v>
      </c>
      <c r="Y293" s="92">
        <f t="shared" si="288"/>
        <v>128</v>
      </c>
      <c r="Z293" s="90">
        <f t="shared" si="288"/>
        <v>0</v>
      </c>
      <c r="AA293" s="90">
        <f>K293</f>
        <v>0</v>
      </c>
      <c r="AB293" s="90">
        <f t="shared" si="286"/>
        <v>0</v>
      </c>
      <c r="AC293" s="4" t="str">
        <f t="shared" si="286"/>
        <v/>
      </c>
      <c r="AD293" s="91">
        <f t="shared" si="286"/>
        <v>0</v>
      </c>
      <c r="AE293" s="79" t="str">
        <f>S293</f>
        <v>계</v>
      </c>
      <c r="AF293" s="79" t="str">
        <f>Q293&amp;"/"&amp;R293</f>
        <v>3/2</v>
      </c>
      <c r="AH293" s="20" t="str">
        <f t="shared" si="263"/>
        <v>비하동 삼일</v>
      </c>
      <c r="AI293" s="87">
        <f t="shared" si="264"/>
        <v>32</v>
      </c>
      <c r="AJ293" s="79" t="str">
        <f>IF(AI293="","",$AJ$2)</f>
        <v>A-</v>
      </c>
      <c r="AK293" s="79" t="s">
        <v>13</v>
      </c>
      <c r="AL293" s="79" t="s">
        <v>60</v>
      </c>
      <c r="AM293" s="79" t="s">
        <v>61</v>
      </c>
      <c r="AN293" s="79" t="str">
        <f>IF(AI293="","",$AN$2)</f>
        <v>C</v>
      </c>
      <c r="AO293" s="79" t="str">
        <f>IF(N293="","",IF(N293&gt;=$AO$1/100,"O","X"))</f>
        <v/>
      </c>
      <c r="AP293" s="79" t="str">
        <f>IF(I293="","",IF(I293&lt;=$AP$1,"O","X"))</f>
        <v/>
      </c>
      <c r="AQ293" s="79" t="str">
        <f>IF(O293="","",IF(O293&lt;=$AQ$1,"O","X"))</f>
        <v>O</v>
      </c>
      <c r="AR293" s="79" t="str">
        <f>IF(M293="","",IF(M293&lt;=$AR$1,"O","X"))</f>
        <v>O</v>
      </c>
      <c r="AS293" s="79" t="s">
        <v>2</v>
      </c>
      <c r="AT293" s="79" t="str">
        <f>IF(OR(F293="",AI293=""),"",IF(AND((F293&lt;=85),(AI293&gt;=15)),"O","X"))</f>
        <v>O</v>
      </c>
      <c r="AU293" s="79" t="str">
        <f>IF(C293="","",IF(C293&gt;=$AU$1,"O","X"))</f>
        <v>O</v>
      </c>
      <c r="AV293" s="79" t="str">
        <f>IF(AO293="","",IF(AND(AO293="O",AP293="O",AR293="O",AT293="O",AU293="O"),"후보","X"))</f>
        <v/>
      </c>
    </row>
    <row r="294" spans="1:48" s="37" customFormat="1" ht="12" x14ac:dyDescent="0.3">
      <c r="A294" s="74" t="s">
        <v>1613</v>
      </c>
      <c r="B294" s="75" t="s">
        <v>1436</v>
      </c>
      <c r="C294" s="85">
        <v>478</v>
      </c>
      <c r="D294" s="86">
        <v>61.5</v>
      </c>
      <c r="E294" s="87">
        <v>19</v>
      </c>
      <c r="F294" s="86">
        <v>45.3</v>
      </c>
      <c r="G294" s="17">
        <v>14</v>
      </c>
      <c r="H294" s="88">
        <v>165</v>
      </c>
      <c r="I294" s="89">
        <v>12500</v>
      </c>
      <c r="J294" s="89" t="s">
        <v>64</v>
      </c>
      <c r="K294" s="89"/>
      <c r="L294" s="89"/>
      <c r="M294" s="90">
        <f>I294-K294</f>
        <v>12500</v>
      </c>
      <c r="N294" s="4">
        <f>IF(ISERROR(K294/I294),"",K294/I294)</f>
        <v>0</v>
      </c>
      <c r="O294" s="91">
        <f>I294/E294</f>
        <v>657.89473684210532</v>
      </c>
      <c r="P294" s="91">
        <f>K294/E294</f>
        <v>0</v>
      </c>
      <c r="Q294" s="79">
        <v>2</v>
      </c>
      <c r="R294" s="79">
        <v>1</v>
      </c>
      <c r="S294" s="79" t="s">
        <v>59</v>
      </c>
      <c r="T294" s="5">
        <v>61</v>
      </c>
      <c r="U294" s="9"/>
      <c r="W294" s="86">
        <f>D294</f>
        <v>61.5</v>
      </c>
      <c r="X294" s="87">
        <f>E294</f>
        <v>19</v>
      </c>
      <c r="Y294" s="92">
        <f>H294</f>
        <v>165</v>
      </c>
      <c r="Z294" s="90">
        <f>I294</f>
        <v>12500</v>
      </c>
      <c r="AA294" s="90">
        <f>K294</f>
        <v>0</v>
      </c>
      <c r="AB294" s="90">
        <f t="shared" si="286"/>
        <v>12500</v>
      </c>
      <c r="AC294" s="4">
        <f t="shared" si="286"/>
        <v>0</v>
      </c>
      <c r="AD294" s="91">
        <f t="shared" si="286"/>
        <v>657.89473684210532</v>
      </c>
      <c r="AE294" s="79" t="str">
        <f>S294</f>
        <v>복</v>
      </c>
      <c r="AF294" s="79" t="str">
        <f>Q294&amp;"/"&amp;R294</f>
        <v>2/1</v>
      </c>
      <c r="AH294" s="20" t="str">
        <f t="shared" si="263"/>
        <v>비하동 비하효성2차</v>
      </c>
      <c r="AI294" s="87">
        <f t="shared" si="264"/>
        <v>19</v>
      </c>
      <c r="AJ294" s="79" t="str">
        <f>IF(AI294="","",$AJ$2)</f>
        <v>A-</v>
      </c>
      <c r="AK294" s="79" t="s">
        <v>13</v>
      </c>
      <c r="AL294" s="79" t="s">
        <v>60</v>
      </c>
      <c r="AM294" s="79" t="s">
        <v>61</v>
      </c>
      <c r="AN294" s="79" t="str">
        <f>IF(AI294="","",$AN$2)</f>
        <v>C</v>
      </c>
      <c r="AO294" s="79" t="str">
        <f>IF(N294="","",IF(N294&gt;=$AO$1/100,"O","X"))</f>
        <v>X</v>
      </c>
      <c r="AP294" s="79" t="str">
        <f>IF(I294="","",IF(I294&lt;=$AP$1,"O","X"))</f>
        <v>O</v>
      </c>
      <c r="AQ294" s="79" t="str">
        <f>IF(O294="","",IF(O294&lt;=$AQ$1,"O","X"))</f>
        <v>O</v>
      </c>
      <c r="AR294" s="79" t="str">
        <f>IF(M294="","",IF(M294&lt;=$AR$1,"O","X"))</f>
        <v>X</v>
      </c>
      <c r="AS294" s="79" t="s">
        <v>2</v>
      </c>
      <c r="AT294" s="79" t="str">
        <f>IF(OR(F294="",AI294=""),"",IF(AND((F294&lt;=85),(AI294&gt;=15)),"O","X"))</f>
        <v>O</v>
      </c>
      <c r="AU294" s="79" t="str">
        <f>IF(C294="","",IF(C294&gt;=$AU$1,"O","X"))</f>
        <v>O</v>
      </c>
      <c r="AV294" s="79" t="str">
        <f>IF(AO294="","",IF(AND(AO294="O",AP294="O",AR294="O",AT294="O",AU294="O"),"후보","X"))</f>
        <v>X</v>
      </c>
    </row>
    <row r="295" spans="1:48" s="37" customFormat="1" ht="12" x14ac:dyDescent="0.3">
      <c r="A295" s="74" t="s">
        <v>1613</v>
      </c>
      <c r="B295" s="75" t="s">
        <v>1436</v>
      </c>
      <c r="C295" s="85">
        <v>478</v>
      </c>
      <c r="D295" s="86">
        <v>80.3</v>
      </c>
      <c r="E295" s="87">
        <v>24</v>
      </c>
      <c r="F295" s="86">
        <v>59.9</v>
      </c>
      <c r="G295" s="17">
        <v>18</v>
      </c>
      <c r="H295" s="88">
        <v>313</v>
      </c>
      <c r="I295" s="89">
        <v>16000</v>
      </c>
      <c r="J295" s="89" t="s">
        <v>79</v>
      </c>
      <c r="K295" s="89">
        <v>15500</v>
      </c>
      <c r="L295" s="89" t="s">
        <v>81</v>
      </c>
      <c r="M295" s="90">
        <f>I295-K295</f>
        <v>500</v>
      </c>
      <c r="N295" s="4">
        <f>IF(ISERROR(K295/I295),"",K295/I295)</f>
        <v>0.96875</v>
      </c>
      <c r="O295" s="91">
        <f>I295/E295</f>
        <v>666.66666666666663</v>
      </c>
      <c r="P295" s="91">
        <f>K295/E295</f>
        <v>645.83333333333337</v>
      </c>
      <c r="Q295" s="79">
        <v>3</v>
      </c>
      <c r="R295" s="79">
        <v>1</v>
      </c>
      <c r="S295" s="79" t="s">
        <v>59</v>
      </c>
      <c r="T295" s="5">
        <v>80</v>
      </c>
      <c r="U295" s="9"/>
      <c r="W295" s="86">
        <f>D295</f>
        <v>80.3</v>
      </c>
      <c r="X295" s="87">
        <f>E295</f>
        <v>24</v>
      </c>
      <c r="Y295" s="92">
        <f>H295</f>
        <v>313</v>
      </c>
      <c r="Z295" s="90">
        <f>I295</f>
        <v>16000</v>
      </c>
      <c r="AA295" s="90">
        <f>K295</f>
        <v>15500</v>
      </c>
      <c r="AB295" s="90">
        <f t="shared" si="286"/>
        <v>500</v>
      </c>
      <c r="AC295" s="4">
        <f t="shared" si="286"/>
        <v>0.96875</v>
      </c>
      <c r="AD295" s="91">
        <f t="shared" si="286"/>
        <v>666.66666666666663</v>
      </c>
      <c r="AE295" s="79" t="str">
        <f>S295</f>
        <v>복</v>
      </c>
      <c r="AF295" s="79" t="str">
        <f>Q295&amp;"/"&amp;R295</f>
        <v>3/1</v>
      </c>
      <c r="AH295" s="20" t="str">
        <f t="shared" si="263"/>
        <v>비하동 비하효성2차</v>
      </c>
      <c r="AI295" s="87">
        <f t="shared" si="264"/>
        <v>24</v>
      </c>
      <c r="AJ295" s="79" t="str">
        <f>IF(AI295="","",$AJ$2)</f>
        <v>A-</v>
      </c>
      <c r="AK295" s="79" t="s">
        <v>13</v>
      </c>
      <c r="AL295" s="79" t="s">
        <v>60</v>
      </c>
      <c r="AM295" s="79" t="s">
        <v>61</v>
      </c>
      <c r="AN295" s="79" t="str">
        <f>IF(AI295="","",$AN$2)</f>
        <v>C</v>
      </c>
      <c r="AO295" s="79" t="str">
        <f>IF(N295="","",IF(N295&gt;=$AO$1/100,"O","X"))</f>
        <v>O</v>
      </c>
      <c r="AP295" s="79" t="str">
        <f>IF(I295="","",IF(I295&lt;=$AP$1,"O","X"))</f>
        <v>O</v>
      </c>
      <c r="AQ295" s="79" t="str">
        <f>IF(O295="","",IF(O295&lt;=$AQ$1,"O","X"))</f>
        <v>O</v>
      </c>
      <c r="AR295" s="79" t="str">
        <f>IF(M295="","",IF(M295&lt;=$AR$1,"O","X"))</f>
        <v>O</v>
      </c>
      <c r="AS295" s="79" t="s">
        <v>2</v>
      </c>
      <c r="AT295" s="79" t="str">
        <f>IF(OR(F295="",AI295=""),"",IF(AND((F295&lt;=85),(AI295&gt;=15)),"O","X"))</f>
        <v>O</v>
      </c>
      <c r="AU295" s="79" t="str">
        <f>IF(C295="","",IF(C295&gt;=$AU$1,"O","X"))</f>
        <v>O</v>
      </c>
      <c r="AV295" s="79" t="str">
        <f>IF(AO295="","",IF(AND(AO295="O",AP295="O",AR295="O",AT295="O",AU295="O"),"후보","X"))</f>
        <v>후보</v>
      </c>
    </row>
    <row r="296" spans="1:48" s="37" customFormat="1" ht="12" x14ac:dyDescent="0.3">
      <c r="A296" s="74" t="s">
        <v>1614</v>
      </c>
      <c r="B296" s="75" t="s">
        <v>1615</v>
      </c>
      <c r="C296" s="85">
        <v>480</v>
      </c>
      <c r="D296" s="86">
        <v>116.8</v>
      </c>
      <c r="E296" s="87">
        <v>35</v>
      </c>
      <c r="F296" s="86">
        <v>85</v>
      </c>
      <c r="G296" s="17">
        <v>26</v>
      </c>
      <c r="H296" s="88">
        <v>150</v>
      </c>
      <c r="I296" s="89">
        <v>36000</v>
      </c>
      <c r="J296" s="89" t="s">
        <v>89</v>
      </c>
      <c r="K296" s="89">
        <v>30000</v>
      </c>
      <c r="L296" s="89" t="s">
        <v>70</v>
      </c>
      <c r="M296" s="90">
        <f>I296-K296</f>
        <v>6000</v>
      </c>
      <c r="N296" s="4">
        <f>IF(ISERROR(K296/I296),"",K296/I296)</f>
        <v>0.83333333333333337</v>
      </c>
      <c r="O296" s="91">
        <f>I296/E296</f>
        <v>1028.5714285714287</v>
      </c>
      <c r="P296" s="91">
        <f>K296/E296</f>
        <v>857.14285714285711</v>
      </c>
      <c r="Q296" s="79">
        <v>3</v>
      </c>
      <c r="R296" s="79">
        <v>2</v>
      </c>
      <c r="S296" s="79" t="s">
        <v>62</v>
      </c>
      <c r="T296" s="5">
        <v>116</v>
      </c>
      <c r="U296" s="9"/>
      <c r="W296" s="86">
        <f t="shared" ref="W296:X299" si="289">D296</f>
        <v>116.8</v>
      </c>
      <c r="X296" s="87">
        <f t="shared" si="289"/>
        <v>35</v>
      </c>
      <c r="Y296" s="92">
        <f t="shared" ref="Y296:Z299" si="290">H296</f>
        <v>150</v>
      </c>
      <c r="Z296" s="90">
        <f t="shared" si="290"/>
        <v>36000</v>
      </c>
      <c r="AA296" s="90">
        <f>K296</f>
        <v>30000</v>
      </c>
      <c r="AB296" s="90">
        <f t="shared" ref="AB296:AD311" si="291">M296</f>
        <v>6000</v>
      </c>
      <c r="AC296" s="4">
        <f t="shared" si="291"/>
        <v>0.83333333333333337</v>
      </c>
      <c r="AD296" s="91">
        <f t="shared" si="291"/>
        <v>1028.5714285714287</v>
      </c>
      <c r="AE296" s="79" t="str">
        <f>S296</f>
        <v>계</v>
      </c>
      <c r="AF296" s="79" t="str">
        <f>Q296&amp;"/"&amp;R296</f>
        <v>3/2</v>
      </c>
      <c r="AH296" s="20" t="str">
        <f t="shared" si="263"/>
        <v>비하동 비하계룡리슈빌</v>
      </c>
      <c r="AI296" s="87">
        <f t="shared" si="264"/>
        <v>35</v>
      </c>
      <c r="AJ296" s="79" t="str">
        <f>IF(AI296="","",$AJ$2)</f>
        <v>A-</v>
      </c>
      <c r="AK296" s="79" t="s">
        <v>13</v>
      </c>
      <c r="AL296" s="79" t="s">
        <v>60</v>
      </c>
      <c r="AM296" s="79" t="s">
        <v>61</v>
      </c>
      <c r="AN296" s="79" t="str">
        <f>IF(AI296="","",$AN$2)</f>
        <v>C</v>
      </c>
      <c r="AO296" s="79" t="str">
        <f>IF(N296="","",IF(N296&gt;=$AO$1/100,"O","X"))</f>
        <v>O</v>
      </c>
      <c r="AP296" s="79" t="str">
        <f>IF(I296="","",IF(I296&lt;=$AP$1,"O","X"))</f>
        <v>O</v>
      </c>
      <c r="AQ296" s="79" t="str">
        <f>IF(O296="","",IF(O296&lt;=$AQ$1,"O","X"))</f>
        <v>O</v>
      </c>
      <c r="AR296" s="79" t="str">
        <f>IF(M296="","",IF(M296&lt;=$AR$1,"O","X"))</f>
        <v>O</v>
      </c>
      <c r="AS296" s="79" t="s">
        <v>2</v>
      </c>
      <c r="AT296" s="79" t="str">
        <f>IF(OR(F296="",AI296=""),"",IF(AND((F296&lt;=85),(AI296&gt;=15)),"O","X"))</f>
        <v>O</v>
      </c>
      <c r="AU296" s="79" t="str">
        <f>IF(C296="","",IF(C296&gt;=$AU$1,"O","X"))</f>
        <v>O</v>
      </c>
      <c r="AV296" s="79" t="str">
        <f>IF(AO296="","",IF(AND(AO296="O",AP296="O",AR296="O",AT296="O",AU296="O"),"후보","X"))</f>
        <v>후보</v>
      </c>
    </row>
    <row r="297" spans="1:48" s="37" customFormat="1" ht="12" x14ac:dyDescent="0.3">
      <c r="A297" s="74" t="s">
        <v>1614</v>
      </c>
      <c r="B297" s="75" t="s">
        <v>1615</v>
      </c>
      <c r="C297" s="85">
        <v>480</v>
      </c>
      <c r="D297" s="86">
        <v>132.1</v>
      </c>
      <c r="E297" s="87">
        <v>40</v>
      </c>
      <c r="F297" s="86">
        <v>99.8</v>
      </c>
      <c r="G297" s="17">
        <v>30</v>
      </c>
      <c r="H297" s="88">
        <v>150</v>
      </c>
      <c r="I297" s="89">
        <v>38000</v>
      </c>
      <c r="J297" s="89" t="s">
        <v>75</v>
      </c>
      <c r="K297" s="89">
        <v>35000</v>
      </c>
      <c r="L297" s="89" t="s">
        <v>75</v>
      </c>
      <c r="M297" s="90">
        <f>I297-K297</f>
        <v>3000</v>
      </c>
      <c r="N297" s="4">
        <f>IF(ISERROR(K297/I297),"",K297/I297)</f>
        <v>0.92105263157894735</v>
      </c>
      <c r="O297" s="91">
        <f>I297/E297</f>
        <v>950</v>
      </c>
      <c r="P297" s="91">
        <f>K297/E297</f>
        <v>875</v>
      </c>
      <c r="Q297" s="79">
        <v>3</v>
      </c>
      <c r="R297" s="79">
        <v>2</v>
      </c>
      <c r="S297" s="79" t="s">
        <v>62</v>
      </c>
      <c r="T297" s="5">
        <v>132</v>
      </c>
      <c r="U297" s="9"/>
      <c r="W297" s="86">
        <f t="shared" si="289"/>
        <v>132.1</v>
      </c>
      <c r="X297" s="87">
        <f t="shared" si="289"/>
        <v>40</v>
      </c>
      <c r="Y297" s="92">
        <f t="shared" si="290"/>
        <v>150</v>
      </c>
      <c r="Z297" s="90">
        <f t="shared" si="290"/>
        <v>38000</v>
      </c>
      <c r="AA297" s="90">
        <f>K297</f>
        <v>35000</v>
      </c>
      <c r="AB297" s="90">
        <f t="shared" si="291"/>
        <v>3000</v>
      </c>
      <c r="AC297" s="4">
        <f t="shared" si="291"/>
        <v>0.92105263157894735</v>
      </c>
      <c r="AD297" s="91">
        <f t="shared" si="291"/>
        <v>950</v>
      </c>
      <c r="AE297" s="79" t="str">
        <f>S297</f>
        <v>계</v>
      </c>
      <c r="AF297" s="79" t="str">
        <f>Q297&amp;"/"&amp;R297</f>
        <v>3/2</v>
      </c>
      <c r="AH297" s="20" t="str">
        <f t="shared" si="263"/>
        <v>비하동 비하계룡리슈빌</v>
      </c>
      <c r="AI297" s="87">
        <f t="shared" si="264"/>
        <v>40</v>
      </c>
      <c r="AJ297" s="79" t="str">
        <f>IF(AI297="","",$AJ$2)</f>
        <v>A-</v>
      </c>
      <c r="AK297" s="79" t="s">
        <v>13</v>
      </c>
      <c r="AL297" s="79" t="s">
        <v>60</v>
      </c>
      <c r="AM297" s="79" t="s">
        <v>61</v>
      </c>
      <c r="AN297" s="79" t="str">
        <f>IF(AI297="","",$AN$2)</f>
        <v>C</v>
      </c>
      <c r="AO297" s="79" t="str">
        <f>IF(N297="","",IF(N297&gt;=$AO$1/100,"O","X"))</f>
        <v>O</v>
      </c>
      <c r="AP297" s="79" t="str">
        <f>IF(I297="","",IF(I297&lt;=$AP$1,"O","X"))</f>
        <v>O</v>
      </c>
      <c r="AQ297" s="79" t="str">
        <f>IF(O297="","",IF(O297&lt;=$AQ$1,"O","X"))</f>
        <v>O</v>
      </c>
      <c r="AR297" s="79" t="str">
        <f>IF(M297="","",IF(M297&lt;=$AR$1,"O","X"))</f>
        <v>O</v>
      </c>
      <c r="AS297" s="79" t="s">
        <v>2</v>
      </c>
      <c r="AT297" s="79" t="str">
        <f>IF(OR(F297="",AI297=""),"",IF(AND((F297&lt;=85),(AI297&gt;=15)),"O","X"))</f>
        <v>X</v>
      </c>
      <c r="AU297" s="79" t="str">
        <f>IF(C297="","",IF(C297&gt;=$AU$1,"O","X"))</f>
        <v>O</v>
      </c>
      <c r="AV297" s="79" t="str">
        <f>IF(AO297="","",IF(AND(AO297="O",AP297="O",AR297="O",AT297="O",AU297="O"),"후보","X"))</f>
        <v>X</v>
      </c>
    </row>
    <row r="298" spans="1:48" s="37" customFormat="1" ht="12" x14ac:dyDescent="0.3">
      <c r="A298" s="74" t="s">
        <v>1614</v>
      </c>
      <c r="B298" s="75" t="s">
        <v>1615</v>
      </c>
      <c r="C298" s="85">
        <v>480</v>
      </c>
      <c r="D298" s="86">
        <v>165.1</v>
      </c>
      <c r="E298" s="87">
        <v>50</v>
      </c>
      <c r="F298" s="86">
        <v>133.9</v>
      </c>
      <c r="G298" s="17">
        <v>40</v>
      </c>
      <c r="H298" s="88">
        <v>120</v>
      </c>
      <c r="I298" s="89">
        <v>43000</v>
      </c>
      <c r="J298" s="89" t="s">
        <v>71</v>
      </c>
      <c r="K298" s="89"/>
      <c r="L298" s="89"/>
      <c r="M298" s="90">
        <f>I298-K298</f>
        <v>43000</v>
      </c>
      <c r="N298" s="4">
        <f>IF(ISERROR(K298/I298),"",K298/I298)</f>
        <v>0</v>
      </c>
      <c r="O298" s="91">
        <f>I298/E298</f>
        <v>860</v>
      </c>
      <c r="P298" s="91">
        <f>K298/E298</f>
        <v>0</v>
      </c>
      <c r="Q298" s="79">
        <v>4</v>
      </c>
      <c r="R298" s="79">
        <v>2</v>
      </c>
      <c r="S298" s="79" t="s">
        <v>62</v>
      </c>
      <c r="T298" s="5">
        <v>165</v>
      </c>
      <c r="U298" s="9"/>
      <c r="W298" s="86">
        <f t="shared" si="289"/>
        <v>165.1</v>
      </c>
      <c r="X298" s="87">
        <f t="shared" si="289"/>
        <v>50</v>
      </c>
      <c r="Y298" s="92">
        <f t="shared" si="290"/>
        <v>120</v>
      </c>
      <c r="Z298" s="90">
        <f t="shared" si="290"/>
        <v>43000</v>
      </c>
      <c r="AA298" s="90">
        <f>K298</f>
        <v>0</v>
      </c>
      <c r="AB298" s="90">
        <f t="shared" si="291"/>
        <v>43000</v>
      </c>
      <c r="AC298" s="4">
        <f t="shared" si="291"/>
        <v>0</v>
      </c>
      <c r="AD298" s="91">
        <f t="shared" si="291"/>
        <v>860</v>
      </c>
      <c r="AE298" s="79" t="str">
        <f>S298</f>
        <v>계</v>
      </c>
      <c r="AF298" s="79" t="str">
        <f>Q298&amp;"/"&amp;R298</f>
        <v>4/2</v>
      </c>
      <c r="AH298" s="20" t="str">
        <f t="shared" si="263"/>
        <v>비하동 비하계룡리슈빌</v>
      </c>
      <c r="AI298" s="87">
        <f t="shared" si="264"/>
        <v>50</v>
      </c>
      <c r="AJ298" s="79" t="str">
        <f>IF(AI298="","",$AJ$2)</f>
        <v>A-</v>
      </c>
      <c r="AK298" s="79" t="s">
        <v>13</v>
      </c>
      <c r="AL298" s="79" t="s">
        <v>60</v>
      </c>
      <c r="AM298" s="79" t="s">
        <v>61</v>
      </c>
      <c r="AN298" s="79" t="str">
        <f>IF(AI298="","",$AN$2)</f>
        <v>C</v>
      </c>
      <c r="AO298" s="79" t="str">
        <f>IF(N298="","",IF(N298&gt;=$AO$1/100,"O","X"))</f>
        <v>X</v>
      </c>
      <c r="AP298" s="79" t="str">
        <f>IF(I298="","",IF(I298&lt;=$AP$1,"O","X"))</f>
        <v>O</v>
      </c>
      <c r="AQ298" s="79" t="str">
        <f>IF(O298="","",IF(O298&lt;=$AQ$1,"O","X"))</f>
        <v>O</v>
      </c>
      <c r="AR298" s="79" t="str">
        <f>IF(M298="","",IF(M298&lt;=$AR$1,"O","X"))</f>
        <v>X</v>
      </c>
      <c r="AS298" s="79" t="s">
        <v>2</v>
      </c>
      <c r="AT298" s="79" t="str">
        <f>IF(OR(F298="",AI298=""),"",IF(AND((F298&lt;=85),(AI298&gt;=15)),"O","X"))</f>
        <v>X</v>
      </c>
      <c r="AU298" s="79" t="str">
        <f>IF(C298="","",IF(C298&gt;=$AU$1,"O","X"))</f>
        <v>O</v>
      </c>
      <c r="AV298" s="79" t="str">
        <f>IF(AO298="","",IF(AND(AO298="O",AP298="O",AR298="O",AT298="O",AU298="O"),"후보","X"))</f>
        <v>X</v>
      </c>
    </row>
    <row r="299" spans="1:48" s="37" customFormat="1" ht="12" x14ac:dyDescent="0.3">
      <c r="A299" s="74" t="s">
        <v>1614</v>
      </c>
      <c r="B299" s="75" t="s">
        <v>1615</v>
      </c>
      <c r="C299" s="85">
        <v>480</v>
      </c>
      <c r="D299" s="86">
        <v>197</v>
      </c>
      <c r="E299" s="87">
        <v>60</v>
      </c>
      <c r="F299" s="86">
        <v>161.9</v>
      </c>
      <c r="G299" s="17">
        <v>49</v>
      </c>
      <c r="H299" s="88">
        <v>60</v>
      </c>
      <c r="I299" s="89">
        <v>55000</v>
      </c>
      <c r="J299" s="89" t="s">
        <v>88</v>
      </c>
      <c r="K299" s="89">
        <v>45000</v>
      </c>
      <c r="L299" s="89" t="s">
        <v>97</v>
      </c>
      <c r="M299" s="90">
        <f>I299-K299</f>
        <v>10000</v>
      </c>
      <c r="N299" s="4">
        <f>IF(ISERROR(K299/I299),"",K299/I299)</f>
        <v>0.81818181818181823</v>
      </c>
      <c r="O299" s="91">
        <f>I299/E299</f>
        <v>916.66666666666663</v>
      </c>
      <c r="P299" s="91">
        <f>K299/E299</f>
        <v>750</v>
      </c>
      <c r="Q299" s="79">
        <v>4</v>
      </c>
      <c r="R299" s="79">
        <v>2</v>
      </c>
      <c r="S299" s="79" t="s">
        <v>62</v>
      </c>
      <c r="T299" s="5">
        <v>197</v>
      </c>
      <c r="U299" s="9"/>
      <c r="W299" s="86">
        <f t="shared" si="289"/>
        <v>197</v>
      </c>
      <c r="X299" s="87">
        <f t="shared" si="289"/>
        <v>60</v>
      </c>
      <c r="Y299" s="92">
        <f t="shared" si="290"/>
        <v>60</v>
      </c>
      <c r="Z299" s="90">
        <f t="shared" si="290"/>
        <v>55000</v>
      </c>
      <c r="AA299" s="90">
        <f>K299</f>
        <v>45000</v>
      </c>
      <c r="AB299" s="90">
        <f t="shared" si="291"/>
        <v>10000</v>
      </c>
      <c r="AC299" s="4">
        <f t="shared" si="291"/>
        <v>0.81818181818181823</v>
      </c>
      <c r="AD299" s="91">
        <f t="shared" si="291"/>
        <v>916.66666666666663</v>
      </c>
      <c r="AE299" s="79" t="str">
        <f>S299</f>
        <v>계</v>
      </c>
      <c r="AF299" s="79" t="str">
        <f>Q299&amp;"/"&amp;R299</f>
        <v>4/2</v>
      </c>
      <c r="AH299" s="20" t="str">
        <f t="shared" si="263"/>
        <v>비하동 비하계룡리슈빌</v>
      </c>
      <c r="AI299" s="87">
        <f t="shared" si="264"/>
        <v>60</v>
      </c>
      <c r="AJ299" s="79" t="str">
        <f>IF(AI299="","",$AJ$2)</f>
        <v>A-</v>
      </c>
      <c r="AK299" s="79" t="s">
        <v>13</v>
      </c>
      <c r="AL299" s="79" t="s">
        <v>60</v>
      </c>
      <c r="AM299" s="79" t="s">
        <v>61</v>
      </c>
      <c r="AN299" s="79" t="str">
        <f>IF(AI299="","",$AN$2)</f>
        <v>C</v>
      </c>
      <c r="AO299" s="79" t="str">
        <f>IF(N299="","",IF(N299&gt;=$AO$1/100,"O","X"))</f>
        <v>O</v>
      </c>
      <c r="AP299" s="79" t="str">
        <f>IF(I299="","",IF(I299&lt;=$AP$1,"O","X"))</f>
        <v>X</v>
      </c>
      <c r="AQ299" s="79" t="str">
        <f>IF(O299="","",IF(O299&lt;=$AQ$1,"O","X"))</f>
        <v>O</v>
      </c>
      <c r="AR299" s="79" t="str">
        <f>IF(M299="","",IF(M299&lt;=$AR$1,"O","X"))</f>
        <v>X</v>
      </c>
      <c r="AS299" s="79" t="s">
        <v>2</v>
      </c>
      <c r="AT299" s="79" t="str">
        <f>IF(OR(F299="",AI299=""),"",IF(AND((F299&lt;=85),(AI299&gt;=15)),"O","X"))</f>
        <v>X</v>
      </c>
      <c r="AU299" s="79" t="str">
        <f>IF(C299="","",IF(C299&gt;=$AU$1,"O","X"))</f>
        <v>O</v>
      </c>
      <c r="AV299" s="79" t="str">
        <f>IF(AO299="","",IF(AND(AO299="O",AP299="O",AR299="O",AT299="O",AU299="O"),"후보","X"))</f>
        <v>X</v>
      </c>
    </row>
    <row r="300" spans="1:48" s="37" customFormat="1" ht="12" x14ac:dyDescent="0.3">
      <c r="A300" s="74" t="s">
        <v>1616</v>
      </c>
      <c r="B300" s="75" t="s">
        <v>1617</v>
      </c>
      <c r="C300" s="85">
        <v>894</v>
      </c>
      <c r="D300" s="86">
        <v>61.4</v>
      </c>
      <c r="E300" s="87">
        <v>19</v>
      </c>
      <c r="F300" s="86">
        <v>45.3</v>
      </c>
      <c r="G300" s="17">
        <v>14</v>
      </c>
      <c r="H300" s="88">
        <v>460</v>
      </c>
      <c r="I300" s="89">
        <v>12000</v>
      </c>
      <c r="J300" s="89" t="s">
        <v>75</v>
      </c>
      <c r="K300" s="89">
        <v>11500</v>
      </c>
      <c r="L300" s="89" t="s">
        <v>81</v>
      </c>
      <c r="M300" s="90">
        <f>I300-K300</f>
        <v>500</v>
      </c>
      <c r="N300" s="4">
        <f>IF(ISERROR(K300/I300),"",K300/I300)</f>
        <v>0.95833333333333337</v>
      </c>
      <c r="O300" s="91">
        <f>I300/E300</f>
        <v>631.57894736842104</v>
      </c>
      <c r="P300" s="91">
        <f>K300/E300</f>
        <v>605.26315789473688</v>
      </c>
      <c r="Q300" s="79">
        <v>2</v>
      </c>
      <c r="R300" s="79">
        <v>1</v>
      </c>
      <c r="S300" s="79" t="s">
        <v>59</v>
      </c>
      <c r="T300" s="5">
        <v>61</v>
      </c>
      <c r="U300" s="9"/>
      <c r="W300" s="86">
        <f>D300</f>
        <v>61.4</v>
      </c>
      <c r="X300" s="87">
        <f>E300</f>
        <v>19</v>
      </c>
      <c r="Y300" s="92">
        <f>H300</f>
        <v>460</v>
      </c>
      <c r="Z300" s="90">
        <f>I300</f>
        <v>12000</v>
      </c>
      <c r="AA300" s="90">
        <f>K300</f>
        <v>11500</v>
      </c>
      <c r="AB300" s="90">
        <f t="shared" si="291"/>
        <v>500</v>
      </c>
      <c r="AC300" s="4">
        <f t="shared" si="291"/>
        <v>0.95833333333333337</v>
      </c>
      <c r="AD300" s="91">
        <f t="shared" si="291"/>
        <v>631.57894736842104</v>
      </c>
      <c r="AE300" s="79" t="str">
        <f>S300</f>
        <v>복</v>
      </c>
      <c r="AF300" s="79" t="str">
        <f>Q300&amp;"/"&amp;R300</f>
        <v>2/1</v>
      </c>
      <c r="AH300" s="20" t="str">
        <f t="shared" si="263"/>
        <v>비하동 효성1차</v>
      </c>
      <c r="AI300" s="87">
        <f t="shared" si="264"/>
        <v>19</v>
      </c>
      <c r="AJ300" s="79" t="str">
        <f>IF(AI300="","",$AJ$2)</f>
        <v>A-</v>
      </c>
      <c r="AK300" s="79" t="s">
        <v>13</v>
      </c>
      <c r="AL300" s="79" t="s">
        <v>60</v>
      </c>
      <c r="AM300" s="79" t="s">
        <v>61</v>
      </c>
      <c r="AN300" s="79" t="str">
        <f>IF(AI300="","",$AN$2)</f>
        <v>C</v>
      </c>
      <c r="AO300" s="79" t="str">
        <f>IF(N300="","",IF(N300&gt;=$AO$1/100,"O","X"))</f>
        <v>O</v>
      </c>
      <c r="AP300" s="79" t="str">
        <f>IF(I300="","",IF(I300&lt;=$AP$1,"O","X"))</f>
        <v>O</v>
      </c>
      <c r="AQ300" s="79" t="str">
        <f>IF(O300="","",IF(O300&lt;=$AQ$1,"O","X"))</f>
        <v>O</v>
      </c>
      <c r="AR300" s="79" t="str">
        <f>IF(M300="","",IF(M300&lt;=$AR$1,"O","X"))</f>
        <v>O</v>
      </c>
      <c r="AS300" s="79" t="s">
        <v>2</v>
      </c>
      <c r="AT300" s="79" t="str">
        <f>IF(OR(F300="",AI300=""),"",IF(AND((F300&lt;=85),(AI300&gt;=15)),"O","X"))</f>
        <v>O</v>
      </c>
      <c r="AU300" s="79" t="str">
        <f>IF(C300="","",IF(C300&gt;=$AU$1,"O","X"))</f>
        <v>O</v>
      </c>
      <c r="AV300" s="79" t="str">
        <f>IF(AO300="","",IF(AND(AO300="O",AP300="O",AR300="O",AT300="O",AU300="O"),"후보","X"))</f>
        <v>후보</v>
      </c>
    </row>
    <row r="301" spans="1:48" s="37" customFormat="1" ht="12" x14ac:dyDescent="0.3">
      <c r="A301" s="74" t="s">
        <v>1616</v>
      </c>
      <c r="B301" s="75" t="s">
        <v>1617</v>
      </c>
      <c r="C301" s="85">
        <v>894</v>
      </c>
      <c r="D301" s="86">
        <v>81.2</v>
      </c>
      <c r="E301" s="87">
        <v>25</v>
      </c>
      <c r="F301" s="86">
        <v>59.9</v>
      </c>
      <c r="G301" s="17">
        <v>18</v>
      </c>
      <c r="H301" s="88">
        <v>434</v>
      </c>
      <c r="I301" s="89">
        <v>15500</v>
      </c>
      <c r="J301" s="89" t="s">
        <v>70</v>
      </c>
      <c r="K301" s="89">
        <v>14000</v>
      </c>
      <c r="L301" s="89" t="s">
        <v>88</v>
      </c>
      <c r="M301" s="90">
        <f>I301-K301</f>
        <v>1500</v>
      </c>
      <c r="N301" s="4">
        <f>IF(ISERROR(K301/I301),"",K301/I301)</f>
        <v>0.90322580645161288</v>
      </c>
      <c r="O301" s="91">
        <f>I301/E301</f>
        <v>620</v>
      </c>
      <c r="P301" s="91">
        <f>K301/E301</f>
        <v>560</v>
      </c>
      <c r="Q301" s="79">
        <v>3</v>
      </c>
      <c r="R301" s="79">
        <v>1</v>
      </c>
      <c r="S301" s="79" t="s">
        <v>59</v>
      </c>
      <c r="T301" s="5">
        <v>81</v>
      </c>
      <c r="U301" s="9"/>
      <c r="W301" s="86">
        <f>D301</f>
        <v>81.2</v>
      </c>
      <c r="X301" s="87">
        <f>E301</f>
        <v>25</v>
      </c>
      <c r="Y301" s="92">
        <f>H301</f>
        <v>434</v>
      </c>
      <c r="Z301" s="90">
        <f>I301</f>
        <v>15500</v>
      </c>
      <c r="AA301" s="90">
        <f>K301</f>
        <v>14000</v>
      </c>
      <c r="AB301" s="90">
        <f t="shared" si="291"/>
        <v>1500</v>
      </c>
      <c r="AC301" s="4">
        <f t="shared" si="291"/>
        <v>0.90322580645161288</v>
      </c>
      <c r="AD301" s="91">
        <f t="shared" si="291"/>
        <v>620</v>
      </c>
      <c r="AE301" s="79" t="str">
        <f>S301</f>
        <v>복</v>
      </c>
      <c r="AF301" s="79" t="str">
        <f>Q301&amp;"/"&amp;R301</f>
        <v>3/1</v>
      </c>
      <c r="AH301" s="20" t="str">
        <f t="shared" si="263"/>
        <v>비하동 효성1차</v>
      </c>
      <c r="AI301" s="87">
        <f t="shared" si="264"/>
        <v>25</v>
      </c>
      <c r="AJ301" s="79" t="str">
        <f>IF(AI301="","",$AJ$2)</f>
        <v>A-</v>
      </c>
      <c r="AK301" s="79" t="s">
        <v>13</v>
      </c>
      <c r="AL301" s="79" t="s">
        <v>60</v>
      </c>
      <c r="AM301" s="79" t="s">
        <v>61</v>
      </c>
      <c r="AN301" s="79" t="str">
        <f>IF(AI301="","",$AN$2)</f>
        <v>C</v>
      </c>
      <c r="AO301" s="79" t="str">
        <f>IF(N301="","",IF(N301&gt;=$AO$1/100,"O","X"))</f>
        <v>O</v>
      </c>
      <c r="AP301" s="79" t="str">
        <f>IF(I301="","",IF(I301&lt;=$AP$1,"O","X"))</f>
        <v>O</v>
      </c>
      <c r="AQ301" s="79" t="str">
        <f>IF(O301="","",IF(O301&lt;=$AQ$1,"O","X"))</f>
        <v>O</v>
      </c>
      <c r="AR301" s="79" t="str">
        <f>IF(M301="","",IF(M301&lt;=$AR$1,"O","X"))</f>
        <v>O</v>
      </c>
      <c r="AS301" s="79" t="s">
        <v>2</v>
      </c>
      <c r="AT301" s="79" t="str">
        <f>IF(OR(F301="",AI301=""),"",IF(AND((F301&lt;=85),(AI301&gt;=15)),"O","X"))</f>
        <v>O</v>
      </c>
      <c r="AU301" s="79" t="str">
        <f>IF(C301="","",IF(C301&gt;=$AU$1,"O","X"))</f>
        <v>O</v>
      </c>
      <c r="AV301" s="79" t="str">
        <f>IF(AO301="","",IF(AND(AO301="O",AP301="O",AR301="O",AT301="O",AU301="O"),"후보","X"))</f>
        <v>후보</v>
      </c>
    </row>
    <row r="302" spans="1:48" s="37" customFormat="1" ht="12" x14ac:dyDescent="0.3">
      <c r="A302" s="74" t="s">
        <v>1618</v>
      </c>
      <c r="B302" s="75" t="s">
        <v>1571</v>
      </c>
      <c r="C302" s="85">
        <v>1034</v>
      </c>
      <c r="D302" s="86">
        <v>98.5</v>
      </c>
      <c r="E302" s="87">
        <v>30</v>
      </c>
      <c r="F302" s="86">
        <v>73.900000000000006</v>
      </c>
      <c r="G302" s="17">
        <v>22</v>
      </c>
      <c r="H302" s="88">
        <v>129</v>
      </c>
      <c r="I302" s="89">
        <v>47500</v>
      </c>
      <c r="J302" s="89" t="s">
        <v>92</v>
      </c>
      <c r="K302" s="89">
        <v>33000</v>
      </c>
      <c r="L302" s="89" t="s">
        <v>71</v>
      </c>
      <c r="M302" s="90">
        <f>I302-K302</f>
        <v>14500</v>
      </c>
      <c r="N302" s="4">
        <f>IF(ISERROR(K302/I302),"",K302/I302)</f>
        <v>0.69473684210526321</v>
      </c>
      <c r="O302" s="91">
        <f>I302/E302</f>
        <v>1583.3333333333333</v>
      </c>
      <c r="P302" s="91">
        <f>K302/E302</f>
        <v>1100</v>
      </c>
      <c r="Q302" s="79">
        <v>3</v>
      </c>
      <c r="R302" s="79">
        <v>2</v>
      </c>
      <c r="S302" s="79" t="s">
        <v>62</v>
      </c>
      <c r="T302" s="5">
        <v>98</v>
      </c>
      <c r="U302" s="9"/>
      <c r="W302" s="86">
        <f t="shared" ref="W302:X317" si="292">D302</f>
        <v>98.5</v>
      </c>
      <c r="X302" s="87">
        <f t="shared" si="292"/>
        <v>30</v>
      </c>
      <c r="Y302" s="92">
        <f t="shared" ref="Y302:Z317" si="293">H302</f>
        <v>129</v>
      </c>
      <c r="Z302" s="90">
        <f t="shared" si="293"/>
        <v>47500</v>
      </c>
      <c r="AA302" s="90">
        <f>K302</f>
        <v>33000</v>
      </c>
      <c r="AB302" s="90">
        <f t="shared" si="291"/>
        <v>14500</v>
      </c>
      <c r="AC302" s="4">
        <f t="shared" si="291"/>
        <v>0.69473684210526321</v>
      </c>
      <c r="AD302" s="91">
        <f t="shared" si="291"/>
        <v>1583.3333333333333</v>
      </c>
      <c r="AE302" s="79" t="str">
        <f>S302</f>
        <v>계</v>
      </c>
      <c r="AF302" s="79" t="str">
        <f>Q302&amp;"/"&amp;R302</f>
        <v>3/2</v>
      </c>
      <c r="AH302" s="20" t="str">
        <f t="shared" si="263"/>
        <v>송절동 청주테크노폴리스푸르지오</v>
      </c>
      <c r="AI302" s="87">
        <f t="shared" si="264"/>
        <v>30</v>
      </c>
      <c r="AJ302" s="79" t="str">
        <f>IF(AI302="","",$AJ$2)</f>
        <v>A-</v>
      </c>
      <c r="AK302" s="79" t="s">
        <v>13</v>
      </c>
      <c r="AL302" s="79" t="s">
        <v>60</v>
      </c>
      <c r="AM302" s="79" t="s">
        <v>61</v>
      </c>
      <c r="AN302" s="79" t="str">
        <f>IF(AI302="","",$AN$2)</f>
        <v>C</v>
      </c>
      <c r="AO302" s="79" t="str">
        <f>IF(N302="","",IF(N302&gt;=$AO$1/100,"O","X"))</f>
        <v>X</v>
      </c>
      <c r="AP302" s="79" t="str">
        <f>IF(I302="","",IF(I302&lt;=$AP$1,"O","X"))</f>
        <v>X</v>
      </c>
      <c r="AQ302" s="79" t="str">
        <f>IF(O302="","",IF(O302&lt;=$AQ$1,"O","X"))</f>
        <v>X</v>
      </c>
      <c r="AR302" s="79" t="str">
        <f>IF(M302="","",IF(M302&lt;=$AR$1,"O","X"))</f>
        <v>X</v>
      </c>
      <c r="AS302" s="79" t="s">
        <v>2</v>
      </c>
      <c r="AT302" s="79" t="str">
        <f>IF(OR(F302="",AI302=""),"",IF(AND((F302&lt;=85),(AI302&gt;=15)),"O","X"))</f>
        <v>O</v>
      </c>
      <c r="AU302" s="79" t="str">
        <f>IF(C302="","",IF(C302&gt;=$AU$1,"O","X"))</f>
        <v>O</v>
      </c>
      <c r="AV302" s="79" t="str">
        <f>IF(AO302="","",IF(AND(AO302="O",AP302="O",AR302="O",AT302="O",AU302="O"),"후보","X"))</f>
        <v>X</v>
      </c>
    </row>
    <row r="303" spans="1:48" s="37" customFormat="1" ht="12" x14ac:dyDescent="0.3">
      <c r="A303" s="74" t="s">
        <v>1618</v>
      </c>
      <c r="B303" s="75" t="s">
        <v>1571</v>
      </c>
      <c r="C303" s="85">
        <v>1034</v>
      </c>
      <c r="D303" s="86">
        <v>112.5</v>
      </c>
      <c r="E303" s="87">
        <v>34</v>
      </c>
      <c r="F303" s="86">
        <v>85</v>
      </c>
      <c r="G303" s="17">
        <v>26</v>
      </c>
      <c r="H303" s="88">
        <v>616</v>
      </c>
      <c r="I303" s="89">
        <v>55000</v>
      </c>
      <c r="J303" s="89" t="s">
        <v>75</v>
      </c>
      <c r="K303" s="89">
        <v>32000</v>
      </c>
      <c r="L303" s="89" t="s">
        <v>89</v>
      </c>
      <c r="M303" s="90">
        <f>I303-K303</f>
        <v>23000</v>
      </c>
      <c r="N303" s="4">
        <f>IF(ISERROR(K303/I303),"",K303/I303)</f>
        <v>0.58181818181818179</v>
      </c>
      <c r="O303" s="91">
        <f>I303/E303</f>
        <v>1617.6470588235295</v>
      </c>
      <c r="P303" s="91">
        <f>K303/E303</f>
        <v>941.17647058823525</v>
      </c>
      <c r="Q303" s="79">
        <v>4</v>
      </c>
      <c r="R303" s="79">
        <v>2</v>
      </c>
      <c r="S303" s="79" t="s">
        <v>62</v>
      </c>
      <c r="T303" s="5" t="s">
        <v>106</v>
      </c>
      <c r="U303" s="9"/>
      <c r="W303" s="86">
        <f t="shared" si="292"/>
        <v>112.5</v>
      </c>
      <c r="X303" s="87">
        <f t="shared" si="292"/>
        <v>34</v>
      </c>
      <c r="Y303" s="92">
        <f t="shared" si="293"/>
        <v>616</v>
      </c>
      <c r="Z303" s="90">
        <f t="shared" si="293"/>
        <v>55000</v>
      </c>
      <c r="AA303" s="90">
        <f>K303</f>
        <v>32000</v>
      </c>
      <c r="AB303" s="90">
        <f t="shared" si="291"/>
        <v>23000</v>
      </c>
      <c r="AC303" s="4">
        <f t="shared" si="291"/>
        <v>0.58181818181818179</v>
      </c>
      <c r="AD303" s="91">
        <f t="shared" si="291"/>
        <v>1617.6470588235295</v>
      </c>
      <c r="AE303" s="79" t="str">
        <f>S303</f>
        <v>계</v>
      </c>
      <c r="AF303" s="79" t="str">
        <f>Q303&amp;"/"&amp;R303</f>
        <v>4/2</v>
      </c>
      <c r="AH303" s="20" t="str">
        <f t="shared" si="263"/>
        <v>송절동 청주테크노폴리스푸르지오</v>
      </c>
      <c r="AI303" s="87">
        <f t="shared" si="264"/>
        <v>34</v>
      </c>
      <c r="AJ303" s="79" t="str">
        <f>IF(AI303="","",$AJ$2)</f>
        <v>A-</v>
      </c>
      <c r="AK303" s="79" t="s">
        <v>13</v>
      </c>
      <c r="AL303" s="79" t="s">
        <v>60</v>
      </c>
      <c r="AM303" s="79" t="s">
        <v>61</v>
      </c>
      <c r="AN303" s="79" t="str">
        <f>IF(AI303="","",$AN$2)</f>
        <v>C</v>
      </c>
      <c r="AO303" s="79" t="str">
        <f>IF(N303="","",IF(N303&gt;=$AO$1/100,"O","X"))</f>
        <v>X</v>
      </c>
      <c r="AP303" s="79" t="str">
        <f>IF(I303="","",IF(I303&lt;=$AP$1,"O","X"))</f>
        <v>X</v>
      </c>
      <c r="AQ303" s="79" t="str">
        <f>IF(O303="","",IF(O303&lt;=$AQ$1,"O","X"))</f>
        <v>X</v>
      </c>
      <c r="AR303" s="79" t="str">
        <f>IF(M303="","",IF(M303&lt;=$AR$1,"O","X"))</f>
        <v>X</v>
      </c>
      <c r="AS303" s="79" t="s">
        <v>2</v>
      </c>
      <c r="AT303" s="79" t="str">
        <f>IF(OR(F303="",AI303=""),"",IF(AND((F303&lt;=85),(AI303&gt;=15)),"O","X"))</f>
        <v>O</v>
      </c>
      <c r="AU303" s="79" t="str">
        <f>IF(C303="","",IF(C303&gt;=$AU$1,"O","X"))</f>
        <v>O</v>
      </c>
      <c r="AV303" s="79" t="str">
        <f>IF(AO303="","",IF(AND(AO303="O",AP303="O",AR303="O",AT303="O",AU303="O"),"후보","X"))</f>
        <v>X</v>
      </c>
    </row>
    <row r="304" spans="1:48" s="37" customFormat="1" ht="12" x14ac:dyDescent="0.3">
      <c r="A304" s="74" t="s">
        <v>1618</v>
      </c>
      <c r="B304" s="75" t="s">
        <v>1571</v>
      </c>
      <c r="C304" s="85">
        <v>1034</v>
      </c>
      <c r="D304" s="86">
        <v>112.7</v>
      </c>
      <c r="E304" s="87">
        <v>34</v>
      </c>
      <c r="F304" s="86">
        <v>85</v>
      </c>
      <c r="G304" s="17">
        <v>26</v>
      </c>
      <c r="H304" s="88">
        <v>145</v>
      </c>
      <c r="I304" s="89">
        <v>57000</v>
      </c>
      <c r="J304" s="89" t="s">
        <v>158</v>
      </c>
      <c r="K304" s="89"/>
      <c r="L304" s="89"/>
      <c r="M304" s="90">
        <f>I304-K304</f>
        <v>57000</v>
      </c>
      <c r="N304" s="4">
        <f>IF(ISERROR(K304/I304),"",K304/I304)</f>
        <v>0</v>
      </c>
      <c r="O304" s="91">
        <f>I304/E304</f>
        <v>1676.4705882352941</v>
      </c>
      <c r="P304" s="91">
        <f>K304/E304</f>
        <v>0</v>
      </c>
      <c r="Q304" s="79">
        <v>3</v>
      </c>
      <c r="R304" s="79">
        <v>2</v>
      </c>
      <c r="S304" s="79" t="s">
        <v>62</v>
      </c>
      <c r="T304" s="5" t="s">
        <v>107</v>
      </c>
      <c r="U304" s="9"/>
      <c r="W304" s="86">
        <f t="shared" si="292"/>
        <v>112.7</v>
      </c>
      <c r="X304" s="87">
        <f t="shared" si="292"/>
        <v>34</v>
      </c>
      <c r="Y304" s="92">
        <f t="shared" si="293"/>
        <v>145</v>
      </c>
      <c r="Z304" s="90">
        <f t="shared" si="293"/>
        <v>57000</v>
      </c>
      <c r="AA304" s="90">
        <f>K304</f>
        <v>0</v>
      </c>
      <c r="AB304" s="90">
        <f t="shared" si="291"/>
        <v>57000</v>
      </c>
      <c r="AC304" s="4">
        <f t="shared" si="291"/>
        <v>0</v>
      </c>
      <c r="AD304" s="91">
        <f t="shared" si="291"/>
        <v>1676.4705882352941</v>
      </c>
      <c r="AE304" s="79" t="str">
        <f>S304</f>
        <v>계</v>
      </c>
      <c r="AF304" s="79" t="str">
        <f>Q304&amp;"/"&amp;R304</f>
        <v>3/2</v>
      </c>
      <c r="AH304" s="20" t="str">
        <f t="shared" si="263"/>
        <v>송절동 청주테크노폴리스푸르지오</v>
      </c>
      <c r="AI304" s="87">
        <f t="shared" si="264"/>
        <v>34</v>
      </c>
      <c r="AJ304" s="79" t="str">
        <f>IF(AI304="","",$AJ$2)</f>
        <v>A-</v>
      </c>
      <c r="AK304" s="79" t="s">
        <v>13</v>
      </c>
      <c r="AL304" s="79" t="s">
        <v>60</v>
      </c>
      <c r="AM304" s="79" t="s">
        <v>61</v>
      </c>
      <c r="AN304" s="79" t="str">
        <f>IF(AI304="","",$AN$2)</f>
        <v>C</v>
      </c>
      <c r="AO304" s="79" t="str">
        <f>IF(N304="","",IF(N304&gt;=$AO$1/100,"O","X"))</f>
        <v>X</v>
      </c>
      <c r="AP304" s="79" t="str">
        <f>IF(I304="","",IF(I304&lt;=$AP$1,"O","X"))</f>
        <v>X</v>
      </c>
      <c r="AQ304" s="79" t="str">
        <f>IF(O304="","",IF(O304&lt;=$AQ$1,"O","X"))</f>
        <v>X</v>
      </c>
      <c r="AR304" s="79" t="str">
        <f>IF(M304="","",IF(M304&lt;=$AR$1,"O","X"))</f>
        <v>X</v>
      </c>
      <c r="AS304" s="79" t="s">
        <v>2</v>
      </c>
      <c r="AT304" s="79" t="str">
        <f>IF(OR(F304="",AI304=""),"",IF(AND((F304&lt;=85),(AI304&gt;=15)),"O","X"))</f>
        <v>O</v>
      </c>
      <c r="AU304" s="79" t="str">
        <f>IF(C304="","",IF(C304&gt;=$AU$1,"O","X"))</f>
        <v>O</v>
      </c>
      <c r="AV304" s="79" t="str">
        <f>IF(AO304="","",IF(AND(AO304="O",AP304="O",AR304="O",AT304="O",AU304="O"),"후보","X"))</f>
        <v>X</v>
      </c>
    </row>
    <row r="305" spans="1:48" s="37" customFormat="1" ht="12" x14ac:dyDescent="0.3">
      <c r="A305" s="74" t="s">
        <v>1618</v>
      </c>
      <c r="B305" s="75" t="s">
        <v>1571</v>
      </c>
      <c r="C305" s="85">
        <v>1034</v>
      </c>
      <c r="D305" s="86">
        <v>112.6</v>
      </c>
      <c r="E305" s="87">
        <v>34</v>
      </c>
      <c r="F305" s="86">
        <v>85</v>
      </c>
      <c r="G305" s="17">
        <v>26</v>
      </c>
      <c r="H305" s="88">
        <v>144</v>
      </c>
      <c r="I305" s="89">
        <v>57000</v>
      </c>
      <c r="J305" s="89" t="s">
        <v>68</v>
      </c>
      <c r="K305" s="89">
        <v>35000</v>
      </c>
      <c r="L305" s="89" t="s">
        <v>97</v>
      </c>
      <c r="M305" s="90">
        <f>I305-K305</f>
        <v>22000</v>
      </c>
      <c r="N305" s="4">
        <f>IF(ISERROR(K305/I305),"",K305/I305)</f>
        <v>0.61403508771929827</v>
      </c>
      <c r="O305" s="91">
        <f>I305/E305</f>
        <v>1676.4705882352941</v>
      </c>
      <c r="P305" s="91">
        <f>K305/E305</f>
        <v>1029.4117647058824</v>
      </c>
      <c r="Q305" s="79">
        <v>3</v>
      </c>
      <c r="R305" s="79">
        <v>2</v>
      </c>
      <c r="S305" s="79" t="s">
        <v>62</v>
      </c>
      <c r="T305" s="5" t="s">
        <v>113</v>
      </c>
      <c r="U305" s="9"/>
      <c r="W305" s="86">
        <f t="shared" si="292"/>
        <v>112.6</v>
      </c>
      <c r="X305" s="87">
        <f t="shared" si="292"/>
        <v>34</v>
      </c>
      <c r="Y305" s="92">
        <f t="shared" si="293"/>
        <v>144</v>
      </c>
      <c r="Z305" s="90">
        <f t="shared" si="293"/>
        <v>57000</v>
      </c>
      <c r="AA305" s="90">
        <f>K305</f>
        <v>35000</v>
      </c>
      <c r="AB305" s="90">
        <f t="shared" si="291"/>
        <v>22000</v>
      </c>
      <c r="AC305" s="4">
        <f t="shared" si="291"/>
        <v>0.61403508771929827</v>
      </c>
      <c r="AD305" s="91">
        <f t="shared" si="291"/>
        <v>1676.4705882352941</v>
      </c>
      <c r="AE305" s="79" t="str">
        <f>S305</f>
        <v>계</v>
      </c>
      <c r="AF305" s="79" t="str">
        <f>Q305&amp;"/"&amp;R305</f>
        <v>3/2</v>
      </c>
      <c r="AH305" s="20" t="str">
        <f t="shared" si="263"/>
        <v>송절동 청주테크노폴리스푸르지오</v>
      </c>
      <c r="AI305" s="87">
        <f t="shared" si="264"/>
        <v>34</v>
      </c>
      <c r="AJ305" s="79" t="str">
        <f>IF(AI305="","",$AJ$2)</f>
        <v>A-</v>
      </c>
      <c r="AK305" s="79" t="s">
        <v>13</v>
      </c>
      <c r="AL305" s="79" t="s">
        <v>60</v>
      </c>
      <c r="AM305" s="79" t="s">
        <v>61</v>
      </c>
      <c r="AN305" s="79" t="str">
        <f>IF(AI305="","",$AN$2)</f>
        <v>C</v>
      </c>
      <c r="AO305" s="79" t="str">
        <f>IF(N305="","",IF(N305&gt;=$AO$1/100,"O","X"))</f>
        <v>X</v>
      </c>
      <c r="AP305" s="79" t="str">
        <f>IF(I305="","",IF(I305&lt;=$AP$1,"O","X"))</f>
        <v>X</v>
      </c>
      <c r="AQ305" s="79" t="str">
        <f>IF(O305="","",IF(O305&lt;=$AQ$1,"O","X"))</f>
        <v>X</v>
      </c>
      <c r="AR305" s="79" t="str">
        <f>IF(M305="","",IF(M305&lt;=$AR$1,"O","X"))</f>
        <v>X</v>
      </c>
      <c r="AS305" s="79" t="s">
        <v>2</v>
      </c>
      <c r="AT305" s="79" t="str">
        <f>IF(OR(F305="",AI305=""),"",IF(AND((F305&lt;=85),(AI305&gt;=15)),"O","X"))</f>
        <v>O</v>
      </c>
      <c r="AU305" s="79" t="str">
        <f>IF(C305="","",IF(C305&gt;=$AU$1,"O","X"))</f>
        <v>O</v>
      </c>
      <c r="AV305" s="79" t="str">
        <f>IF(AO305="","",IF(AND(AO305="O",AP305="O",AR305="O",AT305="O",AU305="O"),"후보","X"))</f>
        <v>X</v>
      </c>
    </row>
    <row r="306" spans="1:48" s="37" customFormat="1" ht="12" x14ac:dyDescent="0.3">
      <c r="A306" s="74" t="s">
        <v>1619</v>
      </c>
      <c r="B306" s="75" t="s">
        <v>1456</v>
      </c>
      <c r="C306" s="85">
        <v>336</v>
      </c>
      <c r="D306" s="86">
        <v>110.8</v>
      </c>
      <c r="E306" s="87">
        <v>34</v>
      </c>
      <c r="F306" s="86">
        <v>85</v>
      </c>
      <c r="G306" s="17">
        <v>26</v>
      </c>
      <c r="H306" s="88">
        <v>192</v>
      </c>
      <c r="I306" s="89">
        <v>49000</v>
      </c>
      <c r="J306" s="89" t="s">
        <v>71</v>
      </c>
      <c r="K306" s="89">
        <v>30000</v>
      </c>
      <c r="L306" s="89" t="s">
        <v>68</v>
      </c>
      <c r="M306" s="90">
        <f>I306-K306</f>
        <v>19000</v>
      </c>
      <c r="N306" s="4">
        <f>IF(ISERROR(K306/I306),"",K306/I306)</f>
        <v>0.61224489795918369</v>
      </c>
      <c r="O306" s="91">
        <f>I306/E306</f>
        <v>1441.1764705882354</v>
      </c>
      <c r="P306" s="91">
        <f>K306/E306</f>
        <v>882.35294117647061</v>
      </c>
      <c r="Q306" s="79">
        <v>3</v>
      </c>
      <c r="R306" s="79">
        <v>2</v>
      </c>
      <c r="S306" s="79" t="s">
        <v>62</v>
      </c>
      <c r="T306" s="5" t="s">
        <v>135</v>
      </c>
      <c r="U306" s="9"/>
      <c r="W306" s="86">
        <f t="shared" si="292"/>
        <v>110.8</v>
      </c>
      <c r="X306" s="87">
        <f t="shared" si="292"/>
        <v>34</v>
      </c>
      <c r="Y306" s="92">
        <f t="shared" si="293"/>
        <v>192</v>
      </c>
      <c r="Z306" s="90">
        <f t="shared" si="293"/>
        <v>49000</v>
      </c>
      <c r="AA306" s="90">
        <f>K306</f>
        <v>30000</v>
      </c>
      <c r="AB306" s="90">
        <f t="shared" si="291"/>
        <v>19000</v>
      </c>
      <c r="AC306" s="4">
        <f t="shared" si="291"/>
        <v>0.61224489795918369</v>
      </c>
      <c r="AD306" s="91">
        <f t="shared" si="291"/>
        <v>1441.1764705882354</v>
      </c>
      <c r="AE306" s="79" t="str">
        <f>S306</f>
        <v>계</v>
      </c>
      <c r="AF306" s="79" t="str">
        <f>Q306&amp;"/"&amp;R306</f>
        <v>3/2</v>
      </c>
      <c r="AH306" s="20" t="str">
        <f t="shared" si="263"/>
        <v>송절동 청주테크노폴리스지웰</v>
      </c>
      <c r="AI306" s="87">
        <f t="shared" si="264"/>
        <v>34</v>
      </c>
      <c r="AJ306" s="79" t="str">
        <f>IF(AI306="","",$AJ$2)</f>
        <v>A-</v>
      </c>
      <c r="AK306" s="79" t="s">
        <v>13</v>
      </c>
      <c r="AL306" s="79" t="s">
        <v>60</v>
      </c>
      <c r="AM306" s="79" t="s">
        <v>61</v>
      </c>
      <c r="AN306" s="79" t="str">
        <f>IF(AI306="","",$AN$2)</f>
        <v>C</v>
      </c>
      <c r="AO306" s="79" t="str">
        <f>IF(N306="","",IF(N306&gt;=$AO$1/100,"O","X"))</f>
        <v>X</v>
      </c>
      <c r="AP306" s="79" t="str">
        <f>IF(I306="","",IF(I306&lt;=$AP$1,"O","X"))</f>
        <v>X</v>
      </c>
      <c r="AQ306" s="79" t="str">
        <f>IF(O306="","",IF(O306&lt;=$AQ$1,"O","X"))</f>
        <v>O</v>
      </c>
      <c r="AR306" s="79" t="str">
        <f>IF(M306="","",IF(M306&lt;=$AR$1,"O","X"))</f>
        <v>X</v>
      </c>
      <c r="AS306" s="79" t="s">
        <v>2</v>
      </c>
      <c r="AT306" s="79" t="str">
        <f>IF(OR(F306="",AI306=""),"",IF(AND((F306&lt;=85),(AI306&gt;=15)),"O","X"))</f>
        <v>O</v>
      </c>
      <c r="AU306" s="79" t="str">
        <f>IF(C306="","",IF(C306&gt;=$AU$1,"O","X"))</f>
        <v>O</v>
      </c>
      <c r="AV306" s="79" t="str">
        <f>IF(AO306="","",IF(AND(AO306="O",AP306="O",AR306="O",AT306="O",AU306="O"),"후보","X"))</f>
        <v>X</v>
      </c>
    </row>
    <row r="307" spans="1:48" s="37" customFormat="1" ht="12" x14ac:dyDescent="0.3">
      <c r="A307" s="74" t="s">
        <v>1619</v>
      </c>
      <c r="B307" s="75" t="s">
        <v>1456</v>
      </c>
      <c r="C307" s="85">
        <v>336</v>
      </c>
      <c r="D307" s="86">
        <v>111</v>
      </c>
      <c r="E307" s="87">
        <v>34</v>
      </c>
      <c r="F307" s="86">
        <v>85</v>
      </c>
      <c r="G307" s="17">
        <v>26</v>
      </c>
      <c r="H307" s="88">
        <v>44</v>
      </c>
      <c r="I307" s="89">
        <v>50000</v>
      </c>
      <c r="J307" s="89" t="s">
        <v>92</v>
      </c>
      <c r="K307" s="89">
        <v>30000</v>
      </c>
      <c r="L307" s="89" t="s">
        <v>92</v>
      </c>
      <c r="M307" s="90">
        <f>I307-K307</f>
        <v>20000</v>
      </c>
      <c r="N307" s="4">
        <f>IF(ISERROR(K307/I307),"",K307/I307)</f>
        <v>0.6</v>
      </c>
      <c r="O307" s="91">
        <f>I307/E307</f>
        <v>1470.5882352941176</v>
      </c>
      <c r="P307" s="91">
        <f>K307/E307</f>
        <v>882.35294117647061</v>
      </c>
      <c r="Q307" s="79">
        <v>3</v>
      </c>
      <c r="R307" s="79">
        <v>2</v>
      </c>
      <c r="S307" s="79" t="s">
        <v>62</v>
      </c>
      <c r="T307" s="5" t="s">
        <v>90</v>
      </c>
      <c r="U307" s="9"/>
      <c r="W307" s="86">
        <f t="shared" si="292"/>
        <v>111</v>
      </c>
      <c r="X307" s="87">
        <f t="shared" si="292"/>
        <v>34</v>
      </c>
      <c r="Y307" s="92">
        <f t="shared" si="293"/>
        <v>44</v>
      </c>
      <c r="Z307" s="90">
        <f t="shared" si="293"/>
        <v>50000</v>
      </c>
      <c r="AA307" s="90">
        <f>K307</f>
        <v>30000</v>
      </c>
      <c r="AB307" s="90">
        <f t="shared" si="291"/>
        <v>20000</v>
      </c>
      <c r="AC307" s="4">
        <f t="shared" si="291"/>
        <v>0.6</v>
      </c>
      <c r="AD307" s="91">
        <f t="shared" si="291"/>
        <v>1470.5882352941176</v>
      </c>
      <c r="AE307" s="79" t="str">
        <f>S307</f>
        <v>계</v>
      </c>
      <c r="AF307" s="79" t="str">
        <f>Q307&amp;"/"&amp;R307</f>
        <v>3/2</v>
      </c>
      <c r="AH307" s="20" t="str">
        <f t="shared" si="263"/>
        <v>송절동 청주테크노폴리스지웰</v>
      </c>
      <c r="AI307" s="87">
        <f t="shared" si="264"/>
        <v>34</v>
      </c>
      <c r="AJ307" s="79" t="str">
        <f>IF(AI307="","",$AJ$2)</f>
        <v>A-</v>
      </c>
      <c r="AK307" s="79" t="s">
        <v>13</v>
      </c>
      <c r="AL307" s="79" t="s">
        <v>60</v>
      </c>
      <c r="AM307" s="79" t="s">
        <v>61</v>
      </c>
      <c r="AN307" s="79" t="str">
        <f>IF(AI307="","",$AN$2)</f>
        <v>C</v>
      </c>
      <c r="AO307" s="79" t="str">
        <f>IF(N307="","",IF(N307&gt;=$AO$1/100,"O","X"))</f>
        <v>X</v>
      </c>
      <c r="AP307" s="79" t="str">
        <f>IF(I307="","",IF(I307&lt;=$AP$1,"O","X"))</f>
        <v>X</v>
      </c>
      <c r="AQ307" s="79" t="str">
        <f>IF(O307="","",IF(O307&lt;=$AQ$1,"O","X"))</f>
        <v>O</v>
      </c>
      <c r="AR307" s="79" t="str">
        <f>IF(M307="","",IF(M307&lt;=$AR$1,"O","X"))</f>
        <v>X</v>
      </c>
      <c r="AS307" s="79" t="s">
        <v>2</v>
      </c>
      <c r="AT307" s="79" t="str">
        <f>IF(OR(F307="",AI307=""),"",IF(AND((F307&lt;=85),(AI307&gt;=15)),"O","X"))</f>
        <v>O</v>
      </c>
      <c r="AU307" s="79" t="str">
        <f>IF(C307="","",IF(C307&gt;=$AU$1,"O","X"))</f>
        <v>O</v>
      </c>
      <c r="AV307" s="79" t="str">
        <f>IF(AO307="","",IF(AND(AO307="O",AP307="O",AR307="O",AT307="O",AU307="O"),"후보","X"))</f>
        <v>X</v>
      </c>
    </row>
    <row r="308" spans="1:48" s="37" customFormat="1" ht="12" x14ac:dyDescent="0.3">
      <c r="A308" s="74" t="s">
        <v>1619</v>
      </c>
      <c r="B308" s="75" t="s">
        <v>1456</v>
      </c>
      <c r="C308" s="85">
        <v>336</v>
      </c>
      <c r="D308" s="86">
        <v>111.2</v>
      </c>
      <c r="E308" s="87">
        <v>34</v>
      </c>
      <c r="F308" s="86">
        <v>85</v>
      </c>
      <c r="G308" s="17">
        <v>26</v>
      </c>
      <c r="H308" s="88">
        <v>100</v>
      </c>
      <c r="I308" s="89">
        <v>50000</v>
      </c>
      <c r="J308" s="89" t="s">
        <v>71</v>
      </c>
      <c r="K308" s="89">
        <v>30000</v>
      </c>
      <c r="L308" s="89" t="s">
        <v>102</v>
      </c>
      <c r="M308" s="90">
        <f>I308-K308</f>
        <v>20000</v>
      </c>
      <c r="N308" s="4">
        <f>IF(ISERROR(K308/I308),"",K308/I308)</f>
        <v>0.6</v>
      </c>
      <c r="O308" s="91">
        <f>I308/E308</f>
        <v>1470.5882352941176</v>
      </c>
      <c r="P308" s="91">
        <f>K308/E308</f>
        <v>882.35294117647061</v>
      </c>
      <c r="Q308" s="79">
        <v>3</v>
      </c>
      <c r="R308" s="79">
        <v>2</v>
      </c>
      <c r="S308" s="79" t="s">
        <v>62</v>
      </c>
      <c r="T308" s="5" t="s">
        <v>180</v>
      </c>
      <c r="U308" s="9"/>
      <c r="W308" s="86">
        <f t="shared" si="292"/>
        <v>111.2</v>
      </c>
      <c r="X308" s="87">
        <f t="shared" si="292"/>
        <v>34</v>
      </c>
      <c r="Y308" s="92">
        <f t="shared" si="293"/>
        <v>100</v>
      </c>
      <c r="Z308" s="90">
        <f t="shared" si="293"/>
        <v>50000</v>
      </c>
      <c r="AA308" s="90">
        <f>K308</f>
        <v>30000</v>
      </c>
      <c r="AB308" s="90">
        <f t="shared" si="291"/>
        <v>20000</v>
      </c>
      <c r="AC308" s="4">
        <f t="shared" si="291"/>
        <v>0.6</v>
      </c>
      <c r="AD308" s="91">
        <f t="shared" si="291"/>
        <v>1470.5882352941176</v>
      </c>
      <c r="AE308" s="79" t="str">
        <f>S308</f>
        <v>계</v>
      </c>
      <c r="AF308" s="79" t="str">
        <f>Q308&amp;"/"&amp;R308</f>
        <v>3/2</v>
      </c>
      <c r="AH308" s="20" t="str">
        <f t="shared" si="263"/>
        <v>송절동 청주테크노폴리스지웰</v>
      </c>
      <c r="AI308" s="87">
        <f t="shared" si="264"/>
        <v>34</v>
      </c>
      <c r="AJ308" s="79" t="str">
        <f>IF(AI308="","",$AJ$2)</f>
        <v>A-</v>
      </c>
      <c r="AK308" s="79" t="s">
        <v>13</v>
      </c>
      <c r="AL308" s="79" t="s">
        <v>60</v>
      </c>
      <c r="AM308" s="79" t="s">
        <v>61</v>
      </c>
      <c r="AN308" s="79" t="str">
        <f>IF(AI308="","",$AN$2)</f>
        <v>C</v>
      </c>
      <c r="AO308" s="79" t="str">
        <f>IF(N308="","",IF(N308&gt;=$AO$1/100,"O","X"))</f>
        <v>X</v>
      </c>
      <c r="AP308" s="79" t="str">
        <f>IF(I308="","",IF(I308&lt;=$AP$1,"O","X"))</f>
        <v>X</v>
      </c>
      <c r="AQ308" s="79" t="str">
        <f>IF(O308="","",IF(O308&lt;=$AQ$1,"O","X"))</f>
        <v>O</v>
      </c>
      <c r="AR308" s="79" t="str">
        <f>IF(M308="","",IF(M308&lt;=$AR$1,"O","X"))</f>
        <v>X</v>
      </c>
      <c r="AS308" s="79" t="s">
        <v>2</v>
      </c>
      <c r="AT308" s="79" t="str">
        <f>IF(OR(F308="",AI308=""),"",IF(AND((F308&lt;=85),(AI308&gt;=15)),"O","X"))</f>
        <v>O</v>
      </c>
      <c r="AU308" s="79" t="str">
        <f>IF(C308="","",IF(C308&gt;=$AU$1,"O","X"))</f>
        <v>O</v>
      </c>
      <c r="AV308" s="79" t="str">
        <f>IF(AO308="","",IF(AND(AO308="O",AP308="O",AR308="O",AT308="O",AU308="O"),"후보","X"))</f>
        <v>X</v>
      </c>
    </row>
    <row r="309" spans="1:48" s="37" customFormat="1" ht="24" customHeight="1" x14ac:dyDescent="0.3">
      <c r="A309" s="74" t="s">
        <v>1620</v>
      </c>
      <c r="B309" s="75" t="s">
        <v>1571</v>
      </c>
      <c r="C309" s="85">
        <v>427</v>
      </c>
      <c r="D309" s="86">
        <v>96.3</v>
      </c>
      <c r="E309" s="87">
        <v>29</v>
      </c>
      <c r="F309" s="86">
        <v>73.099999999999994</v>
      </c>
      <c r="G309" s="17">
        <v>22</v>
      </c>
      <c r="H309" s="88">
        <v>44</v>
      </c>
      <c r="I309" s="89">
        <v>43000</v>
      </c>
      <c r="J309" s="89" t="s">
        <v>182</v>
      </c>
      <c r="K309" s="89">
        <v>30000</v>
      </c>
      <c r="L309" s="89" t="s">
        <v>89</v>
      </c>
      <c r="M309" s="90">
        <f>I309-K309</f>
        <v>13000</v>
      </c>
      <c r="N309" s="4">
        <f>IF(ISERROR(K309/I309),"",K309/I309)</f>
        <v>0.69767441860465118</v>
      </c>
      <c r="O309" s="91">
        <f>I309/E309</f>
        <v>1482.7586206896551</v>
      </c>
      <c r="P309" s="91">
        <f>K309/E309</f>
        <v>1034.4827586206898</v>
      </c>
      <c r="Q309" s="79">
        <v>3</v>
      </c>
      <c r="R309" s="79">
        <v>2</v>
      </c>
      <c r="S309" s="79" t="s">
        <v>62</v>
      </c>
      <c r="T309" s="5">
        <v>96</v>
      </c>
      <c r="U309" s="9"/>
      <c r="W309" s="86">
        <f t="shared" si="292"/>
        <v>96.3</v>
      </c>
      <c r="X309" s="87">
        <f t="shared" si="292"/>
        <v>29</v>
      </c>
      <c r="Y309" s="92">
        <f t="shared" si="293"/>
        <v>44</v>
      </c>
      <c r="Z309" s="90">
        <f t="shared" si="293"/>
        <v>43000</v>
      </c>
      <c r="AA309" s="90">
        <f>K309</f>
        <v>30000</v>
      </c>
      <c r="AB309" s="90">
        <f t="shared" si="291"/>
        <v>13000</v>
      </c>
      <c r="AC309" s="4">
        <f t="shared" si="291"/>
        <v>0.69767441860465118</v>
      </c>
      <c r="AD309" s="91">
        <f t="shared" si="291"/>
        <v>1482.7586206896551</v>
      </c>
      <c r="AE309" s="79" t="str">
        <f>S309</f>
        <v>계</v>
      </c>
      <c r="AF309" s="79" t="str">
        <f>Q309&amp;"/"&amp;R309</f>
        <v>3/2</v>
      </c>
      <c r="AH309" s="20" t="str">
        <f t="shared" si="263"/>
        <v>송절동 청주테크노폴리스우방아이유쉘1단지</v>
      </c>
      <c r="AI309" s="87">
        <f t="shared" si="264"/>
        <v>29</v>
      </c>
      <c r="AJ309" s="79" t="str">
        <f>IF(AI309="","",$AJ$2)</f>
        <v>A-</v>
      </c>
      <c r="AK309" s="79" t="s">
        <v>13</v>
      </c>
      <c r="AL309" s="79" t="s">
        <v>60</v>
      </c>
      <c r="AM309" s="79" t="s">
        <v>61</v>
      </c>
      <c r="AN309" s="79" t="str">
        <f>IF(AI309="","",$AN$2)</f>
        <v>C</v>
      </c>
      <c r="AO309" s="79" t="str">
        <f>IF(N309="","",IF(N309&gt;=$AO$1/100,"O","X"))</f>
        <v>X</v>
      </c>
      <c r="AP309" s="79" t="str">
        <f>IF(I309="","",IF(I309&lt;=$AP$1,"O","X"))</f>
        <v>O</v>
      </c>
      <c r="AQ309" s="79" t="str">
        <f>IF(O309="","",IF(O309&lt;=$AQ$1,"O","X"))</f>
        <v>O</v>
      </c>
      <c r="AR309" s="79" t="str">
        <f>IF(M309="","",IF(M309&lt;=$AR$1,"O","X"))</f>
        <v>X</v>
      </c>
      <c r="AS309" s="79" t="s">
        <v>2</v>
      </c>
      <c r="AT309" s="79" t="str">
        <f>IF(OR(F309="",AI309=""),"",IF(AND((F309&lt;=85),(AI309&gt;=15)),"O","X"))</f>
        <v>O</v>
      </c>
      <c r="AU309" s="79" t="str">
        <f>IF(C309="","",IF(C309&gt;=$AU$1,"O","X"))</f>
        <v>O</v>
      </c>
      <c r="AV309" s="79" t="str">
        <f>IF(AO309="","",IF(AND(AO309="O",AP309="O",AR309="O",AT309="O",AU309="O"),"후보","X"))</f>
        <v>X</v>
      </c>
    </row>
    <row r="310" spans="1:48" s="37" customFormat="1" ht="24" customHeight="1" x14ac:dyDescent="0.3">
      <c r="A310" s="74" t="s">
        <v>1620</v>
      </c>
      <c r="B310" s="75" t="s">
        <v>1571</v>
      </c>
      <c r="C310" s="85">
        <v>427</v>
      </c>
      <c r="D310" s="86">
        <v>111.9</v>
      </c>
      <c r="E310" s="87">
        <v>34</v>
      </c>
      <c r="F310" s="86">
        <v>85</v>
      </c>
      <c r="G310" s="17">
        <v>26</v>
      </c>
      <c r="H310" s="88">
        <v>285</v>
      </c>
      <c r="I310" s="89">
        <v>49000</v>
      </c>
      <c r="J310" s="89" t="s">
        <v>181</v>
      </c>
      <c r="K310" s="89">
        <v>30000</v>
      </c>
      <c r="L310" s="89" t="s">
        <v>65</v>
      </c>
      <c r="M310" s="90">
        <f>I310-K310</f>
        <v>19000</v>
      </c>
      <c r="N310" s="4">
        <f>IF(ISERROR(K310/I310),"",K310/I310)</f>
        <v>0.61224489795918369</v>
      </c>
      <c r="O310" s="91">
        <f>I310/E310</f>
        <v>1441.1764705882354</v>
      </c>
      <c r="P310" s="91">
        <f>K310/E310</f>
        <v>882.35294117647061</v>
      </c>
      <c r="Q310" s="79">
        <v>4</v>
      </c>
      <c r="R310" s="79">
        <v>2</v>
      </c>
      <c r="S310" s="79" t="s">
        <v>62</v>
      </c>
      <c r="T310" s="5" t="s">
        <v>73</v>
      </c>
      <c r="U310" s="9"/>
      <c r="W310" s="86">
        <f t="shared" si="292"/>
        <v>111.9</v>
      </c>
      <c r="X310" s="87">
        <f t="shared" si="292"/>
        <v>34</v>
      </c>
      <c r="Y310" s="92">
        <f t="shared" si="293"/>
        <v>285</v>
      </c>
      <c r="Z310" s="90">
        <f t="shared" si="293"/>
        <v>49000</v>
      </c>
      <c r="AA310" s="90">
        <f>K310</f>
        <v>30000</v>
      </c>
      <c r="AB310" s="90">
        <f t="shared" si="291"/>
        <v>19000</v>
      </c>
      <c r="AC310" s="4">
        <f t="shared" si="291"/>
        <v>0.61224489795918369</v>
      </c>
      <c r="AD310" s="91">
        <f t="shared" si="291"/>
        <v>1441.1764705882354</v>
      </c>
      <c r="AE310" s="79" t="str">
        <f>S310</f>
        <v>계</v>
      </c>
      <c r="AF310" s="79" t="str">
        <f>Q310&amp;"/"&amp;R310</f>
        <v>4/2</v>
      </c>
      <c r="AH310" s="20" t="str">
        <f t="shared" si="263"/>
        <v>송절동 청주테크노폴리스우방아이유쉘1단지</v>
      </c>
      <c r="AI310" s="87">
        <f t="shared" si="264"/>
        <v>34</v>
      </c>
      <c r="AJ310" s="79" t="str">
        <f>IF(AI310="","",$AJ$2)</f>
        <v>A-</v>
      </c>
      <c r="AK310" s="79" t="s">
        <v>13</v>
      </c>
      <c r="AL310" s="79" t="s">
        <v>60</v>
      </c>
      <c r="AM310" s="79" t="s">
        <v>61</v>
      </c>
      <c r="AN310" s="79" t="str">
        <f>IF(AI310="","",$AN$2)</f>
        <v>C</v>
      </c>
      <c r="AO310" s="79" t="str">
        <f>IF(N310="","",IF(N310&gt;=$AO$1/100,"O","X"))</f>
        <v>X</v>
      </c>
      <c r="AP310" s="79" t="str">
        <f>IF(I310="","",IF(I310&lt;=$AP$1,"O","X"))</f>
        <v>X</v>
      </c>
      <c r="AQ310" s="79" t="str">
        <f>IF(O310="","",IF(O310&lt;=$AQ$1,"O","X"))</f>
        <v>O</v>
      </c>
      <c r="AR310" s="79" t="str">
        <f>IF(M310="","",IF(M310&lt;=$AR$1,"O","X"))</f>
        <v>X</v>
      </c>
      <c r="AS310" s="79" t="s">
        <v>2</v>
      </c>
      <c r="AT310" s="79" t="str">
        <f>IF(OR(F310="",AI310=""),"",IF(AND((F310&lt;=85),(AI310&gt;=15)),"O","X"))</f>
        <v>O</v>
      </c>
      <c r="AU310" s="79" t="str">
        <f>IF(C310="","",IF(C310&gt;=$AU$1,"O","X"))</f>
        <v>O</v>
      </c>
      <c r="AV310" s="79" t="str">
        <f>IF(AO310="","",IF(AND(AO310="O",AP310="O",AR310="O",AT310="O",AU310="O"),"후보","X"))</f>
        <v>X</v>
      </c>
    </row>
    <row r="311" spans="1:48" s="37" customFormat="1" ht="24" customHeight="1" x14ac:dyDescent="0.3">
      <c r="A311" s="74" t="s">
        <v>1620</v>
      </c>
      <c r="B311" s="75" t="s">
        <v>1571</v>
      </c>
      <c r="C311" s="85">
        <v>427</v>
      </c>
      <c r="D311" s="86">
        <v>112.8</v>
      </c>
      <c r="E311" s="87">
        <v>34</v>
      </c>
      <c r="F311" s="86">
        <v>84.4</v>
      </c>
      <c r="G311" s="17">
        <v>26</v>
      </c>
      <c r="H311" s="88">
        <v>98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9">
        <v>3</v>
      </c>
      <c r="R311" s="79">
        <v>2</v>
      </c>
      <c r="S311" s="79" t="s">
        <v>62</v>
      </c>
      <c r="T311" s="5" t="s">
        <v>107</v>
      </c>
      <c r="U311" s="9"/>
      <c r="W311" s="86">
        <f t="shared" si="292"/>
        <v>112.8</v>
      </c>
      <c r="X311" s="87">
        <f t="shared" si="292"/>
        <v>34</v>
      </c>
      <c r="Y311" s="92">
        <f t="shared" si="293"/>
        <v>98</v>
      </c>
      <c r="Z311" s="90">
        <f t="shared" si="293"/>
        <v>0</v>
      </c>
      <c r="AA311" s="90">
        <f>K311</f>
        <v>0</v>
      </c>
      <c r="AB311" s="90">
        <f t="shared" si="291"/>
        <v>0</v>
      </c>
      <c r="AC311" s="4" t="str">
        <f t="shared" si="291"/>
        <v/>
      </c>
      <c r="AD311" s="91">
        <f t="shared" si="291"/>
        <v>0</v>
      </c>
      <c r="AE311" s="79" t="str">
        <f>S311</f>
        <v>계</v>
      </c>
      <c r="AF311" s="79" t="str">
        <f>Q311&amp;"/"&amp;R311</f>
        <v>3/2</v>
      </c>
      <c r="AH311" s="20" t="str">
        <f t="shared" si="263"/>
        <v>송절동 청주테크노폴리스우방아이유쉘1단지</v>
      </c>
      <c r="AI311" s="87">
        <f t="shared" si="264"/>
        <v>34</v>
      </c>
      <c r="AJ311" s="79" t="str">
        <f>IF(AI311="","",$AJ$2)</f>
        <v>A-</v>
      </c>
      <c r="AK311" s="79" t="s">
        <v>13</v>
      </c>
      <c r="AL311" s="79" t="s">
        <v>60</v>
      </c>
      <c r="AM311" s="79" t="s">
        <v>61</v>
      </c>
      <c r="AN311" s="79" t="str">
        <f>IF(AI311="","",$AN$2)</f>
        <v>C</v>
      </c>
      <c r="AO311" s="79" t="str">
        <f>IF(N311="","",IF(N311&gt;=$AO$1/100,"O","X"))</f>
        <v/>
      </c>
      <c r="AP311" s="79" t="str">
        <f>IF(I311="","",IF(I311&lt;=$AP$1,"O","X"))</f>
        <v/>
      </c>
      <c r="AQ311" s="79" t="str">
        <f>IF(O311="","",IF(O311&lt;=$AQ$1,"O","X"))</f>
        <v>O</v>
      </c>
      <c r="AR311" s="79" t="str">
        <f>IF(M311="","",IF(M311&lt;=$AR$1,"O","X"))</f>
        <v>O</v>
      </c>
      <c r="AS311" s="79" t="s">
        <v>2</v>
      </c>
      <c r="AT311" s="79" t="str">
        <f>IF(OR(F311="",AI311=""),"",IF(AND((F311&lt;=85),(AI311&gt;=15)),"O","X"))</f>
        <v>O</v>
      </c>
      <c r="AU311" s="79" t="str">
        <f>IF(C311="","",IF(C311&gt;=$AU$1,"O","X"))</f>
        <v>O</v>
      </c>
      <c r="AV311" s="79" t="str">
        <f>IF(AO311="","",IF(AND(AO311="O",AP311="O",AR311="O",AT311="O",AU311="O"),"후보","X"))</f>
        <v/>
      </c>
    </row>
    <row r="312" spans="1:48" s="37" customFormat="1" ht="24" customHeight="1" x14ac:dyDescent="0.3">
      <c r="A312" s="74" t="s">
        <v>1621</v>
      </c>
      <c r="B312" s="75" t="s">
        <v>1571</v>
      </c>
      <c r="C312" s="85">
        <v>424</v>
      </c>
      <c r="D312" s="86">
        <v>96.5</v>
      </c>
      <c r="E312" s="87">
        <v>29</v>
      </c>
      <c r="F312" s="86">
        <v>73.099999999999994</v>
      </c>
      <c r="G312" s="17">
        <v>22</v>
      </c>
      <c r="H312" s="88">
        <v>48</v>
      </c>
      <c r="I312" s="89">
        <v>45000</v>
      </c>
      <c r="J312" s="89" t="s">
        <v>89</v>
      </c>
      <c r="K312" s="89">
        <v>28000</v>
      </c>
      <c r="L312" s="89" t="s">
        <v>89</v>
      </c>
      <c r="M312" s="90">
        <f>I312-K312</f>
        <v>17000</v>
      </c>
      <c r="N312" s="4">
        <f>IF(ISERROR(K312/I312),"",K312/I312)</f>
        <v>0.62222222222222223</v>
      </c>
      <c r="O312" s="91">
        <f>I312/E312</f>
        <v>1551.7241379310344</v>
      </c>
      <c r="P312" s="91">
        <f>K312/E312</f>
        <v>965.51724137931035</v>
      </c>
      <c r="Q312" s="79">
        <v>3</v>
      </c>
      <c r="R312" s="79">
        <v>2</v>
      </c>
      <c r="S312" s="79" t="s">
        <v>62</v>
      </c>
      <c r="T312" s="5">
        <v>96</v>
      </c>
      <c r="U312" s="9"/>
      <c r="W312" s="86">
        <f t="shared" si="292"/>
        <v>96.5</v>
      </c>
      <c r="X312" s="87">
        <f t="shared" si="292"/>
        <v>29</v>
      </c>
      <c r="Y312" s="92">
        <f t="shared" si="293"/>
        <v>48</v>
      </c>
      <c r="Z312" s="90">
        <f t="shared" si="293"/>
        <v>45000</v>
      </c>
      <c r="AA312" s="90">
        <f>K312</f>
        <v>28000</v>
      </c>
      <c r="AB312" s="90">
        <f t="shared" ref="AB312:AD327" si="294">M312</f>
        <v>17000</v>
      </c>
      <c r="AC312" s="4">
        <f t="shared" si="294"/>
        <v>0.62222222222222223</v>
      </c>
      <c r="AD312" s="91">
        <f t="shared" si="294"/>
        <v>1551.7241379310344</v>
      </c>
      <c r="AE312" s="79" t="str">
        <f>S312</f>
        <v>계</v>
      </c>
      <c r="AF312" s="79" t="str">
        <f>Q312&amp;"/"&amp;R312</f>
        <v>3/2</v>
      </c>
      <c r="AH312" s="20" t="str">
        <f t="shared" si="263"/>
        <v>송절동 청주테크노폴리스우방아이유쉘2단지</v>
      </c>
      <c r="AI312" s="87">
        <f t="shared" si="264"/>
        <v>29</v>
      </c>
      <c r="AJ312" s="79" t="str">
        <f>IF(AI312="","",$AJ$2)</f>
        <v>A-</v>
      </c>
      <c r="AK312" s="79" t="s">
        <v>13</v>
      </c>
      <c r="AL312" s="79" t="s">
        <v>60</v>
      </c>
      <c r="AM312" s="79" t="s">
        <v>61</v>
      </c>
      <c r="AN312" s="79" t="str">
        <f>IF(AI312="","",$AN$2)</f>
        <v>C</v>
      </c>
      <c r="AO312" s="79" t="str">
        <f>IF(N312="","",IF(N312&gt;=$AO$1/100,"O","X"))</f>
        <v>X</v>
      </c>
      <c r="AP312" s="79" t="str">
        <f>IF(I312="","",IF(I312&lt;=$AP$1,"O","X"))</f>
        <v>O</v>
      </c>
      <c r="AQ312" s="79" t="str">
        <f>IF(O312="","",IF(O312&lt;=$AQ$1,"O","X"))</f>
        <v>X</v>
      </c>
      <c r="AR312" s="79" t="str">
        <f>IF(M312="","",IF(M312&lt;=$AR$1,"O","X"))</f>
        <v>X</v>
      </c>
      <c r="AS312" s="79" t="s">
        <v>2</v>
      </c>
      <c r="AT312" s="79" t="str">
        <f>IF(OR(F312="",AI312=""),"",IF(AND((F312&lt;=85),(AI312&gt;=15)),"O","X"))</f>
        <v>O</v>
      </c>
      <c r="AU312" s="79" t="str">
        <f>IF(C312="","",IF(C312&gt;=$AU$1,"O","X"))</f>
        <v>O</v>
      </c>
      <c r="AV312" s="79" t="str">
        <f>IF(AO312="","",IF(AND(AO312="O",AP312="O",AR312="O",AT312="O",AU312="O"),"후보","X"))</f>
        <v>X</v>
      </c>
    </row>
    <row r="313" spans="1:48" s="37" customFormat="1" ht="24" customHeight="1" x14ac:dyDescent="0.3">
      <c r="A313" s="74" t="s">
        <v>1621</v>
      </c>
      <c r="B313" s="75" t="s">
        <v>1571</v>
      </c>
      <c r="C313" s="85">
        <v>424</v>
      </c>
      <c r="D313" s="86">
        <v>112.2</v>
      </c>
      <c r="E313" s="87">
        <v>34</v>
      </c>
      <c r="F313" s="86">
        <v>85</v>
      </c>
      <c r="G313" s="17">
        <v>26</v>
      </c>
      <c r="H313" s="88">
        <v>282</v>
      </c>
      <c r="I313" s="89">
        <v>49000</v>
      </c>
      <c r="J313" s="89" t="s">
        <v>64</v>
      </c>
      <c r="K313" s="89">
        <v>36000</v>
      </c>
      <c r="L313" s="89" t="s">
        <v>89</v>
      </c>
      <c r="M313" s="90">
        <f>I313-K313</f>
        <v>13000</v>
      </c>
      <c r="N313" s="4">
        <f>IF(ISERROR(K313/I313),"",K313/I313)</f>
        <v>0.73469387755102045</v>
      </c>
      <c r="O313" s="91">
        <f>I313/E313</f>
        <v>1441.1764705882354</v>
      </c>
      <c r="P313" s="91">
        <f>K313/E313</f>
        <v>1058.8235294117646</v>
      </c>
      <c r="Q313" s="79">
        <v>4</v>
      </c>
      <c r="R313" s="79">
        <v>2</v>
      </c>
      <c r="S313" s="79" t="s">
        <v>62</v>
      </c>
      <c r="T313" s="5" t="s">
        <v>106</v>
      </c>
      <c r="U313" s="9"/>
      <c r="W313" s="86">
        <f t="shared" si="292"/>
        <v>112.2</v>
      </c>
      <c r="X313" s="87">
        <f t="shared" si="292"/>
        <v>34</v>
      </c>
      <c r="Y313" s="92">
        <f t="shared" si="293"/>
        <v>282</v>
      </c>
      <c r="Z313" s="90">
        <f t="shared" si="293"/>
        <v>49000</v>
      </c>
      <c r="AA313" s="90">
        <f>K313</f>
        <v>36000</v>
      </c>
      <c r="AB313" s="90">
        <f t="shared" si="294"/>
        <v>13000</v>
      </c>
      <c r="AC313" s="4">
        <f t="shared" si="294"/>
        <v>0.73469387755102045</v>
      </c>
      <c r="AD313" s="91">
        <f t="shared" si="294"/>
        <v>1441.1764705882354</v>
      </c>
      <c r="AE313" s="79" t="str">
        <f>S313</f>
        <v>계</v>
      </c>
      <c r="AF313" s="79" t="str">
        <f>Q313&amp;"/"&amp;R313</f>
        <v>4/2</v>
      </c>
      <c r="AH313" s="20" t="str">
        <f t="shared" si="263"/>
        <v>송절동 청주테크노폴리스우방아이유쉘2단지</v>
      </c>
      <c r="AI313" s="87">
        <f t="shared" si="264"/>
        <v>34</v>
      </c>
      <c r="AJ313" s="79" t="str">
        <f>IF(AI313="","",$AJ$2)</f>
        <v>A-</v>
      </c>
      <c r="AK313" s="79" t="s">
        <v>13</v>
      </c>
      <c r="AL313" s="79" t="s">
        <v>60</v>
      </c>
      <c r="AM313" s="79" t="s">
        <v>61</v>
      </c>
      <c r="AN313" s="79" t="str">
        <f>IF(AI313="","",$AN$2)</f>
        <v>C</v>
      </c>
      <c r="AO313" s="79" t="str">
        <f>IF(N313="","",IF(N313&gt;=$AO$1/100,"O","X"))</f>
        <v>X</v>
      </c>
      <c r="AP313" s="79" t="str">
        <f>IF(I313="","",IF(I313&lt;=$AP$1,"O","X"))</f>
        <v>X</v>
      </c>
      <c r="AQ313" s="79" t="str">
        <f>IF(O313="","",IF(O313&lt;=$AQ$1,"O","X"))</f>
        <v>O</v>
      </c>
      <c r="AR313" s="79" t="str">
        <f>IF(M313="","",IF(M313&lt;=$AR$1,"O","X"))</f>
        <v>X</v>
      </c>
      <c r="AS313" s="79" t="s">
        <v>2</v>
      </c>
      <c r="AT313" s="79" t="str">
        <f>IF(OR(F313="",AI313=""),"",IF(AND((F313&lt;=85),(AI313&gt;=15)),"O","X"))</f>
        <v>O</v>
      </c>
      <c r="AU313" s="79" t="str">
        <f>IF(C313="","",IF(C313&gt;=$AU$1,"O","X"))</f>
        <v>O</v>
      </c>
      <c r="AV313" s="79" t="str">
        <f>IF(AO313="","",IF(AND(AO313="O",AP313="O",AR313="O",AT313="O",AU313="O"),"후보","X"))</f>
        <v>X</v>
      </c>
    </row>
    <row r="314" spans="1:48" s="37" customFormat="1" ht="24" customHeight="1" x14ac:dyDescent="0.3">
      <c r="A314" s="74" t="s">
        <v>1621</v>
      </c>
      <c r="B314" s="75" t="s">
        <v>1571</v>
      </c>
      <c r="C314" s="85">
        <v>424</v>
      </c>
      <c r="D314" s="86">
        <v>113.1</v>
      </c>
      <c r="E314" s="87">
        <v>34</v>
      </c>
      <c r="F314" s="86">
        <v>84.4</v>
      </c>
      <c r="G314" s="17">
        <v>26</v>
      </c>
      <c r="H314" s="88">
        <v>94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9">
        <v>3</v>
      </c>
      <c r="R314" s="79">
        <v>2</v>
      </c>
      <c r="S314" s="79" t="s">
        <v>62</v>
      </c>
      <c r="T314" s="5" t="s">
        <v>160</v>
      </c>
      <c r="U314" s="9"/>
      <c r="W314" s="86">
        <f t="shared" si="292"/>
        <v>113.1</v>
      </c>
      <c r="X314" s="87">
        <f t="shared" si="292"/>
        <v>34</v>
      </c>
      <c r="Y314" s="92">
        <f t="shared" si="293"/>
        <v>94</v>
      </c>
      <c r="Z314" s="90">
        <f t="shared" si="293"/>
        <v>0</v>
      </c>
      <c r="AA314" s="90">
        <f>K314</f>
        <v>0</v>
      </c>
      <c r="AB314" s="90">
        <f t="shared" si="294"/>
        <v>0</v>
      </c>
      <c r="AC314" s="4" t="str">
        <f t="shared" si="294"/>
        <v/>
      </c>
      <c r="AD314" s="91">
        <f t="shared" si="294"/>
        <v>0</v>
      </c>
      <c r="AE314" s="79" t="str">
        <f>S314</f>
        <v>계</v>
      </c>
      <c r="AF314" s="79" t="str">
        <f>Q314&amp;"/"&amp;R314</f>
        <v>3/2</v>
      </c>
      <c r="AH314" s="20" t="str">
        <f t="shared" si="263"/>
        <v>송절동 청주테크노폴리스우방아이유쉘2단지</v>
      </c>
      <c r="AI314" s="87">
        <f t="shared" si="264"/>
        <v>34</v>
      </c>
      <c r="AJ314" s="79" t="str">
        <f>IF(AI314="","",$AJ$2)</f>
        <v>A-</v>
      </c>
      <c r="AK314" s="79" t="s">
        <v>13</v>
      </c>
      <c r="AL314" s="79" t="s">
        <v>60</v>
      </c>
      <c r="AM314" s="79" t="s">
        <v>61</v>
      </c>
      <c r="AN314" s="79" t="str">
        <f>IF(AI314="","",$AN$2)</f>
        <v>C</v>
      </c>
      <c r="AO314" s="79" t="str">
        <f>IF(N314="","",IF(N314&gt;=$AO$1/100,"O","X"))</f>
        <v/>
      </c>
      <c r="AP314" s="79" t="str">
        <f>IF(I314="","",IF(I314&lt;=$AP$1,"O","X"))</f>
        <v/>
      </c>
      <c r="AQ314" s="79" t="str">
        <f>IF(O314="","",IF(O314&lt;=$AQ$1,"O","X"))</f>
        <v>O</v>
      </c>
      <c r="AR314" s="79" t="str">
        <f>IF(M314="","",IF(M314&lt;=$AR$1,"O","X"))</f>
        <v>O</v>
      </c>
      <c r="AS314" s="79" t="s">
        <v>2</v>
      </c>
      <c r="AT314" s="79" t="str">
        <f>IF(OR(F314="",AI314=""),"",IF(AND((F314&lt;=85),(AI314&gt;=15)),"O","X"))</f>
        <v>O</v>
      </c>
      <c r="AU314" s="79" t="str">
        <f>IF(C314="","",IF(C314&gt;=$AU$1,"O","X"))</f>
        <v>O</v>
      </c>
      <c r="AV314" s="79" t="str">
        <f>IF(AO314="","",IF(AND(AO314="O",AP314="O",AR314="O",AT314="O",AU314="O"),"후보","X"))</f>
        <v/>
      </c>
    </row>
    <row r="315" spans="1:48" s="37" customFormat="1" ht="12" x14ac:dyDescent="0.3">
      <c r="A315" s="74" t="s">
        <v>1622</v>
      </c>
      <c r="B315" s="75" t="s">
        <v>1623</v>
      </c>
      <c r="C315" s="85">
        <v>1020</v>
      </c>
      <c r="D315" s="86">
        <v>112</v>
      </c>
      <c r="E315" s="87">
        <v>34</v>
      </c>
      <c r="F315" s="86">
        <v>84.9</v>
      </c>
      <c r="G315" s="17">
        <v>26</v>
      </c>
      <c r="H315" s="88">
        <v>106</v>
      </c>
      <c r="I315" s="89">
        <v>53000</v>
      </c>
      <c r="J315" s="89" t="s">
        <v>182</v>
      </c>
      <c r="K315" s="89"/>
      <c r="L315" s="89"/>
      <c r="M315" s="90">
        <f t="shared" ref="M315:M320" si="295">I315-K315</f>
        <v>53000</v>
      </c>
      <c r="N315" s="4">
        <f t="shared" ref="N315:N320" si="296">IF(ISERROR(K315/I315),"",K315/I315)</f>
        <v>0</v>
      </c>
      <c r="O315" s="91">
        <f t="shared" ref="O315:O320" si="297">I315/E315</f>
        <v>1558.8235294117646</v>
      </c>
      <c r="P315" s="91">
        <f t="shared" ref="P315:P320" si="298">K315/E315</f>
        <v>0</v>
      </c>
      <c r="Q315" s="79">
        <v>3</v>
      </c>
      <c r="R315" s="79">
        <v>2</v>
      </c>
      <c r="S315" s="79" t="s">
        <v>62</v>
      </c>
      <c r="T315" s="5" t="s">
        <v>183</v>
      </c>
      <c r="U315" s="9"/>
      <c r="W315" s="86">
        <f t="shared" si="292"/>
        <v>112</v>
      </c>
      <c r="X315" s="87">
        <f t="shared" si="292"/>
        <v>34</v>
      </c>
      <c r="Y315" s="92">
        <f t="shared" si="293"/>
        <v>106</v>
      </c>
      <c r="Z315" s="90">
        <f t="shared" si="293"/>
        <v>53000</v>
      </c>
      <c r="AA315" s="90">
        <f t="shared" ref="AA315:AA320" si="299">K315</f>
        <v>0</v>
      </c>
      <c r="AB315" s="90">
        <f t="shared" si="294"/>
        <v>53000</v>
      </c>
      <c r="AC315" s="4">
        <f t="shared" si="294"/>
        <v>0</v>
      </c>
      <c r="AD315" s="91">
        <f t="shared" si="294"/>
        <v>1558.8235294117646</v>
      </c>
      <c r="AE315" s="79" t="str">
        <f t="shared" ref="AE315:AE320" si="300">S315</f>
        <v>계</v>
      </c>
      <c r="AF315" s="79" t="str">
        <f t="shared" ref="AF315:AF320" si="301">Q315&amp;"/"&amp;R315</f>
        <v>3/2</v>
      </c>
      <c r="AH315" s="20" t="str">
        <f t="shared" si="263"/>
        <v>송절동 테크노폴리스우미린</v>
      </c>
      <c r="AI315" s="87">
        <f t="shared" si="264"/>
        <v>34</v>
      </c>
      <c r="AJ315" s="79" t="str">
        <f t="shared" ref="AJ315:AJ320" si="302">IF(AI315="","",$AJ$2)</f>
        <v>A-</v>
      </c>
      <c r="AK315" s="79" t="s">
        <v>13</v>
      </c>
      <c r="AL315" s="79" t="s">
        <v>60</v>
      </c>
      <c r="AM315" s="79" t="s">
        <v>61</v>
      </c>
      <c r="AN315" s="79" t="str">
        <f t="shared" ref="AN315:AN320" si="303">IF(AI315="","",$AN$2)</f>
        <v>C</v>
      </c>
      <c r="AO315" s="79" t="str">
        <f t="shared" ref="AO315:AO320" si="304">IF(N315="","",IF(N315&gt;=$AO$1/100,"O","X"))</f>
        <v>X</v>
      </c>
      <c r="AP315" s="79" t="str">
        <f t="shared" ref="AP315:AP320" si="305">IF(I315="","",IF(I315&lt;=$AP$1,"O","X"))</f>
        <v>X</v>
      </c>
      <c r="AQ315" s="79" t="str">
        <f t="shared" ref="AQ315:AQ320" si="306">IF(O315="","",IF(O315&lt;=$AQ$1,"O","X"))</f>
        <v>X</v>
      </c>
      <c r="AR315" s="79" t="str">
        <f t="shared" ref="AR315:AR320" si="307">IF(M315="","",IF(M315&lt;=$AR$1,"O","X"))</f>
        <v>X</v>
      </c>
      <c r="AS315" s="79" t="s">
        <v>2</v>
      </c>
      <c r="AT315" s="79" t="str">
        <f t="shared" ref="AT315:AT320" si="308">IF(OR(F315="",AI315=""),"",IF(AND((F315&lt;=85),(AI315&gt;=15)),"O","X"))</f>
        <v>O</v>
      </c>
      <c r="AU315" s="79" t="str">
        <f t="shared" ref="AU315:AU320" si="309">IF(C315="","",IF(C315&gt;=$AU$1,"O","X"))</f>
        <v>O</v>
      </c>
      <c r="AV315" s="79" t="str">
        <f t="shared" ref="AV315:AV320" si="310">IF(AO315="","",IF(AND(AO315="O",AP315="O",AR315="O",AT315="O",AU315="O"),"후보","X"))</f>
        <v>X</v>
      </c>
    </row>
    <row r="316" spans="1:48" s="37" customFormat="1" ht="12" x14ac:dyDescent="0.3">
      <c r="A316" s="74" t="s">
        <v>1622</v>
      </c>
      <c r="B316" s="75" t="s">
        <v>1623</v>
      </c>
      <c r="C316" s="85">
        <v>1020</v>
      </c>
      <c r="D316" s="86">
        <v>112.3</v>
      </c>
      <c r="E316" s="87">
        <v>34</v>
      </c>
      <c r="F316" s="86">
        <v>85</v>
      </c>
      <c r="G316" s="17">
        <v>26</v>
      </c>
      <c r="H316" s="88">
        <v>288</v>
      </c>
      <c r="I316" s="89">
        <v>49000</v>
      </c>
      <c r="J316" s="89" t="s">
        <v>89</v>
      </c>
      <c r="K316" s="89">
        <v>35000</v>
      </c>
      <c r="L316" s="89" t="s">
        <v>83</v>
      </c>
      <c r="M316" s="90">
        <f t="shared" si="295"/>
        <v>14000</v>
      </c>
      <c r="N316" s="4">
        <f t="shared" si="296"/>
        <v>0.7142857142857143</v>
      </c>
      <c r="O316" s="91">
        <f t="shared" si="297"/>
        <v>1441.1764705882354</v>
      </c>
      <c r="P316" s="91">
        <f t="shared" si="298"/>
        <v>1029.4117647058824</v>
      </c>
      <c r="Q316" s="79">
        <v>4</v>
      </c>
      <c r="R316" s="79">
        <v>2</v>
      </c>
      <c r="S316" s="79" t="s">
        <v>62</v>
      </c>
      <c r="T316" s="5" t="s">
        <v>107</v>
      </c>
      <c r="U316" s="9"/>
      <c r="W316" s="86">
        <f t="shared" si="292"/>
        <v>112.3</v>
      </c>
      <c r="X316" s="87">
        <f t="shared" si="292"/>
        <v>34</v>
      </c>
      <c r="Y316" s="92">
        <f t="shared" si="293"/>
        <v>288</v>
      </c>
      <c r="Z316" s="90">
        <f t="shared" si="293"/>
        <v>49000</v>
      </c>
      <c r="AA316" s="90">
        <f t="shared" si="299"/>
        <v>35000</v>
      </c>
      <c r="AB316" s="90">
        <f t="shared" si="294"/>
        <v>14000</v>
      </c>
      <c r="AC316" s="4">
        <f t="shared" si="294"/>
        <v>0.7142857142857143</v>
      </c>
      <c r="AD316" s="91">
        <f t="shared" si="294"/>
        <v>1441.1764705882354</v>
      </c>
      <c r="AE316" s="79" t="str">
        <f t="shared" si="300"/>
        <v>계</v>
      </c>
      <c r="AF316" s="79" t="str">
        <f t="shared" si="301"/>
        <v>4/2</v>
      </c>
      <c r="AH316" s="20" t="str">
        <f t="shared" si="263"/>
        <v>송절동 테크노폴리스우미린</v>
      </c>
      <c r="AI316" s="87">
        <f t="shared" si="264"/>
        <v>34</v>
      </c>
      <c r="AJ316" s="79" t="str">
        <f t="shared" si="302"/>
        <v>A-</v>
      </c>
      <c r="AK316" s="79" t="s">
        <v>13</v>
      </c>
      <c r="AL316" s="79" t="s">
        <v>60</v>
      </c>
      <c r="AM316" s="79" t="s">
        <v>61</v>
      </c>
      <c r="AN316" s="79" t="str">
        <f t="shared" si="303"/>
        <v>C</v>
      </c>
      <c r="AO316" s="79" t="str">
        <f t="shared" si="304"/>
        <v>X</v>
      </c>
      <c r="AP316" s="79" t="str">
        <f t="shared" si="305"/>
        <v>X</v>
      </c>
      <c r="AQ316" s="79" t="str">
        <f t="shared" si="306"/>
        <v>O</v>
      </c>
      <c r="AR316" s="79" t="str">
        <f t="shared" si="307"/>
        <v>X</v>
      </c>
      <c r="AS316" s="79" t="s">
        <v>2</v>
      </c>
      <c r="AT316" s="79" t="str">
        <f t="shared" si="308"/>
        <v>O</v>
      </c>
      <c r="AU316" s="79" t="str">
        <f t="shared" si="309"/>
        <v>O</v>
      </c>
      <c r="AV316" s="79" t="str">
        <f t="shared" si="310"/>
        <v>X</v>
      </c>
    </row>
    <row r="317" spans="1:48" s="37" customFormat="1" ht="12" x14ac:dyDescent="0.3">
      <c r="A317" s="74" t="s">
        <v>1622</v>
      </c>
      <c r="B317" s="75" t="s">
        <v>1623</v>
      </c>
      <c r="C317" s="85">
        <v>1020</v>
      </c>
      <c r="D317" s="86">
        <v>112.2</v>
      </c>
      <c r="E317" s="87">
        <v>34</v>
      </c>
      <c r="F317" s="86">
        <v>85</v>
      </c>
      <c r="G317" s="17">
        <v>26</v>
      </c>
      <c r="H317" s="88">
        <v>250</v>
      </c>
      <c r="I317" s="89">
        <v>48000</v>
      </c>
      <c r="J317" s="89" t="s">
        <v>83</v>
      </c>
      <c r="K317" s="89">
        <v>35000</v>
      </c>
      <c r="L317" s="89" t="s">
        <v>102</v>
      </c>
      <c r="M317" s="90">
        <f t="shared" si="295"/>
        <v>13000</v>
      </c>
      <c r="N317" s="4">
        <f t="shared" si="296"/>
        <v>0.72916666666666663</v>
      </c>
      <c r="O317" s="91">
        <f t="shared" si="297"/>
        <v>1411.7647058823529</v>
      </c>
      <c r="P317" s="91">
        <f t="shared" si="298"/>
        <v>1029.4117647058824</v>
      </c>
      <c r="Q317" s="79">
        <v>3</v>
      </c>
      <c r="R317" s="79">
        <v>2</v>
      </c>
      <c r="S317" s="79" t="s">
        <v>62</v>
      </c>
      <c r="T317" s="5" t="s">
        <v>106</v>
      </c>
      <c r="U317" s="9"/>
      <c r="W317" s="86">
        <f t="shared" si="292"/>
        <v>112.2</v>
      </c>
      <c r="X317" s="87">
        <f t="shared" si="292"/>
        <v>34</v>
      </c>
      <c r="Y317" s="92">
        <f t="shared" si="293"/>
        <v>250</v>
      </c>
      <c r="Z317" s="90">
        <f t="shared" si="293"/>
        <v>48000</v>
      </c>
      <c r="AA317" s="90">
        <f t="shared" si="299"/>
        <v>35000</v>
      </c>
      <c r="AB317" s="90">
        <f t="shared" si="294"/>
        <v>13000</v>
      </c>
      <c r="AC317" s="4">
        <f t="shared" si="294"/>
        <v>0.72916666666666663</v>
      </c>
      <c r="AD317" s="91">
        <f t="shared" si="294"/>
        <v>1411.7647058823529</v>
      </c>
      <c r="AE317" s="79" t="str">
        <f t="shared" si="300"/>
        <v>계</v>
      </c>
      <c r="AF317" s="79" t="str">
        <f t="shared" si="301"/>
        <v>3/2</v>
      </c>
      <c r="AH317" s="20" t="str">
        <f t="shared" si="263"/>
        <v>송절동 테크노폴리스우미린</v>
      </c>
      <c r="AI317" s="87">
        <f t="shared" si="264"/>
        <v>34</v>
      </c>
      <c r="AJ317" s="79" t="str">
        <f t="shared" si="302"/>
        <v>A-</v>
      </c>
      <c r="AK317" s="79" t="s">
        <v>13</v>
      </c>
      <c r="AL317" s="79" t="s">
        <v>60</v>
      </c>
      <c r="AM317" s="79" t="s">
        <v>61</v>
      </c>
      <c r="AN317" s="79" t="str">
        <f t="shared" si="303"/>
        <v>C</v>
      </c>
      <c r="AO317" s="79" t="str">
        <f t="shared" si="304"/>
        <v>X</v>
      </c>
      <c r="AP317" s="79" t="str">
        <f t="shared" si="305"/>
        <v>X</v>
      </c>
      <c r="AQ317" s="79" t="str">
        <f t="shared" si="306"/>
        <v>O</v>
      </c>
      <c r="AR317" s="79" t="str">
        <f t="shared" si="307"/>
        <v>X</v>
      </c>
      <c r="AS317" s="79" t="s">
        <v>2</v>
      </c>
      <c r="AT317" s="79" t="str">
        <f t="shared" si="308"/>
        <v>O</v>
      </c>
      <c r="AU317" s="79" t="str">
        <f t="shared" si="309"/>
        <v>O</v>
      </c>
      <c r="AV317" s="79" t="str">
        <f t="shared" si="310"/>
        <v>X</v>
      </c>
    </row>
    <row r="318" spans="1:48" s="37" customFormat="1" ht="12" x14ac:dyDescent="0.3">
      <c r="A318" s="74" t="s">
        <v>1622</v>
      </c>
      <c r="B318" s="75" t="s">
        <v>1623</v>
      </c>
      <c r="C318" s="85">
        <v>1020</v>
      </c>
      <c r="D318" s="86">
        <v>112.4</v>
      </c>
      <c r="E318" s="87">
        <v>34</v>
      </c>
      <c r="F318" s="86">
        <v>84.9</v>
      </c>
      <c r="G318" s="17">
        <v>26</v>
      </c>
      <c r="H318" s="88">
        <v>211</v>
      </c>
      <c r="I318" s="89">
        <v>50000</v>
      </c>
      <c r="J318" s="89" t="s">
        <v>88</v>
      </c>
      <c r="K318" s="89">
        <v>38000</v>
      </c>
      <c r="L318" s="89" t="s">
        <v>69</v>
      </c>
      <c r="M318" s="90">
        <f t="shared" si="295"/>
        <v>12000</v>
      </c>
      <c r="N318" s="4">
        <f t="shared" si="296"/>
        <v>0.76</v>
      </c>
      <c r="O318" s="91">
        <f t="shared" si="297"/>
        <v>1470.5882352941176</v>
      </c>
      <c r="P318" s="91">
        <f t="shared" si="298"/>
        <v>1117.6470588235295</v>
      </c>
      <c r="Q318" s="79">
        <v>3</v>
      </c>
      <c r="R318" s="79">
        <v>2</v>
      </c>
      <c r="S318" s="79" t="s">
        <v>62</v>
      </c>
      <c r="T318" s="5" t="s">
        <v>184</v>
      </c>
      <c r="U318" s="9"/>
      <c r="W318" s="86">
        <f t="shared" ref="W318:X330" si="311">D318</f>
        <v>112.4</v>
      </c>
      <c r="X318" s="87">
        <f t="shared" si="311"/>
        <v>34</v>
      </c>
      <c r="Y318" s="92">
        <f t="shared" ref="Y318:Z330" si="312">H318</f>
        <v>211</v>
      </c>
      <c r="Z318" s="90">
        <f t="shared" si="312"/>
        <v>50000</v>
      </c>
      <c r="AA318" s="90">
        <f t="shared" si="299"/>
        <v>38000</v>
      </c>
      <c r="AB318" s="90">
        <f t="shared" si="294"/>
        <v>12000</v>
      </c>
      <c r="AC318" s="4">
        <f t="shared" si="294"/>
        <v>0.76</v>
      </c>
      <c r="AD318" s="91">
        <f t="shared" si="294"/>
        <v>1470.5882352941176</v>
      </c>
      <c r="AE318" s="79" t="str">
        <f t="shared" si="300"/>
        <v>계</v>
      </c>
      <c r="AF318" s="79" t="str">
        <f t="shared" si="301"/>
        <v>3/2</v>
      </c>
      <c r="AH318" s="20" t="str">
        <f t="shared" si="263"/>
        <v>송절동 테크노폴리스우미린</v>
      </c>
      <c r="AI318" s="87">
        <f t="shared" si="264"/>
        <v>34</v>
      </c>
      <c r="AJ318" s="79" t="str">
        <f t="shared" si="302"/>
        <v>A-</v>
      </c>
      <c r="AK318" s="79" t="s">
        <v>13</v>
      </c>
      <c r="AL318" s="79" t="s">
        <v>60</v>
      </c>
      <c r="AM318" s="79" t="s">
        <v>61</v>
      </c>
      <c r="AN318" s="79" t="str">
        <f t="shared" si="303"/>
        <v>C</v>
      </c>
      <c r="AO318" s="79" t="str">
        <f t="shared" si="304"/>
        <v>X</v>
      </c>
      <c r="AP318" s="79" t="str">
        <f t="shared" si="305"/>
        <v>X</v>
      </c>
      <c r="AQ318" s="79" t="str">
        <f t="shared" si="306"/>
        <v>O</v>
      </c>
      <c r="AR318" s="79" t="str">
        <f t="shared" si="307"/>
        <v>X</v>
      </c>
      <c r="AS318" s="79" t="s">
        <v>2</v>
      </c>
      <c r="AT318" s="79" t="str">
        <f t="shared" si="308"/>
        <v>O</v>
      </c>
      <c r="AU318" s="79" t="str">
        <f t="shared" si="309"/>
        <v>O</v>
      </c>
      <c r="AV318" s="79" t="str">
        <f t="shared" si="310"/>
        <v>X</v>
      </c>
    </row>
    <row r="319" spans="1:48" s="37" customFormat="1" ht="12" x14ac:dyDescent="0.3">
      <c r="A319" s="74" t="s">
        <v>1622</v>
      </c>
      <c r="B319" s="75" t="s">
        <v>1623</v>
      </c>
      <c r="C319" s="85">
        <v>1020</v>
      </c>
      <c r="D319" s="86">
        <v>112.1</v>
      </c>
      <c r="E319" s="87">
        <v>34</v>
      </c>
      <c r="F319" s="86">
        <v>84.9</v>
      </c>
      <c r="G319" s="17">
        <v>26</v>
      </c>
      <c r="H319" s="88">
        <v>107</v>
      </c>
      <c r="I319" s="89">
        <v>51000</v>
      </c>
      <c r="J319" s="89" t="s">
        <v>88</v>
      </c>
      <c r="K319" s="89">
        <v>30000</v>
      </c>
      <c r="L319" s="89" t="s">
        <v>88</v>
      </c>
      <c r="M319" s="90">
        <f t="shared" si="295"/>
        <v>21000</v>
      </c>
      <c r="N319" s="4">
        <f t="shared" si="296"/>
        <v>0.58823529411764708</v>
      </c>
      <c r="O319" s="91">
        <f t="shared" si="297"/>
        <v>1500</v>
      </c>
      <c r="P319" s="91">
        <f t="shared" si="298"/>
        <v>882.35294117647061</v>
      </c>
      <c r="Q319" s="79">
        <v>3</v>
      </c>
      <c r="R319" s="79">
        <v>2</v>
      </c>
      <c r="S319" s="79" t="s">
        <v>62</v>
      </c>
      <c r="T319" s="5" t="s">
        <v>185</v>
      </c>
      <c r="U319" s="9"/>
      <c r="W319" s="86">
        <f t="shared" si="311"/>
        <v>112.1</v>
      </c>
      <c r="X319" s="87">
        <f t="shared" si="311"/>
        <v>34</v>
      </c>
      <c r="Y319" s="92">
        <f t="shared" si="312"/>
        <v>107</v>
      </c>
      <c r="Z319" s="90">
        <f t="shared" si="312"/>
        <v>51000</v>
      </c>
      <c r="AA319" s="90">
        <f t="shared" si="299"/>
        <v>30000</v>
      </c>
      <c r="AB319" s="90">
        <f t="shared" si="294"/>
        <v>21000</v>
      </c>
      <c r="AC319" s="4">
        <f t="shared" si="294"/>
        <v>0.58823529411764708</v>
      </c>
      <c r="AD319" s="91">
        <f t="shared" si="294"/>
        <v>1500</v>
      </c>
      <c r="AE319" s="79" t="str">
        <f t="shared" si="300"/>
        <v>계</v>
      </c>
      <c r="AF319" s="79" t="str">
        <f t="shared" si="301"/>
        <v>3/2</v>
      </c>
      <c r="AH319" s="20" t="str">
        <f t="shared" si="263"/>
        <v>송절동 테크노폴리스우미린</v>
      </c>
      <c r="AI319" s="87">
        <f t="shared" si="264"/>
        <v>34</v>
      </c>
      <c r="AJ319" s="79" t="str">
        <f t="shared" si="302"/>
        <v>A-</v>
      </c>
      <c r="AK319" s="79" t="s">
        <v>13</v>
      </c>
      <c r="AL319" s="79" t="s">
        <v>60</v>
      </c>
      <c r="AM319" s="79" t="s">
        <v>61</v>
      </c>
      <c r="AN319" s="79" t="str">
        <f t="shared" si="303"/>
        <v>C</v>
      </c>
      <c r="AO319" s="79" t="str">
        <f t="shared" si="304"/>
        <v>X</v>
      </c>
      <c r="AP319" s="79" t="str">
        <f t="shared" si="305"/>
        <v>X</v>
      </c>
      <c r="AQ319" s="79" t="str">
        <f t="shared" si="306"/>
        <v>O</v>
      </c>
      <c r="AR319" s="79" t="str">
        <f t="shared" si="307"/>
        <v>X</v>
      </c>
      <c r="AS319" s="79" t="s">
        <v>2</v>
      </c>
      <c r="AT319" s="79" t="str">
        <f t="shared" si="308"/>
        <v>O</v>
      </c>
      <c r="AU319" s="79" t="str">
        <f t="shared" si="309"/>
        <v>O</v>
      </c>
      <c r="AV319" s="79" t="str">
        <f t="shared" si="310"/>
        <v>X</v>
      </c>
    </row>
    <row r="320" spans="1:48" s="37" customFormat="1" ht="12" x14ac:dyDescent="0.3">
      <c r="A320" s="74" t="s">
        <v>1622</v>
      </c>
      <c r="B320" s="75" t="s">
        <v>1623</v>
      </c>
      <c r="C320" s="85">
        <v>1020</v>
      </c>
      <c r="D320" s="86">
        <v>112.4</v>
      </c>
      <c r="E320" s="87">
        <v>34</v>
      </c>
      <c r="F320" s="86">
        <v>85</v>
      </c>
      <c r="G320" s="17">
        <v>26</v>
      </c>
      <c r="H320" s="88">
        <v>58</v>
      </c>
      <c r="I320" s="89">
        <v>51000</v>
      </c>
      <c r="J320" s="89" t="s">
        <v>81</v>
      </c>
      <c r="K320" s="89"/>
      <c r="L320" s="89"/>
      <c r="M320" s="90">
        <f t="shared" si="295"/>
        <v>51000</v>
      </c>
      <c r="N320" s="4">
        <f t="shared" si="296"/>
        <v>0</v>
      </c>
      <c r="O320" s="91">
        <f t="shared" si="297"/>
        <v>1500</v>
      </c>
      <c r="P320" s="91">
        <f t="shared" si="298"/>
        <v>0</v>
      </c>
      <c r="Q320" s="79">
        <v>3</v>
      </c>
      <c r="R320" s="79">
        <v>2</v>
      </c>
      <c r="S320" s="79" t="s">
        <v>62</v>
      </c>
      <c r="T320" s="5" t="s">
        <v>113</v>
      </c>
      <c r="U320" s="9"/>
      <c r="W320" s="86">
        <f t="shared" si="311"/>
        <v>112.4</v>
      </c>
      <c r="X320" s="87">
        <f t="shared" si="311"/>
        <v>34</v>
      </c>
      <c r="Y320" s="92">
        <f t="shared" si="312"/>
        <v>58</v>
      </c>
      <c r="Z320" s="90">
        <f t="shared" si="312"/>
        <v>51000</v>
      </c>
      <c r="AA320" s="90">
        <f t="shared" si="299"/>
        <v>0</v>
      </c>
      <c r="AB320" s="90">
        <f t="shared" si="294"/>
        <v>51000</v>
      </c>
      <c r="AC320" s="4">
        <f t="shared" si="294"/>
        <v>0</v>
      </c>
      <c r="AD320" s="91">
        <f t="shared" si="294"/>
        <v>1500</v>
      </c>
      <c r="AE320" s="79" t="str">
        <f t="shared" si="300"/>
        <v>계</v>
      </c>
      <c r="AF320" s="79" t="str">
        <f t="shared" si="301"/>
        <v>3/2</v>
      </c>
      <c r="AH320" s="20" t="str">
        <f t="shared" si="263"/>
        <v>송절동 테크노폴리스우미린</v>
      </c>
      <c r="AI320" s="87">
        <f t="shared" si="264"/>
        <v>34</v>
      </c>
      <c r="AJ320" s="79" t="str">
        <f t="shared" si="302"/>
        <v>A-</v>
      </c>
      <c r="AK320" s="79" t="s">
        <v>13</v>
      </c>
      <c r="AL320" s="79" t="s">
        <v>60</v>
      </c>
      <c r="AM320" s="79" t="s">
        <v>61</v>
      </c>
      <c r="AN320" s="79" t="str">
        <f t="shared" si="303"/>
        <v>C</v>
      </c>
      <c r="AO320" s="79" t="str">
        <f t="shared" si="304"/>
        <v>X</v>
      </c>
      <c r="AP320" s="79" t="str">
        <f t="shared" si="305"/>
        <v>X</v>
      </c>
      <c r="AQ320" s="79" t="str">
        <f t="shared" si="306"/>
        <v>O</v>
      </c>
      <c r="AR320" s="79" t="str">
        <f t="shared" si="307"/>
        <v>X</v>
      </c>
      <c r="AS320" s="79" t="s">
        <v>2</v>
      </c>
      <c r="AT320" s="79" t="str">
        <f t="shared" si="308"/>
        <v>O</v>
      </c>
      <c r="AU320" s="79" t="str">
        <f t="shared" si="309"/>
        <v>O</v>
      </c>
      <c r="AV320" s="79" t="str">
        <f t="shared" si="310"/>
        <v>X</v>
      </c>
    </row>
    <row r="321" spans="1:48" s="37" customFormat="1" ht="12" x14ac:dyDescent="0.3">
      <c r="A321" s="74" t="s">
        <v>1624</v>
      </c>
      <c r="B321" s="75" t="s">
        <v>1440</v>
      </c>
      <c r="C321" s="85">
        <v>570</v>
      </c>
      <c r="D321" s="86">
        <v>92</v>
      </c>
      <c r="E321" s="87">
        <v>28</v>
      </c>
      <c r="F321" s="86">
        <v>74.099999999999994</v>
      </c>
      <c r="G321" s="17">
        <v>22</v>
      </c>
      <c r="H321" s="88">
        <v>72</v>
      </c>
      <c r="I321" s="89"/>
      <c r="J321" s="89"/>
      <c r="K321" s="89"/>
      <c r="L321" s="89"/>
      <c r="M321" s="90">
        <f>I321-K321</f>
        <v>0</v>
      </c>
      <c r="N321" s="4" t="str">
        <f>IF(ISERROR(K321/I321),"",K321/I321)</f>
        <v/>
      </c>
      <c r="O321" s="91">
        <f>I321/E321</f>
        <v>0</v>
      </c>
      <c r="P321" s="91">
        <f>K321/E321</f>
        <v>0</v>
      </c>
      <c r="Q321" s="79">
        <v>3</v>
      </c>
      <c r="R321" s="79">
        <v>1</v>
      </c>
      <c r="S321" s="79" t="s">
        <v>62</v>
      </c>
      <c r="T321" s="5">
        <v>92</v>
      </c>
      <c r="U321" s="9"/>
      <c r="W321" s="86">
        <f t="shared" si="311"/>
        <v>92</v>
      </c>
      <c r="X321" s="87">
        <f t="shared" si="311"/>
        <v>28</v>
      </c>
      <c r="Y321" s="92">
        <f t="shared" si="312"/>
        <v>72</v>
      </c>
      <c r="Z321" s="90">
        <f t="shared" si="312"/>
        <v>0</v>
      </c>
      <c r="AA321" s="90">
        <f>K321</f>
        <v>0</v>
      </c>
      <c r="AB321" s="90">
        <f t="shared" si="294"/>
        <v>0</v>
      </c>
      <c r="AC321" s="4" t="str">
        <f t="shared" si="294"/>
        <v/>
      </c>
      <c r="AD321" s="91">
        <f t="shared" si="294"/>
        <v>0</v>
      </c>
      <c r="AE321" s="79" t="str">
        <f>S321</f>
        <v>계</v>
      </c>
      <c r="AF321" s="79" t="str">
        <f>Q321&amp;"/"&amp;R321</f>
        <v>3/1</v>
      </c>
      <c r="AH321" s="20" t="str">
        <f t="shared" si="263"/>
        <v>신봉동 삼성(159)</v>
      </c>
      <c r="AI321" s="87">
        <f t="shared" si="264"/>
        <v>28</v>
      </c>
      <c r="AJ321" s="79" t="str">
        <f>IF(AI321="","",$AJ$2)</f>
        <v>A-</v>
      </c>
      <c r="AK321" s="79" t="s">
        <v>13</v>
      </c>
      <c r="AL321" s="79" t="s">
        <v>60</v>
      </c>
      <c r="AM321" s="79" t="s">
        <v>61</v>
      </c>
      <c r="AN321" s="79" t="str">
        <f>IF(AI321="","",$AN$2)</f>
        <v>C</v>
      </c>
      <c r="AO321" s="79" t="str">
        <f>IF(N321="","",IF(N321&gt;=$AO$1/100,"O","X"))</f>
        <v/>
      </c>
      <c r="AP321" s="79" t="str">
        <f>IF(I321="","",IF(I321&lt;=$AP$1,"O","X"))</f>
        <v/>
      </c>
      <c r="AQ321" s="79" t="str">
        <f>IF(O321="","",IF(O321&lt;=$AQ$1,"O","X"))</f>
        <v>O</v>
      </c>
      <c r="AR321" s="79" t="str">
        <f>IF(M321="","",IF(M321&lt;=$AR$1,"O","X"))</f>
        <v>O</v>
      </c>
      <c r="AS321" s="79" t="s">
        <v>2</v>
      </c>
      <c r="AT321" s="79" t="str">
        <f>IF(OR(F321="",AI321=""),"",IF(AND((F321&lt;=85),(AI321&gt;=15)),"O","X"))</f>
        <v>O</v>
      </c>
      <c r="AU321" s="79" t="str">
        <f>IF(C321="","",IF(C321&gt;=$AU$1,"O","X"))</f>
        <v>O</v>
      </c>
      <c r="AV321" s="79" t="str">
        <f>IF(AO321="","",IF(AND(AO321="O",AP321="O",AR321="O",AT321="O",AU321="O"),"후보","X"))</f>
        <v/>
      </c>
    </row>
    <row r="322" spans="1:48" s="37" customFormat="1" ht="12" x14ac:dyDescent="0.3">
      <c r="A322" s="74" t="s">
        <v>1624</v>
      </c>
      <c r="B322" s="75" t="s">
        <v>1440</v>
      </c>
      <c r="C322" s="85">
        <v>570</v>
      </c>
      <c r="D322" s="86">
        <v>102.3</v>
      </c>
      <c r="E322" s="87">
        <v>31</v>
      </c>
      <c r="F322" s="86">
        <v>85</v>
      </c>
      <c r="G322" s="17">
        <v>26</v>
      </c>
      <c r="H322" s="88">
        <v>210</v>
      </c>
      <c r="I322" s="89">
        <v>17000</v>
      </c>
      <c r="J322" s="89" t="s">
        <v>70</v>
      </c>
      <c r="K322" s="89"/>
      <c r="L322" s="89"/>
      <c r="M322" s="90">
        <f>I322-K322</f>
        <v>17000</v>
      </c>
      <c r="N322" s="4">
        <f>IF(ISERROR(K322/I322),"",K322/I322)</f>
        <v>0</v>
      </c>
      <c r="O322" s="91">
        <f>I322/E322</f>
        <v>548.38709677419354</v>
      </c>
      <c r="P322" s="91">
        <f>K322/E322</f>
        <v>0</v>
      </c>
      <c r="Q322" s="79">
        <v>3</v>
      </c>
      <c r="R322" s="79">
        <v>2</v>
      </c>
      <c r="S322" s="79" t="s">
        <v>62</v>
      </c>
      <c r="T322" s="5" t="s">
        <v>186</v>
      </c>
      <c r="U322" s="9"/>
      <c r="W322" s="86">
        <f t="shared" si="311"/>
        <v>102.3</v>
      </c>
      <c r="X322" s="87">
        <f t="shared" si="311"/>
        <v>31</v>
      </c>
      <c r="Y322" s="92">
        <f t="shared" si="312"/>
        <v>210</v>
      </c>
      <c r="Z322" s="90">
        <f t="shared" si="312"/>
        <v>17000</v>
      </c>
      <c r="AA322" s="90">
        <f>K322</f>
        <v>0</v>
      </c>
      <c r="AB322" s="90">
        <f t="shared" si="294"/>
        <v>17000</v>
      </c>
      <c r="AC322" s="4">
        <f t="shared" si="294"/>
        <v>0</v>
      </c>
      <c r="AD322" s="91">
        <f t="shared" si="294"/>
        <v>548.38709677419354</v>
      </c>
      <c r="AE322" s="79" t="str">
        <f>S322</f>
        <v>계</v>
      </c>
      <c r="AF322" s="79" t="str">
        <f>Q322&amp;"/"&amp;R322</f>
        <v>3/2</v>
      </c>
      <c r="AH322" s="20" t="str">
        <f t="shared" si="263"/>
        <v>신봉동 삼성(159)</v>
      </c>
      <c r="AI322" s="87">
        <f t="shared" si="264"/>
        <v>31</v>
      </c>
      <c r="AJ322" s="79" t="str">
        <f>IF(AI322="","",$AJ$2)</f>
        <v>A-</v>
      </c>
      <c r="AK322" s="79" t="s">
        <v>13</v>
      </c>
      <c r="AL322" s="79" t="s">
        <v>60</v>
      </c>
      <c r="AM322" s="79" t="s">
        <v>61</v>
      </c>
      <c r="AN322" s="79" t="str">
        <f>IF(AI322="","",$AN$2)</f>
        <v>C</v>
      </c>
      <c r="AO322" s="79" t="str">
        <f>IF(N322="","",IF(N322&gt;=$AO$1/100,"O","X"))</f>
        <v>X</v>
      </c>
      <c r="AP322" s="79" t="str">
        <f>IF(I322="","",IF(I322&lt;=$AP$1,"O","X"))</f>
        <v>O</v>
      </c>
      <c r="AQ322" s="79" t="str">
        <f>IF(O322="","",IF(O322&lt;=$AQ$1,"O","X"))</f>
        <v>O</v>
      </c>
      <c r="AR322" s="79" t="str">
        <f>IF(M322="","",IF(M322&lt;=$AR$1,"O","X"))</f>
        <v>X</v>
      </c>
      <c r="AS322" s="79" t="s">
        <v>2</v>
      </c>
      <c r="AT322" s="79" t="str">
        <f>IF(OR(F322="",AI322=""),"",IF(AND((F322&lt;=85),(AI322&gt;=15)),"O","X"))</f>
        <v>O</v>
      </c>
      <c r="AU322" s="79" t="str">
        <f>IF(C322="","",IF(C322&gt;=$AU$1,"O","X"))</f>
        <v>O</v>
      </c>
      <c r="AV322" s="79" t="str">
        <f>IF(AO322="","",IF(AND(AO322="O",AP322="O",AR322="O",AT322="O",AU322="O"),"후보","X"))</f>
        <v>X</v>
      </c>
    </row>
    <row r="323" spans="1:48" s="37" customFormat="1" ht="12" x14ac:dyDescent="0.3">
      <c r="A323" s="74" t="s">
        <v>1624</v>
      </c>
      <c r="B323" s="75" t="s">
        <v>1440</v>
      </c>
      <c r="C323" s="85">
        <v>570</v>
      </c>
      <c r="D323" s="86">
        <v>102.4</v>
      </c>
      <c r="E323" s="87">
        <v>31</v>
      </c>
      <c r="F323" s="86">
        <v>84.9</v>
      </c>
      <c r="G323" s="17">
        <v>26</v>
      </c>
      <c r="H323" s="88">
        <v>198</v>
      </c>
      <c r="I323" s="89">
        <v>17000</v>
      </c>
      <c r="J323" s="89" t="s">
        <v>75</v>
      </c>
      <c r="K323" s="89"/>
      <c r="L323" s="89"/>
      <c r="M323" s="90">
        <f>I323-K323</f>
        <v>17000</v>
      </c>
      <c r="N323" s="4">
        <f>IF(ISERROR(K323/I323),"",K323/I323)</f>
        <v>0</v>
      </c>
      <c r="O323" s="91">
        <f>I323/E323</f>
        <v>548.38709677419354</v>
      </c>
      <c r="P323" s="91">
        <f>K323/E323</f>
        <v>0</v>
      </c>
      <c r="Q323" s="79">
        <v>3</v>
      </c>
      <c r="R323" s="79">
        <v>2</v>
      </c>
      <c r="S323" s="79" t="s">
        <v>62</v>
      </c>
      <c r="T323" s="5" t="s">
        <v>151</v>
      </c>
      <c r="U323" s="9"/>
      <c r="W323" s="86">
        <f t="shared" si="311"/>
        <v>102.4</v>
      </c>
      <c r="X323" s="87">
        <f t="shared" si="311"/>
        <v>31</v>
      </c>
      <c r="Y323" s="92">
        <f t="shared" si="312"/>
        <v>198</v>
      </c>
      <c r="Z323" s="90">
        <f t="shared" si="312"/>
        <v>17000</v>
      </c>
      <c r="AA323" s="90">
        <f>K323</f>
        <v>0</v>
      </c>
      <c r="AB323" s="90">
        <f t="shared" si="294"/>
        <v>17000</v>
      </c>
      <c r="AC323" s="4">
        <f t="shared" si="294"/>
        <v>0</v>
      </c>
      <c r="AD323" s="91">
        <f t="shared" si="294"/>
        <v>548.38709677419354</v>
      </c>
      <c r="AE323" s="79" t="str">
        <f>S323</f>
        <v>계</v>
      </c>
      <c r="AF323" s="79" t="str">
        <f>Q323&amp;"/"&amp;R323</f>
        <v>3/2</v>
      </c>
      <c r="AH323" s="20" t="str">
        <f t="shared" si="263"/>
        <v>신봉동 삼성(159)</v>
      </c>
      <c r="AI323" s="87">
        <f t="shared" si="264"/>
        <v>31</v>
      </c>
      <c r="AJ323" s="79" t="str">
        <f>IF(AI323="","",$AJ$2)</f>
        <v>A-</v>
      </c>
      <c r="AK323" s="79" t="s">
        <v>13</v>
      </c>
      <c r="AL323" s="79" t="s">
        <v>60</v>
      </c>
      <c r="AM323" s="79" t="s">
        <v>61</v>
      </c>
      <c r="AN323" s="79" t="str">
        <f>IF(AI323="","",$AN$2)</f>
        <v>C</v>
      </c>
      <c r="AO323" s="79" t="str">
        <f>IF(N323="","",IF(N323&gt;=$AO$1/100,"O","X"))</f>
        <v>X</v>
      </c>
      <c r="AP323" s="79" t="str">
        <f>IF(I323="","",IF(I323&lt;=$AP$1,"O","X"))</f>
        <v>O</v>
      </c>
      <c r="AQ323" s="79" t="str">
        <f>IF(O323="","",IF(O323&lt;=$AQ$1,"O","X"))</f>
        <v>O</v>
      </c>
      <c r="AR323" s="79" t="str">
        <f>IF(M323="","",IF(M323&lt;=$AR$1,"O","X"))</f>
        <v>X</v>
      </c>
      <c r="AS323" s="79" t="s">
        <v>2</v>
      </c>
      <c r="AT323" s="79" t="str">
        <f>IF(OR(F323="",AI323=""),"",IF(AND((F323&lt;=85),(AI323&gt;=15)),"O","X"))</f>
        <v>O</v>
      </c>
      <c r="AU323" s="79" t="str">
        <f>IF(C323="","",IF(C323&gt;=$AU$1,"O","X"))</f>
        <v>O</v>
      </c>
      <c r="AV323" s="79" t="str">
        <f>IF(AO323="","",IF(AND(AO323="O",AP323="O",AR323="O",AT323="O",AU323="O"),"후보","X"))</f>
        <v>X</v>
      </c>
    </row>
    <row r="324" spans="1:48" s="37" customFormat="1" ht="12" x14ac:dyDescent="0.3">
      <c r="A324" s="74" t="s">
        <v>1624</v>
      </c>
      <c r="B324" s="75" t="s">
        <v>1440</v>
      </c>
      <c r="C324" s="85">
        <v>570</v>
      </c>
      <c r="D324" s="86">
        <v>150.69999999999999</v>
      </c>
      <c r="E324" s="87">
        <v>46</v>
      </c>
      <c r="F324" s="86">
        <v>129</v>
      </c>
      <c r="G324" s="17">
        <v>39</v>
      </c>
      <c r="H324" s="88">
        <v>90</v>
      </c>
      <c r="I324" s="89">
        <v>23000</v>
      </c>
      <c r="J324" s="89" t="s">
        <v>81</v>
      </c>
      <c r="K324" s="89"/>
      <c r="L324" s="89"/>
      <c r="M324" s="90">
        <f>I324-K324</f>
        <v>23000</v>
      </c>
      <c r="N324" s="4">
        <f>IF(ISERROR(K324/I324),"",K324/I324)</f>
        <v>0</v>
      </c>
      <c r="O324" s="91">
        <f>I324/E324</f>
        <v>500</v>
      </c>
      <c r="P324" s="91">
        <f>K324/E324</f>
        <v>0</v>
      </c>
      <c r="Q324" s="79">
        <v>4</v>
      </c>
      <c r="R324" s="79">
        <v>2</v>
      </c>
      <c r="S324" s="79" t="s">
        <v>62</v>
      </c>
      <c r="T324" s="5">
        <v>150</v>
      </c>
      <c r="U324" s="9"/>
      <c r="W324" s="86">
        <f t="shared" si="311"/>
        <v>150.69999999999999</v>
      </c>
      <c r="X324" s="87">
        <f t="shared" si="311"/>
        <v>46</v>
      </c>
      <c r="Y324" s="92">
        <f t="shared" si="312"/>
        <v>90</v>
      </c>
      <c r="Z324" s="90">
        <f t="shared" si="312"/>
        <v>23000</v>
      </c>
      <c r="AA324" s="90">
        <f>K324</f>
        <v>0</v>
      </c>
      <c r="AB324" s="90">
        <f t="shared" si="294"/>
        <v>23000</v>
      </c>
      <c r="AC324" s="4">
        <f t="shared" si="294"/>
        <v>0</v>
      </c>
      <c r="AD324" s="91">
        <f t="shared" si="294"/>
        <v>500</v>
      </c>
      <c r="AE324" s="79" t="str">
        <f>S324</f>
        <v>계</v>
      </c>
      <c r="AF324" s="79" t="str">
        <f>Q324&amp;"/"&amp;R324</f>
        <v>4/2</v>
      </c>
      <c r="AH324" s="20" t="str">
        <f t="shared" ref="AH324:AH354" si="313">IF(A324="","",A324)</f>
        <v>신봉동 삼성(159)</v>
      </c>
      <c r="AI324" s="87">
        <f t="shared" ref="AI324:AI354" si="314">IF(E324="","",E324)</f>
        <v>46</v>
      </c>
      <c r="AJ324" s="79" t="str">
        <f>IF(AI324="","",$AJ$2)</f>
        <v>A-</v>
      </c>
      <c r="AK324" s="79" t="s">
        <v>13</v>
      </c>
      <c r="AL324" s="79" t="s">
        <v>60</v>
      </c>
      <c r="AM324" s="79" t="s">
        <v>61</v>
      </c>
      <c r="AN324" s="79" t="str">
        <f>IF(AI324="","",$AN$2)</f>
        <v>C</v>
      </c>
      <c r="AO324" s="79" t="str">
        <f>IF(N324="","",IF(N324&gt;=$AO$1/100,"O","X"))</f>
        <v>X</v>
      </c>
      <c r="AP324" s="79" t="str">
        <f>IF(I324="","",IF(I324&lt;=$AP$1,"O","X"))</f>
        <v>O</v>
      </c>
      <c r="AQ324" s="79" t="str">
        <f>IF(O324="","",IF(O324&lt;=$AQ$1,"O","X"))</f>
        <v>O</v>
      </c>
      <c r="AR324" s="79" t="str">
        <f>IF(M324="","",IF(M324&lt;=$AR$1,"O","X"))</f>
        <v>X</v>
      </c>
      <c r="AS324" s="79" t="s">
        <v>2</v>
      </c>
      <c r="AT324" s="79" t="str">
        <f>IF(OR(F324="",AI324=""),"",IF(AND((F324&lt;=85),(AI324&gt;=15)),"O","X"))</f>
        <v>X</v>
      </c>
      <c r="AU324" s="79" t="str">
        <f>IF(C324="","",IF(C324&gt;=$AU$1,"O","X"))</f>
        <v>O</v>
      </c>
      <c r="AV324" s="79" t="str">
        <f>IF(AO324="","",IF(AND(AO324="O",AP324="O",AR324="O",AT324="O",AU324="O"),"후보","X"))</f>
        <v>X</v>
      </c>
    </row>
    <row r="325" spans="1:48" s="37" customFormat="1" ht="12" x14ac:dyDescent="0.3">
      <c r="A325" s="74" t="s">
        <v>1625</v>
      </c>
      <c r="B325" s="75" t="s">
        <v>1472</v>
      </c>
      <c r="C325" s="85">
        <v>244</v>
      </c>
      <c r="D325" s="86">
        <v>88.7</v>
      </c>
      <c r="E325" s="87">
        <v>27</v>
      </c>
      <c r="F325" s="86">
        <v>59.9</v>
      </c>
      <c r="G325" s="17">
        <v>18</v>
      </c>
      <c r="H325" s="88">
        <v>162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9">
        <v>2</v>
      </c>
      <c r="R325" s="79">
        <v>1</v>
      </c>
      <c r="S325" s="79" t="s">
        <v>59</v>
      </c>
      <c r="T325" s="5">
        <v>88</v>
      </c>
      <c r="U325" s="9"/>
      <c r="W325" s="86">
        <f t="shared" si="311"/>
        <v>88.7</v>
      </c>
      <c r="X325" s="87">
        <f t="shared" si="311"/>
        <v>27</v>
      </c>
      <c r="Y325" s="92">
        <f t="shared" si="312"/>
        <v>162</v>
      </c>
      <c r="Z325" s="90">
        <f t="shared" si="312"/>
        <v>0</v>
      </c>
      <c r="AA325" s="90">
        <f>K325</f>
        <v>0</v>
      </c>
      <c r="AB325" s="90">
        <f t="shared" si="294"/>
        <v>0</v>
      </c>
      <c r="AC325" s="4" t="str">
        <f t="shared" si="294"/>
        <v/>
      </c>
      <c r="AD325" s="91">
        <f t="shared" si="294"/>
        <v>0</v>
      </c>
      <c r="AE325" s="79" t="str">
        <f>S325</f>
        <v>복</v>
      </c>
      <c r="AF325" s="79" t="str">
        <f>Q325&amp;"/"&amp;R325</f>
        <v>2/1</v>
      </c>
      <c r="AH325" s="20" t="str">
        <f t="shared" si="313"/>
        <v>신봉동 두진백로</v>
      </c>
      <c r="AI325" s="87">
        <f t="shared" si="314"/>
        <v>27</v>
      </c>
      <c r="AJ325" s="79" t="str">
        <f>IF(AI325="","",$AJ$2)</f>
        <v>A-</v>
      </c>
      <c r="AK325" s="79" t="s">
        <v>13</v>
      </c>
      <c r="AL325" s="79" t="s">
        <v>60</v>
      </c>
      <c r="AM325" s="79" t="s">
        <v>61</v>
      </c>
      <c r="AN325" s="79" t="str">
        <f>IF(AI325="","",$AN$2)</f>
        <v>C</v>
      </c>
      <c r="AO325" s="79" t="str">
        <f>IF(N325="","",IF(N325&gt;=$AO$1/100,"O","X"))</f>
        <v/>
      </c>
      <c r="AP325" s="79" t="str">
        <f>IF(I325="","",IF(I325&lt;=$AP$1,"O","X"))</f>
        <v/>
      </c>
      <c r="AQ325" s="79" t="str">
        <f>IF(O325="","",IF(O325&lt;=$AQ$1,"O","X"))</f>
        <v>O</v>
      </c>
      <c r="AR325" s="79" t="str">
        <f>IF(M325="","",IF(M325&lt;=$AR$1,"O","X"))</f>
        <v>O</v>
      </c>
      <c r="AS325" s="79" t="s">
        <v>2</v>
      </c>
      <c r="AT325" s="79" t="str">
        <f>IF(OR(F325="",AI325=""),"",IF(AND((F325&lt;=85),(AI325&gt;=15)),"O","X"))</f>
        <v>O</v>
      </c>
      <c r="AU325" s="79" t="str">
        <f>IF(C325="","",IF(C325&gt;=$AU$1,"O","X"))</f>
        <v>X</v>
      </c>
      <c r="AV325" s="79" t="str">
        <f>IF(AO325="","",IF(AND(AO325="O",AP325="O",AR325="O",AT325="O",AU325="O"),"후보","X"))</f>
        <v/>
      </c>
    </row>
    <row r="326" spans="1:48" s="37" customFormat="1" ht="12" x14ac:dyDescent="0.3">
      <c r="A326" s="74" t="s">
        <v>1625</v>
      </c>
      <c r="B326" s="75" t="s">
        <v>1472</v>
      </c>
      <c r="C326" s="85">
        <v>244</v>
      </c>
      <c r="D326" s="86">
        <v>103.5</v>
      </c>
      <c r="E326" s="87">
        <v>31</v>
      </c>
      <c r="F326" s="86">
        <v>70</v>
      </c>
      <c r="G326" s="17">
        <v>21</v>
      </c>
      <c r="H326" s="88">
        <v>30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9">
        <v>3</v>
      </c>
      <c r="R326" s="79">
        <v>1</v>
      </c>
      <c r="S326" s="79" t="s">
        <v>59</v>
      </c>
      <c r="T326" s="5">
        <v>103</v>
      </c>
      <c r="U326" s="9"/>
      <c r="W326" s="86">
        <f t="shared" si="311"/>
        <v>103.5</v>
      </c>
      <c r="X326" s="87">
        <f t="shared" si="311"/>
        <v>31</v>
      </c>
      <c r="Y326" s="92">
        <f t="shared" si="312"/>
        <v>30</v>
      </c>
      <c r="Z326" s="90">
        <f t="shared" si="312"/>
        <v>0</v>
      </c>
      <c r="AA326" s="90">
        <f>K326</f>
        <v>0</v>
      </c>
      <c r="AB326" s="90">
        <f t="shared" si="294"/>
        <v>0</v>
      </c>
      <c r="AC326" s="4" t="str">
        <f t="shared" si="294"/>
        <v/>
      </c>
      <c r="AD326" s="91">
        <f t="shared" si="294"/>
        <v>0</v>
      </c>
      <c r="AE326" s="79" t="str">
        <f>S326</f>
        <v>복</v>
      </c>
      <c r="AF326" s="79" t="str">
        <f>Q326&amp;"/"&amp;R326</f>
        <v>3/1</v>
      </c>
      <c r="AH326" s="20" t="str">
        <f t="shared" si="313"/>
        <v>신봉동 두진백로</v>
      </c>
      <c r="AI326" s="87">
        <f t="shared" si="314"/>
        <v>31</v>
      </c>
      <c r="AJ326" s="79" t="str">
        <f>IF(AI326="","",$AJ$2)</f>
        <v>A-</v>
      </c>
      <c r="AK326" s="79" t="s">
        <v>13</v>
      </c>
      <c r="AL326" s="79" t="s">
        <v>60</v>
      </c>
      <c r="AM326" s="79" t="s">
        <v>61</v>
      </c>
      <c r="AN326" s="79" t="str">
        <f>IF(AI326="","",$AN$2)</f>
        <v>C</v>
      </c>
      <c r="AO326" s="79" t="str">
        <f>IF(N326="","",IF(N326&gt;=$AO$1/100,"O","X"))</f>
        <v/>
      </c>
      <c r="AP326" s="79" t="str">
        <f>IF(I326="","",IF(I326&lt;=$AP$1,"O","X"))</f>
        <v/>
      </c>
      <c r="AQ326" s="79" t="str">
        <f>IF(O326="","",IF(O326&lt;=$AQ$1,"O","X"))</f>
        <v>O</v>
      </c>
      <c r="AR326" s="79" t="str">
        <f>IF(M326="","",IF(M326&lt;=$AR$1,"O","X"))</f>
        <v>O</v>
      </c>
      <c r="AS326" s="79" t="s">
        <v>2</v>
      </c>
      <c r="AT326" s="79" t="str">
        <f>IF(OR(F326="",AI326=""),"",IF(AND((F326&lt;=85),(AI326&gt;=15)),"O","X"))</f>
        <v>O</v>
      </c>
      <c r="AU326" s="79" t="str">
        <f>IF(C326="","",IF(C326&gt;=$AU$1,"O","X"))</f>
        <v>X</v>
      </c>
      <c r="AV326" s="79" t="str">
        <f>IF(AO326="","",IF(AND(AO326="O",AP326="O",AR326="O",AT326="O",AU326="O"),"후보","X"))</f>
        <v/>
      </c>
    </row>
    <row r="327" spans="1:48" s="37" customFormat="1" ht="12" x14ac:dyDescent="0.3">
      <c r="A327" s="74" t="s">
        <v>1625</v>
      </c>
      <c r="B327" s="75" t="s">
        <v>1472</v>
      </c>
      <c r="C327" s="85">
        <v>244</v>
      </c>
      <c r="D327" s="86">
        <v>115.5</v>
      </c>
      <c r="E327" s="87">
        <v>35</v>
      </c>
      <c r="F327" s="86">
        <v>84.9</v>
      </c>
      <c r="G327" s="17">
        <v>26</v>
      </c>
      <c r="H327" s="88">
        <v>52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9">
        <v>3</v>
      </c>
      <c r="R327" s="79">
        <v>2</v>
      </c>
      <c r="S327" s="79" t="s">
        <v>59</v>
      </c>
      <c r="T327" s="5">
        <v>115</v>
      </c>
      <c r="U327" s="9"/>
      <c r="W327" s="86">
        <f t="shared" si="311"/>
        <v>115.5</v>
      </c>
      <c r="X327" s="87">
        <f t="shared" si="311"/>
        <v>35</v>
      </c>
      <c r="Y327" s="92">
        <f t="shared" si="312"/>
        <v>52</v>
      </c>
      <c r="Z327" s="90">
        <f t="shared" si="312"/>
        <v>0</v>
      </c>
      <c r="AA327" s="90">
        <f>K327</f>
        <v>0</v>
      </c>
      <c r="AB327" s="90">
        <f t="shared" si="294"/>
        <v>0</v>
      </c>
      <c r="AC327" s="4" t="str">
        <f t="shared" si="294"/>
        <v/>
      </c>
      <c r="AD327" s="91">
        <f t="shared" si="294"/>
        <v>0</v>
      </c>
      <c r="AE327" s="79" t="str">
        <f>S327</f>
        <v>복</v>
      </c>
      <c r="AF327" s="79" t="str">
        <f>Q327&amp;"/"&amp;R327</f>
        <v>3/2</v>
      </c>
      <c r="AH327" s="20" t="str">
        <f t="shared" si="313"/>
        <v>신봉동 두진백로</v>
      </c>
      <c r="AI327" s="87">
        <f t="shared" si="314"/>
        <v>35</v>
      </c>
      <c r="AJ327" s="79" t="str">
        <f>IF(AI327="","",$AJ$2)</f>
        <v>A-</v>
      </c>
      <c r="AK327" s="79" t="s">
        <v>13</v>
      </c>
      <c r="AL327" s="79" t="s">
        <v>60</v>
      </c>
      <c r="AM327" s="79" t="s">
        <v>61</v>
      </c>
      <c r="AN327" s="79" t="str">
        <f>IF(AI327="","",$AN$2)</f>
        <v>C</v>
      </c>
      <c r="AO327" s="79" t="str">
        <f>IF(N327="","",IF(N327&gt;=$AO$1/100,"O","X"))</f>
        <v/>
      </c>
      <c r="AP327" s="79" t="str">
        <f>IF(I327="","",IF(I327&lt;=$AP$1,"O","X"))</f>
        <v/>
      </c>
      <c r="AQ327" s="79" t="str">
        <f>IF(O327="","",IF(O327&lt;=$AQ$1,"O","X"))</f>
        <v>O</v>
      </c>
      <c r="AR327" s="79" t="str">
        <f>IF(M327="","",IF(M327&lt;=$AR$1,"O","X"))</f>
        <v>O</v>
      </c>
      <c r="AS327" s="79" t="s">
        <v>2</v>
      </c>
      <c r="AT327" s="79" t="str">
        <f>IF(OR(F327="",AI327=""),"",IF(AND((F327&lt;=85),(AI327&gt;=15)),"O","X"))</f>
        <v>O</v>
      </c>
      <c r="AU327" s="79" t="str">
        <f>IF(C327="","",IF(C327&gt;=$AU$1,"O","X"))</f>
        <v>X</v>
      </c>
      <c r="AV327" s="79" t="str">
        <f>IF(AO327="","",IF(AND(AO327="O",AP327="O",AR327="O",AT327="O",AU327="O"),"후보","X"))</f>
        <v/>
      </c>
    </row>
    <row r="328" spans="1:48" s="37" customFormat="1" ht="12" x14ac:dyDescent="0.3">
      <c r="A328" s="74" t="s">
        <v>1626</v>
      </c>
      <c r="B328" s="75" t="s">
        <v>1627</v>
      </c>
      <c r="C328" s="85">
        <v>427</v>
      </c>
      <c r="D328" s="86">
        <v>109.2</v>
      </c>
      <c r="E328" s="87">
        <v>33</v>
      </c>
      <c r="F328" s="86">
        <v>84.9</v>
      </c>
      <c r="G328" s="17">
        <v>26</v>
      </c>
      <c r="H328" s="88">
        <v>173</v>
      </c>
      <c r="I328" s="89">
        <v>26900</v>
      </c>
      <c r="J328" s="89" t="s">
        <v>75</v>
      </c>
      <c r="K328" s="89"/>
      <c r="L328" s="89"/>
      <c r="M328" s="90">
        <f>I328-K328</f>
        <v>26900</v>
      </c>
      <c r="N328" s="4">
        <f>IF(ISERROR(K328/I328),"",K328/I328)</f>
        <v>0</v>
      </c>
      <c r="O328" s="91">
        <f>I328/E328</f>
        <v>815.15151515151513</v>
      </c>
      <c r="P328" s="91">
        <f>K328/E328</f>
        <v>0</v>
      </c>
      <c r="Q328" s="79">
        <v>3</v>
      </c>
      <c r="R328" s="79">
        <v>2</v>
      </c>
      <c r="S328" s="79" t="s">
        <v>62</v>
      </c>
      <c r="T328" s="5">
        <v>109</v>
      </c>
      <c r="U328" s="9"/>
      <c r="W328" s="86">
        <f t="shared" si="311"/>
        <v>109.2</v>
      </c>
      <c r="X328" s="87">
        <f t="shared" si="311"/>
        <v>33</v>
      </c>
      <c r="Y328" s="92">
        <f t="shared" si="312"/>
        <v>173</v>
      </c>
      <c r="Z328" s="90">
        <f t="shared" si="312"/>
        <v>26900</v>
      </c>
      <c r="AA328" s="90">
        <f>K328</f>
        <v>0</v>
      </c>
      <c r="AB328" s="90">
        <f t="shared" ref="AB328:AD343" si="315">M328</f>
        <v>26900</v>
      </c>
      <c r="AC328" s="4">
        <f t="shared" si="315"/>
        <v>0</v>
      </c>
      <c r="AD328" s="91">
        <f t="shared" si="315"/>
        <v>815.15151515151513</v>
      </c>
      <c r="AE328" s="79" t="str">
        <f>S328</f>
        <v>계</v>
      </c>
      <c r="AF328" s="79" t="str">
        <f>Q328&amp;"/"&amp;R328</f>
        <v>3/2</v>
      </c>
      <c r="AH328" s="20" t="str">
        <f t="shared" si="313"/>
        <v>신봉동 청주신봉우림필유</v>
      </c>
      <c r="AI328" s="87">
        <f t="shared" si="314"/>
        <v>33</v>
      </c>
      <c r="AJ328" s="79" t="str">
        <f>IF(AI328="","",$AJ$2)</f>
        <v>A-</v>
      </c>
      <c r="AK328" s="79" t="s">
        <v>13</v>
      </c>
      <c r="AL328" s="79" t="s">
        <v>60</v>
      </c>
      <c r="AM328" s="79" t="s">
        <v>61</v>
      </c>
      <c r="AN328" s="79" t="str">
        <f>IF(AI328="","",$AN$2)</f>
        <v>C</v>
      </c>
      <c r="AO328" s="79" t="str">
        <f>IF(N328="","",IF(N328&gt;=$AO$1/100,"O","X"))</f>
        <v>X</v>
      </c>
      <c r="AP328" s="79" t="str">
        <f>IF(I328="","",IF(I328&lt;=$AP$1,"O","X"))</f>
        <v>O</v>
      </c>
      <c r="AQ328" s="79" t="str">
        <f>IF(O328="","",IF(O328&lt;=$AQ$1,"O","X"))</f>
        <v>O</v>
      </c>
      <c r="AR328" s="79" t="str">
        <f>IF(M328="","",IF(M328&lt;=$AR$1,"O","X"))</f>
        <v>X</v>
      </c>
      <c r="AS328" s="79" t="s">
        <v>2</v>
      </c>
      <c r="AT328" s="79" t="str">
        <f>IF(OR(F328="",AI328=""),"",IF(AND((F328&lt;=85),(AI328&gt;=15)),"O","X"))</f>
        <v>O</v>
      </c>
      <c r="AU328" s="79" t="str">
        <f>IF(C328="","",IF(C328&gt;=$AU$1,"O","X"))</f>
        <v>O</v>
      </c>
      <c r="AV328" s="79" t="str">
        <f>IF(AO328="","",IF(AND(AO328="O",AP328="O",AR328="O",AT328="O",AU328="O"),"후보","X"))</f>
        <v>X</v>
      </c>
    </row>
    <row r="329" spans="1:48" s="37" customFormat="1" ht="12" x14ac:dyDescent="0.3">
      <c r="A329" s="74" t="s">
        <v>1626</v>
      </c>
      <c r="B329" s="75" t="s">
        <v>1627</v>
      </c>
      <c r="C329" s="85">
        <v>427</v>
      </c>
      <c r="D329" s="86">
        <v>131.80000000000001</v>
      </c>
      <c r="E329" s="87">
        <v>40</v>
      </c>
      <c r="F329" s="86">
        <v>106.7</v>
      </c>
      <c r="G329" s="17">
        <v>32</v>
      </c>
      <c r="H329" s="88">
        <v>84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9">
        <v>3</v>
      </c>
      <c r="R329" s="79">
        <v>2</v>
      </c>
      <c r="S329" s="79" t="s">
        <v>62</v>
      </c>
      <c r="T329" s="5">
        <v>131</v>
      </c>
      <c r="U329" s="9"/>
      <c r="W329" s="86">
        <f t="shared" si="311"/>
        <v>131.80000000000001</v>
      </c>
      <c r="X329" s="87">
        <f t="shared" si="311"/>
        <v>40</v>
      </c>
      <c r="Y329" s="92">
        <f t="shared" si="312"/>
        <v>84</v>
      </c>
      <c r="Z329" s="90">
        <f t="shared" si="312"/>
        <v>0</v>
      </c>
      <c r="AA329" s="90">
        <f>K329</f>
        <v>0</v>
      </c>
      <c r="AB329" s="90">
        <f t="shared" si="315"/>
        <v>0</v>
      </c>
      <c r="AC329" s="4" t="str">
        <f t="shared" si="315"/>
        <v/>
      </c>
      <c r="AD329" s="91">
        <f t="shared" si="315"/>
        <v>0</v>
      </c>
      <c r="AE329" s="79" t="str">
        <f>S329</f>
        <v>계</v>
      </c>
      <c r="AF329" s="79" t="str">
        <f>Q329&amp;"/"&amp;R329</f>
        <v>3/2</v>
      </c>
      <c r="AH329" s="20" t="str">
        <f t="shared" si="313"/>
        <v>신봉동 청주신봉우림필유</v>
      </c>
      <c r="AI329" s="87">
        <f t="shared" si="314"/>
        <v>40</v>
      </c>
      <c r="AJ329" s="79" t="str">
        <f>IF(AI329="","",$AJ$2)</f>
        <v>A-</v>
      </c>
      <c r="AK329" s="79" t="s">
        <v>13</v>
      </c>
      <c r="AL329" s="79" t="s">
        <v>60</v>
      </c>
      <c r="AM329" s="79" t="s">
        <v>61</v>
      </c>
      <c r="AN329" s="79" t="str">
        <f>IF(AI329="","",$AN$2)</f>
        <v>C</v>
      </c>
      <c r="AO329" s="79" t="str">
        <f>IF(N329="","",IF(N329&gt;=$AO$1/100,"O","X"))</f>
        <v/>
      </c>
      <c r="AP329" s="79" t="str">
        <f>IF(I329="","",IF(I329&lt;=$AP$1,"O","X"))</f>
        <v/>
      </c>
      <c r="AQ329" s="79" t="str">
        <f>IF(O329="","",IF(O329&lt;=$AQ$1,"O","X"))</f>
        <v>O</v>
      </c>
      <c r="AR329" s="79" t="str">
        <f>IF(M329="","",IF(M329&lt;=$AR$1,"O","X"))</f>
        <v>O</v>
      </c>
      <c r="AS329" s="79" t="s">
        <v>2</v>
      </c>
      <c r="AT329" s="79" t="str">
        <f>IF(OR(F329="",AI329=""),"",IF(AND((F329&lt;=85),(AI329&gt;=15)),"O","X"))</f>
        <v>X</v>
      </c>
      <c r="AU329" s="79" t="str">
        <f>IF(C329="","",IF(C329&gt;=$AU$1,"O","X"))</f>
        <v>O</v>
      </c>
      <c r="AV329" s="79" t="str">
        <f>IF(AO329="","",IF(AND(AO329="O",AP329="O",AR329="O",AT329="O",AU329="O"),"후보","X"))</f>
        <v/>
      </c>
    </row>
    <row r="330" spans="1:48" s="37" customFormat="1" ht="12" x14ac:dyDescent="0.3">
      <c r="A330" s="74" t="s">
        <v>1626</v>
      </c>
      <c r="B330" s="75" t="s">
        <v>1627</v>
      </c>
      <c r="C330" s="85">
        <v>427</v>
      </c>
      <c r="D330" s="86">
        <v>162.19999999999999</v>
      </c>
      <c r="E330" s="87">
        <v>49</v>
      </c>
      <c r="F330" s="86">
        <v>132.30000000000001</v>
      </c>
      <c r="G330" s="17">
        <v>40</v>
      </c>
      <c r="H330" s="88">
        <v>170</v>
      </c>
      <c r="I330" s="89">
        <v>37000</v>
      </c>
      <c r="J330" s="89" t="s">
        <v>89</v>
      </c>
      <c r="K330" s="89"/>
      <c r="L330" s="89"/>
      <c r="M330" s="90">
        <f>I330-K330</f>
        <v>37000</v>
      </c>
      <c r="N330" s="4">
        <f>IF(ISERROR(K330/I330),"",K330/I330)</f>
        <v>0</v>
      </c>
      <c r="O330" s="91">
        <f>I330/E330</f>
        <v>755.10204081632651</v>
      </c>
      <c r="P330" s="91">
        <f>K330/E330</f>
        <v>0</v>
      </c>
      <c r="Q330" s="79">
        <v>4</v>
      </c>
      <c r="R330" s="79">
        <v>2</v>
      </c>
      <c r="S330" s="79" t="s">
        <v>62</v>
      </c>
      <c r="T330" s="5">
        <v>162</v>
      </c>
      <c r="U330" s="9"/>
      <c r="W330" s="86">
        <f t="shared" si="311"/>
        <v>162.19999999999999</v>
      </c>
      <c r="X330" s="87">
        <f t="shared" si="311"/>
        <v>49</v>
      </c>
      <c r="Y330" s="92">
        <f t="shared" si="312"/>
        <v>170</v>
      </c>
      <c r="Z330" s="90">
        <f t="shared" si="312"/>
        <v>37000</v>
      </c>
      <c r="AA330" s="90">
        <f>K330</f>
        <v>0</v>
      </c>
      <c r="AB330" s="90">
        <f t="shared" si="315"/>
        <v>37000</v>
      </c>
      <c r="AC330" s="4">
        <f t="shared" si="315"/>
        <v>0</v>
      </c>
      <c r="AD330" s="91">
        <f t="shared" si="315"/>
        <v>755.10204081632651</v>
      </c>
      <c r="AE330" s="79" t="str">
        <f>S330</f>
        <v>계</v>
      </c>
      <c r="AF330" s="79" t="str">
        <f>Q330&amp;"/"&amp;R330</f>
        <v>4/2</v>
      </c>
      <c r="AH330" s="20" t="str">
        <f t="shared" si="313"/>
        <v>신봉동 청주신봉우림필유</v>
      </c>
      <c r="AI330" s="87">
        <f t="shared" si="314"/>
        <v>49</v>
      </c>
      <c r="AJ330" s="79" t="str">
        <f>IF(AI330="","",$AJ$2)</f>
        <v>A-</v>
      </c>
      <c r="AK330" s="79" t="s">
        <v>13</v>
      </c>
      <c r="AL330" s="79" t="s">
        <v>60</v>
      </c>
      <c r="AM330" s="79" t="s">
        <v>61</v>
      </c>
      <c r="AN330" s="79" t="str">
        <f>IF(AI330="","",$AN$2)</f>
        <v>C</v>
      </c>
      <c r="AO330" s="79" t="str">
        <f>IF(N330="","",IF(N330&gt;=$AO$1/100,"O","X"))</f>
        <v>X</v>
      </c>
      <c r="AP330" s="79" t="str">
        <f>IF(I330="","",IF(I330&lt;=$AP$1,"O","X"))</f>
        <v>O</v>
      </c>
      <c r="AQ330" s="79" t="str">
        <f>IF(O330="","",IF(O330&lt;=$AQ$1,"O","X"))</f>
        <v>O</v>
      </c>
      <c r="AR330" s="79" t="str">
        <f>IF(M330="","",IF(M330&lt;=$AR$1,"O","X"))</f>
        <v>X</v>
      </c>
      <c r="AS330" s="79" t="s">
        <v>2</v>
      </c>
      <c r="AT330" s="79" t="str">
        <f>IF(OR(F330="",AI330=""),"",IF(AND((F330&lt;=85),(AI330&gt;=15)),"O","X"))</f>
        <v>X</v>
      </c>
      <c r="AU330" s="79" t="str">
        <f>IF(C330="","",IF(C330&gt;=$AU$1,"O","X"))</f>
        <v>O</v>
      </c>
      <c r="AV330" s="79" t="str">
        <f>IF(AO330="","",IF(AND(AO330="O",AP330="O",AR330="O",AT330="O",AU330="O"),"후보","X"))</f>
        <v>X</v>
      </c>
    </row>
    <row r="331" spans="1:48" s="37" customFormat="1" ht="12" x14ac:dyDescent="0.3">
      <c r="A331" s="74" t="s">
        <v>1628</v>
      </c>
      <c r="B331" s="75" t="s">
        <v>1629</v>
      </c>
      <c r="C331" s="85">
        <v>290</v>
      </c>
      <c r="D331" s="86">
        <v>56.3</v>
      </c>
      <c r="E331" s="87">
        <v>17</v>
      </c>
      <c r="F331" s="86">
        <v>50.9</v>
      </c>
      <c r="G331" s="17">
        <v>15</v>
      </c>
      <c r="H331" s="88">
        <v>100</v>
      </c>
      <c r="I331" s="89"/>
      <c r="J331" s="89"/>
      <c r="K331" s="89"/>
      <c r="L331" s="89"/>
      <c r="M331" s="90">
        <f>I331-K331</f>
        <v>0</v>
      </c>
      <c r="N331" s="4" t="str">
        <f>IF(ISERROR(K331/I331),"",K331/I331)</f>
        <v/>
      </c>
      <c r="O331" s="91">
        <f>I331/E331</f>
        <v>0</v>
      </c>
      <c r="P331" s="91">
        <f>K331/E331</f>
        <v>0</v>
      </c>
      <c r="Q331" s="79">
        <v>2</v>
      </c>
      <c r="R331" s="79">
        <v>1</v>
      </c>
      <c r="S331" s="79" t="s">
        <v>62</v>
      </c>
      <c r="T331" s="5">
        <v>56</v>
      </c>
      <c r="U331" s="9"/>
      <c r="W331" s="86">
        <f>D331</f>
        <v>56.3</v>
      </c>
      <c r="X331" s="87">
        <f>E331</f>
        <v>17</v>
      </c>
      <c r="Y331" s="92">
        <f>H331</f>
        <v>100</v>
      </c>
      <c r="Z331" s="90">
        <f>I331</f>
        <v>0</v>
      </c>
      <c r="AA331" s="90">
        <f>K331</f>
        <v>0</v>
      </c>
      <c r="AB331" s="90">
        <f t="shared" si="315"/>
        <v>0</v>
      </c>
      <c r="AC331" s="4" t="str">
        <f t="shared" si="315"/>
        <v/>
      </c>
      <c r="AD331" s="91">
        <f t="shared" si="315"/>
        <v>0</v>
      </c>
      <c r="AE331" s="79" t="str">
        <f>S331</f>
        <v>계</v>
      </c>
      <c r="AF331" s="79" t="str">
        <f>Q331&amp;"/"&amp;R331</f>
        <v>2/1</v>
      </c>
      <c r="AH331" s="20" t="str">
        <f t="shared" si="313"/>
        <v>신봉동 한성</v>
      </c>
      <c r="AI331" s="87">
        <f t="shared" si="314"/>
        <v>17</v>
      </c>
      <c r="AJ331" s="79" t="str">
        <f>IF(AI331="","",$AJ$2)</f>
        <v>A-</v>
      </c>
      <c r="AK331" s="79" t="s">
        <v>13</v>
      </c>
      <c r="AL331" s="79" t="s">
        <v>60</v>
      </c>
      <c r="AM331" s="79" t="s">
        <v>61</v>
      </c>
      <c r="AN331" s="79" t="str">
        <f>IF(AI331="","",$AN$2)</f>
        <v>C</v>
      </c>
      <c r="AO331" s="79" t="str">
        <f>IF(N331="","",IF(N331&gt;=$AO$1/100,"O","X"))</f>
        <v/>
      </c>
      <c r="AP331" s="79" t="str">
        <f>IF(I331="","",IF(I331&lt;=$AP$1,"O","X"))</f>
        <v/>
      </c>
      <c r="AQ331" s="79" t="str">
        <f>IF(O331="","",IF(O331&lt;=$AQ$1,"O","X"))</f>
        <v>O</v>
      </c>
      <c r="AR331" s="79" t="str">
        <f>IF(M331="","",IF(M331&lt;=$AR$1,"O","X"))</f>
        <v>O</v>
      </c>
      <c r="AS331" s="79" t="s">
        <v>2</v>
      </c>
      <c r="AT331" s="79" t="str">
        <f>IF(OR(F331="",AI331=""),"",IF(AND((F331&lt;=85),(AI331&gt;=15)),"O","X"))</f>
        <v>O</v>
      </c>
      <c r="AU331" s="79" t="str">
        <f>IF(C331="","",IF(C331&gt;=$AU$1,"O","X"))</f>
        <v>X</v>
      </c>
      <c r="AV331" s="79" t="str">
        <f>IF(AO331="","",IF(AND(AO331="O",AP331="O",AR331="O",AT331="O",AU331="O"),"후보","X"))</f>
        <v/>
      </c>
    </row>
    <row r="332" spans="1:48" s="37" customFormat="1" ht="12" x14ac:dyDescent="0.3">
      <c r="A332" s="74" t="s">
        <v>1628</v>
      </c>
      <c r="B332" s="75" t="s">
        <v>1629</v>
      </c>
      <c r="C332" s="85">
        <v>290</v>
      </c>
      <c r="D332" s="86">
        <v>60</v>
      </c>
      <c r="E332" s="87">
        <v>18</v>
      </c>
      <c r="F332" s="86">
        <v>54.6</v>
      </c>
      <c r="G332" s="17">
        <v>17</v>
      </c>
      <c r="H332" s="88">
        <v>190</v>
      </c>
      <c r="I332" s="89"/>
      <c r="J332" s="89"/>
      <c r="K332" s="89"/>
      <c r="L332" s="89"/>
      <c r="M332" s="90">
        <f>I332-K332</f>
        <v>0</v>
      </c>
      <c r="N332" s="4" t="str">
        <f>IF(ISERROR(K332/I332),"",K332/I332)</f>
        <v/>
      </c>
      <c r="O332" s="91">
        <f>I332/E332</f>
        <v>0</v>
      </c>
      <c r="P332" s="91">
        <f>K332/E332</f>
        <v>0</v>
      </c>
      <c r="Q332" s="79">
        <v>2</v>
      </c>
      <c r="R332" s="79">
        <v>1</v>
      </c>
      <c r="S332" s="79" t="s">
        <v>62</v>
      </c>
      <c r="T332" s="5">
        <v>60</v>
      </c>
      <c r="U332" s="9"/>
      <c r="W332" s="86">
        <f>D332</f>
        <v>60</v>
      </c>
      <c r="X332" s="87">
        <f>E332</f>
        <v>18</v>
      </c>
      <c r="Y332" s="92">
        <f>H332</f>
        <v>190</v>
      </c>
      <c r="Z332" s="90">
        <f>I332</f>
        <v>0</v>
      </c>
      <c r="AA332" s="90">
        <f>K332</f>
        <v>0</v>
      </c>
      <c r="AB332" s="90">
        <f t="shared" si="315"/>
        <v>0</v>
      </c>
      <c r="AC332" s="4" t="str">
        <f t="shared" si="315"/>
        <v/>
      </c>
      <c r="AD332" s="91">
        <f t="shared" si="315"/>
        <v>0</v>
      </c>
      <c r="AE332" s="79" t="str">
        <f>S332</f>
        <v>계</v>
      </c>
      <c r="AF332" s="79" t="str">
        <f>Q332&amp;"/"&amp;R332</f>
        <v>2/1</v>
      </c>
      <c r="AH332" s="20" t="str">
        <f t="shared" si="313"/>
        <v>신봉동 한성</v>
      </c>
      <c r="AI332" s="87">
        <f t="shared" si="314"/>
        <v>18</v>
      </c>
      <c r="AJ332" s="79" t="str">
        <f>IF(AI332="","",$AJ$2)</f>
        <v>A-</v>
      </c>
      <c r="AK332" s="79" t="s">
        <v>13</v>
      </c>
      <c r="AL332" s="79" t="s">
        <v>60</v>
      </c>
      <c r="AM332" s="79" t="s">
        <v>61</v>
      </c>
      <c r="AN332" s="79" t="str">
        <f>IF(AI332="","",$AN$2)</f>
        <v>C</v>
      </c>
      <c r="AO332" s="79" t="str">
        <f>IF(N332="","",IF(N332&gt;=$AO$1/100,"O","X"))</f>
        <v/>
      </c>
      <c r="AP332" s="79" t="str">
        <f>IF(I332="","",IF(I332&lt;=$AP$1,"O","X"))</f>
        <v/>
      </c>
      <c r="AQ332" s="79" t="str">
        <f>IF(O332="","",IF(O332&lt;=$AQ$1,"O","X"))</f>
        <v>O</v>
      </c>
      <c r="AR332" s="79" t="str">
        <f>IF(M332="","",IF(M332&lt;=$AR$1,"O","X"))</f>
        <v>O</v>
      </c>
      <c r="AS332" s="79" t="s">
        <v>2</v>
      </c>
      <c r="AT332" s="79" t="str">
        <f>IF(OR(F332="",AI332=""),"",IF(AND((F332&lt;=85),(AI332&gt;=15)),"O","X"))</f>
        <v>O</v>
      </c>
      <c r="AU332" s="79" t="str">
        <f>IF(C332="","",IF(C332&gt;=$AU$1,"O","X"))</f>
        <v>X</v>
      </c>
      <c r="AV332" s="79" t="str">
        <f>IF(AO332="","",IF(AND(AO332="O",AP332="O",AR332="O",AT332="O",AU332="O"),"후보","X"))</f>
        <v/>
      </c>
    </row>
    <row r="333" spans="1:48" s="37" customFormat="1" ht="12" x14ac:dyDescent="0.3">
      <c r="A333" s="74" t="s">
        <v>1630</v>
      </c>
      <c r="B333" s="75" t="s">
        <v>1631</v>
      </c>
      <c r="C333" s="85">
        <v>1200</v>
      </c>
      <c r="D333" s="86">
        <v>44.5</v>
      </c>
      <c r="E333" s="87">
        <v>13</v>
      </c>
      <c r="F333" s="86">
        <v>39.5</v>
      </c>
      <c r="G333" s="17">
        <v>12</v>
      </c>
      <c r="H333" s="88">
        <v>5</v>
      </c>
      <c r="I333" s="89">
        <v>14000</v>
      </c>
      <c r="J333" s="89" t="s">
        <v>83</v>
      </c>
      <c r="K333" s="89"/>
      <c r="L333" s="89"/>
      <c r="M333" s="90">
        <f t="shared" ref="M333:M343" si="316">I333-K333</f>
        <v>14000</v>
      </c>
      <c r="N333" s="4">
        <f t="shared" ref="N333:N343" si="317">IF(ISERROR(K333/I333),"",K333/I333)</f>
        <v>0</v>
      </c>
      <c r="O333" s="91">
        <f t="shared" ref="O333:O343" si="318">I333/E333</f>
        <v>1076.9230769230769</v>
      </c>
      <c r="P333" s="91">
        <f t="shared" ref="P333:P343" si="319">K333/E333</f>
        <v>0</v>
      </c>
      <c r="Q333" s="79">
        <v>2</v>
      </c>
      <c r="R333" s="79">
        <v>1</v>
      </c>
      <c r="S333" s="79" t="s">
        <v>62</v>
      </c>
      <c r="T333" s="5">
        <v>44</v>
      </c>
      <c r="U333" s="9"/>
      <c r="W333" s="86">
        <f t="shared" ref="W333:X348" si="320">D333</f>
        <v>44.5</v>
      </c>
      <c r="X333" s="87">
        <f t="shared" si="320"/>
        <v>13</v>
      </c>
      <c r="Y333" s="92">
        <f t="shared" ref="Y333:Z348" si="321">H333</f>
        <v>5</v>
      </c>
      <c r="Z333" s="90">
        <f t="shared" si="321"/>
        <v>14000</v>
      </c>
      <c r="AA333" s="90">
        <f t="shared" ref="AA333:AA343" si="322">K333</f>
        <v>0</v>
      </c>
      <c r="AB333" s="90">
        <f t="shared" si="315"/>
        <v>14000</v>
      </c>
      <c r="AC333" s="4">
        <f t="shared" si="315"/>
        <v>0</v>
      </c>
      <c r="AD333" s="91">
        <f t="shared" si="315"/>
        <v>1076.9230769230769</v>
      </c>
      <c r="AE333" s="79" t="str">
        <f t="shared" ref="AE333:AE343" si="323">S333</f>
        <v>계</v>
      </c>
      <c r="AF333" s="79" t="str">
        <f t="shared" ref="AF333:AF343" si="324">Q333&amp;"/"&amp;R333</f>
        <v>2/1</v>
      </c>
      <c r="AH333" s="20" t="str">
        <f t="shared" si="313"/>
        <v>신봉동 주공</v>
      </c>
      <c r="AI333" s="87">
        <f t="shared" si="314"/>
        <v>13</v>
      </c>
      <c r="AJ333" s="79" t="str">
        <f t="shared" ref="AJ333:AJ343" si="325">IF(AI333="","",$AJ$2)</f>
        <v>A-</v>
      </c>
      <c r="AK333" s="79" t="s">
        <v>13</v>
      </c>
      <c r="AL333" s="79" t="s">
        <v>60</v>
      </c>
      <c r="AM333" s="79" t="s">
        <v>61</v>
      </c>
      <c r="AN333" s="79" t="str">
        <f t="shared" ref="AN333:AN343" si="326">IF(AI333="","",$AN$2)</f>
        <v>C</v>
      </c>
      <c r="AO333" s="79" t="str">
        <f t="shared" ref="AO333:AO343" si="327">IF(N333="","",IF(N333&gt;=$AO$1/100,"O","X"))</f>
        <v>X</v>
      </c>
      <c r="AP333" s="79" t="str">
        <f t="shared" ref="AP333:AP343" si="328">IF(I333="","",IF(I333&lt;=$AP$1,"O","X"))</f>
        <v>O</v>
      </c>
      <c r="AQ333" s="79" t="str">
        <f t="shared" ref="AQ333:AQ343" si="329">IF(O333="","",IF(O333&lt;=$AQ$1,"O","X"))</f>
        <v>O</v>
      </c>
      <c r="AR333" s="79" t="str">
        <f t="shared" ref="AR333:AR343" si="330">IF(M333="","",IF(M333&lt;=$AR$1,"O","X"))</f>
        <v>X</v>
      </c>
      <c r="AS333" s="79" t="s">
        <v>2</v>
      </c>
      <c r="AT333" s="79" t="str">
        <f t="shared" ref="AT333:AT343" si="331">IF(OR(F333="",AI333=""),"",IF(AND((F333&lt;=85),(AI333&gt;=15)),"O","X"))</f>
        <v>X</v>
      </c>
      <c r="AU333" s="79" t="str">
        <f t="shared" ref="AU333:AU343" si="332">IF(C333="","",IF(C333&gt;=$AU$1,"O","X"))</f>
        <v>O</v>
      </c>
      <c r="AV333" s="79" t="str">
        <f t="shared" ref="AV333:AV343" si="333">IF(AO333="","",IF(AND(AO333="O",AP333="O",AR333="O",AT333="O",AU333="O"),"후보","X"))</f>
        <v>X</v>
      </c>
    </row>
    <row r="334" spans="1:48" s="37" customFormat="1" ht="12" x14ac:dyDescent="0.3">
      <c r="A334" s="74" t="s">
        <v>1630</v>
      </c>
      <c r="B334" s="75" t="s">
        <v>1631</v>
      </c>
      <c r="C334" s="85">
        <v>1200</v>
      </c>
      <c r="D334" s="86">
        <v>44.7</v>
      </c>
      <c r="E334" s="87">
        <v>14</v>
      </c>
      <c r="F334" s="86">
        <v>39.6</v>
      </c>
      <c r="G334" s="17">
        <v>12</v>
      </c>
      <c r="H334" s="88">
        <v>1</v>
      </c>
      <c r="I334" s="89"/>
      <c r="J334" s="89"/>
      <c r="K334" s="89"/>
      <c r="L334" s="89"/>
      <c r="M334" s="90">
        <f t="shared" si="316"/>
        <v>0</v>
      </c>
      <c r="N334" s="4" t="str">
        <f t="shared" si="317"/>
        <v/>
      </c>
      <c r="O334" s="91">
        <f t="shared" si="318"/>
        <v>0</v>
      </c>
      <c r="P334" s="91">
        <f t="shared" si="319"/>
        <v>0</v>
      </c>
      <c r="Q334" s="79">
        <v>2</v>
      </c>
      <c r="R334" s="79">
        <v>1</v>
      </c>
      <c r="S334" s="79" t="s">
        <v>62</v>
      </c>
      <c r="T334" s="5" t="s">
        <v>187</v>
      </c>
      <c r="U334" s="9"/>
      <c r="W334" s="86">
        <f t="shared" si="320"/>
        <v>44.7</v>
      </c>
      <c r="X334" s="87">
        <f t="shared" si="320"/>
        <v>14</v>
      </c>
      <c r="Y334" s="92">
        <f t="shared" si="321"/>
        <v>1</v>
      </c>
      <c r="Z334" s="90">
        <f t="shared" si="321"/>
        <v>0</v>
      </c>
      <c r="AA334" s="90">
        <f t="shared" si="322"/>
        <v>0</v>
      </c>
      <c r="AB334" s="90">
        <f t="shared" si="315"/>
        <v>0</v>
      </c>
      <c r="AC334" s="4" t="str">
        <f t="shared" si="315"/>
        <v/>
      </c>
      <c r="AD334" s="91">
        <f t="shared" si="315"/>
        <v>0</v>
      </c>
      <c r="AE334" s="79" t="str">
        <f t="shared" si="323"/>
        <v>계</v>
      </c>
      <c r="AF334" s="79" t="str">
        <f t="shared" si="324"/>
        <v>2/1</v>
      </c>
      <c r="AH334" s="20" t="str">
        <f t="shared" si="313"/>
        <v>신봉동 주공</v>
      </c>
      <c r="AI334" s="87">
        <f t="shared" si="314"/>
        <v>14</v>
      </c>
      <c r="AJ334" s="79" t="str">
        <f t="shared" si="325"/>
        <v>A-</v>
      </c>
      <c r="AK334" s="79" t="s">
        <v>13</v>
      </c>
      <c r="AL334" s="79" t="s">
        <v>60</v>
      </c>
      <c r="AM334" s="79" t="s">
        <v>61</v>
      </c>
      <c r="AN334" s="79" t="str">
        <f t="shared" si="326"/>
        <v>C</v>
      </c>
      <c r="AO334" s="79" t="str">
        <f t="shared" si="327"/>
        <v/>
      </c>
      <c r="AP334" s="79" t="str">
        <f t="shared" si="328"/>
        <v/>
      </c>
      <c r="AQ334" s="79" t="str">
        <f t="shared" si="329"/>
        <v>O</v>
      </c>
      <c r="AR334" s="79" t="str">
        <f t="shared" si="330"/>
        <v>O</v>
      </c>
      <c r="AS334" s="79" t="s">
        <v>2</v>
      </c>
      <c r="AT334" s="79" t="str">
        <f t="shared" si="331"/>
        <v>X</v>
      </c>
      <c r="AU334" s="79" t="str">
        <f t="shared" si="332"/>
        <v>O</v>
      </c>
      <c r="AV334" s="79" t="str">
        <f t="shared" si="333"/>
        <v/>
      </c>
    </row>
    <row r="335" spans="1:48" s="37" customFormat="1" ht="12" x14ac:dyDescent="0.3">
      <c r="A335" s="74" t="s">
        <v>1630</v>
      </c>
      <c r="B335" s="75" t="s">
        <v>1631</v>
      </c>
      <c r="C335" s="85">
        <v>1200</v>
      </c>
      <c r="D335" s="86">
        <v>45.1</v>
      </c>
      <c r="E335" s="87">
        <v>14</v>
      </c>
      <c r="F335" s="86">
        <v>39.700000000000003</v>
      </c>
      <c r="G335" s="17">
        <v>12</v>
      </c>
      <c r="H335" s="88">
        <v>390</v>
      </c>
      <c r="I335" s="89">
        <v>20000</v>
      </c>
      <c r="J335" s="89" t="s">
        <v>83</v>
      </c>
      <c r="K335" s="89">
        <v>3000</v>
      </c>
      <c r="L335" s="89" t="s">
        <v>71</v>
      </c>
      <c r="M335" s="90">
        <f t="shared" si="316"/>
        <v>17000</v>
      </c>
      <c r="N335" s="4">
        <f t="shared" si="317"/>
        <v>0.15</v>
      </c>
      <c r="O335" s="91">
        <f t="shared" si="318"/>
        <v>1428.5714285714287</v>
      </c>
      <c r="P335" s="91">
        <f t="shared" si="319"/>
        <v>214.28571428571428</v>
      </c>
      <c r="Q335" s="79">
        <v>2</v>
      </c>
      <c r="R335" s="79">
        <v>1</v>
      </c>
      <c r="S335" s="79" t="s">
        <v>62</v>
      </c>
      <c r="T335" s="5" t="s">
        <v>188</v>
      </c>
      <c r="U335" s="9"/>
      <c r="W335" s="86">
        <f t="shared" si="320"/>
        <v>45.1</v>
      </c>
      <c r="X335" s="87">
        <f t="shared" si="320"/>
        <v>14</v>
      </c>
      <c r="Y335" s="92">
        <f t="shared" si="321"/>
        <v>390</v>
      </c>
      <c r="Z335" s="90">
        <f t="shared" si="321"/>
        <v>20000</v>
      </c>
      <c r="AA335" s="90">
        <f t="shared" si="322"/>
        <v>3000</v>
      </c>
      <c r="AB335" s="90">
        <f t="shared" si="315"/>
        <v>17000</v>
      </c>
      <c r="AC335" s="4">
        <f t="shared" si="315"/>
        <v>0.15</v>
      </c>
      <c r="AD335" s="91">
        <f t="shared" si="315"/>
        <v>1428.5714285714287</v>
      </c>
      <c r="AE335" s="79" t="str">
        <f t="shared" si="323"/>
        <v>계</v>
      </c>
      <c r="AF335" s="79" t="str">
        <f t="shared" si="324"/>
        <v>2/1</v>
      </c>
      <c r="AH335" s="20" t="str">
        <f t="shared" si="313"/>
        <v>신봉동 주공</v>
      </c>
      <c r="AI335" s="87">
        <f t="shared" si="314"/>
        <v>14</v>
      </c>
      <c r="AJ335" s="79" t="str">
        <f t="shared" si="325"/>
        <v>A-</v>
      </c>
      <c r="AK335" s="79" t="s">
        <v>13</v>
      </c>
      <c r="AL335" s="79" t="s">
        <v>60</v>
      </c>
      <c r="AM335" s="79" t="s">
        <v>61</v>
      </c>
      <c r="AN335" s="79" t="str">
        <f t="shared" si="326"/>
        <v>C</v>
      </c>
      <c r="AO335" s="79" t="str">
        <f t="shared" si="327"/>
        <v>X</v>
      </c>
      <c r="AP335" s="79" t="str">
        <f t="shared" si="328"/>
        <v>O</v>
      </c>
      <c r="AQ335" s="79" t="str">
        <f t="shared" si="329"/>
        <v>O</v>
      </c>
      <c r="AR335" s="79" t="str">
        <f t="shared" si="330"/>
        <v>X</v>
      </c>
      <c r="AS335" s="79" t="s">
        <v>2</v>
      </c>
      <c r="AT335" s="79" t="str">
        <f t="shared" si="331"/>
        <v>X</v>
      </c>
      <c r="AU335" s="79" t="str">
        <f t="shared" si="332"/>
        <v>O</v>
      </c>
      <c r="AV335" s="79" t="str">
        <f t="shared" si="333"/>
        <v>X</v>
      </c>
    </row>
    <row r="336" spans="1:48" s="37" customFormat="1" ht="12" x14ac:dyDescent="0.3">
      <c r="A336" s="74" t="s">
        <v>1630</v>
      </c>
      <c r="B336" s="75" t="s">
        <v>1631</v>
      </c>
      <c r="C336" s="85">
        <v>1200</v>
      </c>
      <c r="D336" s="86">
        <v>52.5</v>
      </c>
      <c r="E336" s="87">
        <v>16</v>
      </c>
      <c r="F336" s="86">
        <v>47.1</v>
      </c>
      <c r="G336" s="17">
        <v>14</v>
      </c>
      <c r="H336" s="88">
        <v>151</v>
      </c>
      <c r="I336" s="89">
        <v>9800</v>
      </c>
      <c r="J336" s="89" t="s">
        <v>83</v>
      </c>
      <c r="K336" s="89"/>
      <c r="L336" s="89"/>
      <c r="M336" s="90">
        <f t="shared" si="316"/>
        <v>9800</v>
      </c>
      <c r="N336" s="4">
        <f t="shared" si="317"/>
        <v>0</v>
      </c>
      <c r="O336" s="91">
        <f t="shared" si="318"/>
        <v>612.5</v>
      </c>
      <c r="P336" s="91">
        <f t="shared" si="319"/>
        <v>0</v>
      </c>
      <c r="Q336" s="79">
        <v>2</v>
      </c>
      <c r="R336" s="79">
        <v>1</v>
      </c>
      <c r="S336" s="79" t="s">
        <v>62</v>
      </c>
      <c r="T336" s="5" t="s">
        <v>167</v>
      </c>
      <c r="U336" s="9"/>
      <c r="W336" s="86">
        <f t="shared" si="320"/>
        <v>52.5</v>
      </c>
      <c r="X336" s="87">
        <f t="shared" si="320"/>
        <v>16</v>
      </c>
      <c r="Y336" s="92">
        <f t="shared" si="321"/>
        <v>151</v>
      </c>
      <c r="Z336" s="90">
        <f t="shared" si="321"/>
        <v>9800</v>
      </c>
      <c r="AA336" s="90">
        <f t="shared" si="322"/>
        <v>0</v>
      </c>
      <c r="AB336" s="90">
        <f t="shared" si="315"/>
        <v>9800</v>
      </c>
      <c r="AC336" s="4">
        <f t="shared" si="315"/>
        <v>0</v>
      </c>
      <c r="AD336" s="91">
        <f t="shared" si="315"/>
        <v>612.5</v>
      </c>
      <c r="AE336" s="79" t="str">
        <f t="shared" si="323"/>
        <v>계</v>
      </c>
      <c r="AF336" s="79" t="str">
        <f t="shared" si="324"/>
        <v>2/1</v>
      </c>
      <c r="AH336" s="20" t="str">
        <f t="shared" si="313"/>
        <v>신봉동 주공</v>
      </c>
      <c r="AI336" s="87">
        <f t="shared" si="314"/>
        <v>16</v>
      </c>
      <c r="AJ336" s="79" t="str">
        <f t="shared" si="325"/>
        <v>A-</v>
      </c>
      <c r="AK336" s="79" t="s">
        <v>13</v>
      </c>
      <c r="AL336" s="79" t="s">
        <v>60</v>
      </c>
      <c r="AM336" s="79" t="s">
        <v>61</v>
      </c>
      <c r="AN336" s="79" t="str">
        <f t="shared" si="326"/>
        <v>C</v>
      </c>
      <c r="AO336" s="79" t="str">
        <f t="shared" si="327"/>
        <v>X</v>
      </c>
      <c r="AP336" s="79" t="str">
        <f t="shared" si="328"/>
        <v>O</v>
      </c>
      <c r="AQ336" s="79" t="str">
        <f t="shared" si="329"/>
        <v>O</v>
      </c>
      <c r="AR336" s="79" t="str">
        <f t="shared" si="330"/>
        <v>X</v>
      </c>
      <c r="AS336" s="79" t="s">
        <v>2</v>
      </c>
      <c r="AT336" s="79" t="str">
        <f t="shared" si="331"/>
        <v>O</v>
      </c>
      <c r="AU336" s="79" t="str">
        <f t="shared" si="332"/>
        <v>O</v>
      </c>
      <c r="AV336" s="79" t="str">
        <f t="shared" si="333"/>
        <v>X</v>
      </c>
    </row>
    <row r="337" spans="1:48" s="37" customFormat="1" ht="12" x14ac:dyDescent="0.3">
      <c r="A337" s="74" t="s">
        <v>1630</v>
      </c>
      <c r="B337" s="75" t="s">
        <v>1631</v>
      </c>
      <c r="C337" s="85">
        <v>1200</v>
      </c>
      <c r="D337" s="86">
        <v>52.1</v>
      </c>
      <c r="E337" s="87">
        <v>16</v>
      </c>
      <c r="F337" s="86">
        <v>46.7</v>
      </c>
      <c r="G337" s="17">
        <v>14</v>
      </c>
      <c r="H337" s="88">
        <v>80</v>
      </c>
      <c r="I337" s="89">
        <v>9800</v>
      </c>
      <c r="J337" s="89" t="s">
        <v>83</v>
      </c>
      <c r="K337" s="89"/>
      <c r="L337" s="89"/>
      <c r="M337" s="90">
        <f t="shared" si="316"/>
        <v>9800</v>
      </c>
      <c r="N337" s="4">
        <f t="shared" si="317"/>
        <v>0</v>
      </c>
      <c r="O337" s="91">
        <f t="shared" si="318"/>
        <v>612.5</v>
      </c>
      <c r="P337" s="91">
        <f t="shared" si="319"/>
        <v>0</v>
      </c>
      <c r="Q337" s="79">
        <v>2</v>
      </c>
      <c r="R337" s="79">
        <v>1</v>
      </c>
      <c r="S337" s="79" t="s">
        <v>62</v>
      </c>
      <c r="T337" s="5" t="s">
        <v>189</v>
      </c>
      <c r="U337" s="9"/>
      <c r="W337" s="86">
        <f t="shared" si="320"/>
        <v>52.1</v>
      </c>
      <c r="X337" s="87">
        <f t="shared" si="320"/>
        <v>16</v>
      </c>
      <c r="Y337" s="92">
        <f t="shared" si="321"/>
        <v>80</v>
      </c>
      <c r="Z337" s="90">
        <f t="shared" si="321"/>
        <v>9800</v>
      </c>
      <c r="AA337" s="90">
        <f t="shared" si="322"/>
        <v>0</v>
      </c>
      <c r="AB337" s="90">
        <f t="shared" si="315"/>
        <v>9800</v>
      </c>
      <c r="AC337" s="4">
        <f t="shared" si="315"/>
        <v>0</v>
      </c>
      <c r="AD337" s="91">
        <f t="shared" si="315"/>
        <v>612.5</v>
      </c>
      <c r="AE337" s="79" t="str">
        <f t="shared" si="323"/>
        <v>계</v>
      </c>
      <c r="AF337" s="79" t="str">
        <f t="shared" si="324"/>
        <v>2/1</v>
      </c>
      <c r="AH337" s="20" t="str">
        <f t="shared" si="313"/>
        <v>신봉동 주공</v>
      </c>
      <c r="AI337" s="87">
        <f t="shared" si="314"/>
        <v>16</v>
      </c>
      <c r="AJ337" s="79" t="str">
        <f t="shared" si="325"/>
        <v>A-</v>
      </c>
      <c r="AK337" s="79" t="s">
        <v>13</v>
      </c>
      <c r="AL337" s="79" t="s">
        <v>60</v>
      </c>
      <c r="AM337" s="79" t="s">
        <v>61</v>
      </c>
      <c r="AN337" s="79" t="str">
        <f t="shared" si="326"/>
        <v>C</v>
      </c>
      <c r="AO337" s="79" t="str">
        <f t="shared" si="327"/>
        <v>X</v>
      </c>
      <c r="AP337" s="79" t="str">
        <f t="shared" si="328"/>
        <v>O</v>
      </c>
      <c r="AQ337" s="79" t="str">
        <f t="shared" si="329"/>
        <v>O</v>
      </c>
      <c r="AR337" s="79" t="str">
        <f t="shared" si="330"/>
        <v>X</v>
      </c>
      <c r="AS337" s="79" t="s">
        <v>2</v>
      </c>
      <c r="AT337" s="79" t="str">
        <f t="shared" si="331"/>
        <v>O</v>
      </c>
      <c r="AU337" s="79" t="str">
        <f t="shared" si="332"/>
        <v>O</v>
      </c>
      <c r="AV337" s="79" t="str">
        <f t="shared" si="333"/>
        <v>X</v>
      </c>
    </row>
    <row r="338" spans="1:48" s="37" customFormat="1" ht="12" x14ac:dyDescent="0.3">
      <c r="A338" s="74" t="s">
        <v>1630</v>
      </c>
      <c r="B338" s="75" t="s">
        <v>1631</v>
      </c>
      <c r="C338" s="85">
        <v>1200</v>
      </c>
      <c r="D338" s="86">
        <v>52.8</v>
      </c>
      <c r="E338" s="87">
        <v>16</v>
      </c>
      <c r="F338" s="86">
        <v>46.8</v>
      </c>
      <c r="G338" s="17">
        <v>14</v>
      </c>
      <c r="H338" s="88">
        <v>4</v>
      </c>
      <c r="I338" s="89"/>
      <c r="J338" s="89"/>
      <c r="K338" s="89"/>
      <c r="L338" s="89"/>
      <c r="M338" s="90">
        <f t="shared" si="316"/>
        <v>0</v>
      </c>
      <c r="N338" s="4" t="str">
        <f t="shared" si="317"/>
        <v/>
      </c>
      <c r="O338" s="91">
        <f t="shared" si="318"/>
        <v>0</v>
      </c>
      <c r="P338" s="91">
        <f t="shared" si="319"/>
        <v>0</v>
      </c>
      <c r="Q338" s="79">
        <v>2</v>
      </c>
      <c r="R338" s="79">
        <v>1</v>
      </c>
      <c r="S338" s="79" t="s">
        <v>62</v>
      </c>
      <c r="T338" s="5" t="s">
        <v>168</v>
      </c>
      <c r="U338" s="9"/>
      <c r="W338" s="86">
        <f t="shared" si="320"/>
        <v>52.8</v>
      </c>
      <c r="X338" s="87">
        <f t="shared" si="320"/>
        <v>16</v>
      </c>
      <c r="Y338" s="92">
        <f t="shared" si="321"/>
        <v>4</v>
      </c>
      <c r="Z338" s="90">
        <f t="shared" si="321"/>
        <v>0</v>
      </c>
      <c r="AA338" s="90">
        <f t="shared" si="322"/>
        <v>0</v>
      </c>
      <c r="AB338" s="90">
        <f t="shared" si="315"/>
        <v>0</v>
      </c>
      <c r="AC338" s="4" t="str">
        <f t="shared" si="315"/>
        <v/>
      </c>
      <c r="AD338" s="91">
        <f t="shared" si="315"/>
        <v>0</v>
      </c>
      <c r="AE338" s="79" t="str">
        <f t="shared" si="323"/>
        <v>계</v>
      </c>
      <c r="AF338" s="79" t="str">
        <f t="shared" si="324"/>
        <v>2/1</v>
      </c>
      <c r="AH338" s="20" t="str">
        <f t="shared" si="313"/>
        <v>신봉동 주공</v>
      </c>
      <c r="AI338" s="87">
        <f t="shared" si="314"/>
        <v>16</v>
      </c>
      <c r="AJ338" s="79" t="str">
        <f t="shared" si="325"/>
        <v>A-</v>
      </c>
      <c r="AK338" s="79" t="s">
        <v>13</v>
      </c>
      <c r="AL338" s="79" t="s">
        <v>60</v>
      </c>
      <c r="AM338" s="79" t="s">
        <v>61</v>
      </c>
      <c r="AN338" s="79" t="str">
        <f t="shared" si="326"/>
        <v>C</v>
      </c>
      <c r="AO338" s="79" t="str">
        <f t="shared" si="327"/>
        <v/>
      </c>
      <c r="AP338" s="79" t="str">
        <f t="shared" si="328"/>
        <v/>
      </c>
      <c r="AQ338" s="79" t="str">
        <f t="shared" si="329"/>
        <v>O</v>
      </c>
      <c r="AR338" s="79" t="str">
        <f t="shared" si="330"/>
        <v>O</v>
      </c>
      <c r="AS338" s="79" t="s">
        <v>2</v>
      </c>
      <c r="AT338" s="79" t="str">
        <f t="shared" si="331"/>
        <v>O</v>
      </c>
      <c r="AU338" s="79" t="str">
        <f t="shared" si="332"/>
        <v>O</v>
      </c>
      <c r="AV338" s="79" t="str">
        <f t="shared" si="333"/>
        <v/>
      </c>
    </row>
    <row r="339" spans="1:48" s="37" customFormat="1" ht="12" x14ac:dyDescent="0.3">
      <c r="A339" s="74" t="s">
        <v>1630</v>
      </c>
      <c r="B339" s="75" t="s">
        <v>1631</v>
      </c>
      <c r="C339" s="85">
        <v>1200</v>
      </c>
      <c r="D339" s="86">
        <v>58.9</v>
      </c>
      <c r="E339" s="87">
        <v>18</v>
      </c>
      <c r="F339" s="86">
        <v>53.9</v>
      </c>
      <c r="G339" s="17">
        <v>16</v>
      </c>
      <c r="H339" s="88">
        <v>306</v>
      </c>
      <c r="I339" s="89">
        <v>17500</v>
      </c>
      <c r="J339" s="89" t="s">
        <v>71</v>
      </c>
      <c r="K339" s="89">
        <v>8000</v>
      </c>
      <c r="L339" s="89" t="s">
        <v>89</v>
      </c>
      <c r="M339" s="90">
        <f t="shared" si="316"/>
        <v>9500</v>
      </c>
      <c r="N339" s="4">
        <f t="shared" si="317"/>
        <v>0.45714285714285713</v>
      </c>
      <c r="O339" s="91">
        <f t="shared" si="318"/>
        <v>972.22222222222217</v>
      </c>
      <c r="P339" s="91">
        <f t="shared" si="319"/>
        <v>444.44444444444446</v>
      </c>
      <c r="Q339" s="79">
        <v>2</v>
      </c>
      <c r="R339" s="79">
        <v>1</v>
      </c>
      <c r="S339" s="79" t="s">
        <v>62</v>
      </c>
      <c r="T339" s="5" t="s">
        <v>190</v>
      </c>
      <c r="U339" s="9"/>
      <c r="W339" s="86">
        <f t="shared" si="320"/>
        <v>58.9</v>
      </c>
      <c r="X339" s="87">
        <f t="shared" si="320"/>
        <v>18</v>
      </c>
      <c r="Y339" s="92">
        <f t="shared" si="321"/>
        <v>306</v>
      </c>
      <c r="Z339" s="90">
        <f t="shared" si="321"/>
        <v>17500</v>
      </c>
      <c r="AA339" s="90">
        <f t="shared" si="322"/>
        <v>8000</v>
      </c>
      <c r="AB339" s="90">
        <f t="shared" si="315"/>
        <v>9500</v>
      </c>
      <c r="AC339" s="4">
        <f t="shared" si="315"/>
        <v>0.45714285714285713</v>
      </c>
      <c r="AD339" s="91">
        <f t="shared" si="315"/>
        <v>972.22222222222217</v>
      </c>
      <c r="AE339" s="79" t="str">
        <f t="shared" si="323"/>
        <v>계</v>
      </c>
      <c r="AF339" s="79" t="str">
        <f t="shared" si="324"/>
        <v>2/1</v>
      </c>
      <c r="AH339" s="20" t="str">
        <f t="shared" si="313"/>
        <v>신봉동 주공</v>
      </c>
      <c r="AI339" s="87">
        <f t="shared" si="314"/>
        <v>18</v>
      </c>
      <c r="AJ339" s="79" t="str">
        <f t="shared" si="325"/>
        <v>A-</v>
      </c>
      <c r="AK339" s="79" t="s">
        <v>13</v>
      </c>
      <c r="AL339" s="79" t="s">
        <v>60</v>
      </c>
      <c r="AM339" s="79" t="s">
        <v>61</v>
      </c>
      <c r="AN339" s="79" t="str">
        <f t="shared" si="326"/>
        <v>C</v>
      </c>
      <c r="AO339" s="79" t="str">
        <f t="shared" si="327"/>
        <v>X</v>
      </c>
      <c r="AP339" s="79" t="str">
        <f t="shared" si="328"/>
        <v>O</v>
      </c>
      <c r="AQ339" s="79" t="str">
        <f t="shared" si="329"/>
        <v>O</v>
      </c>
      <c r="AR339" s="79" t="str">
        <f t="shared" si="330"/>
        <v>X</v>
      </c>
      <c r="AS339" s="79" t="s">
        <v>2</v>
      </c>
      <c r="AT339" s="79" t="str">
        <f t="shared" si="331"/>
        <v>O</v>
      </c>
      <c r="AU339" s="79" t="str">
        <f t="shared" si="332"/>
        <v>O</v>
      </c>
      <c r="AV339" s="79" t="str">
        <f t="shared" si="333"/>
        <v>X</v>
      </c>
    </row>
    <row r="340" spans="1:48" s="37" customFormat="1" ht="12" x14ac:dyDescent="0.3">
      <c r="A340" s="74" t="s">
        <v>1630</v>
      </c>
      <c r="B340" s="75" t="s">
        <v>1631</v>
      </c>
      <c r="C340" s="85">
        <v>1200</v>
      </c>
      <c r="D340" s="86">
        <v>59.4</v>
      </c>
      <c r="E340" s="87">
        <v>18</v>
      </c>
      <c r="F340" s="86">
        <v>54</v>
      </c>
      <c r="G340" s="17">
        <v>16</v>
      </c>
      <c r="H340" s="88">
        <v>2</v>
      </c>
      <c r="I340" s="89">
        <v>18200</v>
      </c>
      <c r="J340" s="89" t="s">
        <v>83</v>
      </c>
      <c r="K340" s="89"/>
      <c r="L340" s="89"/>
      <c r="M340" s="90">
        <f t="shared" si="316"/>
        <v>18200</v>
      </c>
      <c r="N340" s="4">
        <f t="shared" si="317"/>
        <v>0</v>
      </c>
      <c r="O340" s="91">
        <f t="shared" si="318"/>
        <v>1011.1111111111111</v>
      </c>
      <c r="P340" s="91">
        <f t="shared" si="319"/>
        <v>0</v>
      </c>
      <c r="Q340" s="79">
        <v>2</v>
      </c>
      <c r="R340" s="79">
        <v>1</v>
      </c>
      <c r="S340" s="79" t="s">
        <v>62</v>
      </c>
      <c r="T340" s="5" t="s">
        <v>169</v>
      </c>
      <c r="U340" s="9"/>
      <c r="W340" s="86">
        <f t="shared" si="320"/>
        <v>59.4</v>
      </c>
      <c r="X340" s="87">
        <f t="shared" si="320"/>
        <v>18</v>
      </c>
      <c r="Y340" s="92">
        <f t="shared" si="321"/>
        <v>2</v>
      </c>
      <c r="Z340" s="90">
        <f t="shared" si="321"/>
        <v>18200</v>
      </c>
      <c r="AA340" s="90">
        <f t="shared" si="322"/>
        <v>0</v>
      </c>
      <c r="AB340" s="90">
        <f t="shared" si="315"/>
        <v>18200</v>
      </c>
      <c r="AC340" s="4">
        <f t="shared" si="315"/>
        <v>0</v>
      </c>
      <c r="AD340" s="91">
        <f t="shared" si="315"/>
        <v>1011.1111111111111</v>
      </c>
      <c r="AE340" s="79" t="str">
        <f t="shared" si="323"/>
        <v>계</v>
      </c>
      <c r="AF340" s="79" t="str">
        <f t="shared" si="324"/>
        <v>2/1</v>
      </c>
      <c r="AH340" s="20" t="str">
        <f t="shared" si="313"/>
        <v>신봉동 주공</v>
      </c>
      <c r="AI340" s="87">
        <f t="shared" si="314"/>
        <v>18</v>
      </c>
      <c r="AJ340" s="79" t="str">
        <f t="shared" si="325"/>
        <v>A-</v>
      </c>
      <c r="AK340" s="79" t="s">
        <v>13</v>
      </c>
      <c r="AL340" s="79" t="s">
        <v>60</v>
      </c>
      <c r="AM340" s="79" t="s">
        <v>61</v>
      </c>
      <c r="AN340" s="79" t="str">
        <f t="shared" si="326"/>
        <v>C</v>
      </c>
      <c r="AO340" s="79" t="str">
        <f t="shared" si="327"/>
        <v>X</v>
      </c>
      <c r="AP340" s="79" t="str">
        <f t="shared" si="328"/>
        <v>O</v>
      </c>
      <c r="AQ340" s="79" t="str">
        <f t="shared" si="329"/>
        <v>O</v>
      </c>
      <c r="AR340" s="79" t="str">
        <f t="shared" si="330"/>
        <v>X</v>
      </c>
      <c r="AS340" s="79" t="s">
        <v>2</v>
      </c>
      <c r="AT340" s="79" t="str">
        <f t="shared" si="331"/>
        <v>O</v>
      </c>
      <c r="AU340" s="79" t="str">
        <f t="shared" si="332"/>
        <v>O</v>
      </c>
      <c r="AV340" s="79" t="str">
        <f t="shared" si="333"/>
        <v>X</v>
      </c>
    </row>
    <row r="341" spans="1:48" s="37" customFormat="1" ht="12" x14ac:dyDescent="0.3">
      <c r="A341" s="74" t="s">
        <v>1630</v>
      </c>
      <c r="B341" s="75" t="s">
        <v>1631</v>
      </c>
      <c r="C341" s="85">
        <v>1200</v>
      </c>
      <c r="D341" s="86">
        <v>59.4</v>
      </c>
      <c r="E341" s="87">
        <v>18</v>
      </c>
      <c r="F341" s="86">
        <v>54</v>
      </c>
      <c r="G341" s="17">
        <v>16</v>
      </c>
      <c r="H341" s="88">
        <v>2</v>
      </c>
      <c r="I341" s="89">
        <v>18200</v>
      </c>
      <c r="J341" s="89" t="s">
        <v>83</v>
      </c>
      <c r="K341" s="89"/>
      <c r="L341" s="89"/>
      <c r="M341" s="90">
        <f t="shared" si="316"/>
        <v>18200</v>
      </c>
      <c r="N341" s="4">
        <f t="shared" si="317"/>
        <v>0</v>
      </c>
      <c r="O341" s="91">
        <f t="shared" si="318"/>
        <v>1011.1111111111111</v>
      </c>
      <c r="P341" s="91">
        <f t="shared" si="319"/>
        <v>0</v>
      </c>
      <c r="Q341" s="79">
        <v>2</v>
      </c>
      <c r="R341" s="79">
        <v>1</v>
      </c>
      <c r="S341" s="79" t="s">
        <v>62</v>
      </c>
      <c r="T341" s="5" t="s">
        <v>171</v>
      </c>
      <c r="U341" s="9"/>
      <c r="W341" s="86">
        <f t="shared" si="320"/>
        <v>59.4</v>
      </c>
      <c r="X341" s="87">
        <f t="shared" si="320"/>
        <v>18</v>
      </c>
      <c r="Y341" s="92">
        <f t="shared" si="321"/>
        <v>2</v>
      </c>
      <c r="Z341" s="90">
        <f t="shared" si="321"/>
        <v>18200</v>
      </c>
      <c r="AA341" s="90">
        <f t="shared" si="322"/>
        <v>0</v>
      </c>
      <c r="AB341" s="90">
        <f t="shared" si="315"/>
        <v>18200</v>
      </c>
      <c r="AC341" s="4">
        <f t="shared" si="315"/>
        <v>0</v>
      </c>
      <c r="AD341" s="91">
        <f t="shared" si="315"/>
        <v>1011.1111111111111</v>
      </c>
      <c r="AE341" s="79" t="str">
        <f t="shared" si="323"/>
        <v>계</v>
      </c>
      <c r="AF341" s="79" t="str">
        <f t="shared" si="324"/>
        <v>2/1</v>
      </c>
      <c r="AH341" s="20" t="str">
        <f t="shared" si="313"/>
        <v>신봉동 주공</v>
      </c>
      <c r="AI341" s="87">
        <f t="shared" si="314"/>
        <v>18</v>
      </c>
      <c r="AJ341" s="79" t="str">
        <f t="shared" si="325"/>
        <v>A-</v>
      </c>
      <c r="AK341" s="79" t="s">
        <v>13</v>
      </c>
      <c r="AL341" s="79" t="s">
        <v>60</v>
      </c>
      <c r="AM341" s="79" t="s">
        <v>61</v>
      </c>
      <c r="AN341" s="79" t="str">
        <f t="shared" si="326"/>
        <v>C</v>
      </c>
      <c r="AO341" s="79" t="str">
        <f t="shared" si="327"/>
        <v>X</v>
      </c>
      <c r="AP341" s="79" t="str">
        <f t="shared" si="328"/>
        <v>O</v>
      </c>
      <c r="AQ341" s="79" t="str">
        <f t="shared" si="329"/>
        <v>O</v>
      </c>
      <c r="AR341" s="79" t="str">
        <f t="shared" si="330"/>
        <v>X</v>
      </c>
      <c r="AS341" s="79" t="s">
        <v>2</v>
      </c>
      <c r="AT341" s="79" t="str">
        <f t="shared" si="331"/>
        <v>O</v>
      </c>
      <c r="AU341" s="79" t="str">
        <f t="shared" si="332"/>
        <v>O</v>
      </c>
      <c r="AV341" s="79" t="str">
        <f t="shared" si="333"/>
        <v>X</v>
      </c>
    </row>
    <row r="342" spans="1:48" s="37" customFormat="1" ht="12" x14ac:dyDescent="0.3">
      <c r="A342" s="74" t="s">
        <v>1630</v>
      </c>
      <c r="B342" s="75" t="s">
        <v>1631</v>
      </c>
      <c r="C342" s="85">
        <v>1200</v>
      </c>
      <c r="D342" s="86">
        <v>67.5</v>
      </c>
      <c r="E342" s="87">
        <v>20</v>
      </c>
      <c r="F342" s="86">
        <v>61.8</v>
      </c>
      <c r="G342" s="17">
        <v>19</v>
      </c>
      <c r="H342" s="88">
        <v>246</v>
      </c>
      <c r="I342" s="89">
        <v>20000</v>
      </c>
      <c r="J342" s="89" t="s">
        <v>83</v>
      </c>
      <c r="K342" s="89"/>
      <c r="L342" s="89"/>
      <c r="M342" s="90">
        <f t="shared" si="316"/>
        <v>20000</v>
      </c>
      <c r="N342" s="4">
        <f t="shared" si="317"/>
        <v>0</v>
      </c>
      <c r="O342" s="91">
        <f t="shared" si="318"/>
        <v>1000</v>
      </c>
      <c r="P342" s="91">
        <f t="shared" si="319"/>
        <v>0</v>
      </c>
      <c r="Q342" s="79">
        <v>3</v>
      </c>
      <c r="R342" s="79">
        <v>1</v>
      </c>
      <c r="S342" s="79" t="s">
        <v>62</v>
      </c>
      <c r="T342" s="5" t="s">
        <v>191</v>
      </c>
      <c r="U342" s="9"/>
      <c r="W342" s="86">
        <f t="shared" si="320"/>
        <v>67.5</v>
      </c>
      <c r="X342" s="87">
        <f t="shared" si="320"/>
        <v>20</v>
      </c>
      <c r="Y342" s="92">
        <f t="shared" si="321"/>
        <v>246</v>
      </c>
      <c r="Z342" s="90">
        <f t="shared" si="321"/>
        <v>20000</v>
      </c>
      <c r="AA342" s="90">
        <f t="shared" si="322"/>
        <v>0</v>
      </c>
      <c r="AB342" s="90">
        <f t="shared" si="315"/>
        <v>20000</v>
      </c>
      <c r="AC342" s="4">
        <f t="shared" si="315"/>
        <v>0</v>
      </c>
      <c r="AD342" s="91">
        <f t="shared" si="315"/>
        <v>1000</v>
      </c>
      <c r="AE342" s="79" t="str">
        <f t="shared" si="323"/>
        <v>계</v>
      </c>
      <c r="AF342" s="79" t="str">
        <f t="shared" si="324"/>
        <v>3/1</v>
      </c>
      <c r="AH342" s="20" t="str">
        <f t="shared" si="313"/>
        <v>신봉동 주공</v>
      </c>
      <c r="AI342" s="87">
        <f t="shared" si="314"/>
        <v>20</v>
      </c>
      <c r="AJ342" s="79" t="str">
        <f t="shared" si="325"/>
        <v>A-</v>
      </c>
      <c r="AK342" s="79" t="s">
        <v>13</v>
      </c>
      <c r="AL342" s="79" t="s">
        <v>60</v>
      </c>
      <c r="AM342" s="79" t="s">
        <v>61</v>
      </c>
      <c r="AN342" s="79" t="str">
        <f t="shared" si="326"/>
        <v>C</v>
      </c>
      <c r="AO342" s="79" t="str">
        <f t="shared" si="327"/>
        <v>X</v>
      </c>
      <c r="AP342" s="79" t="str">
        <f t="shared" si="328"/>
        <v>O</v>
      </c>
      <c r="AQ342" s="79" t="str">
        <f t="shared" si="329"/>
        <v>O</v>
      </c>
      <c r="AR342" s="79" t="str">
        <f t="shared" si="330"/>
        <v>X</v>
      </c>
      <c r="AS342" s="79" t="s">
        <v>2</v>
      </c>
      <c r="AT342" s="79" t="str">
        <f t="shared" si="331"/>
        <v>O</v>
      </c>
      <c r="AU342" s="79" t="str">
        <f t="shared" si="332"/>
        <v>O</v>
      </c>
      <c r="AV342" s="79" t="str">
        <f t="shared" si="333"/>
        <v>X</v>
      </c>
    </row>
    <row r="343" spans="1:48" s="37" customFormat="1" ht="12" x14ac:dyDescent="0.3">
      <c r="A343" s="74" t="s">
        <v>1630</v>
      </c>
      <c r="B343" s="75" t="s">
        <v>1631</v>
      </c>
      <c r="C343" s="85">
        <v>1200</v>
      </c>
      <c r="D343" s="86">
        <v>67.900000000000006</v>
      </c>
      <c r="E343" s="87">
        <v>21</v>
      </c>
      <c r="F343" s="86">
        <v>61.7</v>
      </c>
      <c r="G343" s="17">
        <v>19</v>
      </c>
      <c r="H343" s="88">
        <v>13</v>
      </c>
      <c r="I343" s="89"/>
      <c r="J343" s="89"/>
      <c r="K343" s="89"/>
      <c r="L343" s="89"/>
      <c r="M343" s="90">
        <f t="shared" si="316"/>
        <v>0</v>
      </c>
      <c r="N343" s="4" t="str">
        <f t="shared" si="317"/>
        <v/>
      </c>
      <c r="O343" s="91">
        <f t="shared" si="318"/>
        <v>0</v>
      </c>
      <c r="P343" s="91">
        <f t="shared" si="319"/>
        <v>0</v>
      </c>
      <c r="Q343" s="79">
        <v>3</v>
      </c>
      <c r="R343" s="79">
        <v>1</v>
      </c>
      <c r="S343" s="79" t="s">
        <v>62</v>
      </c>
      <c r="T343" s="5" t="s">
        <v>192</v>
      </c>
      <c r="U343" s="9"/>
      <c r="W343" s="86">
        <f t="shared" si="320"/>
        <v>67.900000000000006</v>
      </c>
      <c r="X343" s="87">
        <f t="shared" si="320"/>
        <v>21</v>
      </c>
      <c r="Y343" s="92">
        <f t="shared" si="321"/>
        <v>13</v>
      </c>
      <c r="Z343" s="90">
        <f t="shared" si="321"/>
        <v>0</v>
      </c>
      <c r="AA343" s="90">
        <f t="shared" si="322"/>
        <v>0</v>
      </c>
      <c r="AB343" s="90">
        <f t="shared" si="315"/>
        <v>0</v>
      </c>
      <c r="AC343" s="4" t="str">
        <f t="shared" si="315"/>
        <v/>
      </c>
      <c r="AD343" s="91">
        <f t="shared" si="315"/>
        <v>0</v>
      </c>
      <c r="AE343" s="79" t="str">
        <f t="shared" si="323"/>
        <v>계</v>
      </c>
      <c r="AF343" s="79" t="str">
        <f t="shared" si="324"/>
        <v>3/1</v>
      </c>
      <c r="AH343" s="20" t="str">
        <f t="shared" si="313"/>
        <v>신봉동 주공</v>
      </c>
      <c r="AI343" s="87">
        <f t="shared" si="314"/>
        <v>21</v>
      </c>
      <c r="AJ343" s="79" t="str">
        <f t="shared" si="325"/>
        <v>A-</v>
      </c>
      <c r="AK343" s="79" t="s">
        <v>13</v>
      </c>
      <c r="AL343" s="79" t="s">
        <v>60</v>
      </c>
      <c r="AM343" s="79" t="s">
        <v>61</v>
      </c>
      <c r="AN343" s="79" t="str">
        <f t="shared" si="326"/>
        <v>C</v>
      </c>
      <c r="AO343" s="79" t="str">
        <f t="shared" si="327"/>
        <v/>
      </c>
      <c r="AP343" s="79" t="str">
        <f t="shared" si="328"/>
        <v/>
      </c>
      <c r="AQ343" s="79" t="str">
        <f t="shared" si="329"/>
        <v>O</v>
      </c>
      <c r="AR343" s="79" t="str">
        <f t="shared" si="330"/>
        <v>O</v>
      </c>
      <c r="AS343" s="79" t="s">
        <v>2</v>
      </c>
      <c r="AT343" s="79" t="str">
        <f t="shared" si="331"/>
        <v>O</v>
      </c>
      <c r="AU343" s="79" t="str">
        <f t="shared" si="332"/>
        <v>O</v>
      </c>
      <c r="AV343" s="79" t="str">
        <f t="shared" si="333"/>
        <v/>
      </c>
    </row>
    <row r="344" spans="1:48" s="37" customFormat="1" ht="12" x14ac:dyDescent="0.3">
      <c r="A344" s="74" t="s">
        <v>1632</v>
      </c>
      <c r="B344" s="75" t="s">
        <v>1633</v>
      </c>
      <c r="C344" s="85">
        <v>564</v>
      </c>
      <c r="D344" s="86">
        <v>77.3</v>
      </c>
      <c r="E344" s="87">
        <v>23</v>
      </c>
      <c r="F344" s="86">
        <v>59.9</v>
      </c>
      <c r="G344" s="17">
        <v>18</v>
      </c>
      <c r="H344" s="88">
        <v>264</v>
      </c>
      <c r="I344" s="89">
        <v>15000</v>
      </c>
      <c r="J344" s="89" t="s">
        <v>71</v>
      </c>
      <c r="K344" s="89"/>
      <c r="L344" s="89"/>
      <c r="M344" s="90">
        <f>I344-K344</f>
        <v>15000</v>
      </c>
      <c r="N344" s="4">
        <f>IF(ISERROR(K344/I344),"",K344/I344)</f>
        <v>0</v>
      </c>
      <c r="O344" s="91">
        <f>I344/E344</f>
        <v>652.17391304347825</v>
      </c>
      <c r="P344" s="91">
        <f>K344/E344</f>
        <v>0</v>
      </c>
      <c r="Q344" s="79">
        <v>3</v>
      </c>
      <c r="R344" s="79">
        <v>1</v>
      </c>
      <c r="S344" s="79" t="s">
        <v>62</v>
      </c>
      <c r="T344" s="5">
        <v>77</v>
      </c>
      <c r="U344" s="9"/>
      <c r="W344" s="86">
        <f t="shared" si="320"/>
        <v>77.3</v>
      </c>
      <c r="X344" s="87">
        <f t="shared" si="320"/>
        <v>23</v>
      </c>
      <c r="Y344" s="92">
        <f t="shared" si="321"/>
        <v>264</v>
      </c>
      <c r="Z344" s="90">
        <f t="shared" si="321"/>
        <v>15000</v>
      </c>
      <c r="AA344" s="90">
        <f>K344</f>
        <v>0</v>
      </c>
      <c r="AB344" s="90">
        <f t="shared" ref="AB344:AD353" si="334">M344</f>
        <v>15000</v>
      </c>
      <c r="AC344" s="4">
        <f t="shared" si="334"/>
        <v>0</v>
      </c>
      <c r="AD344" s="91">
        <f t="shared" si="334"/>
        <v>652.17391304347825</v>
      </c>
      <c r="AE344" s="79" t="str">
        <f>S344</f>
        <v>계</v>
      </c>
      <c r="AF344" s="79" t="str">
        <f>Q344&amp;"/"&amp;R344</f>
        <v>3/1</v>
      </c>
      <c r="AH344" s="20" t="str">
        <f t="shared" si="313"/>
        <v>신봉동 삼정백조</v>
      </c>
      <c r="AI344" s="87">
        <f t="shared" si="314"/>
        <v>23</v>
      </c>
      <c r="AJ344" s="79" t="str">
        <f>IF(AI344="","",$AJ$2)</f>
        <v>A-</v>
      </c>
      <c r="AK344" s="79" t="s">
        <v>13</v>
      </c>
      <c r="AL344" s="79" t="s">
        <v>60</v>
      </c>
      <c r="AM344" s="79" t="s">
        <v>61</v>
      </c>
      <c r="AN344" s="79" t="str">
        <f>IF(AI344="","",$AN$2)</f>
        <v>C</v>
      </c>
      <c r="AO344" s="79" t="str">
        <f>IF(N344="","",IF(N344&gt;=$AO$1/100,"O","X"))</f>
        <v>X</v>
      </c>
      <c r="AP344" s="79" t="str">
        <f>IF(I344="","",IF(I344&lt;=$AP$1,"O","X"))</f>
        <v>O</v>
      </c>
      <c r="AQ344" s="79" t="str">
        <f>IF(O344="","",IF(O344&lt;=$AQ$1,"O","X"))</f>
        <v>O</v>
      </c>
      <c r="AR344" s="79" t="str">
        <f>IF(M344="","",IF(M344&lt;=$AR$1,"O","X"))</f>
        <v>X</v>
      </c>
      <c r="AS344" s="79" t="s">
        <v>2</v>
      </c>
      <c r="AT344" s="79" t="str">
        <f>IF(OR(F344="",AI344=""),"",IF(AND((F344&lt;=85),(AI344&gt;=15)),"O","X"))</f>
        <v>O</v>
      </c>
      <c r="AU344" s="79" t="str">
        <f>IF(C344="","",IF(C344&gt;=$AU$1,"O","X"))</f>
        <v>O</v>
      </c>
      <c r="AV344" s="79" t="str">
        <f>IF(AO344="","",IF(AND(AO344="O",AP344="O",AR344="O",AT344="O",AU344="O"),"후보","X"))</f>
        <v>X</v>
      </c>
    </row>
    <row r="345" spans="1:48" s="37" customFormat="1" ht="12" x14ac:dyDescent="0.3">
      <c r="A345" s="74" t="s">
        <v>1632</v>
      </c>
      <c r="B345" s="75" t="s">
        <v>1633</v>
      </c>
      <c r="C345" s="85">
        <v>564</v>
      </c>
      <c r="D345" s="86">
        <v>107.9</v>
      </c>
      <c r="E345" s="87">
        <v>33</v>
      </c>
      <c r="F345" s="86">
        <v>84.8</v>
      </c>
      <c r="G345" s="17">
        <v>26</v>
      </c>
      <c r="H345" s="88">
        <v>220</v>
      </c>
      <c r="I345" s="89">
        <v>20500</v>
      </c>
      <c r="J345" s="89" t="s">
        <v>89</v>
      </c>
      <c r="K345" s="89"/>
      <c r="L345" s="89"/>
      <c r="M345" s="90">
        <f>I345-K345</f>
        <v>20500</v>
      </c>
      <c r="N345" s="4">
        <f>IF(ISERROR(K345/I345),"",K345/I345)</f>
        <v>0</v>
      </c>
      <c r="O345" s="91">
        <f>I345/E345</f>
        <v>621.21212121212125</v>
      </c>
      <c r="P345" s="91">
        <f>K345/E345</f>
        <v>0</v>
      </c>
      <c r="Q345" s="79">
        <v>3</v>
      </c>
      <c r="R345" s="79">
        <v>2</v>
      </c>
      <c r="S345" s="79" t="s">
        <v>62</v>
      </c>
      <c r="T345" s="5">
        <v>107</v>
      </c>
      <c r="U345" s="9"/>
      <c r="W345" s="86">
        <f t="shared" si="320"/>
        <v>107.9</v>
      </c>
      <c r="X345" s="87">
        <f t="shared" si="320"/>
        <v>33</v>
      </c>
      <c r="Y345" s="92">
        <f t="shared" si="321"/>
        <v>220</v>
      </c>
      <c r="Z345" s="90">
        <f t="shared" si="321"/>
        <v>20500</v>
      </c>
      <c r="AA345" s="90">
        <f>K345</f>
        <v>0</v>
      </c>
      <c r="AB345" s="90">
        <f t="shared" si="334"/>
        <v>20500</v>
      </c>
      <c r="AC345" s="4">
        <f t="shared" si="334"/>
        <v>0</v>
      </c>
      <c r="AD345" s="91">
        <f t="shared" si="334"/>
        <v>621.21212121212125</v>
      </c>
      <c r="AE345" s="79" t="str">
        <f>S345</f>
        <v>계</v>
      </c>
      <c r="AF345" s="79" t="str">
        <f>Q345&amp;"/"&amp;R345</f>
        <v>3/2</v>
      </c>
      <c r="AH345" s="20" t="str">
        <f t="shared" si="313"/>
        <v>신봉동 삼정백조</v>
      </c>
      <c r="AI345" s="87">
        <f t="shared" si="314"/>
        <v>33</v>
      </c>
      <c r="AJ345" s="79" t="str">
        <f>IF(AI345="","",$AJ$2)</f>
        <v>A-</v>
      </c>
      <c r="AK345" s="79" t="s">
        <v>13</v>
      </c>
      <c r="AL345" s="79" t="s">
        <v>60</v>
      </c>
      <c r="AM345" s="79" t="s">
        <v>61</v>
      </c>
      <c r="AN345" s="79" t="str">
        <f>IF(AI345="","",$AN$2)</f>
        <v>C</v>
      </c>
      <c r="AO345" s="79" t="str">
        <f>IF(N345="","",IF(N345&gt;=$AO$1/100,"O","X"))</f>
        <v>X</v>
      </c>
      <c r="AP345" s="79" t="str">
        <f>IF(I345="","",IF(I345&lt;=$AP$1,"O","X"))</f>
        <v>O</v>
      </c>
      <c r="AQ345" s="79" t="str">
        <f>IF(O345="","",IF(O345&lt;=$AQ$1,"O","X"))</f>
        <v>O</v>
      </c>
      <c r="AR345" s="79" t="str">
        <f>IF(M345="","",IF(M345&lt;=$AR$1,"O","X"))</f>
        <v>X</v>
      </c>
      <c r="AS345" s="79" t="s">
        <v>2</v>
      </c>
      <c r="AT345" s="79" t="str">
        <f>IF(OR(F345="",AI345=""),"",IF(AND((F345&lt;=85),(AI345&gt;=15)),"O","X"))</f>
        <v>O</v>
      </c>
      <c r="AU345" s="79" t="str">
        <f>IF(C345="","",IF(C345&gt;=$AU$1,"O","X"))</f>
        <v>O</v>
      </c>
      <c r="AV345" s="79" t="str">
        <f>IF(AO345="","",IF(AND(AO345="O",AP345="O",AR345="O",AT345="O",AU345="O"),"후보","X"))</f>
        <v>X</v>
      </c>
    </row>
    <row r="346" spans="1:48" s="37" customFormat="1" ht="12" x14ac:dyDescent="0.3">
      <c r="A346" s="74" t="s">
        <v>1632</v>
      </c>
      <c r="B346" s="75" t="s">
        <v>1633</v>
      </c>
      <c r="C346" s="85">
        <v>564</v>
      </c>
      <c r="D346" s="86">
        <v>159.5</v>
      </c>
      <c r="E346" s="87">
        <v>48</v>
      </c>
      <c r="F346" s="86">
        <v>128.80000000000001</v>
      </c>
      <c r="G346" s="17">
        <v>39</v>
      </c>
      <c r="H346" s="88">
        <v>40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9">
        <v>4</v>
      </c>
      <c r="R346" s="79">
        <v>2</v>
      </c>
      <c r="S346" s="79" t="s">
        <v>62</v>
      </c>
      <c r="T346" s="5">
        <v>159</v>
      </c>
      <c r="U346" s="9"/>
      <c r="W346" s="86">
        <f t="shared" si="320"/>
        <v>159.5</v>
      </c>
      <c r="X346" s="87">
        <f t="shared" si="320"/>
        <v>48</v>
      </c>
      <c r="Y346" s="92">
        <f t="shared" si="321"/>
        <v>40</v>
      </c>
      <c r="Z346" s="90">
        <f t="shared" si="321"/>
        <v>0</v>
      </c>
      <c r="AA346" s="90">
        <f>K346</f>
        <v>0</v>
      </c>
      <c r="AB346" s="90">
        <f t="shared" si="334"/>
        <v>0</v>
      </c>
      <c r="AC346" s="4" t="str">
        <f t="shared" si="334"/>
        <v/>
      </c>
      <c r="AD346" s="91">
        <f t="shared" si="334"/>
        <v>0</v>
      </c>
      <c r="AE346" s="79" t="str">
        <f>S346</f>
        <v>계</v>
      </c>
      <c r="AF346" s="79" t="str">
        <f>Q346&amp;"/"&amp;R346</f>
        <v>4/2</v>
      </c>
      <c r="AH346" s="20" t="str">
        <f t="shared" si="313"/>
        <v>신봉동 삼정백조</v>
      </c>
      <c r="AI346" s="87">
        <f t="shared" si="314"/>
        <v>48</v>
      </c>
      <c r="AJ346" s="79" t="str">
        <f>IF(AI346="","",$AJ$2)</f>
        <v>A-</v>
      </c>
      <c r="AK346" s="79" t="s">
        <v>13</v>
      </c>
      <c r="AL346" s="79" t="s">
        <v>60</v>
      </c>
      <c r="AM346" s="79" t="s">
        <v>61</v>
      </c>
      <c r="AN346" s="79" t="str">
        <f>IF(AI346="","",$AN$2)</f>
        <v>C</v>
      </c>
      <c r="AO346" s="79" t="str">
        <f>IF(N346="","",IF(N346&gt;=$AO$1/100,"O","X"))</f>
        <v/>
      </c>
      <c r="AP346" s="79" t="str">
        <f>IF(I346="","",IF(I346&lt;=$AP$1,"O","X"))</f>
        <v/>
      </c>
      <c r="AQ346" s="79" t="str">
        <f>IF(O346="","",IF(O346&lt;=$AQ$1,"O","X"))</f>
        <v>O</v>
      </c>
      <c r="AR346" s="79" t="str">
        <f>IF(M346="","",IF(M346&lt;=$AR$1,"O","X"))</f>
        <v>O</v>
      </c>
      <c r="AS346" s="79" t="s">
        <v>2</v>
      </c>
      <c r="AT346" s="79" t="str">
        <f>IF(OR(F346="",AI346=""),"",IF(AND((F346&lt;=85),(AI346&gt;=15)),"O","X"))</f>
        <v>X</v>
      </c>
      <c r="AU346" s="79" t="str">
        <f>IF(C346="","",IF(C346&gt;=$AU$1,"O","X"))</f>
        <v>O</v>
      </c>
      <c r="AV346" s="79" t="str">
        <f>IF(AO346="","",IF(AND(AO346="O",AP346="O",AR346="O",AT346="O",AU346="O"),"후보","X"))</f>
        <v/>
      </c>
    </row>
    <row r="347" spans="1:48" s="37" customFormat="1" ht="12" x14ac:dyDescent="0.3">
      <c r="A347" s="74" t="s">
        <v>1632</v>
      </c>
      <c r="B347" s="75" t="s">
        <v>1633</v>
      </c>
      <c r="C347" s="85">
        <v>564</v>
      </c>
      <c r="D347" s="86">
        <v>199.2</v>
      </c>
      <c r="E347" s="87">
        <v>60</v>
      </c>
      <c r="F347" s="86">
        <v>164.6</v>
      </c>
      <c r="G347" s="17">
        <v>50</v>
      </c>
      <c r="H347" s="88">
        <v>20</v>
      </c>
      <c r="I347" s="89"/>
      <c r="J347" s="89"/>
      <c r="K347" s="89"/>
      <c r="L347" s="89"/>
      <c r="M347" s="90">
        <f>I347-K347</f>
        <v>0</v>
      </c>
      <c r="N347" s="4" t="str">
        <f>IF(ISERROR(K347/I347),"",K347/I347)</f>
        <v/>
      </c>
      <c r="O347" s="91">
        <f>I347/E347</f>
        <v>0</v>
      </c>
      <c r="P347" s="91">
        <f>K347/E347</f>
        <v>0</v>
      </c>
      <c r="Q347" s="79">
        <v>4</v>
      </c>
      <c r="R347" s="79">
        <v>2</v>
      </c>
      <c r="S347" s="79" t="s">
        <v>62</v>
      </c>
      <c r="T347" s="5">
        <v>199</v>
      </c>
      <c r="U347" s="9"/>
      <c r="W347" s="86">
        <f t="shared" si="320"/>
        <v>199.2</v>
      </c>
      <c r="X347" s="87">
        <f t="shared" si="320"/>
        <v>60</v>
      </c>
      <c r="Y347" s="92">
        <f t="shared" si="321"/>
        <v>20</v>
      </c>
      <c r="Z347" s="90">
        <f t="shared" si="321"/>
        <v>0</v>
      </c>
      <c r="AA347" s="90">
        <f>K347</f>
        <v>0</v>
      </c>
      <c r="AB347" s="90">
        <f t="shared" si="334"/>
        <v>0</v>
      </c>
      <c r="AC347" s="4" t="str">
        <f t="shared" si="334"/>
        <v/>
      </c>
      <c r="AD347" s="91">
        <f t="shared" si="334"/>
        <v>0</v>
      </c>
      <c r="AE347" s="79" t="str">
        <f>S347</f>
        <v>계</v>
      </c>
      <c r="AF347" s="79" t="str">
        <f>Q347&amp;"/"&amp;R347</f>
        <v>4/2</v>
      </c>
      <c r="AH347" s="20" t="str">
        <f t="shared" si="313"/>
        <v>신봉동 삼정백조</v>
      </c>
      <c r="AI347" s="87">
        <f t="shared" si="314"/>
        <v>60</v>
      </c>
      <c r="AJ347" s="79" t="str">
        <f>IF(AI347="","",$AJ$2)</f>
        <v>A-</v>
      </c>
      <c r="AK347" s="79" t="s">
        <v>13</v>
      </c>
      <c r="AL347" s="79" t="s">
        <v>60</v>
      </c>
      <c r="AM347" s="79" t="s">
        <v>61</v>
      </c>
      <c r="AN347" s="79" t="str">
        <f>IF(AI347="","",$AN$2)</f>
        <v>C</v>
      </c>
      <c r="AO347" s="79" t="str">
        <f>IF(N347="","",IF(N347&gt;=$AO$1/100,"O","X"))</f>
        <v/>
      </c>
      <c r="AP347" s="79" t="str">
        <f>IF(I347="","",IF(I347&lt;=$AP$1,"O","X"))</f>
        <v/>
      </c>
      <c r="AQ347" s="79" t="str">
        <f>IF(O347="","",IF(O347&lt;=$AQ$1,"O","X"))</f>
        <v>O</v>
      </c>
      <c r="AR347" s="79" t="str">
        <f>IF(M347="","",IF(M347&lt;=$AR$1,"O","X"))</f>
        <v>O</v>
      </c>
      <c r="AS347" s="79" t="s">
        <v>2</v>
      </c>
      <c r="AT347" s="79" t="str">
        <f>IF(OR(F347="",AI347=""),"",IF(AND((F347&lt;=85),(AI347&gt;=15)),"O","X"))</f>
        <v>X</v>
      </c>
      <c r="AU347" s="79" t="str">
        <f>IF(C347="","",IF(C347&gt;=$AU$1,"O","X"))</f>
        <v>O</v>
      </c>
      <c r="AV347" s="79" t="str">
        <f>IF(AO347="","",IF(AND(AO347="O",AP347="O",AR347="O",AT347="O",AU347="O"),"후보","X"))</f>
        <v/>
      </c>
    </row>
    <row r="348" spans="1:48" s="37" customFormat="1" ht="12" x14ac:dyDescent="0.3">
      <c r="A348" s="74" t="s">
        <v>1632</v>
      </c>
      <c r="B348" s="75" t="s">
        <v>1633</v>
      </c>
      <c r="C348" s="85">
        <v>564</v>
      </c>
      <c r="D348" s="86">
        <v>243.7</v>
      </c>
      <c r="E348" s="87">
        <v>74</v>
      </c>
      <c r="F348" s="86">
        <v>203.2</v>
      </c>
      <c r="G348" s="17">
        <v>61</v>
      </c>
      <c r="H348" s="88">
        <v>20</v>
      </c>
      <c r="I348" s="89"/>
      <c r="J348" s="89"/>
      <c r="K348" s="89"/>
      <c r="L348" s="89"/>
      <c r="M348" s="90">
        <f>I348-K348</f>
        <v>0</v>
      </c>
      <c r="N348" s="4" t="str">
        <f>IF(ISERROR(K348/I348),"",K348/I348)</f>
        <v/>
      </c>
      <c r="O348" s="91">
        <f>I348/E348</f>
        <v>0</v>
      </c>
      <c r="P348" s="91">
        <f>K348/E348</f>
        <v>0</v>
      </c>
      <c r="Q348" s="79">
        <v>5</v>
      </c>
      <c r="R348" s="79">
        <v>3</v>
      </c>
      <c r="S348" s="79" t="s">
        <v>62</v>
      </c>
      <c r="T348" s="5">
        <v>243</v>
      </c>
      <c r="U348" s="9"/>
      <c r="W348" s="86">
        <f t="shared" si="320"/>
        <v>243.7</v>
      </c>
      <c r="X348" s="87">
        <f t="shared" si="320"/>
        <v>74</v>
      </c>
      <c r="Y348" s="92">
        <f t="shared" si="321"/>
        <v>20</v>
      </c>
      <c r="Z348" s="90">
        <f t="shared" si="321"/>
        <v>0</v>
      </c>
      <c r="AA348" s="90">
        <f>K348</f>
        <v>0</v>
      </c>
      <c r="AB348" s="90">
        <f t="shared" si="334"/>
        <v>0</v>
      </c>
      <c r="AC348" s="4" t="str">
        <f t="shared" si="334"/>
        <v/>
      </c>
      <c r="AD348" s="91">
        <f t="shared" si="334"/>
        <v>0</v>
      </c>
      <c r="AE348" s="79" t="str">
        <f>S348</f>
        <v>계</v>
      </c>
      <c r="AF348" s="79" t="str">
        <f>Q348&amp;"/"&amp;R348</f>
        <v>5/3</v>
      </c>
      <c r="AH348" s="20" t="str">
        <f t="shared" si="313"/>
        <v>신봉동 삼정백조</v>
      </c>
      <c r="AI348" s="87">
        <f t="shared" si="314"/>
        <v>74</v>
      </c>
      <c r="AJ348" s="79" t="str">
        <f>IF(AI348="","",$AJ$2)</f>
        <v>A-</v>
      </c>
      <c r="AK348" s="79" t="s">
        <v>13</v>
      </c>
      <c r="AL348" s="79" t="s">
        <v>60</v>
      </c>
      <c r="AM348" s="79" t="s">
        <v>61</v>
      </c>
      <c r="AN348" s="79" t="str">
        <f>IF(AI348="","",$AN$2)</f>
        <v>C</v>
      </c>
      <c r="AO348" s="79" t="str">
        <f>IF(N348="","",IF(N348&gt;=$AO$1/100,"O","X"))</f>
        <v/>
      </c>
      <c r="AP348" s="79" t="str">
        <f>IF(I348="","",IF(I348&lt;=$AP$1,"O","X"))</f>
        <v/>
      </c>
      <c r="AQ348" s="79" t="str">
        <f>IF(O348="","",IF(O348&lt;=$AQ$1,"O","X"))</f>
        <v>O</v>
      </c>
      <c r="AR348" s="79" t="str">
        <f>IF(M348="","",IF(M348&lt;=$AR$1,"O","X"))</f>
        <v>O</v>
      </c>
      <c r="AS348" s="79" t="s">
        <v>2</v>
      </c>
      <c r="AT348" s="79" t="str">
        <f>IF(OR(F348="",AI348=""),"",IF(AND((F348&lt;=85),(AI348&gt;=15)),"O","X"))</f>
        <v>X</v>
      </c>
      <c r="AU348" s="79" t="str">
        <f>IF(C348="","",IF(C348&gt;=$AU$1,"O","X"))</f>
        <v>O</v>
      </c>
      <c r="AV348" s="79" t="str">
        <f>IF(AO348="","",IF(AND(AO348="O",AP348="O",AR348="O",AT348="O",AU348="O"),"후보","X"))</f>
        <v/>
      </c>
    </row>
    <row r="349" spans="1:48" s="37" customFormat="1" ht="12" x14ac:dyDescent="0.3">
      <c r="A349" s="74" t="s">
        <v>1634</v>
      </c>
      <c r="B349" s="75" t="s">
        <v>1635</v>
      </c>
      <c r="C349" s="85">
        <v>402</v>
      </c>
      <c r="D349" s="86">
        <v>145.1</v>
      </c>
      <c r="E349" s="87">
        <v>44</v>
      </c>
      <c r="F349" s="86">
        <v>109.5</v>
      </c>
      <c r="G349" s="17">
        <v>33</v>
      </c>
      <c r="H349" s="88">
        <v>132</v>
      </c>
      <c r="I349" s="89">
        <v>68000</v>
      </c>
      <c r="J349" s="89" t="s">
        <v>71</v>
      </c>
      <c r="K349" s="89">
        <v>43000</v>
      </c>
      <c r="L349" s="89" t="s">
        <v>71</v>
      </c>
      <c r="M349" s="90">
        <f>I349-K349</f>
        <v>25000</v>
      </c>
      <c r="N349" s="4">
        <f>IF(ISERROR(K349/I349),"",K349/I349)</f>
        <v>0.63235294117647056</v>
      </c>
      <c r="O349" s="91">
        <f>I349/E349</f>
        <v>1545.4545454545455</v>
      </c>
      <c r="P349" s="91">
        <f>K349/E349</f>
        <v>977.27272727272725</v>
      </c>
      <c r="Q349" s="79">
        <v>3</v>
      </c>
      <c r="R349" s="79">
        <v>2</v>
      </c>
      <c r="S349" s="79" t="s">
        <v>62</v>
      </c>
      <c r="T349" s="5">
        <v>145</v>
      </c>
      <c r="U349" s="9"/>
      <c r="W349" s="86">
        <f t="shared" ref="W349:X351" si="335">D349</f>
        <v>145.1</v>
      </c>
      <c r="X349" s="87">
        <f t="shared" si="335"/>
        <v>44</v>
      </c>
      <c r="Y349" s="92">
        <f t="shared" ref="Y349:Z351" si="336">H349</f>
        <v>132</v>
      </c>
      <c r="Z349" s="90">
        <f t="shared" si="336"/>
        <v>68000</v>
      </c>
      <c r="AA349" s="90">
        <f>K349</f>
        <v>43000</v>
      </c>
      <c r="AB349" s="90">
        <f t="shared" si="334"/>
        <v>25000</v>
      </c>
      <c r="AC349" s="4">
        <f t="shared" si="334"/>
        <v>0.63235294117647056</v>
      </c>
      <c r="AD349" s="91">
        <f t="shared" si="334"/>
        <v>1545.4545454545455</v>
      </c>
      <c r="AE349" s="79" t="str">
        <f>S349</f>
        <v>계</v>
      </c>
      <c r="AF349" s="79" t="str">
        <f>Q349&amp;"/"&amp;R349</f>
        <v>3/2</v>
      </c>
      <c r="AH349" s="20" t="str">
        <f t="shared" si="313"/>
        <v>오송읍 오송힐데스하임</v>
      </c>
      <c r="AI349" s="87">
        <f t="shared" si="314"/>
        <v>44</v>
      </c>
      <c r="AJ349" s="79" t="str">
        <f>IF(AI349="","",$AJ$2)</f>
        <v>A-</v>
      </c>
      <c r="AK349" s="79" t="s">
        <v>13</v>
      </c>
      <c r="AL349" s="79" t="s">
        <v>60</v>
      </c>
      <c r="AM349" s="79" t="s">
        <v>61</v>
      </c>
      <c r="AN349" s="79" t="str">
        <f>IF(AI349="","",$AN$2)</f>
        <v>C</v>
      </c>
      <c r="AO349" s="79" t="str">
        <f>IF(N349="","",IF(N349&gt;=$AO$1/100,"O","X"))</f>
        <v>X</v>
      </c>
      <c r="AP349" s="79" t="str">
        <f>IF(I349="","",IF(I349&lt;=$AP$1,"O","X"))</f>
        <v>X</v>
      </c>
      <c r="AQ349" s="79" t="str">
        <f>IF(O349="","",IF(O349&lt;=$AQ$1,"O","X"))</f>
        <v>X</v>
      </c>
      <c r="AR349" s="79" t="str">
        <f>IF(M349="","",IF(M349&lt;=$AR$1,"O","X"))</f>
        <v>X</v>
      </c>
      <c r="AS349" s="79" t="s">
        <v>2</v>
      </c>
      <c r="AT349" s="79" t="str">
        <f>IF(OR(F349="",AI349=""),"",IF(AND((F349&lt;=85),(AI349&gt;=15)),"O","X"))</f>
        <v>X</v>
      </c>
      <c r="AU349" s="79" t="str">
        <f>IF(C349="","",IF(C349&gt;=$AU$1,"O","X"))</f>
        <v>O</v>
      </c>
      <c r="AV349" s="79" t="str">
        <f>IF(AO349="","",IF(AND(AO349="O",AP349="O",AR349="O",AT349="O",AU349="O"),"후보","X"))</f>
        <v>X</v>
      </c>
    </row>
    <row r="350" spans="1:48" s="37" customFormat="1" ht="12" x14ac:dyDescent="0.3">
      <c r="A350" s="74" t="s">
        <v>1634</v>
      </c>
      <c r="B350" s="75" t="s">
        <v>1635</v>
      </c>
      <c r="C350" s="85">
        <v>402</v>
      </c>
      <c r="D350" s="86">
        <v>166.4</v>
      </c>
      <c r="E350" s="87">
        <v>50</v>
      </c>
      <c r="F350" s="86">
        <v>132.6</v>
      </c>
      <c r="G350" s="17">
        <v>40</v>
      </c>
      <c r="H350" s="88">
        <v>216</v>
      </c>
      <c r="I350" s="89">
        <v>80000</v>
      </c>
      <c r="J350" s="89" t="s">
        <v>71</v>
      </c>
      <c r="K350" s="89">
        <v>45000</v>
      </c>
      <c r="L350" s="89" t="s">
        <v>71</v>
      </c>
      <c r="M350" s="90">
        <f>I350-K350</f>
        <v>35000</v>
      </c>
      <c r="N350" s="4">
        <f>IF(ISERROR(K350/I350),"",K350/I350)</f>
        <v>0.5625</v>
      </c>
      <c r="O350" s="91">
        <f>I350/E350</f>
        <v>1600</v>
      </c>
      <c r="P350" s="91">
        <f>K350/E350</f>
        <v>900</v>
      </c>
      <c r="Q350" s="79">
        <v>3</v>
      </c>
      <c r="R350" s="79">
        <v>2</v>
      </c>
      <c r="S350" s="79" t="s">
        <v>62</v>
      </c>
      <c r="T350" s="5">
        <v>166</v>
      </c>
      <c r="U350" s="9"/>
      <c r="W350" s="86">
        <f t="shared" si="335"/>
        <v>166.4</v>
      </c>
      <c r="X350" s="87">
        <f t="shared" si="335"/>
        <v>50</v>
      </c>
      <c r="Y350" s="92">
        <f t="shared" si="336"/>
        <v>216</v>
      </c>
      <c r="Z350" s="90">
        <f t="shared" si="336"/>
        <v>80000</v>
      </c>
      <c r="AA350" s="90">
        <f>K350</f>
        <v>45000</v>
      </c>
      <c r="AB350" s="90">
        <f t="shared" si="334"/>
        <v>35000</v>
      </c>
      <c r="AC350" s="4">
        <f t="shared" si="334"/>
        <v>0.5625</v>
      </c>
      <c r="AD350" s="91">
        <f t="shared" si="334"/>
        <v>1600</v>
      </c>
      <c r="AE350" s="79" t="str">
        <f>S350</f>
        <v>계</v>
      </c>
      <c r="AF350" s="79" t="str">
        <f>Q350&amp;"/"&amp;R350</f>
        <v>3/2</v>
      </c>
      <c r="AH350" s="20" t="str">
        <f t="shared" si="313"/>
        <v>오송읍 오송힐데스하임</v>
      </c>
      <c r="AI350" s="87">
        <f t="shared" si="314"/>
        <v>50</v>
      </c>
      <c r="AJ350" s="79" t="str">
        <f>IF(AI350="","",$AJ$2)</f>
        <v>A-</v>
      </c>
      <c r="AK350" s="79" t="s">
        <v>13</v>
      </c>
      <c r="AL350" s="79" t="s">
        <v>60</v>
      </c>
      <c r="AM350" s="79" t="s">
        <v>61</v>
      </c>
      <c r="AN350" s="79" t="str">
        <f>IF(AI350="","",$AN$2)</f>
        <v>C</v>
      </c>
      <c r="AO350" s="79" t="str">
        <f>IF(N350="","",IF(N350&gt;=$AO$1/100,"O","X"))</f>
        <v>X</v>
      </c>
      <c r="AP350" s="79" t="str">
        <f>IF(I350="","",IF(I350&lt;=$AP$1,"O","X"))</f>
        <v>X</v>
      </c>
      <c r="AQ350" s="79" t="str">
        <f>IF(O350="","",IF(O350&lt;=$AQ$1,"O","X"))</f>
        <v>X</v>
      </c>
      <c r="AR350" s="79" t="str">
        <f>IF(M350="","",IF(M350&lt;=$AR$1,"O","X"))</f>
        <v>X</v>
      </c>
      <c r="AS350" s="79" t="s">
        <v>2</v>
      </c>
      <c r="AT350" s="79" t="str">
        <f>IF(OR(F350="",AI350=""),"",IF(AND((F350&lt;=85),(AI350&gt;=15)),"O","X"))</f>
        <v>X</v>
      </c>
      <c r="AU350" s="79" t="str">
        <f>IF(C350="","",IF(C350&gt;=$AU$1,"O","X"))</f>
        <v>O</v>
      </c>
      <c r="AV350" s="79" t="str">
        <f>IF(AO350="","",IF(AND(AO350="O",AP350="O",AR350="O",AT350="O",AU350="O"),"후보","X"))</f>
        <v>X</v>
      </c>
    </row>
    <row r="351" spans="1:48" s="37" customFormat="1" ht="12" x14ac:dyDescent="0.3">
      <c r="A351" s="74" t="s">
        <v>1634</v>
      </c>
      <c r="B351" s="75" t="s">
        <v>1635</v>
      </c>
      <c r="C351" s="85">
        <v>402</v>
      </c>
      <c r="D351" s="86">
        <v>212.6</v>
      </c>
      <c r="E351" s="87">
        <v>64</v>
      </c>
      <c r="F351" s="86">
        <v>174.8</v>
      </c>
      <c r="G351" s="17">
        <v>53</v>
      </c>
      <c r="H351" s="88">
        <v>54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9">
        <v>3</v>
      </c>
      <c r="R351" s="79">
        <v>3</v>
      </c>
      <c r="S351" s="79" t="s">
        <v>62</v>
      </c>
      <c r="T351" s="5">
        <v>212</v>
      </c>
      <c r="U351" s="9"/>
      <c r="W351" s="86">
        <f t="shared" si="335"/>
        <v>212.6</v>
      </c>
      <c r="X351" s="87">
        <f t="shared" si="335"/>
        <v>64</v>
      </c>
      <c r="Y351" s="92">
        <f t="shared" si="336"/>
        <v>54</v>
      </c>
      <c r="Z351" s="90">
        <f t="shared" si="336"/>
        <v>0</v>
      </c>
      <c r="AA351" s="90">
        <f>K351</f>
        <v>0</v>
      </c>
      <c r="AB351" s="90">
        <f t="shared" si="334"/>
        <v>0</v>
      </c>
      <c r="AC351" s="4" t="str">
        <f t="shared" si="334"/>
        <v/>
      </c>
      <c r="AD351" s="91">
        <f t="shared" si="334"/>
        <v>0</v>
      </c>
      <c r="AE351" s="79" t="str">
        <f>S351</f>
        <v>계</v>
      </c>
      <c r="AF351" s="79" t="str">
        <f>Q351&amp;"/"&amp;R351</f>
        <v>3/3</v>
      </c>
      <c r="AH351" s="20" t="str">
        <f t="shared" si="313"/>
        <v>오송읍 오송힐데스하임</v>
      </c>
      <c r="AI351" s="87">
        <f t="shared" si="314"/>
        <v>64</v>
      </c>
      <c r="AJ351" s="79" t="str">
        <f>IF(AI351="","",$AJ$2)</f>
        <v>A-</v>
      </c>
      <c r="AK351" s="79" t="s">
        <v>13</v>
      </c>
      <c r="AL351" s="79" t="s">
        <v>60</v>
      </c>
      <c r="AM351" s="79" t="s">
        <v>61</v>
      </c>
      <c r="AN351" s="79" t="str">
        <f>IF(AI351="","",$AN$2)</f>
        <v>C</v>
      </c>
      <c r="AO351" s="79" t="str">
        <f>IF(N351="","",IF(N351&gt;=$AO$1/100,"O","X"))</f>
        <v/>
      </c>
      <c r="AP351" s="79" t="str">
        <f>IF(I351="","",IF(I351&lt;=$AP$1,"O","X"))</f>
        <v/>
      </c>
      <c r="AQ351" s="79" t="str">
        <f>IF(O351="","",IF(O351&lt;=$AQ$1,"O","X"))</f>
        <v>O</v>
      </c>
      <c r="AR351" s="79" t="str">
        <f>IF(M351="","",IF(M351&lt;=$AR$1,"O","X"))</f>
        <v>O</v>
      </c>
      <c r="AS351" s="79" t="s">
        <v>2</v>
      </c>
      <c r="AT351" s="79" t="str">
        <f>IF(OR(F351="",AI351=""),"",IF(AND((F351&lt;=85),(AI351&gt;=15)),"O","X"))</f>
        <v>X</v>
      </c>
      <c r="AU351" s="79" t="str">
        <f>IF(C351="","",IF(C351&gt;=$AU$1,"O","X"))</f>
        <v>O</v>
      </c>
      <c r="AV351" s="79" t="str">
        <f>IF(AO351="","",IF(AND(AO351="O",AP351="O",AR351="O",AT351="O",AU351="O"),"후보","X"))</f>
        <v/>
      </c>
    </row>
    <row r="352" spans="1:48" s="37" customFormat="1" ht="12" x14ac:dyDescent="0.3">
      <c r="A352" s="74" t="s">
        <v>1636</v>
      </c>
      <c r="B352" s="75" t="s">
        <v>1637</v>
      </c>
      <c r="C352" s="85">
        <v>671</v>
      </c>
      <c r="D352" s="86">
        <v>116.4</v>
      </c>
      <c r="E352" s="87">
        <v>35</v>
      </c>
      <c r="F352" s="86">
        <v>84.9</v>
      </c>
      <c r="G352" s="17">
        <v>26</v>
      </c>
      <c r="H352" s="88">
        <v>342</v>
      </c>
      <c r="I352" s="89">
        <v>48000</v>
      </c>
      <c r="J352" s="89" t="s">
        <v>89</v>
      </c>
      <c r="K352" s="89">
        <v>35000</v>
      </c>
      <c r="L352" s="89" t="s">
        <v>71</v>
      </c>
      <c r="M352" s="90">
        <f>I352-K352</f>
        <v>13000</v>
      </c>
      <c r="N352" s="4">
        <f>IF(ISERROR(K352/I352),"",K352/I352)</f>
        <v>0.72916666666666663</v>
      </c>
      <c r="O352" s="91">
        <f>I352/E352</f>
        <v>1371.4285714285713</v>
      </c>
      <c r="P352" s="91">
        <f>K352/E352</f>
        <v>1000</v>
      </c>
      <c r="Q352" s="79">
        <v>3</v>
      </c>
      <c r="R352" s="79">
        <v>2</v>
      </c>
      <c r="S352" s="79" t="s">
        <v>62</v>
      </c>
      <c r="T352" s="5">
        <v>116</v>
      </c>
      <c r="U352" s="9"/>
      <c r="W352" s="86">
        <f>D352</f>
        <v>116.4</v>
      </c>
      <c r="X352" s="87">
        <f>E352</f>
        <v>35</v>
      </c>
      <c r="Y352" s="92">
        <f>H352</f>
        <v>342</v>
      </c>
      <c r="Z352" s="90">
        <f>I352</f>
        <v>48000</v>
      </c>
      <c r="AA352" s="90">
        <f>K352</f>
        <v>35000</v>
      </c>
      <c r="AB352" s="90">
        <f t="shared" si="334"/>
        <v>13000</v>
      </c>
      <c r="AC352" s="4">
        <f t="shared" si="334"/>
        <v>0.72916666666666663</v>
      </c>
      <c r="AD352" s="91">
        <f t="shared" si="334"/>
        <v>1371.4285714285713</v>
      </c>
      <c r="AE352" s="79" t="str">
        <f>S352</f>
        <v>계</v>
      </c>
      <c r="AF352" s="79" t="str">
        <f>Q352&amp;"/"&amp;R352</f>
        <v>3/2</v>
      </c>
      <c r="AH352" s="20" t="str">
        <f t="shared" si="313"/>
        <v>오송읍 오송상록롯데캐슬</v>
      </c>
      <c r="AI352" s="87">
        <f t="shared" si="314"/>
        <v>35</v>
      </c>
      <c r="AJ352" s="79" t="str">
        <f>IF(AI352="","",$AJ$2)</f>
        <v>A-</v>
      </c>
      <c r="AK352" s="79" t="s">
        <v>13</v>
      </c>
      <c r="AL352" s="79" t="s">
        <v>60</v>
      </c>
      <c r="AM352" s="79" t="s">
        <v>61</v>
      </c>
      <c r="AN352" s="79" t="str">
        <f>IF(AI352="","",$AN$2)</f>
        <v>C</v>
      </c>
      <c r="AO352" s="79" t="str">
        <f>IF(N352="","",IF(N352&gt;=$AO$1/100,"O","X"))</f>
        <v>X</v>
      </c>
      <c r="AP352" s="79" t="str">
        <f>IF(I352="","",IF(I352&lt;=$AP$1,"O","X"))</f>
        <v>X</v>
      </c>
      <c r="AQ352" s="79" t="str">
        <f>IF(O352="","",IF(O352&lt;=$AQ$1,"O","X"))</f>
        <v>O</v>
      </c>
      <c r="AR352" s="79" t="str">
        <f>IF(M352="","",IF(M352&lt;=$AR$1,"O","X"))</f>
        <v>X</v>
      </c>
      <c r="AS352" s="79" t="s">
        <v>2</v>
      </c>
      <c r="AT352" s="79" t="str">
        <f>IF(OR(F352="",AI352=""),"",IF(AND((F352&lt;=85),(AI352&gt;=15)),"O","X"))</f>
        <v>O</v>
      </c>
      <c r="AU352" s="79" t="str">
        <f>IF(C352="","",IF(C352&gt;=$AU$1,"O","X"))</f>
        <v>O</v>
      </c>
      <c r="AV352" s="79" t="str">
        <f>IF(AO352="","",IF(AND(AO352="O",AP352="O",AR352="O",AT352="O",AU352="O"),"후보","X"))</f>
        <v>X</v>
      </c>
    </row>
    <row r="353" spans="1:51" s="37" customFormat="1" ht="12" x14ac:dyDescent="0.3">
      <c r="A353" s="74" t="s">
        <v>1636</v>
      </c>
      <c r="B353" s="75" t="s">
        <v>1637</v>
      </c>
      <c r="C353" s="85">
        <v>671</v>
      </c>
      <c r="D353" s="86">
        <v>117.4</v>
      </c>
      <c r="E353" s="87">
        <v>36</v>
      </c>
      <c r="F353" s="86">
        <v>84.9</v>
      </c>
      <c r="G353" s="17">
        <v>26</v>
      </c>
      <c r="H353" s="88">
        <v>329</v>
      </c>
      <c r="I353" s="89">
        <v>50000</v>
      </c>
      <c r="J353" s="89" t="s">
        <v>89</v>
      </c>
      <c r="K353" s="89">
        <v>36000</v>
      </c>
      <c r="L353" s="89" t="s">
        <v>71</v>
      </c>
      <c r="M353" s="90">
        <f>I353-K353</f>
        <v>14000</v>
      </c>
      <c r="N353" s="4">
        <f>IF(ISERROR(K353/I353),"",K353/I353)</f>
        <v>0.72</v>
      </c>
      <c r="O353" s="91">
        <f>I353/E353</f>
        <v>1388.8888888888889</v>
      </c>
      <c r="P353" s="91">
        <f>K353/E353</f>
        <v>1000</v>
      </c>
      <c r="Q353" s="79">
        <v>3</v>
      </c>
      <c r="R353" s="79">
        <v>2</v>
      </c>
      <c r="S353" s="79" t="s">
        <v>62</v>
      </c>
      <c r="T353" s="5">
        <v>117</v>
      </c>
      <c r="U353" s="9"/>
      <c r="W353" s="86">
        <f>D353</f>
        <v>117.4</v>
      </c>
      <c r="X353" s="87">
        <f>E353</f>
        <v>36</v>
      </c>
      <c r="Y353" s="92">
        <f>H353</f>
        <v>329</v>
      </c>
      <c r="Z353" s="90">
        <f>I353</f>
        <v>50000</v>
      </c>
      <c r="AA353" s="90">
        <f>K353</f>
        <v>36000</v>
      </c>
      <c r="AB353" s="90">
        <f t="shared" si="334"/>
        <v>14000</v>
      </c>
      <c r="AC353" s="4">
        <f t="shared" si="334"/>
        <v>0.72</v>
      </c>
      <c r="AD353" s="91">
        <f t="shared" si="334"/>
        <v>1388.8888888888889</v>
      </c>
      <c r="AE353" s="79" t="str">
        <f>S353</f>
        <v>계</v>
      </c>
      <c r="AF353" s="79" t="str">
        <f>Q353&amp;"/"&amp;R353</f>
        <v>3/2</v>
      </c>
      <c r="AH353" s="20" t="str">
        <f t="shared" si="313"/>
        <v>오송읍 오송상록롯데캐슬</v>
      </c>
      <c r="AI353" s="87">
        <f t="shared" si="314"/>
        <v>36</v>
      </c>
      <c r="AJ353" s="79" t="str">
        <f>IF(AI353="","",$AJ$2)</f>
        <v>A-</v>
      </c>
      <c r="AK353" s="79" t="s">
        <v>13</v>
      </c>
      <c r="AL353" s="79" t="s">
        <v>60</v>
      </c>
      <c r="AM353" s="79" t="s">
        <v>61</v>
      </c>
      <c r="AN353" s="79" t="str">
        <f>IF(AI353="","",$AN$2)</f>
        <v>C</v>
      </c>
      <c r="AO353" s="79" t="str">
        <f>IF(N353="","",IF(N353&gt;=$AO$1/100,"O","X"))</f>
        <v>X</v>
      </c>
      <c r="AP353" s="79" t="str">
        <f>IF(I353="","",IF(I353&lt;=$AP$1,"O","X"))</f>
        <v>X</v>
      </c>
      <c r="AQ353" s="79" t="str">
        <f>IF(O353="","",IF(O353&lt;=$AQ$1,"O","X"))</f>
        <v>O</v>
      </c>
      <c r="AR353" s="79" t="str">
        <f>IF(M353="","",IF(M353&lt;=$AR$1,"O","X"))</f>
        <v>X</v>
      </c>
      <c r="AS353" s="79" t="s">
        <v>2</v>
      </c>
      <c r="AT353" s="79" t="str">
        <f>IF(OR(F353="",AI353=""),"",IF(AND((F353&lt;=85),(AI353&gt;=15)),"O","X"))</f>
        <v>O</v>
      </c>
      <c r="AU353" s="79" t="str">
        <f>IF(C353="","",IF(C353&gt;=$AU$1,"O","X"))</f>
        <v>O</v>
      </c>
      <c r="AV353" s="79" t="str">
        <f>IF(AO353="","",IF(AND(AO353="O",AP353="O",AR353="O",AT353="O",AU353="O"),"후보","X"))</f>
        <v>X</v>
      </c>
    </row>
    <row r="354" spans="1:51" s="37" customFormat="1" ht="12" x14ac:dyDescent="0.3">
      <c r="A354" s="74" t="s">
        <v>1638</v>
      </c>
      <c r="B354" s="75" t="s">
        <v>1635</v>
      </c>
      <c r="C354" s="85">
        <v>402</v>
      </c>
      <c r="D354" s="86">
        <v>145.1</v>
      </c>
      <c r="E354" s="87">
        <v>44</v>
      </c>
      <c r="F354" s="86">
        <v>109.5</v>
      </c>
      <c r="G354" s="17">
        <v>33</v>
      </c>
      <c r="H354" s="88">
        <v>132</v>
      </c>
      <c r="I354" s="89"/>
      <c r="J354" s="89"/>
      <c r="K354" s="89"/>
      <c r="L354" s="89"/>
      <c r="M354" s="90">
        <f>I354-K354</f>
        <v>0</v>
      </c>
      <c r="N354" s="4" t="str">
        <f>IF(ISERROR(K354/I354),"",K354/I354)</f>
        <v/>
      </c>
      <c r="O354" s="91">
        <f>I354/E354</f>
        <v>0</v>
      </c>
      <c r="P354" s="91">
        <f>K354/E354</f>
        <v>0</v>
      </c>
      <c r="Q354" s="79">
        <v>3</v>
      </c>
      <c r="R354" s="79">
        <v>2</v>
      </c>
      <c r="S354" s="79" t="s">
        <v>62</v>
      </c>
      <c r="T354" s="5">
        <v>145</v>
      </c>
      <c r="U354" s="9"/>
      <c r="W354" s="86">
        <f>D354</f>
        <v>145.1</v>
      </c>
      <c r="X354" s="87">
        <f>E354</f>
        <v>44</v>
      </c>
      <c r="Y354" s="92">
        <f>H354</f>
        <v>132</v>
      </c>
      <c r="Z354" s="90">
        <f>I354</f>
        <v>0</v>
      </c>
      <c r="AA354" s="90">
        <f>K354</f>
        <v>0</v>
      </c>
      <c r="AB354" s="90">
        <f>M354</f>
        <v>0</v>
      </c>
      <c r="AC354" s="4" t="str">
        <f>N354</f>
        <v/>
      </c>
      <c r="AD354" s="91">
        <f>O354</f>
        <v>0</v>
      </c>
      <c r="AE354" s="79" t="str">
        <f>S354</f>
        <v>계</v>
      </c>
      <c r="AF354" s="79" t="str">
        <f>Q354&amp;"/"&amp;R354</f>
        <v>3/2</v>
      </c>
      <c r="AH354" s="20" t="str">
        <f t="shared" si="313"/>
        <v>오송읍 KTX오송역대광로제비앙</v>
      </c>
      <c r="AI354" s="87">
        <f t="shared" si="314"/>
        <v>44</v>
      </c>
      <c r="AJ354" s="79" t="str">
        <f>IF(AI354="","",$AJ$2)</f>
        <v>A-</v>
      </c>
      <c r="AK354" s="79" t="s">
        <v>13</v>
      </c>
      <c r="AL354" s="79" t="s">
        <v>60</v>
      </c>
      <c r="AM354" s="79" t="s">
        <v>61</v>
      </c>
      <c r="AN354" s="79" t="str">
        <f>IF(AI354="","",$AN$2)</f>
        <v>C</v>
      </c>
      <c r="AO354" s="79" t="str">
        <f>IF(N354="","",IF(N354&gt;=$AO$1/100,"O","X"))</f>
        <v/>
      </c>
      <c r="AP354" s="79" t="str">
        <f>IF(I354="","",IF(I354&lt;=$AP$1,"O","X"))</f>
        <v/>
      </c>
      <c r="AQ354" s="79" t="str">
        <f>IF(O354="","",IF(O354&lt;=$AQ$1,"O","X"))</f>
        <v>O</v>
      </c>
      <c r="AR354" s="79" t="str">
        <f>IF(M354="","",IF(M354&lt;=$AR$1,"O","X"))</f>
        <v>O</v>
      </c>
      <c r="AS354" s="79" t="s">
        <v>2</v>
      </c>
      <c r="AT354" s="79" t="str">
        <f>IF(OR(F354="",AI354=""),"",IF(AND((F354&lt;=85),(AI354&gt;=15)),"O","X"))</f>
        <v>X</v>
      </c>
      <c r="AU354" s="79" t="str">
        <f>IF(C354="","",IF(C354&gt;=$AU$1,"O","X"))</f>
        <v>O</v>
      </c>
      <c r="AV354" s="79" t="str">
        <f>IF(AO354="","",IF(AND(AO354="O",AP354="O",AR354="O",AT354="O",AU354="O"),"후보","X"))</f>
        <v/>
      </c>
    </row>
    <row r="355" spans="1:51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X355" s="93"/>
      <c r="AY355" s="93"/>
    </row>
    <row r="356" spans="1:51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X356" s="93"/>
      <c r="AY356" s="93"/>
    </row>
    <row r="357" spans="1:51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X357" s="93"/>
      <c r="AY357" s="93"/>
    </row>
    <row r="358" spans="1:51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X358" s="93"/>
      <c r="AY358" s="93"/>
    </row>
    <row r="359" spans="1:51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X359" s="93"/>
      <c r="AY359" s="93"/>
    </row>
    <row r="360" spans="1:51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X360" s="93"/>
      <c r="AY360" s="93"/>
    </row>
    <row r="361" spans="1:51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X361" s="93"/>
      <c r="AY361" s="93"/>
    </row>
    <row r="362" spans="1:51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X362" s="93"/>
      <c r="AY362" s="93"/>
    </row>
    <row r="363" spans="1:51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X363" s="93"/>
      <c r="AY363" s="93"/>
    </row>
    <row r="364" spans="1:51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X364" s="93"/>
      <c r="AY364" s="93"/>
    </row>
    <row r="365" spans="1:51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X365" s="93"/>
      <c r="AY365" s="93"/>
    </row>
    <row r="366" spans="1:51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X366" s="93"/>
      <c r="AY366" s="93"/>
    </row>
    <row r="367" spans="1:51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X367" s="93"/>
      <c r="AY367" s="93"/>
    </row>
    <row r="368" spans="1:51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X368" s="93"/>
      <c r="AY368" s="93"/>
    </row>
    <row r="369" spans="1:51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X369" s="93"/>
      <c r="AY369" s="93"/>
    </row>
    <row r="370" spans="1:51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X370" s="93"/>
      <c r="AY370" s="93"/>
    </row>
    <row r="371" spans="1:51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X371" s="93"/>
      <c r="AY371" s="93"/>
    </row>
    <row r="372" spans="1:51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X372" s="93"/>
      <c r="AY372" s="93"/>
    </row>
    <row r="373" spans="1:51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X373" s="93"/>
      <c r="AY373" s="93"/>
    </row>
    <row r="374" spans="1:51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X374" s="93"/>
      <c r="AY374" s="93"/>
    </row>
    <row r="375" spans="1:51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X375" s="93"/>
      <c r="AY375" s="93"/>
    </row>
    <row r="376" spans="1:51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X376" s="93"/>
      <c r="AY376" s="93"/>
    </row>
    <row r="377" spans="1:51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X377" s="93"/>
      <c r="AY377" s="93"/>
    </row>
    <row r="378" spans="1:51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X378" s="93"/>
      <c r="AY378" s="93"/>
    </row>
    <row r="379" spans="1:51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X379" s="93"/>
      <c r="AY379" s="93"/>
    </row>
    <row r="380" spans="1:51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X380" s="93"/>
      <c r="AY380" s="93"/>
    </row>
    <row r="381" spans="1:51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X381" s="93"/>
      <c r="AY381" s="93"/>
    </row>
    <row r="382" spans="1:51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X382" s="93"/>
      <c r="AY382" s="93"/>
    </row>
    <row r="383" spans="1:51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X383" s="93"/>
      <c r="AY383" s="93"/>
    </row>
    <row r="384" spans="1:51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X384" s="93"/>
      <c r="AY384" s="93"/>
    </row>
    <row r="385" spans="1:51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X385" s="93"/>
      <c r="AY385" s="93"/>
    </row>
    <row r="386" spans="1:51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X386" s="93"/>
      <c r="AY386" s="93"/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93"/>
      <c r="AY387" s="93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93"/>
      <c r="AY388" s="93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93"/>
      <c r="AY389" s="93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93"/>
      <c r="AY390" s="93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93"/>
      <c r="AY391" s="93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93"/>
      <c r="AY392" s="93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93"/>
      <c r="AY393" s="93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93"/>
      <c r="AY394" s="93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93"/>
      <c r="AY395" s="93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93"/>
      <c r="AY396" s="93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93"/>
      <c r="AY397" s="93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93"/>
      <c r="AY398" s="93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93"/>
      <c r="AY399" s="93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93"/>
      <c r="AY400" s="93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93"/>
      <c r="AY401" s="93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93"/>
      <c r="AY402" s="93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93"/>
      <c r="AY403" s="93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93"/>
      <c r="AY404" s="93"/>
      <c r="AZ404" s="93"/>
      <c r="BA404" s="79" t="s">
        <v>194</v>
      </c>
      <c r="BB404" s="94">
        <v>0</v>
      </c>
      <c r="BC404" s="94">
        <v>0</v>
      </c>
      <c r="BD404" s="94">
        <v>0</v>
      </c>
      <c r="BE404" s="94">
        <v>0</v>
      </c>
      <c r="BF404" s="94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93"/>
      <c r="AY405" s="93"/>
      <c r="AZ405" s="93"/>
      <c r="BA405" s="79" t="s">
        <v>195</v>
      </c>
      <c r="BB405" s="94">
        <v>0</v>
      </c>
      <c r="BC405" s="94">
        <v>0</v>
      </c>
      <c r="BD405" s="94">
        <v>0</v>
      </c>
      <c r="BE405" s="94">
        <v>0</v>
      </c>
      <c r="BF405" s="94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93"/>
      <c r="AY406" s="93"/>
      <c r="AZ406" s="93"/>
      <c r="BA406" s="79" t="s">
        <v>196</v>
      </c>
      <c r="BB406" s="94">
        <v>0</v>
      </c>
      <c r="BC406" s="94">
        <v>0</v>
      </c>
      <c r="BD406" s="94">
        <v>0</v>
      </c>
      <c r="BE406" s="94">
        <v>0</v>
      </c>
      <c r="BF406" s="94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93"/>
      <c r="AY407" s="93"/>
      <c r="AZ407" s="93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93"/>
      <c r="AY408" s="93"/>
      <c r="AZ408" s="93"/>
      <c r="BA408" s="79"/>
      <c r="BB408" s="79" t="s">
        <v>197</v>
      </c>
      <c r="BC408" s="79" t="s">
        <v>198</v>
      </c>
      <c r="BD408" s="79" t="s">
        <v>199</v>
      </c>
      <c r="BE408" s="79" t="s">
        <v>200</v>
      </c>
      <c r="BF408" s="79" t="s">
        <v>196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93"/>
      <c r="AY409" s="93"/>
      <c r="BA409" s="79" t="s">
        <v>194</v>
      </c>
      <c r="BB409" s="95" t="e">
        <v>#DIV/0!</v>
      </c>
      <c r="BC409" s="95" t="e">
        <v>#DIV/0!</v>
      </c>
      <c r="BD409" s="95" t="e">
        <v>#DIV/0!</v>
      </c>
      <c r="BE409" s="95" t="e">
        <v>#DIV/0!</v>
      </c>
      <c r="BF409" s="95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9" t="s">
        <v>195</v>
      </c>
      <c r="BB410" s="95" t="e">
        <v>#DIV/0!</v>
      </c>
      <c r="BC410" s="95" t="e">
        <v>#DIV/0!</v>
      </c>
      <c r="BD410" s="95" t="e">
        <v>#DIV/0!</v>
      </c>
      <c r="BE410" s="95" t="e">
        <v>#DIV/0!</v>
      </c>
      <c r="BF410" s="95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9" t="s">
        <v>196</v>
      </c>
      <c r="BB411" s="95" t="e">
        <v>#DIV/0!</v>
      </c>
      <c r="BC411" s="95" t="e">
        <v>#DIV/0!</v>
      </c>
      <c r="BD411" s="95" t="e">
        <v>#DIV/0!</v>
      </c>
      <c r="BE411" s="95" t="e">
        <v>#DIV/0!</v>
      </c>
      <c r="BF411" s="95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9" t="s">
        <v>194</v>
      </c>
      <c r="BB422" s="94">
        <v>0</v>
      </c>
      <c r="BC422" s="94">
        <v>0</v>
      </c>
      <c r="BD422" s="94">
        <v>0</v>
      </c>
      <c r="BE422" s="94">
        <v>0</v>
      </c>
      <c r="BF422" s="94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9" t="s">
        <v>195</v>
      </c>
      <c r="BB423" s="94">
        <v>0</v>
      </c>
      <c r="BC423" s="94">
        <v>0</v>
      </c>
      <c r="BD423" s="94">
        <v>0</v>
      </c>
      <c r="BE423" s="94">
        <v>0</v>
      </c>
      <c r="BF423" s="94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201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9" t="s">
        <v>202</v>
      </c>
      <c r="BB426" s="95" t="e">
        <v>#DIV/0!</v>
      </c>
      <c r="BC426" s="95" t="e">
        <v>#DIV/0!</v>
      </c>
      <c r="BD426" s="95" t="e">
        <v>#DIV/0!</v>
      </c>
      <c r="BE426" s="95" t="e">
        <v>#DIV/0!</v>
      </c>
      <c r="BF426" s="95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9" t="s">
        <v>195</v>
      </c>
      <c r="BB427" s="95" t="e">
        <v>#DIV/0!</v>
      </c>
      <c r="BC427" s="95" t="e">
        <v>#DIV/0!</v>
      </c>
      <c r="BD427" s="95" t="e">
        <v>#DIV/0!</v>
      </c>
      <c r="BE427" s="95" t="e">
        <v>#DIV/0!</v>
      </c>
      <c r="BF427" s="95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201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9" t="s">
        <v>196</v>
      </c>
      <c r="BB429" s="95" t="e">
        <v>#DIV/0!</v>
      </c>
      <c r="BC429" s="95" t="e">
        <v>#DIV/0!</v>
      </c>
      <c r="BD429" s="95" t="e">
        <v>#DIV/0!</v>
      </c>
      <c r="BE429" s="95" t="e">
        <v>#DIV/0!</v>
      </c>
      <c r="BF429" s="95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9" t="s">
        <v>194</v>
      </c>
      <c r="BB464" s="94">
        <v>0</v>
      </c>
      <c r="BC464" s="94">
        <v>0</v>
      </c>
      <c r="BD464" s="94">
        <v>0</v>
      </c>
      <c r="BE464" s="94">
        <v>0</v>
      </c>
      <c r="BF464" s="94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9" t="s">
        <v>195</v>
      </c>
      <c r="BB465" s="94">
        <v>0</v>
      </c>
      <c r="BC465" s="94">
        <v>0</v>
      </c>
      <c r="BD465" s="94">
        <v>0</v>
      </c>
      <c r="BE465" s="94">
        <v>0</v>
      </c>
      <c r="BF465" s="94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201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9" t="s">
        <v>196</v>
      </c>
      <c r="BB467" s="94">
        <v>0</v>
      </c>
      <c r="BC467" s="94">
        <v>0</v>
      </c>
      <c r="BD467" s="94">
        <v>0</v>
      </c>
      <c r="BE467" s="94">
        <v>0</v>
      </c>
      <c r="BF467" s="94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9"/>
      <c r="BB468" s="79" t="s">
        <v>197</v>
      </c>
      <c r="BC468" s="79" t="s">
        <v>198</v>
      </c>
      <c r="BD468" s="79" t="s">
        <v>199</v>
      </c>
      <c r="BE468" s="79" t="s">
        <v>200</v>
      </c>
      <c r="BF468" s="79" t="s">
        <v>196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9" t="s">
        <v>202</v>
      </c>
      <c r="BB469" s="95" t="e">
        <v>#DIV/0!</v>
      </c>
      <c r="BC469" s="95" t="e">
        <v>#DIV/0!</v>
      </c>
      <c r="BD469" s="95" t="e">
        <v>#DIV/0!</v>
      </c>
      <c r="BE469" s="95" t="e">
        <v>#DIV/0!</v>
      </c>
      <c r="BF469" s="95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9" t="s">
        <v>194</v>
      </c>
      <c r="BB470" s="95" t="e">
        <v>#DIV/0!</v>
      </c>
      <c r="BC470" s="95" t="e">
        <v>#DIV/0!</v>
      </c>
      <c r="BD470" s="95" t="e">
        <v>#DIV/0!</v>
      </c>
      <c r="BE470" s="95" t="e">
        <v>#DIV/0!</v>
      </c>
      <c r="BF470" s="95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201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9" t="s">
        <v>196</v>
      </c>
      <c r="BB472" s="95" t="e">
        <v>#DIV/0!</v>
      </c>
      <c r="BC472" s="95" t="e">
        <v>#DIV/0!</v>
      </c>
      <c r="BD472" s="95" t="e">
        <v>#DIV/0!</v>
      </c>
      <c r="BE472" s="95" t="e">
        <v>#DIV/0!</v>
      </c>
      <c r="BF472" s="95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9" t="s">
        <v>194</v>
      </c>
      <c r="BB528" s="94">
        <v>0</v>
      </c>
      <c r="BC528" s="94">
        <v>0</v>
      </c>
      <c r="BD528" s="94">
        <v>0</v>
      </c>
      <c r="BE528" s="94">
        <v>0</v>
      </c>
      <c r="BF528" s="94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9" t="s">
        <v>195</v>
      </c>
      <c r="BB529" s="94">
        <v>0</v>
      </c>
      <c r="BC529" s="94">
        <v>0</v>
      </c>
      <c r="BD529" s="94">
        <v>0</v>
      </c>
      <c r="BE529" s="94">
        <v>0</v>
      </c>
      <c r="BF529" s="94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9" t="s">
        <v>196</v>
      </c>
      <c r="BB530" s="94">
        <v>0</v>
      </c>
      <c r="BC530" s="94">
        <v>0</v>
      </c>
      <c r="BD530" s="94">
        <v>0</v>
      </c>
      <c r="BE530" s="94">
        <v>0</v>
      </c>
      <c r="BF530" s="94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9"/>
      <c r="BB532" s="79" t="s">
        <v>197</v>
      </c>
      <c r="BC532" s="79" t="s">
        <v>198</v>
      </c>
      <c r="BD532" s="79" t="s">
        <v>199</v>
      </c>
      <c r="BE532" s="79" t="s">
        <v>200</v>
      </c>
      <c r="BF532" s="79" t="s">
        <v>196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9" t="s">
        <v>194</v>
      </c>
      <c r="BB533" s="95" t="e">
        <v>#DIV/0!</v>
      </c>
      <c r="BC533" s="95" t="e">
        <v>#DIV/0!</v>
      </c>
      <c r="BD533" s="95" t="e">
        <v>#DIV/0!</v>
      </c>
      <c r="BE533" s="95" t="e">
        <v>#DIV/0!</v>
      </c>
      <c r="BF533" s="95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9" t="s">
        <v>195</v>
      </c>
      <c r="BB534" s="95" t="e">
        <v>#DIV/0!</v>
      </c>
      <c r="BC534" s="95" t="e">
        <v>#DIV/0!</v>
      </c>
      <c r="BD534" s="95" t="e">
        <v>#DIV/0!</v>
      </c>
      <c r="BE534" s="95" t="e">
        <v>#DIV/0!</v>
      </c>
      <c r="BF534" s="95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9" t="s">
        <v>196</v>
      </c>
      <c r="BB535" s="95" t="e">
        <v>#DIV/0!</v>
      </c>
      <c r="BC535" s="95" t="e">
        <v>#DIV/0!</v>
      </c>
      <c r="BD535" s="95" t="e">
        <v>#DIV/0!</v>
      </c>
      <c r="BE535" s="95" t="e">
        <v>#DIV/0!</v>
      </c>
      <c r="BF535" s="95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3491" priority="134092" operator="lessThan">
      <formula>15.1</formula>
    </cfRule>
    <cfRule type="cellIs" dxfId="13490" priority="134093" operator="lessThan">
      <formula>18.1</formula>
    </cfRule>
    <cfRule type="cellIs" dxfId="13489" priority="134094" operator="lessThan">
      <formula>21.1</formula>
    </cfRule>
    <cfRule type="cellIs" dxfId="13488" priority="134095" operator="lessThan">
      <formula>24.1</formula>
    </cfRule>
    <cfRule type="cellIs" dxfId="13487" priority="134096" operator="lessThan">
      <formula>30</formula>
    </cfRule>
    <cfRule type="cellIs" dxfId="13486" priority="134097" operator="lessThan">
      <formula>34.1</formula>
    </cfRule>
  </conditionalFormatting>
  <conditionalFormatting sqref="Z3">
    <cfRule type="colorScale" priority="1340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3485" priority="134089" operator="greaterThan">
      <formula>0.9</formula>
    </cfRule>
    <cfRule type="cellIs" dxfId="13484" priority="134090" operator="greaterThan">
      <formula>0.85</formula>
    </cfRule>
  </conditionalFormatting>
  <conditionalFormatting sqref="N2">
    <cfRule type="cellIs" dxfId="13483" priority="134087" operator="greaterThan">
      <formula>0.9</formula>
    </cfRule>
    <cfRule type="cellIs" dxfId="13482" priority="134088" operator="greaterThan">
      <formula>0.85</formula>
    </cfRule>
  </conditionalFormatting>
  <conditionalFormatting sqref="AV4">
    <cfRule type="expression" dxfId="13481" priority="6317">
      <formula>AV4="X"</formula>
    </cfRule>
    <cfRule type="expression" dxfId="13480" priority="6318">
      <formula>AV4="후보"</formula>
    </cfRule>
  </conditionalFormatting>
  <conditionalFormatting sqref="AC4">
    <cfRule type="cellIs" dxfId="13479" priority="6315" operator="greaterThan">
      <formula>0.9</formula>
    </cfRule>
    <cfRule type="cellIs" dxfId="13478" priority="6316" operator="greaterThan">
      <formula>0.85</formula>
    </cfRule>
  </conditionalFormatting>
  <conditionalFormatting sqref="N4">
    <cfRule type="cellIs" dxfId="13477" priority="6313" operator="greaterThan">
      <formula>0.9</formula>
    </cfRule>
    <cfRule type="cellIs" dxfId="13476" priority="6314" operator="greaterThan">
      <formula>0.85</formula>
    </cfRule>
  </conditionalFormatting>
  <conditionalFormatting sqref="E4">
    <cfRule type="expression" dxfId="13475" priority="6309">
      <formula>AND(IF(OR($Q4=1,$Q4=2),1,0),IF($X4&lt;=20,1,0))</formula>
    </cfRule>
    <cfRule type="expression" dxfId="13474" priority="6310">
      <formula>AND(IF($Q4=2,1,0),IF($X4&lt;30,1,0))</formula>
    </cfRule>
    <cfRule type="expression" dxfId="13473" priority="6311">
      <formula>AND(IF($Q4=3,1,0),IF($X4&lt;30,1,0))</formula>
    </cfRule>
    <cfRule type="expression" dxfId="13472" priority="6312">
      <formula>AND(IF($Q4=3,1,IF($Q4=4,1,0)),IF($F4&lt;=85,1,0))</formula>
    </cfRule>
  </conditionalFormatting>
  <conditionalFormatting sqref="X4">
    <cfRule type="expression" dxfId="13471" priority="6305">
      <formula>AND(IF(OR($Q4=1,$Q4=2),1,0),IF($X4&lt;=20,1,0))</formula>
    </cfRule>
    <cfRule type="expression" dxfId="13470" priority="6306">
      <formula>AND(IF($Q4=2,1,0),IF($X4&lt;30,1,0))</formula>
    </cfRule>
    <cfRule type="expression" dxfId="13469" priority="6307">
      <formula>AND(IF($Q4=3,1,0),IF($X4&lt;30,1,0))</formula>
    </cfRule>
    <cfRule type="expression" dxfId="13468" priority="6308">
      <formula>AND(IF($Q4=3,1,IF($Q4=4,1,0)),IF($F4&lt;=85,1,0))</formula>
    </cfRule>
  </conditionalFormatting>
  <conditionalFormatting sqref="AI4">
    <cfRule type="expression" dxfId="13467" priority="6301">
      <formula>AND(IF(OR($Q4=1,$Q4=2),1,0),IF($X4&lt;=20,1,0))</formula>
    </cfRule>
    <cfRule type="expression" dxfId="13466" priority="6302">
      <formula>AND(IF($Q4=2,1,0),IF($X4&lt;30,1,0))</formula>
    </cfRule>
    <cfRule type="expression" dxfId="13465" priority="6303">
      <formula>AND(IF($Q4=3,1,0),IF($X4&lt;30,1,0))</formula>
    </cfRule>
    <cfRule type="expression" dxfId="13464" priority="6304">
      <formula>AND(IF($Q4=3,1,IF($Q4=4,1,0)),IF($F4&lt;=85,1,0))</formula>
    </cfRule>
  </conditionalFormatting>
  <conditionalFormatting sqref="AV5">
    <cfRule type="expression" dxfId="13463" priority="6299">
      <formula>AV5="X"</formula>
    </cfRule>
    <cfRule type="expression" dxfId="13462" priority="6300">
      <formula>AV5="후보"</formula>
    </cfRule>
  </conditionalFormatting>
  <conditionalFormatting sqref="AC5">
    <cfRule type="cellIs" dxfId="13461" priority="6297" operator="greaterThan">
      <formula>0.9</formula>
    </cfRule>
    <cfRule type="cellIs" dxfId="13460" priority="6298" operator="greaterThan">
      <formula>0.85</formula>
    </cfRule>
  </conditionalFormatting>
  <conditionalFormatting sqref="N5">
    <cfRule type="cellIs" dxfId="13459" priority="6295" operator="greaterThan">
      <formula>0.9</formula>
    </cfRule>
    <cfRule type="cellIs" dxfId="13458" priority="6296" operator="greaterThan">
      <formula>0.85</formula>
    </cfRule>
  </conditionalFormatting>
  <conditionalFormatting sqref="E5">
    <cfRule type="expression" dxfId="13457" priority="6291">
      <formula>AND(IF(OR($Q5=1,$Q5=2),1,0),IF($X5&lt;=20,1,0))</formula>
    </cfRule>
    <cfRule type="expression" dxfId="13456" priority="6292">
      <formula>AND(IF($Q5=2,1,0),IF($X5&lt;30,1,0))</formula>
    </cfRule>
    <cfRule type="expression" dxfId="13455" priority="6293">
      <formula>AND(IF($Q5=3,1,0),IF($X5&lt;30,1,0))</formula>
    </cfRule>
    <cfRule type="expression" dxfId="13454" priority="6294">
      <formula>AND(IF($Q5=3,1,IF($Q5=4,1,0)),IF($F5&lt;=85,1,0))</formula>
    </cfRule>
  </conditionalFormatting>
  <conditionalFormatting sqref="X5">
    <cfRule type="expression" dxfId="13453" priority="6287">
      <formula>AND(IF(OR($Q5=1,$Q5=2),1,0),IF($X5&lt;=20,1,0))</formula>
    </cfRule>
    <cfRule type="expression" dxfId="13452" priority="6288">
      <formula>AND(IF($Q5=2,1,0),IF($X5&lt;30,1,0))</formula>
    </cfRule>
    <cfRule type="expression" dxfId="13451" priority="6289">
      <formula>AND(IF($Q5=3,1,0),IF($X5&lt;30,1,0))</formula>
    </cfRule>
    <cfRule type="expression" dxfId="13450" priority="6290">
      <formula>AND(IF($Q5=3,1,IF($Q5=4,1,0)),IF($F5&lt;=85,1,0))</formula>
    </cfRule>
  </conditionalFormatting>
  <conditionalFormatting sqref="AI5">
    <cfRule type="expression" dxfId="13449" priority="6283">
      <formula>AND(IF(OR($Q5=1,$Q5=2),1,0),IF($X5&lt;=20,1,0))</formula>
    </cfRule>
    <cfRule type="expression" dxfId="13448" priority="6284">
      <formula>AND(IF($Q5=2,1,0),IF($X5&lt;30,1,0))</formula>
    </cfRule>
    <cfRule type="expression" dxfId="13447" priority="6285">
      <formula>AND(IF($Q5=3,1,0),IF($X5&lt;30,1,0))</formula>
    </cfRule>
    <cfRule type="expression" dxfId="13446" priority="6286">
      <formula>AND(IF($Q5=3,1,IF($Q5=4,1,0)),IF($F5&lt;=85,1,0))</formula>
    </cfRule>
  </conditionalFormatting>
  <conditionalFormatting sqref="AV6">
    <cfRule type="expression" dxfId="13445" priority="6281">
      <formula>AV6="X"</formula>
    </cfRule>
    <cfRule type="expression" dxfId="13444" priority="6282">
      <formula>AV6="후보"</formula>
    </cfRule>
  </conditionalFormatting>
  <conditionalFormatting sqref="AC6">
    <cfRule type="cellIs" dxfId="13443" priority="6279" operator="greaterThan">
      <formula>0.9</formula>
    </cfRule>
    <cfRule type="cellIs" dxfId="13442" priority="6280" operator="greaterThan">
      <formula>0.85</formula>
    </cfRule>
  </conditionalFormatting>
  <conditionalFormatting sqref="N6">
    <cfRule type="cellIs" dxfId="13441" priority="6277" operator="greaterThan">
      <formula>0.9</formula>
    </cfRule>
    <cfRule type="cellIs" dxfId="13440" priority="6278" operator="greaterThan">
      <formula>0.85</formula>
    </cfRule>
  </conditionalFormatting>
  <conditionalFormatting sqref="E6">
    <cfRule type="expression" dxfId="13439" priority="6273">
      <formula>AND(IF(OR($Q6=1,$Q6=2),1,0),IF($X6&lt;=20,1,0))</formula>
    </cfRule>
    <cfRule type="expression" dxfId="13438" priority="6274">
      <formula>AND(IF($Q6=2,1,0),IF($X6&lt;30,1,0))</formula>
    </cfRule>
    <cfRule type="expression" dxfId="13437" priority="6275">
      <formula>AND(IF($Q6=3,1,0),IF($X6&lt;30,1,0))</formula>
    </cfRule>
    <cfRule type="expression" dxfId="13436" priority="6276">
      <formula>AND(IF($Q6=3,1,IF($Q6=4,1,0)),IF($F6&lt;=85,1,0))</formula>
    </cfRule>
  </conditionalFormatting>
  <conditionalFormatting sqref="X6">
    <cfRule type="expression" dxfId="13435" priority="6269">
      <formula>AND(IF(OR($Q6=1,$Q6=2),1,0),IF($X6&lt;=20,1,0))</formula>
    </cfRule>
    <cfRule type="expression" dxfId="13434" priority="6270">
      <formula>AND(IF($Q6=2,1,0),IF($X6&lt;30,1,0))</formula>
    </cfRule>
    <cfRule type="expression" dxfId="13433" priority="6271">
      <formula>AND(IF($Q6=3,1,0),IF($X6&lt;30,1,0))</formula>
    </cfRule>
    <cfRule type="expression" dxfId="13432" priority="6272">
      <formula>AND(IF($Q6=3,1,IF($Q6=4,1,0)),IF($F6&lt;=85,1,0))</formula>
    </cfRule>
  </conditionalFormatting>
  <conditionalFormatting sqref="AI6">
    <cfRule type="expression" dxfId="13431" priority="6265">
      <formula>AND(IF(OR($Q6=1,$Q6=2),1,0),IF($X6&lt;=20,1,0))</formula>
    </cfRule>
    <cfRule type="expression" dxfId="13430" priority="6266">
      <formula>AND(IF($Q6=2,1,0),IF($X6&lt;30,1,0))</formula>
    </cfRule>
    <cfRule type="expression" dxfId="13429" priority="6267">
      <formula>AND(IF($Q6=3,1,0),IF($X6&lt;30,1,0))</formula>
    </cfRule>
    <cfRule type="expression" dxfId="13428" priority="6268">
      <formula>AND(IF($Q6=3,1,IF($Q6=4,1,0)),IF($F6&lt;=85,1,0))</formula>
    </cfRule>
  </conditionalFormatting>
  <conditionalFormatting sqref="AV7">
    <cfRule type="expression" dxfId="13427" priority="6263">
      <formula>AV7="X"</formula>
    </cfRule>
    <cfRule type="expression" dxfId="13426" priority="6264">
      <formula>AV7="후보"</formula>
    </cfRule>
  </conditionalFormatting>
  <conditionalFormatting sqref="AC7">
    <cfRule type="cellIs" dxfId="13425" priority="6261" operator="greaterThan">
      <formula>0.9</formula>
    </cfRule>
    <cfRule type="cellIs" dxfId="13424" priority="6262" operator="greaterThan">
      <formula>0.85</formula>
    </cfRule>
  </conditionalFormatting>
  <conditionalFormatting sqref="N7">
    <cfRule type="cellIs" dxfId="13423" priority="6259" operator="greaterThan">
      <formula>0.9</formula>
    </cfRule>
    <cfRule type="cellIs" dxfId="13422" priority="6260" operator="greaterThan">
      <formula>0.85</formula>
    </cfRule>
  </conditionalFormatting>
  <conditionalFormatting sqref="E7">
    <cfRule type="expression" dxfId="13421" priority="6255">
      <formula>AND(IF(OR($Q7=1,$Q7=2),1,0),IF($X7&lt;=20,1,0))</formula>
    </cfRule>
    <cfRule type="expression" dxfId="13420" priority="6256">
      <formula>AND(IF($Q7=2,1,0),IF($X7&lt;30,1,0))</formula>
    </cfRule>
    <cfRule type="expression" dxfId="13419" priority="6257">
      <formula>AND(IF($Q7=3,1,0),IF($X7&lt;30,1,0))</formula>
    </cfRule>
    <cfRule type="expression" dxfId="13418" priority="6258">
      <formula>AND(IF($Q7=3,1,IF($Q7=4,1,0)),IF($F7&lt;=85,1,0))</formula>
    </cfRule>
  </conditionalFormatting>
  <conditionalFormatting sqref="X7">
    <cfRule type="expression" dxfId="13417" priority="6251">
      <formula>AND(IF(OR($Q7=1,$Q7=2),1,0),IF($X7&lt;=20,1,0))</formula>
    </cfRule>
    <cfRule type="expression" dxfId="13416" priority="6252">
      <formula>AND(IF($Q7=2,1,0),IF($X7&lt;30,1,0))</formula>
    </cfRule>
    <cfRule type="expression" dxfId="13415" priority="6253">
      <formula>AND(IF($Q7=3,1,0),IF($X7&lt;30,1,0))</formula>
    </cfRule>
    <cfRule type="expression" dxfId="13414" priority="6254">
      <formula>AND(IF($Q7=3,1,IF($Q7=4,1,0)),IF($F7&lt;=85,1,0))</formula>
    </cfRule>
  </conditionalFormatting>
  <conditionalFormatting sqref="AI7">
    <cfRule type="expression" dxfId="13413" priority="6247">
      <formula>AND(IF(OR($Q7=1,$Q7=2),1,0),IF($X7&lt;=20,1,0))</formula>
    </cfRule>
    <cfRule type="expression" dxfId="13412" priority="6248">
      <formula>AND(IF($Q7=2,1,0),IF($X7&lt;30,1,0))</formula>
    </cfRule>
    <cfRule type="expression" dxfId="13411" priority="6249">
      <formula>AND(IF($Q7=3,1,0),IF($X7&lt;30,1,0))</formula>
    </cfRule>
    <cfRule type="expression" dxfId="13410" priority="6250">
      <formula>AND(IF($Q7=3,1,IF($Q7=4,1,0)),IF($F7&lt;=85,1,0))</formula>
    </cfRule>
  </conditionalFormatting>
  <conditionalFormatting sqref="AV8">
    <cfRule type="expression" dxfId="13409" priority="6245">
      <formula>AV8="X"</formula>
    </cfRule>
    <cfRule type="expression" dxfId="13408" priority="6246">
      <formula>AV8="후보"</formula>
    </cfRule>
  </conditionalFormatting>
  <conditionalFormatting sqref="AC8">
    <cfRule type="cellIs" dxfId="13407" priority="6243" operator="greaterThan">
      <formula>0.9</formula>
    </cfRule>
    <cfRule type="cellIs" dxfId="13406" priority="6244" operator="greaterThan">
      <formula>0.85</formula>
    </cfRule>
  </conditionalFormatting>
  <conditionalFormatting sqref="N8">
    <cfRule type="cellIs" dxfId="13405" priority="6241" operator="greaterThan">
      <formula>0.9</formula>
    </cfRule>
    <cfRule type="cellIs" dxfId="13404" priority="6242" operator="greaterThan">
      <formula>0.85</formula>
    </cfRule>
  </conditionalFormatting>
  <conditionalFormatting sqref="E8">
    <cfRule type="expression" dxfId="13403" priority="6237">
      <formula>AND(IF(OR($Q8=1,$Q8=2),1,0),IF($X8&lt;=20,1,0))</formula>
    </cfRule>
    <cfRule type="expression" dxfId="13402" priority="6238">
      <formula>AND(IF($Q8=2,1,0),IF($X8&lt;30,1,0))</formula>
    </cfRule>
    <cfRule type="expression" dxfId="13401" priority="6239">
      <formula>AND(IF($Q8=3,1,0),IF($X8&lt;30,1,0))</formula>
    </cfRule>
    <cfRule type="expression" dxfId="13400" priority="6240">
      <formula>AND(IF($Q8=3,1,IF($Q8=4,1,0)),IF($F8&lt;=85,1,0))</formula>
    </cfRule>
  </conditionalFormatting>
  <conditionalFormatting sqref="X8">
    <cfRule type="expression" dxfId="13399" priority="6233">
      <formula>AND(IF(OR($Q8=1,$Q8=2),1,0),IF($X8&lt;=20,1,0))</formula>
    </cfRule>
    <cfRule type="expression" dxfId="13398" priority="6234">
      <formula>AND(IF($Q8=2,1,0),IF($X8&lt;30,1,0))</formula>
    </cfRule>
    <cfRule type="expression" dxfId="13397" priority="6235">
      <formula>AND(IF($Q8=3,1,0),IF($X8&lt;30,1,0))</formula>
    </cfRule>
    <cfRule type="expression" dxfId="13396" priority="6236">
      <formula>AND(IF($Q8=3,1,IF($Q8=4,1,0)),IF($F8&lt;=85,1,0))</formula>
    </cfRule>
  </conditionalFormatting>
  <conditionalFormatting sqref="AI8">
    <cfRule type="expression" dxfId="13395" priority="6229">
      <formula>AND(IF(OR($Q8=1,$Q8=2),1,0),IF($X8&lt;=20,1,0))</formula>
    </cfRule>
    <cfRule type="expression" dxfId="13394" priority="6230">
      <formula>AND(IF($Q8=2,1,0),IF($X8&lt;30,1,0))</formula>
    </cfRule>
    <cfRule type="expression" dxfId="13393" priority="6231">
      <formula>AND(IF($Q8=3,1,0),IF($X8&lt;30,1,0))</formula>
    </cfRule>
    <cfRule type="expression" dxfId="13392" priority="6232">
      <formula>AND(IF($Q8=3,1,IF($Q8=4,1,0)),IF($F8&lt;=85,1,0))</formula>
    </cfRule>
  </conditionalFormatting>
  <conditionalFormatting sqref="AV9">
    <cfRule type="expression" dxfId="13391" priority="6227">
      <formula>AV9="X"</formula>
    </cfRule>
    <cfRule type="expression" dxfId="13390" priority="6228">
      <formula>AV9="후보"</formula>
    </cfRule>
  </conditionalFormatting>
  <conditionalFormatting sqref="AC9">
    <cfRule type="cellIs" dxfId="13389" priority="6225" operator="greaterThan">
      <formula>0.9</formula>
    </cfRule>
    <cfRule type="cellIs" dxfId="13388" priority="6226" operator="greaterThan">
      <formula>0.85</formula>
    </cfRule>
  </conditionalFormatting>
  <conditionalFormatting sqref="N9">
    <cfRule type="cellIs" dxfId="13387" priority="6223" operator="greaterThan">
      <formula>0.9</formula>
    </cfRule>
    <cfRule type="cellIs" dxfId="13386" priority="6224" operator="greaterThan">
      <formula>0.85</formula>
    </cfRule>
  </conditionalFormatting>
  <conditionalFormatting sqref="E9">
    <cfRule type="expression" dxfId="13385" priority="6219">
      <formula>AND(IF(OR($Q9=1,$Q9=2),1,0),IF($X9&lt;=20,1,0))</formula>
    </cfRule>
    <cfRule type="expression" dxfId="13384" priority="6220">
      <formula>AND(IF($Q9=2,1,0),IF($X9&lt;30,1,0))</formula>
    </cfRule>
    <cfRule type="expression" dxfId="13383" priority="6221">
      <formula>AND(IF($Q9=3,1,0),IF($X9&lt;30,1,0))</formula>
    </cfRule>
    <cfRule type="expression" dxfId="13382" priority="6222">
      <formula>AND(IF($Q9=3,1,IF($Q9=4,1,0)),IF($F9&lt;=85,1,0))</formula>
    </cfRule>
  </conditionalFormatting>
  <conditionalFormatting sqref="X9">
    <cfRule type="expression" dxfId="13381" priority="6215">
      <formula>AND(IF(OR($Q9=1,$Q9=2),1,0),IF($X9&lt;=20,1,0))</formula>
    </cfRule>
    <cfRule type="expression" dxfId="13380" priority="6216">
      <formula>AND(IF($Q9=2,1,0),IF($X9&lt;30,1,0))</formula>
    </cfRule>
    <cfRule type="expression" dxfId="13379" priority="6217">
      <formula>AND(IF($Q9=3,1,0),IF($X9&lt;30,1,0))</formula>
    </cfRule>
    <cfRule type="expression" dxfId="13378" priority="6218">
      <formula>AND(IF($Q9=3,1,IF($Q9=4,1,0)),IF($F9&lt;=85,1,0))</formula>
    </cfRule>
  </conditionalFormatting>
  <conditionalFormatting sqref="AI9">
    <cfRule type="expression" dxfId="13377" priority="6211">
      <formula>AND(IF(OR($Q9=1,$Q9=2),1,0),IF($X9&lt;=20,1,0))</formula>
    </cfRule>
    <cfRule type="expression" dxfId="13376" priority="6212">
      <formula>AND(IF($Q9=2,1,0),IF($X9&lt;30,1,0))</formula>
    </cfRule>
    <cfRule type="expression" dxfId="13375" priority="6213">
      <formula>AND(IF($Q9=3,1,0),IF($X9&lt;30,1,0))</formula>
    </cfRule>
    <cfRule type="expression" dxfId="13374" priority="6214">
      <formula>AND(IF($Q9=3,1,IF($Q9=4,1,0)),IF($F9&lt;=85,1,0))</formula>
    </cfRule>
  </conditionalFormatting>
  <conditionalFormatting sqref="AV10">
    <cfRule type="expression" dxfId="13373" priority="6209">
      <formula>AV10="X"</formula>
    </cfRule>
    <cfRule type="expression" dxfId="13372" priority="6210">
      <formula>AV10="후보"</formula>
    </cfRule>
  </conditionalFormatting>
  <conditionalFormatting sqref="AC10">
    <cfRule type="cellIs" dxfId="13371" priority="6207" operator="greaterThan">
      <formula>0.9</formula>
    </cfRule>
    <cfRule type="cellIs" dxfId="13370" priority="6208" operator="greaterThan">
      <formula>0.85</formula>
    </cfRule>
  </conditionalFormatting>
  <conditionalFormatting sqref="N10">
    <cfRule type="cellIs" dxfId="13369" priority="6205" operator="greaterThan">
      <formula>0.9</formula>
    </cfRule>
    <cfRule type="cellIs" dxfId="13368" priority="6206" operator="greaterThan">
      <formula>0.85</formula>
    </cfRule>
  </conditionalFormatting>
  <conditionalFormatting sqref="E10">
    <cfRule type="expression" dxfId="13367" priority="6201">
      <formula>AND(IF(OR($Q10=1,$Q10=2),1,0),IF($X10&lt;=20,1,0))</formula>
    </cfRule>
    <cfRule type="expression" dxfId="13366" priority="6202">
      <formula>AND(IF($Q10=2,1,0),IF($X10&lt;30,1,0))</formula>
    </cfRule>
    <cfRule type="expression" dxfId="13365" priority="6203">
      <formula>AND(IF($Q10=3,1,0),IF($X10&lt;30,1,0))</formula>
    </cfRule>
    <cfRule type="expression" dxfId="13364" priority="6204">
      <formula>AND(IF($Q10=3,1,IF($Q10=4,1,0)),IF($F10&lt;=85,1,0))</formula>
    </cfRule>
  </conditionalFormatting>
  <conditionalFormatting sqref="X10">
    <cfRule type="expression" dxfId="13363" priority="6197">
      <formula>AND(IF(OR($Q10=1,$Q10=2),1,0),IF($X10&lt;=20,1,0))</formula>
    </cfRule>
    <cfRule type="expression" dxfId="13362" priority="6198">
      <formula>AND(IF($Q10=2,1,0),IF($X10&lt;30,1,0))</formula>
    </cfRule>
    <cfRule type="expression" dxfId="13361" priority="6199">
      <formula>AND(IF($Q10=3,1,0),IF($X10&lt;30,1,0))</formula>
    </cfRule>
    <cfRule type="expression" dxfId="13360" priority="6200">
      <formula>AND(IF($Q10=3,1,IF($Q10=4,1,0)),IF($F10&lt;=85,1,0))</formula>
    </cfRule>
  </conditionalFormatting>
  <conditionalFormatting sqref="AI10">
    <cfRule type="expression" dxfId="13359" priority="6193">
      <formula>AND(IF(OR($Q10=1,$Q10=2),1,0),IF($X10&lt;=20,1,0))</formula>
    </cfRule>
    <cfRule type="expression" dxfId="13358" priority="6194">
      <formula>AND(IF($Q10=2,1,0),IF($X10&lt;30,1,0))</formula>
    </cfRule>
    <cfRule type="expression" dxfId="13357" priority="6195">
      <formula>AND(IF($Q10=3,1,0),IF($X10&lt;30,1,0))</formula>
    </cfRule>
    <cfRule type="expression" dxfId="13356" priority="6196">
      <formula>AND(IF($Q10=3,1,IF($Q10=4,1,0)),IF($F10&lt;=85,1,0))</formula>
    </cfRule>
  </conditionalFormatting>
  <conditionalFormatting sqref="AV11">
    <cfRule type="expression" dxfId="13355" priority="6191">
      <formula>AV11="X"</formula>
    </cfRule>
    <cfRule type="expression" dxfId="13354" priority="6192">
      <formula>AV11="후보"</formula>
    </cfRule>
  </conditionalFormatting>
  <conditionalFormatting sqref="AC11">
    <cfRule type="cellIs" dxfId="13353" priority="6189" operator="greaterThan">
      <formula>0.9</formula>
    </cfRule>
    <cfRule type="cellIs" dxfId="13352" priority="6190" operator="greaterThan">
      <formula>0.85</formula>
    </cfRule>
  </conditionalFormatting>
  <conditionalFormatting sqref="N11">
    <cfRule type="cellIs" dxfId="13351" priority="6187" operator="greaterThan">
      <formula>0.9</formula>
    </cfRule>
    <cfRule type="cellIs" dxfId="13350" priority="6188" operator="greaterThan">
      <formula>0.85</formula>
    </cfRule>
  </conditionalFormatting>
  <conditionalFormatting sqref="E11">
    <cfRule type="expression" dxfId="13349" priority="6183">
      <formula>AND(IF(OR($Q11=1,$Q11=2),1,0),IF($X11&lt;=20,1,0))</formula>
    </cfRule>
    <cfRule type="expression" dxfId="13348" priority="6184">
      <formula>AND(IF($Q11=2,1,0),IF($X11&lt;30,1,0))</formula>
    </cfRule>
    <cfRule type="expression" dxfId="13347" priority="6185">
      <formula>AND(IF($Q11=3,1,0),IF($X11&lt;30,1,0))</formula>
    </cfRule>
    <cfRule type="expression" dxfId="13346" priority="6186">
      <formula>AND(IF($Q11=3,1,IF($Q11=4,1,0)),IF($F11&lt;=85,1,0))</formula>
    </cfRule>
  </conditionalFormatting>
  <conditionalFormatting sqref="X11">
    <cfRule type="expression" dxfId="13345" priority="6179">
      <formula>AND(IF(OR($Q11=1,$Q11=2),1,0),IF($X11&lt;=20,1,0))</formula>
    </cfRule>
    <cfRule type="expression" dxfId="13344" priority="6180">
      <formula>AND(IF($Q11=2,1,0),IF($X11&lt;30,1,0))</formula>
    </cfRule>
    <cfRule type="expression" dxfId="13343" priority="6181">
      <formula>AND(IF($Q11=3,1,0),IF($X11&lt;30,1,0))</formula>
    </cfRule>
    <cfRule type="expression" dxfId="13342" priority="6182">
      <formula>AND(IF($Q11=3,1,IF($Q11=4,1,0)),IF($F11&lt;=85,1,0))</formula>
    </cfRule>
  </conditionalFormatting>
  <conditionalFormatting sqref="AI11">
    <cfRule type="expression" dxfId="13341" priority="6175">
      <formula>AND(IF(OR($Q11=1,$Q11=2),1,0),IF($X11&lt;=20,1,0))</formula>
    </cfRule>
    <cfRule type="expression" dxfId="13340" priority="6176">
      <formula>AND(IF($Q11=2,1,0),IF($X11&lt;30,1,0))</formula>
    </cfRule>
    <cfRule type="expression" dxfId="13339" priority="6177">
      <formula>AND(IF($Q11=3,1,0),IF($X11&lt;30,1,0))</formula>
    </cfRule>
    <cfRule type="expression" dxfId="13338" priority="6178">
      <formula>AND(IF($Q11=3,1,IF($Q11=4,1,0)),IF($F11&lt;=85,1,0))</formula>
    </cfRule>
  </conditionalFormatting>
  <conditionalFormatting sqref="AV12">
    <cfRule type="expression" dxfId="13337" priority="6173">
      <formula>AV12="X"</formula>
    </cfRule>
    <cfRule type="expression" dxfId="13336" priority="6174">
      <formula>AV12="후보"</formula>
    </cfRule>
  </conditionalFormatting>
  <conditionalFormatting sqref="AC12">
    <cfRule type="cellIs" dxfId="13335" priority="6171" operator="greaterThan">
      <formula>0.9</formula>
    </cfRule>
    <cfRule type="cellIs" dxfId="13334" priority="6172" operator="greaterThan">
      <formula>0.85</formula>
    </cfRule>
  </conditionalFormatting>
  <conditionalFormatting sqref="N12">
    <cfRule type="cellIs" dxfId="13333" priority="6169" operator="greaterThan">
      <formula>0.9</formula>
    </cfRule>
    <cfRule type="cellIs" dxfId="13332" priority="6170" operator="greaterThan">
      <formula>0.85</formula>
    </cfRule>
  </conditionalFormatting>
  <conditionalFormatting sqref="E12">
    <cfRule type="expression" dxfId="13331" priority="6165">
      <formula>AND(IF(OR($Q12=1,$Q12=2),1,0),IF($X12&lt;=20,1,0))</formula>
    </cfRule>
    <cfRule type="expression" dxfId="13330" priority="6166">
      <formula>AND(IF($Q12=2,1,0),IF($X12&lt;30,1,0))</formula>
    </cfRule>
    <cfRule type="expression" dxfId="13329" priority="6167">
      <formula>AND(IF($Q12=3,1,0),IF($X12&lt;30,1,0))</formula>
    </cfRule>
    <cfRule type="expression" dxfId="13328" priority="6168">
      <formula>AND(IF($Q12=3,1,IF($Q12=4,1,0)),IF($F12&lt;=85,1,0))</formula>
    </cfRule>
  </conditionalFormatting>
  <conditionalFormatting sqref="X12">
    <cfRule type="expression" dxfId="13327" priority="6161">
      <formula>AND(IF(OR($Q12=1,$Q12=2),1,0),IF($X12&lt;=20,1,0))</formula>
    </cfRule>
    <cfRule type="expression" dxfId="13326" priority="6162">
      <formula>AND(IF($Q12=2,1,0),IF($X12&lt;30,1,0))</formula>
    </cfRule>
    <cfRule type="expression" dxfId="13325" priority="6163">
      <formula>AND(IF($Q12=3,1,0),IF($X12&lt;30,1,0))</formula>
    </cfRule>
    <cfRule type="expression" dxfId="13324" priority="6164">
      <formula>AND(IF($Q12=3,1,IF($Q12=4,1,0)),IF($F12&lt;=85,1,0))</formula>
    </cfRule>
  </conditionalFormatting>
  <conditionalFormatting sqref="AI12">
    <cfRule type="expression" dxfId="13323" priority="6157">
      <formula>AND(IF(OR($Q12=1,$Q12=2),1,0),IF($X12&lt;=20,1,0))</formula>
    </cfRule>
    <cfRule type="expression" dxfId="13322" priority="6158">
      <formula>AND(IF($Q12=2,1,0),IF($X12&lt;30,1,0))</formula>
    </cfRule>
    <cfRule type="expression" dxfId="13321" priority="6159">
      <formula>AND(IF($Q12=3,1,0),IF($X12&lt;30,1,0))</formula>
    </cfRule>
    <cfRule type="expression" dxfId="13320" priority="6160">
      <formula>AND(IF($Q12=3,1,IF($Q12=4,1,0)),IF($F12&lt;=85,1,0))</formula>
    </cfRule>
  </conditionalFormatting>
  <conditionalFormatting sqref="AV13">
    <cfRule type="expression" dxfId="13319" priority="6155">
      <formula>AV13="X"</formula>
    </cfRule>
    <cfRule type="expression" dxfId="13318" priority="6156">
      <formula>AV13="후보"</formula>
    </cfRule>
  </conditionalFormatting>
  <conditionalFormatting sqref="AC13">
    <cfRule type="cellIs" dxfId="13317" priority="6153" operator="greaterThan">
      <formula>0.9</formula>
    </cfRule>
    <cfRule type="cellIs" dxfId="13316" priority="6154" operator="greaterThan">
      <formula>0.85</formula>
    </cfRule>
  </conditionalFormatting>
  <conditionalFormatting sqref="N13">
    <cfRule type="cellIs" dxfId="13315" priority="6151" operator="greaterThan">
      <formula>0.9</formula>
    </cfRule>
    <cfRule type="cellIs" dxfId="13314" priority="6152" operator="greaterThan">
      <formula>0.85</formula>
    </cfRule>
  </conditionalFormatting>
  <conditionalFormatting sqref="E13">
    <cfRule type="expression" dxfId="13313" priority="6147">
      <formula>AND(IF(OR($Q13=1,$Q13=2),1,0),IF($X13&lt;=20,1,0))</formula>
    </cfRule>
    <cfRule type="expression" dxfId="13312" priority="6148">
      <formula>AND(IF($Q13=2,1,0),IF($X13&lt;30,1,0))</formula>
    </cfRule>
    <cfRule type="expression" dxfId="13311" priority="6149">
      <formula>AND(IF($Q13=3,1,0),IF($X13&lt;30,1,0))</formula>
    </cfRule>
    <cfRule type="expression" dxfId="13310" priority="6150">
      <formula>AND(IF($Q13=3,1,IF($Q13=4,1,0)),IF($F13&lt;=85,1,0))</formula>
    </cfRule>
  </conditionalFormatting>
  <conditionalFormatting sqref="X13">
    <cfRule type="expression" dxfId="13309" priority="6143">
      <formula>AND(IF(OR($Q13=1,$Q13=2),1,0),IF($X13&lt;=20,1,0))</formula>
    </cfRule>
    <cfRule type="expression" dxfId="13308" priority="6144">
      <formula>AND(IF($Q13=2,1,0),IF($X13&lt;30,1,0))</formula>
    </cfRule>
    <cfRule type="expression" dxfId="13307" priority="6145">
      <formula>AND(IF($Q13=3,1,0),IF($X13&lt;30,1,0))</formula>
    </cfRule>
    <cfRule type="expression" dxfId="13306" priority="6146">
      <formula>AND(IF($Q13=3,1,IF($Q13=4,1,0)),IF($F13&lt;=85,1,0))</formula>
    </cfRule>
  </conditionalFormatting>
  <conditionalFormatting sqref="AI13">
    <cfRule type="expression" dxfId="13305" priority="6139">
      <formula>AND(IF(OR($Q13=1,$Q13=2),1,0),IF($X13&lt;=20,1,0))</formula>
    </cfRule>
    <cfRule type="expression" dxfId="13304" priority="6140">
      <formula>AND(IF($Q13=2,1,0),IF($X13&lt;30,1,0))</formula>
    </cfRule>
    <cfRule type="expression" dxfId="13303" priority="6141">
      <formula>AND(IF($Q13=3,1,0),IF($X13&lt;30,1,0))</formula>
    </cfRule>
    <cfRule type="expression" dxfId="13302" priority="6142">
      <formula>AND(IF($Q13=3,1,IF($Q13=4,1,0)),IF($F13&lt;=85,1,0))</formula>
    </cfRule>
  </conditionalFormatting>
  <conditionalFormatting sqref="AV14">
    <cfRule type="expression" dxfId="13301" priority="6137">
      <formula>AV14="X"</formula>
    </cfRule>
    <cfRule type="expression" dxfId="13300" priority="6138">
      <formula>AV14="후보"</formula>
    </cfRule>
  </conditionalFormatting>
  <conditionalFormatting sqref="AC14">
    <cfRule type="cellIs" dxfId="13299" priority="6135" operator="greaterThan">
      <formula>0.9</formula>
    </cfRule>
    <cfRule type="cellIs" dxfId="13298" priority="6136" operator="greaterThan">
      <formula>0.85</formula>
    </cfRule>
  </conditionalFormatting>
  <conditionalFormatting sqref="N14">
    <cfRule type="cellIs" dxfId="13297" priority="6133" operator="greaterThan">
      <formula>0.9</formula>
    </cfRule>
    <cfRule type="cellIs" dxfId="13296" priority="6134" operator="greaterThan">
      <formula>0.85</formula>
    </cfRule>
  </conditionalFormatting>
  <conditionalFormatting sqref="E14">
    <cfRule type="expression" dxfId="13295" priority="6129">
      <formula>AND(IF(OR($Q14=1,$Q14=2),1,0),IF($X14&lt;=20,1,0))</formula>
    </cfRule>
    <cfRule type="expression" dxfId="13294" priority="6130">
      <formula>AND(IF($Q14=2,1,0),IF($X14&lt;30,1,0))</formula>
    </cfRule>
    <cfRule type="expression" dxfId="13293" priority="6131">
      <formula>AND(IF($Q14=3,1,0),IF($X14&lt;30,1,0))</formula>
    </cfRule>
    <cfRule type="expression" dxfId="13292" priority="6132">
      <formula>AND(IF($Q14=3,1,IF($Q14=4,1,0)),IF($F14&lt;=85,1,0))</formula>
    </cfRule>
  </conditionalFormatting>
  <conditionalFormatting sqref="X14">
    <cfRule type="expression" dxfId="13291" priority="6125">
      <formula>AND(IF(OR($Q14=1,$Q14=2),1,0),IF($X14&lt;=20,1,0))</formula>
    </cfRule>
    <cfRule type="expression" dxfId="13290" priority="6126">
      <formula>AND(IF($Q14=2,1,0),IF($X14&lt;30,1,0))</formula>
    </cfRule>
    <cfRule type="expression" dxfId="13289" priority="6127">
      <formula>AND(IF($Q14=3,1,0),IF($X14&lt;30,1,0))</formula>
    </cfRule>
    <cfRule type="expression" dxfId="13288" priority="6128">
      <formula>AND(IF($Q14=3,1,IF($Q14=4,1,0)),IF($F14&lt;=85,1,0))</formula>
    </cfRule>
  </conditionalFormatting>
  <conditionalFormatting sqref="AI14">
    <cfRule type="expression" dxfId="13287" priority="6121">
      <formula>AND(IF(OR($Q14=1,$Q14=2),1,0),IF($X14&lt;=20,1,0))</formula>
    </cfRule>
    <cfRule type="expression" dxfId="13286" priority="6122">
      <formula>AND(IF($Q14=2,1,0),IF($X14&lt;30,1,0))</formula>
    </cfRule>
    <cfRule type="expression" dxfId="13285" priority="6123">
      <formula>AND(IF($Q14=3,1,0),IF($X14&lt;30,1,0))</formula>
    </cfRule>
    <cfRule type="expression" dxfId="13284" priority="6124">
      <formula>AND(IF($Q14=3,1,IF($Q14=4,1,0)),IF($F14&lt;=85,1,0))</formula>
    </cfRule>
  </conditionalFormatting>
  <conditionalFormatting sqref="AV15">
    <cfRule type="expression" dxfId="13283" priority="6119">
      <formula>AV15="X"</formula>
    </cfRule>
    <cfRule type="expression" dxfId="13282" priority="6120">
      <formula>AV15="후보"</formula>
    </cfRule>
  </conditionalFormatting>
  <conditionalFormatting sqref="AC15">
    <cfRule type="cellIs" dxfId="13281" priority="6117" operator="greaterThan">
      <formula>0.9</formula>
    </cfRule>
    <cfRule type="cellIs" dxfId="13280" priority="6118" operator="greaterThan">
      <formula>0.85</formula>
    </cfRule>
  </conditionalFormatting>
  <conditionalFormatting sqref="N15">
    <cfRule type="cellIs" dxfId="13279" priority="6115" operator="greaterThan">
      <formula>0.9</formula>
    </cfRule>
    <cfRule type="cellIs" dxfId="13278" priority="6116" operator="greaterThan">
      <formula>0.85</formula>
    </cfRule>
  </conditionalFormatting>
  <conditionalFormatting sqref="E15">
    <cfRule type="expression" dxfId="13277" priority="6111">
      <formula>AND(IF(OR($Q15=1,$Q15=2),1,0),IF($X15&lt;=20,1,0))</formula>
    </cfRule>
    <cfRule type="expression" dxfId="13276" priority="6112">
      <formula>AND(IF($Q15=2,1,0),IF($X15&lt;30,1,0))</formula>
    </cfRule>
    <cfRule type="expression" dxfId="13275" priority="6113">
      <formula>AND(IF($Q15=3,1,0),IF($X15&lt;30,1,0))</formula>
    </cfRule>
    <cfRule type="expression" dxfId="13274" priority="6114">
      <formula>AND(IF($Q15=3,1,IF($Q15=4,1,0)),IF($F15&lt;=85,1,0))</formula>
    </cfRule>
  </conditionalFormatting>
  <conditionalFormatting sqref="X15">
    <cfRule type="expression" dxfId="13273" priority="6107">
      <formula>AND(IF(OR($Q15=1,$Q15=2),1,0),IF($X15&lt;=20,1,0))</formula>
    </cfRule>
    <cfRule type="expression" dxfId="13272" priority="6108">
      <formula>AND(IF($Q15=2,1,0),IF($X15&lt;30,1,0))</formula>
    </cfRule>
    <cfRule type="expression" dxfId="13271" priority="6109">
      <formula>AND(IF($Q15=3,1,0),IF($X15&lt;30,1,0))</formula>
    </cfRule>
    <cfRule type="expression" dxfId="13270" priority="6110">
      <formula>AND(IF($Q15=3,1,IF($Q15=4,1,0)),IF($F15&lt;=85,1,0))</formula>
    </cfRule>
  </conditionalFormatting>
  <conditionalFormatting sqref="AI15">
    <cfRule type="expression" dxfId="13269" priority="6103">
      <formula>AND(IF(OR($Q15=1,$Q15=2),1,0),IF($X15&lt;=20,1,0))</formula>
    </cfRule>
    <cfRule type="expression" dxfId="13268" priority="6104">
      <formula>AND(IF($Q15=2,1,0),IF($X15&lt;30,1,0))</formula>
    </cfRule>
    <cfRule type="expression" dxfId="13267" priority="6105">
      <formula>AND(IF($Q15=3,1,0),IF($X15&lt;30,1,0))</formula>
    </cfRule>
    <cfRule type="expression" dxfId="13266" priority="6106">
      <formula>AND(IF($Q15=3,1,IF($Q15=4,1,0)),IF($F15&lt;=85,1,0))</formula>
    </cfRule>
  </conditionalFormatting>
  <conditionalFormatting sqref="AV16">
    <cfRule type="expression" dxfId="13265" priority="6101">
      <formula>AV16="X"</formula>
    </cfRule>
    <cfRule type="expression" dxfId="13264" priority="6102">
      <formula>AV16="후보"</formula>
    </cfRule>
  </conditionalFormatting>
  <conditionalFormatting sqref="AC16">
    <cfRule type="cellIs" dxfId="13263" priority="6099" operator="greaterThan">
      <formula>0.9</formula>
    </cfRule>
    <cfRule type="cellIs" dxfId="13262" priority="6100" operator="greaterThan">
      <formula>0.85</formula>
    </cfRule>
  </conditionalFormatting>
  <conditionalFormatting sqref="N16">
    <cfRule type="cellIs" dxfId="13261" priority="6097" operator="greaterThan">
      <formula>0.9</formula>
    </cfRule>
    <cfRule type="cellIs" dxfId="13260" priority="6098" operator="greaterThan">
      <formula>0.85</formula>
    </cfRule>
  </conditionalFormatting>
  <conditionalFormatting sqref="E16">
    <cfRule type="expression" dxfId="13259" priority="6093">
      <formula>AND(IF(OR($Q16=1,$Q16=2),1,0),IF($X16&lt;=20,1,0))</formula>
    </cfRule>
    <cfRule type="expression" dxfId="13258" priority="6094">
      <formula>AND(IF($Q16=2,1,0),IF($X16&lt;30,1,0))</formula>
    </cfRule>
    <cfRule type="expression" dxfId="13257" priority="6095">
      <formula>AND(IF($Q16=3,1,0),IF($X16&lt;30,1,0))</formula>
    </cfRule>
    <cfRule type="expression" dxfId="13256" priority="6096">
      <formula>AND(IF($Q16=3,1,IF($Q16=4,1,0)),IF($F16&lt;=85,1,0))</formula>
    </cfRule>
  </conditionalFormatting>
  <conditionalFormatting sqref="X16">
    <cfRule type="expression" dxfId="13255" priority="6089">
      <formula>AND(IF(OR($Q16=1,$Q16=2),1,0),IF($X16&lt;=20,1,0))</formula>
    </cfRule>
    <cfRule type="expression" dxfId="13254" priority="6090">
      <formula>AND(IF($Q16=2,1,0),IF($X16&lt;30,1,0))</formula>
    </cfRule>
    <cfRule type="expression" dxfId="13253" priority="6091">
      <formula>AND(IF($Q16=3,1,0),IF($X16&lt;30,1,0))</formula>
    </cfRule>
    <cfRule type="expression" dxfId="13252" priority="6092">
      <formula>AND(IF($Q16=3,1,IF($Q16=4,1,0)),IF($F16&lt;=85,1,0))</formula>
    </cfRule>
  </conditionalFormatting>
  <conditionalFormatting sqref="AI16">
    <cfRule type="expression" dxfId="13251" priority="6085">
      <formula>AND(IF(OR($Q16=1,$Q16=2),1,0),IF($X16&lt;=20,1,0))</formula>
    </cfRule>
    <cfRule type="expression" dxfId="13250" priority="6086">
      <formula>AND(IF($Q16=2,1,0),IF($X16&lt;30,1,0))</formula>
    </cfRule>
    <cfRule type="expression" dxfId="13249" priority="6087">
      <formula>AND(IF($Q16=3,1,0),IF($X16&lt;30,1,0))</formula>
    </cfRule>
    <cfRule type="expression" dxfId="13248" priority="6088">
      <formula>AND(IF($Q16=3,1,IF($Q16=4,1,0)),IF($F16&lt;=85,1,0))</formula>
    </cfRule>
  </conditionalFormatting>
  <conditionalFormatting sqref="AV17">
    <cfRule type="expression" dxfId="13247" priority="6083">
      <formula>AV17="X"</formula>
    </cfRule>
    <cfRule type="expression" dxfId="13246" priority="6084">
      <formula>AV17="후보"</formula>
    </cfRule>
  </conditionalFormatting>
  <conditionalFormatting sqref="AC17">
    <cfRule type="cellIs" dxfId="13245" priority="6081" operator="greaterThan">
      <formula>0.9</formula>
    </cfRule>
    <cfRule type="cellIs" dxfId="13244" priority="6082" operator="greaterThan">
      <formula>0.85</formula>
    </cfRule>
  </conditionalFormatting>
  <conditionalFormatting sqref="N17">
    <cfRule type="cellIs" dxfId="13243" priority="6079" operator="greaterThan">
      <formula>0.9</formula>
    </cfRule>
    <cfRule type="cellIs" dxfId="13242" priority="6080" operator="greaterThan">
      <formula>0.85</formula>
    </cfRule>
  </conditionalFormatting>
  <conditionalFormatting sqref="E17">
    <cfRule type="expression" dxfId="13241" priority="6075">
      <formula>AND(IF(OR($Q17=1,$Q17=2),1,0),IF($X17&lt;=20,1,0))</formula>
    </cfRule>
    <cfRule type="expression" dxfId="13240" priority="6076">
      <formula>AND(IF($Q17=2,1,0),IF($X17&lt;30,1,0))</formula>
    </cfRule>
    <cfRule type="expression" dxfId="13239" priority="6077">
      <formula>AND(IF($Q17=3,1,0),IF($X17&lt;30,1,0))</formula>
    </cfRule>
    <cfRule type="expression" dxfId="13238" priority="6078">
      <formula>AND(IF($Q17=3,1,IF($Q17=4,1,0)),IF($F17&lt;=85,1,0))</formula>
    </cfRule>
  </conditionalFormatting>
  <conditionalFormatting sqref="X17">
    <cfRule type="expression" dxfId="13237" priority="6071">
      <formula>AND(IF(OR($Q17=1,$Q17=2),1,0),IF($X17&lt;=20,1,0))</formula>
    </cfRule>
    <cfRule type="expression" dxfId="13236" priority="6072">
      <formula>AND(IF($Q17=2,1,0),IF($X17&lt;30,1,0))</formula>
    </cfRule>
    <cfRule type="expression" dxfId="13235" priority="6073">
      <formula>AND(IF($Q17=3,1,0),IF($X17&lt;30,1,0))</formula>
    </cfRule>
    <cfRule type="expression" dxfId="13234" priority="6074">
      <formula>AND(IF($Q17=3,1,IF($Q17=4,1,0)),IF($F17&lt;=85,1,0))</formula>
    </cfRule>
  </conditionalFormatting>
  <conditionalFormatting sqref="AI17">
    <cfRule type="expression" dxfId="13233" priority="6067">
      <formula>AND(IF(OR($Q17=1,$Q17=2),1,0),IF($X17&lt;=20,1,0))</formula>
    </cfRule>
    <cfRule type="expression" dxfId="13232" priority="6068">
      <formula>AND(IF($Q17=2,1,0),IF($X17&lt;30,1,0))</formula>
    </cfRule>
    <cfRule type="expression" dxfId="13231" priority="6069">
      <formula>AND(IF($Q17=3,1,0),IF($X17&lt;30,1,0))</formula>
    </cfRule>
    <cfRule type="expression" dxfId="13230" priority="6070">
      <formula>AND(IF($Q17=3,1,IF($Q17=4,1,0)),IF($F17&lt;=85,1,0))</formula>
    </cfRule>
  </conditionalFormatting>
  <conditionalFormatting sqref="AV18">
    <cfRule type="expression" dxfId="13229" priority="6065">
      <formula>AV18="X"</formula>
    </cfRule>
    <cfRule type="expression" dxfId="13228" priority="6066">
      <formula>AV18="후보"</formula>
    </cfRule>
  </conditionalFormatting>
  <conditionalFormatting sqref="AC18">
    <cfRule type="cellIs" dxfId="13227" priority="6063" operator="greaterThan">
      <formula>0.9</formula>
    </cfRule>
    <cfRule type="cellIs" dxfId="13226" priority="6064" operator="greaterThan">
      <formula>0.85</formula>
    </cfRule>
  </conditionalFormatting>
  <conditionalFormatting sqref="N18">
    <cfRule type="cellIs" dxfId="13225" priority="6061" operator="greaterThan">
      <formula>0.9</formula>
    </cfRule>
    <cfRule type="cellIs" dxfId="13224" priority="6062" operator="greaterThan">
      <formula>0.85</formula>
    </cfRule>
  </conditionalFormatting>
  <conditionalFormatting sqref="E18">
    <cfRule type="expression" dxfId="13223" priority="6057">
      <formula>AND(IF(OR($Q18=1,$Q18=2),1,0),IF($X18&lt;=20,1,0))</formula>
    </cfRule>
    <cfRule type="expression" dxfId="13222" priority="6058">
      <formula>AND(IF($Q18=2,1,0),IF($X18&lt;30,1,0))</formula>
    </cfRule>
    <cfRule type="expression" dxfId="13221" priority="6059">
      <formula>AND(IF($Q18=3,1,0),IF($X18&lt;30,1,0))</formula>
    </cfRule>
    <cfRule type="expression" dxfId="13220" priority="6060">
      <formula>AND(IF($Q18=3,1,IF($Q18=4,1,0)),IF($F18&lt;=85,1,0))</formula>
    </cfRule>
  </conditionalFormatting>
  <conditionalFormatting sqref="X18">
    <cfRule type="expression" dxfId="13219" priority="6053">
      <formula>AND(IF(OR($Q18=1,$Q18=2),1,0),IF($X18&lt;=20,1,0))</formula>
    </cfRule>
    <cfRule type="expression" dxfId="13218" priority="6054">
      <formula>AND(IF($Q18=2,1,0),IF($X18&lt;30,1,0))</formula>
    </cfRule>
    <cfRule type="expression" dxfId="13217" priority="6055">
      <formula>AND(IF($Q18=3,1,0),IF($X18&lt;30,1,0))</formula>
    </cfRule>
    <cfRule type="expression" dxfId="13216" priority="6056">
      <formula>AND(IF($Q18=3,1,IF($Q18=4,1,0)),IF($F18&lt;=85,1,0))</formula>
    </cfRule>
  </conditionalFormatting>
  <conditionalFormatting sqref="AI18">
    <cfRule type="expression" dxfId="13215" priority="6049">
      <formula>AND(IF(OR($Q18=1,$Q18=2),1,0),IF($X18&lt;=20,1,0))</formula>
    </cfRule>
    <cfRule type="expression" dxfId="13214" priority="6050">
      <formula>AND(IF($Q18=2,1,0),IF($X18&lt;30,1,0))</formula>
    </cfRule>
    <cfRule type="expression" dxfId="13213" priority="6051">
      <formula>AND(IF($Q18=3,1,0),IF($X18&lt;30,1,0))</formula>
    </cfRule>
    <cfRule type="expression" dxfId="13212" priority="6052">
      <formula>AND(IF($Q18=3,1,IF($Q18=4,1,0)),IF($F18&lt;=85,1,0))</formula>
    </cfRule>
  </conditionalFormatting>
  <conditionalFormatting sqref="AV19">
    <cfRule type="expression" dxfId="13211" priority="6047">
      <formula>AV19="X"</formula>
    </cfRule>
    <cfRule type="expression" dxfId="13210" priority="6048">
      <formula>AV19="후보"</formula>
    </cfRule>
  </conditionalFormatting>
  <conditionalFormatting sqref="AC19">
    <cfRule type="cellIs" dxfId="13209" priority="6045" operator="greaterThan">
      <formula>0.9</formula>
    </cfRule>
    <cfRule type="cellIs" dxfId="13208" priority="6046" operator="greaterThan">
      <formula>0.85</formula>
    </cfRule>
  </conditionalFormatting>
  <conditionalFormatting sqref="N19">
    <cfRule type="cellIs" dxfId="13207" priority="6043" operator="greaterThan">
      <formula>0.9</formula>
    </cfRule>
    <cfRule type="cellIs" dxfId="13206" priority="6044" operator="greaterThan">
      <formula>0.85</formula>
    </cfRule>
  </conditionalFormatting>
  <conditionalFormatting sqref="E19">
    <cfRule type="expression" dxfId="13205" priority="6039">
      <formula>AND(IF(OR($Q19=1,$Q19=2),1,0),IF($X19&lt;=20,1,0))</formula>
    </cfRule>
    <cfRule type="expression" dxfId="13204" priority="6040">
      <formula>AND(IF($Q19=2,1,0),IF($X19&lt;30,1,0))</formula>
    </cfRule>
    <cfRule type="expression" dxfId="13203" priority="6041">
      <formula>AND(IF($Q19=3,1,0),IF($X19&lt;30,1,0))</formula>
    </cfRule>
    <cfRule type="expression" dxfId="13202" priority="6042">
      <formula>AND(IF($Q19=3,1,IF($Q19=4,1,0)),IF($F19&lt;=85,1,0))</formula>
    </cfRule>
  </conditionalFormatting>
  <conditionalFormatting sqref="X19">
    <cfRule type="expression" dxfId="13201" priority="6035">
      <formula>AND(IF(OR($Q19=1,$Q19=2),1,0),IF($X19&lt;=20,1,0))</formula>
    </cfRule>
    <cfRule type="expression" dxfId="13200" priority="6036">
      <formula>AND(IF($Q19=2,1,0),IF($X19&lt;30,1,0))</formula>
    </cfRule>
    <cfRule type="expression" dxfId="13199" priority="6037">
      <formula>AND(IF($Q19=3,1,0),IF($X19&lt;30,1,0))</formula>
    </cfRule>
    <cfRule type="expression" dxfId="13198" priority="6038">
      <formula>AND(IF($Q19=3,1,IF($Q19=4,1,0)),IF($F19&lt;=85,1,0))</formula>
    </cfRule>
  </conditionalFormatting>
  <conditionalFormatting sqref="AI19">
    <cfRule type="expression" dxfId="13197" priority="6031">
      <formula>AND(IF(OR($Q19=1,$Q19=2),1,0),IF($X19&lt;=20,1,0))</formula>
    </cfRule>
    <cfRule type="expression" dxfId="13196" priority="6032">
      <formula>AND(IF($Q19=2,1,0),IF($X19&lt;30,1,0))</formula>
    </cfRule>
    <cfRule type="expression" dxfId="13195" priority="6033">
      <formula>AND(IF($Q19=3,1,0),IF($X19&lt;30,1,0))</formula>
    </cfRule>
    <cfRule type="expression" dxfId="13194" priority="6034">
      <formula>AND(IF($Q19=3,1,IF($Q19=4,1,0)),IF($F19&lt;=85,1,0))</formula>
    </cfRule>
  </conditionalFormatting>
  <conditionalFormatting sqref="AV20">
    <cfRule type="expression" dxfId="13193" priority="6029">
      <formula>AV20="X"</formula>
    </cfRule>
    <cfRule type="expression" dxfId="13192" priority="6030">
      <formula>AV20="후보"</formula>
    </cfRule>
  </conditionalFormatting>
  <conditionalFormatting sqref="AC20">
    <cfRule type="cellIs" dxfId="13191" priority="6027" operator="greaterThan">
      <formula>0.9</formula>
    </cfRule>
    <cfRule type="cellIs" dxfId="13190" priority="6028" operator="greaterThan">
      <formula>0.85</formula>
    </cfRule>
  </conditionalFormatting>
  <conditionalFormatting sqref="N20">
    <cfRule type="cellIs" dxfId="13189" priority="6025" operator="greaterThan">
      <formula>0.9</formula>
    </cfRule>
    <cfRule type="cellIs" dxfId="13188" priority="6026" operator="greaterThan">
      <formula>0.85</formula>
    </cfRule>
  </conditionalFormatting>
  <conditionalFormatting sqref="E20">
    <cfRule type="expression" dxfId="13187" priority="6021">
      <formula>AND(IF(OR($Q20=1,$Q20=2),1,0),IF($X20&lt;=20,1,0))</formula>
    </cfRule>
    <cfRule type="expression" dxfId="13186" priority="6022">
      <formula>AND(IF($Q20=2,1,0),IF($X20&lt;30,1,0))</formula>
    </cfRule>
    <cfRule type="expression" dxfId="13185" priority="6023">
      <formula>AND(IF($Q20=3,1,0),IF($X20&lt;30,1,0))</formula>
    </cfRule>
    <cfRule type="expression" dxfId="13184" priority="6024">
      <formula>AND(IF($Q20=3,1,IF($Q20=4,1,0)),IF($F20&lt;=85,1,0))</formula>
    </cfRule>
  </conditionalFormatting>
  <conditionalFormatting sqref="X20">
    <cfRule type="expression" dxfId="13183" priority="6017">
      <formula>AND(IF(OR($Q20=1,$Q20=2),1,0),IF($X20&lt;=20,1,0))</formula>
    </cfRule>
    <cfRule type="expression" dxfId="13182" priority="6018">
      <formula>AND(IF($Q20=2,1,0),IF($X20&lt;30,1,0))</formula>
    </cfRule>
    <cfRule type="expression" dxfId="13181" priority="6019">
      <formula>AND(IF($Q20=3,1,0),IF($X20&lt;30,1,0))</formula>
    </cfRule>
    <cfRule type="expression" dxfId="13180" priority="6020">
      <formula>AND(IF($Q20=3,1,IF($Q20=4,1,0)),IF($F20&lt;=85,1,0))</formula>
    </cfRule>
  </conditionalFormatting>
  <conditionalFormatting sqref="AI20">
    <cfRule type="expression" dxfId="13179" priority="6013">
      <formula>AND(IF(OR($Q20=1,$Q20=2),1,0),IF($X20&lt;=20,1,0))</formula>
    </cfRule>
    <cfRule type="expression" dxfId="13178" priority="6014">
      <formula>AND(IF($Q20=2,1,0),IF($X20&lt;30,1,0))</formula>
    </cfRule>
    <cfRule type="expression" dxfId="13177" priority="6015">
      <formula>AND(IF($Q20=3,1,0),IF($X20&lt;30,1,0))</formula>
    </cfRule>
    <cfRule type="expression" dxfId="13176" priority="6016">
      <formula>AND(IF($Q20=3,1,IF($Q20=4,1,0)),IF($F20&lt;=85,1,0))</formula>
    </cfRule>
  </conditionalFormatting>
  <conditionalFormatting sqref="AV21">
    <cfRule type="expression" dxfId="13175" priority="6011">
      <formula>AV21="X"</formula>
    </cfRule>
    <cfRule type="expression" dxfId="13174" priority="6012">
      <formula>AV21="후보"</formula>
    </cfRule>
  </conditionalFormatting>
  <conditionalFormatting sqref="AC21">
    <cfRule type="cellIs" dxfId="13173" priority="6009" operator="greaterThan">
      <formula>0.9</formula>
    </cfRule>
    <cfRule type="cellIs" dxfId="13172" priority="6010" operator="greaterThan">
      <formula>0.85</formula>
    </cfRule>
  </conditionalFormatting>
  <conditionalFormatting sqref="N21">
    <cfRule type="cellIs" dxfId="13171" priority="6007" operator="greaterThan">
      <formula>0.9</formula>
    </cfRule>
    <cfRule type="cellIs" dxfId="13170" priority="6008" operator="greaterThan">
      <formula>0.85</formula>
    </cfRule>
  </conditionalFormatting>
  <conditionalFormatting sqref="E21">
    <cfRule type="expression" dxfId="13169" priority="6003">
      <formula>AND(IF(OR($Q21=1,$Q21=2),1,0),IF($X21&lt;=20,1,0))</formula>
    </cfRule>
    <cfRule type="expression" dxfId="13168" priority="6004">
      <formula>AND(IF($Q21=2,1,0),IF($X21&lt;30,1,0))</formula>
    </cfRule>
    <cfRule type="expression" dxfId="13167" priority="6005">
      <formula>AND(IF($Q21=3,1,0),IF($X21&lt;30,1,0))</formula>
    </cfRule>
    <cfRule type="expression" dxfId="13166" priority="6006">
      <formula>AND(IF($Q21=3,1,IF($Q21=4,1,0)),IF($F21&lt;=85,1,0))</formula>
    </cfRule>
  </conditionalFormatting>
  <conditionalFormatting sqref="X21">
    <cfRule type="expression" dxfId="13165" priority="5999">
      <formula>AND(IF(OR($Q21=1,$Q21=2),1,0),IF($X21&lt;=20,1,0))</formula>
    </cfRule>
    <cfRule type="expression" dxfId="13164" priority="6000">
      <formula>AND(IF($Q21=2,1,0),IF($X21&lt;30,1,0))</formula>
    </cfRule>
    <cfRule type="expression" dxfId="13163" priority="6001">
      <formula>AND(IF($Q21=3,1,0),IF($X21&lt;30,1,0))</formula>
    </cfRule>
    <cfRule type="expression" dxfId="13162" priority="6002">
      <formula>AND(IF($Q21=3,1,IF($Q21=4,1,0)),IF($F21&lt;=85,1,0))</formula>
    </cfRule>
  </conditionalFormatting>
  <conditionalFormatting sqref="AI21">
    <cfRule type="expression" dxfId="13161" priority="5995">
      <formula>AND(IF(OR($Q21=1,$Q21=2),1,0),IF($X21&lt;=20,1,0))</formula>
    </cfRule>
    <cfRule type="expression" dxfId="13160" priority="5996">
      <formula>AND(IF($Q21=2,1,0),IF($X21&lt;30,1,0))</formula>
    </cfRule>
    <cfRule type="expression" dxfId="13159" priority="5997">
      <formula>AND(IF($Q21=3,1,0),IF($X21&lt;30,1,0))</formula>
    </cfRule>
    <cfRule type="expression" dxfId="13158" priority="5998">
      <formula>AND(IF($Q21=3,1,IF($Q21=4,1,0)),IF($F21&lt;=85,1,0))</formula>
    </cfRule>
  </conditionalFormatting>
  <conditionalFormatting sqref="AV22">
    <cfRule type="expression" dxfId="13157" priority="5993">
      <formula>AV22="X"</formula>
    </cfRule>
    <cfRule type="expression" dxfId="13156" priority="5994">
      <formula>AV22="후보"</formula>
    </cfRule>
  </conditionalFormatting>
  <conditionalFormatting sqref="AC22">
    <cfRule type="cellIs" dxfId="13155" priority="5991" operator="greaterThan">
      <formula>0.9</formula>
    </cfRule>
    <cfRule type="cellIs" dxfId="13154" priority="5992" operator="greaterThan">
      <formula>0.85</formula>
    </cfRule>
  </conditionalFormatting>
  <conditionalFormatting sqref="N22">
    <cfRule type="cellIs" dxfId="13153" priority="5989" operator="greaterThan">
      <formula>0.9</formula>
    </cfRule>
    <cfRule type="cellIs" dxfId="13152" priority="5990" operator="greaterThan">
      <formula>0.85</formula>
    </cfRule>
  </conditionalFormatting>
  <conditionalFormatting sqref="E22">
    <cfRule type="expression" dxfId="13151" priority="5985">
      <formula>AND(IF(OR($Q22=1,$Q22=2),1,0),IF($X22&lt;=20,1,0))</formula>
    </cfRule>
    <cfRule type="expression" dxfId="13150" priority="5986">
      <formula>AND(IF($Q22=2,1,0),IF($X22&lt;30,1,0))</formula>
    </cfRule>
    <cfRule type="expression" dxfId="13149" priority="5987">
      <formula>AND(IF($Q22=3,1,0),IF($X22&lt;30,1,0))</formula>
    </cfRule>
    <cfRule type="expression" dxfId="13148" priority="5988">
      <formula>AND(IF($Q22=3,1,IF($Q22=4,1,0)),IF($F22&lt;=85,1,0))</formula>
    </cfRule>
  </conditionalFormatting>
  <conditionalFormatting sqref="X22">
    <cfRule type="expression" dxfId="13147" priority="5981">
      <formula>AND(IF(OR($Q22=1,$Q22=2),1,0),IF($X22&lt;=20,1,0))</formula>
    </cfRule>
    <cfRule type="expression" dxfId="13146" priority="5982">
      <formula>AND(IF($Q22=2,1,0),IF($X22&lt;30,1,0))</formula>
    </cfRule>
    <cfRule type="expression" dxfId="13145" priority="5983">
      <formula>AND(IF($Q22=3,1,0),IF($X22&lt;30,1,0))</formula>
    </cfRule>
    <cfRule type="expression" dxfId="13144" priority="5984">
      <formula>AND(IF($Q22=3,1,IF($Q22=4,1,0)),IF($F22&lt;=85,1,0))</formula>
    </cfRule>
  </conditionalFormatting>
  <conditionalFormatting sqref="AI22">
    <cfRule type="expression" dxfId="13143" priority="5977">
      <formula>AND(IF(OR($Q22=1,$Q22=2),1,0),IF($X22&lt;=20,1,0))</formula>
    </cfRule>
    <cfRule type="expression" dxfId="13142" priority="5978">
      <formula>AND(IF($Q22=2,1,0),IF($X22&lt;30,1,0))</formula>
    </cfRule>
    <cfRule type="expression" dxfId="13141" priority="5979">
      <formula>AND(IF($Q22=3,1,0),IF($X22&lt;30,1,0))</formula>
    </cfRule>
    <cfRule type="expression" dxfId="13140" priority="5980">
      <formula>AND(IF($Q22=3,1,IF($Q22=4,1,0)),IF($F22&lt;=85,1,0))</formula>
    </cfRule>
  </conditionalFormatting>
  <conditionalFormatting sqref="AV23">
    <cfRule type="expression" dxfId="13139" priority="5975">
      <formula>AV23="X"</formula>
    </cfRule>
    <cfRule type="expression" dxfId="13138" priority="5976">
      <formula>AV23="후보"</formula>
    </cfRule>
  </conditionalFormatting>
  <conditionalFormatting sqref="AC23">
    <cfRule type="cellIs" dxfId="13137" priority="5973" operator="greaterThan">
      <formula>0.9</formula>
    </cfRule>
    <cfRule type="cellIs" dxfId="13136" priority="5974" operator="greaterThan">
      <formula>0.85</formula>
    </cfRule>
  </conditionalFormatting>
  <conditionalFormatting sqref="N23">
    <cfRule type="cellIs" dxfId="13135" priority="5971" operator="greaterThan">
      <formula>0.9</formula>
    </cfRule>
    <cfRule type="cellIs" dxfId="13134" priority="5972" operator="greaterThan">
      <formula>0.85</formula>
    </cfRule>
  </conditionalFormatting>
  <conditionalFormatting sqref="E23">
    <cfRule type="expression" dxfId="13133" priority="5967">
      <formula>AND(IF(OR($Q23=1,$Q23=2),1,0),IF($X23&lt;=20,1,0))</formula>
    </cfRule>
    <cfRule type="expression" dxfId="13132" priority="5968">
      <formula>AND(IF($Q23=2,1,0),IF($X23&lt;30,1,0))</formula>
    </cfRule>
    <cfRule type="expression" dxfId="13131" priority="5969">
      <formula>AND(IF($Q23=3,1,0),IF($X23&lt;30,1,0))</formula>
    </cfRule>
    <cfRule type="expression" dxfId="13130" priority="5970">
      <formula>AND(IF($Q23=3,1,IF($Q23=4,1,0)),IF($F23&lt;=85,1,0))</formula>
    </cfRule>
  </conditionalFormatting>
  <conditionalFormatting sqref="X23">
    <cfRule type="expression" dxfId="13129" priority="5963">
      <formula>AND(IF(OR($Q23=1,$Q23=2),1,0),IF($X23&lt;=20,1,0))</formula>
    </cfRule>
    <cfRule type="expression" dxfId="13128" priority="5964">
      <formula>AND(IF($Q23=2,1,0),IF($X23&lt;30,1,0))</formula>
    </cfRule>
    <cfRule type="expression" dxfId="13127" priority="5965">
      <formula>AND(IF($Q23=3,1,0),IF($X23&lt;30,1,0))</formula>
    </cfRule>
    <cfRule type="expression" dxfId="13126" priority="5966">
      <formula>AND(IF($Q23=3,1,IF($Q23=4,1,0)),IF($F23&lt;=85,1,0))</formula>
    </cfRule>
  </conditionalFormatting>
  <conditionalFormatting sqref="AI23">
    <cfRule type="expression" dxfId="13125" priority="5959">
      <formula>AND(IF(OR($Q23=1,$Q23=2),1,0),IF($X23&lt;=20,1,0))</formula>
    </cfRule>
    <cfRule type="expression" dxfId="13124" priority="5960">
      <formula>AND(IF($Q23=2,1,0),IF($X23&lt;30,1,0))</formula>
    </cfRule>
    <cfRule type="expression" dxfId="13123" priority="5961">
      <formula>AND(IF($Q23=3,1,0),IF($X23&lt;30,1,0))</formula>
    </cfRule>
    <cfRule type="expression" dxfId="13122" priority="5962">
      <formula>AND(IF($Q23=3,1,IF($Q23=4,1,0)),IF($F23&lt;=85,1,0))</formula>
    </cfRule>
  </conditionalFormatting>
  <conditionalFormatting sqref="AV24">
    <cfRule type="expression" dxfId="13121" priority="5957">
      <formula>AV24="X"</formula>
    </cfRule>
    <cfRule type="expression" dxfId="13120" priority="5958">
      <formula>AV24="후보"</formula>
    </cfRule>
  </conditionalFormatting>
  <conditionalFormatting sqref="AC24">
    <cfRule type="cellIs" dxfId="13119" priority="5955" operator="greaterThan">
      <formula>0.9</formula>
    </cfRule>
    <cfRule type="cellIs" dxfId="13118" priority="5956" operator="greaterThan">
      <formula>0.85</formula>
    </cfRule>
  </conditionalFormatting>
  <conditionalFormatting sqref="N24">
    <cfRule type="cellIs" dxfId="13117" priority="5953" operator="greaterThan">
      <formula>0.9</formula>
    </cfRule>
    <cfRule type="cellIs" dxfId="13116" priority="5954" operator="greaterThan">
      <formula>0.85</formula>
    </cfRule>
  </conditionalFormatting>
  <conditionalFormatting sqref="E24">
    <cfRule type="expression" dxfId="13115" priority="5949">
      <formula>AND(IF(OR($Q24=1,$Q24=2),1,0),IF($X24&lt;=20,1,0))</formula>
    </cfRule>
    <cfRule type="expression" dxfId="13114" priority="5950">
      <formula>AND(IF($Q24=2,1,0),IF($X24&lt;30,1,0))</formula>
    </cfRule>
    <cfRule type="expression" dxfId="13113" priority="5951">
      <formula>AND(IF($Q24=3,1,0),IF($X24&lt;30,1,0))</formula>
    </cfRule>
    <cfRule type="expression" dxfId="13112" priority="5952">
      <formula>AND(IF($Q24=3,1,IF($Q24=4,1,0)),IF($F24&lt;=85,1,0))</formula>
    </cfRule>
  </conditionalFormatting>
  <conditionalFormatting sqref="X24">
    <cfRule type="expression" dxfId="13111" priority="5945">
      <formula>AND(IF(OR($Q24=1,$Q24=2),1,0),IF($X24&lt;=20,1,0))</formula>
    </cfRule>
    <cfRule type="expression" dxfId="13110" priority="5946">
      <formula>AND(IF($Q24=2,1,0),IF($X24&lt;30,1,0))</formula>
    </cfRule>
    <cfRule type="expression" dxfId="13109" priority="5947">
      <formula>AND(IF($Q24=3,1,0),IF($X24&lt;30,1,0))</formula>
    </cfRule>
    <cfRule type="expression" dxfId="13108" priority="5948">
      <formula>AND(IF($Q24=3,1,IF($Q24=4,1,0)),IF($F24&lt;=85,1,0))</formula>
    </cfRule>
  </conditionalFormatting>
  <conditionalFormatting sqref="AI24">
    <cfRule type="expression" dxfId="13107" priority="5941">
      <formula>AND(IF(OR($Q24=1,$Q24=2),1,0),IF($X24&lt;=20,1,0))</formula>
    </cfRule>
    <cfRule type="expression" dxfId="13106" priority="5942">
      <formula>AND(IF($Q24=2,1,0),IF($X24&lt;30,1,0))</formula>
    </cfRule>
    <cfRule type="expression" dxfId="13105" priority="5943">
      <formula>AND(IF($Q24=3,1,0),IF($X24&lt;30,1,0))</formula>
    </cfRule>
    <cfRule type="expression" dxfId="13104" priority="5944">
      <formula>AND(IF($Q24=3,1,IF($Q24=4,1,0)),IF($F24&lt;=85,1,0))</formula>
    </cfRule>
  </conditionalFormatting>
  <conditionalFormatting sqref="AV25">
    <cfRule type="expression" dxfId="13103" priority="5939">
      <formula>AV25="X"</formula>
    </cfRule>
    <cfRule type="expression" dxfId="13102" priority="5940">
      <formula>AV25="후보"</formula>
    </cfRule>
  </conditionalFormatting>
  <conditionalFormatting sqref="AC25">
    <cfRule type="cellIs" dxfId="13101" priority="5937" operator="greaterThan">
      <formula>0.9</formula>
    </cfRule>
    <cfRule type="cellIs" dxfId="13100" priority="5938" operator="greaterThan">
      <formula>0.85</formula>
    </cfRule>
  </conditionalFormatting>
  <conditionalFormatting sqref="N25">
    <cfRule type="cellIs" dxfId="13099" priority="5935" operator="greaterThan">
      <formula>0.9</formula>
    </cfRule>
    <cfRule type="cellIs" dxfId="13098" priority="5936" operator="greaterThan">
      <formula>0.85</formula>
    </cfRule>
  </conditionalFormatting>
  <conditionalFormatting sqref="E25">
    <cfRule type="expression" dxfId="13097" priority="5931">
      <formula>AND(IF(OR($Q25=1,$Q25=2),1,0),IF($X25&lt;=20,1,0))</formula>
    </cfRule>
    <cfRule type="expression" dxfId="13096" priority="5932">
      <formula>AND(IF($Q25=2,1,0),IF($X25&lt;30,1,0))</formula>
    </cfRule>
    <cfRule type="expression" dxfId="13095" priority="5933">
      <formula>AND(IF($Q25=3,1,0),IF($X25&lt;30,1,0))</formula>
    </cfRule>
    <cfRule type="expression" dxfId="13094" priority="5934">
      <formula>AND(IF($Q25=3,1,IF($Q25=4,1,0)),IF($F25&lt;=85,1,0))</formula>
    </cfRule>
  </conditionalFormatting>
  <conditionalFormatting sqref="X25">
    <cfRule type="expression" dxfId="13093" priority="5927">
      <formula>AND(IF(OR($Q25=1,$Q25=2),1,0),IF($X25&lt;=20,1,0))</formula>
    </cfRule>
    <cfRule type="expression" dxfId="13092" priority="5928">
      <formula>AND(IF($Q25=2,1,0),IF($X25&lt;30,1,0))</formula>
    </cfRule>
    <cfRule type="expression" dxfId="13091" priority="5929">
      <formula>AND(IF($Q25=3,1,0),IF($X25&lt;30,1,0))</formula>
    </cfRule>
    <cfRule type="expression" dxfId="13090" priority="5930">
      <formula>AND(IF($Q25=3,1,IF($Q25=4,1,0)),IF($F25&lt;=85,1,0))</formula>
    </cfRule>
  </conditionalFormatting>
  <conditionalFormatting sqref="AI25">
    <cfRule type="expression" dxfId="13089" priority="5923">
      <formula>AND(IF(OR($Q25=1,$Q25=2),1,0),IF($X25&lt;=20,1,0))</formula>
    </cfRule>
    <cfRule type="expression" dxfId="13088" priority="5924">
      <formula>AND(IF($Q25=2,1,0),IF($X25&lt;30,1,0))</formula>
    </cfRule>
    <cfRule type="expression" dxfId="13087" priority="5925">
      <formula>AND(IF($Q25=3,1,0),IF($X25&lt;30,1,0))</formula>
    </cfRule>
    <cfRule type="expression" dxfId="13086" priority="5926">
      <formula>AND(IF($Q25=3,1,IF($Q25=4,1,0)),IF($F25&lt;=85,1,0))</formula>
    </cfRule>
  </conditionalFormatting>
  <conditionalFormatting sqref="AV26">
    <cfRule type="expression" dxfId="13085" priority="5921">
      <formula>AV26="X"</formula>
    </cfRule>
    <cfRule type="expression" dxfId="13084" priority="5922">
      <formula>AV26="후보"</formula>
    </cfRule>
  </conditionalFormatting>
  <conditionalFormatting sqref="AC26">
    <cfRule type="cellIs" dxfId="13083" priority="5919" operator="greaterThan">
      <formula>0.9</formula>
    </cfRule>
    <cfRule type="cellIs" dxfId="13082" priority="5920" operator="greaterThan">
      <formula>0.85</formula>
    </cfRule>
  </conditionalFormatting>
  <conditionalFormatting sqref="N26">
    <cfRule type="cellIs" dxfId="13081" priority="5917" operator="greaterThan">
      <formula>0.9</formula>
    </cfRule>
    <cfRule type="cellIs" dxfId="13080" priority="5918" operator="greaterThan">
      <formula>0.85</formula>
    </cfRule>
  </conditionalFormatting>
  <conditionalFormatting sqref="E26">
    <cfRule type="expression" dxfId="13079" priority="5913">
      <formula>AND(IF(OR($Q26=1,$Q26=2),1,0),IF($X26&lt;=20,1,0))</formula>
    </cfRule>
    <cfRule type="expression" dxfId="13078" priority="5914">
      <formula>AND(IF($Q26=2,1,0),IF($X26&lt;30,1,0))</formula>
    </cfRule>
    <cfRule type="expression" dxfId="13077" priority="5915">
      <formula>AND(IF($Q26=3,1,0),IF($X26&lt;30,1,0))</formula>
    </cfRule>
    <cfRule type="expression" dxfId="13076" priority="5916">
      <formula>AND(IF($Q26=3,1,IF($Q26=4,1,0)),IF($F26&lt;=85,1,0))</formula>
    </cfRule>
  </conditionalFormatting>
  <conditionalFormatting sqref="X26">
    <cfRule type="expression" dxfId="13075" priority="5909">
      <formula>AND(IF(OR($Q26=1,$Q26=2),1,0),IF($X26&lt;=20,1,0))</formula>
    </cfRule>
    <cfRule type="expression" dxfId="13074" priority="5910">
      <formula>AND(IF($Q26=2,1,0),IF($X26&lt;30,1,0))</formula>
    </cfRule>
    <cfRule type="expression" dxfId="13073" priority="5911">
      <formula>AND(IF($Q26=3,1,0),IF($X26&lt;30,1,0))</formula>
    </cfRule>
    <cfRule type="expression" dxfId="13072" priority="5912">
      <formula>AND(IF($Q26=3,1,IF($Q26=4,1,0)),IF($F26&lt;=85,1,0))</formula>
    </cfRule>
  </conditionalFormatting>
  <conditionalFormatting sqref="AI26">
    <cfRule type="expression" dxfId="13071" priority="5905">
      <formula>AND(IF(OR($Q26=1,$Q26=2),1,0),IF($X26&lt;=20,1,0))</formula>
    </cfRule>
    <cfRule type="expression" dxfId="13070" priority="5906">
      <formula>AND(IF($Q26=2,1,0),IF($X26&lt;30,1,0))</formula>
    </cfRule>
    <cfRule type="expression" dxfId="13069" priority="5907">
      <formula>AND(IF($Q26=3,1,0),IF($X26&lt;30,1,0))</formula>
    </cfRule>
    <cfRule type="expression" dxfId="13068" priority="5908">
      <formula>AND(IF($Q26=3,1,IF($Q26=4,1,0)),IF($F26&lt;=85,1,0))</formula>
    </cfRule>
  </conditionalFormatting>
  <conditionalFormatting sqref="AV27">
    <cfRule type="expression" dxfId="13067" priority="5903">
      <formula>AV27="X"</formula>
    </cfRule>
    <cfRule type="expression" dxfId="13066" priority="5904">
      <formula>AV27="후보"</formula>
    </cfRule>
  </conditionalFormatting>
  <conditionalFormatting sqref="AC27">
    <cfRule type="cellIs" dxfId="13065" priority="5901" operator="greaterThan">
      <formula>0.9</formula>
    </cfRule>
    <cfRule type="cellIs" dxfId="13064" priority="5902" operator="greaterThan">
      <formula>0.85</formula>
    </cfRule>
  </conditionalFormatting>
  <conditionalFormatting sqref="N27">
    <cfRule type="cellIs" dxfId="13063" priority="5899" operator="greaterThan">
      <formula>0.9</formula>
    </cfRule>
    <cfRule type="cellIs" dxfId="13062" priority="5900" operator="greaterThan">
      <formula>0.85</formula>
    </cfRule>
  </conditionalFormatting>
  <conditionalFormatting sqref="E27">
    <cfRule type="expression" dxfId="13061" priority="5895">
      <formula>AND(IF(OR($Q27=1,$Q27=2),1,0),IF($X27&lt;=20,1,0))</formula>
    </cfRule>
    <cfRule type="expression" dxfId="13060" priority="5896">
      <formula>AND(IF($Q27=2,1,0),IF($X27&lt;30,1,0))</formula>
    </cfRule>
    <cfRule type="expression" dxfId="13059" priority="5897">
      <formula>AND(IF($Q27=3,1,0),IF($X27&lt;30,1,0))</formula>
    </cfRule>
    <cfRule type="expression" dxfId="13058" priority="5898">
      <formula>AND(IF($Q27=3,1,IF($Q27=4,1,0)),IF($F27&lt;=85,1,0))</formula>
    </cfRule>
  </conditionalFormatting>
  <conditionalFormatting sqref="X27">
    <cfRule type="expression" dxfId="13057" priority="5891">
      <formula>AND(IF(OR($Q27=1,$Q27=2),1,0),IF($X27&lt;=20,1,0))</formula>
    </cfRule>
    <cfRule type="expression" dxfId="13056" priority="5892">
      <formula>AND(IF($Q27=2,1,0),IF($X27&lt;30,1,0))</formula>
    </cfRule>
    <cfRule type="expression" dxfId="13055" priority="5893">
      <formula>AND(IF($Q27=3,1,0),IF($X27&lt;30,1,0))</formula>
    </cfRule>
    <cfRule type="expression" dxfId="13054" priority="5894">
      <formula>AND(IF($Q27=3,1,IF($Q27=4,1,0)),IF($F27&lt;=85,1,0))</formula>
    </cfRule>
  </conditionalFormatting>
  <conditionalFormatting sqref="AI27">
    <cfRule type="expression" dxfId="13053" priority="5887">
      <formula>AND(IF(OR($Q27=1,$Q27=2),1,0),IF($X27&lt;=20,1,0))</formula>
    </cfRule>
    <cfRule type="expression" dxfId="13052" priority="5888">
      <formula>AND(IF($Q27=2,1,0),IF($X27&lt;30,1,0))</formula>
    </cfRule>
    <cfRule type="expression" dxfId="13051" priority="5889">
      <formula>AND(IF($Q27=3,1,0),IF($X27&lt;30,1,0))</formula>
    </cfRule>
    <cfRule type="expression" dxfId="13050" priority="5890">
      <formula>AND(IF($Q27=3,1,IF($Q27=4,1,0)),IF($F27&lt;=85,1,0))</formula>
    </cfRule>
  </conditionalFormatting>
  <conditionalFormatting sqref="AV28">
    <cfRule type="expression" dxfId="13049" priority="5885">
      <formula>AV28="X"</formula>
    </cfRule>
    <cfRule type="expression" dxfId="13048" priority="5886">
      <formula>AV28="후보"</formula>
    </cfRule>
  </conditionalFormatting>
  <conditionalFormatting sqref="AC28">
    <cfRule type="cellIs" dxfId="13047" priority="5883" operator="greaterThan">
      <formula>0.9</formula>
    </cfRule>
    <cfRule type="cellIs" dxfId="13046" priority="5884" operator="greaterThan">
      <formula>0.85</formula>
    </cfRule>
  </conditionalFormatting>
  <conditionalFormatting sqref="N28">
    <cfRule type="cellIs" dxfId="13045" priority="5881" operator="greaterThan">
      <formula>0.9</formula>
    </cfRule>
    <cfRule type="cellIs" dxfId="13044" priority="5882" operator="greaterThan">
      <formula>0.85</formula>
    </cfRule>
  </conditionalFormatting>
  <conditionalFormatting sqref="E28">
    <cfRule type="expression" dxfId="13043" priority="5877">
      <formula>AND(IF(OR($Q28=1,$Q28=2),1,0),IF($X28&lt;=20,1,0))</formula>
    </cfRule>
    <cfRule type="expression" dxfId="13042" priority="5878">
      <formula>AND(IF($Q28=2,1,0),IF($X28&lt;30,1,0))</formula>
    </cfRule>
    <cfRule type="expression" dxfId="13041" priority="5879">
      <formula>AND(IF($Q28=3,1,0),IF($X28&lt;30,1,0))</formula>
    </cfRule>
    <cfRule type="expression" dxfId="13040" priority="5880">
      <formula>AND(IF($Q28=3,1,IF($Q28=4,1,0)),IF($F28&lt;=85,1,0))</formula>
    </cfRule>
  </conditionalFormatting>
  <conditionalFormatting sqref="X28">
    <cfRule type="expression" dxfId="13039" priority="5873">
      <formula>AND(IF(OR($Q28=1,$Q28=2),1,0),IF($X28&lt;=20,1,0))</formula>
    </cfRule>
    <cfRule type="expression" dxfId="13038" priority="5874">
      <formula>AND(IF($Q28=2,1,0),IF($X28&lt;30,1,0))</formula>
    </cfRule>
    <cfRule type="expression" dxfId="13037" priority="5875">
      <formula>AND(IF($Q28=3,1,0),IF($X28&lt;30,1,0))</formula>
    </cfRule>
    <cfRule type="expression" dxfId="13036" priority="5876">
      <formula>AND(IF($Q28=3,1,IF($Q28=4,1,0)),IF($F28&lt;=85,1,0))</formula>
    </cfRule>
  </conditionalFormatting>
  <conditionalFormatting sqref="AI28">
    <cfRule type="expression" dxfId="13035" priority="5869">
      <formula>AND(IF(OR($Q28=1,$Q28=2),1,0),IF($X28&lt;=20,1,0))</formula>
    </cfRule>
    <cfRule type="expression" dxfId="13034" priority="5870">
      <formula>AND(IF($Q28=2,1,0),IF($X28&lt;30,1,0))</formula>
    </cfRule>
    <cfRule type="expression" dxfId="13033" priority="5871">
      <formula>AND(IF($Q28=3,1,0),IF($X28&lt;30,1,0))</formula>
    </cfRule>
    <cfRule type="expression" dxfId="13032" priority="5872">
      <formula>AND(IF($Q28=3,1,IF($Q28=4,1,0)),IF($F28&lt;=85,1,0))</formula>
    </cfRule>
  </conditionalFormatting>
  <conditionalFormatting sqref="AV29">
    <cfRule type="expression" dxfId="13031" priority="5867">
      <formula>AV29="X"</formula>
    </cfRule>
    <cfRule type="expression" dxfId="13030" priority="5868">
      <formula>AV29="후보"</formula>
    </cfRule>
  </conditionalFormatting>
  <conditionalFormatting sqref="AC29">
    <cfRule type="cellIs" dxfId="13029" priority="5865" operator="greaterThan">
      <formula>0.9</formula>
    </cfRule>
    <cfRule type="cellIs" dxfId="13028" priority="5866" operator="greaterThan">
      <formula>0.85</formula>
    </cfRule>
  </conditionalFormatting>
  <conditionalFormatting sqref="N29">
    <cfRule type="cellIs" dxfId="13027" priority="5863" operator="greaterThan">
      <formula>0.9</formula>
    </cfRule>
    <cfRule type="cellIs" dxfId="13026" priority="5864" operator="greaterThan">
      <formula>0.85</formula>
    </cfRule>
  </conditionalFormatting>
  <conditionalFormatting sqref="E29">
    <cfRule type="expression" dxfId="13025" priority="5859">
      <formula>AND(IF(OR($Q29=1,$Q29=2),1,0),IF($X29&lt;=20,1,0))</formula>
    </cfRule>
    <cfRule type="expression" dxfId="13024" priority="5860">
      <formula>AND(IF($Q29=2,1,0),IF($X29&lt;30,1,0))</formula>
    </cfRule>
    <cfRule type="expression" dxfId="13023" priority="5861">
      <formula>AND(IF($Q29=3,1,0),IF($X29&lt;30,1,0))</formula>
    </cfRule>
    <cfRule type="expression" dxfId="13022" priority="5862">
      <formula>AND(IF($Q29=3,1,IF($Q29=4,1,0)),IF($F29&lt;=85,1,0))</formula>
    </cfRule>
  </conditionalFormatting>
  <conditionalFormatting sqref="X29">
    <cfRule type="expression" dxfId="13021" priority="5855">
      <formula>AND(IF(OR($Q29=1,$Q29=2),1,0),IF($X29&lt;=20,1,0))</formula>
    </cfRule>
    <cfRule type="expression" dxfId="13020" priority="5856">
      <formula>AND(IF($Q29=2,1,0),IF($X29&lt;30,1,0))</formula>
    </cfRule>
    <cfRule type="expression" dxfId="13019" priority="5857">
      <formula>AND(IF($Q29=3,1,0),IF($X29&lt;30,1,0))</formula>
    </cfRule>
    <cfRule type="expression" dxfId="13018" priority="5858">
      <formula>AND(IF($Q29=3,1,IF($Q29=4,1,0)),IF($F29&lt;=85,1,0))</formula>
    </cfRule>
  </conditionalFormatting>
  <conditionalFormatting sqref="AI29">
    <cfRule type="expression" dxfId="13017" priority="5851">
      <formula>AND(IF(OR($Q29=1,$Q29=2),1,0),IF($X29&lt;=20,1,0))</formula>
    </cfRule>
    <cfRule type="expression" dxfId="13016" priority="5852">
      <formula>AND(IF($Q29=2,1,0),IF($X29&lt;30,1,0))</formula>
    </cfRule>
    <cfRule type="expression" dxfId="13015" priority="5853">
      <formula>AND(IF($Q29=3,1,0),IF($X29&lt;30,1,0))</formula>
    </cfRule>
    <cfRule type="expression" dxfId="13014" priority="5854">
      <formula>AND(IF($Q29=3,1,IF($Q29=4,1,0)),IF($F29&lt;=85,1,0))</formula>
    </cfRule>
  </conditionalFormatting>
  <conditionalFormatting sqref="AV30">
    <cfRule type="expression" dxfId="13013" priority="5849">
      <formula>AV30="X"</formula>
    </cfRule>
    <cfRule type="expression" dxfId="13012" priority="5850">
      <formula>AV30="후보"</formula>
    </cfRule>
  </conditionalFormatting>
  <conditionalFormatting sqref="AC30">
    <cfRule type="cellIs" dxfId="13011" priority="5847" operator="greaterThan">
      <formula>0.9</formula>
    </cfRule>
    <cfRule type="cellIs" dxfId="13010" priority="5848" operator="greaterThan">
      <formula>0.85</formula>
    </cfRule>
  </conditionalFormatting>
  <conditionalFormatting sqref="N30">
    <cfRule type="cellIs" dxfId="13009" priority="5845" operator="greaterThan">
      <formula>0.9</formula>
    </cfRule>
    <cfRule type="cellIs" dxfId="13008" priority="5846" operator="greaterThan">
      <formula>0.85</formula>
    </cfRule>
  </conditionalFormatting>
  <conditionalFormatting sqref="E30">
    <cfRule type="expression" dxfId="13007" priority="5841">
      <formula>AND(IF(OR($Q30=1,$Q30=2),1,0),IF($X30&lt;=20,1,0))</formula>
    </cfRule>
    <cfRule type="expression" dxfId="13006" priority="5842">
      <formula>AND(IF($Q30=2,1,0),IF($X30&lt;30,1,0))</formula>
    </cfRule>
    <cfRule type="expression" dxfId="13005" priority="5843">
      <formula>AND(IF($Q30=3,1,0),IF($X30&lt;30,1,0))</formula>
    </cfRule>
    <cfRule type="expression" dxfId="13004" priority="5844">
      <formula>AND(IF($Q30=3,1,IF($Q30=4,1,0)),IF($F30&lt;=85,1,0))</formula>
    </cfRule>
  </conditionalFormatting>
  <conditionalFormatting sqref="X30">
    <cfRule type="expression" dxfId="13003" priority="5837">
      <formula>AND(IF(OR($Q30=1,$Q30=2),1,0),IF($X30&lt;=20,1,0))</formula>
    </cfRule>
    <cfRule type="expression" dxfId="13002" priority="5838">
      <formula>AND(IF($Q30=2,1,0),IF($X30&lt;30,1,0))</formula>
    </cfRule>
    <cfRule type="expression" dxfId="13001" priority="5839">
      <formula>AND(IF($Q30=3,1,0),IF($X30&lt;30,1,0))</formula>
    </cfRule>
    <cfRule type="expression" dxfId="13000" priority="5840">
      <formula>AND(IF($Q30=3,1,IF($Q30=4,1,0)),IF($F30&lt;=85,1,0))</formula>
    </cfRule>
  </conditionalFormatting>
  <conditionalFormatting sqref="AI30">
    <cfRule type="expression" dxfId="12999" priority="5833">
      <formula>AND(IF(OR($Q30=1,$Q30=2),1,0),IF($X30&lt;=20,1,0))</formula>
    </cfRule>
    <cfRule type="expression" dxfId="12998" priority="5834">
      <formula>AND(IF($Q30=2,1,0),IF($X30&lt;30,1,0))</formula>
    </cfRule>
    <cfRule type="expression" dxfId="12997" priority="5835">
      <formula>AND(IF($Q30=3,1,0),IF($X30&lt;30,1,0))</formula>
    </cfRule>
    <cfRule type="expression" dxfId="12996" priority="5836">
      <formula>AND(IF($Q30=3,1,IF($Q30=4,1,0)),IF($F30&lt;=85,1,0))</formula>
    </cfRule>
  </conditionalFormatting>
  <conditionalFormatting sqref="AV31">
    <cfRule type="expression" dxfId="12995" priority="5831">
      <formula>AV31="X"</formula>
    </cfRule>
    <cfRule type="expression" dxfId="12994" priority="5832">
      <formula>AV31="후보"</formula>
    </cfRule>
  </conditionalFormatting>
  <conditionalFormatting sqref="AC31">
    <cfRule type="cellIs" dxfId="12993" priority="5829" operator="greaterThan">
      <formula>0.9</formula>
    </cfRule>
    <cfRule type="cellIs" dxfId="12992" priority="5830" operator="greaterThan">
      <formula>0.85</formula>
    </cfRule>
  </conditionalFormatting>
  <conditionalFormatting sqref="N31">
    <cfRule type="cellIs" dxfId="12991" priority="5827" operator="greaterThan">
      <formula>0.9</formula>
    </cfRule>
    <cfRule type="cellIs" dxfId="12990" priority="5828" operator="greaterThan">
      <formula>0.85</formula>
    </cfRule>
  </conditionalFormatting>
  <conditionalFormatting sqref="E31">
    <cfRule type="expression" dxfId="12989" priority="5823">
      <formula>AND(IF(OR($Q31=1,$Q31=2),1,0),IF($X31&lt;=20,1,0))</formula>
    </cfRule>
    <cfRule type="expression" dxfId="12988" priority="5824">
      <formula>AND(IF($Q31=2,1,0),IF($X31&lt;30,1,0))</formula>
    </cfRule>
    <cfRule type="expression" dxfId="12987" priority="5825">
      <formula>AND(IF($Q31=3,1,0),IF($X31&lt;30,1,0))</formula>
    </cfRule>
    <cfRule type="expression" dxfId="12986" priority="5826">
      <formula>AND(IF($Q31=3,1,IF($Q31=4,1,0)),IF($F31&lt;=85,1,0))</formula>
    </cfRule>
  </conditionalFormatting>
  <conditionalFormatting sqref="X31">
    <cfRule type="expression" dxfId="12985" priority="5819">
      <formula>AND(IF(OR($Q31=1,$Q31=2),1,0),IF($X31&lt;=20,1,0))</formula>
    </cfRule>
    <cfRule type="expression" dxfId="12984" priority="5820">
      <formula>AND(IF($Q31=2,1,0),IF($X31&lt;30,1,0))</formula>
    </cfRule>
    <cfRule type="expression" dxfId="12983" priority="5821">
      <formula>AND(IF($Q31=3,1,0),IF($X31&lt;30,1,0))</formula>
    </cfRule>
    <cfRule type="expression" dxfId="12982" priority="5822">
      <formula>AND(IF($Q31=3,1,IF($Q31=4,1,0)),IF($F31&lt;=85,1,0))</formula>
    </cfRule>
  </conditionalFormatting>
  <conditionalFormatting sqref="AI31">
    <cfRule type="expression" dxfId="12981" priority="5815">
      <formula>AND(IF(OR($Q31=1,$Q31=2),1,0),IF($X31&lt;=20,1,0))</formula>
    </cfRule>
    <cfRule type="expression" dxfId="12980" priority="5816">
      <formula>AND(IF($Q31=2,1,0),IF($X31&lt;30,1,0))</formula>
    </cfRule>
    <cfRule type="expression" dxfId="12979" priority="5817">
      <formula>AND(IF($Q31=3,1,0),IF($X31&lt;30,1,0))</formula>
    </cfRule>
    <cfRule type="expression" dxfId="12978" priority="5818">
      <formula>AND(IF($Q31=3,1,IF($Q31=4,1,0)),IF($F31&lt;=85,1,0))</formula>
    </cfRule>
  </conditionalFormatting>
  <conditionalFormatting sqref="AV32">
    <cfRule type="expression" dxfId="12977" priority="5813">
      <formula>AV32="X"</formula>
    </cfRule>
    <cfRule type="expression" dxfId="12976" priority="5814">
      <formula>AV32="후보"</formula>
    </cfRule>
  </conditionalFormatting>
  <conditionalFormatting sqref="AC32">
    <cfRule type="cellIs" dxfId="12975" priority="5811" operator="greaterThan">
      <formula>0.9</formula>
    </cfRule>
    <cfRule type="cellIs" dxfId="12974" priority="5812" operator="greaterThan">
      <formula>0.85</formula>
    </cfRule>
  </conditionalFormatting>
  <conditionalFormatting sqref="N32">
    <cfRule type="cellIs" dxfId="12973" priority="5809" operator="greaterThan">
      <formula>0.9</formula>
    </cfRule>
    <cfRule type="cellIs" dxfId="12972" priority="5810" operator="greaterThan">
      <formula>0.85</formula>
    </cfRule>
  </conditionalFormatting>
  <conditionalFormatting sqref="E32">
    <cfRule type="expression" dxfId="12971" priority="5805">
      <formula>AND(IF(OR($Q32=1,$Q32=2),1,0),IF($X32&lt;=20,1,0))</formula>
    </cfRule>
    <cfRule type="expression" dxfId="12970" priority="5806">
      <formula>AND(IF($Q32=2,1,0),IF($X32&lt;30,1,0))</formula>
    </cfRule>
    <cfRule type="expression" dxfId="12969" priority="5807">
      <formula>AND(IF($Q32=3,1,0),IF($X32&lt;30,1,0))</formula>
    </cfRule>
    <cfRule type="expression" dxfId="12968" priority="5808">
      <formula>AND(IF($Q32=3,1,IF($Q32=4,1,0)),IF($F32&lt;=85,1,0))</formula>
    </cfRule>
  </conditionalFormatting>
  <conditionalFormatting sqref="X32">
    <cfRule type="expression" dxfId="12967" priority="5801">
      <formula>AND(IF(OR($Q32=1,$Q32=2),1,0),IF($X32&lt;=20,1,0))</formula>
    </cfRule>
    <cfRule type="expression" dxfId="12966" priority="5802">
      <formula>AND(IF($Q32=2,1,0),IF($X32&lt;30,1,0))</formula>
    </cfRule>
    <cfRule type="expression" dxfId="12965" priority="5803">
      <formula>AND(IF($Q32=3,1,0),IF($X32&lt;30,1,0))</formula>
    </cfRule>
    <cfRule type="expression" dxfId="12964" priority="5804">
      <formula>AND(IF($Q32=3,1,IF($Q32=4,1,0)),IF($F32&lt;=85,1,0))</formula>
    </cfRule>
  </conditionalFormatting>
  <conditionalFormatting sqref="AI32">
    <cfRule type="expression" dxfId="12963" priority="5797">
      <formula>AND(IF(OR($Q32=1,$Q32=2),1,0),IF($X32&lt;=20,1,0))</formula>
    </cfRule>
    <cfRule type="expression" dxfId="12962" priority="5798">
      <formula>AND(IF($Q32=2,1,0),IF($X32&lt;30,1,0))</formula>
    </cfRule>
    <cfRule type="expression" dxfId="12961" priority="5799">
      <formula>AND(IF($Q32=3,1,0),IF($X32&lt;30,1,0))</formula>
    </cfRule>
    <cfRule type="expression" dxfId="12960" priority="5800">
      <formula>AND(IF($Q32=3,1,IF($Q32=4,1,0)),IF($F32&lt;=85,1,0))</formula>
    </cfRule>
  </conditionalFormatting>
  <conditionalFormatting sqref="AV33">
    <cfRule type="expression" dxfId="12959" priority="5795">
      <formula>AV33="X"</formula>
    </cfRule>
    <cfRule type="expression" dxfId="12958" priority="5796">
      <formula>AV33="후보"</formula>
    </cfRule>
  </conditionalFormatting>
  <conditionalFormatting sqref="AC33">
    <cfRule type="cellIs" dxfId="12957" priority="5793" operator="greaterThan">
      <formula>0.9</formula>
    </cfRule>
    <cfRule type="cellIs" dxfId="12956" priority="5794" operator="greaterThan">
      <formula>0.85</formula>
    </cfRule>
  </conditionalFormatting>
  <conditionalFormatting sqref="N33">
    <cfRule type="cellIs" dxfId="12955" priority="5791" operator="greaterThan">
      <formula>0.9</formula>
    </cfRule>
    <cfRule type="cellIs" dxfId="12954" priority="5792" operator="greaterThan">
      <formula>0.85</formula>
    </cfRule>
  </conditionalFormatting>
  <conditionalFormatting sqref="E33">
    <cfRule type="expression" dxfId="12953" priority="5787">
      <formula>AND(IF(OR($Q33=1,$Q33=2),1,0),IF($X33&lt;=20,1,0))</formula>
    </cfRule>
    <cfRule type="expression" dxfId="12952" priority="5788">
      <formula>AND(IF($Q33=2,1,0),IF($X33&lt;30,1,0))</formula>
    </cfRule>
    <cfRule type="expression" dxfId="12951" priority="5789">
      <formula>AND(IF($Q33=3,1,0),IF($X33&lt;30,1,0))</formula>
    </cfRule>
    <cfRule type="expression" dxfId="12950" priority="5790">
      <formula>AND(IF($Q33=3,1,IF($Q33=4,1,0)),IF($F33&lt;=85,1,0))</formula>
    </cfRule>
  </conditionalFormatting>
  <conditionalFormatting sqref="X33">
    <cfRule type="expression" dxfId="12949" priority="5783">
      <formula>AND(IF(OR($Q33=1,$Q33=2),1,0),IF($X33&lt;=20,1,0))</formula>
    </cfRule>
    <cfRule type="expression" dxfId="12948" priority="5784">
      <formula>AND(IF($Q33=2,1,0),IF($X33&lt;30,1,0))</formula>
    </cfRule>
    <cfRule type="expression" dxfId="12947" priority="5785">
      <formula>AND(IF($Q33=3,1,0),IF($X33&lt;30,1,0))</formula>
    </cfRule>
    <cfRule type="expression" dxfId="12946" priority="5786">
      <formula>AND(IF($Q33=3,1,IF($Q33=4,1,0)),IF($F33&lt;=85,1,0))</formula>
    </cfRule>
  </conditionalFormatting>
  <conditionalFormatting sqref="AI33">
    <cfRule type="expression" dxfId="12945" priority="5779">
      <formula>AND(IF(OR($Q33=1,$Q33=2),1,0),IF($X33&lt;=20,1,0))</formula>
    </cfRule>
    <cfRule type="expression" dxfId="12944" priority="5780">
      <formula>AND(IF($Q33=2,1,0),IF($X33&lt;30,1,0))</formula>
    </cfRule>
    <cfRule type="expression" dxfId="12943" priority="5781">
      <formula>AND(IF($Q33=3,1,0),IF($X33&lt;30,1,0))</formula>
    </cfRule>
    <cfRule type="expression" dxfId="12942" priority="5782">
      <formula>AND(IF($Q33=3,1,IF($Q33=4,1,0)),IF($F33&lt;=85,1,0))</formula>
    </cfRule>
  </conditionalFormatting>
  <conditionalFormatting sqref="AV34">
    <cfRule type="expression" dxfId="12941" priority="5777">
      <formula>AV34="X"</formula>
    </cfRule>
    <cfRule type="expression" dxfId="12940" priority="5778">
      <formula>AV34="후보"</formula>
    </cfRule>
  </conditionalFormatting>
  <conditionalFormatting sqref="AC34">
    <cfRule type="cellIs" dxfId="12939" priority="5775" operator="greaterThan">
      <formula>0.9</formula>
    </cfRule>
    <cfRule type="cellIs" dxfId="12938" priority="5776" operator="greaterThan">
      <formula>0.85</formula>
    </cfRule>
  </conditionalFormatting>
  <conditionalFormatting sqref="N34">
    <cfRule type="cellIs" dxfId="12937" priority="5773" operator="greaterThan">
      <formula>0.9</formula>
    </cfRule>
    <cfRule type="cellIs" dxfId="12936" priority="5774" operator="greaterThan">
      <formula>0.85</formula>
    </cfRule>
  </conditionalFormatting>
  <conditionalFormatting sqref="E34">
    <cfRule type="expression" dxfId="12935" priority="5769">
      <formula>AND(IF(OR($Q34=1,$Q34=2),1,0),IF($X34&lt;=20,1,0))</formula>
    </cfRule>
    <cfRule type="expression" dxfId="12934" priority="5770">
      <formula>AND(IF($Q34=2,1,0),IF($X34&lt;30,1,0))</formula>
    </cfRule>
    <cfRule type="expression" dxfId="12933" priority="5771">
      <formula>AND(IF($Q34=3,1,0),IF($X34&lt;30,1,0))</formula>
    </cfRule>
    <cfRule type="expression" dxfId="12932" priority="5772">
      <formula>AND(IF($Q34=3,1,IF($Q34=4,1,0)),IF($F34&lt;=85,1,0))</formula>
    </cfRule>
  </conditionalFormatting>
  <conditionalFormatting sqref="X34">
    <cfRule type="expression" dxfId="12931" priority="5765">
      <formula>AND(IF(OR($Q34=1,$Q34=2),1,0),IF($X34&lt;=20,1,0))</formula>
    </cfRule>
    <cfRule type="expression" dxfId="12930" priority="5766">
      <formula>AND(IF($Q34=2,1,0),IF($X34&lt;30,1,0))</formula>
    </cfRule>
    <cfRule type="expression" dxfId="12929" priority="5767">
      <formula>AND(IF($Q34=3,1,0),IF($X34&lt;30,1,0))</formula>
    </cfRule>
    <cfRule type="expression" dxfId="12928" priority="5768">
      <formula>AND(IF($Q34=3,1,IF($Q34=4,1,0)),IF($F34&lt;=85,1,0))</formula>
    </cfRule>
  </conditionalFormatting>
  <conditionalFormatting sqref="AI34">
    <cfRule type="expression" dxfId="12927" priority="5761">
      <formula>AND(IF(OR($Q34=1,$Q34=2),1,0),IF($X34&lt;=20,1,0))</formula>
    </cfRule>
    <cfRule type="expression" dxfId="12926" priority="5762">
      <formula>AND(IF($Q34=2,1,0),IF($X34&lt;30,1,0))</formula>
    </cfRule>
    <cfRule type="expression" dxfId="12925" priority="5763">
      <formula>AND(IF($Q34=3,1,0),IF($X34&lt;30,1,0))</formula>
    </cfRule>
    <cfRule type="expression" dxfId="12924" priority="5764">
      <formula>AND(IF($Q34=3,1,IF($Q34=4,1,0)),IF($F34&lt;=85,1,0))</formula>
    </cfRule>
  </conditionalFormatting>
  <conditionalFormatting sqref="AV35">
    <cfRule type="expression" dxfId="12923" priority="5759">
      <formula>AV35="X"</formula>
    </cfRule>
    <cfRule type="expression" dxfId="12922" priority="5760">
      <formula>AV35="후보"</formula>
    </cfRule>
  </conditionalFormatting>
  <conditionalFormatting sqref="AC35">
    <cfRule type="cellIs" dxfId="12921" priority="5757" operator="greaterThan">
      <formula>0.9</formula>
    </cfRule>
    <cfRule type="cellIs" dxfId="12920" priority="5758" operator="greaterThan">
      <formula>0.85</formula>
    </cfRule>
  </conditionalFormatting>
  <conditionalFormatting sqref="N35">
    <cfRule type="cellIs" dxfId="12919" priority="5755" operator="greaterThan">
      <formula>0.9</formula>
    </cfRule>
    <cfRule type="cellIs" dxfId="12918" priority="5756" operator="greaterThan">
      <formula>0.85</formula>
    </cfRule>
  </conditionalFormatting>
  <conditionalFormatting sqref="E35">
    <cfRule type="expression" dxfId="12917" priority="5751">
      <formula>AND(IF(OR($Q35=1,$Q35=2),1,0),IF($X35&lt;=20,1,0))</formula>
    </cfRule>
    <cfRule type="expression" dxfId="12916" priority="5752">
      <formula>AND(IF($Q35=2,1,0),IF($X35&lt;30,1,0))</formula>
    </cfRule>
    <cfRule type="expression" dxfId="12915" priority="5753">
      <formula>AND(IF($Q35=3,1,0),IF($X35&lt;30,1,0))</formula>
    </cfRule>
    <cfRule type="expression" dxfId="12914" priority="5754">
      <formula>AND(IF($Q35=3,1,IF($Q35=4,1,0)),IF($F35&lt;=85,1,0))</formula>
    </cfRule>
  </conditionalFormatting>
  <conditionalFormatting sqref="X35">
    <cfRule type="expression" dxfId="12913" priority="5747">
      <formula>AND(IF(OR($Q35=1,$Q35=2),1,0),IF($X35&lt;=20,1,0))</formula>
    </cfRule>
    <cfRule type="expression" dxfId="12912" priority="5748">
      <formula>AND(IF($Q35=2,1,0),IF($X35&lt;30,1,0))</formula>
    </cfRule>
    <cfRule type="expression" dxfId="12911" priority="5749">
      <formula>AND(IF($Q35=3,1,0),IF($X35&lt;30,1,0))</formula>
    </cfRule>
    <cfRule type="expression" dxfId="12910" priority="5750">
      <formula>AND(IF($Q35=3,1,IF($Q35=4,1,0)),IF($F35&lt;=85,1,0))</formula>
    </cfRule>
  </conditionalFormatting>
  <conditionalFormatting sqref="AI35">
    <cfRule type="expression" dxfId="12909" priority="5743">
      <formula>AND(IF(OR($Q35=1,$Q35=2),1,0),IF($X35&lt;=20,1,0))</formula>
    </cfRule>
    <cfRule type="expression" dxfId="12908" priority="5744">
      <formula>AND(IF($Q35=2,1,0),IF($X35&lt;30,1,0))</formula>
    </cfRule>
    <cfRule type="expression" dxfId="12907" priority="5745">
      <formula>AND(IF($Q35=3,1,0),IF($X35&lt;30,1,0))</formula>
    </cfRule>
    <cfRule type="expression" dxfId="12906" priority="5746">
      <formula>AND(IF($Q35=3,1,IF($Q35=4,1,0)),IF($F35&lt;=85,1,0))</formula>
    </cfRule>
  </conditionalFormatting>
  <conditionalFormatting sqref="AV36">
    <cfRule type="expression" dxfId="12905" priority="5741">
      <formula>AV36="X"</formula>
    </cfRule>
    <cfRule type="expression" dxfId="12904" priority="5742">
      <formula>AV36="후보"</formula>
    </cfRule>
  </conditionalFormatting>
  <conditionalFormatting sqref="AC36">
    <cfRule type="cellIs" dxfId="12903" priority="5739" operator="greaterThan">
      <formula>0.9</formula>
    </cfRule>
    <cfRule type="cellIs" dxfId="12902" priority="5740" operator="greaterThan">
      <formula>0.85</formula>
    </cfRule>
  </conditionalFormatting>
  <conditionalFormatting sqref="N36">
    <cfRule type="cellIs" dxfId="12901" priority="5737" operator="greaterThan">
      <formula>0.9</formula>
    </cfRule>
    <cfRule type="cellIs" dxfId="12900" priority="5738" operator="greaterThan">
      <formula>0.85</formula>
    </cfRule>
  </conditionalFormatting>
  <conditionalFormatting sqref="E36">
    <cfRule type="expression" dxfId="12899" priority="5733">
      <formula>AND(IF(OR($Q36=1,$Q36=2),1,0),IF($X36&lt;=20,1,0))</formula>
    </cfRule>
    <cfRule type="expression" dxfId="12898" priority="5734">
      <formula>AND(IF($Q36=2,1,0),IF($X36&lt;30,1,0))</formula>
    </cfRule>
    <cfRule type="expression" dxfId="12897" priority="5735">
      <formula>AND(IF($Q36=3,1,0),IF($X36&lt;30,1,0))</formula>
    </cfRule>
    <cfRule type="expression" dxfId="12896" priority="5736">
      <formula>AND(IF($Q36=3,1,IF($Q36=4,1,0)),IF($F36&lt;=85,1,0))</formula>
    </cfRule>
  </conditionalFormatting>
  <conditionalFormatting sqref="X36">
    <cfRule type="expression" dxfId="12895" priority="5729">
      <formula>AND(IF(OR($Q36=1,$Q36=2),1,0),IF($X36&lt;=20,1,0))</formula>
    </cfRule>
    <cfRule type="expression" dxfId="12894" priority="5730">
      <formula>AND(IF($Q36=2,1,0),IF($X36&lt;30,1,0))</formula>
    </cfRule>
    <cfRule type="expression" dxfId="12893" priority="5731">
      <formula>AND(IF($Q36=3,1,0),IF($X36&lt;30,1,0))</formula>
    </cfRule>
    <cfRule type="expression" dxfId="12892" priority="5732">
      <formula>AND(IF($Q36=3,1,IF($Q36=4,1,0)),IF($F36&lt;=85,1,0))</formula>
    </cfRule>
  </conditionalFormatting>
  <conditionalFormatting sqref="AI36">
    <cfRule type="expression" dxfId="12891" priority="5725">
      <formula>AND(IF(OR($Q36=1,$Q36=2),1,0),IF($X36&lt;=20,1,0))</formula>
    </cfRule>
    <cfRule type="expression" dxfId="12890" priority="5726">
      <formula>AND(IF($Q36=2,1,0),IF($X36&lt;30,1,0))</formula>
    </cfRule>
    <cfRule type="expression" dxfId="12889" priority="5727">
      <formula>AND(IF($Q36=3,1,0),IF($X36&lt;30,1,0))</formula>
    </cfRule>
    <cfRule type="expression" dxfId="12888" priority="5728">
      <formula>AND(IF($Q36=3,1,IF($Q36=4,1,0)),IF($F36&lt;=85,1,0))</formula>
    </cfRule>
  </conditionalFormatting>
  <conditionalFormatting sqref="AV37">
    <cfRule type="expression" dxfId="12887" priority="5723">
      <formula>AV37="X"</formula>
    </cfRule>
    <cfRule type="expression" dxfId="12886" priority="5724">
      <formula>AV37="후보"</formula>
    </cfRule>
  </conditionalFormatting>
  <conditionalFormatting sqref="AC37">
    <cfRule type="cellIs" dxfId="12885" priority="5721" operator="greaterThan">
      <formula>0.9</formula>
    </cfRule>
    <cfRule type="cellIs" dxfId="12884" priority="5722" operator="greaterThan">
      <formula>0.85</formula>
    </cfRule>
  </conditionalFormatting>
  <conditionalFormatting sqref="N37">
    <cfRule type="cellIs" dxfId="12883" priority="5719" operator="greaterThan">
      <formula>0.9</formula>
    </cfRule>
    <cfRule type="cellIs" dxfId="12882" priority="5720" operator="greaterThan">
      <formula>0.85</formula>
    </cfRule>
  </conditionalFormatting>
  <conditionalFormatting sqref="E37">
    <cfRule type="expression" dxfId="12881" priority="5715">
      <formula>AND(IF(OR($Q37=1,$Q37=2),1,0),IF($X37&lt;=20,1,0))</formula>
    </cfRule>
    <cfRule type="expression" dxfId="12880" priority="5716">
      <formula>AND(IF($Q37=2,1,0),IF($X37&lt;30,1,0))</formula>
    </cfRule>
    <cfRule type="expression" dxfId="12879" priority="5717">
      <formula>AND(IF($Q37=3,1,0),IF($X37&lt;30,1,0))</formula>
    </cfRule>
    <cfRule type="expression" dxfId="12878" priority="5718">
      <formula>AND(IF($Q37=3,1,IF($Q37=4,1,0)),IF($F37&lt;=85,1,0))</formula>
    </cfRule>
  </conditionalFormatting>
  <conditionalFormatting sqref="X37">
    <cfRule type="expression" dxfId="12877" priority="5711">
      <formula>AND(IF(OR($Q37=1,$Q37=2),1,0),IF($X37&lt;=20,1,0))</formula>
    </cfRule>
    <cfRule type="expression" dxfId="12876" priority="5712">
      <formula>AND(IF($Q37=2,1,0),IF($X37&lt;30,1,0))</formula>
    </cfRule>
    <cfRule type="expression" dxfId="12875" priority="5713">
      <formula>AND(IF($Q37=3,1,0),IF($X37&lt;30,1,0))</formula>
    </cfRule>
    <cfRule type="expression" dxfId="12874" priority="5714">
      <formula>AND(IF($Q37=3,1,IF($Q37=4,1,0)),IF($F37&lt;=85,1,0))</formula>
    </cfRule>
  </conditionalFormatting>
  <conditionalFormatting sqref="AI37">
    <cfRule type="expression" dxfId="12873" priority="5707">
      <formula>AND(IF(OR($Q37=1,$Q37=2),1,0),IF($X37&lt;=20,1,0))</formula>
    </cfRule>
    <cfRule type="expression" dxfId="12872" priority="5708">
      <formula>AND(IF($Q37=2,1,0),IF($X37&lt;30,1,0))</formula>
    </cfRule>
    <cfRule type="expression" dxfId="12871" priority="5709">
      <formula>AND(IF($Q37=3,1,0),IF($X37&lt;30,1,0))</formula>
    </cfRule>
    <cfRule type="expression" dxfId="12870" priority="5710">
      <formula>AND(IF($Q37=3,1,IF($Q37=4,1,0)),IF($F37&lt;=85,1,0))</formula>
    </cfRule>
  </conditionalFormatting>
  <conditionalFormatting sqref="AV38">
    <cfRule type="expression" dxfId="12869" priority="5705">
      <formula>AV38="X"</formula>
    </cfRule>
    <cfRule type="expression" dxfId="12868" priority="5706">
      <formula>AV38="후보"</formula>
    </cfRule>
  </conditionalFormatting>
  <conditionalFormatting sqref="AC38">
    <cfRule type="cellIs" dxfId="12867" priority="5703" operator="greaterThan">
      <formula>0.9</formula>
    </cfRule>
    <cfRule type="cellIs" dxfId="12866" priority="5704" operator="greaterThan">
      <formula>0.85</formula>
    </cfRule>
  </conditionalFormatting>
  <conditionalFormatting sqref="N38">
    <cfRule type="cellIs" dxfId="12865" priority="5701" operator="greaterThan">
      <formula>0.9</formula>
    </cfRule>
    <cfRule type="cellIs" dxfId="12864" priority="5702" operator="greaterThan">
      <formula>0.85</formula>
    </cfRule>
  </conditionalFormatting>
  <conditionalFormatting sqref="E38">
    <cfRule type="expression" dxfId="12863" priority="5697">
      <formula>AND(IF(OR($Q38=1,$Q38=2),1,0),IF($X38&lt;=20,1,0))</formula>
    </cfRule>
    <cfRule type="expression" dxfId="12862" priority="5698">
      <formula>AND(IF($Q38=2,1,0),IF($X38&lt;30,1,0))</formula>
    </cfRule>
    <cfRule type="expression" dxfId="12861" priority="5699">
      <formula>AND(IF($Q38=3,1,0),IF($X38&lt;30,1,0))</formula>
    </cfRule>
    <cfRule type="expression" dxfId="12860" priority="5700">
      <formula>AND(IF($Q38=3,1,IF($Q38=4,1,0)),IF($F38&lt;=85,1,0))</formula>
    </cfRule>
  </conditionalFormatting>
  <conditionalFormatting sqref="X38">
    <cfRule type="expression" dxfId="12859" priority="5693">
      <formula>AND(IF(OR($Q38=1,$Q38=2),1,0),IF($X38&lt;=20,1,0))</formula>
    </cfRule>
    <cfRule type="expression" dxfId="12858" priority="5694">
      <formula>AND(IF($Q38=2,1,0),IF($X38&lt;30,1,0))</formula>
    </cfRule>
    <cfRule type="expression" dxfId="12857" priority="5695">
      <formula>AND(IF($Q38=3,1,0),IF($X38&lt;30,1,0))</formula>
    </cfRule>
    <cfRule type="expression" dxfId="12856" priority="5696">
      <formula>AND(IF($Q38=3,1,IF($Q38=4,1,0)),IF($F38&lt;=85,1,0))</formula>
    </cfRule>
  </conditionalFormatting>
  <conditionalFormatting sqref="AI38">
    <cfRule type="expression" dxfId="12855" priority="5689">
      <formula>AND(IF(OR($Q38=1,$Q38=2),1,0),IF($X38&lt;=20,1,0))</formula>
    </cfRule>
    <cfRule type="expression" dxfId="12854" priority="5690">
      <formula>AND(IF($Q38=2,1,0),IF($X38&lt;30,1,0))</formula>
    </cfRule>
    <cfRule type="expression" dxfId="12853" priority="5691">
      <formula>AND(IF($Q38=3,1,0),IF($X38&lt;30,1,0))</formula>
    </cfRule>
    <cfRule type="expression" dxfId="12852" priority="5692">
      <formula>AND(IF($Q38=3,1,IF($Q38=4,1,0)),IF($F38&lt;=85,1,0))</formula>
    </cfRule>
  </conditionalFormatting>
  <conditionalFormatting sqref="AV39">
    <cfRule type="expression" dxfId="12851" priority="5687">
      <formula>AV39="X"</formula>
    </cfRule>
    <cfRule type="expression" dxfId="12850" priority="5688">
      <formula>AV39="후보"</formula>
    </cfRule>
  </conditionalFormatting>
  <conditionalFormatting sqref="AC39">
    <cfRule type="cellIs" dxfId="12849" priority="5685" operator="greaterThan">
      <formula>0.9</formula>
    </cfRule>
    <cfRule type="cellIs" dxfId="12848" priority="5686" operator="greaterThan">
      <formula>0.85</formula>
    </cfRule>
  </conditionalFormatting>
  <conditionalFormatting sqref="N39">
    <cfRule type="cellIs" dxfId="12847" priority="5683" operator="greaterThan">
      <formula>0.9</formula>
    </cfRule>
    <cfRule type="cellIs" dxfId="12846" priority="5684" operator="greaterThan">
      <formula>0.85</formula>
    </cfRule>
  </conditionalFormatting>
  <conditionalFormatting sqref="E39">
    <cfRule type="expression" dxfId="12845" priority="5679">
      <formula>AND(IF(OR($Q39=1,$Q39=2),1,0),IF($X39&lt;=20,1,0))</formula>
    </cfRule>
    <cfRule type="expression" dxfId="12844" priority="5680">
      <formula>AND(IF($Q39=2,1,0),IF($X39&lt;30,1,0))</formula>
    </cfRule>
    <cfRule type="expression" dxfId="12843" priority="5681">
      <formula>AND(IF($Q39=3,1,0),IF($X39&lt;30,1,0))</formula>
    </cfRule>
    <cfRule type="expression" dxfId="12842" priority="5682">
      <formula>AND(IF($Q39=3,1,IF($Q39=4,1,0)),IF($F39&lt;=85,1,0))</formula>
    </cfRule>
  </conditionalFormatting>
  <conditionalFormatting sqref="X39">
    <cfRule type="expression" dxfId="12841" priority="5675">
      <formula>AND(IF(OR($Q39=1,$Q39=2),1,0),IF($X39&lt;=20,1,0))</formula>
    </cfRule>
    <cfRule type="expression" dxfId="12840" priority="5676">
      <formula>AND(IF($Q39=2,1,0),IF($X39&lt;30,1,0))</formula>
    </cfRule>
    <cfRule type="expression" dxfId="12839" priority="5677">
      <formula>AND(IF($Q39=3,1,0),IF($X39&lt;30,1,0))</formula>
    </cfRule>
    <cfRule type="expression" dxfId="12838" priority="5678">
      <formula>AND(IF($Q39=3,1,IF($Q39=4,1,0)),IF($F39&lt;=85,1,0))</formula>
    </cfRule>
  </conditionalFormatting>
  <conditionalFormatting sqref="AI39">
    <cfRule type="expression" dxfId="12837" priority="5671">
      <formula>AND(IF(OR($Q39=1,$Q39=2),1,0),IF($X39&lt;=20,1,0))</formula>
    </cfRule>
    <cfRule type="expression" dxfId="12836" priority="5672">
      <formula>AND(IF($Q39=2,1,0),IF($X39&lt;30,1,0))</formula>
    </cfRule>
    <cfRule type="expression" dxfId="12835" priority="5673">
      <formula>AND(IF($Q39=3,1,0),IF($X39&lt;30,1,0))</formula>
    </cfRule>
    <cfRule type="expression" dxfId="12834" priority="5674">
      <formula>AND(IF($Q39=3,1,IF($Q39=4,1,0)),IF($F39&lt;=85,1,0))</formula>
    </cfRule>
  </conditionalFormatting>
  <conditionalFormatting sqref="AV40">
    <cfRule type="expression" dxfId="12833" priority="5669">
      <formula>AV40="X"</formula>
    </cfRule>
    <cfRule type="expression" dxfId="12832" priority="5670">
      <formula>AV40="후보"</formula>
    </cfRule>
  </conditionalFormatting>
  <conditionalFormatting sqref="AC40">
    <cfRule type="cellIs" dxfId="12831" priority="5667" operator="greaterThan">
      <formula>0.9</formula>
    </cfRule>
    <cfRule type="cellIs" dxfId="12830" priority="5668" operator="greaterThan">
      <formula>0.85</formula>
    </cfRule>
  </conditionalFormatting>
  <conditionalFormatting sqref="N40">
    <cfRule type="cellIs" dxfId="12829" priority="5665" operator="greaterThan">
      <formula>0.9</formula>
    </cfRule>
    <cfRule type="cellIs" dxfId="12828" priority="5666" operator="greaterThan">
      <formula>0.85</formula>
    </cfRule>
  </conditionalFormatting>
  <conditionalFormatting sqref="E40">
    <cfRule type="expression" dxfId="12827" priority="5661">
      <formula>AND(IF(OR($Q40=1,$Q40=2),1,0),IF($X40&lt;=20,1,0))</formula>
    </cfRule>
    <cfRule type="expression" dxfId="12826" priority="5662">
      <formula>AND(IF($Q40=2,1,0),IF($X40&lt;30,1,0))</formula>
    </cfRule>
    <cfRule type="expression" dxfId="12825" priority="5663">
      <formula>AND(IF($Q40=3,1,0),IF($X40&lt;30,1,0))</formula>
    </cfRule>
    <cfRule type="expression" dxfId="12824" priority="5664">
      <formula>AND(IF($Q40=3,1,IF($Q40=4,1,0)),IF($F40&lt;=85,1,0))</formula>
    </cfRule>
  </conditionalFormatting>
  <conditionalFormatting sqref="X40">
    <cfRule type="expression" dxfId="12823" priority="5657">
      <formula>AND(IF(OR($Q40=1,$Q40=2),1,0),IF($X40&lt;=20,1,0))</formula>
    </cfRule>
    <cfRule type="expression" dxfId="12822" priority="5658">
      <formula>AND(IF($Q40=2,1,0),IF($X40&lt;30,1,0))</formula>
    </cfRule>
    <cfRule type="expression" dxfId="12821" priority="5659">
      <formula>AND(IF($Q40=3,1,0),IF($X40&lt;30,1,0))</formula>
    </cfRule>
    <cfRule type="expression" dxfId="12820" priority="5660">
      <formula>AND(IF($Q40=3,1,IF($Q40=4,1,0)),IF($F40&lt;=85,1,0))</formula>
    </cfRule>
  </conditionalFormatting>
  <conditionalFormatting sqref="AI40">
    <cfRule type="expression" dxfId="12819" priority="5653">
      <formula>AND(IF(OR($Q40=1,$Q40=2),1,0),IF($X40&lt;=20,1,0))</formula>
    </cfRule>
    <cfRule type="expression" dxfId="12818" priority="5654">
      <formula>AND(IF($Q40=2,1,0),IF($X40&lt;30,1,0))</formula>
    </cfRule>
    <cfRule type="expression" dxfId="12817" priority="5655">
      <formula>AND(IF($Q40=3,1,0),IF($X40&lt;30,1,0))</formula>
    </cfRule>
    <cfRule type="expression" dxfId="12816" priority="5656">
      <formula>AND(IF($Q40=3,1,IF($Q40=4,1,0)),IF($F40&lt;=85,1,0))</formula>
    </cfRule>
  </conditionalFormatting>
  <conditionalFormatting sqref="AV41">
    <cfRule type="expression" dxfId="12815" priority="5651">
      <formula>AV41="X"</formula>
    </cfRule>
    <cfRule type="expression" dxfId="12814" priority="5652">
      <formula>AV41="후보"</formula>
    </cfRule>
  </conditionalFormatting>
  <conditionalFormatting sqref="AC41">
    <cfRule type="cellIs" dxfId="12813" priority="5649" operator="greaterThan">
      <formula>0.9</formula>
    </cfRule>
    <cfRule type="cellIs" dxfId="12812" priority="5650" operator="greaterThan">
      <formula>0.85</formula>
    </cfRule>
  </conditionalFormatting>
  <conditionalFormatting sqref="N41">
    <cfRule type="cellIs" dxfId="12811" priority="5647" operator="greaterThan">
      <formula>0.9</formula>
    </cfRule>
    <cfRule type="cellIs" dxfId="12810" priority="5648" operator="greaterThan">
      <formula>0.85</formula>
    </cfRule>
  </conditionalFormatting>
  <conditionalFormatting sqref="E41">
    <cfRule type="expression" dxfId="12809" priority="5643">
      <formula>AND(IF(OR($Q41=1,$Q41=2),1,0),IF($X41&lt;=20,1,0))</formula>
    </cfRule>
    <cfRule type="expression" dxfId="12808" priority="5644">
      <formula>AND(IF($Q41=2,1,0),IF($X41&lt;30,1,0))</formula>
    </cfRule>
    <cfRule type="expression" dxfId="12807" priority="5645">
      <formula>AND(IF($Q41=3,1,0),IF($X41&lt;30,1,0))</formula>
    </cfRule>
    <cfRule type="expression" dxfId="12806" priority="5646">
      <formula>AND(IF($Q41=3,1,IF($Q41=4,1,0)),IF($F41&lt;=85,1,0))</formula>
    </cfRule>
  </conditionalFormatting>
  <conditionalFormatting sqref="X41">
    <cfRule type="expression" dxfId="12805" priority="5639">
      <formula>AND(IF(OR($Q41=1,$Q41=2),1,0),IF($X41&lt;=20,1,0))</formula>
    </cfRule>
    <cfRule type="expression" dxfId="12804" priority="5640">
      <formula>AND(IF($Q41=2,1,0),IF($X41&lt;30,1,0))</formula>
    </cfRule>
    <cfRule type="expression" dxfId="12803" priority="5641">
      <formula>AND(IF($Q41=3,1,0),IF($X41&lt;30,1,0))</formula>
    </cfRule>
    <cfRule type="expression" dxfId="12802" priority="5642">
      <formula>AND(IF($Q41=3,1,IF($Q41=4,1,0)),IF($F41&lt;=85,1,0))</formula>
    </cfRule>
  </conditionalFormatting>
  <conditionalFormatting sqref="AI41">
    <cfRule type="expression" dxfId="12801" priority="5635">
      <formula>AND(IF(OR($Q41=1,$Q41=2),1,0),IF($X41&lt;=20,1,0))</formula>
    </cfRule>
    <cfRule type="expression" dxfId="12800" priority="5636">
      <formula>AND(IF($Q41=2,1,0),IF($X41&lt;30,1,0))</formula>
    </cfRule>
    <cfRule type="expression" dxfId="12799" priority="5637">
      <formula>AND(IF($Q41=3,1,0),IF($X41&lt;30,1,0))</formula>
    </cfRule>
    <cfRule type="expression" dxfId="12798" priority="5638">
      <formula>AND(IF($Q41=3,1,IF($Q41=4,1,0)),IF($F41&lt;=85,1,0))</formula>
    </cfRule>
  </conditionalFormatting>
  <conditionalFormatting sqref="AV42">
    <cfRule type="expression" dxfId="12797" priority="5633">
      <formula>AV42="X"</formula>
    </cfRule>
    <cfRule type="expression" dxfId="12796" priority="5634">
      <formula>AV42="후보"</formula>
    </cfRule>
  </conditionalFormatting>
  <conditionalFormatting sqref="AC42">
    <cfRule type="cellIs" dxfId="12795" priority="5631" operator="greaterThan">
      <formula>0.9</formula>
    </cfRule>
    <cfRule type="cellIs" dxfId="12794" priority="5632" operator="greaterThan">
      <formula>0.85</formula>
    </cfRule>
  </conditionalFormatting>
  <conditionalFormatting sqref="N42">
    <cfRule type="cellIs" dxfId="12793" priority="5629" operator="greaterThan">
      <formula>0.9</formula>
    </cfRule>
    <cfRule type="cellIs" dxfId="12792" priority="5630" operator="greaterThan">
      <formula>0.85</formula>
    </cfRule>
  </conditionalFormatting>
  <conditionalFormatting sqref="E42">
    <cfRule type="expression" dxfId="12791" priority="5625">
      <formula>AND(IF(OR($Q42=1,$Q42=2),1,0),IF($X42&lt;=20,1,0))</formula>
    </cfRule>
    <cfRule type="expression" dxfId="12790" priority="5626">
      <formula>AND(IF($Q42=2,1,0),IF($X42&lt;30,1,0))</formula>
    </cfRule>
    <cfRule type="expression" dxfId="12789" priority="5627">
      <formula>AND(IF($Q42=3,1,0),IF($X42&lt;30,1,0))</formula>
    </cfRule>
    <cfRule type="expression" dxfId="12788" priority="5628">
      <formula>AND(IF($Q42=3,1,IF($Q42=4,1,0)),IF($F42&lt;=85,1,0))</formula>
    </cfRule>
  </conditionalFormatting>
  <conditionalFormatting sqref="X42">
    <cfRule type="expression" dxfId="12787" priority="5621">
      <formula>AND(IF(OR($Q42=1,$Q42=2),1,0),IF($X42&lt;=20,1,0))</formula>
    </cfRule>
    <cfRule type="expression" dxfId="12786" priority="5622">
      <formula>AND(IF($Q42=2,1,0),IF($X42&lt;30,1,0))</formula>
    </cfRule>
    <cfRule type="expression" dxfId="12785" priority="5623">
      <formula>AND(IF($Q42=3,1,0),IF($X42&lt;30,1,0))</formula>
    </cfRule>
    <cfRule type="expression" dxfId="12784" priority="5624">
      <formula>AND(IF($Q42=3,1,IF($Q42=4,1,0)),IF($F42&lt;=85,1,0))</formula>
    </cfRule>
  </conditionalFormatting>
  <conditionalFormatting sqref="AI42">
    <cfRule type="expression" dxfId="12783" priority="5617">
      <formula>AND(IF(OR($Q42=1,$Q42=2),1,0),IF($X42&lt;=20,1,0))</formula>
    </cfRule>
    <cfRule type="expression" dxfId="12782" priority="5618">
      <formula>AND(IF($Q42=2,1,0),IF($X42&lt;30,1,0))</formula>
    </cfRule>
    <cfRule type="expression" dxfId="12781" priority="5619">
      <formula>AND(IF($Q42=3,1,0),IF($X42&lt;30,1,0))</formula>
    </cfRule>
    <cfRule type="expression" dxfId="12780" priority="5620">
      <formula>AND(IF($Q42=3,1,IF($Q42=4,1,0)),IF($F42&lt;=85,1,0))</formula>
    </cfRule>
  </conditionalFormatting>
  <conditionalFormatting sqref="AV43">
    <cfRule type="expression" dxfId="12779" priority="5615">
      <formula>AV43="X"</formula>
    </cfRule>
    <cfRule type="expression" dxfId="12778" priority="5616">
      <formula>AV43="후보"</formula>
    </cfRule>
  </conditionalFormatting>
  <conditionalFormatting sqref="AC43">
    <cfRule type="cellIs" dxfId="12777" priority="5613" operator="greaterThan">
      <formula>0.9</formula>
    </cfRule>
    <cfRule type="cellIs" dxfId="12776" priority="5614" operator="greaterThan">
      <formula>0.85</formula>
    </cfRule>
  </conditionalFormatting>
  <conditionalFormatting sqref="N43">
    <cfRule type="cellIs" dxfId="12775" priority="5611" operator="greaterThan">
      <formula>0.9</formula>
    </cfRule>
    <cfRule type="cellIs" dxfId="12774" priority="5612" operator="greaterThan">
      <formula>0.85</formula>
    </cfRule>
  </conditionalFormatting>
  <conditionalFormatting sqref="E43">
    <cfRule type="expression" dxfId="12773" priority="5607">
      <formula>AND(IF(OR($Q43=1,$Q43=2),1,0),IF($X43&lt;=20,1,0))</formula>
    </cfRule>
    <cfRule type="expression" dxfId="12772" priority="5608">
      <formula>AND(IF($Q43=2,1,0),IF($X43&lt;30,1,0))</formula>
    </cfRule>
    <cfRule type="expression" dxfId="12771" priority="5609">
      <formula>AND(IF($Q43=3,1,0),IF($X43&lt;30,1,0))</formula>
    </cfRule>
    <cfRule type="expression" dxfId="12770" priority="5610">
      <formula>AND(IF($Q43=3,1,IF($Q43=4,1,0)),IF($F43&lt;=85,1,0))</formula>
    </cfRule>
  </conditionalFormatting>
  <conditionalFormatting sqref="X43">
    <cfRule type="expression" dxfId="12769" priority="5603">
      <formula>AND(IF(OR($Q43=1,$Q43=2),1,0),IF($X43&lt;=20,1,0))</formula>
    </cfRule>
    <cfRule type="expression" dxfId="12768" priority="5604">
      <formula>AND(IF($Q43=2,1,0),IF($X43&lt;30,1,0))</formula>
    </cfRule>
    <cfRule type="expression" dxfId="12767" priority="5605">
      <formula>AND(IF($Q43=3,1,0),IF($X43&lt;30,1,0))</formula>
    </cfRule>
    <cfRule type="expression" dxfId="12766" priority="5606">
      <formula>AND(IF($Q43=3,1,IF($Q43=4,1,0)),IF($F43&lt;=85,1,0))</formula>
    </cfRule>
  </conditionalFormatting>
  <conditionalFormatting sqref="AI43">
    <cfRule type="expression" dxfId="12765" priority="5599">
      <formula>AND(IF(OR($Q43=1,$Q43=2),1,0),IF($X43&lt;=20,1,0))</formula>
    </cfRule>
    <cfRule type="expression" dxfId="12764" priority="5600">
      <formula>AND(IF($Q43=2,1,0),IF($X43&lt;30,1,0))</formula>
    </cfRule>
    <cfRule type="expression" dxfId="12763" priority="5601">
      <formula>AND(IF($Q43=3,1,0),IF($X43&lt;30,1,0))</formula>
    </cfRule>
    <cfRule type="expression" dxfId="12762" priority="5602">
      <formula>AND(IF($Q43=3,1,IF($Q43=4,1,0)),IF($F43&lt;=85,1,0))</formula>
    </cfRule>
  </conditionalFormatting>
  <conditionalFormatting sqref="AV44">
    <cfRule type="expression" dxfId="12761" priority="5597">
      <formula>AV44="X"</formula>
    </cfRule>
    <cfRule type="expression" dxfId="12760" priority="5598">
      <formula>AV44="후보"</formula>
    </cfRule>
  </conditionalFormatting>
  <conditionalFormatting sqref="AC44">
    <cfRule type="cellIs" dxfId="12759" priority="5595" operator="greaterThan">
      <formula>0.9</formula>
    </cfRule>
    <cfRule type="cellIs" dxfId="12758" priority="5596" operator="greaterThan">
      <formula>0.85</formula>
    </cfRule>
  </conditionalFormatting>
  <conditionalFormatting sqref="N44">
    <cfRule type="cellIs" dxfId="12757" priority="5593" operator="greaterThan">
      <formula>0.9</formula>
    </cfRule>
    <cfRule type="cellIs" dxfId="12756" priority="5594" operator="greaterThan">
      <formula>0.85</formula>
    </cfRule>
  </conditionalFormatting>
  <conditionalFormatting sqref="E44">
    <cfRule type="expression" dxfId="12755" priority="5589">
      <formula>AND(IF(OR($Q44=1,$Q44=2),1,0),IF($X44&lt;=20,1,0))</formula>
    </cfRule>
    <cfRule type="expression" dxfId="12754" priority="5590">
      <formula>AND(IF($Q44=2,1,0),IF($X44&lt;30,1,0))</formula>
    </cfRule>
    <cfRule type="expression" dxfId="12753" priority="5591">
      <formula>AND(IF($Q44=3,1,0),IF($X44&lt;30,1,0))</formula>
    </cfRule>
    <cfRule type="expression" dxfId="12752" priority="5592">
      <formula>AND(IF($Q44=3,1,IF($Q44=4,1,0)),IF($F44&lt;=85,1,0))</formula>
    </cfRule>
  </conditionalFormatting>
  <conditionalFormatting sqref="X44">
    <cfRule type="expression" dxfId="12751" priority="5585">
      <formula>AND(IF(OR($Q44=1,$Q44=2),1,0),IF($X44&lt;=20,1,0))</formula>
    </cfRule>
    <cfRule type="expression" dxfId="12750" priority="5586">
      <formula>AND(IF($Q44=2,1,0),IF($X44&lt;30,1,0))</formula>
    </cfRule>
    <cfRule type="expression" dxfId="12749" priority="5587">
      <formula>AND(IF($Q44=3,1,0),IF($X44&lt;30,1,0))</formula>
    </cfRule>
    <cfRule type="expression" dxfId="12748" priority="5588">
      <formula>AND(IF($Q44=3,1,IF($Q44=4,1,0)),IF($F44&lt;=85,1,0))</formula>
    </cfRule>
  </conditionalFormatting>
  <conditionalFormatting sqref="AI44">
    <cfRule type="expression" dxfId="12747" priority="5581">
      <formula>AND(IF(OR($Q44=1,$Q44=2),1,0),IF($X44&lt;=20,1,0))</formula>
    </cfRule>
    <cfRule type="expression" dxfId="12746" priority="5582">
      <formula>AND(IF($Q44=2,1,0),IF($X44&lt;30,1,0))</formula>
    </cfRule>
    <cfRule type="expression" dxfId="12745" priority="5583">
      <formula>AND(IF($Q44=3,1,0),IF($X44&lt;30,1,0))</formula>
    </cfRule>
    <cfRule type="expression" dxfId="12744" priority="5584">
      <formula>AND(IF($Q44=3,1,IF($Q44=4,1,0)),IF($F44&lt;=85,1,0))</formula>
    </cfRule>
  </conditionalFormatting>
  <conditionalFormatting sqref="AV45">
    <cfRule type="expression" dxfId="12743" priority="5579">
      <formula>AV45="X"</formula>
    </cfRule>
    <cfRule type="expression" dxfId="12742" priority="5580">
      <formula>AV45="후보"</formula>
    </cfRule>
  </conditionalFormatting>
  <conditionalFormatting sqref="AC45">
    <cfRule type="cellIs" dxfId="12741" priority="5577" operator="greaterThan">
      <formula>0.9</formula>
    </cfRule>
    <cfRule type="cellIs" dxfId="12740" priority="5578" operator="greaterThan">
      <formula>0.85</formula>
    </cfRule>
  </conditionalFormatting>
  <conditionalFormatting sqref="N45">
    <cfRule type="cellIs" dxfId="12739" priority="5575" operator="greaterThan">
      <formula>0.9</formula>
    </cfRule>
    <cfRule type="cellIs" dxfId="12738" priority="5576" operator="greaterThan">
      <formula>0.85</formula>
    </cfRule>
  </conditionalFormatting>
  <conditionalFormatting sqref="E45">
    <cfRule type="expression" dxfId="12737" priority="5571">
      <formula>AND(IF(OR($Q45=1,$Q45=2),1,0),IF($X45&lt;=20,1,0))</formula>
    </cfRule>
    <cfRule type="expression" dxfId="12736" priority="5572">
      <formula>AND(IF($Q45=2,1,0),IF($X45&lt;30,1,0))</formula>
    </cfRule>
    <cfRule type="expression" dxfId="12735" priority="5573">
      <formula>AND(IF($Q45=3,1,0),IF($X45&lt;30,1,0))</formula>
    </cfRule>
    <cfRule type="expression" dxfId="12734" priority="5574">
      <formula>AND(IF($Q45=3,1,IF($Q45=4,1,0)),IF($F45&lt;=85,1,0))</formula>
    </cfRule>
  </conditionalFormatting>
  <conditionalFormatting sqref="X45">
    <cfRule type="expression" dxfId="12733" priority="5567">
      <formula>AND(IF(OR($Q45=1,$Q45=2),1,0),IF($X45&lt;=20,1,0))</formula>
    </cfRule>
    <cfRule type="expression" dxfId="12732" priority="5568">
      <formula>AND(IF($Q45=2,1,0),IF($X45&lt;30,1,0))</formula>
    </cfRule>
    <cfRule type="expression" dxfId="12731" priority="5569">
      <formula>AND(IF($Q45=3,1,0),IF($X45&lt;30,1,0))</formula>
    </cfRule>
    <cfRule type="expression" dxfId="12730" priority="5570">
      <formula>AND(IF($Q45=3,1,IF($Q45=4,1,0)),IF($F45&lt;=85,1,0))</formula>
    </cfRule>
  </conditionalFormatting>
  <conditionalFormatting sqref="AI45">
    <cfRule type="expression" dxfId="12729" priority="5563">
      <formula>AND(IF(OR($Q45=1,$Q45=2),1,0),IF($X45&lt;=20,1,0))</formula>
    </cfRule>
    <cfRule type="expression" dxfId="12728" priority="5564">
      <formula>AND(IF($Q45=2,1,0),IF($X45&lt;30,1,0))</formula>
    </cfRule>
    <cfRule type="expression" dxfId="12727" priority="5565">
      <formula>AND(IF($Q45=3,1,0),IF($X45&lt;30,1,0))</formula>
    </cfRule>
    <cfRule type="expression" dxfId="12726" priority="5566">
      <formula>AND(IF($Q45=3,1,IF($Q45=4,1,0)),IF($F45&lt;=85,1,0))</formula>
    </cfRule>
  </conditionalFormatting>
  <conditionalFormatting sqref="AV46">
    <cfRule type="expression" dxfId="12725" priority="5561">
      <formula>AV46="X"</formula>
    </cfRule>
    <cfRule type="expression" dxfId="12724" priority="5562">
      <formula>AV46="후보"</formula>
    </cfRule>
  </conditionalFormatting>
  <conditionalFormatting sqref="AC46">
    <cfRule type="cellIs" dxfId="12723" priority="5559" operator="greaterThan">
      <formula>0.9</formula>
    </cfRule>
    <cfRule type="cellIs" dxfId="12722" priority="5560" operator="greaterThan">
      <formula>0.85</formula>
    </cfRule>
  </conditionalFormatting>
  <conditionalFormatting sqref="N46">
    <cfRule type="cellIs" dxfId="12721" priority="5557" operator="greaterThan">
      <formula>0.9</formula>
    </cfRule>
    <cfRule type="cellIs" dxfId="12720" priority="5558" operator="greaterThan">
      <formula>0.85</formula>
    </cfRule>
  </conditionalFormatting>
  <conditionalFormatting sqref="E46">
    <cfRule type="expression" dxfId="12719" priority="5553">
      <formula>AND(IF(OR($Q46=1,$Q46=2),1,0),IF($X46&lt;=20,1,0))</formula>
    </cfRule>
    <cfRule type="expression" dxfId="12718" priority="5554">
      <formula>AND(IF($Q46=2,1,0),IF($X46&lt;30,1,0))</formula>
    </cfRule>
    <cfRule type="expression" dxfId="12717" priority="5555">
      <formula>AND(IF($Q46=3,1,0),IF($X46&lt;30,1,0))</formula>
    </cfRule>
    <cfRule type="expression" dxfId="12716" priority="5556">
      <formula>AND(IF($Q46=3,1,IF($Q46=4,1,0)),IF($F46&lt;=85,1,0))</formula>
    </cfRule>
  </conditionalFormatting>
  <conditionalFormatting sqref="X46">
    <cfRule type="expression" dxfId="12715" priority="5549">
      <formula>AND(IF(OR($Q46=1,$Q46=2),1,0),IF($X46&lt;=20,1,0))</formula>
    </cfRule>
    <cfRule type="expression" dxfId="12714" priority="5550">
      <formula>AND(IF($Q46=2,1,0),IF($X46&lt;30,1,0))</formula>
    </cfRule>
    <cfRule type="expression" dxfId="12713" priority="5551">
      <formula>AND(IF($Q46=3,1,0),IF($X46&lt;30,1,0))</formula>
    </cfRule>
    <cfRule type="expression" dxfId="12712" priority="5552">
      <formula>AND(IF($Q46=3,1,IF($Q46=4,1,0)),IF($F46&lt;=85,1,0))</formula>
    </cfRule>
  </conditionalFormatting>
  <conditionalFormatting sqref="AI46">
    <cfRule type="expression" dxfId="12711" priority="5545">
      <formula>AND(IF(OR($Q46=1,$Q46=2),1,0),IF($X46&lt;=20,1,0))</formula>
    </cfRule>
    <cfRule type="expression" dxfId="12710" priority="5546">
      <formula>AND(IF($Q46=2,1,0),IF($X46&lt;30,1,0))</formula>
    </cfRule>
    <cfRule type="expression" dxfId="12709" priority="5547">
      <formula>AND(IF($Q46=3,1,0),IF($X46&lt;30,1,0))</formula>
    </cfRule>
    <cfRule type="expression" dxfId="12708" priority="5548">
      <formula>AND(IF($Q46=3,1,IF($Q46=4,1,0)),IF($F46&lt;=85,1,0))</formula>
    </cfRule>
  </conditionalFormatting>
  <conditionalFormatting sqref="AV47">
    <cfRule type="expression" dxfId="12707" priority="5543">
      <formula>AV47="X"</formula>
    </cfRule>
    <cfRule type="expression" dxfId="12706" priority="5544">
      <formula>AV47="후보"</formula>
    </cfRule>
  </conditionalFormatting>
  <conditionalFormatting sqref="AC47">
    <cfRule type="cellIs" dxfId="12705" priority="5541" operator="greaterThan">
      <formula>0.9</formula>
    </cfRule>
    <cfRule type="cellIs" dxfId="12704" priority="5542" operator="greaterThan">
      <formula>0.85</formula>
    </cfRule>
  </conditionalFormatting>
  <conditionalFormatting sqref="N47">
    <cfRule type="cellIs" dxfId="12703" priority="5539" operator="greaterThan">
      <formula>0.9</formula>
    </cfRule>
    <cfRule type="cellIs" dxfId="12702" priority="5540" operator="greaterThan">
      <formula>0.85</formula>
    </cfRule>
  </conditionalFormatting>
  <conditionalFormatting sqref="E47">
    <cfRule type="expression" dxfId="12701" priority="5535">
      <formula>AND(IF(OR($Q47=1,$Q47=2),1,0),IF($X47&lt;=20,1,0))</formula>
    </cfRule>
    <cfRule type="expression" dxfId="12700" priority="5536">
      <formula>AND(IF($Q47=2,1,0),IF($X47&lt;30,1,0))</formula>
    </cfRule>
    <cfRule type="expression" dxfId="12699" priority="5537">
      <formula>AND(IF($Q47=3,1,0),IF($X47&lt;30,1,0))</formula>
    </cfRule>
    <cfRule type="expression" dxfId="12698" priority="5538">
      <formula>AND(IF($Q47=3,1,IF($Q47=4,1,0)),IF($F47&lt;=85,1,0))</formula>
    </cfRule>
  </conditionalFormatting>
  <conditionalFormatting sqref="X47">
    <cfRule type="expression" dxfId="12697" priority="5531">
      <formula>AND(IF(OR($Q47=1,$Q47=2),1,0),IF($X47&lt;=20,1,0))</formula>
    </cfRule>
    <cfRule type="expression" dxfId="12696" priority="5532">
      <formula>AND(IF($Q47=2,1,0),IF($X47&lt;30,1,0))</formula>
    </cfRule>
    <cfRule type="expression" dxfId="12695" priority="5533">
      <formula>AND(IF($Q47=3,1,0),IF($X47&lt;30,1,0))</formula>
    </cfRule>
    <cfRule type="expression" dxfId="12694" priority="5534">
      <formula>AND(IF($Q47=3,1,IF($Q47=4,1,0)),IF($F47&lt;=85,1,0))</formula>
    </cfRule>
  </conditionalFormatting>
  <conditionalFormatting sqref="AI47">
    <cfRule type="expression" dxfId="12693" priority="5527">
      <formula>AND(IF(OR($Q47=1,$Q47=2),1,0),IF($X47&lt;=20,1,0))</formula>
    </cfRule>
    <cfRule type="expression" dxfId="12692" priority="5528">
      <formula>AND(IF($Q47=2,1,0),IF($X47&lt;30,1,0))</formula>
    </cfRule>
    <cfRule type="expression" dxfId="12691" priority="5529">
      <formula>AND(IF($Q47=3,1,0),IF($X47&lt;30,1,0))</formula>
    </cfRule>
    <cfRule type="expression" dxfId="12690" priority="5530">
      <formula>AND(IF($Q47=3,1,IF($Q47=4,1,0)),IF($F47&lt;=85,1,0))</formula>
    </cfRule>
  </conditionalFormatting>
  <conditionalFormatting sqref="AV48">
    <cfRule type="expression" dxfId="12689" priority="5525">
      <formula>AV48="X"</formula>
    </cfRule>
    <cfRule type="expression" dxfId="12688" priority="5526">
      <formula>AV48="후보"</formula>
    </cfRule>
  </conditionalFormatting>
  <conditionalFormatting sqref="AC48">
    <cfRule type="cellIs" dxfId="12687" priority="5523" operator="greaterThan">
      <formula>0.9</formula>
    </cfRule>
    <cfRule type="cellIs" dxfId="12686" priority="5524" operator="greaterThan">
      <formula>0.85</formula>
    </cfRule>
  </conditionalFormatting>
  <conditionalFormatting sqref="N48">
    <cfRule type="cellIs" dxfId="12685" priority="5521" operator="greaterThan">
      <formula>0.9</formula>
    </cfRule>
    <cfRule type="cellIs" dxfId="12684" priority="5522" operator="greaterThan">
      <formula>0.85</formula>
    </cfRule>
  </conditionalFormatting>
  <conditionalFormatting sqref="E48">
    <cfRule type="expression" dxfId="12683" priority="5517">
      <formula>AND(IF(OR($Q48=1,$Q48=2),1,0),IF($X48&lt;=20,1,0))</formula>
    </cfRule>
    <cfRule type="expression" dxfId="12682" priority="5518">
      <formula>AND(IF($Q48=2,1,0),IF($X48&lt;30,1,0))</formula>
    </cfRule>
    <cfRule type="expression" dxfId="12681" priority="5519">
      <formula>AND(IF($Q48=3,1,0),IF($X48&lt;30,1,0))</formula>
    </cfRule>
    <cfRule type="expression" dxfId="12680" priority="5520">
      <formula>AND(IF($Q48=3,1,IF($Q48=4,1,0)),IF($F48&lt;=85,1,0))</formula>
    </cfRule>
  </conditionalFormatting>
  <conditionalFormatting sqref="X48">
    <cfRule type="expression" dxfId="12679" priority="5513">
      <formula>AND(IF(OR($Q48=1,$Q48=2),1,0),IF($X48&lt;=20,1,0))</formula>
    </cfRule>
    <cfRule type="expression" dxfId="12678" priority="5514">
      <formula>AND(IF($Q48=2,1,0),IF($X48&lt;30,1,0))</formula>
    </cfRule>
    <cfRule type="expression" dxfId="12677" priority="5515">
      <formula>AND(IF($Q48=3,1,0),IF($X48&lt;30,1,0))</formula>
    </cfRule>
    <cfRule type="expression" dxfId="12676" priority="5516">
      <formula>AND(IF($Q48=3,1,IF($Q48=4,1,0)),IF($F48&lt;=85,1,0))</formula>
    </cfRule>
  </conditionalFormatting>
  <conditionalFormatting sqref="AI48">
    <cfRule type="expression" dxfId="12675" priority="5509">
      <formula>AND(IF(OR($Q48=1,$Q48=2),1,0),IF($X48&lt;=20,1,0))</formula>
    </cfRule>
    <cfRule type="expression" dxfId="12674" priority="5510">
      <formula>AND(IF($Q48=2,1,0),IF($X48&lt;30,1,0))</formula>
    </cfRule>
    <cfRule type="expression" dxfId="12673" priority="5511">
      <formula>AND(IF($Q48=3,1,0),IF($X48&lt;30,1,0))</formula>
    </cfRule>
    <cfRule type="expression" dxfId="12672" priority="5512">
      <formula>AND(IF($Q48=3,1,IF($Q48=4,1,0)),IF($F48&lt;=85,1,0))</formula>
    </cfRule>
  </conditionalFormatting>
  <conditionalFormatting sqref="AV49">
    <cfRule type="expression" dxfId="12671" priority="5507">
      <formula>AV49="X"</formula>
    </cfRule>
    <cfRule type="expression" dxfId="12670" priority="5508">
      <formula>AV49="후보"</formula>
    </cfRule>
  </conditionalFormatting>
  <conditionalFormatting sqref="AC49">
    <cfRule type="cellIs" dxfId="12669" priority="5505" operator="greaterThan">
      <formula>0.9</formula>
    </cfRule>
    <cfRule type="cellIs" dxfId="12668" priority="5506" operator="greaterThan">
      <formula>0.85</formula>
    </cfRule>
  </conditionalFormatting>
  <conditionalFormatting sqref="N49">
    <cfRule type="cellIs" dxfId="12667" priority="5503" operator="greaterThan">
      <formula>0.9</formula>
    </cfRule>
    <cfRule type="cellIs" dxfId="12666" priority="5504" operator="greaterThan">
      <formula>0.85</formula>
    </cfRule>
  </conditionalFormatting>
  <conditionalFormatting sqref="E49">
    <cfRule type="expression" dxfId="12665" priority="5499">
      <formula>AND(IF(OR($Q49=1,$Q49=2),1,0),IF($X49&lt;=20,1,0))</formula>
    </cfRule>
    <cfRule type="expression" dxfId="12664" priority="5500">
      <formula>AND(IF($Q49=2,1,0),IF($X49&lt;30,1,0))</formula>
    </cfRule>
    <cfRule type="expression" dxfId="12663" priority="5501">
      <formula>AND(IF($Q49=3,1,0),IF($X49&lt;30,1,0))</formula>
    </cfRule>
    <cfRule type="expression" dxfId="12662" priority="5502">
      <formula>AND(IF($Q49=3,1,IF($Q49=4,1,0)),IF($F49&lt;=85,1,0))</formula>
    </cfRule>
  </conditionalFormatting>
  <conditionalFormatting sqref="X49">
    <cfRule type="expression" dxfId="12661" priority="5495">
      <formula>AND(IF(OR($Q49=1,$Q49=2),1,0),IF($X49&lt;=20,1,0))</formula>
    </cfRule>
    <cfRule type="expression" dxfId="12660" priority="5496">
      <formula>AND(IF($Q49=2,1,0),IF($X49&lt;30,1,0))</formula>
    </cfRule>
    <cfRule type="expression" dxfId="12659" priority="5497">
      <formula>AND(IF($Q49=3,1,0),IF($X49&lt;30,1,0))</formula>
    </cfRule>
    <cfRule type="expression" dxfId="12658" priority="5498">
      <formula>AND(IF($Q49=3,1,IF($Q49=4,1,0)),IF($F49&lt;=85,1,0))</formula>
    </cfRule>
  </conditionalFormatting>
  <conditionalFormatting sqref="AI49">
    <cfRule type="expression" dxfId="12657" priority="5491">
      <formula>AND(IF(OR($Q49=1,$Q49=2),1,0),IF($X49&lt;=20,1,0))</formula>
    </cfRule>
    <cfRule type="expression" dxfId="12656" priority="5492">
      <formula>AND(IF($Q49=2,1,0),IF($X49&lt;30,1,0))</formula>
    </cfRule>
    <cfRule type="expression" dxfId="12655" priority="5493">
      <formula>AND(IF($Q49=3,1,0),IF($X49&lt;30,1,0))</formula>
    </cfRule>
    <cfRule type="expression" dxfId="12654" priority="5494">
      <formula>AND(IF($Q49=3,1,IF($Q49=4,1,0)),IF($F49&lt;=85,1,0))</formula>
    </cfRule>
  </conditionalFormatting>
  <conditionalFormatting sqref="AV50">
    <cfRule type="expression" dxfId="12653" priority="5489">
      <formula>AV50="X"</formula>
    </cfRule>
    <cfRule type="expression" dxfId="12652" priority="5490">
      <formula>AV50="후보"</formula>
    </cfRule>
  </conditionalFormatting>
  <conditionalFormatting sqref="AC50">
    <cfRule type="cellIs" dxfId="12651" priority="5487" operator="greaterThan">
      <formula>0.9</formula>
    </cfRule>
    <cfRule type="cellIs" dxfId="12650" priority="5488" operator="greaterThan">
      <formula>0.85</formula>
    </cfRule>
  </conditionalFormatting>
  <conditionalFormatting sqref="N50">
    <cfRule type="cellIs" dxfId="12649" priority="5485" operator="greaterThan">
      <formula>0.9</formula>
    </cfRule>
    <cfRule type="cellIs" dxfId="12648" priority="5486" operator="greaterThan">
      <formula>0.85</formula>
    </cfRule>
  </conditionalFormatting>
  <conditionalFormatting sqref="E50">
    <cfRule type="expression" dxfId="12647" priority="5481">
      <formula>AND(IF(OR($Q50=1,$Q50=2),1,0),IF($X50&lt;=20,1,0))</formula>
    </cfRule>
    <cfRule type="expression" dxfId="12646" priority="5482">
      <formula>AND(IF($Q50=2,1,0),IF($X50&lt;30,1,0))</formula>
    </cfRule>
    <cfRule type="expression" dxfId="12645" priority="5483">
      <formula>AND(IF($Q50=3,1,0),IF($X50&lt;30,1,0))</formula>
    </cfRule>
    <cfRule type="expression" dxfId="12644" priority="5484">
      <formula>AND(IF($Q50=3,1,IF($Q50=4,1,0)),IF($F50&lt;=85,1,0))</formula>
    </cfRule>
  </conditionalFormatting>
  <conditionalFormatting sqref="X50">
    <cfRule type="expression" dxfId="12643" priority="5477">
      <formula>AND(IF(OR($Q50=1,$Q50=2),1,0),IF($X50&lt;=20,1,0))</formula>
    </cfRule>
    <cfRule type="expression" dxfId="12642" priority="5478">
      <formula>AND(IF($Q50=2,1,0),IF($X50&lt;30,1,0))</formula>
    </cfRule>
    <cfRule type="expression" dxfId="12641" priority="5479">
      <formula>AND(IF($Q50=3,1,0),IF($X50&lt;30,1,0))</formula>
    </cfRule>
    <cfRule type="expression" dxfId="12640" priority="5480">
      <formula>AND(IF($Q50=3,1,IF($Q50=4,1,0)),IF($F50&lt;=85,1,0))</formula>
    </cfRule>
  </conditionalFormatting>
  <conditionalFormatting sqref="AI50">
    <cfRule type="expression" dxfId="12639" priority="5473">
      <formula>AND(IF(OR($Q50=1,$Q50=2),1,0),IF($X50&lt;=20,1,0))</formula>
    </cfRule>
    <cfRule type="expression" dxfId="12638" priority="5474">
      <formula>AND(IF($Q50=2,1,0),IF($X50&lt;30,1,0))</formula>
    </cfRule>
    <cfRule type="expression" dxfId="12637" priority="5475">
      <formula>AND(IF($Q50=3,1,0),IF($X50&lt;30,1,0))</formula>
    </cfRule>
    <cfRule type="expression" dxfId="12636" priority="5476">
      <formula>AND(IF($Q50=3,1,IF($Q50=4,1,0)),IF($F50&lt;=85,1,0))</formula>
    </cfRule>
  </conditionalFormatting>
  <conditionalFormatting sqref="AV51">
    <cfRule type="expression" dxfId="12635" priority="5471">
      <formula>AV51="X"</formula>
    </cfRule>
    <cfRule type="expression" dxfId="12634" priority="5472">
      <formula>AV51="후보"</formula>
    </cfRule>
  </conditionalFormatting>
  <conditionalFormatting sqref="AC51">
    <cfRule type="cellIs" dxfId="12633" priority="5469" operator="greaterThan">
      <formula>0.9</formula>
    </cfRule>
    <cfRule type="cellIs" dxfId="12632" priority="5470" operator="greaterThan">
      <formula>0.85</formula>
    </cfRule>
  </conditionalFormatting>
  <conditionalFormatting sqref="N51">
    <cfRule type="cellIs" dxfId="12631" priority="5467" operator="greaterThan">
      <formula>0.9</formula>
    </cfRule>
    <cfRule type="cellIs" dxfId="12630" priority="5468" operator="greaterThan">
      <formula>0.85</formula>
    </cfRule>
  </conditionalFormatting>
  <conditionalFormatting sqref="E51">
    <cfRule type="expression" dxfId="12629" priority="5463">
      <formula>AND(IF(OR($Q51=1,$Q51=2),1,0),IF($X51&lt;=20,1,0))</formula>
    </cfRule>
    <cfRule type="expression" dxfId="12628" priority="5464">
      <formula>AND(IF($Q51=2,1,0),IF($X51&lt;30,1,0))</formula>
    </cfRule>
    <cfRule type="expression" dxfId="12627" priority="5465">
      <formula>AND(IF($Q51=3,1,0),IF($X51&lt;30,1,0))</formula>
    </cfRule>
    <cfRule type="expression" dxfId="12626" priority="5466">
      <formula>AND(IF($Q51=3,1,IF($Q51=4,1,0)),IF($F51&lt;=85,1,0))</formula>
    </cfRule>
  </conditionalFormatting>
  <conditionalFormatting sqref="X51">
    <cfRule type="expression" dxfId="12625" priority="5459">
      <formula>AND(IF(OR($Q51=1,$Q51=2),1,0),IF($X51&lt;=20,1,0))</formula>
    </cfRule>
    <cfRule type="expression" dxfId="12624" priority="5460">
      <formula>AND(IF($Q51=2,1,0),IF($X51&lt;30,1,0))</formula>
    </cfRule>
    <cfRule type="expression" dxfId="12623" priority="5461">
      <formula>AND(IF($Q51=3,1,0),IF($X51&lt;30,1,0))</formula>
    </cfRule>
    <cfRule type="expression" dxfId="12622" priority="5462">
      <formula>AND(IF($Q51=3,1,IF($Q51=4,1,0)),IF($F51&lt;=85,1,0))</formula>
    </cfRule>
  </conditionalFormatting>
  <conditionalFormatting sqref="AI51">
    <cfRule type="expression" dxfId="12621" priority="5455">
      <formula>AND(IF(OR($Q51=1,$Q51=2),1,0),IF($X51&lt;=20,1,0))</formula>
    </cfRule>
    <cfRule type="expression" dxfId="12620" priority="5456">
      <formula>AND(IF($Q51=2,1,0),IF($X51&lt;30,1,0))</formula>
    </cfRule>
    <cfRule type="expression" dxfId="12619" priority="5457">
      <formula>AND(IF($Q51=3,1,0),IF($X51&lt;30,1,0))</formula>
    </cfRule>
    <cfRule type="expression" dxfId="12618" priority="5458">
      <formula>AND(IF($Q51=3,1,IF($Q51=4,1,0)),IF($F51&lt;=85,1,0))</formula>
    </cfRule>
  </conditionalFormatting>
  <conditionalFormatting sqref="AV52">
    <cfRule type="expression" dxfId="12617" priority="5453">
      <formula>AV52="X"</formula>
    </cfRule>
    <cfRule type="expression" dxfId="12616" priority="5454">
      <formula>AV52="후보"</formula>
    </cfRule>
  </conditionalFormatting>
  <conditionalFormatting sqref="AC52">
    <cfRule type="cellIs" dxfId="12615" priority="5451" operator="greaterThan">
      <formula>0.9</formula>
    </cfRule>
    <cfRule type="cellIs" dxfId="12614" priority="5452" operator="greaterThan">
      <formula>0.85</formula>
    </cfRule>
  </conditionalFormatting>
  <conditionalFormatting sqref="N52">
    <cfRule type="cellIs" dxfId="12613" priority="5449" operator="greaterThan">
      <formula>0.9</formula>
    </cfRule>
    <cfRule type="cellIs" dxfId="12612" priority="5450" operator="greaterThan">
      <formula>0.85</formula>
    </cfRule>
  </conditionalFormatting>
  <conditionalFormatting sqref="E52">
    <cfRule type="expression" dxfId="12611" priority="5445">
      <formula>AND(IF(OR($Q52=1,$Q52=2),1,0),IF($X52&lt;=20,1,0))</formula>
    </cfRule>
    <cfRule type="expression" dxfId="12610" priority="5446">
      <formula>AND(IF($Q52=2,1,0),IF($X52&lt;30,1,0))</formula>
    </cfRule>
    <cfRule type="expression" dxfId="12609" priority="5447">
      <formula>AND(IF($Q52=3,1,0),IF($X52&lt;30,1,0))</formula>
    </cfRule>
    <cfRule type="expression" dxfId="12608" priority="5448">
      <formula>AND(IF($Q52=3,1,IF($Q52=4,1,0)),IF($F52&lt;=85,1,0))</formula>
    </cfRule>
  </conditionalFormatting>
  <conditionalFormatting sqref="X52">
    <cfRule type="expression" dxfId="12607" priority="5441">
      <formula>AND(IF(OR($Q52=1,$Q52=2),1,0),IF($X52&lt;=20,1,0))</formula>
    </cfRule>
    <cfRule type="expression" dxfId="12606" priority="5442">
      <formula>AND(IF($Q52=2,1,0),IF($X52&lt;30,1,0))</formula>
    </cfRule>
    <cfRule type="expression" dxfId="12605" priority="5443">
      <formula>AND(IF($Q52=3,1,0),IF($X52&lt;30,1,0))</formula>
    </cfRule>
    <cfRule type="expression" dxfId="12604" priority="5444">
      <formula>AND(IF($Q52=3,1,IF($Q52=4,1,0)),IF($F52&lt;=85,1,0))</formula>
    </cfRule>
  </conditionalFormatting>
  <conditionalFormatting sqref="AI52">
    <cfRule type="expression" dxfId="12603" priority="5437">
      <formula>AND(IF(OR($Q52=1,$Q52=2),1,0),IF($X52&lt;=20,1,0))</formula>
    </cfRule>
    <cfRule type="expression" dxfId="12602" priority="5438">
      <formula>AND(IF($Q52=2,1,0),IF($X52&lt;30,1,0))</formula>
    </cfRule>
    <cfRule type="expression" dxfId="12601" priority="5439">
      <formula>AND(IF($Q52=3,1,0),IF($X52&lt;30,1,0))</formula>
    </cfRule>
    <cfRule type="expression" dxfId="12600" priority="5440">
      <formula>AND(IF($Q52=3,1,IF($Q52=4,1,0)),IF($F52&lt;=85,1,0))</formula>
    </cfRule>
  </conditionalFormatting>
  <conditionalFormatting sqref="AV53">
    <cfRule type="expression" dxfId="12599" priority="5435">
      <formula>AV53="X"</formula>
    </cfRule>
    <cfRule type="expression" dxfId="12598" priority="5436">
      <formula>AV53="후보"</formula>
    </cfRule>
  </conditionalFormatting>
  <conditionalFormatting sqref="AC53">
    <cfRule type="cellIs" dxfId="12597" priority="5433" operator="greaterThan">
      <formula>0.9</formula>
    </cfRule>
    <cfRule type="cellIs" dxfId="12596" priority="5434" operator="greaterThan">
      <formula>0.85</formula>
    </cfRule>
  </conditionalFormatting>
  <conditionalFormatting sqref="N53">
    <cfRule type="cellIs" dxfId="12595" priority="5431" operator="greaterThan">
      <formula>0.9</formula>
    </cfRule>
    <cfRule type="cellIs" dxfId="12594" priority="5432" operator="greaterThan">
      <formula>0.85</formula>
    </cfRule>
  </conditionalFormatting>
  <conditionalFormatting sqref="E53">
    <cfRule type="expression" dxfId="12593" priority="5427">
      <formula>AND(IF(OR($Q53=1,$Q53=2),1,0),IF($X53&lt;=20,1,0))</formula>
    </cfRule>
    <cfRule type="expression" dxfId="12592" priority="5428">
      <formula>AND(IF($Q53=2,1,0),IF($X53&lt;30,1,0))</formula>
    </cfRule>
    <cfRule type="expression" dxfId="12591" priority="5429">
      <formula>AND(IF($Q53=3,1,0),IF($X53&lt;30,1,0))</formula>
    </cfRule>
    <cfRule type="expression" dxfId="12590" priority="5430">
      <formula>AND(IF($Q53=3,1,IF($Q53=4,1,0)),IF($F53&lt;=85,1,0))</formula>
    </cfRule>
  </conditionalFormatting>
  <conditionalFormatting sqref="X53">
    <cfRule type="expression" dxfId="12589" priority="5423">
      <formula>AND(IF(OR($Q53=1,$Q53=2),1,0),IF($X53&lt;=20,1,0))</formula>
    </cfRule>
    <cfRule type="expression" dxfId="12588" priority="5424">
      <formula>AND(IF($Q53=2,1,0),IF($X53&lt;30,1,0))</formula>
    </cfRule>
    <cfRule type="expression" dxfId="12587" priority="5425">
      <formula>AND(IF($Q53=3,1,0),IF($X53&lt;30,1,0))</formula>
    </cfRule>
    <cfRule type="expression" dxfId="12586" priority="5426">
      <formula>AND(IF($Q53=3,1,IF($Q53=4,1,0)),IF($F53&lt;=85,1,0))</formula>
    </cfRule>
  </conditionalFormatting>
  <conditionalFormatting sqref="AI53">
    <cfRule type="expression" dxfId="12585" priority="5419">
      <formula>AND(IF(OR($Q53=1,$Q53=2),1,0),IF($X53&lt;=20,1,0))</formula>
    </cfRule>
    <cfRule type="expression" dxfId="12584" priority="5420">
      <formula>AND(IF($Q53=2,1,0),IF($X53&lt;30,1,0))</formula>
    </cfRule>
    <cfRule type="expression" dxfId="12583" priority="5421">
      <formula>AND(IF($Q53=3,1,0),IF($X53&lt;30,1,0))</formula>
    </cfRule>
    <cfRule type="expression" dxfId="12582" priority="5422">
      <formula>AND(IF($Q53=3,1,IF($Q53=4,1,0)),IF($F53&lt;=85,1,0))</formula>
    </cfRule>
  </conditionalFormatting>
  <conditionalFormatting sqref="AV54">
    <cfRule type="expression" dxfId="12581" priority="5417">
      <formula>AV54="X"</formula>
    </cfRule>
    <cfRule type="expression" dxfId="12580" priority="5418">
      <formula>AV54="후보"</formula>
    </cfRule>
  </conditionalFormatting>
  <conditionalFormatting sqref="AC54">
    <cfRule type="cellIs" dxfId="12579" priority="5415" operator="greaterThan">
      <formula>0.9</formula>
    </cfRule>
    <cfRule type="cellIs" dxfId="12578" priority="5416" operator="greaterThan">
      <formula>0.85</formula>
    </cfRule>
  </conditionalFormatting>
  <conditionalFormatting sqref="N54">
    <cfRule type="cellIs" dxfId="12577" priority="5413" operator="greaterThan">
      <formula>0.9</formula>
    </cfRule>
    <cfRule type="cellIs" dxfId="12576" priority="5414" operator="greaterThan">
      <formula>0.85</formula>
    </cfRule>
  </conditionalFormatting>
  <conditionalFormatting sqref="E54">
    <cfRule type="expression" dxfId="12575" priority="5409">
      <formula>AND(IF(OR($Q54=1,$Q54=2),1,0),IF($X54&lt;=20,1,0))</formula>
    </cfRule>
    <cfRule type="expression" dxfId="12574" priority="5410">
      <formula>AND(IF($Q54=2,1,0),IF($X54&lt;30,1,0))</formula>
    </cfRule>
    <cfRule type="expression" dxfId="12573" priority="5411">
      <formula>AND(IF($Q54=3,1,0),IF($X54&lt;30,1,0))</formula>
    </cfRule>
    <cfRule type="expression" dxfId="12572" priority="5412">
      <formula>AND(IF($Q54=3,1,IF($Q54=4,1,0)),IF($F54&lt;=85,1,0))</formula>
    </cfRule>
  </conditionalFormatting>
  <conditionalFormatting sqref="X54">
    <cfRule type="expression" dxfId="12571" priority="5405">
      <formula>AND(IF(OR($Q54=1,$Q54=2),1,0),IF($X54&lt;=20,1,0))</formula>
    </cfRule>
    <cfRule type="expression" dxfId="12570" priority="5406">
      <formula>AND(IF($Q54=2,1,0),IF($X54&lt;30,1,0))</formula>
    </cfRule>
    <cfRule type="expression" dxfId="12569" priority="5407">
      <formula>AND(IF($Q54=3,1,0),IF($X54&lt;30,1,0))</formula>
    </cfRule>
    <cfRule type="expression" dxfId="12568" priority="5408">
      <formula>AND(IF($Q54=3,1,IF($Q54=4,1,0)),IF($F54&lt;=85,1,0))</formula>
    </cfRule>
  </conditionalFormatting>
  <conditionalFormatting sqref="AI54">
    <cfRule type="expression" dxfId="12567" priority="5401">
      <formula>AND(IF(OR($Q54=1,$Q54=2),1,0),IF($X54&lt;=20,1,0))</formula>
    </cfRule>
    <cfRule type="expression" dxfId="12566" priority="5402">
      <formula>AND(IF($Q54=2,1,0),IF($X54&lt;30,1,0))</formula>
    </cfRule>
    <cfRule type="expression" dxfId="12565" priority="5403">
      <formula>AND(IF($Q54=3,1,0),IF($X54&lt;30,1,0))</formula>
    </cfRule>
    <cfRule type="expression" dxfId="12564" priority="5404">
      <formula>AND(IF($Q54=3,1,IF($Q54=4,1,0)),IF($F54&lt;=85,1,0))</formula>
    </cfRule>
  </conditionalFormatting>
  <conditionalFormatting sqref="AV55">
    <cfRule type="expression" dxfId="12563" priority="5399">
      <formula>AV55="X"</formula>
    </cfRule>
    <cfRule type="expression" dxfId="12562" priority="5400">
      <formula>AV55="후보"</formula>
    </cfRule>
  </conditionalFormatting>
  <conditionalFormatting sqref="AC55">
    <cfRule type="cellIs" dxfId="12561" priority="5397" operator="greaterThan">
      <formula>0.9</formula>
    </cfRule>
    <cfRule type="cellIs" dxfId="12560" priority="5398" operator="greaterThan">
      <formula>0.85</formula>
    </cfRule>
  </conditionalFormatting>
  <conditionalFormatting sqref="N55">
    <cfRule type="cellIs" dxfId="12559" priority="5395" operator="greaterThan">
      <formula>0.9</formula>
    </cfRule>
    <cfRule type="cellIs" dxfId="12558" priority="5396" operator="greaterThan">
      <formula>0.85</formula>
    </cfRule>
  </conditionalFormatting>
  <conditionalFormatting sqref="E55">
    <cfRule type="expression" dxfId="12557" priority="5391">
      <formula>AND(IF(OR($Q55=1,$Q55=2),1,0),IF($X55&lt;=20,1,0))</formula>
    </cfRule>
    <cfRule type="expression" dxfId="12556" priority="5392">
      <formula>AND(IF($Q55=2,1,0),IF($X55&lt;30,1,0))</formula>
    </cfRule>
    <cfRule type="expression" dxfId="12555" priority="5393">
      <formula>AND(IF($Q55=3,1,0),IF($X55&lt;30,1,0))</formula>
    </cfRule>
    <cfRule type="expression" dxfId="12554" priority="5394">
      <formula>AND(IF($Q55=3,1,IF($Q55=4,1,0)),IF($F55&lt;=85,1,0))</formula>
    </cfRule>
  </conditionalFormatting>
  <conditionalFormatting sqref="X55">
    <cfRule type="expression" dxfId="12553" priority="5387">
      <formula>AND(IF(OR($Q55=1,$Q55=2),1,0),IF($X55&lt;=20,1,0))</formula>
    </cfRule>
    <cfRule type="expression" dxfId="12552" priority="5388">
      <formula>AND(IF($Q55=2,1,0),IF($X55&lt;30,1,0))</formula>
    </cfRule>
    <cfRule type="expression" dxfId="12551" priority="5389">
      <formula>AND(IF($Q55=3,1,0),IF($X55&lt;30,1,0))</formula>
    </cfRule>
    <cfRule type="expression" dxfId="12550" priority="5390">
      <formula>AND(IF($Q55=3,1,IF($Q55=4,1,0)),IF($F55&lt;=85,1,0))</formula>
    </cfRule>
  </conditionalFormatting>
  <conditionalFormatting sqref="AI55">
    <cfRule type="expression" dxfId="12549" priority="5383">
      <formula>AND(IF(OR($Q55=1,$Q55=2),1,0),IF($X55&lt;=20,1,0))</formula>
    </cfRule>
    <cfRule type="expression" dxfId="12548" priority="5384">
      <formula>AND(IF($Q55=2,1,0),IF($X55&lt;30,1,0))</formula>
    </cfRule>
    <cfRule type="expression" dxfId="12547" priority="5385">
      <formula>AND(IF($Q55=3,1,0),IF($X55&lt;30,1,0))</formula>
    </cfRule>
    <cfRule type="expression" dxfId="12546" priority="5386">
      <formula>AND(IF($Q55=3,1,IF($Q55=4,1,0)),IF($F55&lt;=85,1,0))</formula>
    </cfRule>
  </conditionalFormatting>
  <conditionalFormatting sqref="AV56">
    <cfRule type="expression" dxfId="12545" priority="5381">
      <formula>AV56="X"</formula>
    </cfRule>
    <cfRule type="expression" dxfId="12544" priority="5382">
      <formula>AV56="후보"</formula>
    </cfRule>
  </conditionalFormatting>
  <conditionalFormatting sqref="AC56">
    <cfRule type="cellIs" dxfId="12543" priority="5379" operator="greaterThan">
      <formula>0.9</formula>
    </cfRule>
    <cfRule type="cellIs" dxfId="12542" priority="5380" operator="greaterThan">
      <formula>0.85</formula>
    </cfRule>
  </conditionalFormatting>
  <conditionalFormatting sqref="N56">
    <cfRule type="cellIs" dxfId="12541" priority="5377" operator="greaterThan">
      <formula>0.9</formula>
    </cfRule>
    <cfRule type="cellIs" dxfId="12540" priority="5378" operator="greaterThan">
      <formula>0.85</formula>
    </cfRule>
  </conditionalFormatting>
  <conditionalFormatting sqref="E56">
    <cfRule type="expression" dxfId="12539" priority="5373">
      <formula>AND(IF(OR($Q56=1,$Q56=2),1,0),IF($X56&lt;=20,1,0))</formula>
    </cfRule>
    <cfRule type="expression" dxfId="12538" priority="5374">
      <formula>AND(IF($Q56=2,1,0),IF($X56&lt;30,1,0))</formula>
    </cfRule>
    <cfRule type="expression" dxfId="12537" priority="5375">
      <formula>AND(IF($Q56=3,1,0),IF($X56&lt;30,1,0))</formula>
    </cfRule>
    <cfRule type="expression" dxfId="12536" priority="5376">
      <formula>AND(IF($Q56=3,1,IF($Q56=4,1,0)),IF($F56&lt;=85,1,0))</formula>
    </cfRule>
  </conditionalFormatting>
  <conditionalFormatting sqref="X56">
    <cfRule type="expression" dxfId="12535" priority="5369">
      <formula>AND(IF(OR($Q56=1,$Q56=2),1,0),IF($X56&lt;=20,1,0))</formula>
    </cfRule>
    <cfRule type="expression" dxfId="12534" priority="5370">
      <formula>AND(IF($Q56=2,1,0),IF($X56&lt;30,1,0))</formula>
    </cfRule>
    <cfRule type="expression" dxfId="12533" priority="5371">
      <formula>AND(IF($Q56=3,1,0),IF($X56&lt;30,1,0))</formula>
    </cfRule>
    <cfRule type="expression" dxfId="12532" priority="5372">
      <formula>AND(IF($Q56=3,1,IF($Q56=4,1,0)),IF($F56&lt;=85,1,0))</formula>
    </cfRule>
  </conditionalFormatting>
  <conditionalFormatting sqref="AI56">
    <cfRule type="expression" dxfId="12531" priority="5365">
      <formula>AND(IF(OR($Q56=1,$Q56=2),1,0),IF($X56&lt;=20,1,0))</formula>
    </cfRule>
    <cfRule type="expression" dxfId="12530" priority="5366">
      <formula>AND(IF($Q56=2,1,0),IF($X56&lt;30,1,0))</formula>
    </cfRule>
    <cfRule type="expression" dxfId="12529" priority="5367">
      <formula>AND(IF($Q56=3,1,0),IF($X56&lt;30,1,0))</formula>
    </cfRule>
    <cfRule type="expression" dxfId="12528" priority="5368">
      <formula>AND(IF($Q56=3,1,IF($Q56=4,1,0)),IF($F56&lt;=85,1,0))</formula>
    </cfRule>
  </conditionalFormatting>
  <conditionalFormatting sqref="AV57">
    <cfRule type="expression" dxfId="12527" priority="5363">
      <formula>AV57="X"</formula>
    </cfRule>
    <cfRule type="expression" dxfId="12526" priority="5364">
      <formula>AV57="후보"</formula>
    </cfRule>
  </conditionalFormatting>
  <conditionalFormatting sqref="AC57">
    <cfRule type="cellIs" dxfId="12525" priority="5361" operator="greaterThan">
      <formula>0.9</formula>
    </cfRule>
    <cfRule type="cellIs" dxfId="12524" priority="5362" operator="greaterThan">
      <formula>0.85</formula>
    </cfRule>
  </conditionalFormatting>
  <conditionalFormatting sqref="N57">
    <cfRule type="cellIs" dxfId="12523" priority="5359" operator="greaterThan">
      <formula>0.9</formula>
    </cfRule>
    <cfRule type="cellIs" dxfId="12522" priority="5360" operator="greaterThan">
      <formula>0.85</formula>
    </cfRule>
  </conditionalFormatting>
  <conditionalFormatting sqref="E57">
    <cfRule type="expression" dxfId="12521" priority="5355">
      <formula>AND(IF(OR($Q57=1,$Q57=2),1,0),IF($X57&lt;=20,1,0))</formula>
    </cfRule>
    <cfRule type="expression" dxfId="12520" priority="5356">
      <formula>AND(IF($Q57=2,1,0),IF($X57&lt;30,1,0))</formula>
    </cfRule>
    <cfRule type="expression" dxfId="12519" priority="5357">
      <formula>AND(IF($Q57=3,1,0),IF($X57&lt;30,1,0))</formula>
    </cfRule>
    <cfRule type="expression" dxfId="12518" priority="5358">
      <formula>AND(IF($Q57=3,1,IF($Q57=4,1,0)),IF($F57&lt;=85,1,0))</formula>
    </cfRule>
  </conditionalFormatting>
  <conditionalFormatting sqref="X57">
    <cfRule type="expression" dxfId="12517" priority="5351">
      <formula>AND(IF(OR($Q57=1,$Q57=2),1,0),IF($X57&lt;=20,1,0))</formula>
    </cfRule>
    <cfRule type="expression" dxfId="12516" priority="5352">
      <formula>AND(IF($Q57=2,1,0),IF($X57&lt;30,1,0))</formula>
    </cfRule>
    <cfRule type="expression" dxfId="12515" priority="5353">
      <formula>AND(IF($Q57=3,1,0),IF($X57&lt;30,1,0))</formula>
    </cfRule>
    <cfRule type="expression" dxfId="12514" priority="5354">
      <formula>AND(IF($Q57=3,1,IF($Q57=4,1,0)),IF($F57&lt;=85,1,0))</formula>
    </cfRule>
  </conditionalFormatting>
  <conditionalFormatting sqref="AI57">
    <cfRule type="expression" dxfId="12513" priority="5347">
      <formula>AND(IF(OR($Q57=1,$Q57=2),1,0),IF($X57&lt;=20,1,0))</formula>
    </cfRule>
    <cfRule type="expression" dxfId="12512" priority="5348">
      <formula>AND(IF($Q57=2,1,0),IF($X57&lt;30,1,0))</formula>
    </cfRule>
    <cfRule type="expression" dxfId="12511" priority="5349">
      <formula>AND(IF($Q57=3,1,0),IF($X57&lt;30,1,0))</formula>
    </cfRule>
    <cfRule type="expression" dxfId="12510" priority="5350">
      <formula>AND(IF($Q57=3,1,IF($Q57=4,1,0)),IF($F57&lt;=85,1,0))</formula>
    </cfRule>
  </conditionalFormatting>
  <conditionalFormatting sqref="AV58">
    <cfRule type="expression" dxfId="12509" priority="5345">
      <formula>AV58="X"</formula>
    </cfRule>
    <cfRule type="expression" dxfId="12508" priority="5346">
      <formula>AV58="후보"</formula>
    </cfRule>
  </conditionalFormatting>
  <conditionalFormatting sqref="AC58">
    <cfRule type="cellIs" dxfId="12507" priority="5343" operator="greaterThan">
      <formula>0.9</formula>
    </cfRule>
    <cfRule type="cellIs" dxfId="12506" priority="5344" operator="greaterThan">
      <formula>0.85</formula>
    </cfRule>
  </conditionalFormatting>
  <conditionalFormatting sqref="N58">
    <cfRule type="cellIs" dxfId="12505" priority="5341" operator="greaterThan">
      <formula>0.9</formula>
    </cfRule>
    <cfRule type="cellIs" dxfId="12504" priority="5342" operator="greaterThan">
      <formula>0.85</formula>
    </cfRule>
  </conditionalFormatting>
  <conditionalFormatting sqref="E58">
    <cfRule type="expression" dxfId="12503" priority="5337">
      <formula>AND(IF(OR($Q58=1,$Q58=2),1,0),IF($X58&lt;=20,1,0))</formula>
    </cfRule>
    <cfRule type="expression" dxfId="12502" priority="5338">
      <formula>AND(IF($Q58=2,1,0),IF($X58&lt;30,1,0))</formula>
    </cfRule>
    <cfRule type="expression" dxfId="12501" priority="5339">
      <formula>AND(IF($Q58=3,1,0),IF($X58&lt;30,1,0))</formula>
    </cfRule>
    <cfRule type="expression" dxfId="12500" priority="5340">
      <formula>AND(IF($Q58=3,1,IF($Q58=4,1,0)),IF($F58&lt;=85,1,0))</formula>
    </cfRule>
  </conditionalFormatting>
  <conditionalFormatting sqref="X58">
    <cfRule type="expression" dxfId="12499" priority="5333">
      <formula>AND(IF(OR($Q58=1,$Q58=2),1,0),IF($X58&lt;=20,1,0))</formula>
    </cfRule>
    <cfRule type="expression" dxfId="12498" priority="5334">
      <formula>AND(IF($Q58=2,1,0),IF($X58&lt;30,1,0))</formula>
    </cfRule>
    <cfRule type="expression" dxfId="12497" priority="5335">
      <formula>AND(IF($Q58=3,1,0),IF($X58&lt;30,1,0))</formula>
    </cfRule>
    <cfRule type="expression" dxfId="12496" priority="5336">
      <formula>AND(IF($Q58=3,1,IF($Q58=4,1,0)),IF($F58&lt;=85,1,0))</formula>
    </cfRule>
  </conditionalFormatting>
  <conditionalFormatting sqref="AI58">
    <cfRule type="expression" dxfId="12495" priority="5329">
      <formula>AND(IF(OR($Q58=1,$Q58=2),1,0),IF($X58&lt;=20,1,0))</formula>
    </cfRule>
    <cfRule type="expression" dxfId="12494" priority="5330">
      <formula>AND(IF($Q58=2,1,0),IF($X58&lt;30,1,0))</formula>
    </cfRule>
    <cfRule type="expression" dxfId="12493" priority="5331">
      <formula>AND(IF($Q58=3,1,0),IF($X58&lt;30,1,0))</formula>
    </cfRule>
    <cfRule type="expression" dxfId="12492" priority="5332">
      <formula>AND(IF($Q58=3,1,IF($Q58=4,1,0)),IF($F58&lt;=85,1,0))</formula>
    </cfRule>
  </conditionalFormatting>
  <conditionalFormatting sqref="AV59">
    <cfRule type="expression" dxfId="12491" priority="5327">
      <formula>AV59="X"</formula>
    </cfRule>
    <cfRule type="expression" dxfId="12490" priority="5328">
      <formula>AV59="후보"</formula>
    </cfRule>
  </conditionalFormatting>
  <conditionalFormatting sqref="AC59">
    <cfRule type="cellIs" dxfId="12489" priority="5325" operator="greaterThan">
      <formula>0.9</formula>
    </cfRule>
    <cfRule type="cellIs" dxfId="12488" priority="5326" operator="greaterThan">
      <formula>0.85</formula>
    </cfRule>
  </conditionalFormatting>
  <conditionalFormatting sqref="N59">
    <cfRule type="cellIs" dxfId="12487" priority="5323" operator="greaterThan">
      <formula>0.9</formula>
    </cfRule>
    <cfRule type="cellIs" dxfId="12486" priority="5324" operator="greaterThan">
      <formula>0.85</formula>
    </cfRule>
  </conditionalFormatting>
  <conditionalFormatting sqref="E59">
    <cfRule type="expression" dxfId="12485" priority="5319">
      <formula>AND(IF(OR($Q59=1,$Q59=2),1,0),IF($X59&lt;=20,1,0))</formula>
    </cfRule>
    <cfRule type="expression" dxfId="12484" priority="5320">
      <formula>AND(IF($Q59=2,1,0),IF($X59&lt;30,1,0))</formula>
    </cfRule>
    <cfRule type="expression" dxfId="12483" priority="5321">
      <formula>AND(IF($Q59=3,1,0),IF($X59&lt;30,1,0))</formula>
    </cfRule>
    <cfRule type="expression" dxfId="12482" priority="5322">
      <formula>AND(IF($Q59=3,1,IF($Q59=4,1,0)),IF($F59&lt;=85,1,0))</formula>
    </cfRule>
  </conditionalFormatting>
  <conditionalFormatting sqref="X59">
    <cfRule type="expression" dxfId="12481" priority="5315">
      <formula>AND(IF(OR($Q59=1,$Q59=2),1,0),IF($X59&lt;=20,1,0))</formula>
    </cfRule>
    <cfRule type="expression" dxfId="12480" priority="5316">
      <formula>AND(IF($Q59=2,1,0),IF($X59&lt;30,1,0))</formula>
    </cfRule>
    <cfRule type="expression" dxfId="12479" priority="5317">
      <formula>AND(IF($Q59=3,1,0),IF($X59&lt;30,1,0))</formula>
    </cfRule>
    <cfRule type="expression" dxfId="12478" priority="5318">
      <formula>AND(IF($Q59=3,1,IF($Q59=4,1,0)),IF($F59&lt;=85,1,0))</formula>
    </cfRule>
  </conditionalFormatting>
  <conditionalFormatting sqref="AI59">
    <cfRule type="expression" dxfId="12477" priority="5311">
      <formula>AND(IF(OR($Q59=1,$Q59=2),1,0),IF($X59&lt;=20,1,0))</formula>
    </cfRule>
    <cfRule type="expression" dxfId="12476" priority="5312">
      <formula>AND(IF($Q59=2,1,0),IF($X59&lt;30,1,0))</formula>
    </cfRule>
    <cfRule type="expression" dxfId="12475" priority="5313">
      <formula>AND(IF($Q59=3,1,0),IF($X59&lt;30,1,0))</formula>
    </cfRule>
    <cfRule type="expression" dxfId="12474" priority="5314">
      <formula>AND(IF($Q59=3,1,IF($Q59=4,1,0)),IF($F59&lt;=85,1,0))</formula>
    </cfRule>
  </conditionalFormatting>
  <conditionalFormatting sqref="AV60">
    <cfRule type="expression" dxfId="12473" priority="5309">
      <formula>AV60="X"</formula>
    </cfRule>
    <cfRule type="expression" dxfId="12472" priority="5310">
      <formula>AV60="후보"</formula>
    </cfRule>
  </conditionalFormatting>
  <conditionalFormatting sqref="AC60">
    <cfRule type="cellIs" dxfId="12471" priority="5307" operator="greaterThan">
      <formula>0.9</formula>
    </cfRule>
    <cfRule type="cellIs" dxfId="12470" priority="5308" operator="greaterThan">
      <formula>0.85</formula>
    </cfRule>
  </conditionalFormatting>
  <conditionalFormatting sqref="N60">
    <cfRule type="cellIs" dxfId="12469" priority="5305" operator="greaterThan">
      <formula>0.9</formula>
    </cfRule>
    <cfRule type="cellIs" dxfId="12468" priority="5306" operator="greaterThan">
      <formula>0.85</formula>
    </cfRule>
  </conditionalFormatting>
  <conditionalFormatting sqref="E60">
    <cfRule type="expression" dxfId="12467" priority="5301">
      <formula>AND(IF(OR($Q60=1,$Q60=2),1,0),IF($X60&lt;=20,1,0))</formula>
    </cfRule>
    <cfRule type="expression" dxfId="12466" priority="5302">
      <formula>AND(IF($Q60=2,1,0),IF($X60&lt;30,1,0))</formula>
    </cfRule>
    <cfRule type="expression" dxfId="12465" priority="5303">
      <formula>AND(IF($Q60=3,1,0),IF($X60&lt;30,1,0))</formula>
    </cfRule>
    <cfRule type="expression" dxfId="12464" priority="5304">
      <formula>AND(IF($Q60=3,1,IF($Q60=4,1,0)),IF($F60&lt;=85,1,0))</formula>
    </cfRule>
  </conditionalFormatting>
  <conditionalFormatting sqref="X60">
    <cfRule type="expression" dxfId="12463" priority="5297">
      <formula>AND(IF(OR($Q60=1,$Q60=2),1,0),IF($X60&lt;=20,1,0))</formula>
    </cfRule>
    <cfRule type="expression" dxfId="12462" priority="5298">
      <formula>AND(IF($Q60=2,1,0),IF($X60&lt;30,1,0))</formula>
    </cfRule>
    <cfRule type="expression" dxfId="12461" priority="5299">
      <formula>AND(IF($Q60=3,1,0),IF($X60&lt;30,1,0))</formula>
    </cfRule>
    <cfRule type="expression" dxfId="12460" priority="5300">
      <formula>AND(IF($Q60=3,1,IF($Q60=4,1,0)),IF($F60&lt;=85,1,0))</formula>
    </cfRule>
  </conditionalFormatting>
  <conditionalFormatting sqref="AI60">
    <cfRule type="expression" dxfId="12459" priority="5293">
      <formula>AND(IF(OR($Q60=1,$Q60=2),1,0),IF($X60&lt;=20,1,0))</formula>
    </cfRule>
    <cfRule type="expression" dxfId="12458" priority="5294">
      <formula>AND(IF($Q60=2,1,0),IF($X60&lt;30,1,0))</formula>
    </cfRule>
    <cfRule type="expression" dxfId="12457" priority="5295">
      <formula>AND(IF($Q60=3,1,0),IF($X60&lt;30,1,0))</formula>
    </cfRule>
    <cfRule type="expression" dxfId="12456" priority="5296">
      <formula>AND(IF($Q60=3,1,IF($Q60=4,1,0)),IF($F60&lt;=85,1,0))</formula>
    </cfRule>
  </conditionalFormatting>
  <conditionalFormatting sqref="AV61">
    <cfRule type="expression" dxfId="12455" priority="5291">
      <formula>AV61="X"</formula>
    </cfRule>
    <cfRule type="expression" dxfId="12454" priority="5292">
      <formula>AV61="후보"</formula>
    </cfRule>
  </conditionalFormatting>
  <conditionalFormatting sqref="AC61">
    <cfRule type="cellIs" dxfId="12453" priority="5289" operator="greaterThan">
      <formula>0.9</formula>
    </cfRule>
    <cfRule type="cellIs" dxfId="12452" priority="5290" operator="greaterThan">
      <formula>0.85</formula>
    </cfRule>
  </conditionalFormatting>
  <conditionalFormatting sqref="N61">
    <cfRule type="cellIs" dxfId="12451" priority="5287" operator="greaterThan">
      <formula>0.9</formula>
    </cfRule>
    <cfRule type="cellIs" dxfId="12450" priority="5288" operator="greaterThan">
      <formula>0.85</formula>
    </cfRule>
  </conditionalFormatting>
  <conditionalFormatting sqref="E61">
    <cfRule type="expression" dxfId="12449" priority="5283">
      <formula>AND(IF(OR($Q61=1,$Q61=2),1,0),IF($X61&lt;=20,1,0))</formula>
    </cfRule>
    <cfRule type="expression" dxfId="12448" priority="5284">
      <formula>AND(IF($Q61=2,1,0),IF($X61&lt;30,1,0))</formula>
    </cfRule>
    <cfRule type="expression" dxfId="12447" priority="5285">
      <formula>AND(IF($Q61=3,1,0),IF($X61&lt;30,1,0))</formula>
    </cfRule>
    <cfRule type="expression" dxfId="12446" priority="5286">
      <formula>AND(IF($Q61=3,1,IF($Q61=4,1,0)),IF($F61&lt;=85,1,0))</formula>
    </cfRule>
  </conditionalFormatting>
  <conditionalFormatting sqref="X61">
    <cfRule type="expression" dxfId="12445" priority="5279">
      <formula>AND(IF(OR($Q61=1,$Q61=2),1,0),IF($X61&lt;=20,1,0))</formula>
    </cfRule>
    <cfRule type="expression" dxfId="12444" priority="5280">
      <formula>AND(IF($Q61=2,1,0),IF($X61&lt;30,1,0))</formula>
    </cfRule>
    <cfRule type="expression" dxfId="12443" priority="5281">
      <formula>AND(IF($Q61=3,1,0),IF($X61&lt;30,1,0))</formula>
    </cfRule>
    <cfRule type="expression" dxfId="12442" priority="5282">
      <formula>AND(IF($Q61=3,1,IF($Q61=4,1,0)),IF($F61&lt;=85,1,0))</formula>
    </cfRule>
  </conditionalFormatting>
  <conditionalFormatting sqref="AI61">
    <cfRule type="expression" dxfId="12441" priority="5275">
      <formula>AND(IF(OR($Q61=1,$Q61=2),1,0),IF($X61&lt;=20,1,0))</formula>
    </cfRule>
    <cfRule type="expression" dxfId="12440" priority="5276">
      <formula>AND(IF($Q61=2,1,0),IF($X61&lt;30,1,0))</formula>
    </cfRule>
    <cfRule type="expression" dxfId="12439" priority="5277">
      <formula>AND(IF($Q61=3,1,0),IF($X61&lt;30,1,0))</formula>
    </cfRule>
    <cfRule type="expression" dxfId="12438" priority="5278">
      <formula>AND(IF($Q61=3,1,IF($Q61=4,1,0)),IF($F61&lt;=85,1,0))</formula>
    </cfRule>
  </conditionalFormatting>
  <conditionalFormatting sqref="AV62">
    <cfRule type="expression" dxfId="12437" priority="5273">
      <formula>AV62="X"</formula>
    </cfRule>
    <cfRule type="expression" dxfId="12436" priority="5274">
      <formula>AV62="후보"</formula>
    </cfRule>
  </conditionalFormatting>
  <conditionalFormatting sqref="AC62">
    <cfRule type="cellIs" dxfId="12435" priority="5271" operator="greaterThan">
      <formula>0.9</formula>
    </cfRule>
    <cfRule type="cellIs" dxfId="12434" priority="5272" operator="greaterThan">
      <formula>0.85</formula>
    </cfRule>
  </conditionalFormatting>
  <conditionalFormatting sqref="N62">
    <cfRule type="cellIs" dxfId="12433" priority="5269" operator="greaterThan">
      <formula>0.9</formula>
    </cfRule>
    <cfRule type="cellIs" dxfId="12432" priority="5270" operator="greaterThan">
      <formula>0.85</formula>
    </cfRule>
  </conditionalFormatting>
  <conditionalFormatting sqref="E62">
    <cfRule type="expression" dxfId="12431" priority="5265">
      <formula>AND(IF(OR($Q62=1,$Q62=2),1,0),IF($X62&lt;=20,1,0))</formula>
    </cfRule>
    <cfRule type="expression" dxfId="12430" priority="5266">
      <formula>AND(IF($Q62=2,1,0),IF($X62&lt;30,1,0))</formula>
    </cfRule>
    <cfRule type="expression" dxfId="12429" priority="5267">
      <formula>AND(IF($Q62=3,1,0),IF($X62&lt;30,1,0))</formula>
    </cfRule>
    <cfRule type="expression" dxfId="12428" priority="5268">
      <formula>AND(IF($Q62=3,1,IF($Q62=4,1,0)),IF($F62&lt;=85,1,0))</formula>
    </cfRule>
  </conditionalFormatting>
  <conditionalFormatting sqref="X62">
    <cfRule type="expression" dxfId="12427" priority="5261">
      <formula>AND(IF(OR($Q62=1,$Q62=2),1,0),IF($X62&lt;=20,1,0))</formula>
    </cfRule>
    <cfRule type="expression" dxfId="12426" priority="5262">
      <formula>AND(IF($Q62=2,1,0),IF($X62&lt;30,1,0))</formula>
    </cfRule>
    <cfRule type="expression" dxfId="12425" priority="5263">
      <formula>AND(IF($Q62=3,1,0),IF($X62&lt;30,1,0))</formula>
    </cfRule>
    <cfRule type="expression" dxfId="12424" priority="5264">
      <formula>AND(IF($Q62=3,1,IF($Q62=4,1,0)),IF($F62&lt;=85,1,0))</formula>
    </cfRule>
  </conditionalFormatting>
  <conditionalFormatting sqref="AI62">
    <cfRule type="expression" dxfId="12423" priority="5257">
      <formula>AND(IF(OR($Q62=1,$Q62=2),1,0),IF($X62&lt;=20,1,0))</formula>
    </cfRule>
    <cfRule type="expression" dxfId="12422" priority="5258">
      <formula>AND(IF($Q62=2,1,0),IF($X62&lt;30,1,0))</formula>
    </cfRule>
    <cfRule type="expression" dxfId="12421" priority="5259">
      <formula>AND(IF($Q62=3,1,0),IF($X62&lt;30,1,0))</formula>
    </cfRule>
    <cfRule type="expression" dxfId="12420" priority="5260">
      <formula>AND(IF($Q62=3,1,IF($Q62=4,1,0)),IF($F62&lt;=85,1,0))</formula>
    </cfRule>
  </conditionalFormatting>
  <conditionalFormatting sqref="AV63">
    <cfRule type="expression" dxfId="12419" priority="5255">
      <formula>AV63="X"</formula>
    </cfRule>
    <cfRule type="expression" dxfId="12418" priority="5256">
      <formula>AV63="후보"</formula>
    </cfRule>
  </conditionalFormatting>
  <conditionalFormatting sqref="AC63">
    <cfRule type="cellIs" dxfId="12417" priority="5253" operator="greaterThan">
      <formula>0.9</formula>
    </cfRule>
    <cfRule type="cellIs" dxfId="12416" priority="5254" operator="greaterThan">
      <formula>0.85</formula>
    </cfRule>
  </conditionalFormatting>
  <conditionalFormatting sqref="N63">
    <cfRule type="cellIs" dxfId="12415" priority="5251" operator="greaterThan">
      <formula>0.9</formula>
    </cfRule>
    <cfRule type="cellIs" dxfId="12414" priority="5252" operator="greaterThan">
      <formula>0.85</formula>
    </cfRule>
  </conditionalFormatting>
  <conditionalFormatting sqref="E63">
    <cfRule type="expression" dxfId="12413" priority="5247">
      <formula>AND(IF(OR($Q63=1,$Q63=2),1,0),IF($X63&lt;=20,1,0))</formula>
    </cfRule>
    <cfRule type="expression" dxfId="12412" priority="5248">
      <formula>AND(IF($Q63=2,1,0),IF($X63&lt;30,1,0))</formula>
    </cfRule>
    <cfRule type="expression" dxfId="12411" priority="5249">
      <formula>AND(IF($Q63=3,1,0),IF($X63&lt;30,1,0))</formula>
    </cfRule>
    <cfRule type="expression" dxfId="12410" priority="5250">
      <formula>AND(IF($Q63=3,1,IF($Q63=4,1,0)),IF($F63&lt;=85,1,0))</formula>
    </cfRule>
  </conditionalFormatting>
  <conditionalFormatting sqref="X63">
    <cfRule type="expression" dxfId="12409" priority="5243">
      <formula>AND(IF(OR($Q63=1,$Q63=2),1,0),IF($X63&lt;=20,1,0))</formula>
    </cfRule>
    <cfRule type="expression" dxfId="12408" priority="5244">
      <formula>AND(IF($Q63=2,1,0),IF($X63&lt;30,1,0))</formula>
    </cfRule>
    <cfRule type="expression" dxfId="12407" priority="5245">
      <formula>AND(IF($Q63=3,1,0),IF($X63&lt;30,1,0))</formula>
    </cfRule>
    <cfRule type="expression" dxfId="12406" priority="5246">
      <formula>AND(IF($Q63=3,1,IF($Q63=4,1,0)),IF($F63&lt;=85,1,0))</formula>
    </cfRule>
  </conditionalFormatting>
  <conditionalFormatting sqref="AI63">
    <cfRule type="expression" dxfId="12405" priority="5239">
      <formula>AND(IF(OR($Q63=1,$Q63=2),1,0),IF($X63&lt;=20,1,0))</formula>
    </cfRule>
    <cfRule type="expression" dxfId="12404" priority="5240">
      <formula>AND(IF($Q63=2,1,0),IF($X63&lt;30,1,0))</formula>
    </cfRule>
    <cfRule type="expression" dxfId="12403" priority="5241">
      <formula>AND(IF($Q63=3,1,0),IF($X63&lt;30,1,0))</formula>
    </cfRule>
    <cfRule type="expression" dxfId="12402" priority="5242">
      <formula>AND(IF($Q63=3,1,IF($Q63=4,1,0)),IF($F63&lt;=85,1,0))</formula>
    </cfRule>
  </conditionalFormatting>
  <conditionalFormatting sqref="AV64">
    <cfRule type="expression" dxfId="12401" priority="5237">
      <formula>AV64="X"</formula>
    </cfRule>
    <cfRule type="expression" dxfId="12400" priority="5238">
      <formula>AV64="후보"</formula>
    </cfRule>
  </conditionalFormatting>
  <conditionalFormatting sqref="AC64">
    <cfRule type="cellIs" dxfId="12399" priority="5235" operator="greaterThan">
      <formula>0.9</formula>
    </cfRule>
    <cfRule type="cellIs" dxfId="12398" priority="5236" operator="greaterThan">
      <formula>0.85</formula>
    </cfRule>
  </conditionalFormatting>
  <conditionalFormatting sqref="N64">
    <cfRule type="cellIs" dxfId="12397" priority="5233" operator="greaterThan">
      <formula>0.9</formula>
    </cfRule>
    <cfRule type="cellIs" dxfId="12396" priority="5234" operator="greaterThan">
      <formula>0.85</formula>
    </cfRule>
  </conditionalFormatting>
  <conditionalFormatting sqref="E64">
    <cfRule type="expression" dxfId="12395" priority="5229">
      <formula>AND(IF(OR($Q64=1,$Q64=2),1,0),IF($X64&lt;=20,1,0))</formula>
    </cfRule>
    <cfRule type="expression" dxfId="12394" priority="5230">
      <formula>AND(IF($Q64=2,1,0),IF($X64&lt;30,1,0))</formula>
    </cfRule>
    <cfRule type="expression" dxfId="12393" priority="5231">
      <formula>AND(IF($Q64=3,1,0),IF($X64&lt;30,1,0))</formula>
    </cfRule>
    <cfRule type="expression" dxfId="12392" priority="5232">
      <formula>AND(IF($Q64=3,1,IF($Q64=4,1,0)),IF($F64&lt;=85,1,0))</formula>
    </cfRule>
  </conditionalFormatting>
  <conditionalFormatting sqref="X64">
    <cfRule type="expression" dxfId="12391" priority="5225">
      <formula>AND(IF(OR($Q64=1,$Q64=2),1,0),IF($X64&lt;=20,1,0))</formula>
    </cfRule>
    <cfRule type="expression" dxfId="12390" priority="5226">
      <formula>AND(IF($Q64=2,1,0),IF($X64&lt;30,1,0))</formula>
    </cfRule>
    <cfRule type="expression" dxfId="12389" priority="5227">
      <formula>AND(IF($Q64=3,1,0),IF($X64&lt;30,1,0))</formula>
    </cfRule>
    <cfRule type="expression" dxfId="12388" priority="5228">
      <formula>AND(IF($Q64=3,1,IF($Q64=4,1,0)),IF($F64&lt;=85,1,0))</formula>
    </cfRule>
  </conditionalFormatting>
  <conditionalFormatting sqref="AI64">
    <cfRule type="expression" dxfId="12387" priority="5221">
      <formula>AND(IF(OR($Q64=1,$Q64=2),1,0),IF($X64&lt;=20,1,0))</formula>
    </cfRule>
    <cfRule type="expression" dxfId="12386" priority="5222">
      <formula>AND(IF($Q64=2,1,0),IF($X64&lt;30,1,0))</formula>
    </cfRule>
    <cfRule type="expression" dxfId="12385" priority="5223">
      <formula>AND(IF($Q64=3,1,0),IF($X64&lt;30,1,0))</formula>
    </cfRule>
    <cfRule type="expression" dxfId="12384" priority="5224">
      <formula>AND(IF($Q64=3,1,IF($Q64=4,1,0)),IF($F64&lt;=85,1,0))</formula>
    </cfRule>
  </conditionalFormatting>
  <conditionalFormatting sqref="AV65">
    <cfRule type="expression" dxfId="12383" priority="5219">
      <formula>AV65="X"</formula>
    </cfRule>
    <cfRule type="expression" dxfId="12382" priority="5220">
      <formula>AV65="후보"</formula>
    </cfRule>
  </conditionalFormatting>
  <conditionalFormatting sqref="AC65">
    <cfRule type="cellIs" dxfId="12381" priority="5217" operator="greaterThan">
      <formula>0.9</formula>
    </cfRule>
    <cfRule type="cellIs" dxfId="12380" priority="5218" operator="greaterThan">
      <formula>0.85</formula>
    </cfRule>
  </conditionalFormatting>
  <conditionalFormatting sqref="N65">
    <cfRule type="cellIs" dxfId="12379" priority="5215" operator="greaterThan">
      <formula>0.9</formula>
    </cfRule>
    <cfRule type="cellIs" dxfId="12378" priority="5216" operator="greaterThan">
      <formula>0.85</formula>
    </cfRule>
  </conditionalFormatting>
  <conditionalFormatting sqref="E65">
    <cfRule type="expression" dxfId="12377" priority="5211">
      <formula>AND(IF(OR($Q65=1,$Q65=2),1,0),IF($X65&lt;=20,1,0))</formula>
    </cfRule>
    <cfRule type="expression" dxfId="12376" priority="5212">
      <formula>AND(IF($Q65=2,1,0),IF($X65&lt;30,1,0))</formula>
    </cfRule>
    <cfRule type="expression" dxfId="12375" priority="5213">
      <formula>AND(IF($Q65=3,1,0),IF($X65&lt;30,1,0))</formula>
    </cfRule>
    <cfRule type="expression" dxfId="12374" priority="5214">
      <formula>AND(IF($Q65=3,1,IF($Q65=4,1,0)),IF($F65&lt;=85,1,0))</formula>
    </cfRule>
  </conditionalFormatting>
  <conditionalFormatting sqref="X65">
    <cfRule type="expression" dxfId="12373" priority="5207">
      <formula>AND(IF(OR($Q65=1,$Q65=2),1,0),IF($X65&lt;=20,1,0))</formula>
    </cfRule>
    <cfRule type="expression" dxfId="12372" priority="5208">
      <formula>AND(IF($Q65=2,1,0),IF($X65&lt;30,1,0))</formula>
    </cfRule>
    <cfRule type="expression" dxfId="12371" priority="5209">
      <formula>AND(IF($Q65=3,1,0),IF($X65&lt;30,1,0))</formula>
    </cfRule>
    <cfRule type="expression" dxfId="12370" priority="5210">
      <formula>AND(IF($Q65=3,1,IF($Q65=4,1,0)),IF($F65&lt;=85,1,0))</formula>
    </cfRule>
  </conditionalFormatting>
  <conditionalFormatting sqref="AI65">
    <cfRule type="expression" dxfId="12369" priority="5203">
      <formula>AND(IF(OR($Q65=1,$Q65=2),1,0),IF($X65&lt;=20,1,0))</formula>
    </cfRule>
    <cfRule type="expression" dxfId="12368" priority="5204">
      <formula>AND(IF($Q65=2,1,0),IF($X65&lt;30,1,0))</formula>
    </cfRule>
    <cfRule type="expression" dxfId="12367" priority="5205">
      <formula>AND(IF($Q65=3,1,0),IF($X65&lt;30,1,0))</formula>
    </cfRule>
    <cfRule type="expression" dxfId="12366" priority="5206">
      <formula>AND(IF($Q65=3,1,IF($Q65=4,1,0)),IF($F65&lt;=85,1,0))</formula>
    </cfRule>
  </conditionalFormatting>
  <conditionalFormatting sqref="AV66">
    <cfRule type="expression" dxfId="12365" priority="5201">
      <formula>AV66="X"</formula>
    </cfRule>
    <cfRule type="expression" dxfId="12364" priority="5202">
      <formula>AV66="후보"</formula>
    </cfRule>
  </conditionalFormatting>
  <conditionalFormatting sqref="AC66">
    <cfRule type="cellIs" dxfId="12363" priority="5199" operator="greaterThan">
      <formula>0.9</formula>
    </cfRule>
    <cfRule type="cellIs" dxfId="12362" priority="5200" operator="greaterThan">
      <formula>0.85</formula>
    </cfRule>
  </conditionalFormatting>
  <conditionalFormatting sqref="N66">
    <cfRule type="cellIs" dxfId="12361" priority="5197" operator="greaterThan">
      <formula>0.9</formula>
    </cfRule>
    <cfRule type="cellIs" dxfId="12360" priority="5198" operator="greaterThan">
      <formula>0.85</formula>
    </cfRule>
  </conditionalFormatting>
  <conditionalFormatting sqref="E66">
    <cfRule type="expression" dxfId="12359" priority="5193">
      <formula>AND(IF(OR($Q66=1,$Q66=2),1,0),IF($X66&lt;=20,1,0))</formula>
    </cfRule>
    <cfRule type="expression" dxfId="12358" priority="5194">
      <formula>AND(IF($Q66=2,1,0),IF($X66&lt;30,1,0))</formula>
    </cfRule>
    <cfRule type="expression" dxfId="12357" priority="5195">
      <formula>AND(IF($Q66=3,1,0),IF($X66&lt;30,1,0))</formula>
    </cfRule>
    <cfRule type="expression" dxfId="12356" priority="5196">
      <formula>AND(IF($Q66=3,1,IF($Q66=4,1,0)),IF($F66&lt;=85,1,0))</formula>
    </cfRule>
  </conditionalFormatting>
  <conditionalFormatting sqref="X66">
    <cfRule type="expression" dxfId="12355" priority="5189">
      <formula>AND(IF(OR($Q66=1,$Q66=2),1,0),IF($X66&lt;=20,1,0))</formula>
    </cfRule>
    <cfRule type="expression" dxfId="12354" priority="5190">
      <formula>AND(IF($Q66=2,1,0),IF($X66&lt;30,1,0))</formula>
    </cfRule>
    <cfRule type="expression" dxfId="12353" priority="5191">
      <formula>AND(IF($Q66=3,1,0),IF($X66&lt;30,1,0))</formula>
    </cfRule>
    <cfRule type="expression" dxfId="12352" priority="5192">
      <formula>AND(IF($Q66=3,1,IF($Q66=4,1,0)),IF($F66&lt;=85,1,0))</formula>
    </cfRule>
  </conditionalFormatting>
  <conditionalFormatting sqref="AI66">
    <cfRule type="expression" dxfId="12351" priority="5185">
      <formula>AND(IF(OR($Q66=1,$Q66=2),1,0),IF($X66&lt;=20,1,0))</formula>
    </cfRule>
    <cfRule type="expression" dxfId="12350" priority="5186">
      <formula>AND(IF($Q66=2,1,0),IF($X66&lt;30,1,0))</formula>
    </cfRule>
    <cfRule type="expression" dxfId="12349" priority="5187">
      <formula>AND(IF($Q66=3,1,0),IF($X66&lt;30,1,0))</formula>
    </cfRule>
    <cfRule type="expression" dxfId="12348" priority="5188">
      <formula>AND(IF($Q66=3,1,IF($Q66=4,1,0)),IF($F66&lt;=85,1,0))</formula>
    </cfRule>
  </conditionalFormatting>
  <conditionalFormatting sqref="AV67">
    <cfRule type="expression" dxfId="12347" priority="5183">
      <formula>AV67="X"</formula>
    </cfRule>
    <cfRule type="expression" dxfId="12346" priority="5184">
      <formula>AV67="후보"</formula>
    </cfRule>
  </conditionalFormatting>
  <conditionalFormatting sqref="AC67">
    <cfRule type="cellIs" dxfId="12345" priority="5181" operator="greaterThan">
      <formula>0.9</formula>
    </cfRule>
    <cfRule type="cellIs" dxfId="12344" priority="5182" operator="greaterThan">
      <formula>0.85</formula>
    </cfRule>
  </conditionalFormatting>
  <conditionalFormatting sqref="N67">
    <cfRule type="cellIs" dxfId="12343" priority="5179" operator="greaterThan">
      <formula>0.9</formula>
    </cfRule>
    <cfRule type="cellIs" dxfId="12342" priority="5180" operator="greaterThan">
      <formula>0.85</formula>
    </cfRule>
  </conditionalFormatting>
  <conditionalFormatting sqref="E67">
    <cfRule type="expression" dxfId="12341" priority="5175">
      <formula>AND(IF(OR($Q67=1,$Q67=2),1,0),IF($X67&lt;=20,1,0))</formula>
    </cfRule>
    <cfRule type="expression" dxfId="12340" priority="5176">
      <formula>AND(IF($Q67=2,1,0),IF($X67&lt;30,1,0))</formula>
    </cfRule>
    <cfRule type="expression" dxfId="12339" priority="5177">
      <formula>AND(IF($Q67=3,1,0),IF($X67&lt;30,1,0))</formula>
    </cfRule>
    <cfRule type="expression" dxfId="12338" priority="5178">
      <formula>AND(IF($Q67=3,1,IF($Q67=4,1,0)),IF($F67&lt;=85,1,0))</formula>
    </cfRule>
  </conditionalFormatting>
  <conditionalFormatting sqref="X67">
    <cfRule type="expression" dxfId="12337" priority="5171">
      <formula>AND(IF(OR($Q67=1,$Q67=2),1,0),IF($X67&lt;=20,1,0))</formula>
    </cfRule>
    <cfRule type="expression" dxfId="12336" priority="5172">
      <formula>AND(IF($Q67=2,1,0),IF($X67&lt;30,1,0))</formula>
    </cfRule>
    <cfRule type="expression" dxfId="12335" priority="5173">
      <formula>AND(IF($Q67=3,1,0),IF($X67&lt;30,1,0))</formula>
    </cfRule>
    <cfRule type="expression" dxfId="12334" priority="5174">
      <formula>AND(IF($Q67=3,1,IF($Q67=4,1,0)),IF($F67&lt;=85,1,0))</formula>
    </cfRule>
  </conditionalFormatting>
  <conditionalFormatting sqref="AI67">
    <cfRule type="expression" dxfId="12333" priority="5167">
      <formula>AND(IF(OR($Q67=1,$Q67=2),1,0),IF($X67&lt;=20,1,0))</formula>
    </cfRule>
    <cfRule type="expression" dxfId="12332" priority="5168">
      <formula>AND(IF($Q67=2,1,0),IF($X67&lt;30,1,0))</formula>
    </cfRule>
    <cfRule type="expression" dxfId="12331" priority="5169">
      <formula>AND(IF($Q67=3,1,0),IF($X67&lt;30,1,0))</formula>
    </cfRule>
    <cfRule type="expression" dxfId="12330" priority="5170">
      <formula>AND(IF($Q67=3,1,IF($Q67=4,1,0)),IF($F67&lt;=85,1,0))</formula>
    </cfRule>
  </conditionalFormatting>
  <conditionalFormatting sqref="AV68">
    <cfRule type="expression" dxfId="12329" priority="5165">
      <formula>AV68="X"</formula>
    </cfRule>
    <cfRule type="expression" dxfId="12328" priority="5166">
      <formula>AV68="후보"</formula>
    </cfRule>
  </conditionalFormatting>
  <conditionalFormatting sqref="AC68">
    <cfRule type="cellIs" dxfId="12327" priority="5163" operator="greaterThan">
      <formula>0.9</formula>
    </cfRule>
    <cfRule type="cellIs" dxfId="12326" priority="5164" operator="greaterThan">
      <formula>0.85</formula>
    </cfRule>
  </conditionalFormatting>
  <conditionalFormatting sqref="N68">
    <cfRule type="cellIs" dxfId="12325" priority="5161" operator="greaterThan">
      <formula>0.9</formula>
    </cfRule>
    <cfRule type="cellIs" dxfId="12324" priority="5162" operator="greaterThan">
      <formula>0.85</formula>
    </cfRule>
  </conditionalFormatting>
  <conditionalFormatting sqref="E68">
    <cfRule type="expression" dxfId="12323" priority="5157">
      <formula>AND(IF(OR($Q68=1,$Q68=2),1,0),IF($X68&lt;=20,1,0))</formula>
    </cfRule>
    <cfRule type="expression" dxfId="12322" priority="5158">
      <formula>AND(IF($Q68=2,1,0),IF($X68&lt;30,1,0))</formula>
    </cfRule>
    <cfRule type="expression" dxfId="12321" priority="5159">
      <formula>AND(IF($Q68=3,1,0),IF($X68&lt;30,1,0))</formula>
    </cfRule>
    <cfRule type="expression" dxfId="12320" priority="5160">
      <formula>AND(IF($Q68=3,1,IF($Q68=4,1,0)),IF($F68&lt;=85,1,0))</formula>
    </cfRule>
  </conditionalFormatting>
  <conditionalFormatting sqref="X68">
    <cfRule type="expression" dxfId="12319" priority="5153">
      <formula>AND(IF(OR($Q68=1,$Q68=2),1,0),IF($X68&lt;=20,1,0))</formula>
    </cfRule>
    <cfRule type="expression" dxfId="12318" priority="5154">
      <formula>AND(IF($Q68=2,1,0),IF($X68&lt;30,1,0))</formula>
    </cfRule>
    <cfRule type="expression" dxfId="12317" priority="5155">
      <formula>AND(IF($Q68=3,1,0),IF($X68&lt;30,1,0))</formula>
    </cfRule>
    <cfRule type="expression" dxfId="12316" priority="5156">
      <formula>AND(IF($Q68=3,1,IF($Q68=4,1,0)),IF($F68&lt;=85,1,0))</formula>
    </cfRule>
  </conditionalFormatting>
  <conditionalFormatting sqref="AI68">
    <cfRule type="expression" dxfId="12315" priority="5149">
      <formula>AND(IF(OR($Q68=1,$Q68=2),1,0),IF($X68&lt;=20,1,0))</formula>
    </cfRule>
    <cfRule type="expression" dxfId="12314" priority="5150">
      <formula>AND(IF($Q68=2,1,0),IF($X68&lt;30,1,0))</formula>
    </cfRule>
    <cfRule type="expression" dxfId="12313" priority="5151">
      <formula>AND(IF($Q68=3,1,0),IF($X68&lt;30,1,0))</formula>
    </cfRule>
    <cfRule type="expression" dxfId="12312" priority="5152">
      <formula>AND(IF($Q68=3,1,IF($Q68=4,1,0)),IF($F68&lt;=85,1,0))</formula>
    </cfRule>
  </conditionalFormatting>
  <conditionalFormatting sqref="AV69">
    <cfRule type="expression" dxfId="12311" priority="5147">
      <formula>AV69="X"</formula>
    </cfRule>
    <cfRule type="expression" dxfId="12310" priority="5148">
      <formula>AV69="후보"</formula>
    </cfRule>
  </conditionalFormatting>
  <conditionalFormatting sqref="AC69">
    <cfRule type="cellIs" dxfId="12309" priority="5145" operator="greaterThan">
      <formula>0.9</formula>
    </cfRule>
    <cfRule type="cellIs" dxfId="12308" priority="5146" operator="greaterThan">
      <formula>0.85</formula>
    </cfRule>
  </conditionalFormatting>
  <conditionalFormatting sqref="N69">
    <cfRule type="cellIs" dxfId="12307" priority="5143" operator="greaterThan">
      <formula>0.9</formula>
    </cfRule>
    <cfRule type="cellIs" dxfId="12306" priority="5144" operator="greaterThan">
      <formula>0.85</formula>
    </cfRule>
  </conditionalFormatting>
  <conditionalFormatting sqref="E69">
    <cfRule type="expression" dxfId="12305" priority="5139">
      <formula>AND(IF(OR($Q69=1,$Q69=2),1,0),IF($X69&lt;=20,1,0))</formula>
    </cfRule>
    <cfRule type="expression" dxfId="12304" priority="5140">
      <formula>AND(IF($Q69=2,1,0),IF($X69&lt;30,1,0))</formula>
    </cfRule>
    <cfRule type="expression" dxfId="12303" priority="5141">
      <formula>AND(IF($Q69=3,1,0),IF($X69&lt;30,1,0))</formula>
    </cfRule>
    <cfRule type="expression" dxfId="12302" priority="5142">
      <formula>AND(IF($Q69=3,1,IF($Q69=4,1,0)),IF($F69&lt;=85,1,0))</formula>
    </cfRule>
  </conditionalFormatting>
  <conditionalFormatting sqref="X69">
    <cfRule type="expression" dxfId="12301" priority="5135">
      <formula>AND(IF(OR($Q69=1,$Q69=2),1,0),IF($X69&lt;=20,1,0))</formula>
    </cfRule>
    <cfRule type="expression" dxfId="12300" priority="5136">
      <formula>AND(IF($Q69=2,1,0),IF($X69&lt;30,1,0))</formula>
    </cfRule>
    <cfRule type="expression" dxfId="12299" priority="5137">
      <formula>AND(IF($Q69=3,1,0),IF($X69&lt;30,1,0))</formula>
    </cfRule>
    <cfRule type="expression" dxfId="12298" priority="5138">
      <formula>AND(IF($Q69=3,1,IF($Q69=4,1,0)),IF($F69&lt;=85,1,0))</formula>
    </cfRule>
  </conditionalFormatting>
  <conditionalFormatting sqref="AI69">
    <cfRule type="expression" dxfId="12297" priority="5131">
      <formula>AND(IF(OR($Q69=1,$Q69=2),1,0),IF($X69&lt;=20,1,0))</formula>
    </cfRule>
    <cfRule type="expression" dxfId="12296" priority="5132">
      <formula>AND(IF($Q69=2,1,0),IF($X69&lt;30,1,0))</formula>
    </cfRule>
    <cfRule type="expression" dxfId="12295" priority="5133">
      <formula>AND(IF($Q69=3,1,0),IF($X69&lt;30,1,0))</formula>
    </cfRule>
    <cfRule type="expression" dxfId="12294" priority="5134">
      <formula>AND(IF($Q69=3,1,IF($Q69=4,1,0)),IF($F69&lt;=85,1,0))</formula>
    </cfRule>
  </conditionalFormatting>
  <conditionalFormatting sqref="AV70">
    <cfRule type="expression" dxfId="12293" priority="5129">
      <formula>AV70="X"</formula>
    </cfRule>
    <cfRule type="expression" dxfId="12292" priority="5130">
      <formula>AV70="후보"</formula>
    </cfRule>
  </conditionalFormatting>
  <conditionalFormatting sqref="AC70">
    <cfRule type="cellIs" dxfId="12291" priority="5127" operator="greaterThan">
      <formula>0.9</formula>
    </cfRule>
    <cfRule type="cellIs" dxfId="12290" priority="5128" operator="greaterThan">
      <formula>0.85</formula>
    </cfRule>
  </conditionalFormatting>
  <conditionalFormatting sqref="N70">
    <cfRule type="cellIs" dxfId="12289" priority="5125" operator="greaterThan">
      <formula>0.9</formula>
    </cfRule>
    <cfRule type="cellIs" dxfId="12288" priority="5126" operator="greaterThan">
      <formula>0.85</formula>
    </cfRule>
  </conditionalFormatting>
  <conditionalFormatting sqref="E70">
    <cfRule type="expression" dxfId="12287" priority="5121">
      <formula>AND(IF(OR($Q70=1,$Q70=2),1,0),IF($X70&lt;=20,1,0))</formula>
    </cfRule>
    <cfRule type="expression" dxfId="12286" priority="5122">
      <formula>AND(IF($Q70=2,1,0),IF($X70&lt;30,1,0))</formula>
    </cfRule>
    <cfRule type="expression" dxfId="12285" priority="5123">
      <formula>AND(IF($Q70=3,1,0),IF($X70&lt;30,1,0))</formula>
    </cfRule>
    <cfRule type="expression" dxfId="12284" priority="5124">
      <formula>AND(IF($Q70=3,1,IF($Q70=4,1,0)),IF($F70&lt;=85,1,0))</formula>
    </cfRule>
  </conditionalFormatting>
  <conditionalFormatting sqref="X70">
    <cfRule type="expression" dxfId="12283" priority="5117">
      <formula>AND(IF(OR($Q70=1,$Q70=2),1,0),IF($X70&lt;=20,1,0))</formula>
    </cfRule>
    <cfRule type="expression" dxfId="12282" priority="5118">
      <formula>AND(IF($Q70=2,1,0),IF($X70&lt;30,1,0))</formula>
    </cfRule>
    <cfRule type="expression" dxfId="12281" priority="5119">
      <formula>AND(IF($Q70=3,1,0),IF($X70&lt;30,1,0))</formula>
    </cfRule>
    <cfRule type="expression" dxfId="12280" priority="5120">
      <formula>AND(IF($Q70=3,1,IF($Q70=4,1,0)),IF($F70&lt;=85,1,0))</formula>
    </cfRule>
  </conditionalFormatting>
  <conditionalFormatting sqref="AI70">
    <cfRule type="expression" dxfId="12279" priority="5113">
      <formula>AND(IF(OR($Q70=1,$Q70=2),1,0),IF($X70&lt;=20,1,0))</formula>
    </cfRule>
    <cfRule type="expression" dxfId="12278" priority="5114">
      <formula>AND(IF($Q70=2,1,0),IF($X70&lt;30,1,0))</formula>
    </cfRule>
    <cfRule type="expression" dxfId="12277" priority="5115">
      <formula>AND(IF($Q70=3,1,0),IF($X70&lt;30,1,0))</formula>
    </cfRule>
    <cfRule type="expression" dxfId="12276" priority="5116">
      <formula>AND(IF($Q70=3,1,IF($Q70=4,1,0)),IF($F70&lt;=85,1,0))</formula>
    </cfRule>
  </conditionalFormatting>
  <conditionalFormatting sqref="AV71">
    <cfRule type="expression" dxfId="12275" priority="5111">
      <formula>AV71="X"</formula>
    </cfRule>
    <cfRule type="expression" dxfId="12274" priority="5112">
      <formula>AV71="후보"</formula>
    </cfRule>
  </conditionalFormatting>
  <conditionalFormatting sqref="AC71">
    <cfRule type="cellIs" dxfId="12273" priority="5109" operator="greaterThan">
      <formula>0.9</formula>
    </cfRule>
    <cfRule type="cellIs" dxfId="12272" priority="5110" operator="greaterThan">
      <formula>0.85</formula>
    </cfRule>
  </conditionalFormatting>
  <conditionalFormatting sqref="N71">
    <cfRule type="cellIs" dxfId="12271" priority="5107" operator="greaterThan">
      <formula>0.9</formula>
    </cfRule>
    <cfRule type="cellIs" dxfId="12270" priority="5108" operator="greaterThan">
      <formula>0.85</formula>
    </cfRule>
  </conditionalFormatting>
  <conditionalFormatting sqref="E71">
    <cfRule type="expression" dxfId="12269" priority="5103">
      <formula>AND(IF(OR($Q71=1,$Q71=2),1,0),IF($X71&lt;=20,1,0))</formula>
    </cfRule>
    <cfRule type="expression" dxfId="12268" priority="5104">
      <formula>AND(IF($Q71=2,1,0),IF($X71&lt;30,1,0))</formula>
    </cfRule>
    <cfRule type="expression" dxfId="12267" priority="5105">
      <formula>AND(IF($Q71=3,1,0),IF($X71&lt;30,1,0))</formula>
    </cfRule>
    <cfRule type="expression" dxfId="12266" priority="5106">
      <formula>AND(IF($Q71=3,1,IF($Q71=4,1,0)),IF($F71&lt;=85,1,0))</formula>
    </cfRule>
  </conditionalFormatting>
  <conditionalFormatting sqref="X71">
    <cfRule type="expression" dxfId="12265" priority="5099">
      <formula>AND(IF(OR($Q71=1,$Q71=2),1,0),IF($X71&lt;=20,1,0))</formula>
    </cfRule>
    <cfRule type="expression" dxfId="12264" priority="5100">
      <formula>AND(IF($Q71=2,1,0),IF($X71&lt;30,1,0))</formula>
    </cfRule>
    <cfRule type="expression" dxfId="12263" priority="5101">
      <formula>AND(IF($Q71=3,1,0),IF($X71&lt;30,1,0))</formula>
    </cfRule>
    <cfRule type="expression" dxfId="12262" priority="5102">
      <formula>AND(IF($Q71=3,1,IF($Q71=4,1,0)),IF($F71&lt;=85,1,0))</formula>
    </cfRule>
  </conditionalFormatting>
  <conditionalFormatting sqref="AI71">
    <cfRule type="expression" dxfId="12261" priority="5095">
      <formula>AND(IF(OR($Q71=1,$Q71=2),1,0),IF($X71&lt;=20,1,0))</formula>
    </cfRule>
    <cfRule type="expression" dxfId="12260" priority="5096">
      <formula>AND(IF($Q71=2,1,0),IF($X71&lt;30,1,0))</formula>
    </cfRule>
    <cfRule type="expression" dxfId="12259" priority="5097">
      <formula>AND(IF($Q71=3,1,0),IF($X71&lt;30,1,0))</formula>
    </cfRule>
    <cfRule type="expression" dxfId="12258" priority="5098">
      <formula>AND(IF($Q71=3,1,IF($Q71=4,1,0)),IF($F71&lt;=85,1,0))</formula>
    </cfRule>
  </conditionalFormatting>
  <conditionalFormatting sqref="AV72">
    <cfRule type="expression" dxfId="12257" priority="5093">
      <formula>AV72="X"</formula>
    </cfRule>
    <cfRule type="expression" dxfId="12256" priority="5094">
      <formula>AV72="후보"</formula>
    </cfRule>
  </conditionalFormatting>
  <conditionalFormatting sqref="AC72">
    <cfRule type="cellIs" dxfId="12255" priority="5091" operator="greaterThan">
      <formula>0.9</formula>
    </cfRule>
    <cfRule type="cellIs" dxfId="12254" priority="5092" operator="greaterThan">
      <formula>0.85</formula>
    </cfRule>
  </conditionalFormatting>
  <conditionalFormatting sqref="N72">
    <cfRule type="cellIs" dxfId="12253" priority="5089" operator="greaterThan">
      <formula>0.9</formula>
    </cfRule>
    <cfRule type="cellIs" dxfId="12252" priority="5090" operator="greaterThan">
      <formula>0.85</formula>
    </cfRule>
  </conditionalFormatting>
  <conditionalFormatting sqref="E72">
    <cfRule type="expression" dxfId="12251" priority="5085">
      <formula>AND(IF(OR($Q72=1,$Q72=2),1,0),IF($X72&lt;=20,1,0))</formula>
    </cfRule>
    <cfRule type="expression" dxfId="12250" priority="5086">
      <formula>AND(IF($Q72=2,1,0),IF($X72&lt;30,1,0))</formula>
    </cfRule>
    <cfRule type="expression" dxfId="12249" priority="5087">
      <formula>AND(IF($Q72=3,1,0),IF($X72&lt;30,1,0))</formula>
    </cfRule>
    <cfRule type="expression" dxfId="12248" priority="5088">
      <formula>AND(IF($Q72=3,1,IF($Q72=4,1,0)),IF($F72&lt;=85,1,0))</formula>
    </cfRule>
  </conditionalFormatting>
  <conditionalFormatting sqref="X72">
    <cfRule type="expression" dxfId="12247" priority="5081">
      <formula>AND(IF(OR($Q72=1,$Q72=2),1,0),IF($X72&lt;=20,1,0))</formula>
    </cfRule>
    <cfRule type="expression" dxfId="12246" priority="5082">
      <formula>AND(IF($Q72=2,1,0),IF($X72&lt;30,1,0))</formula>
    </cfRule>
    <cfRule type="expression" dxfId="12245" priority="5083">
      <formula>AND(IF($Q72=3,1,0),IF($X72&lt;30,1,0))</formula>
    </cfRule>
    <cfRule type="expression" dxfId="12244" priority="5084">
      <formula>AND(IF($Q72=3,1,IF($Q72=4,1,0)),IF($F72&lt;=85,1,0))</formula>
    </cfRule>
  </conditionalFormatting>
  <conditionalFormatting sqref="AI72">
    <cfRule type="expression" dxfId="12243" priority="5077">
      <formula>AND(IF(OR($Q72=1,$Q72=2),1,0),IF($X72&lt;=20,1,0))</formula>
    </cfRule>
    <cfRule type="expression" dxfId="12242" priority="5078">
      <formula>AND(IF($Q72=2,1,0),IF($X72&lt;30,1,0))</formula>
    </cfRule>
    <cfRule type="expression" dxfId="12241" priority="5079">
      <formula>AND(IF($Q72=3,1,0),IF($X72&lt;30,1,0))</formula>
    </cfRule>
    <cfRule type="expression" dxfId="12240" priority="5080">
      <formula>AND(IF($Q72=3,1,IF($Q72=4,1,0)),IF($F72&lt;=85,1,0))</formula>
    </cfRule>
  </conditionalFormatting>
  <conditionalFormatting sqref="AV73">
    <cfRule type="expression" dxfId="12239" priority="5075">
      <formula>AV73="X"</formula>
    </cfRule>
    <cfRule type="expression" dxfId="12238" priority="5076">
      <formula>AV73="후보"</formula>
    </cfRule>
  </conditionalFormatting>
  <conditionalFormatting sqref="AC73">
    <cfRule type="cellIs" dxfId="12237" priority="5073" operator="greaterThan">
      <formula>0.9</formula>
    </cfRule>
    <cfRule type="cellIs" dxfId="12236" priority="5074" operator="greaterThan">
      <formula>0.85</formula>
    </cfRule>
  </conditionalFormatting>
  <conditionalFormatting sqref="N73">
    <cfRule type="cellIs" dxfId="12235" priority="5071" operator="greaterThan">
      <formula>0.9</formula>
    </cfRule>
    <cfRule type="cellIs" dxfId="12234" priority="5072" operator="greaterThan">
      <formula>0.85</formula>
    </cfRule>
  </conditionalFormatting>
  <conditionalFormatting sqref="E73">
    <cfRule type="expression" dxfId="12233" priority="5067">
      <formula>AND(IF(OR($Q73=1,$Q73=2),1,0),IF($X73&lt;=20,1,0))</formula>
    </cfRule>
    <cfRule type="expression" dxfId="12232" priority="5068">
      <formula>AND(IF($Q73=2,1,0),IF($X73&lt;30,1,0))</formula>
    </cfRule>
    <cfRule type="expression" dxfId="12231" priority="5069">
      <formula>AND(IF($Q73=3,1,0),IF($X73&lt;30,1,0))</formula>
    </cfRule>
    <cfRule type="expression" dxfId="12230" priority="5070">
      <formula>AND(IF($Q73=3,1,IF($Q73=4,1,0)),IF($F73&lt;=85,1,0))</formula>
    </cfRule>
  </conditionalFormatting>
  <conditionalFormatting sqref="X73">
    <cfRule type="expression" dxfId="12229" priority="5063">
      <formula>AND(IF(OR($Q73=1,$Q73=2),1,0),IF($X73&lt;=20,1,0))</formula>
    </cfRule>
    <cfRule type="expression" dxfId="12228" priority="5064">
      <formula>AND(IF($Q73=2,1,0),IF($X73&lt;30,1,0))</formula>
    </cfRule>
    <cfRule type="expression" dxfId="12227" priority="5065">
      <formula>AND(IF($Q73=3,1,0),IF($X73&lt;30,1,0))</formula>
    </cfRule>
    <cfRule type="expression" dxfId="12226" priority="5066">
      <formula>AND(IF($Q73=3,1,IF($Q73=4,1,0)),IF($F73&lt;=85,1,0))</formula>
    </cfRule>
  </conditionalFormatting>
  <conditionalFormatting sqref="AI73">
    <cfRule type="expression" dxfId="12225" priority="5059">
      <formula>AND(IF(OR($Q73=1,$Q73=2),1,0),IF($X73&lt;=20,1,0))</formula>
    </cfRule>
    <cfRule type="expression" dxfId="12224" priority="5060">
      <formula>AND(IF($Q73=2,1,0),IF($X73&lt;30,1,0))</formula>
    </cfRule>
    <cfRule type="expression" dxfId="12223" priority="5061">
      <formula>AND(IF($Q73=3,1,0),IF($X73&lt;30,1,0))</formula>
    </cfRule>
    <cfRule type="expression" dxfId="12222" priority="5062">
      <formula>AND(IF($Q73=3,1,IF($Q73=4,1,0)),IF($F73&lt;=85,1,0))</formula>
    </cfRule>
  </conditionalFormatting>
  <conditionalFormatting sqref="AV74">
    <cfRule type="expression" dxfId="12221" priority="5057">
      <formula>AV74="X"</formula>
    </cfRule>
    <cfRule type="expression" dxfId="12220" priority="5058">
      <formula>AV74="후보"</formula>
    </cfRule>
  </conditionalFormatting>
  <conditionalFormatting sqref="AC74">
    <cfRule type="cellIs" dxfId="12219" priority="5055" operator="greaterThan">
      <formula>0.9</formula>
    </cfRule>
    <cfRule type="cellIs" dxfId="12218" priority="5056" operator="greaterThan">
      <formula>0.85</formula>
    </cfRule>
  </conditionalFormatting>
  <conditionalFormatting sqref="N74">
    <cfRule type="cellIs" dxfId="12217" priority="5053" operator="greaterThan">
      <formula>0.9</formula>
    </cfRule>
    <cfRule type="cellIs" dxfId="12216" priority="5054" operator="greaterThan">
      <formula>0.85</formula>
    </cfRule>
  </conditionalFormatting>
  <conditionalFormatting sqref="E74">
    <cfRule type="expression" dxfId="12215" priority="5049">
      <formula>AND(IF(OR($Q74=1,$Q74=2),1,0),IF($X74&lt;=20,1,0))</formula>
    </cfRule>
    <cfRule type="expression" dxfId="12214" priority="5050">
      <formula>AND(IF($Q74=2,1,0),IF($X74&lt;30,1,0))</formula>
    </cfRule>
    <cfRule type="expression" dxfId="12213" priority="5051">
      <formula>AND(IF($Q74=3,1,0),IF($X74&lt;30,1,0))</formula>
    </cfRule>
    <cfRule type="expression" dxfId="12212" priority="5052">
      <formula>AND(IF($Q74=3,1,IF($Q74=4,1,0)),IF($F74&lt;=85,1,0))</formula>
    </cfRule>
  </conditionalFormatting>
  <conditionalFormatting sqref="X74">
    <cfRule type="expression" dxfId="12211" priority="5045">
      <formula>AND(IF(OR($Q74=1,$Q74=2),1,0),IF($X74&lt;=20,1,0))</formula>
    </cfRule>
    <cfRule type="expression" dxfId="12210" priority="5046">
      <formula>AND(IF($Q74=2,1,0),IF($X74&lt;30,1,0))</formula>
    </cfRule>
    <cfRule type="expression" dxfId="12209" priority="5047">
      <formula>AND(IF($Q74=3,1,0),IF($X74&lt;30,1,0))</formula>
    </cfRule>
    <cfRule type="expression" dxfId="12208" priority="5048">
      <formula>AND(IF($Q74=3,1,IF($Q74=4,1,0)),IF($F74&lt;=85,1,0))</formula>
    </cfRule>
  </conditionalFormatting>
  <conditionalFormatting sqref="AI74">
    <cfRule type="expression" dxfId="12207" priority="5041">
      <formula>AND(IF(OR($Q74=1,$Q74=2),1,0),IF($X74&lt;=20,1,0))</formula>
    </cfRule>
    <cfRule type="expression" dxfId="12206" priority="5042">
      <formula>AND(IF($Q74=2,1,0),IF($X74&lt;30,1,0))</formula>
    </cfRule>
    <cfRule type="expression" dxfId="12205" priority="5043">
      <formula>AND(IF($Q74=3,1,0),IF($X74&lt;30,1,0))</formula>
    </cfRule>
    <cfRule type="expression" dxfId="12204" priority="5044">
      <formula>AND(IF($Q74=3,1,IF($Q74=4,1,0)),IF($F74&lt;=85,1,0))</formula>
    </cfRule>
  </conditionalFormatting>
  <conditionalFormatting sqref="AV75">
    <cfRule type="expression" dxfId="12203" priority="5039">
      <formula>AV75="X"</formula>
    </cfRule>
    <cfRule type="expression" dxfId="12202" priority="5040">
      <formula>AV75="후보"</formula>
    </cfRule>
  </conditionalFormatting>
  <conditionalFormatting sqref="AC75">
    <cfRule type="cellIs" dxfId="12201" priority="5037" operator="greaterThan">
      <formula>0.9</formula>
    </cfRule>
    <cfRule type="cellIs" dxfId="12200" priority="5038" operator="greaterThan">
      <formula>0.85</formula>
    </cfRule>
  </conditionalFormatting>
  <conditionalFormatting sqref="N75">
    <cfRule type="cellIs" dxfId="12199" priority="5035" operator="greaterThan">
      <formula>0.9</formula>
    </cfRule>
    <cfRule type="cellIs" dxfId="12198" priority="5036" operator="greaterThan">
      <formula>0.85</formula>
    </cfRule>
  </conditionalFormatting>
  <conditionalFormatting sqref="E75">
    <cfRule type="expression" dxfId="12197" priority="5031">
      <formula>AND(IF(OR($Q75=1,$Q75=2),1,0),IF($X75&lt;=20,1,0))</formula>
    </cfRule>
    <cfRule type="expression" dxfId="12196" priority="5032">
      <formula>AND(IF($Q75=2,1,0),IF($X75&lt;30,1,0))</formula>
    </cfRule>
    <cfRule type="expression" dxfId="12195" priority="5033">
      <formula>AND(IF($Q75=3,1,0),IF($X75&lt;30,1,0))</formula>
    </cfRule>
    <cfRule type="expression" dxfId="12194" priority="5034">
      <formula>AND(IF($Q75=3,1,IF($Q75=4,1,0)),IF($F75&lt;=85,1,0))</formula>
    </cfRule>
  </conditionalFormatting>
  <conditionalFormatting sqref="X75">
    <cfRule type="expression" dxfId="12193" priority="5027">
      <formula>AND(IF(OR($Q75=1,$Q75=2),1,0),IF($X75&lt;=20,1,0))</formula>
    </cfRule>
    <cfRule type="expression" dxfId="12192" priority="5028">
      <formula>AND(IF($Q75=2,1,0),IF($X75&lt;30,1,0))</formula>
    </cfRule>
    <cfRule type="expression" dxfId="12191" priority="5029">
      <formula>AND(IF($Q75=3,1,0),IF($X75&lt;30,1,0))</formula>
    </cfRule>
    <cfRule type="expression" dxfId="12190" priority="5030">
      <formula>AND(IF($Q75=3,1,IF($Q75=4,1,0)),IF($F75&lt;=85,1,0))</formula>
    </cfRule>
  </conditionalFormatting>
  <conditionalFormatting sqref="AI75">
    <cfRule type="expression" dxfId="12189" priority="5023">
      <formula>AND(IF(OR($Q75=1,$Q75=2),1,0),IF($X75&lt;=20,1,0))</formula>
    </cfRule>
    <cfRule type="expression" dxfId="12188" priority="5024">
      <formula>AND(IF($Q75=2,1,0),IF($X75&lt;30,1,0))</formula>
    </cfRule>
    <cfRule type="expression" dxfId="12187" priority="5025">
      <formula>AND(IF($Q75=3,1,0),IF($X75&lt;30,1,0))</formula>
    </cfRule>
    <cfRule type="expression" dxfId="12186" priority="5026">
      <formula>AND(IF($Q75=3,1,IF($Q75=4,1,0)),IF($F75&lt;=85,1,0))</formula>
    </cfRule>
  </conditionalFormatting>
  <conditionalFormatting sqref="AV76">
    <cfRule type="expression" dxfId="12185" priority="5021">
      <formula>AV76="X"</formula>
    </cfRule>
    <cfRule type="expression" dxfId="12184" priority="5022">
      <formula>AV76="후보"</formula>
    </cfRule>
  </conditionalFormatting>
  <conditionalFormatting sqref="AC76">
    <cfRule type="cellIs" dxfId="12183" priority="5019" operator="greaterThan">
      <formula>0.9</formula>
    </cfRule>
    <cfRule type="cellIs" dxfId="12182" priority="5020" operator="greaterThan">
      <formula>0.85</formula>
    </cfRule>
  </conditionalFormatting>
  <conditionalFormatting sqref="N76">
    <cfRule type="cellIs" dxfId="12181" priority="5017" operator="greaterThan">
      <formula>0.9</formula>
    </cfRule>
    <cfRule type="cellIs" dxfId="12180" priority="5018" operator="greaterThan">
      <formula>0.85</formula>
    </cfRule>
  </conditionalFormatting>
  <conditionalFormatting sqref="E76">
    <cfRule type="expression" dxfId="12179" priority="5013">
      <formula>AND(IF(OR($Q76=1,$Q76=2),1,0),IF($X76&lt;=20,1,0))</formula>
    </cfRule>
    <cfRule type="expression" dxfId="12178" priority="5014">
      <formula>AND(IF($Q76=2,1,0),IF($X76&lt;30,1,0))</formula>
    </cfRule>
    <cfRule type="expression" dxfId="12177" priority="5015">
      <formula>AND(IF($Q76=3,1,0),IF($X76&lt;30,1,0))</formula>
    </cfRule>
    <cfRule type="expression" dxfId="12176" priority="5016">
      <formula>AND(IF($Q76=3,1,IF($Q76=4,1,0)),IF($F76&lt;=85,1,0))</formula>
    </cfRule>
  </conditionalFormatting>
  <conditionalFormatting sqref="X76">
    <cfRule type="expression" dxfId="12175" priority="5009">
      <formula>AND(IF(OR($Q76=1,$Q76=2),1,0),IF($X76&lt;=20,1,0))</formula>
    </cfRule>
    <cfRule type="expression" dxfId="12174" priority="5010">
      <formula>AND(IF($Q76=2,1,0),IF($X76&lt;30,1,0))</formula>
    </cfRule>
    <cfRule type="expression" dxfId="12173" priority="5011">
      <formula>AND(IF($Q76=3,1,0),IF($X76&lt;30,1,0))</formula>
    </cfRule>
    <cfRule type="expression" dxfId="12172" priority="5012">
      <formula>AND(IF($Q76=3,1,IF($Q76=4,1,0)),IF($F76&lt;=85,1,0))</formula>
    </cfRule>
  </conditionalFormatting>
  <conditionalFormatting sqref="AI76">
    <cfRule type="expression" dxfId="12171" priority="5005">
      <formula>AND(IF(OR($Q76=1,$Q76=2),1,0),IF($X76&lt;=20,1,0))</formula>
    </cfRule>
    <cfRule type="expression" dxfId="12170" priority="5006">
      <formula>AND(IF($Q76=2,1,0),IF($X76&lt;30,1,0))</formula>
    </cfRule>
    <cfRule type="expression" dxfId="12169" priority="5007">
      <formula>AND(IF($Q76=3,1,0),IF($X76&lt;30,1,0))</formula>
    </cfRule>
    <cfRule type="expression" dxfId="12168" priority="5008">
      <formula>AND(IF($Q76=3,1,IF($Q76=4,1,0)),IF($F76&lt;=85,1,0))</formula>
    </cfRule>
  </conditionalFormatting>
  <conditionalFormatting sqref="AV77">
    <cfRule type="expression" dxfId="12167" priority="5003">
      <formula>AV77="X"</formula>
    </cfRule>
    <cfRule type="expression" dxfId="12166" priority="5004">
      <formula>AV77="후보"</formula>
    </cfRule>
  </conditionalFormatting>
  <conditionalFormatting sqref="AC77">
    <cfRule type="cellIs" dxfId="12165" priority="5001" operator="greaterThan">
      <formula>0.9</formula>
    </cfRule>
    <cfRule type="cellIs" dxfId="12164" priority="5002" operator="greaterThan">
      <formula>0.85</formula>
    </cfRule>
  </conditionalFormatting>
  <conditionalFormatting sqref="N77">
    <cfRule type="cellIs" dxfId="12163" priority="4999" operator="greaterThan">
      <formula>0.9</formula>
    </cfRule>
    <cfRule type="cellIs" dxfId="12162" priority="5000" operator="greaterThan">
      <formula>0.85</formula>
    </cfRule>
  </conditionalFormatting>
  <conditionalFormatting sqref="E77">
    <cfRule type="expression" dxfId="12161" priority="4995">
      <formula>AND(IF(OR($Q77=1,$Q77=2),1,0),IF($X77&lt;=20,1,0))</formula>
    </cfRule>
    <cfRule type="expression" dxfId="12160" priority="4996">
      <formula>AND(IF($Q77=2,1,0),IF($X77&lt;30,1,0))</formula>
    </cfRule>
    <cfRule type="expression" dxfId="12159" priority="4997">
      <formula>AND(IF($Q77=3,1,0),IF($X77&lt;30,1,0))</formula>
    </cfRule>
    <cfRule type="expression" dxfId="12158" priority="4998">
      <formula>AND(IF($Q77=3,1,IF($Q77=4,1,0)),IF($F77&lt;=85,1,0))</formula>
    </cfRule>
  </conditionalFormatting>
  <conditionalFormatting sqref="X77">
    <cfRule type="expression" dxfId="12157" priority="4991">
      <formula>AND(IF(OR($Q77=1,$Q77=2),1,0),IF($X77&lt;=20,1,0))</formula>
    </cfRule>
    <cfRule type="expression" dxfId="12156" priority="4992">
      <formula>AND(IF($Q77=2,1,0),IF($X77&lt;30,1,0))</formula>
    </cfRule>
    <cfRule type="expression" dxfId="12155" priority="4993">
      <formula>AND(IF($Q77=3,1,0),IF($X77&lt;30,1,0))</formula>
    </cfRule>
    <cfRule type="expression" dxfId="12154" priority="4994">
      <formula>AND(IF($Q77=3,1,IF($Q77=4,1,0)),IF($F77&lt;=85,1,0))</formula>
    </cfRule>
  </conditionalFormatting>
  <conditionalFormatting sqref="AI77">
    <cfRule type="expression" dxfId="12153" priority="4987">
      <formula>AND(IF(OR($Q77=1,$Q77=2),1,0),IF($X77&lt;=20,1,0))</formula>
    </cfRule>
    <cfRule type="expression" dxfId="12152" priority="4988">
      <formula>AND(IF($Q77=2,1,0),IF($X77&lt;30,1,0))</formula>
    </cfRule>
    <cfRule type="expression" dxfId="12151" priority="4989">
      <formula>AND(IF($Q77=3,1,0),IF($X77&lt;30,1,0))</formula>
    </cfRule>
    <cfRule type="expression" dxfId="12150" priority="4990">
      <formula>AND(IF($Q77=3,1,IF($Q77=4,1,0)),IF($F77&lt;=85,1,0))</formula>
    </cfRule>
  </conditionalFormatting>
  <conditionalFormatting sqref="AV78">
    <cfRule type="expression" dxfId="12149" priority="4985">
      <formula>AV78="X"</formula>
    </cfRule>
    <cfRule type="expression" dxfId="12148" priority="4986">
      <formula>AV78="후보"</formula>
    </cfRule>
  </conditionalFormatting>
  <conditionalFormatting sqref="AC78">
    <cfRule type="cellIs" dxfId="12147" priority="4983" operator="greaterThan">
      <formula>0.9</formula>
    </cfRule>
    <cfRule type="cellIs" dxfId="12146" priority="4984" operator="greaterThan">
      <formula>0.85</formula>
    </cfRule>
  </conditionalFormatting>
  <conditionalFormatting sqref="N78">
    <cfRule type="cellIs" dxfId="12145" priority="4981" operator="greaterThan">
      <formula>0.9</formula>
    </cfRule>
    <cfRule type="cellIs" dxfId="12144" priority="4982" operator="greaterThan">
      <formula>0.85</formula>
    </cfRule>
  </conditionalFormatting>
  <conditionalFormatting sqref="E78">
    <cfRule type="expression" dxfId="12143" priority="4977">
      <formula>AND(IF(OR($Q78=1,$Q78=2),1,0),IF($X78&lt;=20,1,0))</formula>
    </cfRule>
    <cfRule type="expression" dxfId="12142" priority="4978">
      <formula>AND(IF($Q78=2,1,0),IF($X78&lt;30,1,0))</formula>
    </cfRule>
    <cfRule type="expression" dxfId="12141" priority="4979">
      <formula>AND(IF($Q78=3,1,0),IF($X78&lt;30,1,0))</formula>
    </cfRule>
    <cfRule type="expression" dxfId="12140" priority="4980">
      <formula>AND(IF($Q78=3,1,IF($Q78=4,1,0)),IF($F78&lt;=85,1,0))</formula>
    </cfRule>
  </conditionalFormatting>
  <conditionalFormatting sqref="X78">
    <cfRule type="expression" dxfId="12139" priority="4973">
      <formula>AND(IF(OR($Q78=1,$Q78=2),1,0),IF($X78&lt;=20,1,0))</formula>
    </cfRule>
    <cfRule type="expression" dxfId="12138" priority="4974">
      <formula>AND(IF($Q78=2,1,0),IF($X78&lt;30,1,0))</formula>
    </cfRule>
    <cfRule type="expression" dxfId="12137" priority="4975">
      <formula>AND(IF($Q78=3,1,0),IF($X78&lt;30,1,0))</formula>
    </cfRule>
    <cfRule type="expression" dxfId="12136" priority="4976">
      <formula>AND(IF($Q78=3,1,IF($Q78=4,1,0)),IF($F78&lt;=85,1,0))</formula>
    </cfRule>
  </conditionalFormatting>
  <conditionalFormatting sqref="AI78">
    <cfRule type="expression" dxfId="12135" priority="4969">
      <formula>AND(IF(OR($Q78=1,$Q78=2),1,0),IF($X78&lt;=20,1,0))</formula>
    </cfRule>
    <cfRule type="expression" dxfId="12134" priority="4970">
      <formula>AND(IF($Q78=2,1,0),IF($X78&lt;30,1,0))</formula>
    </cfRule>
    <cfRule type="expression" dxfId="12133" priority="4971">
      <formula>AND(IF($Q78=3,1,0),IF($X78&lt;30,1,0))</formula>
    </cfRule>
    <cfRule type="expression" dxfId="12132" priority="4972">
      <formula>AND(IF($Q78=3,1,IF($Q78=4,1,0)),IF($F78&lt;=85,1,0))</formula>
    </cfRule>
  </conditionalFormatting>
  <conditionalFormatting sqref="AV79">
    <cfRule type="expression" dxfId="12131" priority="4967">
      <formula>AV79="X"</formula>
    </cfRule>
    <cfRule type="expression" dxfId="12130" priority="4968">
      <formula>AV79="후보"</formula>
    </cfRule>
  </conditionalFormatting>
  <conditionalFormatting sqref="AC79">
    <cfRule type="cellIs" dxfId="12129" priority="4965" operator="greaterThan">
      <formula>0.9</formula>
    </cfRule>
    <cfRule type="cellIs" dxfId="12128" priority="4966" operator="greaterThan">
      <formula>0.85</formula>
    </cfRule>
  </conditionalFormatting>
  <conditionalFormatting sqref="N79">
    <cfRule type="cellIs" dxfId="12127" priority="4963" operator="greaterThan">
      <formula>0.9</formula>
    </cfRule>
    <cfRule type="cellIs" dxfId="12126" priority="4964" operator="greaterThan">
      <formula>0.85</formula>
    </cfRule>
  </conditionalFormatting>
  <conditionalFormatting sqref="E79">
    <cfRule type="expression" dxfId="12125" priority="4959">
      <formula>AND(IF(OR($Q79=1,$Q79=2),1,0),IF($X79&lt;=20,1,0))</formula>
    </cfRule>
    <cfRule type="expression" dxfId="12124" priority="4960">
      <formula>AND(IF($Q79=2,1,0),IF($X79&lt;30,1,0))</formula>
    </cfRule>
    <cfRule type="expression" dxfId="12123" priority="4961">
      <formula>AND(IF($Q79=3,1,0),IF($X79&lt;30,1,0))</formula>
    </cfRule>
    <cfRule type="expression" dxfId="12122" priority="4962">
      <formula>AND(IF($Q79=3,1,IF($Q79=4,1,0)),IF($F79&lt;=85,1,0))</formula>
    </cfRule>
  </conditionalFormatting>
  <conditionalFormatting sqref="X79">
    <cfRule type="expression" dxfId="12121" priority="4955">
      <formula>AND(IF(OR($Q79=1,$Q79=2),1,0),IF($X79&lt;=20,1,0))</formula>
    </cfRule>
    <cfRule type="expression" dxfId="12120" priority="4956">
      <formula>AND(IF($Q79=2,1,0),IF($X79&lt;30,1,0))</formula>
    </cfRule>
    <cfRule type="expression" dxfId="12119" priority="4957">
      <formula>AND(IF($Q79=3,1,0),IF($X79&lt;30,1,0))</formula>
    </cfRule>
    <cfRule type="expression" dxfId="12118" priority="4958">
      <formula>AND(IF($Q79=3,1,IF($Q79=4,1,0)),IF($F79&lt;=85,1,0))</formula>
    </cfRule>
  </conditionalFormatting>
  <conditionalFormatting sqref="AI79">
    <cfRule type="expression" dxfId="12117" priority="4951">
      <formula>AND(IF(OR($Q79=1,$Q79=2),1,0),IF($X79&lt;=20,1,0))</formula>
    </cfRule>
    <cfRule type="expression" dxfId="12116" priority="4952">
      <formula>AND(IF($Q79=2,1,0),IF($X79&lt;30,1,0))</formula>
    </cfRule>
    <cfRule type="expression" dxfId="12115" priority="4953">
      <formula>AND(IF($Q79=3,1,0),IF($X79&lt;30,1,0))</formula>
    </cfRule>
    <cfRule type="expression" dxfId="12114" priority="4954">
      <formula>AND(IF($Q79=3,1,IF($Q79=4,1,0)),IF($F79&lt;=85,1,0))</formula>
    </cfRule>
  </conditionalFormatting>
  <conditionalFormatting sqref="AV80">
    <cfRule type="expression" dxfId="12113" priority="4949">
      <formula>AV80="X"</formula>
    </cfRule>
    <cfRule type="expression" dxfId="12112" priority="4950">
      <formula>AV80="후보"</formula>
    </cfRule>
  </conditionalFormatting>
  <conditionalFormatting sqref="AC80">
    <cfRule type="cellIs" dxfId="12111" priority="4947" operator="greaterThan">
      <formula>0.9</formula>
    </cfRule>
    <cfRule type="cellIs" dxfId="12110" priority="4948" operator="greaterThan">
      <formula>0.85</formula>
    </cfRule>
  </conditionalFormatting>
  <conditionalFormatting sqref="N80">
    <cfRule type="cellIs" dxfId="12109" priority="4945" operator="greaterThan">
      <formula>0.9</formula>
    </cfRule>
    <cfRule type="cellIs" dxfId="12108" priority="4946" operator="greaterThan">
      <formula>0.85</formula>
    </cfRule>
  </conditionalFormatting>
  <conditionalFormatting sqref="E80">
    <cfRule type="expression" dxfId="12107" priority="4941">
      <formula>AND(IF(OR($Q80=1,$Q80=2),1,0),IF($X80&lt;=20,1,0))</formula>
    </cfRule>
    <cfRule type="expression" dxfId="12106" priority="4942">
      <formula>AND(IF($Q80=2,1,0),IF($X80&lt;30,1,0))</formula>
    </cfRule>
    <cfRule type="expression" dxfId="12105" priority="4943">
      <formula>AND(IF($Q80=3,1,0),IF($X80&lt;30,1,0))</formula>
    </cfRule>
    <cfRule type="expression" dxfId="12104" priority="4944">
      <formula>AND(IF($Q80=3,1,IF($Q80=4,1,0)),IF($F80&lt;=85,1,0))</formula>
    </cfRule>
  </conditionalFormatting>
  <conditionalFormatting sqref="X80">
    <cfRule type="expression" dxfId="12103" priority="4937">
      <formula>AND(IF(OR($Q80=1,$Q80=2),1,0),IF($X80&lt;=20,1,0))</formula>
    </cfRule>
    <cfRule type="expression" dxfId="12102" priority="4938">
      <formula>AND(IF($Q80=2,1,0),IF($X80&lt;30,1,0))</formula>
    </cfRule>
    <cfRule type="expression" dxfId="12101" priority="4939">
      <formula>AND(IF($Q80=3,1,0),IF($X80&lt;30,1,0))</formula>
    </cfRule>
    <cfRule type="expression" dxfId="12100" priority="4940">
      <formula>AND(IF($Q80=3,1,IF($Q80=4,1,0)),IF($F80&lt;=85,1,0))</formula>
    </cfRule>
  </conditionalFormatting>
  <conditionalFormatting sqref="AI80">
    <cfRule type="expression" dxfId="12099" priority="4933">
      <formula>AND(IF(OR($Q80=1,$Q80=2),1,0),IF($X80&lt;=20,1,0))</formula>
    </cfRule>
    <cfRule type="expression" dxfId="12098" priority="4934">
      <formula>AND(IF($Q80=2,1,0),IF($X80&lt;30,1,0))</formula>
    </cfRule>
    <cfRule type="expression" dxfId="12097" priority="4935">
      <formula>AND(IF($Q80=3,1,0),IF($X80&lt;30,1,0))</formula>
    </cfRule>
    <cfRule type="expression" dxfId="12096" priority="4936">
      <formula>AND(IF($Q80=3,1,IF($Q80=4,1,0)),IF($F80&lt;=85,1,0))</formula>
    </cfRule>
  </conditionalFormatting>
  <conditionalFormatting sqref="AV81">
    <cfRule type="expression" dxfId="12095" priority="4931">
      <formula>AV81="X"</formula>
    </cfRule>
    <cfRule type="expression" dxfId="12094" priority="4932">
      <formula>AV81="후보"</formula>
    </cfRule>
  </conditionalFormatting>
  <conditionalFormatting sqref="AC81">
    <cfRule type="cellIs" dxfId="12093" priority="4929" operator="greaterThan">
      <formula>0.9</formula>
    </cfRule>
    <cfRule type="cellIs" dxfId="12092" priority="4930" operator="greaterThan">
      <formula>0.85</formula>
    </cfRule>
  </conditionalFormatting>
  <conditionalFormatting sqref="N81">
    <cfRule type="cellIs" dxfId="12091" priority="4927" operator="greaterThan">
      <formula>0.9</formula>
    </cfRule>
    <cfRule type="cellIs" dxfId="12090" priority="4928" operator="greaterThan">
      <formula>0.85</formula>
    </cfRule>
  </conditionalFormatting>
  <conditionalFormatting sqref="E81">
    <cfRule type="expression" dxfId="12089" priority="4923">
      <formula>AND(IF(OR($Q81=1,$Q81=2),1,0),IF($X81&lt;=20,1,0))</formula>
    </cfRule>
    <cfRule type="expression" dxfId="12088" priority="4924">
      <formula>AND(IF($Q81=2,1,0),IF($X81&lt;30,1,0))</formula>
    </cfRule>
    <cfRule type="expression" dxfId="12087" priority="4925">
      <formula>AND(IF($Q81=3,1,0),IF($X81&lt;30,1,0))</formula>
    </cfRule>
    <cfRule type="expression" dxfId="12086" priority="4926">
      <formula>AND(IF($Q81=3,1,IF($Q81=4,1,0)),IF($F81&lt;=85,1,0))</formula>
    </cfRule>
  </conditionalFormatting>
  <conditionalFormatting sqref="X81">
    <cfRule type="expression" dxfId="12085" priority="4919">
      <formula>AND(IF(OR($Q81=1,$Q81=2),1,0),IF($X81&lt;=20,1,0))</formula>
    </cfRule>
    <cfRule type="expression" dxfId="12084" priority="4920">
      <formula>AND(IF($Q81=2,1,0),IF($X81&lt;30,1,0))</formula>
    </cfRule>
    <cfRule type="expression" dxfId="12083" priority="4921">
      <formula>AND(IF($Q81=3,1,0),IF($X81&lt;30,1,0))</formula>
    </cfRule>
    <cfRule type="expression" dxfId="12082" priority="4922">
      <formula>AND(IF($Q81=3,1,IF($Q81=4,1,0)),IF($F81&lt;=85,1,0))</formula>
    </cfRule>
  </conditionalFormatting>
  <conditionalFormatting sqref="AI81">
    <cfRule type="expression" dxfId="12081" priority="4915">
      <formula>AND(IF(OR($Q81=1,$Q81=2),1,0),IF($X81&lt;=20,1,0))</formula>
    </cfRule>
    <cfRule type="expression" dxfId="12080" priority="4916">
      <formula>AND(IF($Q81=2,1,0),IF($X81&lt;30,1,0))</formula>
    </cfRule>
    <cfRule type="expression" dxfId="12079" priority="4917">
      <formula>AND(IF($Q81=3,1,0),IF($X81&lt;30,1,0))</formula>
    </cfRule>
    <cfRule type="expression" dxfId="12078" priority="4918">
      <formula>AND(IF($Q81=3,1,IF($Q81=4,1,0)),IF($F81&lt;=85,1,0))</formula>
    </cfRule>
  </conditionalFormatting>
  <conditionalFormatting sqref="AV82">
    <cfRule type="expression" dxfId="12077" priority="4913">
      <formula>AV82="X"</formula>
    </cfRule>
    <cfRule type="expression" dxfId="12076" priority="4914">
      <formula>AV82="후보"</formula>
    </cfRule>
  </conditionalFormatting>
  <conditionalFormatting sqref="AC82">
    <cfRule type="cellIs" dxfId="12075" priority="4911" operator="greaterThan">
      <formula>0.9</formula>
    </cfRule>
    <cfRule type="cellIs" dxfId="12074" priority="4912" operator="greaterThan">
      <formula>0.85</formula>
    </cfRule>
  </conditionalFormatting>
  <conditionalFormatting sqref="N82">
    <cfRule type="cellIs" dxfId="12073" priority="4909" operator="greaterThan">
      <formula>0.9</formula>
    </cfRule>
    <cfRule type="cellIs" dxfId="12072" priority="4910" operator="greaterThan">
      <formula>0.85</formula>
    </cfRule>
  </conditionalFormatting>
  <conditionalFormatting sqref="E82">
    <cfRule type="expression" dxfId="12071" priority="4905">
      <formula>AND(IF(OR($Q82=1,$Q82=2),1,0),IF($X82&lt;=20,1,0))</formula>
    </cfRule>
    <cfRule type="expression" dxfId="12070" priority="4906">
      <formula>AND(IF($Q82=2,1,0),IF($X82&lt;30,1,0))</formula>
    </cfRule>
    <cfRule type="expression" dxfId="12069" priority="4907">
      <formula>AND(IF($Q82=3,1,0),IF($X82&lt;30,1,0))</formula>
    </cfRule>
    <cfRule type="expression" dxfId="12068" priority="4908">
      <formula>AND(IF($Q82=3,1,IF($Q82=4,1,0)),IF($F82&lt;=85,1,0))</formula>
    </cfRule>
  </conditionalFormatting>
  <conditionalFormatting sqref="X82">
    <cfRule type="expression" dxfId="12067" priority="4901">
      <formula>AND(IF(OR($Q82=1,$Q82=2),1,0),IF($X82&lt;=20,1,0))</formula>
    </cfRule>
    <cfRule type="expression" dxfId="12066" priority="4902">
      <formula>AND(IF($Q82=2,1,0),IF($X82&lt;30,1,0))</formula>
    </cfRule>
    <cfRule type="expression" dxfId="12065" priority="4903">
      <formula>AND(IF($Q82=3,1,0),IF($X82&lt;30,1,0))</formula>
    </cfRule>
    <cfRule type="expression" dxfId="12064" priority="4904">
      <formula>AND(IF($Q82=3,1,IF($Q82=4,1,0)),IF($F82&lt;=85,1,0))</formula>
    </cfRule>
  </conditionalFormatting>
  <conditionalFormatting sqref="AI82">
    <cfRule type="expression" dxfId="12063" priority="4897">
      <formula>AND(IF(OR($Q82=1,$Q82=2),1,0),IF($X82&lt;=20,1,0))</formula>
    </cfRule>
    <cfRule type="expression" dxfId="12062" priority="4898">
      <formula>AND(IF($Q82=2,1,0),IF($X82&lt;30,1,0))</formula>
    </cfRule>
    <cfRule type="expression" dxfId="12061" priority="4899">
      <formula>AND(IF($Q82=3,1,0),IF($X82&lt;30,1,0))</formula>
    </cfRule>
    <cfRule type="expression" dxfId="12060" priority="4900">
      <formula>AND(IF($Q82=3,1,IF($Q82=4,1,0)),IF($F82&lt;=85,1,0))</formula>
    </cfRule>
  </conditionalFormatting>
  <conditionalFormatting sqref="AV83">
    <cfRule type="expression" dxfId="12059" priority="4895">
      <formula>AV83="X"</formula>
    </cfRule>
    <cfRule type="expression" dxfId="12058" priority="4896">
      <formula>AV83="후보"</formula>
    </cfRule>
  </conditionalFormatting>
  <conditionalFormatting sqref="AC83">
    <cfRule type="cellIs" dxfId="12057" priority="4893" operator="greaterThan">
      <formula>0.9</formula>
    </cfRule>
    <cfRule type="cellIs" dxfId="12056" priority="4894" operator="greaterThan">
      <formula>0.85</formula>
    </cfRule>
  </conditionalFormatting>
  <conditionalFormatting sqref="N83">
    <cfRule type="cellIs" dxfId="12055" priority="4891" operator="greaterThan">
      <formula>0.9</formula>
    </cfRule>
    <cfRule type="cellIs" dxfId="12054" priority="4892" operator="greaterThan">
      <formula>0.85</formula>
    </cfRule>
  </conditionalFormatting>
  <conditionalFormatting sqref="E83">
    <cfRule type="expression" dxfId="12053" priority="4887">
      <formula>AND(IF(OR($Q83=1,$Q83=2),1,0),IF($X83&lt;=20,1,0))</formula>
    </cfRule>
    <cfRule type="expression" dxfId="12052" priority="4888">
      <formula>AND(IF($Q83=2,1,0),IF($X83&lt;30,1,0))</formula>
    </cfRule>
    <cfRule type="expression" dxfId="12051" priority="4889">
      <formula>AND(IF($Q83=3,1,0),IF($X83&lt;30,1,0))</formula>
    </cfRule>
    <cfRule type="expression" dxfId="12050" priority="4890">
      <formula>AND(IF($Q83=3,1,IF($Q83=4,1,0)),IF($F83&lt;=85,1,0))</formula>
    </cfRule>
  </conditionalFormatting>
  <conditionalFormatting sqref="X83">
    <cfRule type="expression" dxfId="12049" priority="4883">
      <formula>AND(IF(OR($Q83=1,$Q83=2),1,0),IF($X83&lt;=20,1,0))</formula>
    </cfRule>
    <cfRule type="expression" dxfId="12048" priority="4884">
      <formula>AND(IF($Q83=2,1,0),IF($X83&lt;30,1,0))</formula>
    </cfRule>
    <cfRule type="expression" dxfId="12047" priority="4885">
      <formula>AND(IF($Q83=3,1,0),IF($X83&lt;30,1,0))</formula>
    </cfRule>
    <cfRule type="expression" dxfId="12046" priority="4886">
      <formula>AND(IF($Q83=3,1,IF($Q83=4,1,0)),IF($F83&lt;=85,1,0))</formula>
    </cfRule>
  </conditionalFormatting>
  <conditionalFormatting sqref="AI83">
    <cfRule type="expression" dxfId="12045" priority="4879">
      <formula>AND(IF(OR($Q83=1,$Q83=2),1,0),IF($X83&lt;=20,1,0))</formula>
    </cfRule>
    <cfRule type="expression" dxfId="12044" priority="4880">
      <formula>AND(IF($Q83=2,1,0),IF($X83&lt;30,1,0))</formula>
    </cfRule>
    <cfRule type="expression" dxfId="12043" priority="4881">
      <formula>AND(IF($Q83=3,1,0),IF($X83&lt;30,1,0))</formula>
    </cfRule>
    <cfRule type="expression" dxfId="12042" priority="4882">
      <formula>AND(IF($Q83=3,1,IF($Q83=4,1,0)),IF($F83&lt;=85,1,0))</formula>
    </cfRule>
  </conditionalFormatting>
  <conditionalFormatting sqref="AV84">
    <cfRule type="expression" dxfId="12041" priority="4877">
      <formula>AV84="X"</formula>
    </cfRule>
    <cfRule type="expression" dxfId="12040" priority="4878">
      <formula>AV84="후보"</formula>
    </cfRule>
  </conditionalFormatting>
  <conditionalFormatting sqref="AC84">
    <cfRule type="cellIs" dxfId="12039" priority="4875" operator="greaterThan">
      <formula>0.9</formula>
    </cfRule>
    <cfRule type="cellIs" dxfId="12038" priority="4876" operator="greaterThan">
      <formula>0.85</formula>
    </cfRule>
  </conditionalFormatting>
  <conditionalFormatting sqref="N84">
    <cfRule type="cellIs" dxfId="12037" priority="4873" operator="greaterThan">
      <formula>0.9</formula>
    </cfRule>
    <cfRule type="cellIs" dxfId="12036" priority="4874" operator="greaterThan">
      <formula>0.85</formula>
    </cfRule>
  </conditionalFormatting>
  <conditionalFormatting sqref="E84">
    <cfRule type="expression" dxfId="12035" priority="4869">
      <formula>AND(IF(OR($Q84=1,$Q84=2),1,0),IF($X84&lt;=20,1,0))</formula>
    </cfRule>
    <cfRule type="expression" dxfId="12034" priority="4870">
      <formula>AND(IF($Q84=2,1,0),IF($X84&lt;30,1,0))</formula>
    </cfRule>
    <cfRule type="expression" dxfId="12033" priority="4871">
      <formula>AND(IF($Q84=3,1,0),IF($X84&lt;30,1,0))</formula>
    </cfRule>
    <cfRule type="expression" dxfId="12032" priority="4872">
      <formula>AND(IF($Q84=3,1,IF($Q84=4,1,0)),IF($F84&lt;=85,1,0))</formula>
    </cfRule>
  </conditionalFormatting>
  <conditionalFormatting sqref="X84">
    <cfRule type="expression" dxfId="12031" priority="4865">
      <formula>AND(IF(OR($Q84=1,$Q84=2),1,0),IF($X84&lt;=20,1,0))</formula>
    </cfRule>
    <cfRule type="expression" dxfId="12030" priority="4866">
      <formula>AND(IF($Q84=2,1,0),IF($X84&lt;30,1,0))</formula>
    </cfRule>
    <cfRule type="expression" dxfId="12029" priority="4867">
      <formula>AND(IF($Q84=3,1,0),IF($X84&lt;30,1,0))</formula>
    </cfRule>
    <cfRule type="expression" dxfId="12028" priority="4868">
      <formula>AND(IF($Q84=3,1,IF($Q84=4,1,0)),IF($F84&lt;=85,1,0))</formula>
    </cfRule>
  </conditionalFormatting>
  <conditionalFormatting sqref="AI84">
    <cfRule type="expression" dxfId="12027" priority="4861">
      <formula>AND(IF(OR($Q84=1,$Q84=2),1,0),IF($X84&lt;=20,1,0))</formula>
    </cfRule>
    <cfRule type="expression" dxfId="12026" priority="4862">
      <formula>AND(IF($Q84=2,1,0),IF($X84&lt;30,1,0))</formula>
    </cfRule>
    <cfRule type="expression" dxfId="12025" priority="4863">
      <formula>AND(IF($Q84=3,1,0),IF($X84&lt;30,1,0))</formula>
    </cfRule>
    <cfRule type="expression" dxfId="12024" priority="4864">
      <formula>AND(IF($Q84=3,1,IF($Q84=4,1,0)),IF($F84&lt;=85,1,0))</formula>
    </cfRule>
  </conditionalFormatting>
  <conditionalFormatting sqref="AV85">
    <cfRule type="expression" dxfId="12023" priority="4859">
      <formula>AV85="X"</formula>
    </cfRule>
    <cfRule type="expression" dxfId="12022" priority="4860">
      <formula>AV85="후보"</formula>
    </cfRule>
  </conditionalFormatting>
  <conditionalFormatting sqref="AC85">
    <cfRule type="cellIs" dxfId="12021" priority="4857" operator="greaterThan">
      <formula>0.9</formula>
    </cfRule>
    <cfRule type="cellIs" dxfId="12020" priority="4858" operator="greaterThan">
      <formula>0.85</formula>
    </cfRule>
  </conditionalFormatting>
  <conditionalFormatting sqref="N85">
    <cfRule type="cellIs" dxfId="12019" priority="4855" operator="greaterThan">
      <formula>0.9</formula>
    </cfRule>
    <cfRule type="cellIs" dxfId="12018" priority="4856" operator="greaterThan">
      <formula>0.85</formula>
    </cfRule>
  </conditionalFormatting>
  <conditionalFormatting sqref="E85">
    <cfRule type="expression" dxfId="12017" priority="4851">
      <formula>AND(IF(OR($Q85=1,$Q85=2),1,0),IF($X85&lt;=20,1,0))</formula>
    </cfRule>
    <cfRule type="expression" dxfId="12016" priority="4852">
      <formula>AND(IF($Q85=2,1,0),IF($X85&lt;30,1,0))</formula>
    </cfRule>
    <cfRule type="expression" dxfId="12015" priority="4853">
      <formula>AND(IF($Q85=3,1,0),IF($X85&lt;30,1,0))</formula>
    </cfRule>
    <cfRule type="expression" dxfId="12014" priority="4854">
      <formula>AND(IF($Q85=3,1,IF($Q85=4,1,0)),IF($F85&lt;=85,1,0))</formula>
    </cfRule>
  </conditionalFormatting>
  <conditionalFormatting sqref="X85">
    <cfRule type="expression" dxfId="12013" priority="4847">
      <formula>AND(IF(OR($Q85=1,$Q85=2),1,0),IF($X85&lt;=20,1,0))</formula>
    </cfRule>
    <cfRule type="expression" dxfId="12012" priority="4848">
      <formula>AND(IF($Q85=2,1,0),IF($X85&lt;30,1,0))</formula>
    </cfRule>
    <cfRule type="expression" dxfId="12011" priority="4849">
      <formula>AND(IF($Q85=3,1,0),IF($X85&lt;30,1,0))</formula>
    </cfRule>
    <cfRule type="expression" dxfId="12010" priority="4850">
      <formula>AND(IF($Q85=3,1,IF($Q85=4,1,0)),IF($F85&lt;=85,1,0))</formula>
    </cfRule>
  </conditionalFormatting>
  <conditionalFormatting sqref="AI85">
    <cfRule type="expression" dxfId="12009" priority="4843">
      <formula>AND(IF(OR($Q85=1,$Q85=2),1,0),IF($X85&lt;=20,1,0))</formula>
    </cfRule>
    <cfRule type="expression" dxfId="12008" priority="4844">
      <formula>AND(IF($Q85=2,1,0),IF($X85&lt;30,1,0))</formula>
    </cfRule>
    <cfRule type="expression" dxfId="12007" priority="4845">
      <formula>AND(IF($Q85=3,1,0),IF($X85&lt;30,1,0))</formula>
    </cfRule>
    <cfRule type="expression" dxfId="12006" priority="4846">
      <formula>AND(IF($Q85=3,1,IF($Q85=4,1,0)),IF($F85&lt;=85,1,0))</formula>
    </cfRule>
  </conditionalFormatting>
  <conditionalFormatting sqref="AV86">
    <cfRule type="expression" dxfId="12005" priority="4841">
      <formula>AV86="X"</formula>
    </cfRule>
    <cfRule type="expression" dxfId="12004" priority="4842">
      <formula>AV86="후보"</formula>
    </cfRule>
  </conditionalFormatting>
  <conditionalFormatting sqref="AC86">
    <cfRule type="cellIs" dxfId="12003" priority="4839" operator="greaterThan">
      <formula>0.9</formula>
    </cfRule>
    <cfRule type="cellIs" dxfId="12002" priority="4840" operator="greaterThan">
      <formula>0.85</formula>
    </cfRule>
  </conditionalFormatting>
  <conditionalFormatting sqref="N86">
    <cfRule type="cellIs" dxfId="12001" priority="4837" operator="greaterThan">
      <formula>0.9</formula>
    </cfRule>
    <cfRule type="cellIs" dxfId="12000" priority="4838" operator="greaterThan">
      <formula>0.85</formula>
    </cfRule>
  </conditionalFormatting>
  <conditionalFormatting sqref="E86">
    <cfRule type="expression" dxfId="11999" priority="4833">
      <formula>AND(IF(OR($Q86=1,$Q86=2),1,0),IF($X86&lt;=20,1,0))</formula>
    </cfRule>
    <cfRule type="expression" dxfId="11998" priority="4834">
      <formula>AND(IF($Q86=2,1,0),IF($X86&lt;30,1,0))</formula>
    </cfRule>
    <cfRule type="expression" dxfId="11997" priority="4835">
      <formula>AND(IF($Q86=3,1,0),IF($X86&lt;30,1,0))</formula>
    </cfRule>
    <cfRule type="expression" dxfId="11996" priority="4836">
      <formula>AND(IF($Q86=3,1,IF($Q86=4,1,0)),IF($F86&lt;=85,1,0))</formula>
    </cfRule>
  </conditionalFormatting>
  <conditionalFormatting sqref="X86">
    <cfRule type="expression" dxfId="11995" priority="4829">
      <formula>AND(IF(OR($Q86=1,$Q86=2),1,0),IF($X86&lt;=20,1,0))</formula>
    </cfRule>
    <cfRule type="expression" dxfId="11994" priority="4830">
      <formula>AND(IF($Q86=2,1,0),IF($X86&lt;30,1,0))</formula>
    </cfRule>
    <cfRule type="expression" dxfId="11993" priority="4831">
      <formula>AND(IF($Q86=3,1,0),IF($X86&lt;30,1,0))</formula>
    </cfRule>
    <cfRule type="expression" dxfId="11992" priority="4832">
      <formula>AND(IF($Q86=3,1,IF($Q86=4,1,0)),IF($F86&lt;=85,1,0))</formula>
    </cfRule>
  </conditionalFormatting>
  <conditionalFormatting sqref="AI86">
    <cfRule type="expression" dxfId="11991" priority="4825">
      <formula>AND(IF(OR($Q86=1,$Q86=2),1,0),IF($X86&lt;=20,1,0))</formula>
    </cfRule>
    <cfRule type="expression" dxfId="11990" priority="4826">
      <formula>AND(IF($Q86=2,1,0),IF($X86&lt;30,1,0))</formula>
    </cfRule>
    <cfRule type="expression" dxfId="11989" priority="4827">
      <formula>AND(IF($Q86=3,1,0),IF($X86&lt;30,1,0))</formula>
    </cfRule>
    <cfRule type="expression" dxfId="11988" priority="4828">
      <formula>AND(IF($Q86=3,1,IF($Q86=4,1,0)),IF($F86&lt;=85,1,0))</formula>
    </cfRule>
  </conditionalFormatting>
  <conditionalFormatting sqref="AV87">
    <cfRule type="expression" dxfId="11987" priority="4823">
      <formula>AV87="X"</formula>
    </cfRule>
    <cfRule type="expression" dxfId="11986" priority="4824">
      <formula>AV87="후보"</formula>
    </cfRule>
  </conditionalFormatting>
  <conditionalFormatting sqref="AC87">
    <cfRule type="cellIs" dxfId="11985" priority="4821" operator="greaterThan">
      <formula>0.9</formula>
    </cfRule>
    <cfRule type="cellIs" dxfId="11984" priority="4822" operator="greaterThan">
      <formula>0.85</formula>
    </cfRule>
  </conditionalFormatting>
  <conditionalFormatting sqref="N87">
    <cfRule type="cellIs" dxfId="11983" priority="4819" operator="greaterThan">
      <formula>0.9</formula>
    </cfRule>
    <cfRule type="cellIs" dxfId="11982" priority="4820" operator="greaterThan">
      <formula>0.85</formula>
    </cfRule>
  </conditionalFormatting>
  <conditionalFormatting sqref="E87">
    <cfRule type="expression" dxfId="11981" priority="4815">
      <formula>AND(IF(OR($Q87=1,$Q87=2),1,0),IF($X87&lt;=20,1,0))</formula>
    </cfRule>
    <cfRule type="expression" dxfId="11980" priority="4816">
      <formula>AND(IF($Q87=2,1,0),IF($X87&lt;30,1,0))</formula>
    </cfRule>
    <cfRule type="expression" dxfId="11979" priority="4817">
      <formula>AND(IF($Q87=3,1,0),IF($X87&lt;30,1,0))</formula>
    </cfRule>
    <cfRule type="expression" dxfId="11978" priority="4818">
      <formula>AND(IF($Q87=3,1,IF($Q87=4,1,0)),IF($F87&lt;=85,1,0))</formula>
    </cfRule>
  </conditionalFormatting>
  <conditionalFormatting sqref="X87">
    <cfRule type="expression" dxfId="11977" priority="4811">
      <formula>AND(IF(OR($Q87=1,$Q87=2),1,0),IF($X87&lt;=20,1,0))</formula>
    </cfRule>
    <cfRule type="expression" dxfId="11976" priority="4812">
      <formula>AND(IF($Q87=2,1,0),IF($X87&lt;30,1,0))</formula>
    </cfRule>
    <cfRule type="expression" dxfId="11975" priority="4813">
      <formula>AND(IF($Q87=3,1,0),IF($X87&lt;30,1,0))</formula>
    </cfRule>
    <cfRule type="expression" dxfId="11974" priority="4814">
      <formula>AND(IF($Q87=3,1,IF($Q87=4,1,0)),IF($F87&lt;=85,1,0))</formula>
    </cfRule>
  </conditionalFormatting>
  <conditionalFormatting sqref="AI87">
    <cfRule type="expression" dxfId="11973" priority="4807">
      <formula>AND(IF(OR($Q87=1,$Q87=2),1,0),IF($X87&lt;=20,1,0))</formula>
    </cfRule>
    <cfRule type="expression" dxfId="11972" priority="4808">
      <formula>AND(IF($Q87=2,1,0),IF($X87&lt;30,1,0))</formula>
    </cfRule>
    <cfRule type="expression" dxfId="11971" priority="4809">
      <formula>AND(IF($Q87=3,1,0),IF($X87&lt;30,1,0))</formula>
    </cfRule>
    <cfRule type="expression" dxfId="11970" priority="4810">
      <formula>AND(IF($Q87=3,1,IF($Q87=4,1,0)),IF($F87&lt;=85,1,0))</formula>
    </cfRule>
  </conditionalFormatting>
  <conditionalFormatting sqref="AV88">
    <cfRule type="expression" dxfId="11969" priority="4805">
      <formula>AV88="X"</formula>
    </cfRule>
    <cfRule type="expression" dxfId="11968" priority="4806">
      <formula>AV88="후보"</formula>
    </cfRule>
  </conditionalFormatting>
  <conditionalFormatting sqref="AC88">
    <cfRule type="cellIs" dxfId="11967" priority="4803" operator="greaterThan">
      <formula>0.9</formula>
    </cfRule>
    <cfRule type="cellIs" dxfId="11966" priority="4804" operator="greaterThan">
      <formula>0.85</formula>
    </cfRule>
  </conditionalFormatting>
  <conditionalFormatting sqref="N88">
    <cfRule type="cellIs" dxfId="11965" priority="4801" operator="greaterThan">
      <formula>0.9</formula>
    </cfRule>
    <cfRule type="cellIs" dxfId="11964" priority="4802" operator="greaterThan">
      <formula>0.85</formula>
    </cfRule>
  </conditionalFormatting>
  <conditionalFormatting sqref="E88">
    <cfRule type="expression" dxfId="11963" priority="4797">
      <formula>AND(IF(OR($Q88=1,$Q88=2),1,0),IF($X88&lt;=20,1,0))</formula>
    </cfRule>
    <cfRule type="expression" dxfId="11962" priority="4798">
      <formula>AND(IF($Q88=2,1,0),IF($X88&lt;30,1,0))</formula>
    </cfRule>
    <cfRule type="expression" dxfId="11961" priority="4799">
      <formula>AND(IF($Q88=3,1,0),IF($X88&lt;30,1,0))</formula>
    </cfRule>
    <cfRule type="expression" dxfId="11960" priority="4800">
      <formula>AND(IF($Q88=3,1,IF($Q88=4,1,0)),IF($F88&lt;=85,1,0))</formula>
    </cfRule>
  </conditionalFormatting>
  <conditionalFormatting sqref="X88">
    <cfRule type="expression" dxfId="11959" priority="4793">
      <formula>AND(IF(OR($Q88=1,$Q88=2),1,0),IF($X88&lt;=20,1,0))</formula>
    </cfRule>
    <cfRule type="expression" dxfId="11958" priority="4794">
      <formula>AND(IF($Q88=2,1,0),IF($X88&lt;30,1,0))</formula>
    </cfRule>
    <cfRule type="expression" dxfId="11957" priority="4795">
      <formula>AND(IF($Q88=3,1,0),IF($X88&lt;30,1,0))</formula>
    </cfRule>
    <cfRule type="expression" dxfId="11956" priority="4796">
      <formula>AND(IF($Q88=3,1,IF($Q88=4,1,0)),IF($F88&lt;=85,1,0))</formula>
    </cfRule>
  </conditionalFormatting>
  <conditionalFormatting sqref="AI88">
    <cfRule type="expression" dxfId="11955" priority="4789">
      <formula>AND(IF(OR($Q88=1,$Q88=2),1,0),IF($X88&lt;=20,1,0))</formula>
    </cfRule>
    <cfRule type="expression" dxfId="11954" priority="4790">
      <formula>AND(IF($Q88=2,1,0),IF($X88&lt;30,1,0))</formula>
    </cfRule>
    <cfRule type="expression" dxfId="11953" priority="4791">
      <formula>AND(IF($Q88=3,1,0),IF($X88&lt;30,1,0))</formula>
    </cfRule>
    <cfRule type="expression" dxfId="11952" priority="4792">
      <formula>AND(IF($Q88=3,1,IF($Q88=4,1,0)),IF($F88&lt;=85,1,0))</formula>
    </cfRule>
  </conditionalFormatting>
  <conditionalFormatting sqref="AV89">
    <cfRule type="expression" dxfId="11951" priority="4787">
      <formula>AV89="X"</formula>
    </cfRule>
    <cfRule type="expression" dxfId="11950" priority="4788">
      <formula>AV89="후보"</formula>
    </cfRule>
  </conditionalFormatting>
  <conditionalFormatting sqref="AC89">
    <cfRule type="cellIs" dxfId="11949" priority="4785" operator="greaterThan">
      <formula>0.9</formula>
    </cfRule>
    <cfRule type="cellIs" dxfId="11948" priority="4786" operator="greaterThan">
      <formula>0.85</formula>
    </cfRule>
  </conditionalFormatting>
  <conditionalFormatting sqref="N89">
    <cfRule type="cellIs" dxfId="11947" priority="4783" operator="greaterThan">
      <formula>0.9</formula>
    </cfRule>
    <cfRule type="cellIs" dxfId="11946" priority="4784" operator="greaterThan">
      <formula>0.85</formula>
    </cfRule>
  </conditionalFormatting>
  <conditionalFormatting sqref="E89">
    <cfRule type="expression" dxfId="11945" priority="4779">
      <formula>AND(IF(OR($Q89=1,$Q89=2),1,0),IF($X89&lt;=20,1,0))</formula>
    </cfRule>
    <cfRule type="expression" dxfId="11944" priority="4780">
      <formula>AND(IF($Q89=2,1,0),IF($X89&lt;30,1,0))</formula>
    </cfRule>
    <cfRule type="expression" dxfId="11943" priority="4781">
      <formula>AND(IF($Q89=3,1,0),IF($X89&lt;30,1,0))</formula>
    </cfRule>
    <cfRule type="expression" dxfId="11942" priority="4782">
      <formula>AND(IF($Q89=3,1,IF($Q89=4,1,0)),IF($F89&lt;=85,1,0))</formula>
    </cfRule>
  </conditionalFormatting>
  <conditionalFormatting sqref="X89">
    <cfRule type="expression" dxfId="11941" priority="4775">
      <formula>AND(IF(OR($Q89=1,$Q89=2),1,0),IF($X89&lt;=20,1,0))</formula>
    </cfRule>
    <cfRule type="expression" dxfId="11940" priority="4776">
      <formula>AND(IF($Q89=2,1,0),IF($X89&lt;30,1,0))</formula>
    </cfRule>
    <cfRule type="expression" dxfId="11939" priority="4777">
      <formula>AND(IF($Q89=3,1,0),IF($X89&lt;30,1,0))</formula>
    </cfRule>
    <cfRule type="expression" dxfId="11938" priority="4778">
      <formula>AND(IF($Q89=3,1,IF($Q89=4,1,0)),IF($F89&lt;=85,1,0))</formula>
    </cfRule>
  </conditionalFormatting>
  <conditionalFormatting sqref="AI89">
    <cfRule type="expression" dxfId="11937" priority="4771">
      <formula>AND(IF(OR($Q89=1,$Q89=2),1,0),IF($X89&lt;=20,1,0))</formula>
    </cfRule>
    <cfRule type="expression" dxfId="11936" priority="4772">
      <formula>AND(IF($Q89=2,1,0),IF($X89&lt;30,1,0))</formula>
    </cfRule>
    <cfRule type="expression" dxfId="11935" priority="4773">
      <formula>AND(IF($Q89=3,1,0),IF($X89&lt;30,1,0))</formula>
    </cfRule>
    <cfRule type="expression" dxfId="11934" priority="4774">
      <formula>AND(IF($Q89=3,1,IF($Q89=4,1,0)),IF($F89&lt;=85,1,0))</formula>
    </cfRule>
  </conditionalFormatting>
  <conditionalFormatting sqref="AV90">
    <cfRule type="expression" dxfId="11933" priority="4769">
      <formula>AV90="X"</formula>
    </cfRule>
    <cfRule type="expression" dxfId="11932" priority="4770">
      <formula>AV90="후보"</formula>
    </cfRule>
  </conditionalFormatting>
  <conditionalFormatting sqref="AC90">
    <cfRule type="cellIs" dxfId="11931" priority="4767" operator="greaterThan">
      <formula>0.9</formula>
    </cfRule>
    <cfRule type="cellIs" dxfId="11930" priority="4768" operator="greaterThan">
      <formula>0.85</formula>
    </cfRule>
  </conditionalFormatting>
  <conditionalFormatting sqref="N90">
    <cfRule type="cellIs" dxfId="11929" priority="4765" operator="greaterThan">
      <formula>0.9</formula>
    </cfRule>
    <cfRule type="cellIs" dxfId="11928" priority="4766" operator="greaterThan">
      <formula>0.85</formula>
    </cfRule>
  </conditionalFormatting>
  <conditionalFormatting sqref="E90">
    <cfRule type="expression" dxfId="11927" priority="4761">
      <formula>AND(IF(OR($Q90=1,$Q90=2),1,0),IF($X90&lt;=20,1,0))</formula>
    </cfRule>
    <cfRule type="expression" dxfId="11926" priority="4762">
      <formula>AND(IF($Q90=2,1,0),IF($X90&lt;30,1,0))</formula>
    </cfRule>
    <cfRule type="expression" dxfId="11925" priority="4763">
      <formula>AND(IF($Q90=3,1,0),IF($X90&lt;30,1,0))</formula>
    </cfRule>
    <cfRule type="expression" dxfId="11924" priority="4764">
      <formula>AND(IF($Q90=3,1,IF($Q90=4,1,0)),IF($F90&lt;=85,1,0))</formula>
    </cfRule>
  </conditionalFormatting>
  <conditionalFormatting sqref="X90">
    <cfRule type="expression" dxfId="11923" priority="4757">
      <formula>AND(IF(OR($Q90=1,$Q90=2),1,0),IF($X90&lt;=20,1,0))</formula>
    </cfRule>
    <cfRule type="expression" dxfId="11922" priority="4758">
      <formula>AND(IF($Q90=2,1,0),IF($X90&lt;30,1,0))</formula>
    </cfRule>
    <cfRule type="expression" dxfId="11921" priority="4759">
      <formula>AND(IF($Q90=3,1,0),IF($X90&lt;30,1,0))</formula>
    </cfRule>
    <cfRule type="expression" dxfId="11920" priority="4760">
      <formula>AND(IF($Q90=3,1,IF($Q90=4,1,0)),IF($F90&lt;=85,1,0))</formula>
    </cfRule>
  </conditionalFormatting>
  <conditionalFormatting sqref="AI90">
    <cfRule type="expression" dxfId="11919" priority="4753">
      <formula>AND(IF(OR($Q90=1,$Q90=2),1,0),IF($X90&lt;=20,1,0))</formula>
    </cfRule>
    <cfRule type="expression" dxfId="11918" priority="4754">
      <formula>AND(IF($Q90=2,1,0),IF($X90&lt;30,1,0))</formula>
    </cfRule>
    <cfRule type="expression" dxfId="11917" priority="4755">
      <formula>AND(IF($Q90=3,1,0),IF($X90&lt;30,1,0))</formula>
    </cfRule>
    <cfRule type="expression" dxfId="11916" priority="4756">
      <formula>AND(IF($Q90=3,1,IF($Q90=4,1,0)),IF($F90&lt;=85,1,0))</formula>
    </cfRule>
  </conditionalFormatting>
  <conditionalFormatting sqref="AV91">
    <cfRule type="expression" dxfId="11915" priority="4751">
      <formula>AV91="X"</formula>
    </cfRule>
    <cfRule type="expression" dxfId="11914" priority="4752">
      <formula>AV91="후보"</formula>
    </cfRule>
  </conditionalFormatting>
  <conditionalFormatting sqref="AC91">
    <cfRule type="cellIs" dxfId="11913" priority="4749" operator="greaterThan">
      <formula>0.9</formula>
    </cfRule>
    <cfRule type="cellIs" dxfId="11912" priority="4750" operator="greaterThan">
      <formula>0.85</formula>
    </cfRule>
  </conditionalFormatting>
  <conditionalFormatting sqref="N91">
    <cfRule type="cellIs" dxfId="11911" priority="4747" operator="greaterThan">
      <formula>0.9</formula>
    </cfRule>
    <cfRule type="cellIs" dxfId="11910" priority="4748" operator="greaterThan">
      <formula>0.85</formula>
    </cfRule>
  </conditionalFormatting>
  <conditionalFormatting sqref="E91">
    <cfRule type="expression" dxfId="11909" priority="4743">
      <formula>AND(IF(OR($Q91=1,$Q91=2),1,0),IF($X91&lt;=20,1,0))</formula>
    </cfRule>
    <cfRule type="expression" dxfId="11908" priority="4744">
      <formula>AND(IF($Q91=2,1,0),IF($X91&lt;30,1,0))</formula>
    </cfRule>
    <cfRule type="expression" dxfId="11907" priority="4745">
      <formula>AND(IF($Q91=3,1,0),IF($X91&lt;30,1,0))</formula>
    </cfRule>
    <cfRule type="expression" dxfId="11906" priority="4746">
      <formula>AND(IF($Q91=3,1,IF($Q91=4,1,0)),IF($F91&lt;=85,1,0))</formula>
    </cfRule>
  </conditionalFormatting>
  <conditionalFormatting sqref="X91">
    <cfRule type="expression" dxfId="11905" priority="4739">
      <formula>AND(IF(OR($Q91=1,$Q91=2),1,0),IF($X91&lt;=20,1,0))</formula>
    </cfRule>
    <cfRule type="expression" dxfId="11904" priority="4740">
      <formula>AND(IF($Q91=2,1,0),IF($X91&lt;30,1,0))</formula>
    </cfRule>
    <cfRule type="expression" dxfId="11903" priority="4741">
      <formula>AND(IF($Q91=3,1,0),IF($X91&lt;30,1,0))</formula>
    </cfRule>
    <cfRule type="expression" dxfId="11902" priority="4742">
      <formula>AND(IF($Q91=3,1,IF($Q91=4,1,0)),IF($F91&lt;=85,1,0))</formula>
    </cfRule>
  </conditionalFormatting>
  <conditionalFormatting sqref="AI91">
    <cfRule type="expression" dxfId="11901" priority="4735">
      <formula>AND(IF(OR($Q91=1,$Q91=2),1,0),IF($X91&lt;=20,1,0))</formula>
    </cfRule>
    <cfRule type="expression" dxfId="11900" priority="4736">
      <formula>AND(IF($Q91=2,1,0),IF($X91&lt;30,1,0))</formula>
    </cfRule>
    <cfRule type="expression" dxfId="11899" priority="4737">
      <formula>AND(IF($Q91=3,1,0),IF($X91&lt;30,1,0))</formula>
    </cfRule>
    <cfRule type="expression" dxfId="11898" priority="4738">
      <formula>AND(IF($Q91=3,1,IF($Q91=4,1,0)),IF($F91&lt;=85,1,0))</formula>
    </cfRule>
  </conditionalFormatting>
  <conditionalFormatting sqref="AV92">
    <cfRule type="expression" dxfId="11897" priority="4733">
      <formula>AV92="X"</formula>
    </cfRule>
    <cfRule type="expression" dxfId="11896" priority="4734">
      <formula>AV92="후보"</formula>
    </cfRule>
  </conditionalFormatting>
  <conditionalFormatting sqref="AC92">
    <cfRule type="cellIs" dxfId="11895" priority="4731" operator="greaterThan">
      <formula>0.9</formula>
    </cfRule>
    <cfRule type="cellIs" dxfId="11894" priority="4732" operator="greaterThan">
      <formula>0.85</formula>
    </cfRule>
  </conditionalFormatting>
  <conditionalFormatting sqref="N92">
    <cfRule type="cellIs" dxfId="11893" priority="4729" operator="greaterThan">
      <formula>0.9</formula>
    </cfRule>
    <cfRule type="cellIs" dxfId="11892" priority="4730" operator="greaterThan">
      <formula>0.85</formula>
    </cfRule>
  </conditionalFormatting>
  <conditionalFormatting sqref="E92">
    <cfRule type="expression" dxfId="11891" priority="4725">
      <formula>AND(IF(OR($Q92=1,$Q92=2),1,0),IF($X92&lt;=20,1,0))</formula>
    </cfRule>
    <cfRule type="expression" dxfId="11890" priority="4726">
      <formula>AND(IF($Q92=2,1,0),IF($X92&lt;30,1,0))</formula>
    </cfRule>
    <cfRule type="expression" dxfId="11889" priority="4727">
      <formula>AND(IF($Q92=3,1,0),IF($X92&lt;30,1,0))</formula>
    </cfRule>
    <cfRule type="expression" dxfId="11888" priority="4728">
      <formula>AND(IF($Q92=3,1,IF($Q92=4,1,0)),IF($F92&lt;=85,1,0))</formula>
    </cfRule>
  </conditionalFormatting>
  <conditionalFormatting sqref="X92">
    <cfRule type="expression" dxfId="11887" priority="4721">
      <formula>AND(IF(OR($Q92=1,$Q92=2),1,0),IF($X92&lt;=20,1,0))</formula>
    </cfRule>
    <cfRule type="expression" dxfId="11886" priority="4722">
      <formula>AND(IF($Q92=2,1,0),IF($X92&lt;30,1,0))</formula>
    </cfRule>
    <cfRule type="expression" dxfId="11885" priority="4723">
      <formula>AND(IF($Q92=3,1,0),IF($X92&lt;30,1,0))</formula>
    </cfRule>
    <cfRule type="expression" dxfId="11884" priority="4724">
      <formula>AND(IF($Q92=3,1,IF($Q92=4,1,0)),IF($F92&lt;=85,1,0))</formula>
    </cfRule>
  </conditionalFormatting>
  <conditionalFormatting sqref="AI92">
    <cfRule type="expression" dxfId="11883" priority="4717">
      <formula>AND(IF(OR($Q92=1,$Q92=2),1,0),IF($X92&lt;=20,1,0))</formula>
    </cfRule>
    <cfRule type="expression" dxfId="11882" priority="4718">
      <formula>AND(IF($Q92=2,1,0),IF($X92&lt;30,1,0))</formula>
    </cfRule>
    <cfRule type="expression" dxfId="11881" priority="4719">
      <formula>AND(IF($Q92=3,1,0),IF($X92&lt;30,1,0))</formula>
    </cfRule>
    <cfRule type="expression" dxfId="11880" priority="4720">
      <formula>AND(IF($Q92=3,1,IF($Q92=4,1,0)),IF($F92&lt;=85,1,0))</formula>
    </cfRule>
  </conditionalFormatting>
  <conditionalFormatting sqref="AV93">
    <cfRule type="expression" dxfId="11879" priority="4715">
      <formula>AV93="X"</formula>
    </cfRule>
    <cfRule type="expression" dxfId="11878" priority="4716">
      <formula>AV93="후보"</formula>
    </cfRule>
  </conditionalFormatting>
  <conditionalFormatting sqref="AC93">
    <cfRule type="cellIs" dxfId="11877" priority="4713" operator="greaterThan">
      <formula>0.9</formula>
    </cfRule>
    <cfRule type="cellIs" dxfId="11876" priority="4714" operator="greaterThan">
      <formula>0.85</formula>
    </cfRule>
  </conditionalFormatting>
  <conditionalFormatting sqref="N93">
    <cfRule type="cellIs" dxfId="11875" priority="4711" operator="greaterThan">
      <formula>0.9</formula>
    </cfRule>
    <cfRule type="cellIs" dxfId="11874" priority="4712" operator="greaterThan">
      <formula>0.85</formula>
    </cfRule>
  </conditionalFormatting>
  <conditionalFormatting sqref="E93">
    <cfRule type="expression" dxfId="11873" priority="4707">
      <formula>AND(IF(OR($Q93=1,$Q93=2),1,0),IF($X93&lt;=20,1,0))</formula>
    </cfRule>
    <cfRule type="expression" dxfId="11872" priority="4708">
      <formula>AND(IF($Q93=2,1,0),IF($X93&lt;30,1,0))</formula>
    </cfRule>
    <cfRule type="expression" dxfId="11871" priority="4709">
      <formula>AND(IF($Q93=3,1,0),IF($X93&lt;30,1,0))</formula>
    </cfRule>
    <cfRule type="expression" dxfId="11870" priority="4710">
      <formula>AND(IF($Q93=3,1,IF($Q93=4,1,0)),IF($F93&lt;=85,1,0))</formula>
    </cfRule>
  </conditionalFormatting>
  <conditionalFormatting sqref="X93">
    <cfRule type="expression" dxfId="11869" priority="4703">
      <formula>AND(IF(OR($Q93=1,$Q93=2),1,0),IF($X93&lt;=20,1,0))</formula>
    </cfRule>
    <cfRule type="expression" dxfId="11868" priority="4704">
      <formula>AND(IF($Q93=2,1,0),IF($X93&lt;30,1,0))</formula>
    </cfRule>
    <cfRule type="expression" dxfId="11867" priority="4705">
      <formula>AND(IF($Q93=3,1,0),IF($X93&lt;30,1,0))</formula>
    </cfRule>
    <cfRule type="expression" dxfId="11866" priority="4706">
      <formula>AND(IF($Q93=3,1,IF($Q93=4,1,0)),IF($F93&lt;=85,1,0))</formula>
    </cfRule>
  </conditionalFormatting>
  <conditionalFormatting sqref="AI93">
    <cfRule type="expression" dxfId="11865" priority="4699">
      <formula>AND(IF(OR($Q93=1,$Q93=2),1,0),IF($X93&lt;=20,1,0))</formula>
    </cfRule>
    <cfRule type="expression" dxfId="11864" priority="4700">
      <formula>AND(IF($Q93=2,1,0),IF($X93&lt;30,1,0))</formula>
    </cfRule>
    <cfRule type="expression" dxfId="11863" priority="4701">
      <formula>AND(IF($Q93=3,1,0),IF($X93&lt;30,1,0))</formula>
    </cfRule>
    <cfRule type="expression" dxfId="11862" priority="4702">
      <formula>AND(IF($Q93=3,1,IF($Q93=4,1,0)),IF($F93&lt;=85,1,0))</formula>
    </cfRule>
  </conditionalFormatting>
  <conditionalFormatting sqref="AV94">
    <cfRule type="expression" dxfId="11861" priority="4697">
      <formula>AV94="X"</formula>
    </cfRule>
    <cfRule type="expression" dxfId="11860" priority="4698">
      <formula>AV94="후보"</formula>
    </cfRule>
  </conditionalFormatting>
  <conditionalFormatting sqref="AC94">
    <cfRule type="cellIs" dxfId="11859" priority="4695" operator="greaterThan">
      <formula>0.9</formula>
    </cfRule>
    <cfRule type="cellIs" dxfId="11858" priority="4696" operator="greaterThan">
      <formula>0.85</formula>
    </cfRule>
  </conditionalFormatting>
  <conditionalFormatting sqref="N94">
    <cfRule type="cellIs" dxfId="11857" priority="4693" operator="greaterThan">
      <formula>0.9</formula>
    </cfRule>
    <cfRule type="cellIs" dxfId="11856" priority="4694" operator="greaterThan">
      <formula>0.85</formula>
    </cfRule>
  </conditionalFormatting>
  <conditionalFormatting sqref="E94">
    <cfRule type="expression" dxfId="11855" priority="4689">
      <formula>AND(IF(OR($Q94=1,$Q94=2),1,0),IF($X94&lt;=20,1,0))</formula>
    </cfRule>
    <cfRule type="expression" dxfId="11854" priority="4690">
      <formula>AND(IF($Q94=2,1,0),IF($X94&lt;30,1,0))</formula>
    </cfRule>
    <cfRule type="expression" dxfId="11853" priority="4691">
      <formula>AND(IF($Q94=3,1,0),IF($X94&lt;30,1,0))</formula>
    </cfRule>
    <cfRule type="expression" dxfId="11852" priority="4692">
      <formula>AND(IF($Q94=3,1,IF($Q94=4,1,0)),IF($F94&lt;=85,1,0))</formula>
    </cfRule>
  </conditionalFormatting>
  <conditionalFormatting sqref="X94">
    <cfRule type="expression" dxfId="11851" priority="4685">
      <formula>AND(IF(OR($Q94=1,$Q94=2),1,0),IF($X94&lt;=20,1,0))</formula>
    </cfRule>
    <cfRule type="expression" dxfId="11850" priority="4686">
      <formula>AND(IF($Q94=2,1,0),IF($X94&lt;30,1,0))</formula>
    </cfRule>
    <cfRule type="expression" dxfId="11849" priority="4687">
      <formula>AND(IF($Q94=3,1,0),IF($X94&lt;30,1,0))</formula>
    </cfRule>
    <cfRule type="expression" dxfId="11848" priority="4688">
      <formula>AND(IF($Q94=3,1,IF($Q94=4,1,0)),IF($F94&lt;=85,1,0))</formula>
    </cfRule>
  </conditionalFormatting>
  <conditionalFormatting sqref="AI94">
    <cfRule type="expression" dxfId="11847" priority="4681">
      <formula>AND(IF(OR($Q94=1,$Q94=2),1,0),IF($X94&lt;=20,1,0))</formula>
    </cfRule>
    <cfRule type="expression" dxfId="11846" priority="4682">
      <formula>AND(IF($Q94=2,1,0),IF($X94&lt;30,1,0))</formula>
    </cfRule>
    <cfRule type="expression" dxfId="11845" priority="4683">
      <formula>AND(IF($Q94=3,1,0),IF($X94&lt;30,1,0))</formula>
    </cfRule>
    <cfRule type="expression" dxfId="11844" priority="4684">
      <formula>AND(IF($Q94=3,1,IF($Q94=4,1,0)),IF($F94&lt;=85,1,0))</formula>
    </cfRule>
  </conditionalFormatting>
  <conditionalFormatting sqref="AV95">
    <cfRule type="expression" dxfId="11843" priority="4679">
      <formula>AV95="X"</formula>
    </cfRule>
    <cfRule type="expression" dxfId="11842" priority="4680">
      <formula>AV95="후보"</formula>
    </cfRule>
  </conditionalFormatting>
  <conditionalFormatting sqref="AC95">
    <cfRule type="cellIs" dxfId="11841" priority="4677" operator="greaterThan">
      <formula>0.9</formula>
    </cfRule>
    <cfRule type="cellIs" dxfId="11840" priority="4678" operator="greaterThan">
      <formula>0.85</formula>
    </cfRule>
  </conditionalFormatting>
  <conditionalFormatting sqref="N95">
    <cfRule type="cellIs" dxfId="11839" priority="4675" operator="greaterThan">
      <formula>0.9</formula>
    </cfRule>
    <cfRule type="cellIs" dxfId="11838" priority="4676" operator="greaterThan">
      <formula>0.85</formula>
    </cfRule>
  </conditionalFormatting>
  <conditionalFormatting sqref="E95">
    <cfRule type="expression" dxfId="11837" priority="4671">
      <formula>AND(IF(OR($Q95=1,$Q95=2),1,0),IF($X95&lt;=20,1,0))</formula>
    </cfRule>
    <cfRule type="expression" dxfId="11836" priority="4672">
      <formula>AND(IF($Q95=2,1,0),IF($X95&lt;30,1,0))</formula>
    </cfRule>
    <cfRule type="expression" dxfId="11835" priority="4673">
      <formula>AND(IF($Q95=3,1,0),IF($X95&lt;30,1,0))</formula>
    </cfRule>
    <cfRule type="expression" dxfId="11834" priority="4674">
      <formula>AND(IF($Q95=3,1,IF($Q95=4,1,0)),IF($F95&lt;=85,1,0))</formula>
    </cfRule>
  </conditionalFormatting>
  <conditionalFormatting sqref="X95">
    <cfRule type="expression" dxfId="11833" priority="4667">
      <formula>AND(IF(OR($Q95=1,$Q95=2),1,0),IF($X95&lt;=20,1,0))</formula>
    </cfRule>
    <cfRule type="expression" dxfId="11832" priority="4668">
      <formula>AND(IF($Q95=2,1,0),IF($X95&lt;30,1,0))</formula>
    </cfRule>
    <cfRule type="expression" dxfId="11831" priority="4669">
      <formula>AND(IF($Q95=3,1,0),IF($X95&lt;30,1,0))</formula>
    </cfRule>
    <cfRule type="expression" dxfId="11830" priority="4670">
      <formula>AND(IF($Q95=3,1,IF($Q95=4,1,0)),IF($F95&lt;=85,1,0))</formula>
    </cfRule>
  </conditionalFormatting>
  <conditionalFormatting sqref="AI95">
    <cfRule type="expression" dxfId="11829" priority="4663">
      <formula>AND(IF(OR($Q95=1,$Q95=2),1,0),IF($X95&lt;=20,1,0))</formula>
    </cfRule>
    <cfRule type="expression" dxfId="11828" priority="4664">
      <formula>AND(IF($Q95=2,1,0),IF($X95&lt;30,1,0))</formula>
    </cfRule>
    <cfRule type="expression" dxfId="11827" priority="4665">
      <formula>AND(IF($Q95=3,1,0),IF($X95&lt;30,1,0))</formula>
    </cfRule>
    <cfRule type="expression" dxfId="11826" priority="4666">
      <formula>AND(IF($Q95=3,1,IF($Q95=4,1,0)),IF($F95&lt;=85,1,0))</formula>
    </cfRule>
  </conditionalFormatting>
  <conditionalFormatting sqref="AV96">
    <cfRule type="expression" dxfId="11825" priority="4661">
      <formula>AV96="X"</formula>
    </cfRule>
    <cfRule type="expression" dxfId="11824" priority="4662">
      <formula>AV96="후보"</formula>
    </cfRule>
  </conditionalFormatting>
  <conditionalFormatting sqref="AC96">
    <cfRule type="cellIs" dxfId="11823" priority="4659" operator="greaterThan">
      <formula>0.9</formula>
    </cfRule>
    <cfRule type="cellIs" dxfId="11822" priority="4660" operator="greaterThan">
      <formula>0.85</formula>
    </cfRule>
  </conditionalFormatting>
  <conditionalFormatting sqref="N96">
    <cfRule type="cellIs" dxfId="11821" priority="4657" operator="greaterThan">
      <formula>0.9</formula>
    </cfRule>
    <cfRule type="cellIs" dxfId="11820" priority="4658" operator="greaterThan">
      <formula>0.85</formula>
    </cfRule>
  </conditionalFormatting>
  <conditionalFormatting sqref="E96">
    <cfRule type="expression" dxfId="11819" priority="4653">
      <formula>AND(IF(OR($Q96=1,$Q96=2),1,0),IF($X96&lt;=20,1,0))</formula>
    </cfRule>
    <cfRule type="expression" dxfId="11818" priority="4654">
      <formula>AND(IF($Q96=2,1,0),IF($X96&lt;30,1,0))</formula>
    </cfRule>
    <cfRule type="expression" dxfId="11817" priority="4655">
      <formula>AND(IF($Q96=3,1,0),IF($X96&lt;30,1,0))</formula>
    </cfRule>
    <cfRule type="expression" dxfId="11816" priority="4656">
      <formula>AND(IF($Q96=3,1,IF($Q96=4,1,0)),IF($F96&lt;=85,1,0))</formula>
    </cfRule>
  </conditionalFormatting>
  <conditionalFormatting sqref="X96">
    <cfRule type="expression" dxfId="11815" priority="4649">
      <formula>AND(IF(OR($Q96=1,$Q96=2),1,0),IF($X96&lt;=20,1,0))</formula>
    </cfRule>
    <cfRule type="expression" dxfId="11814" priority="4650">
      <formula>AND(IF($Q96=2,1,0),IF($X96&lt;30,1,0))</formula>
    </cfRule>
    <cfRule type="expression" dxfId="11813" priority="4651">
      <formula>AND(IF($Q96=3,1,0),IF($X96&lt;30,1,0))</formula>
    </cfRule>
    <cfRule type="expression" dxfId="11812" priority="4652">
      <formula>AND(IF($Q96=3,1,IF($Q96=4,1,0)),IF($F96&lt;=85,1,0))</formula>
    </cfRule>
  </conditionalFormatting>
  <conditionalFormatting sqref="AI96">
    <cfRule type="expression" dxfId="11811" priority="4645">
      <formula>AND(IF(OR($Q96=1,$Q96=2),1,0),IF($X96&lt;=20,1,0))</formula>
    </cfRule>
    <cfRule type="expression" dxfId="11810" priority="4646">
      <formula>AND(IF($Q96=2,1,0),IF($X96&lt;30,1,0))</formula>
    </cfRule>
    <cfRule type="expression" dxfId="11809" priority="4647">
      <formula>AND(IF($Q96=3,1,0),IF($X96&lt;30,1,0))</formula>
    </cfRule>
    <cfRule type="expression" dxfId="11808" priority="4648">
      <formula>AND(IF($Q96=3,1,IF($Q96=4,1,0)),IF($F96&lt;=85,1,0))</formula>
    </cfRule>
  </conditionalFormatting>
  <conditionalFormatting sqref="AV97">
    <cfRule type="expression" dxfId="11807" priority="4643">
      <formula>AV97="X"</formula>
    </cfRule>
    <cfRule type="expression" dxfId="11806" priority="4644">
      <formula>AV97="후보"</formula>
    </cfRule>
  </conditionalFormatting>
  <conditionalFormatting sqref="AC97">
    <cfRule type="cellIs" dxfId="11805" priority="4641" operator="greaterThan">
      <formula>0.9</formula>
    </cfRule>
    <cfRule type="cellIs" dxfId="11804" priority="4642" operator="greaterThan">
      <formula>0.85</formula>
    </cfRule>
  </conditionalFormatting>
  <conditionalFormatting sqref="N97">
    <cfRule type="cellIs" dxfId="11803" priority="4639" operator="greaterThan">
      <formula>0.9</formula>
    </cfRule>
    <cfRule type="cellIs" dxfId="11802" priority="4640" operator="greaterThan">
      <formula>0.85</formula>
    </cfRule>
  </conditionalFormatting>
  <conditionalFormatting sqref="E97">
    <cfRule type="expression" dxfId="11801" priority="4635">
      <formula>AND(IF(OR($Q97=1,$Q97=2),1,0),IF($X97&lt;=20,1,0))</formula>
    </cfRule>
    <cfRule type="expression" dxfId="11800" priority="4636">
      <formula>AND(IF($Q97=2,1,0),IF($X97&lt;30,1,0))</formula>
    </cfRule>
    <cfRule type="expression" dxfId="11799" priority="4637">
      <formula>AND(IF($Q97=3,1,0),IF($X97&lt;30,1,0))</formula>
    </cfRule>
    <cfRule type="expression" dxfId="11798" priority="4638">
      <formula>AND(IF($Q97=3,1,IF($Q97=4,1,0)),IF($F97&lt;=85,1,0))</formula>
    </cfRule>
  </conditionalFormatting>
  <conditionalFormatting sqref="X97">
    <cfRule type="expression" dxfId="11797" priority="4631">
      <formula>AND(IF(OR($Q97=1,$Q97=2),1,0),IF($X97&lt;=20,1,0))</formula>
    </cfRule>
    <cfRule type="expression" dxfId="11796" priority="4632">
      <formula>AND(IF($Q97=2,1,0),IF($X97&lt;30,1,0))</formula>
    </cfRule>
    <cfRule type="expression" dxfId="11795" priority="4633">
      <formula>AND(IF($Q97=3,1,0),IF($X97&lt;30,1,0))</formula>
    </cfRule>
    <cfRule type="expression" dxfId="11794" priority="4634">
      <formula>AND(IF($Q97=3,1,IF($Q97=4,1,0)),IF($F97&lt;=85,1,0))</formula>
    </cfRule>
  </conditionalFormatting>
  <conditionalFormatting sqref="AI97">
    <cfRule type="expression" dxfId="11793" priority="4627">
      <formula>AND(IF(OR($Q97=1,$Q97=2),1,0),IF($X97&lt;=20,1,0))</formula>
    </cfRule>
    <cfRule type="expression" dxfId="11792" priority="4628">
      <formula>AND(IF($Q97=2,1,0),IF($X97&lt;30,1,0))</formula>
    </cfRule>
    <cfRule type="expression" dxfId="11791" priority="4629">
      <formula>AND(IF($Q97=3,1,0),IF($X97&lt;30,1,0))</formula>
    </cfRule>
    <cfRule type="expression" dxfId="11790" priority="4630">
      <formula>AND(IF($Q97=3,1,IF($Q97=4,1,0)),IF($F97&lt;=85,1,0))</formula>
    </cfRule>
  </conditionalFormatting>
  <conditionalFormatting sqref="AV98">
    <cfRule type="expression" dxfId="11789" priority="4625">
      <formula>AV98="X"</formula>
    </cfRule>
    <cfRule type="expression" dxfId="11788" priority="4626">
      <formula>AV98="후보"</formula>
    </cfRule>
  </conditionalFormatting>
  <conditionalFormatting sqref="AC98">
    <cfRule type="cellIs" dxfId="11787" priority="4623" operator="greaterThan">
      <formula>0.9</formula>
    </cfRule>
    <cfRule type="cellIs" dxfId="11786" priority="4624" operator="greaterThan">
      <formula>0.85</formula>
    </cfRule>
  </conditionalFormatting>
  <conditionalFormatting sqref="N98">
    <cfRule type="cellIs" dxfId="11785" priority="4621" operator="greaterThan">
      <formula>0.9</formula>
    </cfRule>
    <cfRule type="cellIs" dxfId="11784" priority="4622" operator="greaterThan">
      <formula>0.85</formula>
    </cfRule>
  </conditionalFormatting>
  <conditionalFormatting sqref="E98">
    <cfRule type="expression" dxfId="11783" priority="4617">
      <formula>AND(IF(OR($Q98=1,$Q98=2),1,0),IF($X98&lt;=20,1,0))</formula>
    </cfRule>
    <cfRule type="expression" dxfId="11782" priority="4618">
      <formula>AND(IF($Q98=2,1,0),IF($X98&lt;30,1,0))</formula>
    </cfRule>
    <cfRule type="expression" dxfId="11781" priority="4619">
      <formula>AND(IF($Q98=3,1,0),IF($X98&lt;30,1,0))</formula>
    </cfRule>
    <cfRule type="expression" dxfId="11780" priority="4620">
      <formula>AND(IF($Q98=3,1,IF($Q98=4,1,0)),IF($F98&lt;=85,1,0))</formula>
    </cfRule>
  </conditionalFormatting>
  <conditionalFormatting sqref="X98">
    <cfRule type="expression" dxfId="11779" priority="4613">
      <formula>AND(IF(OR($Q98=1,$Q98=2),1,0),IF($X98&lt;=20,1,0))</formula>
    </cfRule>
    <cfRule type="expression" dxfId="11778" priority="4614">
      <formula>AND(IF($Q98=2,1,0),IF($X98&lt;30,1,0))</formula>
    </cfRule>
    <cfRule type="expression" dxfId="11777" priority="4615">
      <formula>AND(IF($Q98=3,1,0),IF($X98&lt;30,1,0))</formula>
    </cfRule>
    <cfRule type="expression" dxfId="11776" priority="4616">
      <formula>AND(IF($Q98=3,1,IF($Q98=4,1,0)),IF($F98&lt;=85,1,0))</formula>
    </cfRule>
  </conditionalFormatting>
  <conditionalFormatting sqref="AI98">
    <cfRule type="expression" dxfId="11775" priority="4609">
      <formula>AND(IF(OR($Q98=1,$Q98=2),1,0),IF($X98&lt;=20,1,0))</formula>
    </cfRule>
    <cfRule type="expression" dxfId="11774" priority="4610">
      <formula>AND(IF($Q98=2,1,0),IF($X98&lt;30,1,0))</formula>
    </cfRule>
    <cfRule type="expression" dxfId="11773" priority="4611">
      <formula>AND(IF($Q98=3,1,0),IF($X98&lt;30,1,0))</formula>
    </cfRule>
    <cfRule type="expression" dxfId="11772" priority="4612">
      <formula>AND(IF($Q98=3,1,IF($Q98=4,1,0)),IF($F98&lt;=85,1,0))</formula>
    </cfRule>
  </conditionalFormatting>
  <conditionalFormatting sqref="AV99">
    <cfRule type="expression" dxfId="11771" priority="4607">
      <formula>AV99="X"</formula>
    </cfRule>
    <cfRule type="expression" dxfId="11770" priority="4608">
      <formula>AV99="후보"</formula>
    </cfRule>
  </conditionalFormatting>
  <conditionalFormatting sqref="AC99">
    <cfRule type="cellIs" dxfId="11769" priority="4605" operator="greaterThan">
      <formula>0.9</formula>
    </cfRule>
    <cfRule type="cellIs" dxfId="11768" priority="4606" operator="greaterThan">
      <formula>0.85</formula>
    </cfRule>
  </conditionalFormatting>
  <conditionalFormatting sqref="N99">
    <cfRule type="cellIs" dxfId="11767" priority="4603" operator="greaterThan">
      <formula>0.9</formula>
    </cfRule>
    <cfRule type="cellIs" dxfId="11766" priority="4604" operator="greaterThan">
      <formula>0.85</formula>
    </cfRule>
  </conditionalFormatting>
  <conditionalFormatting sqref="E99">
    <cfRule type="expression" dxfId="11765" priority="4599">
      <formula>AND(IF(OR($Q99=1,$Q99=2),1,0),IF($X99&lt;=20,1,0))</formula>
    </cfRule>
    <cfRule type="expression" dxfId="11764" priority="4600">
      <formula>AND(IF($Q99=2,1,0),IF($X99&lt;30,1,0))</formula>
    </cfRule>
    <cfRule type="expression" dxfId="11763" priority="4601">
      <formula>AND(IF($Q99=3,1,0),IF($X99&lt;30,1,0))</formula>
    </cfRule>
    <cfRule type="expression" dxfId="11762" priority="4602">
      <formula>AND(IF($Q99=3,1,IF($Q99=4,1,0)),IF($F99&lt;=85,1,0))</formula>
    </cfRule>
  </conditionalFormatting>
  <conditionalFormatting sqref="X99">
    <cfRule type="expression" dxfId="11761" priority="4595">
      <formula>AND(IF(OR($Q99=1,$Q99=2),1,0),IF($X99&lt;=20,1,0))</formula>
    </cfRule>
    <cfRule type="expression" dxfId="11760" priority="4596">
      <formula>AND(IF($Q99=2,1,0),IF($X99&lt;30,1,0))</formula>
    </cfRule>
    <cfRule type="expression" dxfId="11759" priority="4597">
      <formula>AND(IF($Q99=3,1,0),IF($X99&lt;30,1,0))</formula>
    </cfRule>
    <cfRule type="expression" dxfId="11758" priority="4598">
      <formula>AND(IF($Q99=3,1,IF($Q99=4,1,0)),IF($F99&lt;=85,1,0))</formula>
    </cfRule>
  </conditionalFormatting>
  <conditionalFormatting sqref="AI99">
    <cfRule type="expression" dxfId="11757" priority="4591">
      <formula>AND(IF(OR($Q99=1,$Q99=2),1,0),IF($X99&lt;=20,1,0))</formula>
    </cfRule>
    <cfRule type="expression" dxfId="11756" priority="4592">
      <formula>AND(IF($Q99=2,1,0),IF($X99&lt;30,1,0))</formula>
    </cfRule>
    <cfRule type="expression" dxfId="11755" priority="4593">
      <formula>AND(IF($Q99=3,1,0),IF($X99&lt;30,1,0))</formula>
    </cfRule>
    <cfRule type="expression" dxfId="11754" priority="4594">
      <formula>AND(IF($Q99=3,1,IF($Q99=4,1,0)),IF($F99&lt;=85,1,0))</formula>
    </cfRule>
  </conditionalFormatting>
  <conditionalFormatting sqref="AV100">
    <cfRule type="expression" dxfId="11753" priority="4589">
      <formula>AV100="X"</formula>
    </cfRule>
    <cfRule type="expression" dxfId="11752" priority="4590">
      <formula>AV100="후보"</formula>
    </cfRule>
  </conditionalFormatting>
  <conditionalFormatting sqref="AC100">
    <cfRule type="cellIs" dxfId="11751" priority="4587" operator="greaterThan">
      <formula>0.9</formula>
    </cfRule>
    <cfRule type="cellIs" dxfId="11750" priority="4588" operator="greaterThan">
      <formula>0.85</formula>
    </cfRule>
  </conditionalFormatting>
  <conditionalFormatting sqref="N100">
    <cfRule type="cellIs" dxfId="11749" priority="4585" operator="greaterThan">
      <formula>0.9</formula>
    </cfRule>
    <cfRule type="cellIs" dxfId="11748" priority="4586" operator="greaterThan">
      <formula>0.85</formula>
    </cfRule>
  </conditionalFormatting>
  <conditionalFormatting sqref="E100">
    <cfRule type="expression" dxfId="11747" priority="4581">
      <formula>AND(IF(OR($Q100=1,$Q100=2),1,0),IF($X100&lt;=20,1,0))</formula>
    </cfRule>
    <cfRule type="expression" dxfId="11746" priority="4582">
      <formula>AND(IF($Q100=2,1,0),IF($X100&lt;30,1,0))</formula>
    </cfRule>
    <cfRule type="expression" dxfId="11745" priority="4583">
      <formula>AND(IF($Q100=3,1,0),IF($X100&lt;30,1,0))</formula>
    </cfRule>
    <cfRule type="expression" dxfId="11744" priority="4584">
      <formula>AND(IF($Q100=3,1,IF($Q100=4,1,0)),IF($F100&lt;=85,1,0))</formula>
    </cfRule>
  </conditionalFormatting>
  <conditionalFormatting sqref="X100">
    <cfRule type="expression" dxfId="11743" priority="4577">
      <formula>AND(IF(OR($Q100=1,$Q100=2),1,0),IF($X100&lt;=20,1,0))</formula>
    </cfRule>
    <cfRule type="expression" dxfId="11742" priority="4578">
      <formula>AND(IF($Q100=2,1,0),IF($X100&lt;30,1,0))</formula>
    </cfRule>
    <cfRule type="expression" dxfId="11741" priority="4579">
      <formula>AND(IF($Q100=3,1,0),IF($X100&lt;30,1,0))</formula>
    </cfRule>
    <cfRule type="expression" dxfId="11740" priority="4580">
      <formula>AND(IF($Q100=3,1,IF($Q100=4,1,0)),IF($F100&lt;=85,1,0))</formula>
    </cfRule>
  </conditionalFormatting>
  <conditionalFormatting sqref="AI100">
    <cfRule type="expression" dxfId="11739" priority="4573">
      <formula>AND(IF(OR($Q100=1,$Q100=2),1,0),IF($X100&lt;=20,1,0))</formula>
    </cfRule>
    <cfRule type="expression" dxfId="11738" priority="4574">
      <formula>AND(IF($Q100=2,1,0),IF($X100&lt;30,1,0))</formula>
    </cfRule>
    <cfRule type="expression" dxfId="11737" priority="4575">
      <formula>AND(IF($Q100=3,1,0),IF($X100&lt;30,1,0))</formula>
    </cfRule>
    <cfRule type="expression" dxfId="11736" priority="4576">
      <formula>AND(IF($Q100=3,1,IF($Q100=4,1,0)),IF($F100&lt;=85,1,0))</formula>
    </cfRule>
  </conditionalFormatting>
  <conditionalFormatting sqref="AV101">
    <cfRule type="expression" dxfId="11735" priority="4571">
      <formula>AV101="X"</formula>
    </cfRule>
    <cfRule type="expression" dxfId="11734" priority="4572">
      <formula>AV101="후보"</formula>
    </cfRule>
  </conditionalFormatting>
  <conditionalFormatting sqref="AC101">
    <cfRule type="cellIs" dxfId="11733" priority="4569" operator="greaterThan">
      <formula>0.9</formula>
    </cfRule>
    <cfRule type="cellIs" dxfId="11732" priority="4570" operator="greaterThan">
      <formula>0.85</formula>
    </cfRule>
  </conditionalFormatting>
  <conditionalFormatting sqref="N101">
    <cfRule type="cellIs" dxfId="11731" priority="4567" operator="greaterThan">
      <formula>0.9</formula>
    </cfRule>
    <cfRule type="cellIs" dxfId="11730" priority="4568" operator="greaterThan">
      <formula>0.85</formula>
    </cfRule>
  </conditionalFormatting>
  <conditionalFormatting sqref="E101">
    <cfRule type="expression" dxfId="11729" priority="4563">
      <formula>AND(IF(OR($Q101=1,$Q101=2),1,0),IF($X101&lt;=20,1,0))</formula>
    </cfRule>
    <cfRule type="expression" dxfId="11728" priority="4564">
      <formula>AND(IF($Q101=2,1,0),IF($X101&lt;30,1,0))</formula>
    </cfRule>
    <cfRule type="expression" dxfId="11727" priority="4565">
      <formula>AND(IF($Q101=3,1,0),IF($X101&lt;30,1,0))</formula>
    </cfRule>
    <cfRule type="expression" dxfId="11726" priority="4566">
      <formula>AND(IF($Q101=3,1,IF($Q101=4,1,0)),IF($F101&lt;=85,1,0))</formula>
    </cfRule>
  </conditionalFormatting>
  <conditionalFormatting sqref="X101">
    <cfRule type="expression" dxfId="11725" priority="4559">
      <formula>AND(IF(OR($Q101=1,$Q101=2),1,0),IF($X101&lt;=20,1,0))</formula>
    </cfRule>
    <cfRule type="expression" dxfId="11724" priority="4560">
      <formula>AND(IF($Q101=2,1,0),IF($X101&lt;30,1,0))</formula>
    </cfRule>
    <cfRule type="expression" dxfId="11723" priority="4561">
      <formula>AND(IF($Q101=3,1,0),IF($X101&lt;30,1,0))</formula>
    </cfRule>
    <cfRule type="expression" dxfId="11722" priority="4562">
      <formula>AND(IF($Q101=3,1,IF($Q101=4,1,0)),IF($F101&lt;=85,1,0))</formula>
    </cfRule>
  </conditionalFormatting>
  <conditionalFormatting sqref="AI101">
    <cfRule type="expression" dxfId="11721" priority="4555">
      <formula>AND(IF(OR($Q101=1,$Q101=2),1,0),IF($X101&lt;=20,1,0))</formula>
    </cfRule>
    <cfRule type="expression" dxfId="11720" priority="4556">
      <formula>AND(IF($Q101=2,1,0),IF($X101&lt;30,1,0))</formula>
    </cfRule>
    <cfRule type="expression" dxfId="11719" priority="4557">
      <formula>AND(IF($Q101=3,1,0),IF($X101&lt;30,1,0))</formula>
    </cfRule>
    <cfRule type="expression" dxfId="11718" priority="4558">
      <formula>AND(IF($Q101=3,1,IF($Q101=4,1,0)),IF($F101&lt;=85,1,0))</formula>
    </cfRule>
  </conditionalFormatting>
  <conditionalFormatting sqref="AV102">
    <cfRule type="expression" dxfId="11717" priority="4553">
      <formula>AV102="X"</formula>
    </cfRule>
    <cfRule type="expression" dxfId="11716" priority="4554">
      <formula>AV102="후보"</formula>
    </cfRule>
  </conditionalFormatting>
  <conditionalFormatting sqref="AC102">
    <cfRule type="cellIs" dxfId="11715" priority="4551" operator="greaterThan">
      <formula>0.9</formula>
    </cfRule>
    <cfRule type="cellIs" dxfId="11714" priority="4552" operator="greaterThan">
      <formula>0.85</formula>
    </cfRule>
  </conditionalFormatting>
  <conditionalFormatting sqref="N102">
    <cfRule type="cellIs" dxfId="11713" priority="4549" operator="greaterThan">
      <formula>0.9</formula>
    </cfRule>
    <cfRule type="cellIs" dxfId="11712" priority="4550" operator="greaterThan">
      <formula>0.85</formula>
    </cfRule>
  </conditionalFormatting>
  <conditionalFormatting sqref="E102">
    <cfRule type="expression" dxfId="11711" priority="4545">
      <formula>AND(IF(OR($Q102=1,$Q102=2),1,0),IF($X102&lt;=20,1,0))</formula>
    </cfRule>
    <cfRule type="expression" dxfId="11710" priority="4546">
      <formula>AND(IF($Q102=2,1,0),IF($X102&lt;30,1,0))</formula>
    </cfRule>
    <cfRule type="expression" dxfId="11709" priority="4547">
      <formula>AND(IF($Q102=3,1,0),IF($X102&lt;30,1,0))</formula>
    </cfRule>
    <cfRule type="expression" dxfId="11708" priority="4548">
      <formula>AND(IF($Q102=3,1,IF($Q102=4,1,0)),IF($F102&lt;=85,1,0))</formula>
    </cfRule>
  </conditionalFormatting>
  <conditionalFormatting sqref="X102">
    <cfRule type="expression" dxfId="11707" priority="4541">
      <formula>AND(IF(OR($Q102=1,$Q102=2),1,0),IF($X102&lt;=20,1,0))</formula>
    </cfRule>
    <cfRule type="expression" dxfId="11706" priority="4542">
      <formula>AND(IF($Q102=2,1,0),IF($X102&lt;30,1,0))</formula>
    </cfRule>
    <cfRule type="expression" dxfId="11705" priority="4543">
      <formula>AND(IF($Q102=3,1,0),IF($X102&lt;30,1,0))</formula>
    </cfRule>
    <cfRule type="expression" dxfId="11704" priority="4544">
      <formula>AND(IF($Q102=3,1,IF($Q102=4,1,0)),IF($F102&lt;=85,1,0))</formula>
    </cfRule>
  </conditionalFormatting>
  <conditionalFormatting sqref="AI102">
    <cfRule type="expression" dxfId="11703" priority="4537">
      <formula>AND(IF(OR($Q102=1,$Q102=2),1,0),IF($X102&lt;=20,1,0))</formula>
    </cfRule>
    <cfRule type="expression" dxfId="11702" priority="4538">
      <formula>AND(IF($Q102=2,1,0),IF($X102&lt;30,1,0))</formula>
    </cfRule>
    <cfRule type="expression" dxfId="11701" priority="4539">
      <formula>AND(IF($Q102=3,1,0),IF($X102&lt;30,1,0))</formula>
    </cfRule>
    <cfRule type="expression" dxfId="11700" priority="4540">
      <formula>AND(IF($Q102=3,1,IF($Q102=4,1,0)),IF($F102&lt;=85,1,0))</formula>
    </cfRule>
  </conditionalFormatting>
  <conditionalFormatting sqref="AV103">
    <cfRule type="expression" dxfId="11699" priority="4535">
      <formula>AV103="X"</formula>
    </cfRule>
    <cfRule type="expression" dxfId="11698" priority="4536">
      <formula>AV103="후보"</formula>
    </cfRule>
  </conditionalFormatting>
  <conditionalFormatting sqref="AC103">
    <cfRule type="cellIs" dxfId="11697" priority="4533" operator="greaterThan">
      <formula>0.9</formula>
    </cfRule>
    <cfRule type="cellIs" dxfId="11696" priority="4534" operator="greaterThan">
      <formula>0.85</formula>
    </cfRule>
  </conditionalFormatting>
  <conditionalFormatting sqref="N103">
    <cfRule type="cellIs" dxfId="11695" priority="4531" operator="greaterThan">
      <formula>0.9</formula>
    </cfRule>
    <cfRule type="cellIs" dxfId="11694" priority="4532" operator="greaterThan">
      <formula>0.85</formula>
    </cfRule>
  </conditionalFormatting>
  <conditionalFormatting sqref="E103">
    <cfRule type="expression" dxfId="11693" priority="4527">
      <formula>AND(IF(OR($Q103=1,$Q103=2),1,0),IF($X103&lt;=20,1,0))</formula>
    </cfRule>
    <cfRule type="expression" dxfId="11692" priority="4528">
      <formula>AND(IF($Q103=2,1,0),IF($X103&lt;30,1,0))</formula>
    </cfRule>
    <cfRule type="expression" dxfId="11691" priority="4529">
      <formula>AND(IF($Q103=3,1,0),IF($X103&lt;30,1,0))</formula>
    </cfRule>
    <cfRule type="expression" dxfId="11690" priority="4530">
      <formula>AND(IF($Q103=3,1,IF($Q103=4,1,0)),IF($F103&lt;=85,1,0))</formula>
    </cfRule>
  </conditionalFormatting>
  <conditionalFormatting sqref="X103">
    <cfRule type="expression" dxfId="11689" priority="4523">
      <formula>AND(IF(OR($Q103=1,$Q103=2),1,0),IF($X103&lt;=20,1,0))</formula>
    </cfRule>
    <cfRule type="expression" dxfId="11688" priority="4524">
      <formula>AND(IF($Q103=2,1,0),IF($X103&lt;30,1,0))</formula>
    </cfRule>
    <cfRule type="expression" dxfId="11687" priority="4525">
      <formula>AND(IF($Q103=3,1,0),IF($X103&lt;30,1,0))</formula>
    </cfRule>
    <cfRule type="expression" dxfId="11686" priority="4526">
      <formula>AND(IF($Q103=3,1,IF($Q103=4,1,0)),IF($F103&lt;=85,1,0))</formula>
    </cfRule>
  </conditionalFormatting>
  <conditionalFormatting sqref="AI103">
    <cfRule type="expression" dxfId="11685" priority="4519">
      <formula>AND(IF(OR($Q103=1,$Q103=2),1,0),IF($X103&lt;=20,1,0))</formula>
    </cfRule>
    <cfRule type="expression" dxfId="11684" priority="4520">
      <formula>AND(IF($Q103=2,1,0),IF($X103&lt;30,1,0))</formula>
    </cfRule>
    <cfRule type="expression" dxfId="11683" priority="4521">
      <formula>AND(IF($Q103=3,1,0),IF($X103&lt;30,1,0))</formula>
    </cfRule>
    <cfRule type="expression" dxfId="11682" priority="4522">
      <formula>AND(IF($Q103=3,1,IF($Q103=4,1,0)),IF($F103&lt;=85,1,0))</formula>
    </cfRule>
  </conditionalFormatting>
  <conditionalFormatting sqref="AV104">
    <cfRule type="expression" dxfId="11681" priority="4517">
      <formula>AV104="X"</formula>
    </cfRule>
    <cfRule type="expression" dxfId="11680" priority="4518">
      <formula>AV104="후보"</formula>
    </cfRule>
  </conditionalFormatting>
  <conditionalFormatting sqref="AC104">
    <cfRule type="cellIs" dxfId="11679" priority="4515" operator="greaterThan">
      <formula>0.9</formula>
    </cfRule>
    <cfRule type="cellIs" dxfId="11678" priority="4516" operator="greaterThan">
      <formula>0.85</formula>
    </cfRule>
  </conditionalFormatting>
  <conditionalFormatting sqref="N104">
    <cfRule type="cellIs" dxfId="11677" priority="4513" operator="greaterThan">
      <formula>0.9</formula>
    </cfRule>
    <cfRule type="cellIs" dxfId="11676" priority="4514" operator="greaterThan">
      <formula>0.85</formula>
    </cfRule>
  </conditionalFormatting>
  <conditionalFormatting sqref="E104">
    <cfRule type="expression" dxfId="11675" priority="4509">
      <formula>AND(IF(OR($Q104=1,$Q104=2),1,0),IF($X104&lt;=20,1,0))</formula>
    </cfRule>
    <cfRule type="expression" dxfId="11674" priority="4510">
      <formula>AND(IF($Q104=2,1,0),IF($X104&lt;30,1,0))</formula>
    </cfRule>
    <cfRule type="expression" dxfId="11673" priority="4511">
      <formula>AND(IF($Q104=3,1,0),IF($X104&lt;30,1,0))</formula>
    </cfRule>
    <cfRule type="expression" dxfId="11672" priority="4512">
      <formula>AND(IF($Q104=3,1,IF($Q104=4,1,0)),IF($F104&lt;=85,1,0))</formula>
    </cfRule>
  </conditionalFormatting>
  <conditionalFormatting sqref="X104">
    <cfRule type="expression" dxfId="11671" priority="4505">
      <formula>AND(IF(OR($Q104=1,$Q104=2),1,0),IF($X104&lt;=20,1,0))</formula>
    </cfRule>
    <cfRule type="expression" dxfId="11670" priority="4506">
      <formula>AND(IF($Q104=2,1,0),IF($X104&lt;30,1,0))</formula>
    </cfRule>
    <cfRule type="expression" dxfId="11669" priority="4507">
      <formula>AND(IF($Q104=3,1,0),IF($X104&lt;30,1,0))</formula>
    </cfRule>
    <cfRule type="expression" dxfId="11668" priority="4508">
      <formula>AND(IF($Q104=3,1,IF($Q104=4,1,0)),IF($F104&lt;=85,1,0))</formula>
    </cfRule>
  </conditionalFormatting>
  <conditionalFormatting sqref="AI104">
    <cfRule type="expression" dxfId="11667" priority="4501">
      <formula>AND(IF(OR($Q104=1,$Q104=2),1,0),IF($X104&lt;=20,1,0))</formula>
    </cfRule>
    <cfRule type="expression" dxfId="11666" priority="4502">
      <formula>AND(IF($Q104=2,1,0),IF($X104&lt;30,1,0))</formula>
    </cfRule>
    <cfRule type="expression" dxfId="11665" priority="4503">
      <formula>AND(IF($Q104=3,1,0),IF($X104&lt;30,1,0))</formula>
    </cfRule>
    <cfRule type="expression" dxfId="11664" priority="4504">
      <formula>AND(IF($Q104=3,1,IF($Q104=4,1,0)),IF($F104&lt;=85,1,0))</formula>
    </cfRule>
  </conditionalFormatting>
  <conditionalFormatting sqref="AV105">
    <cfRule type="expression" dxfId="11663" priority="4499">
      <formula>AV105="X"</formula>
    </cfRule>
    <cfRule type="expression" dxfId="11662" priority="4500">
      <formula>AV105="후보"</formula>
    </cfRule>
  </conditionalFormatting>
  <conditionalFormatting sqref="AC105">
    <cfRule type="cellIs" dxfId="11661" priority="4497" operator="greaterThan">
      <formula>0.9</formula>
    </cfRule>
    <cfRule type="cellIs" dxfId="11660" priority="4498" operator="greaterThan">
      <formula>0.85</formula>
    </cfRule>
  </conditionalFormatting>
  <conditionalFormatting sqref="N105">
    <cfRule type="cellIs" dxfId="11659" priority="4495" operator="greaterThan">
      <formula>0.9</formula>
    </cfRule>
    <cfRule type="cellIs" dxfId="11658" priority="4496" operator="greaterThan">
      <formula>0.85</formula>
    </cfRule>
  </conditionalFormatting>
  <conditionalFormatting sqref="E105">
    <cfRule type="expression" dxfId="11657" priority="4491">
      <formula>AND(IF(OR($Q105=1,$Q105=2),1,0),IF($X105&lt;=20,1,0))</formula>
    </cfRule>
    <cfRule type="expression" dxfId="11656" priority="4492">
      <formula>AND(IF($Q105=2,1,0),IF($X105&lt;30,1,0))</formula>
    </cfRule>
    <cfRule type="expression" dxfId="11655" priority="4493">
      <formula>AND(IF($Q105=3,1,0),IF($X105&lt;30,1,0))</formula>
    </cfRule>
    <cfRule type="expression" dxfId="11654" priority="4494">
      <formula>AND(IF($Q105=3,1,IF($Q105=4,1,0)),IF($F105&lt;=85,1,0))</formula>
    </cfRule>
  </conditionalFormatting>
  <conditionalFormatting sqref="X105">
    <cfRule type="expression" dxfId="11653" priority="4487">
      <formula>AND(IF(OR($Q105=1,$Q105=2),1,0),IF($X105&lt;=20,1,0))</formula>
    </cfRule>
    <cfRule type="expression" dxfId="11652" priority="4488">
      <formula>AND(IF($Q105=2,1,0),IF($X105&lt;30,1,0))</formula>
    </cfRule>
    <cfRule type="expression" dxfId="11651" priority="4489">
      <formula>AND(IF($Q105=3,1,0),IF($X105&lt;30,1,0))</formula>
    </cfRule>
    <cfRule type="expression" dxfId="11650" priority="4490">
      <formula>AND(IF($Q105=3,1,IF($Q105=4,1,0)),IF($F105&lt;=85,1,0))</formula>
    </cfRule>
  </conditionalFormatting>
  <conditionalFormatting sqref="AI105">
    <cfRule type="expression" dxfId="11649" priority="4483">
      <formula>AND(IF(OR($Q105=1,$Q105=2),1,0),IF($X105&lt;=20,1,0))</formula>
    </cfRule>
    <cfRule type="expression" dxfId="11648" priority="4484">
      <formula>AND(IF($Q105=2,1,0),IF($X105&lt;30,1,0))</formula>
    </cfRule>
    <cfRule type="expression" dxfId="11647" priority="4485">
      <formula>AND(IF($Q105=3,1,0),IF($X105&lt;30,1,0))</formula>
    </cfRule>
    <cfRule type="expression" dxfId="11646" priority="4486">
      <formula>AND(IF($Q105=3,1,IF($Q105=4,1,0)),IF($F105&lt;=85,1,0))</formula>
    </cfRule>
  </conditionalFormatting>
  <conditionalFormatting sqref="AV106">
    <cfRule type="expression" dxfId="11645" priority="4481">
      <formula>AV106="X"</formula>
    </cfRule>
    <cfRule type="expression" dxfId="11644" priority="4482">
      <formula>AV106="후보"</formula>
    </cfRule>
  </conditionalFormatting>
  <conditionalFormatting sqref="AC106">
    <cfRule type="cellIs" dxfId="11643" priority="4479" operator="greaterThan">
      <formula>0.9</formula>
    </cfRule>
    <cfRule type="cellIs" dxfId="11642" priority="4480" operator="greaterThan">
      <formula>0.85</formula>
    </cfRule>
  </conditionalFormatting>
  <conditionalFormatting sqref="N106">
    <cfRule type="cellIs" dxfId="11641" priority="4477" operator="greaterThan">
      <formula>0.9</formula>
    </cfRule>
    <cfRule type="cellIs" dxfId="11640" priority="4478" operator="greaterThan">
      <formula>0.85</formula>
    </cfRule>
  </conditionalFormatting>
  <conditionalFormatting sqref="E106">
    <cfRule type="expression" dxfId="11639" priority="4473">
      <formula>AND(IF(OR($Q106=1,$Q106=2),1,0),IF($X106&lt;=20,1,0))</formula>
    </cfRule>
    <cfRule type="expression" dxfId="11638" priority="4474">
      <formula>AND(IF($Q106=2,1,0),IF($X106&lt;30,1,0))</formula>
    </cfRule>
    <cfRule type="expression" dxfId="11637" priority="4475">
      <formula>AND(IF($Q106=3,1,0),IF($X106&lt;30,1,0))</formula>
    </cfRule>
    <cfRule type="expression" dxfId="11636" priority="4476">
      <formula>AND(IF($Q106=3,1,IF($Q106=4,1,0)),IF($F106&lt;=85,1,0))</formula>
    </cfRule>
  </conditionalFormatting>
  <conditionalFormatting sqref="X106">
    <cfRule type="expression" dxfId="11635" priority="4469">
      <formula>AND(IF(OR($Q106=1,$Q106=2),1,0),IF($X106&lt;=20,1,0))</formula>
    </cfRule>
    <cfRule type="expression" dxfId="11634" priority="4470">
      <formula>AND(IF($Q106=2,1,0),IF($X106&lt;30,1,0))</formula>
    </cfRule>
    <cfRule type="expression" dxfId="11633" priority="4471">
      <formula>AND(IF($Q106=3,1,0),IF($X106&lt;30,1,0))</formula>
    </cfRule>
    <cfRule type="expression" dxfId="11632" priority="4472">
      <formula>AND(IF($Q106=3,1,IF($Q106=4,1,0)),IF($F106&lt;=85,1,0))</formula>
    </cfRule>
  </conditionalFormatting>
  <conditionalFormatting sqref="AI106">
    <cfRule type="expression" dxfId="11631" priority="4465">
      <formula>AND(IF(OR($Q106=1,$Q106=2),1,0),IF($X106&lt;=20,1,0))</formula>
    </cfRule>
    <cfRule type="expression" dxfId="11630" priority="4466">
      <formula>AND(IF($Q106=2,1,0),IF($X106&lt;30,1,0))</formula>
    </cfRule>
    <cfRule type="expression" dxfId="11629" priority="4467">
      <formula>AND(IF($Q106=3,1,0),IF($X106&lt;30,1,0))</formula>
    </cfRule>
    <cfRule type="expression" dxfId="11628" priority="4468">
      <formula>AND(IF($Q106=3,1,IF($Q106=4,1,0)),IF($F106&lt;=85,1,0))</formula>
    </cfRule>
  </conditionalFormatting>
  <conditionalFormatting sqref="AV107">
    <cfRule type="expression" dxfId="11627" priority="4463">
      <formula>AV107="X"</formula>
    </cfRule>
    <cfRule type="expression" dxfId="11626" priority="4464">
      <formula>AV107="후보"</formula>
    </cfRule>
  </conditionalFormatting>
  <conditionalFormatting sqref="AC107">
    <cfRule type="cellIs" dxfId="11625" priority="4461" operator="greaterThan">
      <formula>0.9</formula>
    </cfRule>
    <cfRule type="cellIs" dxfId="11624" priority="4462" operator="greaterThan">
      <formula>0.85</formula>
    </cfRule>
  </conditionalFormatting>
  <conditionalFormatting sqref="N107">
    <cfRule type="cellIs" dxfId="11623" priority="4459" operator="greaterThan">
      <formula>0.9</formula>
    </cfRule>
    <cfRule type="cellIs" dxfId="11622" priority="4460" operator="greaterThan">
      <formula>0.85</formula>
    </cfRule>
  </conditionalFormatting>
  <conditionalFormatting sqref="E107">
    <cfRule type="expression" dxfId="11621" priority="4455">
      <formula>AND(IF(OR($Q107=1,$Q107=2),1,0),IF($X107&lt;=20,1,0))</formula>
    </cfRule>
    <cfRule type="expression" dxfId="11620" priority="4456">
      <formula>AND(IF($Q107=2,1,0),IF($X107&lt;30,1,0))</formula>
    </cfRule>
    <cfRule type="expression" dxfId="11619" priority="4457">
      <formula>AND(IF($Q107=3,1,0),IF($X107&lt;30,1,0))</formula>
    </cfRule>
    <cfRule type="expression" dxfId="11618" priority="4458">
      <formula>AND(IF($Q107=3,1,IF($Q107=4,1,0)),IF($F107&lt;=85,1,0))</formula>
    </cfRule>
  </conditionalFormatting>
  <conditionalFormatting sqref="X107">
    <cfRule type="expression" dxfId="11617" priority="4451">
      <formula>AND(IF(OR($Q107=1,$Q107=2),1,0),IF($X107&lt;=20,1,0))</formula>
    </cfRule>
    <cfRule type="expression" dxfId="11616" priority="4452">
      <formula>AND(IF($Q107=2,1,0),IF($X107&lt;30,1,0))</formula>
    </cfRule>
    <cfRule type="expression" dxfId="11615" priority="4453">
      <formula>AND(IF($Q107=3,1,0),IF($X107&lt;30,1,0))</formula>
    </cfRule>
    <cfRule type="expression" dxfId="11614" priority="4454">
      <formula>AND(IF($Q107=3,1,IF($Q107=4,1,0)),IF($F107&lt;=85,1,0))</formula>
    </cfRule>
  </conditionalFormatting>
  <conditionalFormatting sqref="AI107">
    <cfRule type="expression" dxfId="11613" priority="4447">
      <formula>AND(IF(OR($Q107=1,$Q107=2),1,0),IF($X107&lt;=20,1,0))</formula>
    </cfRule>
    <cfRule type="expression" dxfId="11612" priority="4448">
      <formula>AND(IF($Q107=2,1,0),IF($X107&lt;30,1,0))</formula>
    </cfRule>
    <cfRule type="expression" dxfId="11611" priority="4449">
      <formula>AND(IF($Q107=3,1,0),IF($X107&lt;30,1,0))</formula>
    </cfRule>
    <cfRule type="expression" dxfId="11610" priority="4450">
      <formula>AND(IF($Q107=3,1,IF($Q107=4,1,0)),IF($F107&lt;=85,1,0))</formula>
    </cfRule>
  </conditionalFormatting>
  <conditionalFormatting sqref="AV108">
    <cfRule type="expression" dxfId="11609" priority="4445">
      <formula>AV108="X"</formula>
    </cfRule>
    <cfRule type="expression" dxfId="11608" priority="4446">
      <formula>AV108="후보"</formula>
    </cfRule>
  </conditionalFormatting>
  <conditionalFormatting sqref="AC108">
    <cfRule type="cellIs" dxfId="11607" priority="4443" operator="greaterThan">
      <formula>0.9</formula>
    </cfRule>
    <cfRule type="cellIs" dxfId="11606" priority="4444" operator="greaterThan">
      <formula>0.85</formula>
    </cfRule>
  </conditionalFormatting>
  <conditionalFormatting sqref="N108">
    <cfRule type="cellIs" dxfId="11605" priority="4441" operator="greaterThan">
      <formula>0.9</formula>
    </cfRule>
    <cfRule type="cellIs" dxfId="11604" priority="4442" operator="greaterThan">
      <formula>0.85</formula>
    </cfRule>
  </conditionalFormatting>
  <conditionalFormatting sqref="E108">
    <cfRule type="expression" dxfId="11603" priority="4437">
      <formula>AND(IF(OR($Q108=1,$Q108=2),1,0),IF($X108&lt;=20,1,0))</formula>
    </cfRule>
    <cfRule type="expression" dxfId="11602" priority="4438">
      <formula>AND(IF($Q108=2,1,0),IF($X108&lt;30,1,0))</formula>
    </cfRule>
    <cfRule type="expression" dxfId="11601" priority="4439">
      <formula>AND(IF($Q108=3,1,0),IF($X108&lt;30,1,0))</formula>
    </cfRule>
    <cfRule type="expression" dxfId="11600" priority="4440">
      <formula>AND(IF($Q108=3,1,IF($Q108=4,1,0)),IF($F108&lt;=85,1,0))</formula>
    </cfRule>
  </conditionalFormatting>
  <conditionalFormatting sqref="X108">
    <cfRule type="expression" dxfId="11599" priority="4433">
      <formula>AND(IF(OR($Q108=1,$Q108=2),1,0),IF($X108&lt;=20,1,0))</formula>
    </cfRule>
    <cfRule type="expression" dxfId="11598" priority="4434">
      <formula>AND(IF($Q108=2,1,0),IF($X108&lt;30,1,0))</formula>
    </cfRule>
    <cfRule type="expression" dxfId="11597" priority="4435">
      <formula>AND(IF($Q108=3,1,0),IF($X108&lt;30,1,0))</formula>
    </cfRule>
    <cfRule type="expression" dxfId="11596" priority="4436">
      <formula>AND(IF($Q108=3,1,IF($Q108=4,1,0)),IF($F108&lt;=85,1,0))</formula>
    </cfRule>
  </conditionalFormatting>
  <conditionalFormatting sqref="AI108">
    <cfRule type="expression" dxfId="11595" priority="4429">
      <formula>AND(IF(OR($Q108=1,$Q108=2),1,0),IF($X108&lt;=20,1,0))</formula>
    </cfRule>
    <cfRule type="expression" dxfId="11594" priority="4430">
      <formula>AND(IF($Q108=2,1,0),IF($X108&lt;30,1,0))</formula>
    </cfRule>
    <cfRule type="expression" dxfId="11593" priority="4431">
      <formula>AND(IF($Q108=3,1,0),IF($X108&lt;30,1,0))</formula>
    </cfRule>
    <cfRule type="expression" dxfId="11592" priority="4432">
      <formula>AND(IF($Q108=3,1,IF($Q108=4,1,0)),IF($F108&lt;=85,1,0))</formula>
    </cfRule>
  </conditionalFormatting>
  <conditionalFormatting sqref="AV109">
    <cfRule type="expression" dxfId="11591" priority="4427">
      <formula>AV109="X"</formula>
    </cfRule>
    <cfRule type="expression" dxfId="11590" priority="4428">
      <formula>AV109="후보"</formula>
    </cfRule>
  </conditionalFormatting>
  <conditionalFormatting sqref="AC109">
    <cfRule type="cellIs" dxfId="11589" priority="4425" operator="greaterThan">
      <formula>0.9</formula>
    </cfRule>
    <cfRule type="cellIs" dxfId="11588" priority="4426" operator="greaterThan">
      <formula>0.85</formula>
    </cfRule>
  </conditionalFormatting>
  <conditionalFormatting sqref="N109">
    <cfRule type="cellIs" dxfId="11587" priority="4423" operator="greaterThan">
      <formula>0.9</formula>
    </cfRule>
    <cfRule type="cellIs" dxfId="11586" priority="4424" operator="greaterThan">
      <formula>0.85</formula>
    </cfRule>
  </conditionalFormatting>
  <conditionalFormatting sqref="E109">
    <cfRule type="expression" dxfId="11585" priority="4419">
      <formula>AND(IF(OR($Q109=1,$Q109=2),1,0),IF($X109&lt;=20,1,0))</formula>
    </cfRule>
    <cfRule type="expression" dxfId="11584" priority="4420">
      <formula>AND(IF($Q109=2,1,0),IF($X109&lt;30,1,0))</formula>
    </cfRule>
    <cfRule type="expression" dxfId="11583" priority="4421">
      <formula>AND(IF($Q109=3,1,0),IF($X109&lt;30,1,0))</formula>
    </cfRule>
    <cfRule type="expression" dxfId="11582" priority="4422">
      <formula>AND(IF($Q109=3,1,IF($Q109=4,1,0)),IF($F109&lt;=85,1,0))</formula>
    </cfRule>
  </conditionalFormatting>
  <conditionalFormatting sqref="X109">
    <cfRule type="expression" dxfId="11581" priority="4415">
      <formula>AND(IF(OR($Q109=1,$Q109=2),1,0),IF($X109&lt;=20,1,0))</formula>
    </cfRule>
    <cfRule type="expression" dxfId="11580" priority="4416">
      <formula>AND(IF($Q109=2,1,0),IF($X109&lt;30,1,0))</formula>
    </cfRule>
    <cfRule type="expression" dxfId="11579" priority="4417">
      <formula>AND(IF($Q109=3,1,0),IF($X109&lt;30,1,0))</formula>
    </cfRule>
    <cfRule type="expression" dxfId="11578" priority="4418">
      <formula>AND(IF($Q109=3,1,IF($Q109=4,1,0)),IF($F109&lt;=85,1,0))</formula>
    </cfRule>
  </conditionalFormatting>
  <conditionalFormatting sqref="AI109">
    <cfRule type="expression" dxfId="11577" priority="4411">
      <formula>AND(IF(OR($Q109=1,$Q109=2),1,0),IF($X109&lt;=20,1,0))</formula>
    </cfRule>
    <cfRule type="expression" dxfId="11576" priority="4412">
      <formula>AND(IF($Q109=2,1,0),IF($X109&lt;30,1,0))</formula>
    </cfRule>
    <cfRule type="expression" dxfId="11575" priority="4413">
      <formula>AND(IF($Q109=3,1,0),IF($X109&lt;30,1,0))</formula>
    </cfRule>
    <cfRule type="expression" dxfId="11574" priority="4414">
      <formula>AND(IF($Q109=3,1,IF($Q109=4,1,0)),IF($F109&lt;=85,1,0))</formula>
    </cfRule>
  </conditionalFormatting>
  <conditionalFormatting sqref="AV110">
    <cfRule type="expression" dxfId="11573" priority="4409">
      <formula>AV110="X"</formula>
    </cfRule>
    <cfRule type="expression" dxfId="11572" priority="4410">
      <formula>AV110="후보"</formula>
    </cfRule>
  </conditionalFormatting>
  <conditionalFormatting sqref="AC110">
    <cfRule type="cellIs" dxfId="11571" priority="4407" operator="greaterThan">
      <formula>0.9</formula>
    </cfRule>
    <cfRule type="cellIs" dxfId="11570" priority="4408" operator="greaterThan">
      <formula>0.85</formula>
    </cfRule>
  </conditionalFormatting>
  <conditionalFormatting sqref="N110">
    <cfRule type="cellIs" dxfId="11569" priority="4405" operator="greaterThan">
      <formula>0.9</formula>
    </cfRule>
    <cfRule type="cellIs" dxfId="11568" priority="4406" operator="greaterThan">
      <formula>0.85</formula>
    </cfRule>
  </conditionalFormatting>
  <conditionalFormatting sqref="E110">
    <cfRule type="expression" dxfId="11567" priority="4401">
      <formula>AND(IF(OR($Q110=1,$Q110=2),1,0),IF($X110&lt;=20,1,0))</formula>
    </cfRule>
    <cfRule type="expression" dxfId="11566" priority="4402">
      <formula>AND(IF($Q110=2,1,0),IF($X110&lt;30,1,0))</formula>
    </cfRule>
    <cfRule type="expression" dxfId="11565" priority="4403">
      <formula>AND(IF($Q110=3,1,0),IF($X110&lt;30,1,0))</formula>
    </cfRule>
    <cfRule type="expression" dxfId="11564" priority="4404">
      <formula>AND(IF($Q110=3,1,IF($Q110=4,1,0)),IF($F110&lt;=85,1,0))</formula>
    </cfRule>
  </conditionalFormatting>
  <conditionalFormatting sqref="X110">
    <cfRule type="expression" dxfId="11563" priority="4397">
      <formula>AND(IF(OR($Q110=1,$Q110=2),1,0),IF($X110&lt;=20,1,0))</formula>
    </cfRule>
    <cfRule type="expression" dxfId="11562" priority="4398">
      <formula>AND(IF($Q110=2,1,0),IF($X110&lt;30,1,0))</formula>
    </cfRule>
    <cfRule type="expression" dxfId="11561" priority="4399">
      <formula>AND(IF($Q110=3,1,0),IF($X110&lt;30,1,0))</formula>
    </cfRule>
    <cfRule type="expression" dxfId="11560" priority="4400">
      <formula>AND(IF($Q110=3,1,IF($Q110=4,1,0)),IF($F110&lt;=85,1,0))</formula>
    </cfRule>
  </conditionalFormatting>
  <conditionalFormatting sqref="AI110">
    <cfRule type="expression" dxfId="11559" priority="4393">
      <formula>AND(IF(OR($Q110=1,$Q110=2),1,0),IF($X110&lt;=20,1,0))</formula>
    </cfRule>
    <cfRule type="expression" dxfId="11558" priority="4394">
      <formula>AND(IF($Q110=2,1,0),IF($X110&lt;30,1,0))</formula>
    </cfRule>
    <cfRule type="expression" dxfId="11557" priority="4395">
      <formula>AND(IF($Q110=3,1,0),IF($X110&lt;30,1,0))</formula>
    </cfRule>
    <cfRule type="expression" dxfId="11556" priority="4396">
      <formula>AND(IF($Q110=3,1,IF($Q110=4,1,0)),IF($F110&lt;=85,1,0))</formula>
    </cfRule>
  </conditionalFormatting>
  <conditionalFormatting sqref="AV111">
    <cfRule type="expression" dxfId="11555" priority="4391">
      <formula>AV111="X"</formula>
    </cfRule>
    <cfRule type="expression" dxfId="11554" priority="4392">
      <formula>AV111="후보"</formula>
    </cfRule>
  </conditionalFormatting>
  <conditionalFormatting sqref="AC111">
    <cfRule type="cellIs" dxfId="11553" priority="4389" operator="greaterThan">
      <formula>0.9</formula>
    </cfRule>
    <cfRule type="cellIs" dxfId="11552" priority="4390" operator="greaterThan">
      <formula>0.85</formula>
    </cfRule>
  </conditionalFormatting>
  <conditionalFormatting sqref="N111">
    <cfRule type="cellIs" dxfId="11551" priority="4387" operator="greaterThan">
      <formula>0.9</formula>
    </cfRule>
    <cfRule type="cellIs" dxfId="11550" priority="4388" operator="greaterThan">
      <formula>0.85</formula>
    </cfRule>
  </conditionalFormatting>
  <conditionalFormatting sqref="E111">
    <cfRule type="expression" dxfId="11549" priority="4383">
      <formula>AND(IF(OR($Q111=1,$Q111=2),1,0),IF($X111&lt;=20,1,0))</formula>
    </cfRule>
    <cfRule type="expression" dxfId="11548" priority="4384">
      <formula>AND(IF($Q111=2,1,0),IF($X111&lt;30,1,0))</formula>
    </cfRule>
    <cfRule type="expression" dxfId="11547" priority="4385">
      <formula>AND(IF($Q111=3,1,0),IF($X111&lt;30,1,0))</formula>
    </cfRule>
    <cfRule type="expression" dxfId="11546" priority="4386">
      <formula>AND(IF($Q111=3,1,IF($Q111=4,1,0)),IF($F111&lt;=85,1,0))</formula>
    </cfRule>
  </conditionalFormatting>
  <conditionalFormatting sqref="X111">
    <cfRule type="expression" dxfId="11545" priority="4379">
      <formula>AND(IF(OR($Q111=1,$Q111=2),1,0),IF($X111&lt;=20,1,0))</formula>
    </cfRule>
    <cfRule type="expression" dxfId="11544" priority="4380">
      <formula>AND(IF($Q111=2,1,0),IF($X111&lt;30,1,0))</formula>
    </cfRule>
    <cfRule type="expression" dxfId="11543" priority="4381">
      <formula>AND(IF($Q111=3,1,0),IF($X111&lt;30,1,0))</formula>
    </cfRule>
    <cfRule type="expression" dxfId="11542" priority="4382">
      <formula>AND(IF($Q111=3,1,IF($Q111=4,1,0)),IF($F111&lt;=85,1,0))</formula>
    </cfRule>
  </conditionalFormatting>
  <conditionalFormatting sqref="AI111">
    <cfRule type="expression" dxfId="11541" priority="4375">
      <formula>AND(IF(OR($Q111=1,$Q111=2),1,0),IF($X111&lt;=20,1,0))</formula>
    </cfRule>
    <cfRule type="expression" dxfId="11540" priority="4376">
      <formula>AND(IF($Q111=2,1,0),IF($X111&lt;30,1,0))</formula>
    </cfRule>
    <cfRule type="expression" dxfId="11539" priority="4377">
      <formula>AND(IF($Q111=3,1,0),IF($X111&lt;30,1,0))</formula>
    </cfRule>
    <cfRule type="expression" dxfId="11538" priority="4378">
      <formula>AND(IF($Q111=3,1,IF($Q111=4,1,0)),IF($F111&lt;=85,1,0))</formula>
    </cfRule>
  </conditionalFormatting>
  <conditionalFormatting sqref="AV112">
    <cfRule type="expression" dxfId="11537" priority="4373">
      <formula>AV112="X"</formula>
    </cfRule>
    <cfRule type="expression" dxfId="11536" priority="4374">
      <formula>AV112="후보"</formula>
    </cfRule>
  </conditionalFormatting>
  <conditionalFormatting sqref="AC112">
    <cfRule type="cellIs" dxfId="11535" priority="4371" operator="greaterThan">
      <formula>0.9</formula>
    </cfRule>
    <cfRule type="cellIs" dxfId="11534" priority="4372" operator="greaterThan">
      <formula>0.85</formula>
    </cfRule>
  </conditionalFormatting>
  <conditionalFormatting sqref="N112">
    <cfRule type="cellIs" dxfId="11533" priority="4369" operator="greaterThan">
      <formula>0.9</formula>
    </cfRule>
    <cfRule type="cellIs" dxfId="11532" priority="4370" operator="greaterThan">
      <formula>0.85</formula>
    </cfRule>
  </conditionalFormatting>
  <conditionalFormatting sqref="E112">
    <cfRule type="expression" dxfId="11531" priority="4365">
      <formula>AND(IF(OR($Q112=1,$Q112=2),1,0),IF($X112&lt;=20,1,0))</formula>
    </cfRule>
    <cfRule type="expression" dxfId="11530" priority="4366">
      <formula>AND(IF($Q112=2,1,0),IF($X112&lt;30,1,0))</formula>
    </cfRule>
    <cfRule type="expression" dxfId="11529" priority="4367">
      <formula>AND(IF($Q112=3,1,0),IF($X112&lt;30,1,0))</formula>
    </cfRule>
    <cfRule type="expression" dxfId="11528" priority="4368">
      <formula>AND(IF($Q112=3,1,IF($Q112=4,1,0)),IF($F112&lt;=85,1,0))</formula>
    </cfRule>
  </conditionalFormatting>
  <conditionalFormatting sqref="X112">
    <cfRule type="expression" dxfId="11527" priority="4361">
      <formula>AND(IF(OR($Q112=1,$Q112=2),1,0),IF($X112&lt;=20,1,0))</formula>
    </cfRule>
    <cfRule type="expression" dxfId="11526" priority="4362">
      <formula>AND(IF($Q112=2,1,0),IF($X112&lt;30,1,0))</formula>
    </cfRule>
    <cfRule type="expression" dxfId="11525" priority="4363">
      <formula>AND(IF($Q112=3,1,0),IF($X112&lt;30,1,0))</formula>
    </cfRule>
    <cfRule type="expression" dxfId="11524" priority="4364">
      <formula>AND(IF($Q112=3,1,IF($Q112=4,1,0)),IF($F112&lt;=85,1,0))</formula>
    </cfRule>
  </conditionalFormatting>
  <conditionalFormatting sqref="AI112">
    <cfRule type="expression" dxfId="11523" priority="4357">
      <formula>AND(IF(OR($Q112=1,$Q112=2),1,0),IF($X112&lt;=20,1,0))</formula>
    </cfRule>
    <cfRule type="expression" dxfId="11522" priority="4358">
      <formula>AND(IF($Q112=2,1,0),IF($X112&lt;30,1,0))</formula>
    </cfRule>
    <cfRule type="expression" dxfId="11521" priority="4359">
      <formula>AND(IF($Q112=3,1,0),IF($X112&lt;30,1,0))</formula>
    </cfRule>
    <cfRule type="expression" dxfId="11520" priority="4360">
      <formula>AND(IF($Q112=3,1,IF($Q112=4,1,0)),IF($F112&lt;=85,1,0))</formula>
    </cfRule>
  </conditionalFormatting>
  <conditionalFormatting sqref="AV113">
    <cfRule type="expression" dxfId="11519" priority="4355">
      <formula>AV113="X"</formula>
    </cfRule>
    <cfRule type="expression" dxfId="11518" priority="4356">
      <formula>AV113="후보"</formula>
    </cfRule>
  </conditionalFormatting>
  <conditionalFormatting sqref="AC113">
    <cfRule type="cellIs" dxfId="11517" priority="4353" operator="greaterThan">
      <formula>0.9</formula>
    </cfRule>
    <cfRule type="cellIs" dxfId="11516" priority="4354" operator="greaterThan">
      <formula>0.85</formula>
    </cfRule>
  </conditionalFormatting>
  <conditionalFormatting sqref="N113">
    <cfRule type="cellIs" dxfId="11515" priority="4351" operator="greaterThan">
      <formula>0.9</formula>
    </cfRule>
    <cfRule type="cellIs" dxfId="11514" priority="4352" operator="greaterThan">
      <formula>0.85</formula>
    </cfRule>
  </conditionalFormatting>
  <conditionalFormatting sqref="E113">
    <cfRule type="expression" dxfId="11513" priority="4347">
      <formula>AND(IF(OR($Q113=1,$Q113=2),1,0),IF($X113&lt;=20,1,0))</formula>
    </cfRule>
    <cfRule type="expression" dxfId="11512" priority="4348">
      <formula>AND(IF($Q113=2,1,0),IF($X113&lt;30,1,0))</formula>
    </cfRule>
    <cfRule type="expression" dxfId="11511" priority="4349">
      <formula>AND(IF($Q113=3,1,0),IF($X113&lt;30,1,0))</formula>
    </cfRule>
    <cfRule type="expression" dxfId="11510" priority="4350">
      <formula>AND(IF($Q113=3,1,IF($Q113=4,1,0)),IF($F113&lt;=85,1,0))</formula>
    </cfRule>
  </conditionalFormatting>
  <conditionalFormatting sqref="X113">
    <cfRule type="expression" dxfId="11509" priority="4343">
      <formula>AND(IF(OR($Q113=1,$Q113=2),1,0),IF($X113&lt;=20,1,0))</formula>
    </cfRule>
    <cfRule type="expression" dxfId="11508" priority="4344">
      <formula>AND(IF($Q113=2,1,0),IF($X113&lt;30,1,0))</formula>
    </cfRule>
    <cfRule type="expression" dxfId="11507" priority="4345">
      <formula>AND(IF($Q113=3,1,0),IF($X113&lt;30,1,0))</formula>
    </cfRule>
    <cfRule type="expression" dxfId="11506" priority="4346">
      <formula>AND(IF($Q113=3,1,IF($Q113=4,1,0)),IF($F113&lt;=85,1,0))</formula>
    </cfRule>
  </conditionalFormatting>
  <conditionalFormatting sqref="AI113">
    <cfRule type="expression" dxfId="11505" priority="4339">
      <formula>AND(IF(OR($Q113=1,$Q113=2),1,0),IF($X113&lt;=20,1,0))</formula>
    </cfRule>
    <cfRule type="expression" dxfId="11504" priority="4340">
      <formula>AND(IF($Q113=2,1,0),IF($X113&lt;30,1,0))</formula>
    </cfRule>
    <cfRule type="expression" dxfId="11503" priority="4341">
      <formula>AND(IF($Q113=3,1,0),IF($X113&lt;30,1,0))</formula>
    </cfRule>
    <cfRule type="expression" dxfId="11502" priority="4342">
      <formula>AND(IF($Q113=3,1,IF($Q113=4,1,0)),IF($F113&lt;=85,1,0))</formula>
    </cfRule>
  </conditionalFormatting>
  <conditionalFormatting sqref="AV114">
    <cfRule type="expression" dxfId="11501" priority="4337">
      <formula>AV114="X"</formula>
    </cfRule>
    <cfRule type="expression" dxfId="11500" priority="4338">
      <formula>AV114="후보"</formula>
    </cfRule>
  </conditionalFormatting>
  <conditionalFormatting sqref="AC114">
    <cfRule type="cellIs" dxfId="11499" priority="4335" operator="greaterThan">
      <formula>0.9</formula>
    </cfRule>
    <cfRule type="cellIs" dxfId="11498" priority="4336" operator="greaterThan">
      <formula>0.85</formula>
    </cfRule>
  </conditionalFormatting>
  <conditionalFormatting sqref="N114">
    <cfRule type="cellIs" dxfId="11497" priority="4333" operator="greaterThan">
      <formula>0.9</formula>
    </cfRule>
    <cfRule type="cellIs" dxfId="11496" priority="4334" operator="greaterThan">
      <formula>0.85</formula>
    </cfRule>
  </conditionalFormatting>
  <conditionalFormatting sqref="E114">
    <cfRule type="expression" dxfId="11495" priority="4329">
      <formula>AND(IF(OR($Q114=1,$Q114=2),1,0),IF($X114&lt;=20,1,0))</formula>
    </cfRule>
    <cfRule type="expression" dxfId="11494" priority="4330">
      <formula>AND(IF($Q114=2,1,0),IF($X114&lt;30,1,0))</formula>
    </cfRule>
    <cfRule type="expression" dxfId="11493" priority="4331">
      <formula>AND(IF($Q114=3,1,0),IF($X114&lt;30,1,0))</formula>
    </cfRule>
    <cfRule type="expression" dxfId="11492" priority="4332">
      <formula>AND(IF($Q114=3,1,IF($Q114=4,1,0)),IF($F114&lt;=85,1,0))</formula>
    </cfRule>
  </conditionalFormatting>
  <conditionalFormatting sqref="X114">
    <cfRule type="expression" dxfId="11491" priority="4325">
      <formula>AND(IF(OR($Q114=1,$Q114=2),1,0),IF($X114&lt;=20,1,0))</formula>
    </cfRule>
    <cfRule type="expression" dxfId="11490" priority="4326">
      <formula>AND(IF($Q114=2,1,0),IF($X114&lt;30,1,0))</formula>
    </cfRule>
    <cfRule type="expression" dxfId="11489" priority="4327">
      <formula>AND(IF($Q114=3,1,0),IF($X114&lt;30,1,0))</formula>
    </cfRule>
    <cfRule type="expression" dxfId="11488" priority="4328">
      <formula>AND(IF($Q114=3,1,IF($Q114=4,1,0)),IF($F114&lt;=85,1,0))</formula>
    </cfRule>
  </conditionalFormatting>
  <conditionalFormatting sqref="AI114">
    <cfRule type="expression" dxfId="11487" priority="4321">
      <formula>AND(IF(OR($Q114=1,$Q114=2),1,0),IF($X114&lt;=20,1,0))</formula>
    </cfRule>
    <cfRule type="expression" dxfId="11486" priority="4322">
      <formula>AND(IF($Q114=2,1,0),IF($X114&lt;30,1,0))</formula>
    </cfRule>
    <cfRule type="expression" dxfId="11485" priority="4323">
      <formula>AND(IF($Q114=3,1,0),IF($X114&lt;30,1,0))</formula>
    </cfRule>
    <cfRule type="expression" dxfId="11484" priority="4324">
      <formula>AND(IF($Q114=3,1,IF($Q114=4,1,0)),IF($F114&lt;=85,1,0))</formula>
    </cfRule>
  </conditionalFormatting>
  <conditionalFormatting sqref="AV115">
    <cfRule type="expression" dxfId="11483" priority="4319">
      <formula>AV115="X"</formula>
    </cfRule>
    <cfRule type="expression" dxfId="11482" priority="4320">
      <formula>AV115="후보"</formula>
    </cfRule>
  </conditionalFormatting>
  <conditionalFormatting sqref="AC115">
    <cfRule type="cellIs" dxfId="11481" priority="4317" operator="greaterThan">
      <formula>0.9</formula>
    </cfRule>
    <cfRule type="cellIs" dxfId="11480" priority="4318" operator="greaterThan">
      <formula>0.85</formula>
    </cfRule>
  </conditionalFormatting>
  <conditionalFormatting sqref="N115">
    <cfRule type="cellIs" dxfId="11479" priority="4315" operator="greaterThan">
      <formula>0.9</formula>
    </cfRule>
    <cfRule type="cellIs" dxfId="11478" priority="4316" operator="greaterThan">
      <formula>0.85</formula>
    </cfRule>
  </conditionalFormatting>
  <conditionalFormatting sqref="E115">
    <cfRule type="expression" dxfId="11477" priority="4311">
      <formula>AND(IF(OR($Q115=1,$Q115=2),1,0),IF($X115&lt;=20,1,0))</formula>
    </cfRule>
    <cfRule type="expression" dxfId="11476" priority="4312">
      <formula>AND(IF($Q115=2,1,0),IF($X115&lt;30,1,0))</formula>
    </cfRule>
    <cfRule type="expression" dxfId="11475" priority="4313">
      <formula>AND(IF($Q115=3,1,0),IF($X115&lt;30,1,0))</formula>
    </cfRule>
    <cfRule type="expression" dxfId="11474" priority="4314">
      <formula>AND(IF($Q115=3,1,IF($Q115=4,1,0)),IF($F115&lt;=85,1,0))</formula>
    </cfRule>
  </conditionalFormatting>
  <conditionalFormatting sqref="X115">
    <cfRule type="expression" dxfId="11473" priority="4307">
      <formula>AND(IF(OR($Q115=1,$Q115=2),1,0),IF($X115&lt;=20,1,0))</formula>
    </cfRule>
    <cfRule type="expression" dxfId="11472" priority="4308">
      <formula>AND(IF($Q115=2,1,0),IF($X115&lt;30,1,0))</formula>
    </cfRule>
    <cfRule type="expression" dxfId="11471" priority="4309">
      <formula>AND(IF($Q115=3,1,0),IF($X115&lt;30,1,0))</formula>
    </cfRule>
    <cfRule type="expression" dxfId="11470" priority="4310">
      <formula>AND(IF($Q115=3,1,IF($Q115=4,1,0)),IF($F115&lt;=85,1,0))</formula>
    </cfRule>
  </conditionalFormatting>
  <conditionalFormatting sqref="AI115">
    <cfRule type="expression" dxfId="11469" priority="4303">
      <formula>AND(IF(OR($Q115=1,$Q115=2),1,0),IF($X115&lt;=20,1,0))</formula>
    </cfRule>
    <cfRule type="expression" dxfId="11468" priority="4304">
      <formula>AND(IF($Q115=2,1,0),IF($X115&lt;30,1,0))</formula>
    </cfRule>
    <cfRule type="expression" dxfId="11467" priority="4305">
      <formula>AND(IF($Q115=3,1,0),IF($X115&lt;30,1,0))</formula>
    </cfRule>
    <cfRule type="expression" dxfId="11466" priority="4306">
      <formula>AND(IF($Q115=3,1,IF($Q115=4,1,0)),IF($F115&lt;=85,1,0))</formula>
    </cfRule>
  </conditionalFormatting>
  <conditionalFormatting sqref="AV116">
    <cfRule type="expression" dxfId="11465" priority="4301">
      <formula>AV116="X"</formula>
    </cfRule>
    <cfRule type="expression" dxfId="11464" priority="4302">
      <formula>AV116="후보"</formula>
    </cfRule>
  </conditionalFormatting>
  <conditionalFormatting sqref="AC116">
    <cfRule type="cellIs" dxfId="11463" priority="4299" operator="greaterThan">
      <formula>0.9</formula>
    </cfRule>
    <cfRule type="cellIs" dxfId="11462" priority="4300" operator="greaterThan">
      <formula>0.85</formula>
    </cfRule>
  </conditionalFormatting>
  <conditionalFormatting sqref="N116">
    <cfRule type="cellIs" dxfId="11461" priority="4297" operator="greaterThan">
      <formula>0.9</formula>
    </cfRule>
    <cfRule type="cellIs" dxfId="11460" priority="4298" operator="greaterThan">
      <formula>0.85</formula>
    </cfRule>
  </conditionalFormatting>
  <conditionalFormatting sqref="E116">
    <cfRule type="expression" dxfId="11459" priority="4293">
      <formula>AND(IF(OR($Q116=1,$Q116=2),1,0),IF($X116&lt;=20,1,0))</formula>
    </cfRule>
    <cfRule type="expression" dxfId="11458" priority="4294">
      <formula>AND(IF($Q116=2,1,0),IF($X116&lt;30,1,0))</formula>
    </cfRule>
    <cfRule type="expression" dxfId="11457" priority="4295">
      <formula>AND(IF($Q116=3,1,0),IF($X116&lt;30,1,0))</formula>
    </cfRule>
    <cfRule type="expression" dxfId="11456" priority="4296">
      <formula>AND(IF($Q116=3,1,IF($Q116=4,1,0)),IF($F116&lt;=85,1,0))</formula>
    </cfRule>
  </conditionalFormatting>
  <conditionalFormatting sqref="X116">
    <cfRule type="expression" dxfId="11455" priority="4289">
      <formula>AND(IF(OR($Q116=1,$Q116=2),1,0),IF($X116&lt;=20,1,0))</formula>
    </cfRule>
    <cfRule type="expression" dxfId="11454" priority="4290">
      <formula>AND(IF($Q116=2,1,0),IF($X116&lt;30,1,0))</formula>
    </cfRule>
    <cfRule type="expression" dxfId="11453" priority="4291">
      <formula>AND(IF($Q116=3,1,0),IF($X116&lt;30,1,0))</formula>
    </cfRule>
    <cfRule type="expression" dxfId="11452" priority="4292">
      <formula>AND(IF($Q116=3,1,IF($Q116=4,1,0)),IF($F116&lt;=85,1,0))</formula>
    </cfRule>
  </conditionalFormatting>
  <conditionalFormatting sqref="AI116">
    <cfRule type="expression" dxfId="11451" priority="4285">
      <formula>AND(IF(OR($Q116=1,$Q116=2),1,0),IF($X116&lt;=20,1,0))</formula>
    </cfRule>
    <cfRule type="expression" dxfId="11450" priority="4286">
      <formula>AND(IF($Q116=2,1,0),IF($X116&lt;30,1,0))</formula>
    </cfRule>
    <cfRule type="expression" dxfId="11449" priority="4287">
      <formula>AND(IF($Q116=3,1,0),IF($X116&lt;30,1,0))</formula>
    </cfRule>
    <cfRule type="expression" dxfId="11448" priority="4288">
      <formula>AND(IF($Q116=3,1,IF($Q116=4,1,0)),IF($F116&lt;=85,1,0))</formula>
    </cfRule>
  </conditionalFormatting>
  <conditionalFormatting sqref="AV117">
    <cfRule type="expression" dxfId="11447" priority="4283">
      <formula>AV117="X"</formula>
    </cfRule>
    <cfRule type="expression" dxfId="11446" priority="4284">
      <formula>AV117="후보"</formula>
    </cfRule>
  </conditionalFormatting>
  <conditionalFormatting sqref="AC117">
    <cfRule type="cellIs" dxfId="11445" priority="4281" operator="greaterThan">
      <formula>0.9</formula>
    </cfRule>
    <cfRule type="cellIs" dxfId="11444" priority="4282" operator="greaterThan">
      <formula>0.85</formula>
    </cfRule>
  </conditionalFormatting>
  <conditionalFormatting sqref="N117">
    <cfRule type="cellIs" dxfId="11443" priority="4279" operator="greaterThan">
      <formula>0.9</formula>
    </cfRule>
    <cfRule type="cellIs" dxfId="11442" priority="4280" operator="greaterThan">
      <formula>0.85</formula>
    </cfRule>
  </conditionalFormatting>
  <conditionalFormatting sqref="E117">
    <cfRule type="expression" dxfId="11441" priority="4275">
      <formula>AND(IF(OR($Q117=1,$Q117=2),1,0),IF($X117&lt;=20,1,0))</formula>
    </cfRule>
    <cfRule type="expression" dxfId="11440" priority="4276">
      <formula>AND(IF($Q117=2,1,0),IF($X117&lt;30,1,0))</formula>
    </cfRule>
    <cfRule type="expression" dxfId="11439" priority="4277">
      <formula>AND(IF($Q117=3,1,0),IF($X117&lt;30,1,0))</formula>
    </cfRule>
    <cfRule type="expression" dxfId="11438" priority="4278">
      <formula>AND(IF($Q117=3,1,IF($Q117=4,1,0)),IF($F117&lt;=85,1,0))</formula>
    </cfRule>
  </conditionalFormatting>
  <conditionalFormatting sqref="X117">
    <cfRule type="expression" dxfId="11437" priority="4271">
      <formula>AND(IF(OR($Q117=1,$Q117=2),1,0),IF($X117&lt;=20,1,0))</formula>
    </cfRule>
    <cfRule type="expression" dxfId="11436" priority="4272">
      <formula>AND(IF($Q117=2,1,0),IF($X117&lt;30,1,0))</formula>
    </cfRule>
    <cfRule type="expression" dxfId="11435" priority="4273">
      <formula>AND(IF($Q117=3,1,0),IF($X117&lt;30,1,0))</formula>
    </cfRule>
    <cfRule type="expression" dxfId="11434" priority="4274">
      <formula>AND(IF($Q117=3,1,IF($Q117=4,1,0)),IF($F117&lt;=85,1,0))</formula>
    </cfRule>
  </conditionalFormatting>
  <conditionalFormatting sqref="AI117">
    <cfRule type="expression" dxfId="11433" priority="4267">
      <formula>AND(IF(OR($Q117=1,$Q117=2),1,0),IF($X117&lt;=20,1,0))</formula>
    </cfRule>
    <cfRule type="expression" dxfId="11432" priority="4268">
      <formula>AND(IF($Q117=2,1,0),IF($X117&lt;30,1,0))</formula>
    </cfRule>
    <cfRule type="expression" dxfId="11431" priority="4269">
      <formula>AND(IF($Q117=3,1,0),IF($X117&lt;30,1,0))</formula>
    </cfRule>
    <cfRule type="expression" dxfId="11430" priority="4270">
      <formula>AND(IF($Q117=3,1,IF($Q117=4,1,0)),IF($F117&lt;=85,1,0))</formula>
    </cfRule>
  </conditionalFormatting>
  <conditionalFormatting sqref="AV118">
    <cfRule type="expression" dxfId="11429" priority="4265">
      <formula>AV118="X"</formula>
    </cfRule>
    <cfRule type="expression" dxfId="11428" priority="4266">
      <formula>AV118="후보"</formula>
    </cfRule>
  </conditionalFormatting>
  <conditionalFormatting sqref="AC118">
    <cfRule type="cellIs" dxfId="11427" priority="4263" operator="greaterThan">
      <formula>0.9</formula>
    </cfRule>
    <cfRule type="cellIs" dxfId="11426" priority="4264" operator="greaterThan">
      <formula>0.85</formula>
    </cfRule>
  </conditionalFormatting>
  <conditionalFormatting sqref="N118">
    <cfRule type="cellIs" dxfId="11425" priority="4261" operator="greaterThan">
      <formula>0.9</formula>
    </cfRule>
    <cfRule type="cellIs" dxfId="11424" priority="4262" operator="greaterThan">
      <formula>0.85</formula>
    </cfRule>
  </conditionalFormatting>
  <conditionalFormatting sqref="E118">
    <cfRule type="expression" dxfId="11423" priority="4257">
      <formula>AND(IF(OR($Q118=1,$Q118=2),1,0),IF($X118&lt;=20,1,0))</formula>
    </cfRule>
    <cfRule type="expression" dxfId="11422" priority="4258">
      <formula>AND(IF($Q118=2,1,0),IF($X118&lt;30,1,0))</formula>
    </cfRule>
    <cfRule type="expression" dxfId="11421" priority="4259">
      <formula>AND(IF($Q118=3,1,0),IF($X118&lt;30,1,0))</formula>
    </cfRule>
    <cfRule type="expression" dxfId="11420" priority="4260">
      <formula>AND(IF($Q118=3,1,IF($Q118=4,1,0)),IF($F118&lt;=85,1,0))</formula>
    </cfRule>
  </conditionalFormatting>
  <conditionalFormatting sqref="X118">
    <cfRule type="expression" dxfId="11419" priority="4253">
      <formula>AND(IF(OR($Q118=1,$Q118=2),1,0),IF($X118&lt;=20,1,0))</formula>
    </cfRule>
    <cfRule type="expression" dxfId="11418" priority="4254">
      <formula>AND(IF($Q118=2,1,0),IF($X118&lt;30,1,0))</formula>
    </cfRule>
    <cfRule type="expression" dxfId="11417" priority="4255">
      <formula>AND(IF($Q118=3,1,0),IF($X118&lt;30,1,0))</formula>
    </cfRule>
    <cfRule type="expression" dxfId="11416" priority="4256">
      <formula>AND(IF($Q118=3,1,IF($Q118=4,1,0)),IF($F118&lt;=85,1,0))</formula>
    </cfRule>
  </conditionalFormatting>
  <conditionalFormatting sqref="AI118">
    <cfRule type="expression" dxfId="11415" priority="4249">
      <formula>AND(IF(OR($Q118=1,$Q118=2),1,0),IF($X118&lt;=20,1,0))</formula>
    </cfRule>
    <cfRule type="expression" dxfId="11414" priority="4250">
      <formula>AND(IF($Q118=2,1,0),IF($X118&lt;30,1,0))</formula>
    </cfRule>
    <cfRule type="expression" dxfId="11413" priority="4251">
      <formula>AND(IF($Q118=3,1,0),IF($X118&lt;30,1,0))</formula>
    </cfRule>
    <cfRule type="expression" dxfId="11412" priority="4252">
      <formula>AND(IF($Q118=3,1,IF($Q118=4,1,0)),IF($F118&lt;=85,1,0))</formula>
    </cfRule>
  </conditionalFormatting>
  <conditionalFormatting sqref="AV119">
    <cfRule type="expression" dxfId="11411" priority="4247">
      <formula>AV119="X"</formula>
    </cfRule>
    <cfRule type="expression" dxfId="11410" priority="4248">
      <formula>AV119="후보"</formula>
    </cfRule>
  </conditionalFormatting>
  <conditionalFormatting sqref="AC119">
    <cfRule type="cellIs" dxfId="11409" priority="4245" operator="greaterThan">
      <formula>0.9</formula>
    </cfRule>
    <cfRule type="cellIs" dxfId="11408" priority="4246" operator="greaterThan">
      <formula>0.85</formula>
    </cfRule>
  </conditionalFormatting>
  <conditionalFormatting sqref="N119">
    <cfRule type="cellIs" dxfId="11407" priority="4243" operator="greaterThan">
      <formula>0.9</formula>
    </cfRule>
    <cfRule type="cellIs" dxfId="11406" priority="4244" operator="greaterThan">
      <formula>0.85</formula>
    </cfRule>
  </conditionalFormatting>
  <conditionalFormatting sqref="E119">
    <cfRule type="expression" dxfId="11405" priority="4239">
      <formula>AND(IF(OR($Q119=1,$Q119=2),1,0),IF($X119&lt;=20,1,0))</formula>
    </cfRule>
    <cfRule type="expression" dxfId="11404" priority="4240">
      <formula>AND(IF($Q119=2,1,0),IF($X119&lt;30,1,0))</formula>
    </cfRule>
    <cfRule type="expression" dxfId="11403" priority="4241">
      <formula>AND(IF($Q119=3,1,0),IF($X119&lt;30,1,0))</formula>
    </cfRule>
    <cfRule type="expression" dxfId="11402" priority="4242">
      <formula>AND(IF($Q119=3,1,IF($Q119=4,1,0)),IF($F119&lt;=85,1,0))</formula>
    </cfRule>
  </conditionalFormatting>
  <conditionalFormatting sqref="X119">
    <cfRule type="expression" dxfId="11401" priority="4235">
      <formula>AND(IF(OR($Q119=1,$Q119=2),1,0),IF($X119&lt;=20,1,0))</formula>
    </cfRule>
    <cfRule type="expression" dxfId="11400" priority="4236">
      <formula>AND(IF($Q119=2,1,0),IF($X119&lt;30,1,0))</formula>
    </cfRule>
    <cfRule type="expression" dxfId="11399" priority="4237">
      <formula>AND(IF($Q119=3,1,0),IF($X119&lt;30,1,0))</formula>
    </cfRule>
    <cfRule type="expression" dxfId="11398" priority="4238">
      <formula>AND(IF($Q119=3,1,IF($Q119=4,1,0)),IF($F119&lt;=85,1,0))</formula>
    </cfRule>
  </conditionalFormatting>
  <conditionalFormatting sqref="AI119">
    <cfRule type="expression" dxfId="11397" priority="4231">
      <formula>AND(IF(OR($Q119=1,$Q119=2),1,0),IF($X119&lt;=20,1,0))</formula>
    </cfRule>
    <cfRule type="expression" dxfId="11396" priority="4232">
      <formula>AND(IF($Q119=2,1,0),IF($X119&lt;30,1,0))</formula>
    </cfRule>
    <cfRule type="expression" dxfId="11395" priority="4233">
      <formula>AND(IF($Q119=3,1,0),IF($X119&lt;30,1,0))</formula>
    </cfRule>
    <cfRule type="expression" dxfId="11394" priority="4234">
      <formula>AND(IF($Q119=3,1,IF($Q119=4,1,0)),IF($F119&lt;=85,1,0))</formula>
    </cfRule>
  </conditionalFormatting>
  <conditionalFormatting sqref="AV120">
    <cfRule type="expression" dxfId="11393" priority="4229">
      <formula>AV120="X"</formula>
    </cfRule>
    <cfRule type="expression" dxfId="11392" priority="4230">
      <formula>AV120="후보"</formula>
    </cfRule>
  </conditionalFormatting>
  <conditionalFormatting sqref="AC120">
    <cfRule type="cellIs" dxfId="11391" priority="4227" operator="greaterThan">
      <formula>0.9</formula>
    </cfRule>
    <cfRule type="cellIs" dxfId="11390" priority="4228" operator="greaterThan">
      <formula>0.85</formula>
    </cfRule>
  </conditionalFormatting>
  <conditionalFormatting sqref="N120">
    <cfRule type="cellIs" dxfId="11389" priority="4225" operator="greaterThan">
      <formula>0.9</formula>
    </cfRule>
    <cfRule type="cellIs" dxfId="11388" priority="4226" operator="greaterThan">
      <formula>0.85</formula>
    </cfRule>
  </conditionalFormatting>
  <conditionalFormatting sqref="E120">
    <cfRule type="expression" dxfId="11387" priority="4221">
      <formula>AND(IF(OR($Q120=1,$Q120=2),1,0),IF($X120&lt;=20,1,0))</formula>
    </cfRule>
    <cfRule type="expression" dxfId="11386" priority="4222">
      <formula>AND(IF($Q120=2,1,0),IF($X120&lt;30,1,0))</formula>
    </cfRule>
    <cfRule type="expression" dxfId="11385" priority="4223">
      <formula>AND(IF($Q120=3,1,0),IF($X120&lt;30,1,0))</formula>
    </cfRule>
    <cfRule type="expression" dxfId="11384" priority="4224">
      <formula>AND(IF($Q120=3,1,IF($Q120=4,1,0)),IF($F120&lt;=85,1,0))</formula>
    </cfRule>
  </conditionalFormatting>
  <conditionalFormatting sqref="X120">
    <cfRule type="expression" dxfId="11383" priority="4217">
      <formula>AND(IF(OR($Q120=1,$Q120=2),1,0),IF($X120&lt;=20,1,0))</formula>
    </cfRule>
    <cfRule type="expression" dxfId="11382" priority="4218">
      <formula>AND(IF($Q120=2,1,0),IF($X120&lt;30,1,0))</formula>
    </cfRule>
    <cfRule type="expression" dxfId="11381" priority="4219">
      <formula>AND(IF($Q120=3,1,0),IF($X120&lt;30,1,0))</formula>
    </cfRule>
    <cfRule type="expression" dxfId="11380" priority="4220">
      <formula>AND(IF($Q120=3,1,IF($Q120=4,1,0)),IF($F120&lt;=85,1,0))</formula>
    </cfRule>
  </conditionalFormatting>
  <conditionalFormatting sqref="AI120">
    <cfRule type="expression" dxfId="11379" priority="4213">
      <formula>AND(IF(OR($Q120=1,$Q120=2),1,0),IF($X120&lt;=20,1,0))</formula>
    </cfRule>
    <cfRule type="expression" dxfId="11378" priority="4214">
      <formula>AND(IF($Q120=2,1,0),IF($X120&lt;30,1,0))</formula>
    </cfRule>
    <cfRule type="expression" dxfId="11377" priority="4215">
      <formula>AND(IF($Q120=3,1,0),IF($X120&lt;30,1,0))</formula>
    </cfRule>
    <cfRule type="expression" dxfId="11376" priority="4216">
      <formula>AND(IF($Q120=3,1,IF($Q120=4,1,0)),IF($F120&lt;=85,1,0))</formula>
    </cfRule>
  </conditionalFormatting>
  <conditionalFormatting sqref="AV121">
    <cfRule type="expression" dxfId="11375" priority="4211">
      <formula>AV121="X"</formula>
    </cfRule>
    <cfRule type="expression" dxfId="11374" priority="4212">
      <formula>AV121="후보"</formula>
    </cfRule>
  </conditionalFormatting>
  <conditionalFormatting sqref="AC121">
    <cfRule type="cellIs" dxfId="11373" priority="4209" operator="greaterThan">
      <formula>0.9</formula>
    </cfRule>
    <cfRule type="cellIs" dxfId="11372" priority="4210" operator="greaterThan">
      <formula>0.85</formula>
    </cfRule>
  </conditionalFormatting>
  <conditionalFormatting sqref="N121">
    <cfRule type="cellIs" dxfId="11371" priority="4207" operator="greaterThan">
      <formula>0.9</formula>
    </cfRule>
    <cfRule type="cellIs" dxfId="11370" priority="4208" operator="greaterThan">
      <formula>0.85</formula>
    </cfRule>
  </conditionalFormatting>
  <conditionalFormatting sqref="E121">
    <cfRule type="expression" dxfId="11369" priority="4203">
      <formula>AND(IF(OR($Q121=1,$Q121=2),1,0),IF($X121&lt;=20,1,0))</formula>
    </cfRule>
    <cfRule type="expression" dxfId="11368" priority="4204">
      <formula>AND(IF($Q121=2,1,0),IF($X121&lt;30,1,0))</formula>
    </cfRule>
    <cfRule type="expression" dxfId="11367" priority="4205">
      <formula>AND(IF($Q121=3,1,0),IF($X121&lt;30,1,0))</formula>
    </cfRule>
    <cfRule type="expression" dxfId="11366" priority="4206">
      <formula>AND(IF($Q121=3,1,IF($Q121=4,1,0)),IF($F121&lt;=85,1,0))</formula>
    </cfRule>
  </conditionalFormatting>
  <conditionalFormatting sqref="X121">
    <cfRule type="expression" dxfId="11365" priority="4199">
      <formula>AND(IF(OR($Q121=1,$Q121=2),1,0),IF($X121&lt;=20,1,0))</formula>
    </cfRule>
    <cfRule type="expression" dxfId="11364" priority="4200">
      <formula>AND(IF($Q121=2,1,0),IF($X121&lt;30,1,0))</formula>
    </cfRule>
    <cfRule type="expression" dxfId="11363" priority="4201">
      <formula>AND(IF($Q121=3,1,0),IF($X121&lt;30,1,0))</formula>
    </cfRule>
    <cfRule type="expression" dxfId="11362" priority="4202">
      <formula>AND(IF($Q121=3,1,IF($Q121=4,1,0)),IF($F121&lt;=85,1,0))</formula>
    </cfRule>
  </conditionalFormatting>
  <conditionalFormatting sqref="AI121">
    <cfRule type="expression" dxfId="11361" priority="4195">
      <formula>AND(IF(OR($Q121=1,$Q121=2),1,0),IF($X121&lt;=20,1,0))</formula>
    </cfRule>
    <cfRule type="expression" dxfId="11360" priority="4196">
      <formula>AND(IF($Q121=2,1,0),IF($X121&lt;30,1,0))</formula>
    </cfRule>
    <cfRule type="expression" dxfId="11359" priority="4197">
      <formula>AND(IF($Q121=3,1,0),IF($X121&lt;30,1,0))</formula>
    </cfRule>
    <cfRule type="expression" dxfId="11358" priority="4198">
      <formula>AND(IF($Q121=3,1,IF($Q121=4,1,0)),IF($F121&lt;=85,1,0))</formula>
    </cfRule>
  </conditionalFormatting>
  <conditionalFormatting sqref="AV122">
    <cfRule type="expression" dxfId="11357" priority="4193">
      <formula>AV122="X"</formula>
    </cfRule>
    <cfRule type="expression" dxfId="11356" priority="4194">
      <formula>AV122="후보"</formula>
    </cfRule>
  </conditionalFormatting>
  <conditionalFormatting sqref="AC122">
    <cfRule type="cellIs" dxfId="11355" priority="4191" operator="greaterThan">
      <formula>0.9</formula>
    </cfRule>
    <cfRule type="cellIs" dxfId="11354" priority="4192" operator="greaterThan">
      <formula>0.85</formula>
    </cfRule>
  </conditionalFormatting>
  <conditionalFormatting sqref="N122">
    <cfRule type="cellIs" dxfId="11353" priority="4189" operator="greaterThan">
      <formula>0.9</formula>
    </cfRule>
    <cfRule type="cellIs" dxfId="11352" priority="4190" operator="greaterThan">
      <formula>0.85</formula>
    </cfRule>
  </conditionalFormatting>
  <conditionalFormatting sqref="E122">
    <cfRule type="expression" dxfId="11351" priority="4185">
      <formula>AND(IF(OR($Q122=1,$Q122=2),1,0),IF($X122&lt;=20,1,0))</formula>
    </cfRule>
    <cfRule type="expression" dxfId="11350" priority="4186">
      <formula>AND(IF($Q122=2,1,0),IF($X122&lt;30,1,0))</formula>
    </cfRule>
    <cfRule type="expression" dxfId="11349" priority="4187">
      <formula>AND(IF($Q122=3,1,0),IF($X122&lt;30,1,0))</formula>
    </cfRule>
    <cfRule type="expression" dxfId="11348" priority="4188">
      <formula>AND(IF($Q122=3,1,IF($Q122=4,1,0)),IF($F122&lt;=85,1,0))</formula>
    </cfRule>
  </conditionalFormatting>
  <conditionalFormatting sqref="X122">
    <cfRule type="expression" dxfId="11347" priority="4181">
      <formula>AND(IF(OR($Q122=1,$Q122=2),1,0),IF($X122&lt;=20,1,0))</formula>
    </cfRule>
    <cfRule type="expression" dxfId="11346" priority="4182">
      <formula>AND(IF($Q122=2,1,0),IF($X122&lt;30,1,0))</formula>
    </cfRule>
    <cfRule type="expression" dxfId="11345" priority="4183">
      <formula>AND(IF($Q122=3,1,0),IF($X122&lt;30,1,0))</formula>
    </cfRule>
    <cfRule type="expression" dxfId="11344" priority="4184">
      <formula>AND(IF($Q122=3,1,IF($Q122=4,1,0)),IF($F122&lt;=85,1,0))</formula>
    </cfRule>
  </conditionalFormatting>
  <conditionalFormatting sqref="AI122">
    <cfRule type="expression" dxfId="11343" priority="4177">
      <formula>AND(IF(OR($Q122=1,$Q122=2),1,0),IF($X122&lt;=20,1,0))</formula>
    </cfRule>
    <cfRule type="expression" dxfId="11342" priority="4178">
      <formula>AND(IF($Q122=2,1,0),IF($X122&lt;30,1,0))</formula>
    </cfRule>
    <cfRule type="expression" dxfId="11341" priority="4179">
      <formula>AND(IF($Q122=3,1,0),IF($X122&lt;30,1,0))</formula>
    </cfRule>
    <cfRule type="expression" dxfId="11340" priority="4180">
      <formula>AND(IF($Q122=3,1,IF($Q122=4,1,0)),IF($F122&lt;=85,1,0))</formula>
    </cfRule>
  </conditionalFormatting>
  <conditionalFormatting sqref="AV123">
    <cfRule type="expression" dxfId="11339" priority="4175">
      <formula>AV123="X"</formula>
    </cfRule>
    <cfRule type="expression" dxfId="11338" priority="4176">
      <formula>AV123="후보"</formula>
    </cfRule>
  </conditionalFormatting>
  <conditionalFormatting sqref="AC123">
    <cfRule type="cellIs" dxfId="11337" priority="4173" operator="greaterThan">
      <formula>0.9</formula>
    </cfRule>
    <cfRule type="cellIs" dxfId="11336" priority="4174" operator="greaterThan">
      <formula>0.85</formula>
    </cfRule>
  </conditionalFormatting>
  <conditionalFormatting sqref="N123">
    <cfRule type="cellIs" dxfId="11335" priority="4171" operator="greaterThan">
      <formula>0.9</formula>
    </cfRule>
    <cfRule type="cellIs" dxfId="11334" priority="4172" operator="greaterThan">
      <formula>0.85</formula>
    </cfRule>
  </conditionalFormatting>
  <conditionalFormatting sqref="E123">
    <cfRule type="expression" dxfId="11333" priority="4167">
      <formula>AND(IF(OR($Q123=1,$Q123=2),1,0),IF($X123&lt;=20,1,0))</formula>
    </cfRule>
    <cfRule type="expression" dxfId="11332" priority="4168">
      <formula>AND(IF($Q123=2,1,0),IF($X123&lt;30,1,0))</formula>
    </cfRule>
    <cfRule type="expression" dxfId="11331" priority="4169">
      <formula>AND(IF($Q123=3,1,0),IF($X123&lt;30,1,0))</formula>
    </cfRule>
    <cfRule type="expression" dxfId="11330" priority="4170">
      <formula>AND(IF($Q123=3,1,IF($Q123=4,1,0)),IF($F123&lt;=85,1,0))</formula>
    </cfRule>
  </conditionalFormatting>
  <conditionalFormatting sqref="X123">
    <cfRule type="expression" dxfId="11329" priority="4163">
      <formula>AND(IF(OR($Q123=1,$Q123=2),1,0),IF($X123&lt;=20,1,0))</formula>
    </cfRule>
    <cfRule type="expression" dxfId="11328" priority="4164">
      <formula>AND(IF($Q123=2,1,0),IF($X123&lt;30,1,0))</formula>
    </cfRule>
    <cfRule type="expression" dxfId="11327" priority="4165">
      <formula>AND(IF($Q123=3,1,0),IF($X123&lt;30,1,0))</formula>
    </cfRule>
    <cfRule type="expression" dxfId="11326" priority="4166">
      <formula>AND(IF($Q123=3,1,IF($Q123=4,1,0)),IF($F123&lt;=85,1,0))</formula>
    </cfRule>
  </conditionalFormatting>
  <conditionalFormatting sqref="AI123">
    <cfRule type="expression" dxfId="11325" priority="4159">
      <formula>AND(IF(OR($Q123=1,$Q123=2),1,0),IF($X123&lt;=20,1,0))</formula>
    </cfRule>
    <cfRule type="expression" dxfId="11324" priority="4160">
      <formula>AND(IF($Q123=2,1,0),IF($X123&lt;30,1,0))</formula>
    </cfRule>
    <cfRule type="expression" dxfId="11323" priority="4161">
      <formula>AND(IF($Q123=3,1,0),IF($X123&lt;30,1,0))</formula>
    </cfRule>
    <cfRule type="expression" dxfId="11322" priority="4162">
      <formula>AND(IF($Q123=3,1,IF($Q123=4,1,0)),IF($F123&lt;=85,1,0))</formula>
    </cfRule>
  </conditionalFormatting>
  <conditionalFormatting sqref="AV124">
    <cfRule type="expression" dxfId="11321" priority="4157">
      <formula>AV124="X"</formula>
    </cfRule>
    <cfRule type="expression" dxfId="11320" priority="4158">
      <formula>AV124="후보"</formula>
    </cfRule>
  </conditionalFormatting>
  <conditionalFormatting sqref="AC124">
    <cfRule type="cellIs" dxfId="11319" priority="4155" operator="greaterThan">
      <formula>0.9</formula>
    </cfRule>
    <cfRule type="cellIs" dxfId="11318" priority="4156" operator="greaterThan">
      <formula>0.85</formula>
    </cfRule>
  </conditionalFormatting>
  <conditionalFormatting sqref="N124">
    <cfRule type="cellIs" dxfId="11317" priority="4153" operator="greaterThan">
      <formula>0.9</formula>
    </cfRule>
    <cfRule type="cellIs" dxfId="11316" priority="4154" operator="greaterThan">
      <formula>0.85</formula>
    </cfRule>
  </conditionalFormatting>
  <conditionalFormatting sqref="E124">
    <cfRule type="expression" dxfId="11315" priority="4149">
      <formula>AND(IF(OR($Q124=1,$Q124=2),1,0),IF($X124&lt;=20,1,0))</formula>
    </cfRule>
    <cfRule type="expression" dxfId="11314" priority="4150">
      <formula>AND(IF($Q124=2,1,0),IF($X124&lt;30,1,0))</formula>
    </cfRule>
    <cfRule type="expression" dxfId="11313" priority="4151">
      <formula>AND(IF($Q124=3,1,0),IF($X124&lt;30,1,0))</formula>
    </cfRule>
    <cfRule type="expression" dxfId="11312" priority="4152">
      <formula>AND(IF($Q124=3,1,IF($Q124=4,1,0)),IF($F124&lt;=85,1,0))</formula>
    </cfRule>
  </conditionalFormatting>
  <conditionalFormatting sqref="X124">
    <cfRule type="expression" dxfId="11311" priority="4145">
      <formula>AND(IF(OR($Q124=1,$Q124=2),1,0),IF($X124&lt;=20,1,0))</formula>
    </cfRule>
    <cfRule type="expression" dxfId="11310" priority="4146">
      <formula>AND(IF($Q124=2,1,0),IF($X124&lt;30,1,0))</formula>
    </cfRule>
    <cfRule type="expression" dxfId="11309" priority="4147">
      <formula>AND(IF($Q124=3,1,0),IF($X124&lt;30,1,0))</formula>
    </cfRule>
    <cfRule type="expression" dxfId="11308" priority="4148">
      <formula>AND(IF($Q124=3,1,IF($Q124=4,1,0)),IF($F124&lt;=85,1,0))</formula>
    </cfRule>
  </conditionalFormatting>
  <conditionalFormatting sqref="AI124">
    <cfRule type="expression" dxfId="11307" priority="4141">
      <formula>AND(IF(OR($Q124=1,$Q124=2),1,0),IF($X124&lt;=20,1,0))</formula>
    </cfRule>
    <cfRule type="expression" dxfId="11306" priority="4142">
      <formula>AND(IF($Q124=2,1,0),IF($X124&lt;30,1,0))</formula>
    </cfRule>
    <cfRule type="expression" dxfId="11305" priority="4143">
      <formula>AND(IF($Q124=3,1,0),IF($X124&lt;30,1,0))</formula>
    </cfRule>
    <cfRule type="expression" dxfId="11304" priority="4144">
      <formula>AND(IF($Q124=3,1,IF($Q124=4,1,0)),IF($F124&lt;=85,1,0))</formula>
    </cfRule>
  </conditionalFormatting>
  <conditionalFormatting sqref="AV125">
    <cfRule type="expression" dxfId="11303" priority="4139">
      <formula>AV125="X"</formula>
    </cfRule>
    <cfRule type="expression" dxfId="11302" priority="4140">
      <formula>AV125="후보"</formula>
    </cfRule>
  </conditionalFormatting>
  <conditionalFormatting sqref="AC125">
    <cfRule type="cellIs" dxfId="11301" priority="4137" operator="greaterThan">
      <formula>0.9</formula>
    </cfRule>
    <cfRule type="cellIs" dxfId="11300" priority="4138" operator="greaterThan">
      <formula>0.85</formula>
    </cfRule>
  </conditionalFormatting>
  <conditionalFormatting sqref="N125">
    <cfRule type="cellIs" dxfId="11299" priority="4135" operator="greaterThan">
      <formula>0.9</formula>
    </cfRule>
    <cfRule type="cellIs" dxfId="11298" priority="4136" operator="greaterThan">
      <formula>0.85</formula>
    </cfRule>
  </conditionalFormatting>
  <conditionalFormatting sqref="E125">
    <cfRule type="expression" dxfId="11297" priority="4131">
      <formula>AND(IF(OR($Q125=1,$Q125=2),1,0),IF($X125&lt;=20,1,0))</formula>
    </cfRule>
    <cfRule type="expression" dxfId="11296" priority="4132">
      <formula>AND(IF($Q125=2,1,0),IF($X125&lt;30,1,0))</formula>
    </cfRule>
    <cfRule type="expression" dxfId="11295" priority="4133">
      <formula>AND(IF($Q125=3,1,0),IF($X125&lt;30,1,0))</formula>
    </cfRule>
    <cfRule type="expression" dxfId="11294" priority="4134">
      <formula>AND(IF($Q125=3,1,IF($Q125=4,1,0)),IF($F125&lt;=85,1,0))</formula>
    </cfRule>
  </conditionalFormatting>
  <conditionalFormatting sqref="X125">
    <cfRule type="expression" dxfId="11293" priority="4127">
      <formula>AND(IF(OR($Q125=1,$Q125=2),1,0),IF($X125&lt;=20,1,0))</formula>
    </cfRule>
    <cfRule type="expression" dxfId="11292" priority="4128">
      <formula>AND(IF($Q125=2,1,0),IF($X125&lt;30,1,0))</formula>
    </cfRule>
    <cfRule type="expression" dxfId="11291" priority="4129">
      <formula>AND(IF($Q125=3,1,0),IF($X125&lt;30,1,0))</formula>
    </cfRule>
    <cfRule type="expression" dxfId="11290" priority="4130">
      <formula>AND(IF($Q125=3,1,IF($Q125=4,1,0)),IF($F125&lt;=85,1,0))</formula>
    </cfRule>
  </conditionalFormatting>
  <conditionalFormatting sqref="AI125">
    <cfRule type="expression" dxfId="11289" priority="4123">
      <formula>AND(IF(OR($Q125=1,$Q125=2),1,0),IF($X125&lt;=20,1,0))</formula>
    </cfRule>
    <cfRule type="expression" dxfId="11288" priority="4124">
      <formula>AND(IF($Q125=2,1,0),IF($X125&lt;30,1,0))</formula>
    </cfRule>
    <cfRule type="expression" dxfId="11287" priority="4125">
      <formula>AND(IF($Q125=3,1,0),IF($X125&lt;30,1,0))</formula>
    </cfRule>
    <cfRule type="expression" dxfId="11286" priority="4126">
      <formula>AND(IF($Q125=3,1,IF($Q125=4,1,0)),IF($F125&lt;=85,1,0))</formula>
    </cfRule>
  </conditionalFormatting>
  <conditionalFormatting sqref="AV126">
    <cfRule type="expression" dxfId="11285" priority="4121">
      <formula>AV126="X"</formula>
    </cfRule>
    <cfRule type="expression" dxfId="11284" priority="4122">
      <formula>AV126="후보"</formula>
    </cfRule>
  </conditionalFormatting>
  <conditionalFormatting sqref="AC126">
    <cfRule type="cellIs" dxfId="11283" priority="4119" operator="greaterThan">
      <formula>0.9</formula>
    </cfRule>
    <cfRule type="cellIs" dxfId="11282" priority="4120" operator="greaterThan">
      <formula>0.85</formula>
    </cfRule>
  </conditionalFormatting>
  <conditionalFormatting sqref="N126">
    <cfRule type="cellIs" dxfId="11281" priority="4117" operator="greaterThan">
      <formula>0.9</formula>
    </cfRule>
    <cfRule type="cellIs" dxfId="11280" priority="4118" operator="greaterThan">
      <formula>0.85</formula>
    </cfRule>
  </conditionalFormatting>
  <conditionalFormatting sqref="E126">
    <cfRule type="expression" dxfId="11279" priority="4113">
      <formula>AND(IF(OR($Q126=1,$Q126=2),1,0),IF($X126&lt;=20,1,0))</formula>
    </cfRule>
    <cfRule type="expression" dxfId="11278" priority="4114">
      <formula>AND(IF($Q126=2,1,0),IF($X126&lt;30,1,0))</formula>
    </cfRule>
    <cfRule type="expression" dxfId="11277" priority="4115">
      <formula>AND(IF($Q126=3,1,0),IF($X126&lt;30,1,0))</formula>
    </cfRule>
    <cfRule type="expression" dxfId="11276" priority="4116">
      <formula>AND(IF($Q126=3,1,IF($Q126=4,1,0)),IF($F126&lt;=85,1,0))</formula>
    </cfRule>
  </conditionalFormatting>
  <conditionalFormatting sqref="X126">
    <cfRule type="expression" dxfId="11275" priority="4109">
      <formula>AND(IF(OR($Q126=1,$Q126=2),1,0),IF($X126&lt;=20,1,0))</formula>
    </cfRule>
    <cfRule type="expression" dxfId="11274" priority="4110">
      <formula>AND(IF($Q126=2,1,0),IF($X126&lt;30,1,0))</formula>
    </cfRule>
    <cfRule type="expression" dxfId="11273" priority="4111">
      <formula>AND(IF($Q126=3,1,0),IF($X126&lt;30,1,0))</formula>
    </cfRule>
    <cfRule type="expression" dxfId="11272" priority="4112">
      <formula>AND(IF($Q126=3,1,IF($Q126=4,1,0)),IF($F126&lt;=85,1,0))</formula>
    </cfRule>
  </conditionalFormatting>
  <conditionalFormatting sqref="AI126">
    <cfRule type="expression" dxfId="11271" priority="4105">
      <formula>AND(IF(OR($Q126=1,$Q126=2),1,0),IF($X126&lt;=20,1,0))</formula>
    </cfRule>
    <cfRule type="expression" dxfId="11270" priority="4106">
      <formula>AND(IF($Q126=2,1,0),IF($X126&lt;30,1,0))</formula>
    </cfRule>
    <cfRule type="expression" dxfId="11269" priority="4107">
      <formula>AND(IF($Q126=3,1,0),IF($X126&lt;30,1,0))</formula>
    </cfRule>
    <cfRule type="expression" dxfId="11268" priority="4108">
      <formula>AND(IF($Q126=3,1,IF($Q126=4,1,0)),IF($F126&lt;=85,1,0))</formula>
    </cfRule>
  </conditionalFormatting>
  <conditionalFormatting sqref="AV127">
    <cfRule type="expression" dxfId="11267" priority="4103">
      <formula>AV127="X"</formula>
    </cfRule>
    <cfRule type="expression" dxfId="11266" priority="4104">
      <formula>AV127="후보"</formula>
    </cfRule>
  </conditionalFormatting>
  <conditionalFormatting sqref="AC127">
    <cfRule type="cellIs" dxfId="11265" priority="4101" operator="greaterThan">
      <formula>0.9</formula>
    </cfRule>
    <cfRule type="cellIs" dxfId="11264" priority="4102" operator="greaterThan">
      <formula>0.85</formula>
    </cfRule>
  </conditionalFormatting>
  <conditionalFormatting sqref="N127">
    <cfRule type="cellIs" dxfId="11263" priority="4099" operator="greaterThan">
      <formula>0.9</formula>
    </cfRule>
    <cfRule type="cellIs" dxfId="11262" priority="4100" operator="greaterThan">
      <formula>0.85</formula>
    </cfRule>
  </conditionalFormatting>
  <conditionalFormatting sqref="E127">
    <cfRule type="expression" dxfId="11261" priority="4095">
      <formula>AND(IF(OR($Q127=1,$Q127=2),1,0),IF($X127&lt;=20,1,0))</formula>
    </cfRule>
    <cfRule type="expression" dxfId="11260" priority="4096">
      <formula>AND(IF($Q127=2,1,0),IF($X127&lt;30,1,0))</formula>
    </cfRule>
    <cfRule type="expression" dxfId="11259" priority="4097">
      <formula>AND(IF($Q127=3,1,0),IF($X127&lt;30,1,0))</formula>
    </cfRule>
    <cfRule type="expression" dxfId="11258" priority="4098">
      <formula>AND(IF($Q127=3,1,IF($Q127=4,1,0)),IF($F127&lt;=85,1,0))</formula>
    </cfRule>
  </conditionalFormatting>
  <conditionalFormatting sqref="X127">
    <cfRule type="expression" dxfId="11257" priority="4091">
      <formula>AND(IF(OR($Q127=1,$Q127=2),1,0),IF($X127&lt;=20,1,0))</formula>
    </cfRule>
    <cfRule type="expression" dxfId="11256" priority="4092">
      <formula>AND(IF($Q127=2,1,0),IF($X127&lt;30,1,0))</formula>
    </cfRule>
    <cfRule type="expression" dxfId="11255" priority="4093">
      <formula>AND(IF($Q127=3,1,0),IF($X127&lt;30,1,0))</formula>
    </cfRule>
    <cfRule type="expression" dxfId="11254" priority="4094">
      <formula>AND(IF($Q127=3,1,IF($Q127=4,1,0)),IF($F127&lt;=85,1,0))</formula>
    </cfRule>
  </conditionalFormatting>
  <conditionalFormatting sqref="AI127">
    <cfRule type="expression" dxfId="11253" priority="4087">
      <formula>AND(IF(OR($Q127=1,$Q127=2),1,0),IF($X127&lt;=20,1,0))</formula>
    </cfRule>
    <cfRule type="expression" dxfId="11252" priority="4088">
      <formula>AND(IF($Q127=2,1,0),IF($X127&lt;30,1,0))</formula>
    </cfRule>
    <cfRule type="expression" dxfId="11251" priority="4089">
      <formula>AND(IF($Q127=3,1,0),IF($X127&lt;30,1,0))</formula>
    </cfRule>
    <cfRule type="expression" dxfId="11250" priority="4090">
      <formula>AND(IF($Q127=3,1,IF($Q127=4,1,0)),IF($F127&lt;=85,1,0))</formula>
    </cfRule>
  </conditionalFormatting>
  <conditionalFormatting sqref="AV128">
    <cfRule type="expression" dxfId="11249" priority="4085">
      <formula>AV128="X"</formula>
    </cfRule>
    <cfRule type="expression" dxfId="11248" priority="4086">
      <formula>AV128="후보"</formula>
    </cfRule>
  </conditionalFormatting>
  <conditionalFormatting sqref="AC128">
    <cfRule type="cellIs" dxfId="11247" priority="4083" operator="greaterThan">
      <formula>0.9</formula>
    </cfRule>
    <cfRule type="cellIs" dxfId="11246" priority="4084" operator="greaterThan">
      <formula>0.85</formula>
    </cfRule>
  </conditionalFormatting>
  <conditionalFormatting sqref="N128">
    <cfRule type="cellIs" dxfId="11245" priority="4081" operator="greaterThan">
      <formula>0.9</formula>
    </cfRule>
    <cfRule type="cellIs" dxfId="11244" priority="4082" operator="greaterThan">
      <formula>0.85</formula>
    </cfRule>
  </conditionalFormatting>
  <conditionalFormatting sqref="E128">
    <cfRule type="expression" dxfId="11243" priority="4077">
      <formula>AND(IF(OR($Q128=1,$Q128=2),1,0),IF($X128&lt;=20,1,0))</formula>
    </cfRule>
    <cfRule type="expression" dxfId="11242" priority="4078">
      <formula>AND(IF($Q128=2,1,0),IF($X128&lt;30,1,0))</formula>
    </cfRule>
    <cfRule type="expression" dxfId="11241" priority="4079">
      <formula>AND(IF($Q128=3,1,0),IF($X128&lt;30,1,0))</formula>
    </cfRule>
    <cfRule type="expression" dxfId="11240" priority="4080">
      <formula>AND(IF($Q128=3,1,IF($Q128=4,1,0)),IF($F128&lt;=85,1,0))</formula>
    </cfRule>
  </conditionalFormatting>
  <conditionalFormatting sqref="X128">
    <cfRule type="expression" dxfId="11239" priority="4073">
      <formula>AND(IF(OR($Q128=1,$Q128=2),1,0),IF($X128&lt;=20,1,0))</formula>
    </cfRule>
    <cfRule type="expression" dxfId="11238" priority="4074">
      <formula>AND(IF($Q128=2,1,0),IF($X128&lt;30,1,0))</formula>
    </cfRule>
    <cfRule type="expression" dxfId="11237" priority="4075">
      <formula>AND(IF($Q128=3,1,0),IF($X128&lt;30,1,0))</formula>
    </cfRule>
    <cfRule type="expression" dxfId="11236" priority="4076">
      <formula>AND(IF($Q128=3,1,IF($Q128=4,1,0)),IF($F128&lt;=85,1,0))</formula>
    </cfRule>
  </conditionalFormatting>
  <conditionalFormatting sqref="AI128">
    <cfRule type="expression" dxfId="11235" priority="4069">
      <formula>AND(IF(OR($Q128=1,$Q128=2),1,0),IF($X128&lt;=20,1,0))</formula>
    </cfRule>
    <cfRule type="expression" dxfId="11234" priority="4070">
      <formula>AND(IF($Q128=2,1,0),IF($X128&lt;30,1,0))</formula>
    </cfRule>
    <cfRule type="expression" dxfId="11233" priority="4071">
      <formula>AND(IF($Q128=3,1,0),IF($X128&lt;30,1,0))</formula>
    </cfRule>
    <cfRule type="expression" dxfId="11232" priority="4072">
      <formula>AND(IF($Q128=3,1,IF($Q128=4,1,0)),IF($F128&lt;=85,1,0))</formula>
    </cfRule>
  </conditionalFormatting>
  <conditionalFormatting sqref="AV129">
    <cfRule type="expression" dxfId="11231" priority="4067">
      <formula>AV129="X"</formula>
    </cfRule>
    <cfRule type="expression" dxfId="11230" priority="4068">
      <formula>AV129="후보"</formula>
    </cfRule>
  </conditionalFormatting>
  <conditionalFormatting sqref="AC129">
    <cfRule type="cellIs" dxfId="11229" priority="4065" operator="greaterThan">
      <formula>0.9</formula>
    </cfRule>
    <cfRule type="cellIs" dxfId="11228" priority="4066" operator="greaterThan">
      <formula>0.85</formula>
    </cfRule>
  </conditionalFormatting>
  <conditionalFormatting sqref="N129">
    <cfRule type="cellIs" dxfId="11227" priority="4063" operator="greaterThan">
      <formula>0.9</formula>
    </cfRule>
    <cfRule type="cellIs" dxfId="11226" priority="4064" operator="greaterThan">
      <formula>0.85</formula>
    </cfRule>
  </conditionalFormatting>
  <conditionalFormatting sqref="E129">
    <cfRule type="expression" dxfId="11225" priority="4059">
      <formula>AND(IF(OR($Q129=1,$Q129=2),1,0),IF($X129&lt;=20,1,0))</formula>
    </cfRule>
    <cfRule type="expression" dxfId="11224" priority="4060">
      <formula>AND(IF($Q129=2,1,0),IF($X129&lt;30,1,0))</formula>
    </cfRule>
    <cfRule type="expression" dxfId="11223" priority="4061">
      <formula>AND(IF($Q129=3,1,0),IF($X129&lt;30,1,0))</formula>
    </cfRule>
    <cfRule type="expression" dxfId="11222" priority="4062">
      <formula>AND(IF($Q129=3,1,IF($Q129=4,1,0)),IF($F129&lt;=85,1,0))</formula>
    </cfRule>
  </conditionalFormatting>
  <conditionalFormatting sqref="X129">
    <cfRule type="expression" dxfId="11221" priority="4055">
      <formula>AND(IF(OR($Q129=1,$Q129=2),1,0),IF($X129&lt;=20,1,0))</formula>
    </cfRule>
    <cfRule type="expression" dxfId="11220" priority="4056">
      <formula>AND(IF($Q129=2,1,0),IF($X129&lt;30,1,0))</formula>
    </cfRule>
    <cfRule type="expression" dxfId="11219" priority="4057">
      <formula>AND(IF($Q129=3,1,0),IF($X129&lt;30,1,0))</formula>
    </cfRule>
    <cfRule type="expression" dxfId="11218" priority="4058">
      <formula>AND(IF($Q129=3,1,IF($Q129=4,1,0)),IF($F129&lt;=85,1,0))</formula>
    </cfRule>
  </conditionalFormatting>
  <conditionalFormatting sqref="AI129">
    <cfRule type="expression" dxfId="11217" priority="4051">
      <formula>AND(IF(OR($Q129=1,$Q129=2),1,0),IF($X129&lt;=20,1,0))</formula>
    </cfRule>
    <cfRule type="expression" dxfId="11216" priority="4052">
      <formula>AND(IF($Q129=2,1,0),IF($X129&lt;30,1,0))</formula>
    </cfRule>
    <cfRule type="expression" dxfId="11215" priority="4053">
      <formula>AND(IF($Q129=3,1,0),IF($X129&lt;30,1,0))</formula>
    </cfRule>
    <cfRule type="expression" dxfId="11214" priority="4054">
      <formula>AND(IF($Q129=3,1,IF($Q129=4,1,0)),IF($F129&lt;=85,1,0))</formula>
    </cfRule>
  </conditionalFormatting>
  <conditionalFormatting sqref="AV130">
    <cfRule type="expression" dxfId="11213" priority="4049">
      <formula>AV130="X"</formula>
    </cfRule>
    <cfRule type="expression" dxfId="11212" priority="4050">
      <formula>AV130="후보"</formula>
    </cfRule>
  </conditionalFormatting>
  <conditionalFormatting sqref="AC130">
    <cfRule type="cellIs" dxfId="11211" priority="4047" operator="greaterThan">
      <formula>0.9</formula>
    </cfRule>
    <cfRule type="cellIs" dxfId="11210" priority="4048" operator="greaterThan">
      <formula>0.85</formula>
    </cfRule>
  </conditionalFormatting>
  <conditionalFormatting sqref="N130">
    <cfRule type="cellIs" dxfId="11209" priority="4045" operator="greaterThan">
      <formula>0.9</formula>
    </cfRule>
    <cfRule type="cellIs" dxfId="11208" priority="4046" operator="greaterThan">
      <formula>0.85</formula>
    </cfRule>
  </conditionalFormatting>
  <conditionalFormatting sqref="E130">
    <cfRule type="expression" dxfId="11207" priority="4041">
      <formula>AND(IF(OR($Q130=1,$Q130=2),1,0),IF($X130&lt;=20,1,0))</formula>
    </cfRule>
    <cfRule type="expression" dxfId="11206" priority="4042">
      <formula>AND(IF($Q130=2,1,0),IF($X130&lt;30,1,0))</formula>
    </cfRule>
    <cfRule type="expression" dxfId="11205" priority="4043">
      <formula>AND(IF($Q130=3,1,0),IF($X130&lt;30,1,0))</formula>
    </cfRule>
    <cfRule type="expression" dxfId="11204" priority="4044">
      <formula>AND(IF($Q130=3,1,IF($Q130=4,1,0)),IF($F130&lt;=85,1,0))</formula>
    </cfRule>
  </conditionalFormatting>
  <conditionalFormatting sqref="X130">
    <cfRule type="expression" dxfId="11203" priority="4037">
      <formula>AND(IF(OR($Q130=1,$Q130=2),1,0),IF($X130&lt;=20,1,0))</formula>
    </cfRule>
    <cfRule type="expression" dxfId="11202" priority="4038">
      <formula>AND(IF($Q130=2,1,0),IF($X130&lt;30,1,0))</formula>
    </cfRule>
    <cfRule type="expression" dxfId="11201" priority="4039">
      <formula>AND(IF($Q130=3,1,0),IF($X130&lt;30,1,0))</formula>
    </cfRule>
    <cfRule type="expression" dxfId="11200" priority="4040">
      <formula>AND(IF($Q130=3,1,IF($Q130=4,1,0)),IF($F130&lt;=85,1,0))</formula>
    </cfRule>
  </conditionalFormatting>
  <conditionalFormatting sqref="AI130">
    <cfRule type="expression" dxfId="11199" priority="4033">
      <formula>AND(IF(OR($Q130=1,$Q130=2),1,0),IF($X130&lt;=20,1,0))</formula>
    </cfRule>
    <cfRule type="expression" dxfId="11198" priority="4034">
      <formula>AND(IF($Q130=2,1,0),IF($X130&lt;30,1,0))</formula>
    </cfRule>
    <cfRule type="expression" dxfId="11197" priority="4035">
      <formula>AND(IF($Q130=3,1,0),IF($X130&lt;30,1,0))</formula>
    </cfRule>
    <cfRule type="expression" dxfId="11196" priority="4036">
      <formula>AND(IF($Q130=3,1,IF($Q130=4,1,0)),IF($F130&lt;=85,1,0))</formula>
    </cfRule>
  </conditionalFormatting>
  <conditionalFormatting sqref="AV131">
    <cfRule type="expression" dxfId="11195" priority="4031">
      <formula>AV131="X"</formula>
    </cfRule>
    <cfRule type="expression" dxfId="11194" priority="4032">
      <formula>AV131="후보"</formula>
    </cfRule>
  </conditionalFormatting>
  <conditionalFormatting sqref="AC131">
    <cfRule type="cellIs" dxfId="11193" priority="4029" operator="greaterThan">
      <formula>0.9</formula>
    </cfRule>
    <cfRule type="cellIs" dxfId="11192" priority="4030" operator="greaterThan">
      <formula>0.85</formula>
    </cfRule>
  </conditionalFormatting>
  <conditionalFormatting sqref="N131">
    <cfRule type="cellIs" dxfId="11191" priority="4027" operator="greaterThan">
      <formula>0.9</formula>
    </cfRule>
    <cfRule type="cellIs" dxfId="11190" priority="4028" operator="greaterThan">
      <formula>0.85</formula>
    </cfRule>
  </conditionalFormatting>
  <conditionalFormatting sqref="E131">
    <cfRule type="expression" dxfId="11189" priority="4023">
      <formula>AND(IF(OR($Q131=1,$Q131=2),1,0),IF($X131&lt;=20,1,0))</formula>
    </cfRule>
    <cfRule type="expression" dxfId="11188" priority="4024">
      <formula>AND(IF($Q131=2,1,0),IF($X131&lt;30,1,0))</formula>
    </cfRule>
    <cfRule type="expression" dxfId="11187" priority="4025">
      <formula>AND(IF($Q131=3,1,0),IF($X131&lt;30,1,0))</formula>
    </cfRule>
    <cfRule type="expression" dxfId="11186" priority="4026">
      <formula>AND(IF($Q131=3,1,IF($Q131=4,1,0)),IF($F131&lt;=85,1,0))</formula>
    </cfRule>
  </conditionalFormatting>
  <conditionalFormatting sqref="X131">
    <cfRule type="expression" dxfId="11185" priority="4019">
      <formula>AND(IF(OR($Q131=1,$Q131=2),1,0),IF($X131&lt;=20,1,0))</formula>
    </cfRule>
    <cfRule type="expression" dxfId="11184" priority="4020">
      <formula>AND(IF($Q131=2,1,0),IF($X131&lt;30,1,0))</formula>
    </cfRule>
    <cfRule type="expression" dxfId="11183" priority="4021">
      <formula>AND(IF($Q131=3,1,0),IF($X131&lt;30,1,0))</formula>
    </cfRule>
    <cfRule type="expression" dxfId="11182" priority="4022">
      <formula>AND(IF($Q131=3,1,IF($Q131=4,1,0)),IF($F131&lt;=85,1,0))</formula>
    </cfRule>
  </conditionalFormatting>
  <conditionalFormatting sqref="AI131">
    <cfRule type="expression" dxfId="11181" priority="4015">
      <formula>AND(IF(OR($Q131=1,$Q131=2),1,0),IF($X131&lt;=20,1,0))</formula>
    </cfRule>
    <cfRule type="expression" dxfId="11180" priority="4016">
      <formula>AND(IF($Q131=2,1,0),IF($X131&lt;30,1,0))</formula>
    </cfRule>
    <cfRule type="expression" dxfId="11179" priority="4017">
      <formula>AND(IF($Q131=3,1,0),IF($X131&lt;30,1,0))</formula>
    </cfRule>
    <cfRule type="expression" dxfId="11178" priority="4018">
      <formula>AND(IF($Q131=3,1,IF($Q131=4,1,0)),IF($F131&lt;=85,1,0))</formula>
    </cfRule>
  </conditionalFormatting>
  <conditionalFormatting sqref="AV132">
    <cfRule type="expression" dxfId="11177" priority="4013">
      <formula>AV132="X"</formula>
    </cfRule>
    <cfRule type="expression" dxfId="11176" priority="4014">
      <formula>AV132="후보"</formula>
    </cfRule>
  </conditionalFormatting>
  <conditionalFormatting sqref="AC132">
    <cfRule type="cellIs" dxfId="11175" priority="4011" operator="greaterThan">
      <formula>0.9</formula>
    </cfRule>
    <cfRule type="cellIs" dxfId="11174" priority="4012" operator="greaterThan">
      <formula>0.85</formula>
    </cfRule>
  </conditionalFormatting>
  <conditionalFormatting sqref="N132">
    <cfRule type="cellIs" dxfId="11173" priority="4009" operator="greaterThan">
      <formula>0.9</formula>
    </cfRule>
    <cfRule type="cellIs" dxfId="11172" priority="4010" operator="greaterThan">
      <formula>0.85</formula>
    </cfRule>
  </conditionalFormatting>
  <conditionalFormatting sqref="E132">
    <cfRule type="expression" dxfId="11171" priority="4005">
      <formula>AND(IF(OR($Q132=1,$Q132=2),1,0),IF($X132&lt;=20,1,0))</formula>
    </cfRule>
    <cfRule type="expression" dxfId="11170" priority="4006">
      <formula>AND(IF($Q132=2,1,0),IF($X132&lt;30,1,0))</formula>
    </cfRule>
    <cfRule type="expression" dxfId="11169" priority="4007">
      <formula>AND(IF($Q132=3,1,0),IF($X132&lt;30,1,0))</formula>
    </cfRule>
    <cfRule type="expression" dxfId="11168" priority="4008">
      <formula>AND(IF($Q132=3,1,IF($Q132=4,1,0)),IF($F132&lt;=85,1,0))</formula>
    </cfRule>
  </conditionalFormatting>
  <conditionalFormatting sqref="X132">
    <cfRule type="expression" dxfId="11167" priority="4001">
      <formula>AND(IF(OR($Q132=1,$Q132=2),1,0),IF($X132&lt;=20,1,0))</formula>
    </cfRule>
    <cfRule type="expression" dxfId="11166" priority="4002">
      <formula>AND(IF($Q132=2,1,0),IF($X132&lt;30,1,0))</formula>
    </cfRule>
    <cfRule type="expression" dxfId="11165" priority="4003">
      <formula>AND(IF($Q132=3,1,0),IF($X132&lt;30,1,0))</formula>
    </cfRule>
    <cfRule type="expression" dxfId="11164" priority="4004">
      <formula>AND(IF($Q132=3,1,IF($Q132=4,1,0)),IF($F132&lt;=85,1,0))</formula>
    </cfRule>
  </conditionalFormatting>
  <conditionalFormatting sqref="AI132">
    <cfRule type="expression" dxfId="11163" priority="3997">
      <formula>AND(IF(OR($Q132=1,$Q132=2),1,0),IF($X132&lt;=20,1,0))</formula>
    </cfRule>
    <cfRule type="expression" dxfId="11162" priority="3998">
      <formula>AND(IF($Q132=2,1,0),IF($X132&lt;30,1,0))</formula>
    </cfRule>
    <cfRule type="expression" dxfId="11161" priority="3999">
      <formula>AND(IF($Q132=3,1,0),IF($X132&lt;30,1,0))</formula>
    </cfRule>
    <cfRule type="expression" dxfId="11160" priority="4000">
      <formula>AND(IF($Q132=3,1,IF($Q132=4,1,0)),IF($F132&lt;=85,1,0))</formula>
    </cfRule>
  </conditionalFormatting>
  <conditionalFormatting sqref="AV133">
    <cfRule type="expression" dxfId="11159" priority="3995">
      <formula>AV133="X"</formula>
    </cfRule>
    <cfRule type="expression" dxfId="11158" priority="3996">
      <formula>AV133="후보"</formula>
    </cfRule>
  </conditionalFormatting>
  <conditionalFormatting sqref="AC133">
    <cfRule type="cellIs" dxfId="11157" priority="3993" operator="greaterThan">
      <formula>0.9</formula>
    </cfRule>
    <cfRule type="cellIs" dxfId="11156" priority="3994" operator="greaterThan">
      <formula>0.85</formula>
    </cfRule>
  </conditionalFormatting>
  <conditionalFormatting sqref="N133">
    <cfRule type="cellIs" dxfId="11155" priority="3991" operator="greaterThan">
      <formula>0.9</formula>
    </cfRule>
    <cfRule type="cellIs" dxfId="11154" priority="3992" operator="greaterThan">
      <formula>0.85</formula>
    </cfRule>
  </conditionalFormatting>
  <conditionalFormatting sqref="E133">
    <cfRule type="expression" dxfId="11153" priority="3987">
      <formula>AND(IF(OR($Q133=1,$Q133=2),1,0),IF($X133&lt;=20,1,0))</formula>
    </cfRule>
    <cfRule type="expression" dxfId="11152" priority="3988">
      <formula>AND(IF($Q133=2,1,0),IF($X133&lt;30,1,0))</formula>
    </cfRule>
    <cfRule type="expression" dxfId="11151" priority="3989">
      <formula>AND(IF($Q133=3,1,0),IF($X133&lt;30,1,0))</formula>
    </cfRule>
    <cfRule type="expression" dxfId="11150" priority="3990">
      <formula>AND(IF($Q133=3,1,IF($Q133=4,1,0)),IF($F133&lt;=85,1,0))</formula>
    </cfRule>
  </conditionalFormatting>
  <conditionalFormatting sqref="X133">
    <cfRule type="expression" dxfId="11149" priority="3983">
      <formula>AND(IF(OR($Q133=1,$Q133=2),1,0),IF($X133&lt;=20,1,0))</formula>
    </cfRule>
    <cfRule type="expression" dxfId="11148" priority="3984">
      <formula>AND(IF($Q133=2,1,0),IF($X133&lt;30,1,0))</formula>
    </cfRule>
    <cfRule type="expression" dxfId="11147" priority="3985">
      <formula>AND(IF($Q133=3,1,0),IF($X133&lt;30,1,0))</formula>
    </cfRule>
    <cfRule type="expression" dxfId="11146" priority="3986">
      <formula>AND(IF($Q133=3,1,IF($Q133=4,1,0)),IF($F133&lt;=85,1,0))</formula>
    </cfRule>
  </conditionalFormatting>
  <conditionalFormatting sqref="AI133">
    <cfRule type="expression" dxfId="11145" priority="3979">
      <formula>AND(IF(OR($Q133=1,$Q133=2),1,0),IF($X133&lt;=20,1,0))</formula>
    </cfRule>
    <cfRule type="expression" dxfId="11144" priority="3980">
      <formula>AND(IF($Q133=2,1,0),IF($X133&lt;30,1,0))</formula>
    </cfRule>
    <cfRule type="expression" dxfId="11143" priority="3981">
      <formula>AND(IF($Q133=3,1,0),IF($X133&lt;30,1,0))</formula>
    </cfRule>
    <cfRule type="expression" dxfId="11142" priority="3982">
      <formula>AND(IF($Q133=3,1,IF($Q133=4,1,0)),IF($F133&lt;=85,1,0))</formula>
    </cfRule>
  </conditionalFormatting>
  <conditionalFormatting sqref="AV134">
    <cfRule type="expression" dxfId="11141" priority="3977">
      <formula>AV134="X"</formula>
    </cfRule>
    <cfRule type="expression" dxfId="11140" priority="3978">
      <formula>AV134="후보"</formula>
    </cfRule>
  </conditionalFormatting>
  <conditionalFormatting sqref="AC134">
    <cfRule type="cellIs" dxfId="11139" priority="3975" operator="greaterThan">
      <formula>0.9</formula>
    </cfRule>
    <cfRule type="cellIs" dxfId="11138" priority="3976" operator="greaterThan">
      <formula>0.85</formula>
    </cfRule>
  </conditionalFormatting>
  <conditionalFormatting sqref="N134">
    <cfRule type="cellIs" dxfId="11137" priority="3973" operator="greaterThan">
      <formula>0.9</formula>
    </cfRule>
    <cfRule type="cellIs" dxfId="11136" priority="3974" operator="greaterThan">
      <formula>0.85</formula>
    </cfRule>
  </conditionalFormatting>
  <conditionalFormatting sqref="E134">
    <cfRule type="expression" dxfId="11135" priority="3969">
      <formula>AND(IF(OR($Q134=1,$Q134=2),1,0),IF($X134&lt;=20,1,0))</formula>
    </cfRule>
    <cfRule type="expression" dxfId="11134" priority="3970">
      <formula>AND(IF($Q134=2,1,0),IF($X134&lt;30,1,0))</formula>
    </cfRule>
    <cfRule type="expression" dxfId="11133" priority="3971">
      <formula>AND(IF($Q134=3,1,0),IF($X134&lt;30,1,0))</formula>
    </cfRule>
    <cfRule type="expression" dxfId="11132" priority="3972">
      <formula>AND(IF($Q134=3,1,IF($Q134=4,1,0)),IF($F134&lt;=85,1,0))</formula>
    </cfRule>
  </conditionalFormatting>
  <conditionalFormatting sqref="X134">
    <cfRule type="expression" dxfId="11131" priority="3965">
      <formula>AND(IF(OR($Q134=1,$Q134=2),1,0),IF($X134&lt;=20,1,0))</formula>
    </cfRule>
    <cfRule type="expression" dxfId="11130" priority="3966">
      <formula>AND(IF($Q134=2,1,0),IF($X134&lt;30,1,0))</formula>
    </cfRule>
    <cfRule type="expression" dxfId="11129" priority="3967">
      <formula>AND(IF($Q134=3,1,0),IF($X134&lt;30,1,0))</formula>
    </cfRule>
    <cfRule type="expression" dxfId="11128" priority="3968">
      <formula>AND(IF($Q134=3,1,IF($Q134=4,1,0)),IF($F134&lt;=85,1,0))</formula>
    </cfRule>
  </conditionalFormatting>
  <conditionalFormatting sqref="AI134">
    <cfRule type="expression" dxfId="11127" priority="3961">
      <formula>AND(IF(OR($Q134=1,$Q134=2),1,0),IF($X134&lt;=20,1,0))</formula>
    </cfRule>
    <cfRule type="expression" dxfId="11126" priority="3962">
      <formula>AND(IF($Q134=2,1,0),IF($X134&lt;30,1,0))</formula>
    </cfRule>
    <cfRule type="expression" dxfId="11125" priority="3963">
      <formula>AND(IF($Q134=3,1,0),IF($X134&lt;30,1,0))</formula>
    </cfRule>
    <cfRule type="expression" dxfId="11124" priority="3964">
      <formula>AND(IF($Q134=3,1,IF($Q134=4,1,0)),IF($F134&lt;=85,1,0))</formula>
    </cfRule>
  </conditionalFormatting>
  <conditionalFormatting sqref="AV135">
    <cfRule type="expression" dxfId="11123" priority="3959">
      <formula>AV135="X"</formula>
    </cfRule>
    <cfRule type="expression" dxfId="11122" priority="3960">
      <formula>AV135="후보"</formula>
    </cfRule>
  </conditionalFormatting>
  <conditionalFormatting sqref="AC135">
    <cfRule type="cellIs" dxfId="11121" priority="3957" operator="greaterThan">
      <formula>0.9</formula>
    </cfRule>
    <cfRule type="cellIs" dxfId="11120" priority="3958" operator="greaterThan">
      <formula>0.85</formula>
    </cfRule>
  </conditionalFormatting>
  <conditionalFormatting sqref="N135">
    <cfRule type="cellIs" dxfId="11119" priority="3955" operator="greaterThan">
      <formula>0.9</formula>
    </cfRule>
    <cfRule type="cellIs" dxfId="11118" priority="3956" operator="greaterThan">
      <formula>0.85</formula>
    </cfRule>
  </conditionalFormatting>
  <conditionalFormatting sqref="E135">
    <cfRule type="expression" dxfId="11117" priority="3951">
      <formula>AND(IF(OR($Q135=1,$Q135=2),1,0),IF($X135&lt;=20,1,0))</formula>
    </cfRule>
    <cfRule type="expression" dxfId="11116" priority="3952">
      <formula>AND(IF($Q135=2,1,0),IF($X135&lt;30,1,0))</formula>
    </cfRule>
    <cfRule type="expression" dxfId="11115" priority="3953">
      <formula>AND(IF($Q135=3,1,0),IF($X135&lt;30,1,0))</formula>
    </cfRule>
    <cfRule type="expression" dxfId="11114" priority="3954">
      <formula>AND(IF($Q135=3,1,IF($Q135=4,1,0)),IF($F135&lt;=85,1,0))</formula>
    </cfRule>
  </conditionalFormatting>
  <conditionalFormatting sqref="X135">
    <cfRule type="expression" dxfId="11113" priority="3947">
      <formula>AND(IF(OR($Q135=1,$Q135=2),1,0),IF($X135&lt;=20,1,0))</formula>
    </cfRule>
    <cfRule type="expression" dxfId="11112" priority="3948">
      <formula>AND(IF($Q135=2,1,0),IF($X135&lt;30,1,0))</formula>
    </cfRule>
    <cfRule type="expression" dxfId="11111" priority="3949">
      <formula>AND(IF($Q135=3,1,0),IF($X135&lt;30,1,0))</formula>
    </cfRule>
    <cfRule type="expression" dxfId="11110" priority="3950">
      <formula>AND(IF($Q135=3,1,IF($Q135=4,1,0)),IF($F135&lt;=85,1,0))</formula>
    </cfRule>
  </conditionalFormatting>
  <conditionalFormatting sqref="AI135">
    <cfRule type="expression" dxfId="11109" priority="3943">
      <formula>AND(IF(OR($Q135=1,$Q135=2),1,0),IF($X135&lt;=20,1,0))</formula>
    </cfRule>
    <cfRule type="expression" dxfId="11108" priority="3944">
      <formula>AND(IF($Q135=2,1,0),IF($X135&lt;30,1,0))</formula>
    </cfRule>
    <cfRule type="expression" dxfId="11107" priority="3945">
      <formula>AND(IF($Q135=3,1,0),IF($X135&lt;30,1,0))</formula>
    </cfRule>
    <cfRule type="expression" dxfId="11106" priority="3946">
      <formula>AND(IF($Q135=3,1,IF($Q135=4,1,0)),IF($F135&lt;=85,1,0))</formula>
    </cfRule>
  </conditionalFormatting>
  <conditionalFormatting sqref="AV136">
    <cfRule type="expression" dxfId="11105" priority="3941">
      <formula>AV136="X"</formula>
    </cfRule>
    <cfRule type="expression" dxfId="11104" priority="3942">
      <formula>AV136="후보"</formula>
    </cfRule>
  </conditionalFormatting>
  <conditionalFormatting sqref="AC136">
    <cfRule type="cellIs" dxfId="11103" priority="3939" operator="greaterThan">
      <formula>0.9</formula>
    </cfRule>
    <cfRule type="cellIs" dxfId="11102" priority="3940" operator="greaterThan">
      <formula>0.85</formula>
    </cfRule>
  </conditionalFormatting>
  <conditionalFormatting sqref="N136">
    <cfRule type="cellIs" dxfId="11101" priority="3937" operator="greaterThan">
      <formula>0.9</formula>
    </cfRule>
    <cfRule type="cellIs" dxfId="11100" priority="3938" operator="greaterThan">
      <formula>0.85</formula>
    </cfRule>
  </conditionalFormatting>
  <conditionalFormatting sqref="E136">
    <cfRule type="expression" dxfId="11099" priority="3933">
      <formula>AND(IF(OR($Q136=1,$Q136=2),1,0),IF($X136&lt;=20,1,0))</formula>
    </cfRule>
    <cfRule type="expression" dxfId="11098" priority="3934">
      <formula>AND(IF($Q136=2,1,0),IF($X136&lt;30,1,0))</formula>
    </cfRule>
    <cfRule type="expression" dxfId="11097" priority="3935">
      <formula>AND(IF($Q136=3,1,0),IF($X136&lt;30,1,0))</formula>
    </cfRule>
    <cfRule type="expression" dxfId="11096" priority="3936">
      <formula>AND(IF($Q136=3,1,IF($Q136=4,1,0)),IF($F136&lt;=85,1,0))</formula>
    </cfRule>
  </conditionalFormatting>
  <conditionalFormatting sqref="X136">
    <cfRule type="expression" dxfId="11095" priority="3929">
      <formula>AND(IF(OR($Q136=1,$Q136=2),1,0),IF($X136&lt;=20,1,0))</formula>
    </cfRule>
    <cfRule type="expression" dxfId="11094" priority="3930">
      <formula>AND(IF($Q136=2,1,0),IF($X136&lt;30,1,0))</formula>
    </cfRule>
    <cfRule type="expression" dxfId="11093" priority="3931">
      <formula>AND(IF($Q136=3,1,0),IF($X136&lt;30,1,0))</formula>
    </cfRule>
    <cfRule type="expression" dxfId="11092" priority="3932">
      <formula>AND(IF($Q136=3,1,IF($Q136=4,1,0)),IF($F136&lt;=85,1,0))</formula>
    </cfRule>
  </conditionalFormatting>
  <conditionalFormatting sqref="AI136">
    <cfRule type="expression" dxfId="11091" priority="3925">
      <formula>AND(IF(OR($Q136=1,$Q136=2),1,0),IF($X136&lt;=20,1,0))</formula>
    </cfRule>
    <cfRule type="expression" dxfId="11090" priority="3926">
      <formula>AND(IF($Q136=2,1,0),IF($X136&lt;30,1,0))</formula>
    </cfRule>
    <cfRule type="expression" dxfId="11089" priority="3927">
      <formula>AND(IF($Q136=3,1,0),IF($X136&lt;30,1,0))</formula>
    </cfRule>
    <cfRule type="expression" dxfId="11088" priority="3928">
      <formula>AND(IF($Q136=3,1,IF($Q136=4,1,0)),IF($F136&lt;=85,1,0))</formula>
    </cfRule>
  </conditionalFormatting>
  <conditionalFormatting sqref="AV137">
    <cfRule type="expression" dxfId="11087" priority="3923">
      <formula>AV137="X"</formula>
    </cfRule>
    <cfRule type="expression" dxfId="11086" priority="3924">
      <formula>AV137="후보"</formula>
    </cfRule>
  </conditionalFormatting>
  <conditionalFormatting sqref="AC137">
    <cfRule type="cellIs" dxfId="11085" priority="3921" operator="greaterThan">
      <formula>0.9</formula>
    </cfRule>
    <cfRule type="cellIs" dxfId="11084" priority="3922" operator="greaterThan">
      <formula>0.85</formula>
    </cfRule>
  </conditionalFormatting>
  <conditionalFormatting sqref="N137">
    <cfRule type="cellIs" dxfId="11083" priority="3919" operator="greaterThan">
      <formula>0.9</formula>
    </cfRule>
    <cfRule type="cellIs" dxfId="11082" priority="3920" operator="greaterThan">
      <formula>0.85</formula>
    </cfRule>
  </conditionalFormatting>
  <conditionalFormatting sqref="E137">
    <cfRule type="expression" dxfId="11081" priority="3915">
      <formula>AND(IF(OR($Q137=1,$Q137=2),1,0),IF($X137&lt;=20,1,0))</formula>
    </cfRule>
    <cfRule type="expression" dxfId="11080" priority="3916">
      <formula>AND(IF($Q137=2,1,0),IF($X137&lt;30,1,0))</formula>
    </cfRule>
    <cfRule type="expression" dxfId="11079" priority="3917">
      <formula>AND(IF($Q137=3,1,0),IF($X137&lt;30,1,0))</formula>
    </cfRule>
    <cfRule type="expression" dxfId="11078" priority="3918">
      <formula>AND(IF($Q137=3,1,IF($Q137=4,1,0)),IF($F137&lt;=85,1,0))</formula>
    </cfRule>
  </conditionalFormatting>
  <conditionalFormatting sqref="X137">
    <cfRule type="expression" dxfId="11077" priority="3911">
      <formula>AND(IF(OR($Q137=1,$Q137=2),1,0),IF($X137&lt;=20,1,0))</formula>
    </cfRule>
    <cfRule type="expression" dxfId="11076" priority="3912">
      <formula>AND(IF($Q137=2,1,0),IF($X137&lt;30,1,0))</formula>
    </cfRule>
    <cfRule type="expression" dxfId="11075" priority="3913">
      <formula>AND(IF($Q137=3,1,0),IF($X137&lt;30,1,0))</formula>
    </cfRule>
    <cfRule type="expression" dxfId="11074" priority="3914">
      <formula>AND(IF($Q137=3,1,IF($Q137=4,1,0)),IF($F137&lt;=85,1,0))</formula>
    </cfRule>
  </conditionalFormatting>
  <conditionalFormatting sqref="AI137">
    <cfRule type="expression" dxfId="11073" priority="3907">
      <formula>AND(IF(OR($Q137=1,$Q137=2),1,0),IF($X137&lt;=20,1,0))</formula>
    </cfRule>
    <cfRule type="expression" dxfId="11072" priority="3908">
      <formula>AND(IF($Q137=2,1,0),IF($X137&lt;30,1,0))</formula>
    </cfRule>
    <cfRule type="expression" dxfId="11071" priority="3909">
      <formula>AND(IF($Q137=3,1,0),IF($X137&lt;30,1,0))</formula>
    </cfRule>
    <cfRule type="expression" dxfId="11070" priority="3910">
      <formula>AND(IF($Q137=3,1,IF($Q137=4,1,0)),IF($F137&lt;=85,1,0))</formula>
    </cfRule>
  </conditionalFormatting>
  <conditionalFormatting sqref="AV138">
    <cfRule type="expression" dxfId="11069" priority="3905">
      <formula>AV138="X"</formula>
    </cfRule>
    <cfRule type="expression" dxfId="11068" priority="3906">
      <formula>AV138="후보"</formula>
    </cfRule>
  </conditionalFormatting>
  <conditionalFormatting sqref="AC138">
    <cfRule type="cellIs" dxfId="11067" priority="3903" operator="greaterThan">
      <formula>0.9</formula>
    </cfRule>
    <cfRule type="cellIs" dxfId="11066" priority="3904" operator="greaterThan">
      <formula>0.85</formula>
    </cfRule>
  </conditionalFormatting>
  <conditionalFormatting sqref="N138">
    <cfRule type="cellIs" dxfId="11065" priority="3901" operator="greaterThan">
      <formula>0.9</formula>
    </cfRule>
    <cfRule type="cellIs" dxfId="11064" priority="3902" operator="greaterThan">
      <formula>0.85</formula>
    </cfRule>
  </conditionalFormatting>
  <conditionalFormatting sqref="E138">
    <cfRule type="expression" dxfId="11063" priority="3897">
      <formula>AND(IF(OR($Q138=1,$Q138=2),1,0),IF($X138&lt;=20,1,0))</formula>
    </cfRule>
    <cfRule type="expression" dxfId="11062" priority="3898">
      <formula>AND(IF($Q138=2,1,0),IF($X138&lt;30,1,0))</formula>
    </cfRule>
    <cfRule type="expression" dxfId="11061" priority="3899">
      <formula>AND(IF($Q138=3,1,0),IF($X138&lt;30,1,0))</formula>
    </cfRule>
    <cfRule type="expression" dxfId="11060" priority="3900">
      <formula>AND(IF($Q138=3,1,IF($Q138=4,1,0)),IF($F138&lt;=85,1,0))</formula>
    </cfRule>
  </conditionalFormatting>
  <conditionalFormatting sqref="X138">
    <cfRule type="expression" dxfId="11059" priority="3893">
      <formula>AND(IF(OR($Q138=1,$Q138=2),1,0),IF($X138&lt;=20,1,0))</formula>
    </cfRule>
    <cfRule type="expression" dxfId="11058" priority="3894">
      <formula>AND(IF($Q138=2,1,0),IF($X138&lt;30,1,0))</formula>
    </cfRule>
    <cfRule type="expression" dxfId="11057" priority="3895">
      <formula>AND(IF($Q138=3,1,0),IF($X138&lt;30,1,0))</formula>
    </cfRule>
    <cfRule type="expression" dxfId="11056" priority="3896">
      <formula>AND(IF($Q138=3,1,IF($Q138=4,1,0)),IF($F138&lt;=85,1,0))</formula>
    </cfRule>
  </conditionalFormatting>
  <conditionalFormatting sqref="AI138">
    <cfRule type="expression" dxfId="11055" priority="3889">
      <formula>AND(IF(OR($Q138=1,$Q138=2),1,0),IF($X138&lt;=20,1,0))</formula>
    </cfRule>
    <cfRule type="expression" dxfId="11054" priority="3890">
      <formula>AND(IF($Q138=2,1,0),IF($X138&lt;30,1,0))</formula>
    </cfRule>
    <cfRule type="expression" dxfId="11053" priority="3891">
      <formula>AND(IF($Q138=3,1,0),IF($X138&lt;30,1,0))</formula>
    </cfRule>
    <cfRule type="expression" dxfId="11052" priority="3892">
      <formula>AND(IF($Q138=3,1,IF($Q138=4,1,0)),IF($F138&lt;=85,1,0))</formula>
    </cfRule>
  </conditionalFormatting>
  <conditionalFormatting sqref="AV139">
    <cfRule type="expression" dxfId="11051" priority="3887">
      <formula>AV139="X"</formula>
    </cfRule>
    <cfRule type="expression" dxfId="11050" priority="3888">
      <formula>AV139="후보"</formula>
    </cfRule>
  </conditionalFormatting>
  <conditionalFormatting sqref="AC139">
    <cfRule type="cellIs" dxfId="11049" priority="3885" operator="greaterThan">
      <formula>0.9</formula>
    </cfRule>
    <cfRule type="cellIs" dxfId="11048" priority="3886" operator="greaterThan">
      <formula>0.85</formula>
    </cfRule>
  </conditionalFormatting>
  <conditionalFormatting sqref="N139">
    <cfRule type="cellIs" dxfId="11047" priority="3883" operator="greaterThan">
      <formula>0.9</formula>
    </cfRule>
    <cfRule type="cellIs" dxfId="11046" priority="3884" operator="greaterThan">
      <formula>0.85</formula>
    </cfRule>
  </conditionalFormatting>
  <conditionalFormatting sqref="E139">
    <cfRule type="expression" dxfId="11045" priority="3879">
      <formula>AND(IF(OR($Q139=1,$Q139=2),1,0),IF($X139&lt;=20,1,0))</formula>
    </cfRule>
    <cfRule type="expression" dxfId="11044" priority="3880">
      <formula>AND(IF($Q139=2,1,0),IF($X139&lt;30,1,0))</formula>
    </cfRule>
    <cfRule type="expression" dxfId="11043" priority="3881">
      <formula>AND(IF($Q139=3,1,0),IF($X139&lt;30,1,0))</formula>
    </cfRule>
    <cfRule type="expression" dxfId="11042" priority="3882">
      <formula>AND(IF($Q139=3,1,IF($Q139=4,1,0)),IF($F139&lt;=85,1,0))</formula>
    </cfRule>
  </conditionalFormatting>
  <conditionalFormatting sqref="X139">
    <cfRule type="expression" dxfId="11041" priority="3875">
      <formula>AND(IF(OR($Q139=1,$Q139=2),1,0),IF($X139&lt;=20,1,0))</formula>
    </cfRule>
    <cfRule type="expression" dxfId="11040" priority="3876">
      <formula>AND(IF($Q139=2,1,0),IF($X139&lt;30,1,0))</formula>
    </cfRule>
    <cfRule type="expression" dxfId="11039" priority="3877">
      <formula>AND(IF($Q139=3,1,0),IF($X139&lt;30,1,0))</formula>
    </cfRule>
    <cfRule type="expression" dxfId="11038" priority="3878">
      <formula>AND(IF($Q139=3,1,IF($Q139=4,1,0)),IF($F139&lt;=85,1,0))</formula>
    </cfRule>
  </conditionalFormatting>
  <conditionalFormatting sqref="AI139">
    <cfRule type="expression" dxfId="11037" priority="3871">
      <formula>AND(IF(OR($Q139=1,$Q139=2),1,0),IF($X139&lt;=20,1,0))</formula>
    </cfRule>
    <cfRule type="expression" dxfId="11036" priority="3872">
      <formula>AND(IF($Q139=2,1,0),IF($X139&lt;30,1,0))</formula>
    </cfRule>
    <cfRule type="expression" dxfId="11035" priority="3873">
      <formula>AND(IF($Q139=3,1,0),IF($X139&lt;30,1,0))</formula>
    </cfRule>
    <cfRule type="expression" dxfId="11034" priority="3874">
      <formula>AND(IF($Q139=3,1,IF($Q139=4,1,0)),IF($F139&lt;=85,1,0))</formula>
    </cfRule>
  </conditionalFormatting>
  <conditionalFormatting sqref="AV140">
    <cfRule type="expression" dxfId="11033" priority="3869">
      <formula>AV140="X"</formula>
    </cfRule>
    <cfRule type="expression" dxfId="11032" priority="3870">
      <formula>AV140="후보"</formula>
    </cfRule>
  </conditionalFormatting>
  <conditionalFormatting sqref="AC140">
    <cfRule type="cellIs" dxfId="11031" priority="3867" operator="greaterThan">
      <formula>0.9</formula>
    </cfRule>
    <cfRule type="cellIs" dxfId="11030" priority="3868" operator="greaterThan">
      <formula>0.85</formula>
    </cfRule>
  </conditionalFormatting>
  <conditionalFormatting sqref="N140">
    <cfRule type="cellIs" dxfId="11029" priority="3865" operator="greaterThan">
      <formula>0.9</formula>
    </cfRule>
    <cfRule type="cellIs" dxfId="11028" priority="3866" operator="greaterThan">
      <formula>0.85</formula>
    </cfRule>
  </conditionalFormatting>
  <conditionalFormatting sqref="E140">
    <cfRule type="expression" dxfId="11027" priority="3861">
      <formula>AND(IF(OR($Q140=1,$Q140=2),1,0),IF($X140&lt;=20,1,0))</formula>
    </cfRule>
    <cfRule type="expression" dxfId="11026" priority="3862">
      <formula>AND(IF($Q140=2,1,0),IF($X140&lt;30,1,0))</formula>
    </cfRule>
    <cfRule type="expression" dxfId="11025" priority="3863">
      <formula>AND(IF($Q140=3,1,0),IF($X140&lt;30,1,0))</formula>
    </cfRule>
    <cfRule type="expression" dxfId="11024" priority="3864">
      <formula>AND(IF($Q140=3,1,IF($Q140=4,1,0)),IF($F140&lt;=85,1,0))</formula>
    </cfRule>
  </conditionalFormatting>
  <conditionalFormatting sqref="X140">
    <cfRule type="expression" dxfId="11023" priority="3857">
      <formula>AND(IF(OR($Q140=1,$Q140=2),1,0),IF($X140&lt;=20,1,0))</formula>
    </cfRule>
    <cfRule type="expression" dxfId="11022" priority="3858">
      <formula>AND(IF($Q140=2,1,0),IF($X140&lt;30,1,0))</formula>
    </cfRule>
    <cfRule type="expression" dxfId="11021" priority="3859">
      <formula>AND(IF($Q140=3,1,0),IF($X140&lt;30,1,0))</formula>
    </cfRule>
    <cfRule type="expression" dxfId="11020" priority="3860">
      <formula>AND(IF($Q140=3,1,IF($Q140=4,1,0)),IF($F140&lt;=85,1,0))</formula>
    </cfRule>
  </conditionalFormatting>
  <conditionalFormatting sqref="AI140">
    <cfRule type="expression" dxfId="11019" priority="3853">
      <formula>AND(IF(OR($Q140=1,$Q140=2),1,0),IF($X140&lt;=20,1,0))</formula>
    </cfRule>
    <cfRule type="expression" dxfId="11018" priority="3854">
      <formula>AND(IF($Q140=2,1,0),IF($X140&lt;30,1,0))</formula>
    </cfRule>
    <cfRule type="expression" dxfId="11017" priority="3855">
      <formula>AND(IF($Q140=3,1,0),IF($X140&lt;30,1,0))</formula>
    </cfRule>
    <cfRule type="expression" dxfId="11016" priority="3856">
      <formula>AND(IF($Q140=3,1,IF($Q140=4,1,0)),IF($F140&lt;=85,1,0))</formula>
    </cfRule>
  </conditionalFormatting>
  <conditionalFormatting sqref="AV141">
    <cfRule type="expression" dxfId="11015" priority="3851">
      <formula>AV141="X"</formula>
    </cfRule>
    <cfRule type="expression" dxfId="11014" priority="3852">
      <formula>AV141="후보"</formula>
    </cfRule>
  </conditionalFormatting>
  <conditionalFormatting sqref="AC141">
    <cfRule type="cellIs" dxfId="11013" priority="3849" operator="greaterThan">
      <formula>0.9</formula>
    </cfRule>
    <cfRule type="cellIs" dxfId="11012" priority="3850" operator="greaterThan">
      <formula>0.85</formula>
    </cfRule>
  </conditionalFormatting>
  <conditionalFormatting sqref="N141">
    <cfRule type="cellIs" dxfId="11011" priority="3847" operator="greaterThan">
      <formula>0.9</formula>
    </cfRule>
    <cfRule type="cellIs" dxfId="11010" priority="3848" operator="greaterThan">
      <formula>0.85</formula>
    </cfRule>
  </conditionalFormatting>
  <conditionalFormatting sqref="E141">
    <cfRule type="expression" dxfId="11009" priority="3843">
      <formula>AND(IF(OR($Q141=1,$Q141=2),1,0),IF($X141&lt;=20,1,0))</formula>
    </cfRule>
    <cfRule type="expression" dxfId="11008" priority="3844">
      <formula>AND(IF($Q141=2,1,0),IF($X141&lt;30,1,0))</formula>
    </cfRule>
    <cfRule type="expression" dxfId="11007" priority="3845">
      <formula>AND(IF($Q141=3,1,0),IF($X141&lt;30,1,0))</formula>
    </cfRule>
    <cfRule type="expression" dxfId="11006" priority="3846">
      <formula>AND(IF($Q141=3,1,IF($Q141=4,1,0)),IF($F141&lt;=85,1,0))</formula>
    </cfRule>
  </conditionalFormatting>
  <conditionalFormatting sqref="X141">
    <cfRule type="expression" dxfId="11005" priority="3839">
      <formula>AND(IF(OR($Q141=1,$Q141=2),1,0),IF($X141&lt;=20,1,0))</formula>
    </cfRule>
    <cfRule type="expression" dxfId="11004" priority="3840">
      <formula>AND(IF($Q141=2,1,0),IF($X141&lt;30,1,0))</formula>
    </cfRule>
    <cfRule type="expression" dxfId="11003" priority="3841">
      <formula>AND(IF($Q141=3,1,0),IF($X141&lt;30,1,0))</formula>
    </cfRule>
    <cfRule type="expression" dxfId="11002" priority="3842">
      <formula>AND(IF($Q141=3,1,IF($Q141=4,1,0)),IF($F141&lt;=85,1,0))</formula>
    </cfRule>
  </conditionalFormatting>
  <conditionalFormatting sqref="AI141">
    <cfRule type="expression" dxfId="11001" priority="3835">
      <formula>AND(IF(OR($Q141=1,$Q141=2),1,0),IF($X141&lt;=20,1,0))</formula>
    </cfRule>
    <cfRule type="expression" dxfId="11000" priority="3836">
      <formula>AND(IF($Q141=2,1,0),IF($X141&lt;30,1,0))</formula>
    </cfRule>
    <cfRule type="expression" dxfId="10999" priority="3837">
      <formula>AND(IF($Q141=3,1,0),IF($X141&lt;30,1,0))</formula>
    </cfRule>
    <cfRule type="expression" dxfId="10998" priority="3838">
      <formula>AND(IF($Q141=3,1,IF($Q141=4,1,0)),IF($F141&lt;=85,1,0))</formula>
    </cfRule>
  </conditionalFormatting>
  <conditionalFormatting sqref="AV142">
    <cfRule type="expression" dxfId="10997" priority="3833">
      <formula>AV142="X"</formula>
    </cfRule>
    <cfRule type="expression" dxfId="10996" priority="3834">
      <formula>AV142="후보"</formula>
    </cfRule>
  </conditionalFormatting>
  <conditionalFormatting sqref="AC142">
    <cfRule type="cellIs" dxfId="10995" priority="3831" operator="greaterThan">
      <formula>0.9</formula>
    </cfRule>
    <cfRule type="cellIs" dxfId="10994" priority="3832" operator="greaterThan">
      <formula>0.85</formula>
    </cfRule>
  </conditionalFormatting>
  <conditionalFormatting sqref="N142">
    <cfRule type="cellIs" dxfId="10993" priority="3829" operator="greaterThan">
      <formula>0.9</formula>
    </cfRule>
    <cfRule type="cellIs" dxfId="10992" priority="3830" operator="greaterThan">
      <formula>0.85</formula>
    </cfRule>
  </conditionalFormatting>
  <conditionalFormatting sqref="E142">
    <cfRule type="expression" dxfId="10991" priority="3825">
      <formula>AND(IF(OR($Q142=1,$Q142=2),1,0),IF($X142&lt;=20,1,0))</formula>
    </cfRule>
    <cfRule type="expression" dxfId="10990" priority="3826">
      <formula>AND(IF($Q142=2,1,0),IF($X142&lt;30,1,0))</formula>
    </cfRule>
    <cfRule type="expression" dxfId="10989" priority="3827">
      <formula>AND(IF($Q142=3,1,0),IF($X142&lt;30,1,0))</formula>
    </cfRule>
    <cfRule type="expression" dxfId="10988" priority="3828">
      <formula>AND(IF($Q142=3,1,IF($Q142=4,1,0)),IF($F142&lt;=85,1,0))</formula>
    </cfRule>
  </conditionalFormatting>
  <conditionalFormatting sqref="X142">
    <cfRule type="expression" dxfId="10987" priority="3821">
      <formula>AND(IF(OR($Q142=1,$Q142=2),1,0),IF($X142&lt;=20,1,0))</formula>
    </cfRule>
    <cfRule type="expression" dxfId="10986" priority="3822">
      <formula>AND(IF($Q142=2,1,0),IF($X142&lt;30,1,0))</formula>
    </cfRule>
    <cfRule type="expression" dxfId="10985" priority="3823">
      <formula>AND(IF($Q142=3,1,0),IF($X142&lt;30,1,0))</formula>
    </cfRule>
    <cfRule type="expression" dxfId="10984" priority="3824">
      <formula>AND(IF($Q142=3,1,IF($Q142=4,1,0)),IF($F142&lt;=85,1,0))</formula>
    </cfRule>
  </conditionalFormatting>
  <conditionalFormatting sqref="AI142">
    <cfRule type="expression" dxfId="10983" priority="3817">
      <formula>AND(IF(OR($Q142=1,$Q142=2),1,0),IF($X142&lt;=20,1,0))</formula>
    </cfRule>
    <cfRule type="expression" dxfId="10982" priority="3818">
      <formula>AND(IF($Q142=2,1,0),IF($X142&lt;30,1,0))</formula>
    </cfRule>
    <cfRule type="expression" dxfId="10981" priority="3819">
      <formula>AND(IF($Q142=3,1,0),IF($X142&lt;30,1,0))</formula>
    </cfRule>
    <cfRule type="expression" dxfId="10980" priority="3820">
      <formula>AND(IF($Q142=3,1,IF($Q142=4,1,0)),IF($F142&lt;=85,1,0))</formula>
    </cfRule>
  </conditionalFormatting>
  <conditionalFormatting sqref="AV143">
    <cfRule type="expression" dxfId="10979" priority="3815">
      <formula>AV143="X"</formula>
    </cfRule>
    <cfRule type="expression" dxfId="10978" priority="3816">
      <formula>AV143="후보"</formula>
    </cfRule>
  </conditionalFormatting>
  <conditionalFormatting sqref="AC143">
    <cfRule type="cellIs" dxfId="10977" priority="3813" operator="greaterThan">
      <formula>0.9</formula>
    </cfRule>
    <cfRule type="cellIs" dxfId="10976" priority="3814" operator="greaterThan">
      <formula>0.85</formula>
    </cfRule>
  </conditionalFormatting>
  <conditionalFormatting sqref="N143">
    <cfRule type="cellIs" dxfId="10975" priority="3811" operator="greaterThan">
      <formula>0.9</formula>
    </cfRule>
    <cfRule type="cellIs" dxfId="10974" priority="3812" operator="greaterThan">
      <formula>0.85</formula>
    </cfRule>
  </conditionalFormatting>
  <conditionalFormatting sqref="E143">
    <cfRule type="expression" dxfId="10973" priority="3807">
      <formula>AND(IF(OR($Q143=1,$Q143=2),1,0),IF($X143&lt;=20,1,0))</formula>
    </cfRule>
    <cfRule type="expression" dxfId="10972" priority="3808">
      <formula>AND(IF($Q143=2,1,0),IF($X143&lt;30,1,0))</formula>
    </cfRule>
    <cfRule type="expression" dxfId="10971" priority="3809">
      <formula>AND(IF($Q143=3,1,0),IF($X143&lt;30,1,0))</formula>
    </cfRule>
    <cfRule type="expression" dxfId="10970" priority="3810">
      <formula>AND(IF($Q143=3,1,IF($Q143=4,1,0)),IF($F143&lt;=85,1,0))</formula>
    </cfRule>
  </conditionalFormatting>
  <conditionalFormatting sqref="X143">
    <cfRule type="expression" dxfId="10969" priority="3803">
      <formula>AND(IF(OR($Q143=1,$Q143=2),1,0),IF($X143&lt;=20,1,0))</formula>
    </cfRule>
    <cfRule type="expression" dxfId="10968" priority="3804">
      <formula>AND(IF($Q143=2,1,0),IF($X143&lt;30,1,0))</formula>
    </cfRule>
    <cfRule type="expression" dxfId="10967" priority="3805">
      <formula>AND(IF($Q143=3,1,0),IF($X143&lt;30,1,0))</formula>
    </cfRule>
    <cfRule type="expression" dxfId="10966" priority="3806">
      <formula>AND(IF($Q143=3,1,IF($Q143=4,1,0)),IF($F143&lt;=85,1,0))</formula>
    </cfRule>
  </conditionalFormatting>
  <conditionalFormatting sqref="AI143">
    <cfRule type="expression" dxfId="10965" priority="3799">
      <formula>AND(IF(OR($Q143=1,$Q143=2),1,0),IF($X143&lt;=20,1,0))</formula>
    </cfRule>
    <cfRule type="expression" dxfId="10964" priority="3800">
      <formula>AND(IF($Q143=2,1,0),IF($X143&lt;30,1,0))</formula>
    </cfRule>
    <cfRule type="expression" dxfId="10963" priority="3801">
      <formula>AND(IF($Q143=3,1,0),IF($X143&lt;30,1,0))</formula>
    </cfRule>
    <cfRule type="expression" dxfId="10962" priority="3802">
      <formula>AND(IF($Q143=3,1,IF($Q143=4,1,0)),IF($F143&lt;=85,1,0))</formula>
    </cfRule>
  </conditionalFormatting>
  <conditionalFormatting sqref="AV144">
    <cfRule type="expression" dxfId="10961" priority="3797">
      <formula>AV144="X"</formula>
    </cfRule>
    <cfRule type="expression" dxfId="10960" priority="3798">
      <formula>AV144="후보"</formula>
    </cfRule>
  </conditionalFormatting>
  <conditionalFormatting sqref="AC144">
    <cfRule type="cellIs" dxfId="10959" priority="3795" operator="greaterThan">
      <formula>0.9</formula>
    </cfRule>
    <cfRule type="cellIs" dxfId="10958" priority="3796" operator="greaterThan">
      <formula>0.85</formula>
    </cfRule>
  </conditionalFormatting>
  <conditionalFormatting sqref="N144">
    <cfRule type="cellIs" dxfId="10957" priority="3793" operator="greaterThan">
      <formula>0.9</formula>
    </cfRule>
    <cfRule type="cellIs" dxfId="10956" priority="3794" operator="greaterThan">
      <formula>0.85</formula>
    </cfRule>
  </conditionalFormatting>
  <conditionalFormatting sqref="E144">
    <cfRule type="expression" dxfId="10955" priority="3789">
      <formula>AND(IF(OR($Q144=1,$Q144=2),1,0),IF($X144&lt;=20,1,0))</formula>
    </cfRule>
    <cfRule type="expression" dxfId="10954" priority="3790">
      <formula>AND(IF($Q144=2,1,0),IF($X144&lt;30,1,0))</formula>
    </cfRule>
    <cfRule type="expression" dxfId="10953" priority="3791">
      <formula>AND(IF($Q144=3,1,0),IF($X144&lt;30,1,0))</formula>
    </cfRule>
    <cfRule type="expression" dxfId="10952" priority="3792">
      <formula>AND(IF($Q144=3,1,IF($Q144=4,1,0)),IF($F144&lt;=85,1,0))</formula>
    </cfRule>
  </conditionalFormatting>
  <conditionalFormatting sqref="X144">
    <cfRule type="expression" dxfId="10951" priority="3785">
      <formula>AND(IF(OR($Q144=1,$Q144=2),1,0),IF($X144&lt;=20,1,0))</formula>
    </cfRule>
    <cfRule type="expression" dxfId="10950" priority="3786">
      <formula>AND(IF($Q144=2,1,0),IF($X144&lt;30,1,0))</formula>
    </cfRule>
    <cfRule type="expression" dxfId="10949" priority="3787">
      <formula>AND(IF($Q144=3,1,0),IF($X144&lt;30,1,0))</formula>
    </cfRule>
    <cfRule type="expression" dxfId="10948" priority="3788">
      <formula>AND(IF($Q144=3,1,IF($Q144=4,1,0)),IF($F144&lt;=85,1,0))</formula>
    </cfRule>
  </conditionalFormatting>
  <conditionalFormatting sqref="AI144">
    <cfRule type="expression" dxfId="10947" priority="3781">
      <formula>AND(IF(OR($Q144=1,$Q144=2),1,0),IF($X144&lt;=20,1,0))</formula>
    </cfRule>
    <cfRule type="expression" dxfId="10946" priority="3782">
      <formula>AND(IF($Q144=2,1,0),IF($X144&lt;30,1,0))</formula>
    </cfRule>
    <cfRule type="expression" dxfId="10945" priority="3783">
      <formula>AND(IF($Q144=3,1,0),IF($X144&lt;30,1,0))</formula>
    </cfRule>
    <cfRule type="expression" dxfId="10944" priority="3784">
      <formula>AND(IF($Q144=3,1,IF($Q144=4,1,0)),IF($F144&lt;=85,1,0))</formula>
    </cfRule>
  </conditionalFormatting>
  <conditionalFormatting sqref="AV145">
    <cfRule type="expression" dxfId="10943" priority="3779">
      <formula>AV145="X"</formula>
    </cfRule>
    <cfRule type="expression" dxfId="10942" priority="3780">
      <formula>AV145="후보"</formula>
    </cfRule>
  </conditionalFormatting>
  <conditionalFormatting sqref="AC145">
    <cfRule type="cellIs" dxfId="10941" priority="3777" operator="greaterThan">
      <formula>0.9</formula>
    </cfRule>
    <cfRule type="cellIs" dxfId="10940" priority="3778" operator="greaterThan">
      <formula>0.85</formula>
    </cfRule>
  </conditionalFormatting>
  <conditionalFormatting sqref="N145">
    <cfRule type="cellIs" dxfId="10939" priority="3775" operator="greaterThan">
      <formula>0.9</formula>
    </cfRule>
    <cfRule type="cellIs" dxfId="10938" priority="3776" operator="greaterThan">
      <formula>0.85</formula>
    </cfRule>
  </conditionalFormatting>
  <conditionalFormatting sqref="E145">
    <cfRule type="expression" dxfId="10937" priority="3771">
      <formula>AND(IF(OR($Q145=1,$Q145=2),1,0),IF($X145&lt;=20,1,0))</formula>
    </cfRule>
    <cfRule type="expression" dxfId="10936" priority="3772">
      <formula>AND(IF($Q145=2,1,0),IF($X145&lt;30,1,0))</formula>
    </cfRule>
    <cfRule type="expression" dxfId="10935" priority="3773">
      <formula>AND(IF($Q145=3,1,0),IF($X145&lt;30,1,0))</formula>
    </cfRule>
    <cfRule type="expression" dxfId="10934" priority="3774">
      <formula>AND(IF($Q145=3,1,IF($Q145=4,1,0)),IF($F145&lt;=85,1,0))</formula>
    </cfRule>
  </conditionalFormatting>
  <conditionalFormatting sqref="X145">
    <cfRule type="expression" dxfId="10933" priority="3767">
      <formula>AND(IF(OR($Q145=1,$Q145=2),1,0),IF($X145&lt;=20,1,0))</formula>
    </cfRule>
    <cfRule type="expression" dxfId="10932" priority="3768">
      <formula>AND(IF($Q145=2,1,0),IF($X145&lt;30,1,0))</formula>
    </cfRule>
    <cfRule type="expression" dxfId="10931" priority="3769">
      <formula>AND(IF($Q145=3,1,0),IF($X145&lt;30,1,0))</formula>
    </cfRule>
    <cfRule type="expression" dxfId="10930" priority="3770">
      <formula>AND(IF($Q145=3,1,IF($Q145=4,1,0)),IF($F145&lt;=85,1,0))</formula>
    </cfRule>
  </conditionalFormatting>
  <conditionalFormatting sqref="AI145">
    <cfRule type="expression" dxfId="10929" priority="3763">
      <formula>AND(IF(OR($Q145=1,$Q145=2),1,0),IF($X145&lt;=20,1,0))</formula>
    </cfRule>
    <cfRule type="expression" dxfId="10928" priority="3764">
      <formula>AND(IF($Q145=2,1,0),IF($X145&lt;30,1,0))</formula>
    </cfRule>
    <cfRule type="expression" dxfId="10927" priority="3765">
      <formula>AND(IF($Q145=3,1,0),IF($X145&lt;30,1,0))</formula>
    </cfRule>
    <cfRule type="expression" dxfId="10926" priority="3766">
      <formula>AND(IF($Q145=3,1,IF($Q145=4,1,0)),IF($F145&lt;=85,1,0))</formula>
    </cfRule>
  </conditionalFormatting>
  <conditionalFormatting sqref="AV146">
    <cfRule type="expression" dxfId="10925" priority="3761">
      <formula>AV146="X"</formula>
    </cfRule>
    <cfRule type="expression" dxfId="10924" priority="3762">
      <formula>AV146="후보"</formula>
    </cfRule>
  </conditionalFormatting>
  <conditionalFormatting sqref="AC146">
    <cfRule type="cellIs" dxfId="10923" priority="3759" operator="greaterThan">
      <formula>0.9</formula>
    </cfRule>
    <cfRule type="cellIs" dxfId="10922" priority="3760" operator="greaterThan">
      <formula>0.85</formula>
    </cfRule>
  </conditionalFormatting>
  <conditionalFormatting sqref="N146">
    <cfRule type="cellIs" dxfId="10921" priority="3757" operator="greaterThan">
      <formula>0.9</formula>
    </cfRule>
    <cfRule type="cellIs" dxfId="10920" priority="3758" operator="greaterThan">
      <formula>0.85</formula>
    </cfRule>
  </conditionalFormatting>
  <conditionalFormatting sqref="E146">
    <cfRule type="expression" dxfId="10919" priority="3753">
      <formula>AND(IF(OR($Q146=1,$Q146=2),1,0),IF($X146&lt;=20,1,0))</formula>
    </cfRule>
    <cfRule type="expression" dxfId="10918" priority="3754">
      <formula>AND(IF($Q146=2,1,0),IF($X146&lt;30,1,0))</formula>
    </cfRule>
    <cfRule type="expression" dxfId="10917" priority="3755">
      <formula>AND(IF($Q146=3,1,0),IF($X146&lt;30,1,0))</formula>
    </cfRule>
    <cfRule type="expression" dxfId="10916" priority="3756">
      <formula>AND(IF($Q146=3,1,IF($Q146=4,1,0)),IF($F146&lt;=85,1,0))</formula>
    </cfRule>
  </conditionalFormatting>
  <conditionalFormatting sqref="X146">
    <cfRule type="expression" dxfId="10915" priority="3749">
      <formula>AND(IF(OR($Q146=1,$Q146=2),1,0),IF($X146&lt;=20,1,0))</formula>
    </cfRule>
    <cfRule type="expression" dxfId="10914" priority="3750">
      <formula>AND(IF($Q146=2,1,0),IF($X146&lt;30,1,0))</formula>
    </cfRule>
    <cfRule type="expression" dxfId="10913" priority="3751">
      <formula>AND(IF($Q146=3,1,0),IF($X146&lt;30,1,0))</formula>
    </cfRule>
    <cfRule type="expression" dxfId="10912" priority="3752">
      <formula>AND(IF($Q146=3,1,IF($Q146=4,1,0)),IF($F146&lt;=85,1,0))</formula>
    </cfRule>
  </conditionalFormatting>
  <conditionalFormatting sqref="AI146">
    <cfRule type="expression" dxfId="10911" priority="3745">
      <formula>AND(IF(OR($Q146=1,$Q146=2),1,0),IF($X146&lt;=20,1,0))</formula>
    </cfRule>
    <cfRule type="expression" dxfId="10910" priority="3746">
      <formula>AND(IF($Q146=2,1,0),IF($X146&lt;30,1,0))</formula>
    </cfRule>
    <cfRule type="expression" dxfId="10909" priority="3747">
      <formula>AND(IF($Q146=3,1,0),IF($X146&lt;30,1,0))</formula>
    </cfRule>
    <cfRule type="expression" dxfId="10908" priority="3748">
      <formula>AND(IF($Q146=3,1,IF($Q146=4,1,0)),IF($F146&lt;=85,1,0))</formula>
    </cfRule>
  </conditionalFormatting>
  <conditionalFormatting sqref="AV147">
    <cfRule type="expression" dxfId="10907" priority="3743">
      <formula>AV147="X"</formula>
    </cfRule>
    <cfRule type="expression" dxfId="10906" priority="3744">
      <formula>AV147="후보"</formula>
    </cfRule>
  </conditionalFormatting>
  <conditionalFormatting sqref="AC147">
    <cfRule type="cellIs" dxfId="10905" priority="3741" operator="greaterThan">
      <formula>0.9</formula>
    </cfRule>
    <cfRule type="cellIs" dxfId="10904" priority="3742" operator="greaterThan">
      <formula>0.85</formula>
    </cfRule>
  </conditionalFormatting>
  <conditionalFormatting sqref="N147">
    <cfRule type="cellIs" dxfId="10903" priority="3739" operator="greaterThan">
      <formula>0.9</formula>
    </cfRule>
    <cfRule type="cellIs" dxfId="10902" priority="3740" operator="greaterThan">
      <formula>0.85</formula>
    </cfRule>
  </conditionalFormatting>
  <conditionalFormatting sqref="E147">
    <cfRule type="expression" dxfId="10901" priority="3735">
      <formula>AND(IF(OR($Q147=1,$Q147=2),1,0),IF($X147&lt;=20,1,0))</formula>
    </cfRule>
    <cfRule type="expression" dxfId="10900" priority="3736">
      <formula>AND(IF($Q147=2,1,0),IF($X147&lt;30,1,0))</formula>
    </cfRule>
    <cfRule type="expression" dxfId="10899" priority="3737">
      <formula>AND(IF($Q147=3,1,0),IF($X147&lt;30,1,0))</formula>
    </cfRule>
    <cfRule type="expression" dxfId="10898" priority="3738">
      <formula>AND(IF($Q147=3,1,IF($Q147=4,1,0)),IF($F147&lt;=85,1,0))</formula>
    </cfRule>
  </conditionalFormatting>
  <conditionalFormatting sqref="X147">
    <cfRule type="expression" dxfId="10897" priority="3731">
      <formula>AND(IF(OR($Q147=1,$Q147=2),1,0),IF($X147&lt;=20,1,0))</formula>
    </cfRule>
    <cfRule type="expression" dxfId="10896" priority="3732">
      <formula>AND(IF($Q147=2,1,0),IF($X147&lt;30,1,0))</formula>
    </cfRule>
    <cfRule type="expression" dxfId="10895" priority="3733">
      <formula>AND(IF($Q147=3,1,0),IF($X147&lt;30,1,0))</formula>
    </cfRule>
    <cfRule type="expression" dxfId="10894" priority="3734">
      <formula>AND(IF($Q147=3,1,IF($Q147=4,1,0)),IF($F147&lt;=85,1,0))</formula>
    </cfRule>
  </conditionalFormatting>
  <conditionalFormatting sqref="AI147">
    <cfRule type="expression" dxfId="10893" priority="3727">
      <formula>AND(IF(OR($Q147=1,$Q147=2),1,0),IF($X147&lt;=20,1,0))</formula>
    </cfRule>
    <cfRule type="expression" dxfId="10892" priority="3728">
      <formula>AND(IF($Q147=2,1,0),IF($X147&lt;30,1,0))</formula>
    </cfRule>
    <cfRule type="expression" dxfId="10891" priority="3729">
      <formula>AND(IF($Q147=3,1,0),IF($X147&lt;30,1,0))</formula>
    </cfRule>
    <cfRule type="expression" dxfId="10890" priority="3730">
      <formula>AND(IF($Q147=3,1,IF($Q147=4,1,0)),IF($F147&lt;=85,1,0))</formula>
    </cfRule>
  </conditionalFormatting>
  <conditionalFormatting sqref="AV148">
    <cfRule type="expression" dxfId="10889" priority="3725">
      <formula>AV148="X"</formula>
    </cfRule>
    <cfRule type="expression" dxfId="10888" priority="3726">
      <formula>AV148="후보"</formula>
    </cfRule>
  </conditionalFormatting>
  <conditionalFormatting sqref="AC148">
    <cfRule type="cellIs" dxfId="10887" priority="3723" operator="greaterThan">
      <formula>0.9</formula>
    </cfRule>
    <cfRule type="cellIs" dxfId="10886" priority="3724" operator="greaterThan">
      <formula>0.85</formula>
    </cfRule>
  </conditionalFormatting>
  <conditionalFormatting sqref="N148">
    <cfRule type="cellIs" dxfId="10885" priority="3721" operator="greaterThan">
      <formula>0.9</formula>
    </cfRule>
    <cfRule type="cellIs" dxfId="10884" priority="3722" operator="greaterThan">
      <formula>0.85</formula>
    </cfRule>
  </conditionalFormatting>
  <conditionalFormatting sqref="E148">
    <cfRule type="expression" dxfId="10883" priority="3717">
      <formula>AND(IF(OR($Q148=1,$Q148=2),1,0),IF($X148&lt;=20,1,0))</formula>
    </cfRule>
    <cfRule type="expression" dxfId="10882" priority="3718">
      <formula>AND(IF($Q148=2,1,0),IF($X148&lt;30,1,0))</formula>
    </cfRule>
    <cfRule type="expression" dxfId="10881" priority="3719">
      <formula>AND(IF($Q148=3,1,0),IF($X148&lt;30,1,0))</formula>
    </cfRule>
    <cfRule type="expression" dxfId="10880" priority="3720">
      <formula>AND(IF($Q148=3,1,IF($Q148=4,1,0)),IF($F148&lt;=85,1,0))</formula>
    </cfRule>
  </conditionalFormatting>
  <conditionalFormatting sqref="X148">
    <cfRule type="expression" dxfId="10879" priority="3713">
      <formula>AND(IF(OR($Q148=1,$Q148=2),1,0),IF($X148&lt;=20,1,0))</formula>
    </cfRule>
    <cfRule type="expression" dxfId="10878" priority="3714">
      <formula>AND(IF($Q148=2,1,0),IF($X148&lt;30,1,0))</formula>
    </cfRule>
    <cfRule type="expression" dxfId="10877" priority="3715">
      <formula>AND(IF($Q148=3,1,0),IF($X148&lt;30,1,0))</formula>
    </cfRule>
    <cfRule type="expression" dxfId="10876" priority="3716">
      <formula>AND(IF($Q148=3,1,IF($Q148=4,1,0)),IF($F148&lt;=85,1,0))</formula>
    </cfRule>
  </conditionalFormatting>
  <conditionalFormatting sqref="AI148">
    <cfRule type="expression" dxfId="10875" priority="3709">
      <formula>AND(IF(OR($Q148=1,$Q148=2),1,0),IF($X148&lt;=20,1,0))</formula>
    </cfRule>
    <cfRule type="expression" dxfId="10874" priority="3710">
      <formula>AND(IF($Q148=2,1,0),IF($X148&lt;30,1,0))</formula>
    </cfRule>
    <cfRule type="expression" dxfId="10873" priority="3711">
      <formula>AND(IF($Q148=3,1,0),IF($X148&lt;30,1,0))</formula>
    </cfRule>
    <cfRule type="expression" dxfId="10872" priority="3712">
      <formula>AND(IF($Q148=3,1,IF($Q148=4,1,0)),IF($F148&lt;=85,1,0))</formula>
    </cfRule>
  </conditionalFormatting>
  <conditionalFormatting sqref="AV149">
    <cfRule type="expression" dxfId="10871" priority="3707">
      <formula>AV149="X"</formula>
    </cfRule>
    <cfRule type="expression" dxfId="10870" priority="3708">
      <formula>AV149="후보"</formula>
    </cfRule>
  </conditionalFormatting>
  <conditionalFormatting sqref="AC149">
    <cfRule type="cellIs" dxfId="10869" priority="3705" operator="greaterThan">
      <formula>0.9</formula>
    </cfRule>
    <cfRule type="cellIs" dxfId="10868" priority="3706" operator="greaterThan">
      <formula>0.85</formula>
    </cfRule>
  </conditionalFormatting>
  <conditionalFormatting sqref="N149">
    <cfRule type="cellIs" dxfId="10867" priority="3703" operator="greaterThan">
      <formula>0.9</formula>
    </cfRule>
    <cfRule type="cellIs" dxfId="10866" priority="3704" operator="greaterThan">
      <formula>0.85</formula>
    </cfRule>
  </conditionalFormatting>
  <conditionalFormatting sqref="E149">
    <cfRule type="expression" dxfId="10865" priority="3699">
      <formula>AND(IF(OR($Q149=1,$Q149=2),1,0),IF($X149&lt;=20,1,0))</formula>
    </cfRule>
    <cfRule type="expression" dxfId="10864" priority="3700">
      <formula>AND(IF($Q149=2,1,0),IF($X149&lt;30,1,0))</formula>
    </cfRule>
    <cfRule type="expression" dxfId="10863" priority="3701">
      <formula>AND(IF($Q149=3,1,0),IF($X149&lt;30,1,0))</formula>
    </cfRule>
    <cfRule type="expression" dxfId="10862" priority="3702">
      <formula>AND(IF($Q149=3,1,IF($Q149=4,1,0)),IF($F149&lt;=85,1,0))</formula>
    </cfRule>
  </conditionalFormatting>
  <conditionalFormatting sqref="X149">
    <cfRule type="expression" dxfId="10861" priority="3695">
      <formula>AND(IF(OR($Q149=1,$Q149=2),1,0),IF($X149&lt;=20,1,0))</formula>
    </cfRule>
    <cfRule type="expression" dxfId="10860" priority="3696">
      <formula>AND(IF($Q149=2,1,0),IF($X149&lt;30,1,0))</formula>
    </cfRule>
    <cfRule type="expression" dxfId="10859" priority="3697">
      <formula>AND(IF($Q149=3,1,0),IF($X149&lt;30,1,0))</formula>
    </cfRule>
    <cfRule type="expression" dxfId="10858" priority="3698">
      <formula>AND(IF($Q149=3,1,IF($Q149=4,1,0)),IF($F149&lt;=85,1,0))</formula>
    </cfRule>
  </conditionalFormatting>
  <conditionalFormatting sqref="AI149">
    <cfRule type="expression" dxfId="10857" priority="3691">
      <formula>AND(IF(OR($Q149=1,$Q149=2),1,0),IF($X149&lt;=20,1,0))</formula>
    </cfRule>
    <cfRule type="expression" dxfId="10856" priority="3692">
      <formula>AND(IF($Q149=2,1,0),IF($X149&lt;30,1,0))</formula>
    </cfRule>
    <cfRule type="expression" dxfId="10855" priority="3693">
      <formula>AND(IF($Q149=3,1,0),IF($X149&lt;30,1,0))</formula>
    </cfRule>
    <cfRule type="expression" dxfId="10854" priority="3694">
      <formula>AND(IF($Q149=3,1,IF($Q149=4,1,0)),IF($F149&lt;=85,1,0))</formula>
    </cfRule>
  </conditionalFormatting>
  <conditionalFormatting sqref="AV150">
    <cfRule type="expression" dxfId="10853" priority="3689">
      <formula>AV150="X"</formula>
    </cfRule>
    <cfRule type="expression" dxfId="10852" priority="3690">
      <formula>AV150="후보"</formula>
    </cfRule>
  </conditionalFormatting>
  <conditionalFormatting sqref="AC150">
    <cfRule type="cellIs" dxfId="10851" priority="3687" operator="greaterThan">
      <formula>0.9</formula>
    </cfRule>
    <cfRule type="cellIs" dxfId="10850" priority="3688" operator="greaterThan">
      <formula>0.85</formula>
    </cfRule>
  </conditionalFormatting>
  <conditionalFormatting sqref="N150">
    <cfRule type="cellIs" dxfId="10849" priority="3685" operator="greaterThan">
      <formula>0.9</formula>
    </cfRule>
    <cfRule type="cellIs" dxfId="10848" priority="3686" operator="greaterThan">
      <formula>0.85</formula>
    </cfRule>
  </conditionalFormatting>
  <conditionalFormatting sqref="E150">
    <cfRule type="expression" dxfId="10847" priority="3681">
      <formula>AND(IF(OR($Q150=1,$Q150=2),1,0),IF($X150&lt;=20,1,0))</formula>
    </cfRule>
    <cfRule type="expression" dxfId="10846" priority="3682">
      <formula>AND(IF($Q150=2,1,0),IF($X150&lt;30,1,0))</formula>
    </cfRule>
    <cfRule type="expression" dxfId="10845" priority="3683">
      <formula>AND(IF($Q150=3,1,0),IF($X150&lt;30,1,0))</formula>
    </cfRule>
    <cfRule type="expression" dxfId="10844" priority="3684">
      <formula>AND(IF($Q150=3,1,IF($Q150=4,1,0)),IF($F150&lt;=85,1,0))</formula>
    </cfRule>
  </conditionalFormatting>
  <conditionalFormatting sqref="X150">
    <cfRule type="expression" dxfId="10843" priority="3677">
      <formula>AND(IF(OR($Q150=1,$Q150=2),1,0),IF($X150&lt;=20,1,0))</formula>
    </cfRule>
    <cfRule type="expression" dxfId="10842" priority="3678">
      <formula>AND(IF($Q150=2,1,0),IF($X150&lt;30,1,0))</formula>
    </cfRule>
    <cfRule type="expression" dxfId="10841" priority="3679">
      <formula>AND(IF($Q150=3,1,0),IF($X150&lt;30,1,0))</formula>
    </cfRule>
    <cfRule type="expression" dxfId="10840" priority="3680">
      <formula>AND(IF($Q150=3,1,IF($Q150=4,1,0)),IF($F150&lt;=85,1,0))</formula>
    </cfRule>
  </conditionalFormatting>
  <conditionalFormatting sqref="AI150">
    <cfRule type="expression" dxfId="10839" priority="3673">
      <formula>AND(IF(OR($Q150=1,$Q150=2),1,0),IF($X150&lt;=20,1,0))</formula>
    </cfRule>
    <cfRule type="expression" dxfId="10838" priority="3674">
      <formula>AND(IF($Q150=2,1,0),IF($X150&lt;30,1,0))</formula>
    </cfRule>
    <cfRule type="expression" dxfId="10837" priority="3675">
      <formula>AND(IF($Q150=3,1,0),IF($X150&lt;30,1,0))</formula>
    </cfRule>
    <cfRule type="expression" dxfId="10836" priority="3676">
      <formula>AND(IF($Q150=3,1,IF($Q150=4,1,0)),IF($F150&lt;=85,1,0))</formula>
    </cfRule>
  </conditionalFormatting>
  <conditionalFormatting sqref="AV151">
    <cfRule type="expression" dxfId="10835" priority="3671">
      <formula>AV151="X"</formula>
    </cfRule>
    <cfRule type="expression" dxfId="10834" priority="3672">
      <formula>AV151="후보"</formula>
    </cfRule>
  </conditionalFormatting>
  <conditionalFormatting sqref="AC151">
    <cfRule type="cellIs" dxfId="10833" priority="3669" operator="greaterThan">
      <formula>0.9</formula>
    </cfRule>
    <cfRule type="cellIs" dxfId="10832" priority="3670" operator="greaterThan">
      <formula>0.85</formula>
    </cfRule>
  </conditionalFormatting>
  <conditionalFormatting sqref="N151">
    <cfRule type="cellIs" dxfId="10831" priority="3667" operator="greaterThan">
      <formula>0.9</formula>
    </cfRule>
    <cfRule type="cellIs" dxfId="10830" priority="3668" operator="greaterThan">
      <formula>0.85</formula>
    </cfRule>
  </conditionalFormatting>
  <conditionalFormatting sqref="E151">
    <cfRule type="expression" dxfId="10829" priority="3663">
      <formula>AND(IF(OR($Q151=1,$Q151=2),1,0),IF($X151&lt;=20,1,0))</formula>
    </cfRule>
    <cfRule type="expression" dxfId="10828" priority="3664">
      <formula>AND(IF($Q151=2,1,0),IF($X151&lt;30,1,0))</formula>
    </cfRule>
    <cfRule type="expression" dxfId="10827" priority="3665">
      <formula>AND(IF($Q151=3,1,0),IF($X151&lt;30,1,0))</formula>
    </cfRule>
    <cfRule type="expression" dxfId="10826" priority="3666">
      <formula>AND(IF($Q151=3,1,IF($Q151=4,1,0)),IF($F151&lt;=85,1,0))</formula>
    </cfRule>
  </conditionalFormatting>
  <conditionalFormatting sqref="X151">
    <cfRule type="expression" dxfId="10825" priority="3659">
      <formula>AND(IF(OR($Q151=1,$Q151=2),1,0),IF($X151&lt;=20,1,0))</formula>
    </cfRule>
    <cfRule type="expression" dxfId="10824" priority="3660">
      <formula>AND(IF($Q151=2,1,0),IF($X151&lt;30,1,0))</formula>
    </cfRule>
    <cfRule type="expression" dxfId="10823" priority="3661">
      <formula>AND(IF($Q151=3,1,0),IF($X151&lt;30,1,0))</formula>
    </cfRule>
    <cfRule type="expression" dxfId="10822" priority="3662">
      <formula>AND(IF($Q151=3,1,IF($Q151=4,1,0)),IF($F151&lt;=85,1,0))</formula>
    </cfRule>
  </conditionalFormatting>
  <conditionalFormatting sqref="AI151">
    <cfRule type="expression" dxfId="10821" priority="3655">
      <formula>AND(IF(OR($Q151=1,$Q151=2),1,0),IF($X151&lt;=20,1,0))</formula>
    </cfRule>
    <cfRule type="expression" dxfId="10820" priority="3656">
      <formula>AND(IF($Q151=2,1,0),IF($X151&lt;30,1,0))</formula>
    </cfRule>
    <cfRule type="expression" dxfId="10819" priority="3657">
      <formula>AND(IF($Q151=3,1,0),IF($X151&lt;30,1,0))</formula>
    </cfRule>
    <cfRule type="expression" dxfId="10818" priority="3658">
      <formula>AND(IF($Q151=3,1,IF($Q151=4,1,0)),IF($F151&lt;=85,1,0))</formula>
    </cfRule>
  </conditionalFormatting>
  <conditionalFormatting sqref="AV152">
    <cfRule type="expression" dxfId="10817" priority="3653">
      <formula>AV152="X"</formula>
    </cfRule>
    <cfRule type="expression" dxfId="10816" priority="3654">
      <formula>AV152="후보"</formula>
    </cfRule>
  </conditionalFormatting>
  <conditionalFormatting sqref="AC152">
    <cfRule type="cellIs" dxfId="10815" priority="3651" operator="greaterThan">
      <formula>0.9</formula>
    </cfRule>
    <cfRule type="cellIs" dxfId="10814" priority="3652" operator="greaterThan">
      <formula>0.85</formula>
    </cfRule>
  </conditionalFormatting>
  <conditionalFormatting sqref="N152">
    <cfRule type="cellIs" dxfId="10813" priority="3649" operator="greaterThan">
      <formula>0.9</formula>
    </cfRule>
    <cfRule type="cellIs" dxfId="10812" priority="3650" operator="greaterThan">
      <formula>0.85</formula>
    </cfRule>
  </conditionalFormatting>
  <conditionalFormatting sqref="E152">
    <cfRule type="expression" dxfId="10811" priority="3645">
      <formula>AND(IF(OR($Q152=1,$Q152=2),1,0),IF($X152&lt;=20,1,0))</formula>
    </cfRule>
    <cfRule type="expression" dxfId="10810" priority="3646">
      <formula>AND(IF($Q152=2,1,0),IF($X152&lt;30,1,0))</formula>
    </cfRule>
    <cfRule type="expression" dxfId="10809" priority="3647">
      <formula>AND(IF($Q152=3,1,0),IF($X152&lt;30,1,0))</formula>
    </cfRule>
    <cfRule type="expression" dxfId="10808" priority="3648">
      <formula>AND(IF($Q152=3,1,IF($Q152=4,1,0)),IF($F152&lt;=85,1,0))</formula>
    </cfRule>
  </conditionalFormatting>
  <conditionalFormatting sqref="X152">
    <cfRule type="expression" dxfId="10807" priority="3641">
      <formula>AND(IF(OR($Q152=1,$Q152=2),1,0),IF($X152&lt;=20,1,0))</formula>
    </cfRule>
    <cfRule type="expression" dxfId="10806" priority="3642">
      <formula>AND(IF($Q152=2,1,0),IF($X152&lt;30,1,0))</formula>
    </cfRule>
    <cfRule type="expression" dxfId="10805" priority="3643">
      <formula>AND(IF($Q152=3,1,0),IF($X152&lt;30,1,0))</formula>
    </cfRule>
    <cfRule type="expression" dxfId="10804" priority="3644">
      <formula>AND(IF($Q152=3,1,IF($Q152=4,1,0)),IF($F152&lt;=85,1,0))</formula>
    </cfRule>
  </conditionalFormatting>
  <conditionalFormatting sqref="AI152">
    <cfRule type="expression" dxfId="10803" priority="3637">
      <formula>AND(IF(OR($Q152=1,$Q152=2),1,0),IF($X152&lt;=20,1,0))</formula>
    </cfRule>
    <cfRule type="expression" dxfId="10802" priority="3638">
      <formula>AND(IF($Q152=2,1,0),IF($X152&lt;30,1,0))</formula>
    </cfRule>
    <cfRule type="expression" dxfId="10801" priority="3639">
      <formula>AND(IF($Q152=3,1,0),IF($X152&lt;30,1,0))</formula>
    </cfRule>
    <cfRule type="expression" dxfId="10800" priority="3640">
      <formula>AND(IF($Q152=3,1,IF($Q152=4,1,0)),IF($F152&lt;=85,1,0))</formula>
    </cfRule>
  </conditionalFormatting>
  <conditionalFormatting sqref="AV153">
    <cfRule type="expression" dxfId="10799" priority="3635">
      <formula>AV153="X"</formula>
    </cfRule>
    <cfRule type="expression" dxfId="10798" priority="3636">
      <formula>AV153="후보"</formula>
    </cfRule>
  </conditionalFormatting>
  <conditionalFormatting sqref="AC153">
    <cfRule type="cellIs" dxfId="10797" priority="3633" operator="greaterThan">
      <formula>0.9</formula>
    </cfRule>
    <cfRule type="cellIs" dxfId="10796" priority="3634" operator="greaterThan">
      <formula>0.85</formula>
    </cfRule>
  </conditionalFormatting>
  <conditionalFormatting sqref="N153">
    <cfRule type="cellIs" dxfId="10795" priority="3631" operator="greaterThan">
      <formula>0.9</formula>
    </cfRule>
    <cfRule type="cellIs" dxfId="10794" priority="3632" operator="greaterThan">
      <formula>0.85</formula>
    </cfRule>
  </conditionalFormatting>
  <conditionalFormatting sqref="E153">
    <cfRule type="expression" dxfId="10793" priority="3627">
      <formula>AND(IF(OR($Q153=1,$Q153=2),1,0),IF($X153&lt;=20,1,0))</formula>
    </cfRule>
    <cfRule type="expression" dxfId="10792" priority="3628">
      <formula>AND(IF($Q153=2,1,0),IF($X153&lt;30,1,0))</formula>
    </cfRule>
    <cfRule type="expression" dxfId="10791" priority="3629">
      <formula>AND(IF($Q153=3,1,0),IF($X153&lt;30,1,0))</formula>
    </cfRule>
    <cfRule type="expression" dxfId="10790" priority="3630">
      <formula>AND(IF($Q153=3,1,IF($Q153=4,1,0)),IF($F153&lt;=85,1,0))</formula>
    </cfRule>
  </conditionalFormatting>
  <conditionalFormatting sqref="X153">
    <cfRule type="expression" dxfId="10789" priority="3623">
      <formula>AND(IF(OR($Q153=1,$Q153=2),1,0),IF($X153&lt;=20,1,0))</formula>
    </cfRule>
    <cfRule type="expression" dxfId="10788" priority="3624">
      <formula>AND(IF($Q153=2,1,0),IF($X153&lt;30,1,0))</formula>
    </cfRule>
    <cfRule type="expression" dxfId="10787" priority="3625">
      <formula>AND(IF($Q153=3,1,0),IF($X153&lt;30,1,0))</formula>
    </cfRule>
    <cfRule type="expression" dxfId="10786" priority="3626">
      <formula>AND(IF($Q153=3,1,IF($Q153=4,1,0)),IF($F153&lt;=85,1,0))</formula>
    </cfRule>
  </conditionalFormatting>
  <conditionalFormatting sqref="AI153">
    <cfRule type="expression" dxfId="10785" priority="3619">
      <formula>AND(IF(OR($Q153=1,$Q153=2),1,0),IF($X153&lt;=20,1,0))</formula>
    </cfRule>
    <cfRule type="expression" dxfId="10784" priority="3620">
      <formula>AND(IF($Q153=2,1,0),IF($X153&lt;30,1,0))</formula>
    </cfRule>
    <cfRule type="expression" dxfId="10783" priority="3621">
      <formula>AND(IF($Q153=3,1,0),IF($X153&lt;30,1,0))</formula>
    </cfRule>
    <cfRule type="expression" dxfId="10782" priority="3622">
      <formula>AND(IF($Q153=3,1,IF($Q153=4,1,0)),IF($F153&lt;=85,1,0))</formula>
    </cfRule>
  </conditionalFormatting>
  <conditionalFormatting sqref="AV154">
    <cfRule type="expression" dxfId="10781" priority="3617">
      <formula>AV154="X"</formula>
    </cfRule>
    <cfRule type="expression" dxfId="10780" priority="3618">
      <formula>AV154="후보"</formula>
    </cfRule>
  </conditionalFormatting>
  <conditionalFormatting sqref="AC154">
    <cfRule type="cellIs" dxfId="10779" priority="3615" operator="greaterThan">
      <formula>0.9</formula>
    </cfRule>
    <cfRule type="cellIs" dxfId="10778" priority="3616" operator="greaterThan">
      <formula>0.85</formula>
    </cfRule>
  </conditionalFormatting>
  <conditionalFormatting sqref="N154">
    <cfRule type="cellIs" dxfId="10777" priority="3613" operator="greaterThan">
      <formula>0.9</formula>
    </cfRule>
    <cfRule type="cellIs" dxfId="10776" priority="3614" operator="greaterThan">
      <formula>0.85</formula>
    </cfRule>
  </conditionalFormatting>
  <conditionalFormatting sqref="E154">
    <cfRule type="expression" dxfId="10775" priority="3609">
      <formula>AND(IF(OR($Q154=1,$Q154=2),1,0),IF($X154&lt;=20,1,0))</formula>
    </cfRule>
    <cfRule type="expression" dxfId="10774" priority="3610">
      <formula>AND(IF($Q154=2,1,0),IF($X154&lt;30,1,0))</formula>
    </cfRule>
    <cfRule type="expression" dxfId="10773" priority="3611">
      <formula>AND(IF($Q154=3,1,0),IF($X154&lt;30,1,0))</formula>
    </cfRule>
    <cfRule type="expression" dxfId="10772" priority="3612">
      <formula>AND(IF($Q154=3,1,IF($Q154=4,1,0)),IF($F154&lt;=85,1,0))</formula>
    </cfRule>
  </conditionalFormatting>
  <conditionalFormatting sqref="X154">
    <cfRule type="expression" dxfId="10771" priority="3605">
      <formula>AND(IF(OR($Q154=1,$Q154=2),1,0),IF($X154&lt;=20,1,0))</formula>
    </cfRule>
    <cfRule type="expression" dxfId="10770" priority="3606">
      <formula>AND(IF($Q154=2,1,0),IF($X154&lt;30,1,0))</formula>
    </cfRule>
    <cfRule type="expression" dxfId="10769" priority="3607">
      <formula>AND(IF($Q154=3,1,0),IF($X154&lt;30,1,0))</formula>
    </cfRule>
    <cfRule type="expression" dxfId="10768" priority="3608">
      <formula>AND(IF($Q154=3,1,IF($Q154=4,1,0)),IF($F154&lt;=85,1,0))</formula>
    </cfRule>
  </conditionalFormatting>
  <conditionalFormatting sqref="AI154">
    <cfRule type="expression" dxfId="10767" priority="3601">
      <formula>AND(IF(OR($Q154=1,$Q154=2),1,0),IF($X154&lt;=20,1,0))</formula>
    </cfRule>
    <cfRule type="expression" dxfId="10766" priority="3602">
      <formula>AND(IF($Q154=2,1,0),IF($X154&lt;30,1,0))</formula>
    </cfRule>
    <cfRule type="expression" dxfId="10765" priority="3603">
      <formula>AND(IF($Q154=3,1,0),IF($X154&lt;30,1,0))</formula>
    </cfRule>
    <cfRule type="expression" dxfId="10764" priority="3604">
      <formula>AND(IF($Q154=3,1,IF($Q154=4,1,0)),IF($F154&lt;=85,1,0))</formula>
    </cfRule>
  </conditionalFormatting>
  <conditionalFormatting sqref="AV155">
    <cfRule type="expression" dxfId="10763" priority="3599">
      <formula>AV155="X"</formula>
    </cfRule>
    <cfRule type="expression" dxfId="10762" priority="3600">
      <formula>AV155="후보"</formula>
    </cfRule>
  </conditionalFormatting>
  <conditionalFormatting sqref="AC155">
    <cfRule type="cellIs" dxfId="10761" priority="3597" operator="greaterThan">
      <formula>0.9</formula>
    </cfRule>
    <cfRule type="cellIs" dxfId="10760" priority="3598" operator="greaterThan">
      <formula>0.85</formula>
    </cfRule>
  </conditionalFormatting>
  <conditionalFormatting sqref="N155">
    <cfRule type="cellIs" dxfId="10759" priority="3595" operator="greaterThan">
      <formula>0.9</formula>
    </cfRule>
    <cfRule type="cellIs" dxfId="10758" priority="3596" operator="greaterThan">
      <formula>0.85</formula>
    </cfRule>
  </conditionalFormatting>
  <conditionalFormatting sqref="E155">
    <cfRule type="expression" dxfId="10757" priority="3591">
      <formula>AND(IF(OR($Q155=1,$Q155=2),1,0),IF($X155&lt;=20,1,0))</formula>
    </cfRule>
    <cfRule type="expression" dxfId="10756" priority="3592">
      <formula>AND(IF($Q155=2,1,0),IF($X155&lt;30,1,0))</formula>
    </cfRule>
    <cfRule type="expression" dxfId="10755" priority="3593">
      <formula>AND(IF($Q155=3,1,0),IF($X155&lt;30,1,0))</formula>
    </cfRule>
    <cfRule type="expression" dxfId="10754" priority="3594">
      <formula>AND(IF($Q155=3,1,IF($Q155=4,1,0)),IF($F155&lt;=85,1,0))</formula>
    </cfRule>
  </conditionalFormatting>
  <conditionalFormatting sqref="X155">
    <cfRule type="expression" dxfId="10753" priority="3587">
      <formula>AND(IF(OR($Q155=1,$Q155=2),1,0),IF($X155&lt;=20,1,0))</formula>
    </cfRule>
    <cfRule type="expression" dxfId="10752" priority="3588">
      <formula>AND(IF($Q155=2,1,0),IF($X155&lt;30,1,0))</formula>
    </cfRule>
    <cfRule type="expression" dxfId="10751" priority="3589">
      <formula>AND(IF($Q155=3,1,0),IF($X155&lt;30,1,0))</formula>
    </cfRule>
    <cfRule type="expression" dxfId="10750" priority="3590">
      <formula>AND(IF($Q155=3,1,IF($Q155=4,1,0)),IF($F155&lt;=85,1,0))</formula>
    </cfRule>
  </conditionalFormatting>
  <conditionalFormatting sqref="AI155">
    <cfRule type="expression" dxfId="10749" priority="3583">
      <formula>AND(IF(OR($Q155=1,$Q155=2),1,0),IF($X155&lt;=20,1,0))</formula>
    </cfRule>
    <cfRule type="expression" dxfId="10748" priority="3584">
      <formula>AND(IF($Q155=2,1,0),IF($X155&lt;30,1,0))</formula>
    </cfRule>
    <cfRule type="expression" dxfId="10747" priority="3585">
      <formula>AND(IF($Q155=3,1,0),IF($X155&lt;30,1,0))</formula>
    </cfRule>
    <cfRule type="expression" dxfId="10746" priority="3586">
      <formula>AND(IF($Q155=3,1,IF($Q155=4,1,0)),IF($F155&lt;=85,1,0))</formula>
    </cfRule>
  </conditionalFormatting>
  <conditionalFormatting sqref="AV156">
    <cfRule type="expression" dxfId="10745" priority="3581">
      <formula>AV156="X"</formula>
    </cfRule>
    <cfRule type="expression" dxfId="10744" priority="3582">
      <formula>AV156="후보"</formula>
    </cfRule>
  </conditionalFormatting>
  <conditionalFormatting sqref="AC156">
    <cfRule type="cellIs" dxfId="10743" priority="3579" operator="greaterThan">
      <formula>0.9</formula>
    </cfRule>
    <cfRule type="cellIs" dxfId="10742" priority="3580" operator="greaterThan">
      <formula>0.85</formula>
    </cfRule>
  </conditionalFormatting>
  <conditionalFormatting sqref="N156">
    <cfRule type="cellIs" dxfId="10741" priority="3577" operator="greaterThan">
      <formula>0.9</formula>
    </cfRule>
    <cfRule type="cellIs" dxfId="10740" priority="3578" operator="greaterThan">
      <formula>0.85</formula>
    </cfRule>
  </conditionalFormatting>
  <conditionalFormatting sqref="E156">
    <cfRule type="expression" dxfId="10739" priority="3573">
      <formula>AND(IF(OR($Q156=1,$Q156=2),1,0),IF($X156&lt;=20,1,0))</formula>
    </cfRule>
    <cfRule type="expression" dxfId="10738" priority="3574">
      <formula>AND(IF($Q156=2,1,0),IF($X156&lt;30,1,0))</formula>
    </cfRule>
    <cfRule type="expression" dxfId="10737" priority="3575">
      <formula>AND(IF($Q156=3,1,0),IF($X156&lt;30,1,0))</formula>
    </cfRule>
    <cfRule type="expression" dxfId="10736" priority="3576">
      <formula>AND(IF($Q156=3,1,IF($Q156=4,1,0)),IF($F156&lt;=85,1,0))</formula>
    </cfRule>
  </conditionalFormatting>
  <conditionalFormatting sqref="X156">
    <cfRule type="expression" dxfId="10735" priority="3569">
      <formula>AND(IF(OR($Q156=1,$Q156=2),1,0),IF($X156&lt;=20,1,0))</formula>
    </cfRule>
    <cfRule type="expression" dxfId="10734" priority="3570">
      <formula>AND(IF($Q156=2,1,0),IF($X156&lt;30,1,0))</formula>
    </cfRule>
    <cfRule type="expression" dxfId="10733" priority="3571">
      <formula>AND(IF($Q156=3,1,0),IF($X156&lt;30,1,0))</formula>
    </cfRule>
    <cfRule type="expression" dxfId="10732" priority="3572">
      <formula>AND(IF($Q156=3,1,IF($Q156=4,1,0)),IF($F156&lt;=85,1,0))</formula>
    </cfRule>
  </conditionalFormatting>
  <conditionalFormatting sqref="AI156">
    <cfRule type="expression" dxfId="10731" priority="3565">
      <formula>AND(IF(OR($Q156=1,$Q156=2),1,0),IF($X156&lt;=20,1,0))</formula>
    </cfRule>
    <cfRule type="expression" dxfId="10730" priority="3566">
      <formula>AND(IF($Q156=2,1,0),IF($X156&lt;30,1,0))</formula>
    </cfRule>
    <cfRule type="expression" dxfId="10729" priority="3567">
      <formula>AND(IF($Q156=3,1,0),IF($X156&lt;30,1,0))</formula>
    </cfRule>
    <cfRule type="expression" dxfId="10728" priority="3568">
      <formula>AND(IF($Q156=3,1,IF($Q156=4,1,0)),IF($F156&lt;=85,1,0))</formula>
    </cfRule>
  </conditionalFormatting>
  <conditionalFormatting sqref="AV157">
    <cfRule type="expression" dxfId="10727" priority="3563">
      <formula>AV157="X"</formula>
    </cfRule>
    <cfRule type="expression" dxfId="10726" priority="3564">
      <formula>AV157="후보"</formula>
    </cfRule>
  </conditionalFormatting>
  <conditionalFormatting sqref="AC157">
    <cfRule type="cellIs" dxfId="10725" priority="3561" operator="greaterThan">
      <formula>0.9</formula>
    </cfRule>
    <cfRule type="cellIs" dxfId="10724" priority="3562" operator="greaterThan">
      <formula>0.85</formula>
    </cfRule>
  </conditionalFormatting>
  <conditionalFormatting sqref="N157">
    <cfRule type="cellIs" dxfId="10723" priority="3559" operator="greaterThan">
      <formula>0.9</formula>
    </cfRule>
    <cfRule type="cellIs" dxfId="10722" priority="3560" operator="greaterThan">
      <formula>0.85</formula>
    </cfRule>
  </conditionalFormatting>
  <conditionalFormatting sqref="E157">
    <cfRule type="expression" dxfId="10721" priority="3555">
      <formula>AND(IF(OR($Q157=1,$Q157=2),1,0),IF($X157&lt;=20,1,0))</formula>
    </cfRule>
    <cfRule type="expression" dxfId="10720" priority="3556">
      <formula>AND(IF($Q157=2,1,0),IF($X157&lt;30,1,0))</formula>
    </cfRule>
    <cfRule type="expression" dxfId="10719" priority="3557">
      <formula>AND(IF($Q157=3,1,0),IF($X157&lt;30,1,0))</formula>
    </cfRule>
    <cfRule type="expression" dxfId="10718" priority="3558">
      <formula>AND(IF($Q157=3,1,IF($Q157=4,1,0)),IF($F157&lt;=85,1,0))</formula>
    </cfRule>
  </conditionalFormatting>
  <conditionalFormatting sqref="X157">
    <cfRule type="expression" dxfId="10717" priority="3551">
      <formula>AND(IF(OR($Q157=1,$Q157=2),1,0),IF($X157&lt;=20,1,0))</formula>
    </cfRule>
    <cfRule type="expression" dxfId="10716" priority="3552">
      <formula>AND(IF($Q157=2,1,0),IF($X157&lt;30,1,0))</formula>
    </cfRule>
    <cfRule type="expression" dxfId="10715" priority="3553">
      <formula>AND(IF($Q157=3,1,0),IF($X157&lt;30,1,0))</formula>
    </cfRule>
    <cfRule type="expression" dxfId="10714" priority="3554">
      <formula>AND(IF($Q157=3,1,IF($Q157=4,1,0)),IF($F157&lt;=85,1,0))</formula>
    </cfRule>
  </conditionalFormatting>
  <conditionalFormatting sqref="AI157">
    <cfRule type="expression" dxfId="10713" priority="3547">
      <formula>AND(IF(OR($Q157=1,$Q157=2),1,0),IF($X157&lt;=20,1,0))</formula>
    </cfRule>
    <cfRule type="expression" dxfId="10712" priority="3548">
      <formula>AND(IF($Q157=2,1,0),IF($X157&lt;30,1,0))</formula>
    </cfRule>
    <cfRule type="expression" dxfId="10711" priority="3549">
      <formula>AND(IF($Q157=3,1,0),IF($X157&lt;30,1,0))</formula>
    </cfRule>
    <cfRule type="expression" dxfId="10710" priority="3550">
      <formula>AND(IF($Q157=3,1,IF($Q157=4,1,0)),IF($F157&lt;=85,1,0))</formula>
    </cfRule>
  </conditionalFormatting>
  <conditionalFormatting sqref="AV158">
    <cfRule type="expression" dxfId="10709" priority="3545">
      <formula>AV158="X"</formula>
    </cfRule>
    <cfRule type="expression" dxfId="10708" priority="3546">
      <formula>AV158="후보"</formula>
    </cfRule>
  </conditionalFormatting>
  <conditionalFormatting sqref="AC158">
    <cfRule type="cellIs" dxfId="10707" priority="3543" operator="greaterThan">
      <formula>0.9</formula>
    </cfRule>
    <cfRule type="cellIs" dxfId="10706" priority="3544" operator="greaterThan">
      <formula>0.85</formula>
    </cfRule>
  </conditionalFormatting>
  <conditionalFormatting sqref="N158">
    <cfRule type="cellIs" dxfId="10705" priority="3541" operator="greaterThan">
      <formula>0.9</formula>
    </cfRule>
    <cfRule type="cellIs" dxfId="10704" priority="3542" operator="greaterThan">
      <formula>0.85</formula>
    </cfRule>
  </conditionalFormatting>
  <conditionalFormatting sqref="E158">
    <cfRule type="expression" dxfId="10703" priority="3537">
      <formula>AND(IF(OR($Q158=1,$Q158=2),1,0),IF($X158&lt;=20,1,0))</formula>
    </cfRule>
    <cfRule type="expression" dxfId="10702" priority="3538">
      <formula>AND(IF($Q158=2,1,0),IF($X158&lt;30,1,0))</formula>
    </cfRule>
    <cfRule type="expression" dxfId="10701" priority="3539">
      <formula>AND(IF($Q158=3,1,0),IF($X158&lt;30,1,0))</formula>
    </cfRule>
    <cfRule type="expression" dxfId="10700" priority="3540">
      <formula>AND(IF($Q158=3,1,IF($Q158=4,1,0)),IF($F158&lt;=85,1,0))</formula>
    </cfRule>
  </conditionalFormatting>
  <conditionalFormatting sqref="X158">
    <cfRule type="expression" dxfId="10699" priority="3533">
      <formula>AND(IF(OR($Q158=1,$Q158=2),1,0),IF($X158&lt;=20,1,0))</formula>
    </cfRule>
    <cfRule type="expression" dxfId="10698" priority="3534">
      <formula>AND(IF($Q158=2,1,0),IF($X158&lt;30,1,0))</formula>
    </cfRule>
    <cfRule type="expression" dxfId="10697" priority="3535">
      <formula>AND(IF($Q158=3,1,0),IF($X158&lt;30,1,0))</formula>
    </cfRule>
    <cfRule type="expression" dxfId="10696" priority="3536">
      <formula>AND(IF($Q158=3,1,IF($Q158=4,1,0)),IF($F158&lt;=85,1,0))</formula>
    </cfRule>
  </conditionalFormatting>
  <conditionalFormatting sqref="AI158">
    <cfRule type="expression" dxfId="10695" priority="3529">
      <formula>AND(IF(OR($Q158=1,$Q158=2),1,0),IF($X158&lt;=20,1,0))</formula>
    </cfRule>
    <cfRule type="expression" dxfId="10694" priority="3530">
      <formula>AND(IF($Q158=2,1,0),IF($X158&lt;30,1,0))</formula>
    </cfRule>
    <cfRule type="expression" dxfId="10693" priority="3531">
      <formula>AND(IF($Q158=3,1,0),IF($X158&lt;30,1,0))</formula>
    </cfRule>
    <cfRule type="expression" dxfId="10692" priority="3532">
      <formula>AND(IF($Q158=3,1,IF($Q158=4,1,0)),IF($F158&lt;=85,1,0))</formula>
    </cfRule>
  </conditionalFormatting>
  <conditionalFormatting sqref="AV159">
    <cfRule type="expression" dxfId="10691" priority="3527">
      <formula>AV159="X"</formula>
    </cfRule>
    <cfRule type="expression" dxfId="10690" priority="3528">
      <formula>AV159="후보"</formula>
    </cfRule>
  </conditionalFormatting>
  <conditionalFormatting sqref="AC159">
    <cfRule type="cellIs" dxfId="10689" priority="3525" operator="greaterThan">
      <formula>0.9</formula>
    </cfRule>
    <cfRule type="cellIs" dxfId="10688" priority="3526" operator="greaterThan">
      <formula>0.85</formula>
    </cfRule>
  </conditionalFormatting>
  <conditionalFormatting sqref="N159">
    <cfRule type="cellIs" dxfId="10687" priority="3523" operator="greaterThan">
      <formula>0.9</formula>
    </cfRule>
    <cfRule type="cellIs" dxfId="10686" priority="3524" operator="greaterThan">
      <formula>0.85</formula>
    </cfRule>
  </conditionalFormatting>
  <conditionalFormatting sqref="E159">
    <cfRule type="expression" dxfId="10685" priority="3519">
      <formula>AND(IF(OR($Q159=1,$Q159=2),1,0),IF($X159&lt;=20,1,0))</formula>
    </cfRule>
    <cfRule type="expression" dxfId="10684" priority="3520">
      <formula>AND(IF($Q159=2,1,0),IF($X159&lt;30,1,0))</formula>
    </cfRule>
    <cfRule type="expression" dxfId="10683" priority="3521">
      <formula>AND(IF($Q159=3,1,0),IF($X159&lt;30,1,0))</formula>
    </cfRule>
    <cfRule type="expression" dxfId="10682" priority="3522">
      <formula>AND(IF($Q159=3,1,IF($Q159=4,1,0)),IF($F159&lt;=85,1,0))</formula>
    </cfRule>
  </conditionalFormatting>
  <conditionalFormatting sqref="X159">
    <cfRule type="expression" dxfId="10681" priority="3515">
      <formula>AND(IF(OR($Q159=1,$Q159=2),1,0),IF($X159&lt;=20,1,0))</formula>
    </cfRule>
    <cfRule type="expression" dxfId="10680" priority="3516">
      <formula>AND(IF($Q159=2,1,0),IF($X159&lt;30,1,0))</formula>
    </cfRule>
    <cfRule type="expression" dxfId="10679" priority="3517">
      <formula>AND(IF($Q159=3,1,0),IF($X159&lt;30,1,0))</formula>
    </cfRule>
    <cfRule type="expression" dxfId="10678" priority="3518">
      <formula>AND(IF($Q159=3,1,IF($Q159=4,1,0)),IF($F159&lt;=85,1,0))</formula>
    </cfRule>
  </conditionalFormatting>
  <conditionalFormatting sqref="AI159">
    <cfRule type="expression" dxfId="10677" priority="3511">
      <formula>AND(IF(OR($Q159=1,$Q159=2),1,0),IF($X159&lt;=20,1,0))</formula>
    </cfRule>
    <cfRule type="expression" dxfId="10676" priority="3512">
      <formula>AND(IF($Q159=2,1,0),IF($X159&lt;30,1,0))</formula>
    </cfRule>
    <cfRule type="expression" dxfId="10675" priority="3513">
      <formula>AND(IF($Q159=3,1,0),IF($X159&lt;30,1,0))</formula>
    </cfRule>
    <cfRule type="expression" dxfId="10674" priority="3514">
      <formula>AND(IF($Q159=3,1,IF($Q159=4,1,0)),IF($F159&lt;=85,1,0))</formula>
    </cfRule>
  </conditionalFormatting>
  <conditionalFormatting sqref="AV160">
    <cfRule type="expression" dxfId="10673" priority="3509">
      <formula>AV160="X"</formula>
    </cfRule>
    <cfRule type="expression" dxfId="10672" priority="3510">
      <formula>AV160="후보"</formula>
    </cfRule>
  </conditionalFormatting>
  <conditionalFormatting sqref="AC160">
    <cfRule type="cellIs" dxfId="10671" priority="3507" operator="greaterThan">
      <formula>0.9</formula>
    </cfRule>
    <cfRule type="cellIs" dxfId="10670" priority="3508" operator="greaterThan">
      <formula>0.85</formula>
    </cfRule>
  </conditionalFormatting>
  <conditionalFormatting sqref="N160">
    <cfRule type="cellIs" dxfId="10669" priority="3505" operator="greaterThan">
      <formula>0.9</formula>
    </cfRule>
    <cfRule type="cellIs" dxfId="10668" priority="3506" operator="greaterThan">
      <formula>0.85</formula>
    </cfRule>
  </conditionalFormatting>
  <conditionalFormatting sqref="E160">
    <cfRule type="expression" dxfId="10667" priority="3501">
      <formula>AND(IF(OR($Q160=1,$Q160=2),1,0),IF($X160&lt;=20,1,0))</formula>
    </cfRule>
    <cfRule type="expression" dxfId="10666" priority="3502">
      <formula>AND(IF($Q160=2,1,0),IF($X160&lt;30,1,0))</formula>
    </cfRule>
    <cfRule type="expression" dxfId="10665" priority="3503">
      <formula>AND(IF($Q160=3,1,0),IF($X160&lt;30,1,0))</formula>
    </cfRule>
    <cfRule type="expression" dxfId="10664" priority="3504">
      <formula>AND(IF($Q160=3,1,IF($Q160=4,1,0)),IF($F160&lt;=85,1,0))</formula>
    </cfRule>
  </conditionalFormatting>
  <conditionalFormatting sqref="X160">
    <cfRule type="expression" dxfId="10663" priority="3497">
      <formula>AND(IF(OR($Q160=1,$Q160=2),1,0),IF($X160&lt;=20,1,0))</formula>
    </cfRule>
    <cfRule type="expression" dxfId="10662" priority="3498">
      <formula>AND(IF($Q160=2,1,0),IF($X160&lt;30,1,0))</formula>
    </cfRule>
    <cfRule type="expression" dxfId="10661" priority="3499">
      <formula>AND(IF($Q160=3,1,0),IF($X160&lt;30,1,0))</formula>
    </cfRule>
    <cfRule type="expression" dxfId="10660" priority="3500">
      <formula>AND(IF($Q160=3,1,IF($Q160=4,1,0)),IF($F160&lt;=85,1,0))</formula>
    </cfRule>
  </conditionalFormatting>
  <conditionalFormatting sqref="AI160">
    <cfRule type="expression" dxfId="10659" priority="3493">
      <formula>AND(IF(OR($Q160=1,$Q160=2),1,0),IF($X160&lt;=20,1,0))</formula>
    </cfRule>
    <cfRule type="expression" dxfId="10658" priority="3494">
      <formula>AND(IF($Q160=2,1,0),IF($X160&lt;30,1,0))</formula>
    </cfRule>
    <cfRule type="expression" dxfId="10657" priority="3495">
      <formula>AND(IF($Q160=3,1,0),IF($X160&lt;30,1,0))</formula>
    </cfRule>
    <cfRule type="expression" dxfId="10656" priority="3496">
      <formula>AND(IF($Q160=3,1,IF($Q160=4,1,0)),IF($F160&lt;=85,1,0))</formula>
    </cfRule>
  </conditionalFormatting>
  <conditionalFormatting sqref="AV161">
    <cfRule type="expression" dxfId="10655" priority="3491">
      <formula>AV161="X"</formula>
    </cfRule>
    <cfRule type="expression" dxfId="10654" priority="3492">
      <formula>AV161="후보"</formula>
    </cfRule>
  </conditionalFormatting>
  <conditionalFormatting sqref="AC161">
    <cfRule type="cellIs" dxfId="10653" priority="3489" operator="greaterThan">
      <formula>0.9</formula>
    </cfRule>
    <cfRule type="cellIs" dxfId="10652" priority="3490" operator="greaterThan">
      <formula>0.85</formula>
    </cfRule>
  </conditionalFormatting>
  <conditionalFormatting sqref="N161">
    <cfRule type="cellIs" dxfId="10651" priority="3487" operator="greaterThan">
      <formula>0.9</formula>
    </cfRule>
    <cfRule type="cellIs" dxfId="10650" priority="3488" operator="greaterThan">
      <formula>0.85</formula>
    </cfRule>
  </conditionalFormatting>
  <conditionalFormatting sqref="E161">
    <cfRule type="expression" dxfId="10649" priority="3483">
      <formula>AND(IF(OR($Q161=1,$Q161=2),1,0),IF($X161&lt;=20,1,0))</formula>
    </cfRule>
    <cfRule type="expression" dxfId="10648" priority="3484">
      <formula>AND(IF($Q161=2,1,0),IF($X161&lt;30,1,0))</formula>
    </cfRule>
    <cfRule type="expression" dxfId="10647" priority="3485">
      <formula>AND(IF($Q161=3,1,0),IF($X161&lt;30,1,0))</formula>
    </cfRule>
    <cfRule type="expression" dxfId="10646" priority="3486">
      <formula>AND(IF($Q161=3,1,IF($Q161=4,1,0)),IF($F161&lt;=85,1,0))</formula>
    </cfRule>
  </conditionalFormatting>
  <conditionalFormatting sqref="X161">
    <cfRule type="expression" dxfId="10645" priority="3479">
      <formula>AND(IF(OR($Q161=1,$Q161=2),1,0),IF($X161&lt;=20,1,0))</formula>
    </cfRule>
    <cfRule type="expression" dxfId="10644" priority="3480">
      <formula>AND(IF($Q161=2,1,0),IF($X161&lt;30,1,0))</formula>
    </cfRule>
    <cfRule type="expression" dxfId="10643" priority="3481">
      <formula>AND(IF($Q161=3,1,0),IF($X161&lt;30,1,0))</formula>
    </cfRule>
    <cfRule type="expression" dxfId="10642" priority="3482">
      <formula>AND(IF($Q161=3,1,IF($Q161=4,1,0)),IF($F161&lt;=85,1,0))</formula>
    </cfRule>
  </conditionalFormatting>
  <conditionalFormatting sqref="AI161">
    <cfRule type="expression" dxfId="10641" priority="3475">
      <formula>AND(IF(OR($Q161=1,$Q161=2),1,0),IF($X161&lt;=20,1,0))</formula>
    </cfRule>
    <cfRule type="expression" dxfId="10640" priority="3476">
      <formula>AND(IF($Q161=2,1,0),IF($X161&lt;30,1,0))</formula>
    </cfRule>
    <cfRule type="expression" dxfId="10639" priority="3477">
      <formula>AND(IF($Q161=3,1,0),IF($X161&lt;30,1,0))</formula>
    </cfRule>
    <cfRule type="expression" dxfId="10638" priority="3478">
      <formula>AND(IF($Q161=3,1,IF($Q161=4,1,0)),IF($F161&lt;=85,1,0))</formula>
    </cfRule>
  </conditionalFormatting>
  <conditionalFormatting sqref="AV162">
    <cfRule type="expression" dxfId="10637" priority="3473">
      <formula>AV162="X"</formula>
    </cfRule>
    <cfRule type="expression" dxfId="10636" priority="3474">
      <formula>AV162="후보"</formula>
    </cfRule>
  </conditionalFormatting>
  <conditionalFormatting sqref="AC162">
    <cfRule type="cellIs" dxfId="10635" priority="3471" operator="greaterThan">
      <formula>0.9</formula>
    </cfRule>
    <cfRule type="cellIs" dxfId="10634" priority="3472" operator="greaterThan">
      <formula>0.85</formula>
    </cfRule>
  </conditionalFormatting>
  <conditionalFormatting sqref="N162">
    <cfRule type="cellIs" dxfId="10633" priority="3469" operator="greaterThan">
      <formula>0.9</formula>
    </cfRule>
    <cfRule type="cellIs" dxfId="10632" priority="3470" operator="greaterThan">
      <formula>0.85</formula>
    </cfRule>
  </conditionalFormatting>
  <conditionalFormatting sqref="E162">
    <cfRule type="expression" dxfId="10631" priority="3465">
      <formula>AND(IF(OR($Q162=1,$Q162=2),1,0),IF($X162&lt;=20,1,0))</formula>
    </cfRule>
    <cfRule type="expression" dxfId="10630" priority="3466">
      <formula>AND(IF($Q162=2,1,0),IF($X162&lt;30,1,0))</formula>
    </cfRule>
    <cfRule type="expression" dxfId="10629" priority="3467">
      <formula>AND(IF($Q162=3,1,0),IF($X162&lt;30,1,0))</formula>
    </cfRule>
    <cfRule type="expression" dxfId="10628" priority="3468">
      <formula>AND(IF($Q162=3,1,IF($Q162=4,1,0)),IF($F162&lt;=85,1,0))</formula>
    </cfRule>
  </conditionalFormatting>
  <conditionalFormatting sqref="X162">
    <cfRule type="expression" dxfId="10627" priority="3461">
      <formula>AND(IF(OR($Q162=1,$Q162=2),1,0),IF($X162&lt;=20,1,0))</formula>
    </cfRule>
    <cfRule type="expression" dxfId="10626" priority="3462">
      <formula>AND(IF($Q162=2,1,0),IF($X162&lt;30,1,0))</formula>
    </cfRule>
    <cfRule type="expression" dxfId="10625" priority="3463">
      <formula>AND(IF($Q162=3,1,0),IF($X162&lt;30,1,0))</formula>
    </cfRule>
    <cfRule type="expression" dxfId="10624" priority="3464">
      <formula>AND(IF($Q162=3,1,IF($Q162=4,1,0)),IF($F162&lt;=85,1,0))</formula>
    </cfRule>
  </conditionalFormatting>
  <conditionalFormatting sqref="AI162">
    <cfRule type="expression" dxfId="10623" priority="3457">
      <formula>AND(IF(OR($Q162=1,$Q162=2),1,0),IF($X162&lt;=20,1,0))</formula>
    </cfRule>
    <cfRule type="expression" dxfId="10622" priority="3458">
      <formula>AND(IF($Q162=2,1,0),IF($X162&lt;30,1,0))</formula>
    </cfRule>
    <cfRule type="expression" dxfId="10621" priority="3459">
      <formula>AND(IF($Q162=3,1,0),IF($X162&lt;30,1,0))</formula>
    </cfRule>
    <cfRule type="expression" dxfId="10620" priority="3460">
      <formula>AND(IF($Q162=3,1,IF($Q162=4,1,0)),IF($F162&lt;=85,1,0))</formula>
    </cfRule>
  </conditionalFormatting>
  <conditionalFormatting sqref="AV163">
    <cfRule type="expression" dxfId="10619" priority="3455">
      <formula>AV163="X"</formula>
    </cfRule>
    <cfRule type="expression" dxfId="10618" priority="3456">
      <formula>AV163="후보"</formula>
    </cfRule>
  </conditionalFormatting>
  <conditionalFormatting sqref="AC163">
    <cfRule type="cellIs" dxfId="10617" priority="3453" operator="greaterThan">
      <formula>0.9</formula>
    </cfRule>
    <cfRule type="cellIs" dxfId="10616" priority="3454" operator="greaterThan">
      <formula>0.85</formula>
    </cfRule>
  </conditionalFormatting>
  <conditionalFormatting sqref="N163">
    <cfRule type="cellIs" dxfId="10615" priority="3451" operator="greaterThan">
      <formula>0.9</formula>
    </cfRule>
    <cfRule type="cellIs" dxfId="10614" priority="3452" operator="greaterThan">
      <formula>0.85</formula>
    </cfRule>
  </conditionalFormatting>
  <conditionalFormatting sqref="E163">
    <cfRule type="expression" dxfId="10613" priority="3447">
      <formula>AND(IF(OR($Q163=1,$Q163=2),1,0),IF($X163&lt;=20,1,0))</formula>
    </cfRule>
    <cfRule type="expression" dxfId="10612" priority="3448">
      <formula>AND(IF($Q163=2,1,0),IF($X163&lt;30,1,0))</formula>
    </cfRule>
    <cfRule type="expression" dxfId="10611" priority="3449">
      <formula>AND(IF($Q163=3,1,0),IF($X163&lt;30,1,0))</formula>
    </cfRule>
    <cfRule type="expression" dxfId="10610" priority="3450">
      <formula>AND(IF($Q163=3,1,IF($Q163=4,1,0)),IF($F163&lt;=85,1,0))</formula>
    </cfRule>
  </conditionalFormatting>
  <conditionalFormatting sqref="X163">
    <cfRule type="expression" dxfId="10609" priority="3443">
      <formula>AND(IF(OR($Q163=1,$Q163=2),1,0),IF($X163&lt;=20,1,0))</formula>
    </cfRule>
    <cfRule type="expression" dxfId="10608" priority="3444">
      <formula>AND(IF($Q163=2,1,0),IF($X163&lt;30,1,0))</formula>
    </cfRule>
    <cfRule type="expression" dxfId="10607" priority="3445">
      <formula>AND(IF($Q163=3,1,0),IF($X163&lt;30,1,0))</formula>
    </cfRule>
    <cfRule type="expression" dxfId="10606" priority="3446">
      <formula>AND(IF($Q163=3,1,IF($Q163=4,1,0)),IF($F163&lt;=85,1,0))</formula>
    </cfRule>
  </conditionalFormatting>
  <conditionalFormatting sqref="AI163">
    <cfRule type="expression" dxfId="10605" priority="3439">
      <formula>AND(IF(OR($Q163=1,$Q163=2),1,0),IF($X163&lt;=20,1,0))</formula>
    </cfRule>
    <cfRule type="expression" dxfId="10604" priority="3440">
      <formula>AND(IF($Q163=2,1,0),IF($X163&lt;30,1,0))</formula>
    </cfRule>
    <cfRule type="expression" dxfId="10603" priority="3441">
      <formula>AND(IF($Q163=3,1,0),IF($X163&lt;30,1,0))</formula>
    </cfRule>
    <cfRule type="expression" dxfId="10602" priority="3442">
      <formula>AND(IF($Q163=3,1,IF($Q163=4,1,0)),IF($F163&lt;=85,1,0))</formula>
    </cfRule>
  </conditionalFormatting>
  <conditionalFormatting sqref="AV164">
    <cfRule type="expression" dxfId="10601" priority="3437">
      <formula>AV164="X"</formula>
    </cfRule>
    <cfRule type="expression" dxfId="10600" priority="3438">
      <formula>AV164="후보"</formula>
    </cfRule>
  </conditionalFormatting>
  <conditionalFormatting sqref="AC164">
    <cfRule type="cellIs" dxfId="10599" priority="3435" operator="greaterThan">
      <formula>0.9</formula>
    </cfRule>
    <cfRule type="cellIs" dxfId="10598" priority="3436" operator="greaterThan">
      <formula>0.85</formula>
    </cfRule>
  </conditionalFormatting>
  <conditionalFormatting sqref="N164">
    <cfRule type="cellIs" dxfId="10597" priority="3433" operator="greaterThan">
      <formula>0.9</formula>
    </cfRule>
    <cfRule type="cellIs" dxfId="10596" priority="3434" operator="greaterThan">
      <formula>0.85</formula>
    </cfRule>
  </conditionalFormatting>
  <conditionalFormatting sqref="E164">
    <cfRule type="expression" dxfId="10595" priority="3429">
      <formula>AND(IF(OR($Q164=1,$Q164=2),1,0),IF($X164&lt;=20,1,0))</formula>
    </cfRule>
    <cfRule type="expression" dxfId="10594" priority="3430">
      <formula>AND(IF($Q164=2,1,0),IF($X164&lt;30,1,0))</formula>
    </cfRule>
    <cfRule type="expression" dxfId="10593" priority="3431">
      <formula>AND(IF($Q164=3,1,0),IF($X164&lt;30,1,0))</formula>
    </cfRule>
    <cfRule type="expression" dxfId="10592" priority="3432">
      <formula>AND(IF($Q164=3,1,IF($Q164=4,1,0)),IF($F164&lt;=85,1,0))</formula>
    </cfRule>
  </conditionalFormatting>
  <conditionalFormatting sqref="X164">
    <cfRule type="expression" dxfId="10591" priority="3425">
      <formula>AND(IF(OR($Q164=1,$Q164=2),1,0),IF($X164&lt;=20,1,0))</formula>
    </cfRule>
    <cfRule type="expression" dxfId="10590" priority="3426">
      <formula>AND(IF($Q164=2,1,0),IF($X164&lt;30,1,0))</formula>
    </cfRule>
    <cfRule type="expression" dxfId="10589" priority="3427">
      <formula>AND(IF($Q164=3,1,0),IF($X164&lt;30,1,0))</formula>
    </cfRule>
    <cfRule type="expression" dxfId="10588" priority="3428">
      <formula>AND(IF($Q164=3,1,IF($Q164=4,1,0)),IF($F164&lt;=85,1,0))</formula>
    </cfRule>
  </conditionalFormatting>
  <conditionalFormatting sqref="AI164">
    <cfRule type="expression" dxfId="10587" priority="3421">
      <formula>AND(IF(OR($Q164=1,$Q164=2),1,0),IF($X164&lt;=20,1,0))</formula>
    </cfRule>
    <cfRule type="expression" dxfId="10586" priority="3422">
      <formula>AND(IF($Q164=2,1,0),IF($X164&lt;30,1,0))</formula>
    </cfRule>
    <cfRule type="expression" dxfId="10585" priority="3423">
      <formula>AND(IF($Q164=3,1,0),IF($X164&lt;30,1,0))</formula>
    </cfRule>
    <cfRule type="expression" dxfId="10584" priority="3424">
      <formula>AND(IF($Q164=3,1,IF($Q164=4,1,0)),IF($F164&lt;=85,1,0))</formula>
    </cfRule>
  </conditionalFormatting>
  <conditionalFormatting sqref="AV165">
    <cfRule type="expression" dxfId="10583" priority="3419">
      <formula>AV165="X"</formula>
    </cfRule>
    <cfRule type="expression" dxfId="10582" priority="3420">
      <formula>AV165="후보"</formula>
    </cfRule>
  </conditionalFormatting>
  <conditionalFormatting sqref="AC165">
    <cfRule type="cellIs" dxfId="10581" priority="3417" operator="greaterThan">
      <formula>0.9</formula>
    </cfRule>
    <cfRule type="cellIs" dxfId="10580" priority="3418" operator="greaterThan">
      <formula>0.85</formula>
    </cfRule>
  </conditionalFormatting>
  <conditionalFormatting sqref="N165">
    <cfRule type="cellIs" dxfId="10579" priority="3415" operator="greaterThan">
      <formula>0.9</formula>
    </cfRule>
    <cfRule type="cellIs" dxfId="10578" priority="3416" operator="greaterThan">
      <formula>0.85</formula>
    </cfRule>
  </conditionalFormatting>
  <conditionalFormatting sqref="E165">
    <cfRule type="expression" dxfId="10577" priority="3411">
      <formula>AND(IF(OR($Q165=1,$Q165=2),1,0),IF($X165&lt;=20,1,0))</formula>
    </cfRule>
    <cfRule type="expression" dxfId="10576" priority="3412">
      <formula>AND(IF($Q165=2,1,0),IF($X165&lt;30,1,0))</formula>
    </cfRule>
    <cfRule type="expression" dxfId="10575" priority="3413">
      <formula>AND(IF($Q165=3,1,0),IF($X165&lt;30,1,0))</formula>
    </cfRule>
    <cfRule type="expression" dxfId="10574" priority="3414">
      <formula>AND(IF($Q165=3,1,IF($Q165=4,1,0)),IF($F165&lt;=85,1,0))</formula>
    </cfRule>
  </conditionalFormatting>
  <conditionalFormatting sqref="X165">
    <cfRule type="expression" dxfId="10573" priority="3407">
      <formula>AND(IF(OR($Q165=1,$Q165=2),1,0),IF($X165&lt;=20,1,0))</formula>
    </cfRule>
    <cfRule type="expression" dxfId="10572" priority="3408">
      <formula>AND(IF($Q165=2,1,0),IF($X165&lt;30,1,0))</formula>
    </cfRule>
    <cfRule type="expression" dxfId="10571" priority="3409">
      <formula>AND(IF($Q165=3,1,0),IF($X165&lt;30,1,0))</formula>
    </cfRule>
    <cfRule type="expression" dxfId="10570" priority="3410">
      <formula>AND(IF($Q165=3,1,IF($Q165=4,1,0)),IF($F165&lt;=85,1,0))</formula>
    </cfRule>
  </conditionalFormatting>
  <conditionalFormatting sqref="AI165">
    <cfRule type="expression" dxfId="10569" priority="3403">
      <formula>AND(IF(OR($Q165=1,$Q165=2),1,0),IF($X165&lt;=20,1,0))</formula>
    </cfRule>
    <cfRule type="expression" dxfId="10568" priority="3404">
      <formula>AND(IF($Q165=2,1,0),IF($X165&lt;30,1,0))</formula>
    </cfRule>
    <cfRule type="expression" dxfId="10567" priority="3405">
      <formula>AND(IF($Q165=3,1,0),IF($X165&lt;30,1,0))</formula>
    </cfRule>
    <cfRule type="expression" dxfId="10566" priority="3406">
      <formula>AND(IF($Q165=3,1,IF($Q165=4,1,0)),IF($F165&lt;=85,1,0))</formula>
    </cfRule>
  </conditionalFormatting>
  <conditionalFormatting sqref="AV166">
    <cfRule type="expression" dxfId="10565" priority="3401">
      <formula>AV166="X"</formula>
    </cfRule>
    <cfRule type="expression" dxfId="10564" priority="3402">
      <formula>AV166="후보"</formula>
    </cfRule>
  </conditionalFormatting>
  <conditionalFormatting sqref="AC166">
    <cfRule type="cellIs" dxfId="10563" priority="3399" operator="greaterThan">
      <formula>0.9</formula>
    </cfRule>
    <cfRule type="cellIs" dxfId="10562" priority="3400" operator="greaterThan">
      <formula>0.85</formula>
    </cfRule>
  </conditionalFormatting>
  <conditionalFormatting sqref="N166">
    <cfRule type="cellIs" dxfId="10561" priority="3397" operator="greaterThan">
      <formula>0.9</formula>
    </cfRule>
    <cfRule type="cellIs" dxfId="10560" priority="3398" operator="greaterThan">
      <formula>0.85</formula>
    </cfRule>
  </conditionalFormatting>
  <conditionalFormatting sqref="E166">
    <cfRule type="expression" dxfId="10559" priority="3393">
      <formula>AND(IF(OR($Q166=1,$Q166=2),1,0),IF($X166&lt;=20,1,0))</formula>
    </cfRule>
    <cfRule type="expression" dxfId="10558" priority="3394">
      <formula>AND(IF($Q166=2,1,0),IF($X166&lt;30,1,0))</formula>
    </cfRule>
    <cfRule type="expression" dxfId="10557" priority="3395">
      <formula>AND(IF($Q166=3,1,0),IF($X166&lt;30,1,0))</formula>
    </cfRule>
    <cfRule type="expression" dxfId="10556" priority="3396">
      <formula>AND(IF($Q166=3,1,IF($Q166=4,1,0)),IF($F166&lt;=85,1,0))</formula>
    </cfRule>
  </conditionalFormatting>
  <conditionalFormatting sqref="X166">
    <cfRule type="expression" dxfId="10555" priority="3389">
      <formula>AND(IF(OR($Q166=1,$Q166=2),1,0),IF($X166&lt;=20,1,0))</formula>
    </cfRule>
    <cfRule type="expression" dxfId="10554" priority="3390">
      <formula>AND(IF($Q166=2,1,0),IF($X166&lt;30,1,0))</formula>
    </cfRule>
    <cfRule type="expression" dxfId="10553" priority="3391">
      <formula>AND(IF($Q166=3,1,0),IF($X166&lt;30,1,0))</formula>
    </cfRule>
    <cfRule type="expression" dxfId="10552" priority="3392">
      <formula>AND(IF($Q166=3,1,IF($Q166=4,1,0)),IF($F166&lt;=85,1,0))</formula>
    </cfRule>
  </conditionalFormatting>
  <conditionalFormatting sqref="AI166">
    <cfRule type="expression" dxfId="10551" priority="3385">
      <formula>AND(IF(OR($Q166=1,$Q166=2),1,0),IF($X166&lt;=20,1,0))</formula>
    </cfRule>
    <cfRule type="expression" dxfId="10550" priority="3386">
      <formula>AND(IF($Q166=2,1,0),IF($X166&lt;30,1,0))</formula>
    </cfRule>
    <cfRule type="expression" dxfId="10549" priority="3387">
      <formula>AND(IF($Q166=3,1,0),IF($X166&lt;30,1,0))</formula>
    </cfRule>
    <cfRule type="expression" dxfId="10548" priority="3388">
      <formula>AND(IF($Q166=3,1,IF($Q166=4,1,0)),IF($F166&lt;=85,1,0))</formula>
    </cfRule>
  </conditionalFormatting>
  <conditionalFormatting sqref="AV167">
    <cfRule type="expression" dxfId="10547" priority="3383">
      <formula>AV167="X"</formula>
    </cfRule>
    <cfRule type="expression" dxfId="10546" priority="3384">
      <formula>AV167="후보"</formula>
    </cfRule>
  </conditionalFormatting>
  <conditionalFormatting sqref="AC167">
    <cfRule type="cellIs" dxfId="10545" priority="3381" operator="greaterThan">
      <formula>0.9</formula>
    </cfRule>
    <cfRule type="cellIs" dxfId="10544" priority="3382" operator="greaterThan">
      <formula>0.85</formula>
    </cfRule>
  </conditionalFormatting>
  <conditionalFormatting sqref="N167">
    <cfRule type="cellIs" dxfId="10543" priority="3379" operator="greaterThan">
      <formula>0.9</formula>
    </cfRule>
    <cfRule type="cellIs" dxfId="10542" priority="3380" operator="greaterThan">
      <formula>0.85</formula>
    </cfRule>
  </conditionalFormatting>
  <conditionalFormatting sqref="E167">
    <cfRule type="expression" dxfId="10541" priority="3375">
      <formula>AND(IF(OR($Q167=1,$Q167=2),1,0),IF($X167&lt;=20,1,0))</formula>
    </cfRule>
    <cfRule type="expression" dxfId="10540" priority="3376">
      <formula>AND(IF($Q167=2,1,0),IF($X167&lt;30,1,0))</formula>
    </cfRule>
    <cfRule type="expression" dxfId="10539" priority="3377">
      <formula>AND(IF($Q167=3,1,0),IF($X167&lt;30,1,0))</formula>
    </cfRule>
    <cfRule type="expression" dxfId="10538" priority="3378">
      <formula>AND(IF($Q167=3,1,IF($Q167=4,1,0)),IF($F167&lt;=85,1,0))</formula>
    </cfRule>
  </conditionalFormatting>
  <conditionalFormatting sqref="X167">
    <cfRule type="expression" dxfId="10537" priority="3371">
      <formula>AND(IF(OR($Q167=1,$Q167=2),1,0),IF($X167&lt;=20,1,0))</formula>
    </cfRule>
    <cfRule type="expression" dxfId="10536" priority="3372">
      <formula>AND(IF($Q167=2,1,0),IF($X167&lt;30,1,0))</formula>
    </cfRule>
    <cfRule type="expression" dxfId="10535" priority="3373">
      <formula>AND(IF($Q167=3,1,0),IF($X167&lt;30,1,0))</formula>
    </cfRule>
    <cfRule type="expression" dxfId="10534" priority="3374">
      <formula>AND(IF($Q167=3,1,IF($Q167=4,1,0)),IF($F167&lt;=85,1,0))</formula>
    </cfRule>
  </conditionalFormatting>
  <conditionalFormatting sqref="AI167">
    <cfRule type="expression" dxfId="10533" priority="3367">
      <formula>AND(IF(OR($Q167=1,$Q167=2),1,0),IF($X167&lt;=20,1,0))</formula>
    </cfRule>
    <cfRule type="expression" dxfId="10532" priority="3368">
      <formula>AND(IF($Q167=2,1,0),IF($X167&lt;30,1,0))</formula>
    </cfRule>
    <cfRule type="expression" dxfId="10531" priority="3369">
      <formula>AND(IF($Q167=3,1,0),IF($X167&lt;30,1,0))</formula>
    </cfRule>
    <cfRule type="expression" dxfId="10530" priority="3370">
      <formula>AND(IF($Q167=3,1,IF($Q167=4,1,0)),IF($F167&lt;=85,1,0))</formula>
    </cfRule>
  </conditionalFormatting>
  <conditionalFormatting sqref="AV168">
    <cfRule type="expression" dxfId="10529" priority="3365">
      <formula>AV168="X"</formula>
    </cfRule>
    <cfRule type="expression" dxfId="10528" priority="3366">
      <formula>AV168="후보"</formula>
    </cfRule>
  </conditionalFormatting>
  <conditionalFormatting sqref="AC168">
    <cfRule type="cellIs" dxfId="10527" priority="3363" operator="greaterThan">
      <formula>0.9</formula>
    </cfRule>
    <cfRule type="cellIs" dxfId="10526" priority="3364" operator="greaterThan">
      <formula>0.85</formula>
    </cfRule>
  </conditionalFormatting>
  <conditionalFormatting sqref="N168">
    <cfRule type="cellIs" dxfId="10525" priority="3361" operator="greaterThan">
      <formula>0.9</formula>
    </cfRule>
    <cfRule type="cellIs" dxfId="10524" priority="3362" operator="greaterThan">
      <formula>0.85</formula>
    </cfRule>
  </conditionalFormatting>
  <conditionalFormatting sqref="E168">
    <cfRule type="expression" dxfId="10523" priority="3357">
      <formula>AND(IF(OR($Q168=1,$Q168=2),1,0),IF($X168&lt;=20,1,0))</formula>
    </cfRule>
    <cfRule type="expression" dxfId="10522" priority="3358">
      <formula>AND(IF($Q168=2,1,0),IF($X168&lt;30,1,0))</formula>
    </cfRule>
    <cfRule type="expression" dxfId="10521" priority="3359">
      <formula>AND(IF($Q168=3,1,0),IF($X168&lt;30,1,0))</formula>
    </cfRule>
    <cfRule type="expression" dxfId="10520" priority="3360">
      <formula>AND(IF($Q168=3,1,IF($Q168=4,1,0)),IF($F168&lt;=85,1,0))</formula>
    </cfRule>
  </conditionalFormatting>
  <conditionalFormatting sqref="X168">
    <cfRule type="expression" dxfId="10519" priority="3353">
      <formula>AND(IF(OR($Q168=1,$Q168=2),1,0),IF($X168&lt;=20,1,0))</formula>
    </cfRule>
    <cfRule type="expression" dxfId="10518" priority="3354">
      <formula>AND(IF($Q168=2,1,0),IF($X168&lt;30,1,0))</formula>
    </cfRule>
    <cfRule type="expression" dxfId="10517" priority="3355">
      <formula>AND(IF($Q168=3,1,0),IF($X168&lt;30,1,0))</formula>
    </cfRule>
    <cfRule type="expression" dxfId="10516" priority="3356">
      <formula>AND(IF($Q168=3,1,IF($Q168=4,1,0)),IF($F168&lt;=85,1,0))</formula>
    </cfRule>
  </conditionalFormatting>
  <conditionalFormatting sqref="AI168">
    <cfRule type="expression" dxfId="10515" priority="3349">
      <formula>AND(IF(OR($Q168=1,$Q168=2),1,0),IF($X168&lt;=20,1,0))</formula>
    </cfRule>
    <cfRule type="expression" dxfId="10514" priority="3350">
      <formula>AND(IF($Q168=2,1,0),IF($X168&lt;30,1,0))</formula>
    </cfRule>
    <cfRule type="expression" dxfId="10513" priority="3351">
      <formula>AND(IF($Q168=3,1,0),IF($X168&lt;30,1,0))</formula>
    </cfRule>
    <cfRule type="expression" dxfId="10512" priority="3352">
      <formula>AND(IF($Q168=3,1,IF($Q168=4,1,0)),IF($F168&lt;=85,1,0))</formula>
    </cfRule>
  </conditionalFormatting>
  <conditionalFormatting sqref="AV169">
    <cfRule type="expression" dxfId="10511" priority="3347">
      <formula>AV169="X"</formula>
    </cfRule>
    <cfRule type="expression" dxfId="10510" priority="3348">
      <formula>AV169="후보"</formula>
    </cfRule>
  </conditionalFormatting>
  <conditionalFormatting sqref="AC169">
    <cfRule type="cellIs" dxfId="10509" priority="3345" operator="greaterThan">
      <formula>0.9</formula>
    </cfRule>
    <cfRule type="cellIs" dxfId="10508" priority="3346" operator="greaterThan">
      <formula>0.85</formula>
    </cfRule>
  </conditionalFormatting>
  <conditionalFormatting sqref="N169">
    <cfRule type="cellIs" dxfId="10507" priority="3343" operator="greaterThan">
      <formula>0.9</formula>
    </cfRule>
    <cfRule type="cellIs" dxfId="10506" priority="3344" operator="greaterThan">
      <formula>0.85</formula>
    </cfRule>
  </conditionalFormatting>
  <conditionalFormatting sqref="E169">
    <cfRule type="expression" dxfId="10505" priority="3339">
      <formula>AND(IF(OR($Q169=1,$Q169=2),1,0),IF($X169&lt;=20,1,0))</formula>
    </cfRule>
    <cfRule type="expression" dxfId="10504" priority="3340">
      <formula>AND(IF($Q169=2,1,0),IF($X169&lt;30,1,0))</formula>
    </cfRule>
    <cfRule type="expression" dxfId="10503" priority="3341">
      <formula>AND(IF($Q169=3,1,0),IF($X169&lt;30,1,0))</formula>
    </cfRule>
    <cfRule type="expression" dxfId="10502" priority="3342">
      <formula>AND(IF($Q169=3,1,IF($Q169=4,1,0)),IF($F169&lt;=85,1,0))</formula>
    </cfRule>
  </conditionalFormatting>
  <conditionalFormatting sqref="X169">
    <cfRule type="expression" dxfId="10501" priority="3335">
      <formula>AND(IF(OR($Q169=1,$Q169=2),1,0),IF($X169&lt;=20,1,0))</formula>
    </cfRule>
    <cfRule type="expression" dxfId="10500" priority="3336">
      <formula>AND(IF($Q169=2,1,0),IF($X169&lt;30,1,0))</formula>
    </cfRule>
    <cfRule type="expression" dxfId="10499" priority="3337">
      <formula>AND(IF($Q169=3,1,0),IF($X169&lt;30,1,0))</formula>
    </cfRule>
    <cfRule type="expression" dxfId="10498" priority="3338">
      <formula>AND(IF($Q169=3,1,IF($Q169=4,1,0)),IF($F169&lt;=85,1,0))</formula>
    </cfRule>
  </conditionalFormatting>
  <conditionalFormatting sqref="AI169">
    <cfRule type="expression" dxfId="10497" priority="3331">
      <formula>AND(IF(OR($Q169=1,$Q169=2),1,0),IF($X169&lt;=20,1,0))</formula>
    </cfRule>
    <cfRule type="expression" dxfId="10496" priority="3332">
      <formula>AND(IF($Q169=2,1,0),IF($X169&lt;30,1,0))</formula>
    </cfRule>
    <cfRule type="expression" dxfId="10495" priority="3333">
      <formula>AND(IF($Q169=3,1,0),IF($X169&lt;30,1,0))</formula>
    </cfRule>
    <cfRule type="expression" dxfId="10494" priority="3334">
      <formula>AND(IF($Q169=3,1,IF($Q169=4,1,0)),IF($F169&lt;=85,1,0))</formula>
    </cfRule>
  </conditionalFormatting>
  <conditionalFormatting sqref="AV170">
    <cfRule type="expression" dxfId="10493" priority="3329">
      <formula>AV170="X"</formula>
    </cfRule>
    <cfRule type="expression" dxfId="10492" priority="3330">
      <formula>AV170="후보"</formula>
    </cfRule>
  </conditionalFormatting>
  <conditionalFormatting sqref="AC170">
    <cfRule type="cellIs" dxfId="10491" priority="3327" operator="greaterThan">
      <formula>0.9</formula>
    </cfRule>
    <cfRule type="cellIs" dxfId="10490" priority="3328" operator="greaterThan">
      <formula>0.85</formula>
    </cfRule>
  </conditionalFormatting>
  <conditionalFormatting sqref="N170">
    <cfRule type="cellIs" dxfId="10489" priority="3325" operator="greaterThan">
      <formula>0.9</formula>
    </cfRule>
    <cfRule type="cellIs" dxfId="10488" priority="3326" operator="greaterThan">
      <formula>0.85</formula>
    </cfRule>
  </conditionalFormatting>
  <conditionalFormatting sqref="E170">
    <cfRule type="expression" dxfId="10487" priority="3321">
      <formula>AND(IF(OR($Q170=1,$Q170=2),1,0),IF($X170&lt;=20,1,0))</formula>
    </cfRule>
    <cfRule type="expression" dxfId="10486" priority="3322">
      <formula>AND(IF($Q170=2,1,0),IF($X170&lt;30,1,0))</formula>
    </cfRule>
    <cfRule type="expression" dxfId="10485" priority="3323">
      <formula>AND(IF($Q170=3,1,0),IF($X170&lt;30,1,0))</formula>
    </cfRule>
    <cfRule type="expression" dxfId="10484" priority="3324">
      <formula>AND(IF($Q170=3,1,IF($Q170=4,1,0)),IF($F170&lt;=85,1,0))</formula>
    </cfRule>
  </conditionalFormatting>
  <conditionalFormatting sqref="X170">
    <cfRule type="expression" dxfId="10483" priority="3317">
      <formula>AND(IF(OR($Q170=1,$Q170=2),1,0),IF($X170&lt;=20,1,0))</formula>
    </cfRule>
    <cfRule type="expression" dxfId="10482" priority="3318">
      <formula>AND(IF($Q170=2,1,0),IF($X170&lt;30,1,0))</formula>
    </cfRule>
    <cfRule type="expression" dxfId="10481" priority="3319">
      <formula>AND(IF($Q170=3,1,0),IF($X170&lt;30,1,0))</formula>
    </cfRule>
    <cfRule type="expression" dxfId="10480" priority="3320">
      <formula>AND(IF($Q170=3,1,IF($Q170=4,1,0)),IF($F170&lt;=85,1,0))</formula>
    </cfRule>
  </conditionalFormatting>
  <conditionalFormatting sqref="AI170">
    <cfRule type="expression" dxfId="10479" priority="3313">
      <formula>AND(IF(OR($Q170=1,$Q170=2),1,0),IF($X170&lt;=20,1,0))</formula>
    </cfRule>
    <cfRule type="expression" dxfId="10478" priority="3314">
      <formula>AND(IF($Q170=2,1,0),IF($X170&lt;30,1,0))</formula>
    </cfRule>
    <cfRule type="expression" dxfId="10477" priority="3315">
      <formula>AND(IF($Q170=3,1,0),IF($X170&lt;30,1,0))</formula>
    </cfRule>
    <cfRule type="expression" dxfId="10476" priority="3316">
      <formula>AND(IF($Q170=3,1,IF($Q170=4,1,0)),IF($F170&lt;=85,1,0))</formula>
    </cfRule>
  </conditionalFormatting>
  <conditionalFormatting sqref="AV171">
    <cfRule type="expression" dxfId="10475" priority="3311">
      <formula>AV171="X"</formula>
    </cfRule>
    <cfRule type="expression" dxfId="10474" priority="3312">
      <formula>AV171="후보"</formula>
    </cfRule>
  </conditionalFormatting>
  <conditionalFormatting sqref="AC171">
    <cfRule type="cellIs" dxfId="10473" priority="3309" operator="greaterThan">
      <formula>0.9</formula>
    </cfRule>
    <cfRule type="cellIs" dxfId="10472" priority="3310" operator="greaterThan">
      <formula>0.85</formula>
    </cfRule>
  </conditionalFormatting>
  <conditionalFormatting sqref="N171">
    <cfRule type="cellIs" dxfId="10471" priority="3307" operator="greaterThan">
      <formula>0.9</formula>
    </cfRule>
    <cfRule type="cellIs" dxfId="10470" priority="3308" operator="greaterThan">
      <formula>0.85</formula>
    </cfRule>
  </conditionalFormatting>
  <conditionalFormatting sqref="E171">
    <cfRule type="expression" dxfId="10469" priority="3303">
      <formula>AND(IF(OR($Q171=1,$Q171=2),1,0),IF($X171&lt;=20,1,0))</formula>
    </cfRule>
    <cfRule type="expression" dxfId="10468" priority="3304">
      <formula>AND(IF($Q171=2,1,0),IF($X171&lt;30,1,0))</formula>
    </cfRule>
    <cfRule type="expression" dxfId="10467" priority="3305">
      <formula>AND(IF($Q171=3,1,0),IF($X171&lt;30,1,0))</formula>
    </cfRule>
    <cfRule type="expression" dxfId="10466" priority="3306">
      <formula>AND(IF($Q171=3,1,IF($Q171=4,1,0)),IF($F171&lt;=85,1,0))</formula>
    </cfRule>
  </conditionalFormatting>
  <conditionalFormatting sqref="X171">
    <cfRule type="expression" dxfId="10465" priority="3299">
      <formula>AND(IF(OR($Q171=1,$Q171=2),1,0),IF($X171&lt;=20,1,0))</formula>
    </cfRule>
    <cfRule type="expression" dxfId="10464" priority="3300">
      <formula>AND(IF($Q171=2,1,0),IF($X171&lt;30,1,0))</formula>
    </cfRule>
    <cfRule type="expression" dxfId="10463" priority="3301">
      <formula>AND(IF($Q171=3,1,0),IF($X171&lt;30,1,0))</formula>
    </cfRule>
    <cfRule type="expression" dxfId="10462" priority="3302">
      <formula>AND(IF($Q171=3,1,IF($Q171=4,1,0)),IF($F171&lt;=85,1,0))</formula>
    </cfRule>
  </conditionalFormatting>
  <conditionalFormatting sqref="AI171">
    <cfRule type="expression" dxfId="10461" priority="3295">
      <formula>AND(IF(OR($Q171=1,$Q171=2),1,0),IF($X171&lt;=20,1,0))</formula>
    </cfRule>
    <cfRule type="expression" dxfId="10460" priority="3296">
      <formula>AND(IF($Q171=2,1,0),IF($X171&lt;30,1,0))</formula>
    </cfRule>
    <cfRule type="expression" dxfId="10459" priority="3297">
      <formula>AND(IF($Q171=3,1,0),IF($X171&lt;30,1,0))</formula>
    </cfRule>
    <cfRule type="expression" dxfId="10458" priority="3298">
      <formula>AND(IF($Q171=3,1,IF($Q171=4,1,0)),IF($F171&lt;=85,1,0))</formula>
    </cfRule>
  </conditionalFormatting>
  <conditionalFormatting sqref="AV172">
    <cfRule type="expression" dxfId="10457" priority="3293">
      <formula>AV172="X"</formula>
    </cfRule>
    <cfRule type="expression" dxfId="10456" priority="3294">
      <formula>AV172="후보"</formula>
    </cfRule>
  </conditionalFormatting>
  <conditionalFormatting sqref="AC172">
    <cfRule type="cellIs" dxfId="10455" priority="3291" operator="greaterThan">
      <formula>0.9</formula>
    </cfRule>
    <cfRule type="cellIs" dxfId="10454" priority="3292" operator="greaterThan">
      <formula>0.85</formula>
    </cfRule>
  </conditionalFormatting>
  <conditionalFormatting sqref="N172">
    <cfRule type="cellIs" dxfId="10453" priority="3289" operator="greaterThan">
      <formula>0.9</formula>
    </cfRule>
    <cfRule type="cellIs" dxfId="10452" priority="3290" operator="greaterThan">
      <formula>0.85</formula>
    </cfRule>
  </conditionalFormatting>
  <conditionalFormatting sqref="E172">
    <cfRule type="expression" dxfId="10451" priority="3285">
      <formula>AND(IF(OR($Q172=1,$Q172=2),1,0),IF($X172&lt;=20,1,0))</formula>
    </cfRule>
    <cfRule type="expression" dxfId="10450" priority="3286">
      <formula>AND(IF($Q172=2,1,0),IF($X172&lt;30,1,0))</formula>
    </cfRule>
    <cfRule type="expression" dxfId="10449" priority="3287">
      <formula>AND(IF($Q172=3,1,0),IF($X172&lt;30,1,0))</formula>
    </cfRule>
    <cfRule type="expression" dxfId="10448" priority="3288">
      <formula>AND(IF($Q172=3,1,IF($Q172=4,1,0)),IF($F172&lt;=85,1,0))</formula>
    </cfRule>
  </conditionalFormatting>
  <conditionalFormatting sqref="X172">
    <cfRule type="expression" dxfId="10447" priority="3281">
      <formula>AND(IF(OR($Q172=1,$Q172=2),1,0),IF($X172&lt;=20,1,0))</formula>
    </cfRule>
    <cfRule type="expression" dxfId="10446" priority="3282">
      <formula>AND(IF($Q172=2,1,0),IF($X172&lt;30,1,0))</formula>
    </cfRule>
    <cfRule type="expression" dxfId="10445" priority="3283">
      <formula>AND(IF($Q172=3,1,0),IF($X172&lt;30,1,0))</formula>
    </cfRule>
    <cfRule type="expression" dxfId="10444" priority="3284">
      <formula>AND(IF($Q172=3,1,IF($Q172=4,1,0)),IF($F172&lt;=85,1,0))</formula>
    </cfRule>
  </conditionalFormatting>
  <conditionalFormatting sqref="AI172">
    <cfRule type="expression" dxfId="10443" priority="3277">
      <formula>AND(IF(OR($Q172=1,$Q172=2),1,0),IF($X172&lt;=20,1,0))</formula>
    </cfRule>
    <cfRule type="expression" dxfId="10442" priority="3278">
      <formula>AND(IF($Q172=2,1,0),IF($X172&lt;30,1,0))</formula>
    </cfRule>
    <cfRule type="expression" dxfId="10441" priority="3279">
      <formula>AND(IF($Q172=3,1,0),IF($X172&lt;30,1,0))</formula>
    </cfRule>
    <cfRule type="expression" dxfId="10440" priority="3280">
      <formula>AND(IF($Q172=3,1,IF($Q172=4,1,0)),IF($F172&lt;=85,1,0))</formula>
    </cfRule>
  </conditionalFormatting>
  <conditionalFormatting sqref="AV173">
    <cfRule type="expression" dxfId="10439" priority="3275">
      <formula>AV173="X"</formula>
    </cfRule>
    <cfRule type="expression" dxfId="10438" priority="3276">
      <formula>AV173="후보"</formula>
    </cfRule>
  </conditionalFormatting>
  <conditionalFormatting sqref="AC173">
    <cfRule type="cellIs" dxfId="10437" priority="3273" operator="greaterThan">
      <formula>0.9</formula>
    </cfRule>
    <cfRule type="cellIs" dxfId="10436" priority="3274" operator="greaterThan">
      <formula>0.85</formula>
    </cfRule>
  </conditionalFormatting>
  <conditionalFormatting sqref="N173">
    <cfRule type="cellIs" dxfId="10435" priority="3271" operator="greaterThan">
      <formula>0.9</formula>
    </cfRule>
    <cfRule type="cellIs" dxfId="10434" priority="3272" operator="greaterThan">
      <formula>0.85</formula>
    </cfRule>
  </conditionalFormatting>
  <conditionalFormatting sqref="E173">
    <cfRule type="expression" dxfId="10433" priority="3267">
      <formula>AND(IF(OR($Q173=1,$Q173=2),1,0),IF($X173&lt;=20,1,0))</formula>
    </cfRule>
    <cfRule type="expression" dxfId="10432" priority="3268">
      <formula>AND(IF($Q173=2,1,0),IF($X173&lt;30,1,0))</formula>
    </cfRule>
    <cfRule type="expression" dxfId="10431" priority="3269">
      <formula>AND(IF($Q173=3,1,0),IF($X173&lt;30,1,0))</formula>
    </cfRule>
    <cfRule type="expression" dxfId="10430" priority="3270">
      <formula>AND(IF($Q173=3,1,IF($Q173=4,1,0)),IF($F173&lt;=85,1,0))</formula>
    </cfRule>
  </conditionalFormatting>
  <conditionalFormatting sqref="X173">
    <cfRule type="expression" dxfId="10429" priority="3263">
      <formula>AND(IF(OR($Q173=1,$Q173=2),1,0),IF($X173&lt;=20,1,0))</formula>
    </cfRule>
    <cfRule type="expression" dxfId="10428" priority="3264">
      <formula>AND(IF($Q173=2,1,0),IF($X173&lt;30,1,0))</formula>
    </cfRule>
    <cfRule type="expression" dxfId="10427" priority="3265">
      <formula>AND(IF($Q173=3,1,0),IF($X173&lt;30,1,0))</formula>
    </cfRule>
    <cfRule type="expression" dxfId="10426" priority="3266">
      <formula>AND(IF($Q173=3,1,IF($Q173=4,1,0)),IF($F173&lt;=85,1,0))</formula>
    </cfRule>
  </conditionalFormatting>
  <conditionalFormatting sqref="AI173">
    <cfRule type="expression" dxfId="10425" priority="3259">
      <formula>AND(IF(OR($Q173=1,$Q173=2),1,0),IF($X173&lt;=20,1,0))</formula>
    </cfRule>
    <cfRule type="expression" dxfId="10424" priority="3260">
      <formula>AND(IF($Q173=2,1,0),IF($X173&lt;30,1,0))</formula>
    </cfRule>
    <cfRule type="expression" dxfId="10423" priority="3261">
      <formula>AND(IF($Q173=3,1,0),IF($X173&lt;30,1,0))</formula>
    </cfRule>
    <cfRule type="expression" dxfId="10422" priority="3262">
      <formula>AND(IF($Q173=3,1,IF($Q173=4,1,0)),IF($F173&lt;=85,1,0))</formula>
    </cfRule>
  </conditionalFormatting>
  <conditionalFormatting sqref="AV174">
    <cfRule type="expression" dxfId="10421" priority="3257">
      <formula>AV174="X"</formula>
    </cfRule>
    <cfRule type="expression" dxfId="10420" priority="3258">
      <formula>AV174="후보"</formula>
    </cfRule>
  </conditionalFormatting>
  <conditionalFormatting sqref="AC174">
    <cfRule type="cellIs" dxfId="10419" priority="3255" operator="greaterThan">
      <formula>0.9</formula>
    </cfRule>
    <cfRule type="cellIs" dxfId="10418" priority="3256" operator="greaterThan">
      <formula>0.85</formula>
    </cfRule>
  </conditionalFormatting>
  <conditionalFormatting sqref="N174">
    <cfRule type="cellIs" dxfId="10417" priority="3253" operator="greaterThan">
      <formula>0.9</formula>
    </cfRule>
    <cfRule type="cellIs" dxfId="10416" priority="3254" operator="greaterThan">
      <formula>0.85</formula>
    </cfRule>
  </conditionalFormatting>
  <conditionalFormatting sqref="E174">
    <cfRule type="expression" dxfId="10415" priority="3249">
      <formula>AND(IF(OR($Q174=1,$Q174=2),1,0),IF($X174&lt;=20,1,0))</formula>
    </cfRule>
    <cfRule type="expression" dxfId="10414" priority="3250">
      <formula>AND(IF($Q174=2,1,0),IF($X174&lt;30,1,0))</formula>
    </cfRule>
    <cfRule type="expression" dxfId="10413" priority="3251">
      <formula>AND(IF($Q174=3,1,0),IF($X174&lt;30,1,0))</formula>
    </cfRule>
    <cfRule type="expression" dxfId="10412" priority="3252">
      <formula>AND(IF($Q174=3,1,IF($Q174=4,1,0)),IF($F174&lt;=85,1,0))</formula>
    </cfRule>
  </conditionalFormatting>
  <conditionalFormatting sqref="X174">
    <cfRule type="expression" dxfId="10411" priority="3245">
      <formula>AND(IF(OR($Q174=1,$Q174=2),1,0),IF($X174&lt;=20,1,0))</formula>
    </cfRule>
    <cfRule type="expression" dxfId="10410" priority="3246">
      <formula>AND(IF($Q174=2,1,0),IF($X174&lt;30,1,0))</formula>
    </cfRule>
    <cfRule type="expression" dxfId="10409" priority="3247">
      <formula>AND(IF($Q174=3,1,0),IF($X174&lt;30,1,0))</formula>
    </cfRule>
    <cfRule type="expression" dxfId="10408" priority="3248">
      <formula>AND(IF($Q174=3,1,IF($Q174=4,1,0)),IF($F174&lt;=85,1,0))</formula>
    </cfRule>
  </conditionalFormatting>
  <conditionalFormatting sqref="AI174">
    <cfRule type="expression" dxfId="10407" priority="3241">
      <formula>AND(IF(OR($Q174=1,$Q174=2),1,0),IF($X174&lt;=20,1,0))</formula>
    </cfRule>
    <cfRule type="expression" dxfId="10406" priority="3242">
      <formula>AND(IF($Q174=2,1,0),IF($X174&lt;30,1,0))</formula>
    </cfRule>
    <cfRule type="expression" dxfId="10405" priority="3243">
      <formula>AND(IF($Q174=3,1,0),IF($X174&lt;30,1,0))</formula>
    </cfRule>
    <cfRule type="expression" dxfId="10404" priority="3244">
      <formula>AND(IF($Q174=3,1,IF($Q174=4,1,0)),IF($F174&lt;=85,1,0))</formula>
    </cfRule>
  </conditionalFormatting>
  <conditionalFormatting sqref="AV175">
    <cfRule type="expression" dxfId="10403" priority="3239">
      <formula>AV175="X"</formula>
    </cfRule>
    <cfRule type="expression" dxfId="10402" priority="3240">
      <formula>AV175="후보"</formula>
    </cfRule>
  </conditionalFormatting>
  <conditionalFormatting sqref="AC175">
    <cfRule type="cellIs" dxfId="10401" priority="3237" operator="greaterThan">
      <formula>0.9</formula>
    </cfRule>
    <cfRule type="cellIs" dxfId="10400" priority="3238" operator="greaterThan">
      <formula>0.85</formula>
    </cfRule>
  </conditionalFormatting>
  <conditionalFormatting sqref="N175">
    <cfRule type="cellIs" dxfId="10399" priority="3235" operator="greaterThan">
      <formula>0.9</formula>
    </cfRule>
    <cfRule type="cellIs" dxfId="10398" priority="3236" operator="greaterThan">
      <formula>0.85</formula>
    </cfRule>
  </conditionalFormatting>
  <conditionalFormatting sqref="E175">
    <cfRule type="expression" dxfId="10397" priority="3231">
      <formula>AND(IF(OR($Q175=1,$Q175=2),1,0),IF($X175&lt;=20,1,0))</formula>
    </cfRule>
    <cfRule type="expression" dxfId="10396" priority="3232">
      <formula>AND(IF($Q175=2,1,0),IF($X175&lt;30,1,0))</formula>
    </cfRule>
    <cfRule type="expression" dxfId="10395" priority="3233">
      <formula>AND(IF($Q175=3,1,0),IF($X175&lt;30,1,0))</formula>
    </cfRule>
    <cfRule type="expression" dxfId="10394" priority="3234">
      <formula>AND(IF($Q175=3,1,IF($Q175=4,1,0)),IF($F175&lt;=85,1,0))</formula>
    </cfRule>
  </conditionalFormatting>
  <conditionalFormatting sqref="X175">
    <cfRule type="expression" dxfId="10393" priority="3227">
      <formula>AND(IF(OR($Q175=1,$Q175=2),1,0),IF($X175&lt;=20,1,0))</formula>
    </cfRule>
    <cfRule type="expression" dxfId="10392" priority="3228">
      <formula>AND(IF($Q175=2,1,0),IF($X175&lt;30,1,0))</formula>
    </cfRule>
    <cfRule type="expression" dxfId="10391" priority="3229">
      <formula>AND(IF($Q175=3,1,0),IF($X175&lt;30,1,0))</formula>
    </cfRule>
    <cfRule type="expression" dxfId="10390" priority="3230">
      <formula>AND(IF($Q175=3,1,IF($Q175=4,1,0)),IF($F175&lt;=85,1,0))</formula>
    </cfRule>
  </conditionalFormatting>
  <conditionalFormatting sqref="AI175">
    <cfRule type="expression" dxfId="10389" priority="3223">
      <formula>AND(IF(OR($Q175=1,$Q175=2),1,0),IF($X175&lt;=20,1,0))</formula>
    </cfRule>
    <cfRule type="expression" dxfId="10388" priority="3224">
      <formula>AND(IF($Q175=2,1,0),IF($X175&lt;30,1,0))</formula>
    </cfRule>
    <cfRule type="expression" dxfId="10387" priority="3225">
      <formula>AND(IF($Q175=3,1,0),IF($X175&lt;30,1,0))</formula>
    </cfRule>
    <cfRule type="expression" dxfId="10386" priority="3226">
      <formula>AND(IF($Q175=3,1,IF($Q175=4,1,0)),IF($F175&lt;=85,1,0))</formula>
    </cfRule>
  </conditionalFormatting>
  <conditionalFormatting sqref="AV176">
    <cfRule type="expression" dxfId="10385" priority="3221">
      <formula>AV176="X"</formula>
    </cfRule>
    <cfRule type="expression" dxfId="10384" priority="3222">
      <formula>AV176="후보"</formula>
    </cfRule>
  </conditionalFormatting>
  <conditionalFormatting sqref="AC176">
    <cfRule type="cellIs" dxfId="10383" priority="3219" operator="greaterThan">
      <formula>0.9</formula>
    </cfRule>
    <cfRule type="cellIs" dxfId="10382" priority="3220" operator="greaterThan">
      <formula>0.85</formula>
    </cfRule>
  </conditionalFormatting>
  <conditionalFormatting sqref="N176">
    <cfRule type="cellIs" dxfId="10381" priority="3217" operator="greaterThan">
      <formula>0.9</formula>
    </cfRule>
    <cfRule type="cellIs" dxfId="10380" priority="3218" operator="greaterThan">
      <formula>0.85</formula>
    </cfRule>
  </conditionalFormatting>
  <conditionalFormatting sqref="E176">
    <cfRule type="expression" dxfId="10379" priority="3213">
      <formula>AND(IF(OR($Q176=1,$Q176=2),1,0),IF($X176&lt;=20,1,0))</formula>
    </cfRule>
    <cfRule type="expression" dxfId="10378" priority="3214">
      <formula>AND(IF($Q176=2,1,0),IF($X176&lt;30,1,0))</formula>
    </cfRule>
    <cfRule type="expression" dxfId="10377" priority="3215">
      <formula>AND(IF($Q176=3,1,0),IF($X176&lt;30,1,0))</formula>
    </cfRule>
    <cfRule type="expression" dxfId="10376" priority="3216">
      <formula>AND(IF($Q176=3,1,IF($Q176=4,1,0)),IF($F176&lt;=85,1,0))</formula>
    </cfRule>
  </conditionalFormatting>
  <conditionalFormatting sqref="X176">
    <cfRule type="expression" dxfId="10375" priority="3209">
      <formula>AND(IF(OR($Q176=1,$Q176=2),1,0),IF($X176&lt;=20,1,0))</formula>
    </cfRule>
    <cfRule type="expression" dxfId="10374" priority="3210">
      <formula>AND(IF($Q176=2,1,0),IF($X176&lt;30,1,0))</formula>
    </cfRule>
    <cfRule type="expression" dxfId="10373" priority="3211">
      <formula>AND(IF($Q176=3,1,0),IF($X176&lt;30,1,0))</formula>
    </cfRule>
    <cfRule type="expression" dxfId="10372" priority="3212">
      <formula>AND(IF($Q176=3,1,IF($Q176=4,1,0)),IF($F176&lt;=85,1,0))</formula>
    </cfRule>
  </conditionalFormatting>
  <conditionalFormatting sqref="AI176">
    <cfRule type="expression" dxfId="10371" priority="3205">
      <formula>AND(IF(OR($Q176=1,$Q176=2),1,0),IF($X176&lt;=20,1,0))</formula>
    </cfRule>
    <cfRule type="expression" dxfId="10370" priority="3206">
      <formula>AND(IF($Q176=2,1,0),IF($X176&lt;30,1,0))</formula>
    </cfRule>
    <cfRule type="expression" dxfId="10369" priority="3207">
      <formula>AND(IF($Q176=3,1,0),IF($X176&lt;30,1,0))</formula>
    </cfRule>
    <cfRule type="expression" dxfId="10368" priority="3208">
      <formula>AND(IF($Q176=3,1,IF($Q176=4,1,0)),IF($F176&lt;=85,1,0))</formula>
    </cfRule>
  </conditionalFormatting>
  <conditionalFormatting sqref="AV177">
    <cfRule type="expression" dxfId="10367" priority="3203">
      <formula>AV177="X"</formula>
    </cfRule>
    <cfRule type="expression" dxfId="10366" priority="3204">
      <formula>AV177="후보"</formula>
    </cfRule>
  </conditionalFormatting>
  <conditionalFormatting sqref="AC177">
    <cfRule type="cellIs" dxfId="10365" priority="3201" operator="greaterThan">
      <formula>0.9</formula>
    </cfRule>
    <cfRule type="cellIs" dxfId="10364" priority="3202" operator="greaterThan">
      <formula>0.85</formula>
    </cfRule>
  </conditionalFormatting>
  <conditionalFormatting sqref="N177">
    <cfRule type="cellIs" dxfId="10363" priority="3199" operator="greaterThan">
      <formula>0.9</formula>
    </cfRule>
    <cfRule type="cellIs" dxfId="10362" priority="3200" operator="greaterThan">
      <formula>0.85</formula>
    </cfRule>
  </conditionalFormatting>
  <conditionalFormatting sqref="E177">
    <cfRule type="expression" dxfId="10361" priority="3195">
      <formula>AND(IF(OR($Q177=1,$Q177=2),1,0),IF($X177&lt;=20,1,0))</formula>
    </cfRule>
    <cfRule type="expression" dxfId="10360" priority="3196">
      <formula>AND(IF($Q177=2,1,0),IF($X177&lt;30,1,0))</formula>
    </cfRule>
    <cfRule type="expression" dxfId="10359" priority="3197">
      <formula>AND(IF($Q177=3,1,0),IF($X177&lt;30,1,0))</formula>
    </cfRule>
    <cfRule type="expression" dxfId="10358" priority="3198">
      <formula>AND(IF($Q177=3,1,IF($Q177=4,1,0)),IF($F177&lt;=85,1,0))</formula>
    </cfRule>
  </conditionalFormatting>
  <conditionalFormatting sqref="X177">
    <cfRule type="expression" dxfId="10357" priority="3191">
      <formula>AND(IF(OR($Q177=1,$Q177=2),1,0),IF($X177&lt;=20,1,0))</formula>
    </cfRule>
    <cfRule type="expression" dxfId="10356" priority="3192">
      <formula>AND(IF($Q177=2,1,0),IF($X177&lt;30,1,0))</formula>
    </cfRule>
    <cfRule type="expression" dxfId="10355" priority="3193">
      <formula>AND(IF($Q177=3,1,0),IF($X177&lt;30,1,0))</formula>
    </cfRule>
    <cfRule type="expression" dxfId="10354" priority="3194">
      <formula>AND(IF($Q177=3,1,IF($Q177=4,1,0)),IF($F177&lt;=85,1,0))</formula>
    </cfRule>
  </conditionalFormatting>
  <conditionalFormatting sqref="AI177">
    <cfRule type="expression" dxfId="10353" priority="3187">
      <formula>AND(IF(OR($Q177=1,$Q177=2),1,0),IF($X177&lt;=20,1,0))</formula>
    </cfRule>
    <cfRule type="expression" dxfId="10352" priority="3188">
      <formula>AND(IF($Q177=2,1,0),IF($X177&lt;30,1,0))</formula>
    </cfRule>
    <cfRule type="expression" dxfId="10351" priority="3189">
      <formula>AND(IF($Q177=3,1,0),IF($X177&lt;30,1,0))</formula>
    </cfRule>
    <cfRule type="expression" dxfId="10350" priority="3190">
      <formula>AND(IF($Q177=3,1,IF($Q177=4,1,0)),IF($F177&lt;=85,1,0))</formula>
    </cfRule>
  </conditionalFormatting>
  <conditionalFormatting sqref="AV178">
    <cfRule type="expression" dxfId="10349" priority="3185">
      <formula>AV178="X"</formula>
    </cfRule>
    <cfRule type="expression" dxfId="10348" priority="3186">
      <formula>AV178="후보"</formula>
    </cfRule>
  </conditionalFormatting>
  <conditionalFormatting sqref="AC178">
    <cfRule type="cellIs" dxfId="10347" priority="3183" operator="greaterThan">
      <formula>0.9</formula>
    </cfRule>
    <cfRule type="cellIs" dxfId="10346" priority="3184" operator="greaterThan">
      <formula>0.85</formula>
    </cfRule>
  </conditionalFormatting>
  <conditionalFormatting sqref="N178">
    <cfRule type="cellIs" dxfId="10345" priority="3181" operator="greaterThan">
      <formula>0.9</formula>
    </cfRule>
    <cfRule type="cellIs" dxfId="10344" priority="3182" operator="greaterThan">
      <formula>0.85</formula>
    </cfRule>
  </conditionalFormatting>
  <conditionalFormatting sqref="E178">
    <cfRule type="expression" dxfId="10343" priority="3177">
      <formula>AND(IF(OR($Q178=1,$Q178=2),1,0),IF($X178&lt;=20,1,0))</formula>
    </cfRule>
    <cfRule type="expression" dxfId="10342" priority="3178">
      <formula>AND(IF($Q178=2,1,0),IF($X178&lt;30,1,0))</formula>
    </cfRule>
    <cfRule type="expression" dxfId="10341" priority="3179">
      <formula>AND(IF($Q178=3,1,0),IF($X178&lt;30,1,0))</formula>
    </cfRule>
    <cfRule type="expression" dxfId="10340" priority="3180">
      <formula>AND(IF($Q178=3,1,IF($Q178=4,1,0)),IF($F178&lt;=85,1,0))</formula>
    </cfRule>
  </conditionalFormatting>
  <conditionalFormatting sqref="X178">
    <cfRule type="expression" dxfId="10339" priority="3173">
      <formula>AND(IF(OR($Q178=1,$Q178=2),1,0),IF($X178&lt;=20,1,0))</formula>
    </cfRule>
    <cfRule type="expression" dxfId="10338" priority="3174">
      <formula>AND(IF($Q178=2,1,0),IF($X178&lt;30,1,0))</formula>
    </cfRule>
    <cfRule type="expression" dxfId="10337" priority="3175">
      <formula>AND(IF($Q178=3,1,0),IF($X178&lt;30,1,0))</formula>
    </cfRule>
    <cfRule type="expression" dxfId="10336" priority="3176">
      <formula>AND(IF($Q178=3,1,IF($Q178=4,1,0)),IF($F178&lt;=85,1,0))</formula>
    </cfRule>
  </conditionalFormatting>
  <conditionalFormatting sqref="AI178">
    <cfRule type="expression" dxfId="10335" priority="3169">
      <formula>AND(IF(OR($Q178=1,$Q178=2),1,0),IF($X178&lt;=20,1,0))</formula>
    </cfRule>
    <cfRule type="expression" dxfId="10334" priority="3170">
      <formula>AND(IF($Q178=2,1,0),IF($X178&lt;30,1,0))</formula>
    </cfRule>
    <cfRule type="expression" dxfId="10333" priority="3171">
      <formula>AND(IF($Q178=3,1,0),IF($X178&lt;30,1,0))</formula>
    </cfRule>
    <cfRule type="expression" dxfId="10332" priority="3172">
      <formula>AND(IF($Q178=3,1,IF($Q178=4,1,0)),IF($F178&lt;=85,1,0))</formula>
    </cfRule>
  </conditionalFormatting>
  <conditionalFormatting sqref="AV179">
    <cfRule type="expression" dxfId="10331" priority="3167">
      <formula>AV179="X"</formula>
    </cfRule>
    <cfRule type="expression" dxfId="10330" priority="3168">
      <formula>AV179="후보"</formula>
    </cfRule>
  </conditionalFormatting>
  <conditionalFormatting sqref="AC179">
    <cfRule type="cellIs" dxfId="10329" priority="3165" operator="greaterThan">
      <formula>0.9</formula>
    </cfRule>
    <cfRule type="cellIs" dxfId="10328" priority="3166" operator="greaterThan">
      <formula>0.85</formula>
    </cfRule>
  </conditionalFormatting>
  <conditionalFormatting sqref="N179">
    <cfRule type="cellIs" dxfId="10327" priority="3163" operator="greaterThan">
      <formula>0.9</formula>
    </cfRule>
    <cfRule type="cellIs" dxfId="10326" priority="3164" operator="greaterThan">
      <formula>0.85</formula>
    </cfRule>
  </conditionalFormatting>
  <conditionalFormatting sqref="E179">
    <cfRule type="expression" dxfId="10325" priority="3159">
      <formula>AND(IF(OR($Q179=1,$Q179=2),1,0),IF($X179&lt;=20,1,0))</formula>
    </cfRule>
    <cfRule type="expression" dxfId="10324" priority="3160">
      <formula>AND(IF($Q179=2,1,0),IF($X179&lt;30,1,0))</formula>
    </cfRule>
    <cfRule type="expression" dxfId="10323" priority="3161">
      <formula>AND(IF($Q179=3,1,0),IF($X179&lt;30,1,0))</formula>
    </cfRule>
    <cfRule type="expression" dxfId="10322" priority="3162">
      <formula>AND(IF($Q179=3,1,IF($Q179=4,1,0)),IF($F179&lt;=85,1,0))</formula>
    </cfRule>
  </conditionalFormatting>
  <conditionalFormatting sqref="X179">
    <cfRule type="expression" dxfId="10321" priority="3155">
      <formula>AND(IF(OR($Q179=1,$Q179=2),1,0),IF($X179&lt;=20,1,0))</formula>
    </cfRule>
    <cfRule type="expression" dxfId="10320" priority="3156">
      <formula>AND(IF($Q179=2,1,0),IF($X179&lt;30,1,0))</formula>
    </cfRule>
    <cfRule type="expression" dxfId="10319" priority="3157">
      <formula>AND(IF($Q179=3,1,0),IF($X179&lt;30,1,0))</formula>
    </cfRule>
    <cfRule type="expression" dxfId="10318" priority="3158">
      <formula>AND(IF($Q179=3,1,IF($Q179=4,1,0)),IF($F179&lt;=85,1,0))</formula>
    </cfRule>
  </conditionalFormatting>
  <conditionalFormatting sqref="AI179">
    <cfRule type="expression" dxfId="10317" priority="3151">
      <formula>AND(IF(OR($Q179=1,$Q179=2),1,0),IF($X179&lt;=20,1,0))</formula>
    </cfRule>
    <cfRule type="expression" dxfId="10316" priority="3152">
      <formula>AND(IF($Q179=2,1,0),IF($X179&lt;30,1,0))</formula>
    </cfRule>
    <cfRule type="expression" dxfId="10315" priority="3153">
      <formula>AND(IF($Q179=3,1,0),IF($X179&lt;30,1,0))</formula>
    </cfRule>
    <cfRule type="expression" dxfId="10314" priority="3154">
      <formula>AND(IF($Q179=3,1,IF($Q179=4,1,0)),IF($F179&lt;=85,1,0))</formula>
    </cfRule>
  </conditionalFormatting>
  <conditionalFormatting sqref="AV180">
    <cfRule type="expression" dxfId="10313" priority="3149">
      <formula>AV180="X"</formula>
    </cfRule>
    <cfRule type="expression" dxfId="10312" priority="3150">
      <formula>AV180="후보"</formula>
    </cfRule>
  </conditionalFormatting>
  <conditionalFormatting sqref="AC180">
    <cfRule type="cellIs" dxfId="10311" priority="3147" operator="greaterThan">
      <formula>0.9</formula>
    </cfRule>
    <cfRule type="cellIs" dxfId="10310" priority="3148" operator="greaterThan">
      <formula>0.85</formula>
    </cfRule>
  </conditionalFormatting>
  <conditionalFormatting sqref="N180">
    <cfRule type="cellIs" dxfId="10309" priority="3145" operator="greaterThan">
      <formula>0.9</formula>
    </cfRule>
    <cfRule type="cellIs" dxfId="10308" priority="3146" operator="greaterThan">
      <formula>0.85</formula>
    </cfRule>
  </conditionalFormatting>
  <conditionalFormatting sqref="E180">
    <cfRule type="expression" dxfId="10307" priority="3141">
      <formula>AND(IF(OR($Q180=1,$Q180=2),1,0),IF($X180&lt;=20,1,0))</formula>
    </cfRule>
    <cfRule type="expression" dxfId="10306" priority="3142">
      <formula>AND(IF($Q180=2,1,0),IF($X180&lt;30,1,0))</formula>
    </cfRule>
    <cfRule type="expression" dxfId="10305" priority="3143">
      <formula>AND(IF($Q180=3,1,0),IF($X180&lt;30,1,0))</formula>
    </cfRule>
    <cfRule type="expression" dxfId="10304" priority="3144">
      <formula>AND(IF($Q180=3,1,IF($Q180=4,1,0)),IF($F180&lt;=85,1,0))</formula>
    </cfRule>
  </conditionalFormatting>
  <conditionalFormatting sqref="X180">
    <cfRule type="expression" dxfId="10303" priority="3137">
      <formula>AND(IF(OR($Q180=1,$Q180=2),1,0),IF($X180&lt;=20,1,0))</formula>
    </cfRule>
    <cfRule type="expression" dxfId="10302" priority="3138">
      <formula>AND(IF($Q180=2,1,0),IF($X180&lt;30,1,0))</formula>
    </cfRule>
    <cfRule type="expression" dxfId="10301" priority="3139">
      <formula>AND(IF($Q180=3,1,0),IF($X180&lt;30,1,0))</formula>
    </cfRule>
    <cfRule type="expression" dxfId="10300" priority="3140">
      <formula>AND(IF($Q180=3,1,IF($Q180=4,1,0)),IF($F180&lt;=85,1,0))</formula>
    </cfRule>
  </conditionalFormatting>
  <conditionalFormatting sqref="AI180">
    <cfRule type="expression" dxfId="10299" priority="3133">
      <formula>AND(IF(OR($Q180=1,$Q180=2),1,0),IF($X180&lt;=20,1,0))</formula>
    </cfRule>
    <cfRule type="expression" dxfId="10298" priority="3134">
      <formula>AND(IF($Q180=2,1,0),IF($X180&lt;30,1,0))</formula>
    </cfRule>
    <cfRule type="expression" dxfId="10297" priority="3135">
      <formula>AND(IF($Q180=3,1,0),IF($X180&lt;30,1,0))</formula>
    </cfRule>
    <cfRule type="expression" dxfId="10296" priority="3136">
      <formula>AND(IF($Q180=3,1,IF($Q180=4,1,0)),IF($F180&lt;=85,1,0))</formula>
    </cfRule>
  </conditionalFormatting>
  <conditionalFormatting sqref="AV181">
    <cfRule type="expression" dxfId="10295" priority="3131">
      <formula>AV181="X"</formula>
    </cfRule>
    <cfRule type="expression" dxfId="10294" priority="3132">
      <formula>AV181="후보"</formula>
    </cfRule>
  </conditionalFormatting>
  <conditionalFormatting sqref="AC181">
    <cfRule type="cellIs" dxfId="10293" priority="3129" operator="greaterThan">
      <formula>0.9</formula>
    </cfRule>
    <cfRule type="cellIs" dxfId="10292" priority="3130" operator="greaterThan">
      <formula>0.85</formula>
    </cfRule>
  </conditionalFormatting>
  <conditionalFormatting sqref="N181">
    <cfRule type="cellIs" dxfId="10291" priority="3127" operator="greaterThan">
      <formula>0.9</formula>
    </cfRule>
    <cfRule type="cellIs" dxfId="10290" priority="3128" operator="greaterThan">
      <formula>0.85</formula>
    </cfRule>
  </conditionalFormatting>
  <conditionalFormatting sqref="E181">
    <cfRule type="expression" dxfId="10289" priority="3123">
      <formula>AND(IF(OR($Q181=1,$Q181=2),1,0),IF($X181&lt;=20,1,0))</formula>
    </cfRule>
    <cfRule type="expression" dxfId="10288" priority="3124">
      <formula>AND(IF($Q181=2,1,0),IF($X181&lt;30,1,0))</formula>
    </cfRule>
    <cfRule type="expression" dxfId="10287" priority="3125">
      <formula>AND(IF($Q181=3,1,0),IF($X181&lt;30,1,0))</formula>
    </cfRule>
    <cfRule type="expression" dxfId="10286" priority="3126">
      <formula>AND(IF($Q181=3,1,IF($Q181=4,1,0)),IF($F181&lt;=85,1,0))</formula>
    </cfRule>
  </conditionalFormatting>
  <conditionalFormatting sqref="X181">
    <cfRule type="expression" dxfId="10285" priority="3119">
      <formula>AND(IF(OR($Q181=1,$Q181=2),1,0),IF($X181&lt;=20,1,0))</formula>
    </cfRule>
    <cfRule type="expression" dxfId="10284" priority="3120">
      <formula>AND(IF($Q181=2,1,0),IF($X181&lt;30,1,0))</formula>
    </cfRule>
    <cfRule type="expression" dxfId="10283" priority="3121">
      <formula>AND(IF($Q181=3,1,0),IF($X181&lt;30,1,0))</formula>
    </cfRule>
    <cfRule type="expression" dxfId="10282" priority="3122">
      <formula>AND(IF($Q181=3,1,IF($Q181=4,1,0)),IF($F181&lt;=85,1,0))</formula>
    </cfRule>
  </conditionalFormatting>
  <conditionalFormatting sqref="AI181">
    <cfRule type="expression" dxfId="10281" priority="3115">
      <formula>AND(IF(OR($Q181=1,$Q181=2),1,0),IF($X181&lt;=20,1,0))</formula>
    </cfRule>
    <cfRule type="expression" dxfId="10280" priority="3116">
      <formula>AND(IF($Q181=2,1,0),IF($X181&lt;30,1,0))</formula>
    </cfRule>
    <cfRule type="expression" dxfId="10279" priority="3117">
      <formula>AND(IF($Q181=3,1,0),IF($X181&lt;30,1,0))</formula>
    </cfRule>
    <cfRule type="expression" dxfId="10278" priority="3118">
      <formula>AND(IF($Q181=3,1,IF($Q181=4,1,0)),IF($F181&lt;=85,1,0))</formula>
    </cfRule>
  </conditionalFormatting>
  <conditionalFormatting sqref="AV182">
    <cfRule type="expression" dxfId="10277" priority="3113">
      <formula>AV182="X"</formula>
    </cfRule>
    <cfRule type="expression" dxfId="10276" priority="3114">
      <formula>AV182="후보"</formula>
    </cfRule>
  </conditionalFormatting>
  <conditionalFormatting sqref="AC182">
    <cfRule type="cellIs" dxfId="10275" priority="3111" operator="greaterThan">
      <formula>0.9</formula>
    </cfRule>
    <cfRule type="cellIs" dxfId="10274" priority="3112" operator="greaterThan">
      <formula>0.85</formula>
    </cfRule>
  </conditionalFormatting>
  <conditionalFormatting sqref="N182">
    <cfRule type="cellIs" dxfId="10273" priority="3109" operator="greaterThan">
      <formula>0.9</formula>
    </cfRule>
    <cfRule type="cellIs" dxfId="10272" priority="3110" operator="greaterThan">
      <formula>0.85</formula>
    </cfRule>
  </conditionalFormatting>
  <conditionalFormatting sqref="E182">
    <cfRule type="expression" dxfId="10271" priority="3105">
      <formula>AND(IF(OR($Q182=1,$Q182=2),1,0),IF($X182&lt;=20,1,0))</formula>
    </cfRule>
    <cfRule type="expression" dxfId="10270" priority="3106">
      <formula>AND(IF($Q182=2,1,0),IF($X182&lt;30,1,0))</formula>
    </cfRule>
    <cfRule type="expression" dxfId="10269" priority="3107">
      <formula>AND(IF($Q182=3,1,0),IF($X182&lt;30,1,0))</formula>
    </cfRule>
    <cfRule type="expression" dxfId="10268" priority="3108">
      <formula>AND(IF($Q182=3,1,IF($Q182=4,1,0)),IF($F182&lt;=85,1,0))</formula>
    </cfRule>
  </conditionalFormatting>
  <conditionalFormatting sqref="X182">
    <cfRule type="expression" dxfId="10267" priority="3101">
      <formula>AND(IF(OR($Q182=1,$Q182=2),1,0),IF($X182&lt;=20,1,0))</formula>
    </cfRule>
    <cfRule type="expression" dxfId="10266" priority="3102">
      <formula>AND(IF($Q182=2,1,0),IF($X182&lt;30,1,0))</formula>
    </cfRule>
    <cfRule type="expression" dxfId="10265" priority="3103">
      <formula>AND(IF($Q182=3,1,0),IF($X182&lt;30,1,0))</formula>
    </cfRule>
    <cfRule type="expression" dxfId="10264" priority="3104">
      <formula>AND(IF($Q182=3,1,IF($Q182=4,1,0)),IF($F182&lt;=85,1,0))</formula>
    </cfRule>
  </conditionalFormatting>
  <conditionalFormatting sqref="AI182">
    <cfRule type="expression" dxfId="10263" priority="3097">
      <formula>AND(IF(OR($Q182=1,$Q182=2),1,0),IF($X182&lt;=20,1,0))</formula>
    </cfRule>
    <cfRule type="expression" dxfId="10262" priority="3098">
      <formula>AND(IF($Q182=2,1,0),IF($X182&lt;30,1,0))</formula>
    </cfRule>
    <cfRule type="expression" dxfId="10261" priority="3099">
      <formula>AND(IF($Q182=3,1,0),IF($X182&lt;30,1,0))</formula>
    </cfRule>
    <cfRule type="expression" dxfId="10260" priority="3100">
      <formula>AND(IF($Q182=3,1,IF($Q182=4,1,0)),IF($F182&lt;=85,1,0))</formula>
    </cfRule>
  </conditionalFormatting>
  <conditionalFormatting sqref="AV183">
    <cfRule type="expression" dxfId="10259" priority="3095">
      <formula>AV183="X"</formula>
    </cfRule>
    <cfRule type="expression" dxfId="10258" priority="3096">
      <formula>AV183="후보"</formula>
    </cfRule>
  </conditionalFormatting>
  <conditionalFormatting sqref="AC183">
    <cfRule type="cellIs" dxfId="10257" priority="3093" operator="greaterThan">
      <formula>0.9</formula>
    </cfRule>
    <cfRule type="cellIs" dxfId="10256" priority="3094" operator="greaterThan">
      <formula>0.85</formula>
    </cfRule>
  </conditionalFormatting>
  <conditionalFormatting sqref="N183">
    <cfRule type="cellIs" dxfId="10255" priority="3091" operator="greaterThan">
      <formula>0.9</formula>
    </cfRule>
    <cfRule type="cellIs" dxfId="10254" priority="3092" operator="greaterThan">
      <formula>0.85</formula>
    </cfRule>
  </conditionalFormatting>
  <conditionalFormatting sqref="E183">
    <cfRule type="expression" dxfId="10253" priority="3087">
      <formula>AND(IF(OR($Q183=1,$Q183=2),1,0),IF($X183&lt;=20,1,0))</formula>
    </cfRule>
    <cfRule type="expression" dxfId="10252" priority="3088">
      <formula>AND(IF($Q183=2,1,0),IF($X183&lt;30,1,0))</formula>
    </cfRule>
    <cfRule type="expression" dxfId="10251" priority="3089">
      <formula>AND(IF($Q183=3,1,0),IF($X183&lt;30,1,0))</formula>
    </cfRule>
    <cfRule type="expression" dxfId="10250" priority="3090">
      <formula>AND(IF($Q183=3,1,IF($Q183=4,1,0)),IF($F183&lt;=85,1,0))</formula>
    </cfRule>
  </conditionalFormatting>
  <conditionalFormatting sqref="X183">
    <cfRule type="expression" dxfId="10249" priority="3083">
      <formula>AND(IF(OR($Q183=1,$Q183=2),1,0),IF($X183&lt;=20,1,0))</formula>
    </cfRule>
    <cfRule type="expression" dxfId="10248" priority="3084">
      <formula>AND(IF($Q183=2,1,0),IF($X183&lt;30,1,0))</formula>
    </cfRule>
    <cfRule type="expression" dxfId="10247" priority="3085">
      <formula>AND(IF($Q183=3,1,0),IF($X183&lt;30,1,0))</formula>
    </cfRule>
    <cfRule type="expression" dxfId="10246" priority="3086">
      <formula>AND(IF($Q183=3,1,IF($Q183=4,1,0)),IF($F183&lt;=85,1,0))</formula>
    </cfRule>
  </conditionalFormatting>
  <conditionalFormatting sqref="AI183">
    <cfRule type="expression" dxfId="10245" priority="3079">
      <formula>AND(IF(OR($Q183=1,$Q183=2),1,0),IF($X183&lt;=20,1,0))</formula>
    </cfRule>
    <cfRule type="expression" dxfId="10244" priority="3080">
      <formula>AND(IF($Q183=2,1,0),IF($X183&lt;30,1,0))</formula>
    </cfRule>
    <cfRule type="expression" dxfId="10243" priority="3081">
      <formula>AND(IF($Q183=3,1,0),IF($X183&lt;30,1,0))</formula>
    </cfRule>
    <cfRule type="expression" dxfId="10242" priority="3082">
      <formula>AND(IF($Q183=3,1,IF($Q183=4,1,0)),IF($F183&lt;=85,1,0))</formula>
    </cfRule>
  </conditionalFormatting>
  <conditionalFormatting sqref="AV184">
    <cfRule type="expression" dxfId="10241" priority="3077">
      <formula>AV184="X"</formula>
    </cfRule>
    <cfRule type="expression" dxfId="10240" priority="3078">
      <formula>AV184="후보"</formula>
    </cfRule>
  </conditionalFormatting>
  <conditionalFormatting sqref="AC184">
    <cfRule type="cellIs" dxfId="10239" priority="3075" operator="greaterThan">
      <formula>0.9</formula>
    </cfRule>
    <cfRule type="cellIs" dxfId="10238" priority="3076" operator="greaterThan">
      <formula>0.85</formula>
    </cfRule>
  </conditionalFormatting>
  <conditionalFormatting sqref="N184">
    <cfRule type="cellIs" dxfId="10237" priority="3073" operator="greaterThan">
      <formula>0.9</formula>
    </cfRule>
    <cfRule type="cellIs" dxfId="10236" priority="3074" operator="greaterThan">
      <formula>0.85</formula>
    </cfRule>
  </conditionalFormatting>
  <conditionalFormatting sqref="E184">
    <cfRule type="expression" dxfId="10235" priority="3069">
      <formula>AND(IF(OR($Q184=1,$Q184=2),1,0),IF($X184&lt;=20,1,0))</formula>
    </cfRule>
    <cfRule type="expression" dxfId="10234" priority="3070">
      <formula>AND(IF($Q184=2,1,0),IF($X184&lt;30,1,0))</formula>
    </cfRule>
    <cfRule type="expression" dxfId="10233" priority="3071">
      <formula>AND(IF($Q184=3,1,0),IF($X184&lt;30,1,0))</formula>
    </cfRule>
    <cfRule type="expression" dxfId="10232" priority="3072">
      <formula>AND(IF($Q184=3,1,IF($Q184=4,1,0)),IF($F184&lt;=85,1,0))</formula>
    </cfRule>
  </conditionalFormatting>
  <conditionalFormatting sqref="X184">
    <cfRule type="expression" dxfId="10231" priority="3065">
      <formula>AND(IF(OR($Q184=1,$Q184=2),1,0),IF($X184&lt;=20,1,0))</formula>
    </cfRule>
    <cfRule type="expression" dxfId="10230" priority="3066">
      <formula>AND(IF($Q184=2,1,0),IF($X184&lt;30,1,0))</formula>
    </cfRule>
    <cfRule type="expression" dxfId="10229" priority="3067">
      <formula>AND(IF($Q184=3,1,0),IF($X184&lt;30,1,0))</formula>
    </cfRule>
    <cfRule type="expression" dxfId="10228" priority="3068">
      <formula>AND(IF($Q184=3,1,IF($Q184=4,1,0)),IF($F184&lt;=85,1,0))</formula>
    </cfRule>
  </conditionalFormatting>
  <conditionalFormatting sqref="AI184">
    <cfRule type="expression" dxfId="10227" priority="3061">
      <formula>AND(IF(OR($Q184=1,$Q184=2),1,0),IF($X184&lt;=20,1,0))</formula>
    </cfRule>
    <cfRule type="expression" dxfId="10226" priority="3062">
      <formula>AND(IF($Q184=2,1,0),IF($X184&lt;30,1,0))</formula>
    </cfRule>
    <cfRule type="expression" dxfId="10225" priority="3063">
      <formula>AND(IF($Q184=3,1,0),IF($X184&lt;30,1,0))</formula>
    </cfRule>
    <cfRule type="expression" dxfId="10224" priority="3064">
      <formula>AND(IF($Q184=3,1,IF($Q184=4,1,0)),IF($F184&lt;=85,1,0))</formula>
    </cfRule>
  </conditionalFormatting>
  <conditionalFormatting sqref="AV185">
    <cfRule type="expression" dxfId="10223" priority="3059">
      <formula>AV185="X"</formula>
    </cfRule>
    <cfRule type="expression" dxfId="10222" priority="3060">
      <formula>AV185="후보"</formula>
    </cfRule>
  </conditionalFormatting>
  <conditionalFormatting sqref="AC185">
    <cfRule type="cellIs" dxfId="10221" priority="3057" operator="greaterThan">
      <formula>0.9</formula>
    </cfRule>
    <cfRule type="cellIs" dxfId="10220" priority="3058" operator="greaterThan">
      <formula>0.85</formula>
    </cfRule>
  </conditionalFormatting>
  <conditionalFormatting sqref="N185">
    <cfRule type="cellIs" dxfId="10219" priority="3055" operator="greaterThan">
      <formula>0.9</formula>
    </cfRule>
    <cfRule type="cellIs" dxfId="10218" priority="3056" operator="greaterThan">
      <formula>0.85</formula>
    </cfRule>
  </conditionalFormatting>
  <conditionalFormatting sqref="E185">
    <cfRule type="expression" dxfId="10217" priority="3051">
      <formula>AND(IF(OR($Q185=1,$Q185=2),1,0),IF($X185&lt;=20,1,0))</formula>
    </cfRule>
    <cfRule type="expression" dxfId="10216" priority="3052">
      <formula>AND(IF($Q185=2,1,0),IF($X185&lt;30,1,0))</formula>
    </cfRule>
    <cfRule type="expression" dxfId="10215" priority="3053">
      <formula>AND(IF($Q185=3,1,0),IF($X185&lt;30,1,0))</formula>
    </cfRule>
    <cfRule type="expression" dxfId="10214" priority="3054">
      <formula>AND(IF($Q185=3,1,IF($Q185=4,1,0)),IF($F185&lt;=85,1,0))</formula>
    </cfRule>
  </conditionalFormatting>
  <conditionalFormatting sqref="X185">
    <cfRule type="expression" dxfId="10213" priority="3047">
      <formula>AND(IF(OR($Q185=1,$Q185=2),1,0),IF($X185&lt;=20,1,0))</formula>
    </cfRule>
    <cfRule type="expression" dxfId="10212" priority="3048">
      <formula>AND(IF($Q185=2,1,0),IF($X185&lt;30,1,0))</formula>
    </cfRule>
    <cfRule type="expression" dxfId="10211" priority="3049">
      <formula>AND(IF($Q185=3,1,0),IF($X185&lt;30,1,0))</formula>
    </cfRule>
    <cfRule type="expression" dxfId="10210" priority="3050">
      <formula>AND(IF($Q185=3,1,IF($Q185=4,1,0)),IF($F185&lt;=85,1,0))</formula>
    </cfRule>
  </conditionalFormatting>
  <conditionalFormatting sqref="AI185">
    <cfRule type="expression" dxfId="10209" priority="3043">
      <formula>AND(IF(OR($Q185=1,$Q185=2),1,0),IF($X185&lt;=20,1,0))</formula>
    </cfRule>
    <cfRule type="expression" dxfId="10208" priority="3044">
      <formula>AND(IF($Q185=2,1,0),IF($X185&lt;30,1,0))</formula>
    </cfRule>
    <cfRule type="expression" dxfId="10207" priority="3045">
      <formula>AND(IF($Q185=3,1,0),IF($X185&lt;30,1,0))</formula>
    </cfRule>
    <cfRule type="expression" dxfId="10206" priority="3046">
      <formula>AND(IF($Q185=3,1,IF($Q185=4,1,0)),IF($F185&lt;=85,1,0))</formula>
    </cfRule>
  </conditionalFormatting>
  <conditionalFormatting sqref="AV186">
    <cfRule type="expression" dxfId="10205" priority="3041">
      <formula>AV186="X"</formula>
    </cfRule>
    <cfRule type="expression" dxfId="10204" priority="3042">
      <formula>AV186="후보"</formula>
    </cfRule>
  </conditionalFormatting>
  <conditionalFormatting sqref="AC186">
    <cfRule type="cellIs" dxfId="10203" priority="3039" operator="greaterThan">
      <formula>0.9</formula>
    </cfRule>
    <cfRule type="cellIs" dxfId="10202" priority="3040" operator="greaterThan">
      <formula>0.85</formula>
    </cfRule>
  </conditionalFormatting>
  <conditionalFormatting sqref="N186">
    <cfRule type="cellIs" dxfId="10201" priority="3037" operator="greaterThan">
      <formula>0.9</formula>
    </cfRule>
    <cfRule type="cellIs" dxfId="10200" priority="3038" operator="greaterThan">
      <formula>0.85</formula>
    </cfRule>
  </conditionalFormatting>
  <conditionalFormatting sqref="E186">
    <cfRule type="expression" dxfId="10199" priority="3033">
      <formula>AND(IF(OR($Q186=1,$Q186=2),1,0),IF($X186&lt;=20,1,0))</formula>
    </cfRule>
    <cfRule type="expression" dxfId="10198" priority="3034">
      <formula>AND(IF($Q186=2,1,0),IF($X186&lt;30,1,0))</formula>
    </cfRule>
    <cfRule type="expression" dxfId="10197" priority="3035">
      <formula>AND(IF($Q186=3,1,0),IF($X186&lt;30,1,0))</formula>
    </cfRule>
    <cfRule type="expression" dxfId="10196" priority="3036">
      <formula>AND(IF($Q186=3,1,IF($Q186=4,1,0)),IF($F186&lt;=85,1,0))</formula>
    </cfRule>
  </conditionalFormatting>
  <conditionalFormatting sqref="X186">
    <cfRule type="expression" dxfId="10195" priority="3029">
      <formula>AND(IF(OR($Q186=1,$Q186=2),1,0),IF($X186&lt;=20,1,0))</formula>
    </cfRule>
    <cfRule type="expression" dxfId="10194" priority="3030">
      <formula>AND(IF($Q186=2,1,0),IF($X186&lt;30,1,0))</formula>
    </cfRule>
    <cfRule type="expression" dxfId="10193" priority="3031">
      <formula>AND(IF($Q186=3,1,0),IF($X186&lt;30,1,0))</formula>
    </cfRule>
    <cfRule type="expression" dxfId="10192" priority="3032">
      <formula>AND(IF($Q186=3,1,IF($Q186=4,1,0)),IF($F186&lt;=85,1,0))</formula>
    </cfRule>
  </conditionalFormatting>
  <conditionalFormatting sqref="AI186">
    <cfRule type="expression" dxfId="10191" priority="3025">
      <formula>AND(IF(OR($Q186=1,$Q186=2),1,0),IF($X186&lt;=20,1,0))</formula>
    </cfRule>
    <cfRule type="expression" dxfId="10190" priority="3026">
      <formula>AND(IF($Q186=2,1,0),IF($X186&lt;30,1,0))</formula>
    </cfRule>
    <cfRule type="expression" dxfId="10189" priority="3027">
      <formula>AND(IF($Q186=3,1,0),IF($X186&lt;30,1,0))</formula>
    </cfRule>
    <cfRule type="expression" dxfId="10188" priority="3028">
      <formula>AND(IF($Q186=3,1,IF($Q186=4,1,0)),IF($F186&lt;=85,1,0))</formula>
    </cfRule>
  </conditionalFormatting>
  <conditionalFormatting sqref="AV187">
    <cfRule type="expression" dxfId="10187" priority="3023">
      <formula>AV187="X"</formula>
    </cfRule>
    <cfRule type="expression" dxfId="10186" priority="3024">
      <formula>AV187="후보"</formula>
    </cfRule>
  </conditionalFormatting>
  <conditionalFormatting sqref="AC187">
    <cfRule type="cellIs" dxfId="10185" priority="3021" operator="greaterThan">
      <formula>0.9</formula>
    </cfRule>
    <cfRule type="cellIs" dxfId="10184" priority="3022" operator="greaterThan">
      <formula>0.85</formula>
    </cfRule>
  </conditionalFormatting>
  <conditionalFormatting sqref="N187">
    <cfRule type="cellIs" dxfId="10183" priority="3019" operator="greaterThan">
      <formula>0.9</formula>
    </cfRule>
    <cfRule type="cellIs" dxfId="10182" priority="3020" operator="greaterThan">
      <formula>0.85</formula>
    </cfRule>
  </conditionalFormatting>
  <conditionalFormatting sqref="E187">
    <cfRule type="expression" dxfId="10181" priority="3015">
      <formula>AND(IF(OR($Q187=1,$Q187=2),1,0),IF($X187&lt;=20,1,0))</formula>
    </cfRule>
    <cfRule type="expression" dxfId="10180" priority="3016">
      <formula>AND(IF($Q187=2,1,0),IF($X187&lt;30,1,0))</formula>
    </cfRule>
    <cfRule type="expression" dxfId="10179" priority="3017">
      <formula>AND(IF($Q187=3,1,0),IF($X187&lt;30,1,0))</formula>
    </cfRule>
    <cfRule type="expression" dxfId="10178" priority="3018">
      <formula>AND(IF($Q187=3,1,IF($Q187=4,1,0)),IF($F187&lt;=85,1,0))</formula>
    </cfRule>
  </conditionalFormatting>
  <conditionalFormatting sqref="X187">
    <cfRule type="expression" dxfId="10177" priority="3011">
      <formula>AND(IF(OR($Q187=1,$Q187=2),1,0),IF($X187&lt;=20,1,0))</formula>
    </cfRule>
    <cfRule type="expression" dxfId="10176" priority="3012">
      <formula>AND(IF($Q187=2,1,0),IF($X187&lt;30,1,0))</formula>
    </cfRule>
    <cfRule type="expression" dxfId="10175" priority="3013">
      <formula>AND(IF($Q187=3,1,0),IF($X187&lt;30,1,0))</formula>
    </cfRule>
    <cfRule type="expression" dxfId="10174" priority="3014">
      <formula>AND(IF($Q187=3,1,IF($Q187=4,1,0)),IF($F187&lt;=85,1,0))</formula>
    </cfRule>
  </conditionalFormatting>
  <conditionalFormatting sqref="AI187">
    <cfRule type="expression" dxfId="10173" priority="3007">
      <formula>AND(IF(OR($Q187=1,$Q187=2),1,0),IF($X187&lt;=20,1,0))</formula>
    </cfRule>
    <cfRule type="expression" dxfId="10172" priority="3008">
      <formula>AND(IF($Q187=2,1,0),IF($X187&lt;30,1,0))</formula>
    </cfRule>
    <cfRule type="expression" dxfId="10171" priority="3009">
      <formula>AND(IF($Q187=3,1,0),IF($X187&lt;30,1,0))</formula>
    </cfRule>
    <cfRule type="expression" dxfId="10170" priority="3010">
      <formula>AND(IF($Q187=3,1,IF($Q187=4,1,0)),IF($F187&lt;=85,1,0))</formula>
    </cfRule>
  </conditionalFormatting>
  <conditionalFormatting sqref="AV188">
    <cfRule type="expression" dxfId="10169" priority="3005">
      <formula>AV188="X"</formula>
    </cfRule>
    <cfRule type="expression" dxfId="10168" priority="3006">
      <formula>AV188="후보"</formula>
    </cfRule>
  </conditionalFormatting>
  <conditionalFormatting sqref="AC188">
    <cfRule type="cellIs" dxfId="10167" priority="3003" operator="greaterThan">
      <formula>0.9</formula>
    </cfRule>
    <cfRule type="cellIs" dxfId="10166" priority="3004" operator="greaterThan">
      <formula>0.85</formula>
    </cfRule>
  </conditionalFormatting>
  <conditionalFormatting sqref="N188">
    <cfRule type="cellIs" dxfId="10165" priority="3001" operator="greaterThan">
      <formula>0.9</formula>
    </cfRule>
    <cfRule type="cellIs" dxfId="10164" priority="3002" operator="greaterThan">
      <formula>0.85</formula>
    </cfRule>
  </conditionalFormatting>
  <conditionalFormatting sqref="E188">
    <cfRule type="expression" dxfId="10163" priority="2997">
      <formula>AND(IF(OR($Q188=1,$Q188=2),1,0),IF($X188&lt;=20,1,0))</formula>
    </cfRule>
    <cfRule type="expression" dxfId="10162" priority="2998">
      <formula>AND(IF($Q188=2,1,0),IF($X188&lt;30,1,0))</formula>
    </cfRule>
    <cfRule type="expression" dxfId="10161" priority="2999">
      <formula>AND(IF($Q188=3,1,0),IF($X188&lt;30,1,0))</formula>
    </cfRule>
    <cfRule type="expression" dxfId="10160" priority="3000">
      <formula>AND(IF($Q188=3,1,IF($Q188=4,1,0)),IF($F188&lt;=85,1,0))</formula>
    </cfRule>
  </conditionalFormatting>
  <conditionalFormatting sqref="X188">
    <cfRule type="expression" dxfId="10159" priority="2993">
      <formula>AND(IF(OR($Q188=1,$Q188=2),1,0),IF($X188&lt;=20,1,0))</formula>
    </cfRule>
    <cfRule type="expression" dxfId="10158" priority="2994">
      <formula>AND(IF($Q188=2,1,0),IF($X188&lt;30,1,0))</formula>
    </cfRule>
    <cfRule type="expression" dxfId="10157" priority="2995">
      <formula>AND(IF($Q188=3,1,0),IF($X188&lt;30,1,0))</formula>
    </cfRule>
    <cfRule type="expression" dxfId="10156" priority="2996">
      <formula>AND(IF($Q188=3,1,IF($Q188=4,1,0)),IF($F188&lt;=85,1,0))</formula>
    </cfRule>
  </conditionalFormatting>
  <conditionalFormatting sqref="AI188">
    <cfRule type="expression" dxfId="10155" priority="2989">
      <formula>AND(IF(OR($Q188=1,$Q188=2),1,0),IF($X188&lt;=20,1,0))</formula>
    </cfRule>
    <cfRule type="expression" dxfId="10154" priority="2990">
      <formula>AND(IF($Q188=2,1,0),IF($X188&lt;30,1,0))</formula>
    </cfRule>
    <cfRule type="expression" dxfId="10153" priority="2991">
      <formula>AND(IF($Q188=3,1,0),IF($X188&lt;30,1,0))</formula>
    </cfRule>
    <cfRule type="expression" dxfId="10152" priority="2992">
      <formula>AND(IF($Q188=3,1,IF($Q188=4,1,0)),IF($F188&lt;=85,1,0))</formula>
    </cfRule>
  </conditionalFormatting>
  <conditionalFormatting sqref="AV189">
    <cfRule type="expression" dxfId="10151" priority="2987">
      <formula>AV189="X"</formula>
    </cfRule>
    <cfRule type="expression" dxfId="10150" priority="2988">
      <formula>AV189="후보"</formula>
    </cfRule>
  </conditionalFormatting>
  <conditionalFormatting sqref="AC189">
    <cfRule type="cellIs" dxfId="10149" priority="2985" operator="greaterThan">
      <formula>0.9</formula>
    </cfRule>
    <cfRule type="cellIs" dxfId="10148" priority="2986" operator="greaterThan">
      <formula>0.85</formula>
    </cfRule>
  </conditionalFormatting>
  <conditionalFormatting sqref="N189">
    <cfRule type="cellIs" dxfId="10147" priority="2983" operator="greaterThan">
      <formula>0.9</formula>
    </cfRule>
    <cfRule type="cellIs" dxfId="10146" priority="2984" operator="greaterThan">
      <formula>0.85</formula>
    </cfRule>
  </conditionalFormatting>
  <conditionalFormatting sqref="E189">
    <cfRule type="expression" dxfId="10145" priority="2979">
      <formula>AND(IF(OR($Q189=1,$Q189=2),1,0),IF($X189&lt;=20,1,0))</formula>
    </cfRule>
    <cfRule type="expression" dxfId="10144" priority="2980">
      <formula>AND(IF($Q189=2,1,0),IF($X189&lt;30,1,0))</formula>
    </cfRule>
    <cfRule type="expression" dxfId="10143" priority="2981">
      <formula>AND(IF($Q189=3,1,0),IF($X189&lt;30,1,0))</formula>
    </cfRule>
    <cfRule type="expression" dxfId="10142" priority="2982">
      <formula>AND(IF($Q189=3,1,IF($Q189=4,1,0)),IF($F189&lt;=85,1,0))</formula>
    </cfRule>
  </conditionalFormatting>
  <conditionalFormatting sqref="X189">
    <cfRule type="expression" dxfId="10141" priority="2975">
      <formula>AND(IF(OR($Q189=1,$Q189=2),1,0),IF($X189&lt;=20,1,0))</formula>
    </cfRule>
    <cfRule type="expression" dxfId="10140" priority="2976">
      <formula>AND(IF($Q189=2,1,0),IF($X189&lt;30,1,0))</formula>
    </cfRule>
    <cfRule type="expression" dxfId="10139" priority="2977">
      <formula>AND(IF($Q189=3,1,0),IF($X189&lt;30,1,0))</formula>
    </cfRule>
    <cfRule type="expression" dxfId="10138" priority="2978">
      <formula>AND(IF($Q189=3,1,IF($Q189=4,1,0)),IF($F189&lt;=85,1,0))</formula>
    </cfRule>
  </conditionalFormatting>
  <conditionalFormatting sqref="AI189">
    <cfRule type="expression" dxfId="10137" priority="2971">
      <formula>AND(IF(OR($Q189=1,$Q189=2),1,0),IF($X189&lt;=20,1,0))</formula>
    </cfRule>
    <cfRule type="expression" dxfId="10136" priority="2972">
      <formula>AND(IF($Q189=2,1,0),IF($X189&lt;30,1,0))</formula>
    </cfRule>
    <cfRule type="expression" dxfId="10135" priority="2973">
      <formula>AND(IF($Q189=3,1,0),IF($X189&lt;30,1,0))</formula>
    </cfRule>
    <cfRule type="expression" dxfId="10134" priority="2974">
      <formula>AND(IF($Q189=3,1,IF($Q189=4,1,0)),IF($F189&lt;=85,1,0))</formula>
    </cfRule>
  </conditionalFormatting>
  <conditionalFormatting sqref="AV190">
    <cfRule type="expression" dxfId="10133" priority="2969">
      <formula>AV190="X"</formula>
    </cfRule>
    <cfRule type="expression" dxfId="10132" priority="2970">
      <formula>AV190="후보"</formula>
    </cfRule>
  </conditionalFormatting>
  <conditionalFormatting sqref="AC190">
    <cfRule type="cellIs" dxfId="10131" priority="2967" operator="greaterThan">
      <formula>0.9</formula>
    </cfRule>
    <cfRule type="cellIs" dxfId="10130" priority="2968" operator="greaterThan">
      <formula>0.85</formula>
    </cfRule>
  </conditionalFormatting>
  <conditionalFormatting sqref="N190">
    <cfRule type="cellIs" dxfId="10129" priority="2965" operator="greaterThan">
      <formula>0.9</formula>
    </cfRule>
    <cfRule type="cellIs" dxfId="10128" priority="2966" operator="greaterThan">
      <formula>0.85</formula>
    </cfRule>
  </conditionalFormatting>
  <conditionalFormatting sqref="E190">
    <cfRule type="expression" dxfId="10127" priority="2961">
      <formula>AND(IF(OR($Q190=1,$Q190=2),1,0),IF($X190&lt;=20,1,0))</formula>
    </cfRule>
    <cfRule type="expression" dxfId="10126" priority="2962">
      <formula>AND(IF($Q190=2,1,0),IF($X190&lt;30,1,0))</formula>
    </cfRule>
    <cfRule type="expression" dxfId="10125" priority="2963">
      <formula>AND(IF($Q190=3,1,0),IF($X190&lt;30,1,0))</formula>
    </cfRule>
    <cfRule type="expression" dxfId="10124" priority="2964">
      <formula>AND(IF($Q190=3,1,IF($Q190=4,1,0)),IF($F190&lt;=85,1,0))</formula>
    </cfRule>
  </conditionalFormatting>
  <conditionalFormatting sqref="X190">
    <cfRule type="expression" dxfId="10123" priority="2957">
      <formula>AND(IF(OR($Q190=1,$Q190=2),1,0),IF($X190&lt;=20,1,0))</formula>
    </cfRule>
    <cfRule type="expression" dxfId="10122" priority="2958">
      <formula>AND(IF($Q190=2,1,0),IF($X190&lt;30,1,0))</formula>
    </cfRule>
    <cfRule type="expression" dxfId="10121" priority="2959">
      <formula>AND(IF($Q190=3,1,0),IF($X190&lt;30,1,0))</formula>
    </cfRule>
    <cfRule type="expression" dxfId="10120" priority="2960">
      <formula>AND(IF($Q190=3,1,IF($Q190=4,1,0)),IF($F190&lt;=85,1,0))</formula>
    </cfRule>
  </conditionalFormatting>
  <conditionalFormatting sqref="AI190">
    <cfRule type="expression" dxfId="10119" priority="2953">
      <formula>AND(IF(OR($Q190=1,$Q190=2),1,0),IF($X190&lt;=20,1,0))</formula>
    </cfRule>
    <cfRule type="expression" dxfId="10118" priority="2954">
      <formula>AND(IF($Q190=2,1,0),IF($X190&lt;30,1,0))</formula>
    </cfRule>
    <cfRule type="expression" dxfId="10117" priority="2955">
      <formula>AND(IF($Q190=3,1,0),IF($X190&lt;30,1,0))</formula>
    </cfRule>
    <cfRule type="expression" dxfId="10116" priority="2956">
      <formula>AND(IF($Q190=3,1,IF($Q190=4,1,0)),IF($F190&lt;=85,1,0))</formula>
    </cfRule>
  </conditionalFormatting>
  <conditionalFormatting sqref="AV191">
    <cfRule type="expression" dxfId="10115" priority="2951">
      <formula>AV191="X"</formula>
    </cfRule>
    <cfRule type="expression" dxfId="10114" priority="2952">
      <formula>AV191="후보"</formula>
    </cfRule>
  </conditionalFormatting>
  <conditionalFormatting sqref="AC191">
    <cfRule type="cellIs" dxfId="10113" priority="2949" operator="greaterThan">
      <formula>0.9</formula>
    </cfRule>
    <cfRule type="cellIs" dxfId="10112" priority="2950" operator="greaterThan">
      <formula>0.85</formula>
    </cfRule>
  </conditionalFormatting>
  <conditionalFormatting sqref="N191">
    <cfRule type="cellIs" dxfId="10111" priority="2947" operator="greaterThan">
      <formula>0.9</formula>
    </cfRule>
    <cfRule type="cellIs" dxfId="10110" priority="2948" operator="greaterThan">
      <formula>0.85</formula>
    </cfRule>
  </conditionalFormatting>
  <conditionalFormatting sqref="E191">
    <cfRule type="expression" dxfId="10109" priority="2943">
      <formula>AND(IF(OR($Q191=1,$Q191=2),1,0),IF($X191&lt;=20,1,0))</formula>
    </cfRule>
    <cfRule type="expression" dxfId="10108" priority="2944">
      <formula>AND(IF($Q191=2,1,0),IF($X191&lt;30,1,0))</formula>
    </cfRule>
    <cfRule type="expression" dxfId="10107" priority="2945">
      <formula>AND(IF($Q191=3,1,0),IF($X191&lt;30,1,0))</formula>
    </cfRule>
    <cfRule type="expression" dxfId="10106" priority="2946">
      <formula>AND(IF($Q191=3,1,IF($Q191=4,1,0)),IF($F191&lt;=85,1,0))</formula>
    </cfRule>
  </conditionalFormatting>
  <conditionalFormatting sqref="X191">
    <cfRule type="expression" dxfId="10105" priority="2939">
      <formula>AND(IF(OR($Q191=1,$Q191=2),1,0),IF($X191&lt;=20,1,0))</formula>
    </cfRule>
    <cfRule type="expression" dxfId="10104" priority="2940">
      <formula>AND(IF($Q191=2,1,0),IF($X191&lt;30,1,0))</formula>
    </cfRule>
    <cfRule type="expression" dxfId="10103" priority="2941">
      <formula>AND(IF($Q191=3,1,0),IF($X191&lt;30,1,0))</formula>
    </cfRule>
    <cfRule type="expression" dxfId="10102" priority="2942">
      <formula>AND(IF($Q191=3,1,IF($Q191=4,1,0)),IF($F191&lt;=85,1,0))</formula>
    </cfRule>
  </conditionalFormatting>
  <conditionalFormatting sqref="AI191">
    <cfRule type="expression" dxfId="10101" priority="2935">
      <formula>AND(IF(OR($Q191=1,$Q191=2),1,0),IF($X191&lt;=20,1,0))</formula>
    </cfRule>
    <cfRule type="expression" dxfId="10100" priority="2936">
      <formula>AND(IF($Q191=2,1,0),IF($X191&lt;30,1,0))</formula>
    </cfRule>
    <cfRule type="expression" dxfId="10099" priority="2937">
      <formula>AND(IF($Q191=3,1,0),IF($X191&lt;30,1,0))</formula>
    </cfRule>
    <cfRule type="expression" dxfId="10098" priority="2938">
      <formula>AND(IF($Q191=3,1,IF($Q191=4,1,0)),IF($F191&lt;=85,1,0))</formula>
    </cfRule>
  </conditionalFormatting>
  <conditionalFormatting sqref="AV192">
    <cfRule type="expression" dxfId="10097" priority="2933">
      <formula>AV192="X"</formula>
    </cfRule>
    <cfRule type="expression" dxfId="10096" priority="2934">
      <formula>AV192="후보"</formula>
    </cfRule>
  </conditionalFormatting>
  <conditionalFormatting sqref="AC192">
    <cfRule type="cellIs" dxfId="10095" priority="2931" operator="greaterThan">
      <formula>0.9</formula>
    </cfRule>
    <cfRule type="cellIs" dxfId="10094" priority="2932" operator="greaterThan">
      <formula>0.85</formula>
    </cfRule>
  </conditionalFormatting>
  <conditionalFormatting sqref="N192">
    <cfRule type="cellIs" dxfId="10093" priority="2929" operator="greaterThan">
      <formula>0.9</formula>
    </cfRule>
    <cfRule type="cellIs" dxfId="10092" priority="2930" operator="greaterThan">
      <formula>0.85</formula>
    </cfRule>
  </conditionalFormatting>
  <conditionalFormatting sqref="E192">
    <cfRule type="expression" dxfId="10091" priority="2925">
      <formula>AND(IF(OR($Q192=1,$Q192=2),1,0),IF($X192&lt;=20,1,0))</formula>
    </cfRule>
    <cfRule type="expression" dxfId="10090" priority="2926">
      <formula>AND(IF($Q192=2,1,0),IF($X192&lt;30,1,0))</formula>
    </cfRule>
    <cfRule type="expression" dxfId="10089" priority="2927">
      <formula>AND(IF($Q192=3,1,0),IF($X192&lt;30,1,0))</formula>
    </cfRule>
    <cfRule type="expression" dxfId="10088" priority="2928">
      <formula>AND(IF($Q192=3,1,IF($Q192=4,1,0)),IF($F192&lt;=85,1,0))</formula>
    </cfRule>
  </conditionalFormatting>
  <conditionalFormatting sqref="X192">
    <cfRule type="expression" dxfId="10087" priority="2921">
      <formula>AND(IF(OR($Q192=1,$Q192=2),1,0),IF($X192&lt;=20,1,0))</formula>
    </cfRule>
    <cfRule type="expression" dxfId="10086" priority="2922">
      <formula>AND(IF($Q192=2,1,0),IF($X192&lt;30,1,0))</formula>
    </cfRule>
    <cfRule type="expression" dxfId="10085" priority="2923">
      <formula>AND(IF($Q192=3,1,0),IF($X192&lt;30,1,0))</formula>
    </cfRule>
    <cfRule type="expression" dxfId="10084" priority="2924">
      <formula>AND(IF($Q192=3,1,IF($Q192=4,1,0)),IF($F192&lt;=85,1,0))</formula>
    </cfRule>
  </conditionalFormatting>
  <conditionalFormatting sqref="AI192">
    <cfRule type="expression" dxfId="10083" priority="2917">
      <formula>AND(IF(OR($Q192=1,$Q192=2),1,0),IF($X192&lt;=20,1,0))</formula>
    </cfRule>
    <cfRule type="expression" dxfId="10082" priority="2918">
      <formula>AND(IF($Q192=2,1,0),IF($X192&lt;30,1,0))</formula>
    </cfRule>
    <cfRule type="expression" dxfId="10081" priority="2919">
      <formula>AND(IF($Q192=3,1,0),IF($X192&lt;30,1,0))</formula>
    </cfRule>
    <cfRule type="expression" dxfId="10080" priority="2920">
      <formula>AND(IF($Q192=3,1,IF($Q192=4,1,0)),IF($F192&lt;=85,1,0))</formula>
    </cfRule>
  </conditionalFormatting>
  <conditionalFormatting sqref="AV193">
    <cfRule type="expression" dxfId="10079" priority="2915">
      <formula>AV193="X"</formula>
    </cfRule>
    <cfRule type="expression" dxfId="10078" priority="2916">
      <formula>AV193="후보"</formula>
    </cfRule>
  </conditionalFormatting>
  <conditionalFormatting sqref="AC193">
    <cfRule type="cellIs" dxfId="10077" priority="2913" operator="greaterThan">
      <formula>0.9</formula>
    </cfRule>
    <cfRule type="cellIs" dxfId="10076" priority="2914" operator="greaterThan">
      <formula>0.85</formula>
    </cfRule>
  </conditionalFormatting>
  <conditionalFormatting sqref="N193">
    <cfRule type="cellIs" dxfId="10075" priority="2911" operator="greaterThan">
      <formula>0.9</formula>
    </cfRule>
    <cfRule type="cellIs" dxfId="10074" priority="2912" operator="greaterThan">
      <formula>0.85</formula>
    </cfRule>
  </conditionalFormatting>
  <conditionalFormatting sqref="E193">
    <cfRule type="expression" dxfId="10073" priority="2907">
      <formula>AND(IF(OR($Q193=1,$Q193=2),1,0),IF($X193&lt;=20,1,0))</formula>
    </cfRule>
    <cfRule type="expression" dxfId="10072" priority="2908">
      <formula>AND(IF($Q193=2,1,0),IF($X193&lt;30,1,0))</formula>
    </cfRule>
    <cfRule type="expression" dxfId="10071" priority="2909">
      <formula>AND(IF($Q193=3,1,0),IF($X193&lt;30,1,0))</formula>
    </cfRule>
    <cfRule type="expression" dxfId="10070" priority="2910">
      <formula>AND(IF($Q193=3,1,IF($Q193=4,1,0)),IF($F193&lt;=85,1,0))</formula>
    </cfRule>
  </conditionalFormatting>
  <conditionalFormatting sqref="X193">
    <cfRule type="expression" dxfId="10069" priority="2903">
      <formula>AND(IF(OR($Q193=1,$Q193=2),1,0),IF($X193&lt;=20,1,0))</formula>
    </cfRule>
    <cfRule type="expression" dxfId="10068" priority="2904">
      <formula>AND(IF($Q193=2,1,0),IF($X193&lt;30,1,0))</formula>
    </cfRule>
    <cfRule type="expression" dxfId="10067" priority="2905">
      <formula>AND(IF($Q193=3,1,0),IF($X193&lt;30,1,0))</formula>
    </cfRule>
    <cfRule type="expression" dxfId="10066" priority="2906">
      <formula>AND(IF($Q193=3,1,IF($Q193=4,1,0)),IF($F193&lt;=85,1,0))</formula>
    </cfRule>
  </conditionalFormatting>
  <conditionalFormatting sqref="AI193">
    <cfRule type="expression" dxfId="10065" priority="2899">
      <formula>AND(IF(OR($Q193=1,$Q193=2),1,0),IF($X193&lt;=20,1,0))</formula>
    </cfRule>
    <cfRule type="expression" dxfId="10064" priority="2900">
      <formula>AND(IF($Q193=2,1,0),IF($X193&lt;30,1,0))</formula>
    </cfRule>
    <cfRule type="expression" dxfId="10063" priority="2901">
      <formula>AND(IF($Q193=3,1,0),IF($X193&lt;30,1,0))</formula>
    </cfRule>
    <cfRule type="expression" dxfId="10062" priority="2902">
      <formula>AND(IF($Q193=3,1,IF($Q193=4,1,0)),IF($F193&lt;=85,1,0))</formula>
    </cfRule>
  </conditionalFormatting>
  <conditionalFormatting sqref="AV194">
    <cfRule type="expression" dxfId="10061" priority="2897">
      <formula>AV194="X"</formula>
    </cfRule>
    <cfRule type="expression" dxfId="10060" priority="2898">
      <formula>AV194="후보"</formula>
    </cfRule>
  </conditionalFormatting>
  <conditionalFormatting sqref="AC194">
    <cfRule type="cellIs" dxfId="10059" priority="2895" operator="greaterThan">
      <formula>0.9</formula>
    </cfRule>
    <cfRule type="cellIs" dxfId="10058" priority="2896" operator="greaterThan">
      <formula>0.85</formula>
    </cfRule>
  </conditionalFormatting>
  <conditionalFormatting sqref="N194">
    <cfRule type="cellIs" dxfId="10057" priority="2893" operator="greaterThan">
      <formula>0.9</formula>
    </cfRule>
    <cfRule type="cellIs" dxfId="10056" priority="2894" operator="greaterThan">
      <formula>0.85</formula>
    </cfRule>
  </conditionalFormatting>
  <conditionalFormatting sqref="E194">
    <cfRule type="expression" dxfId="10055" priority="2889">
      <formula>AND(IF(OR($Q194=1,$Q194=2),1,0),IF($X194&lt;=20,1,0))</formula>
    </cfRule>
    <cfRule type="expression" dxfId="10054" priority="2890">
      <formula>AND(IF($Q194=2,1,0),IF($X194&lt;30,1,0))</formula>
    </cfRule>
    <cfRule type="expression" dxfId="10053" priority="2891">
      <formula>AND(IF($Q194=3,1,0),IF($X194&lt;30,1,0))</formula>
    </cfRule>
    <cfRule type="expression" dxfId="10052" priority="2892">
      <formula>AND(IF($Q194=3,1,IF($Q194=4,1,0)),IF($F194&lt;=85,1,0))</formula>
    </cfRule>
  </conditionalFormatting>
  <conditionalFormatting sqref="X194">
    <cfRule type="expression" dxfId="10051" priority="2885">
      <formula>AND(IF(OR($Q194=1,$Q194=2),1,0),IF($X194&lt;=20,1,0))</formula>
    </cfRule>
    <cfRule type="expression" dxfId="10050" priority="2886">
      <formula>AND(IF($Q194=2,1,0),IF($X194&lt;30,1,0))</formula>
    </cfRule>
    <cfRule type="expression" dxfId="10049" priority="2887">
      <formula>AND(IF($Q194=3,1,0),IF($X194&lt;30,1,0))</formula>
    </cfRule>
    <cfRule type="expression" dxfId="10048" priority="2888">
      <formula>AND(IF($Q194=3,1,IF($Q194=4,1,0)),IF($F194&lt;=85,1,0))</formula>
    </cfRule>
  </conditionalFormatting>
  <conditionalFormatting sqref="AI194">
    <cfRule type="expression" dxfId="10047" priority="2881">
      <formula>AND(IF(OR($Q194=1,$Q194=2),1,0),IF($X194&lt;=20,1,0))</formula>
    </cfRule>
    <cfRule type="expression" dxfId="10046" priority="2882">
      <formula>AND(IF($Q194=2,1,0),IF($X194&lt;30,1,0))</formula>
    </cfRule>
    <cfRule type="expression" dxfId="10045" priority="2883">
      <formula>AND(IF($Q194=3,1,0),IF($X194&lt;30,1,0))</formula>
    </cfRule>
    <cfRule type="expression" dxfId="10044" priority="2884">
      <formula>AND(IF($Q194=3,1,IF($Q194=4,1,0)),IF($F194&lt;=85,1,0))</formula>
    </cfRule>
  </conditionalFormatting>
  <conditionalFormatting sqref="AV195">
    <cfRule type="expression" dxfId="10043" priority="2879">
      <formula>AV195="X"</formula>
    </cfRule>
    <cfRule type="expression" dxfId="10042" priority="2880">
      <formula>AV195="후보"</formula>
    </cfRule>
  </conditionalFormatting>
  <conditionalFormatting sqref="AC195">
    <cfRule type="cellIs" dxfId="10041" priority="2877" operator="greaterThan">
      <formula>0.9</formula>
    </cfRule>
    <cfRule type="cellIs" dxfId="10040" priority="2878" operator="greaterThan">
      <formula>0.85</formula>
    </cfRule>
  </conditionalFormatting>
  <conditionalFormatting sqref="N195">
    <cfRule type="cellIs" dxfId="10039" priority="2875" operator="greaterThan">
      <formula>0.9</formula>
    </cfRule>
    <cfRule type="cellIs" dxfId="10038" priority="2876" operator="greaterThan">
      <formula>0.85</formula>
    </cfRule>
  </conditionalFormatting>
  <conditionalFormatting sqref="E195">
    <cfRule type="expression" dxfId="10037" priority="2871">
      <formula>AND(IF(OR($Q195=1,$Q195=2),1,0),IF($X195&lt;=20,1,0))</formula>
    </cfRule>
    <cfRule type="expression" dxfId="10036" priority="2872">
      <formula>AND(IF($Q195=2,1,0),IF($X195&lt;30,1,0))</formula>
    </cfRule>
    <cfRule type="expression" dxfId="10035" priority="2873">
      <formula>AND(IF($Q195=3,1,0),IF($X195&lt;30,1,0))</formula>
    </cfRule>
    <cfRule type="expression" dxfId="10034" priority="2874">
      <formula>AND(IF($Q195=3,1,IF($Q195=4,1,0)),IF($F195&lt;=85,1,0))</formula>
    </cfRule>
  </conditionalFormatting>
  <conditionalFormatting sqref="X195">
    <cfRule type="expression" dxfId="10033" priority="2867">
      <formula>AND(IF(OR($Q195=1,$Q195=2),1,0),IF($X195&lt;=20,1,0))</formula>
    </cfRule>
    <cfRule type="expression" dxfId="10032" priority="2868">
      <formula>AND(IF($Q195=2,1,0),IF($X195&lt;30,1,0))</formula>
    </cfRule>
    <cfRule type="expression" dxfId="10031" priority="2869">
      <formula>AND(IF($Q195=3,1,0),IF($X195&lt;30,1,0))</formula>
    </cfRule>
    <cfRule type="expression" dxfId="10030" priority="2870">
      <formula>AND(IF($Q195=3,1,IF($Q195=4,1,0)),IF($F195&lt;=85,1,0))</formula>
    </cfRule>
  </conditionalFormatting>
  <conditionalFormatting sqref="AI195">
    <cfRule type="expression" dxfId="10029" priority="2863">
      <formula>AND(IF(OR($Q195=1,$Q195=2),1,0),IF($X195&lt;=20,1,0))</formula>
    </cfRule>
    <cfRule type="expression" dxfId="10028" priority="2864">
      <formula>AND(IF($Q195=2,1,0),IF($X195&lt;30,1,0))</formula>
    </cfRule>
    <cfRule type="expression" dxfId="10027" priority="2865">
      <formula>AND(IF($Q195=3,1,0),IF($X195&lt;30,1,0))</formula>
    </cfRule>
    <cfRule type="expression" dxfId="10026" priority="2866">
      <formula>AND(IF($Q195=3,1,IF($Q195=4,1,0)),IF($F195&lt;=85,1,0))</formula>
    </cfRule>
  </conditionalFormatting>
  <conditionalFormatting sqref="AV196">
    <cfRule type="expression" dxfId="10025" priority="2861">
      <formula>AV196="X"</formula>
    </cfRule>
    <cfRule type="expression" dxfId="10024" priority="2862">
      <formula>AV196="후보"</formula>
    </cfRule>
  </conditionalFormatting>
  <conditionalFormatting sqref="AC196">
    <cfRule type="cellIs" dxfId="10023" priority="2859" operator="greaterThan">
      <formula>0.9</formula>
    </cfRule>
    <cfRule type="cellIs" dxfId="10022" priority="2860" operator="greaterThan">
      <formula>0.85</formula>
    </cfRule>
  </conditionalFormatting>
  <conditionalFormatting sqref="N196">
    <cfRule type="cellIs" dxfId="10021" priority="2857" operator="greaterThan">
      <formula>0.9</formula>
    </cfRule>
    <cfRule type="cellIs" dxfId="10020" priority="2858" operator="greaterThan">
      <formula>0.85</formula>
    </cfRule>
  </conditionalFormatting>
  <conditionalFormatting sqref="E196">
    <cfRule type="expression" dxfId="10019" priority="2853">
      <formula>AND(IF(OR($Q196=1,$Q196=2),1,0),IF($X196&lt;=20,1,0))</formula>
    </cfRule>
    <cfRule type="expression" dxfId="10018" priority="2854">
      <formula>AND(IF($Q196=2,1,0),IF($X196&lt;30,1,0))</formula>
    </cfRule>
    <cfRule type="expression" dxfId="10017" priority="2855">
      <formula>AND(IF($Q196=3,1,0),IF($X196&lt;30,1,0))</formula>
    </cfRule>
    <cfRule type="expression" dxfId="10016" priority="2856">
      <formula>AND(IF($Q196=3,1,IF($Q196=4,1,0)),IF($F196&lt;=85,1,0))</formula>
    </cfRule>
  </conditionalFormatting>
  <conditionalFormatting sqref="X196">
    <cfRule type="expression" dxfId="10015" priority="2849">
      <formula>AND(IF(OR($Q196=1,$Q196=2),1,0),IF($X196&lt;=20,1,0))</formula>
    </cfRule>
    <cfRule type="expression" dxfId="10014" priority="2850">
      <formula>AND(IF($Q196=2,1,0),IF($X196&lt;30,1,0))</formula>
    </cfRule>
    <cfRule type="expression" dxfId="10013" priority="2851">
      <formula>AND(IF($Q196=3,1,0),IF($X196&lt;30,1,0))</formula>
    </cfRule>
    <cfRule type="expression" dxfId="10012" priority="2852">
      <formula>AND(IF($Q196=3,1,IF($Q196=4,1,0)),IF($F196&lt;=85,1,0))</formula>
    </cfRule>
  </conditionalFormatting>
  <conditionalFormatting sqref="AI196">
    <cfRule type="expression" dxfId="10011" priority="2845">
      <formula>AND(IF(OR($Q196=1,$Q196=2),1,0),IF($X196&lt;=20,1,0))</formula>
    </cfRule>
    <cfRule type="expression" dxfId="10010" priority="2846">
      <formula>AND(IF($Q196=2,1,0),IF($X196&lt;30,1,0))</formula>
    </cfRule>
    <cfRule type="expression" dxfId="10009" priority="2847">
      <formula>AND(IF($Q196=3,1,0),IF($X196&lt;30,1,0))</formula>
    </cfRule>
    <cfRule type="expression" dxfId="10008" priority="2848">
      <formula>AND(IF($Q196=3,1,IF($Q196=4,1,0)),IF($F196&lt;=85,1,0))</formula>
    </cfRule>
  </conditionalFormatting>
  <conditionalFormatting sqref="AV197">
    <cfRule type="expression" dxfId="10007" priority="2843">
      <formula>AV197="X"</formula>
    </cfRule>
    <cfRule type="expression" dxfId="10006" priority="2844">
      <formula>AV197="후보"</formula>
    </cfRule>
  </conditionalFormatting>
  <conditionalFormatting sqref="AC197">
    <cfRule type="cellIs" dxfId="10005" priority="2841" operator="greaterThan">
      <formula>0.9</formula>
    </cfRule>
    <cfRule type="cellIs" dxfId="10004" priority="2842" operator="greaterThan">
      <formula>0.85</formula>
    </cfRule>
  </conditionalFormatting>
  <conditionalFormatting sqref="N197">
    <cfRule type="cellIs" dxfId="10003" priority="2839" operator="greaterThan">
      <formula>0.9</formula>
    </cfRule>
    <cfRule type="cellIs" dxfId="10002" priority="2840" operator="greaterThan">
      <formula>0.85</formula>
    </cfRule>
  </conditionalFormatting>
  <conditionalFormatting sqref="E197">
    <cfRule type="expression" dxfId="10001" priority="2835">
      <formula>AND(IF(OR($Q197=1,$Q197=2),1,0),IF($X197&lt;=20,1,0))</formula>
    </cfRule>
    <cfRule type="expression" dxfId="10000" priority="2836">
      <formula>AND(IF($Q197=2,1,0),IF($X197&lt;30,1,0))</formula>
    </cfRule>
    <cfRule type="expression" dxfId="9999" priority="2837">
      <formula>AND(IF($Q197=3,1,0),IF($X197&lt;30,1,0))</formula>
    </cfRule>
    <cfRule type="expression" dxfId="9998" priority="2838">
      <formula>AND(IF($Q197=3,1,IF($Q197=4,1,0)),IF($F197&lt;=85,1,0))</formula>
    </cfRule>
  </conditionalFormatting>
  <conditionalFormatting sqref="X197">
    <cfRule type="expression" dxfId="9997" priority="2831">
      <formula>AND(IF(OR($Q197=1,$Q197=2),1,0),IF($X197&lt;=20,1,0))</formula>
    </cfRule>
    <cfRule type="expression" dxfId="9996" priority="2832">
      <formula>AND(IF($Q197=2,1,0),IF($X197&lt;30,1,0))</formula>
    </cfRule>
    <cfRule type="expression" dxfId="9995" priority="2833">
      <formula>AND(IF($Q197=3,1,0),IF($X197&lt;30,1,0))</formula>
    </cfRule>
    <cfRule type="expression" dxfId="9994" priority="2834">
      <formula>AND(IF($Q197=3,1,IF($Q197=4,1,0)),IF($F197&lt;=85,1,0))</formula>
    </cfRule>
  </conditionalFormatting>
  <conditionalFormatting sqref="AI197">
    <cfRule type="expression" dxfId="9993" priority="2827">
      <formula>AND(IF(OR($Q197=1,$Q197=2),1,0),IF($X197&lt;=20,1,0))</formula>
    </cfRule>
    <cfRule type="expression" dxfId="9992" priority="2828">
      <formula>AND(IF($Q197=2,1,0),IF($X197&lt;30,1,0))</formula>
    </cfRule>
    <cfRule type="expression" dxfId="9991" priority="2829">
      <formula>AND(IF($Q197=3,1,0),IF($X197&lt;30,1,0))</formula>
    </cfRule>
    <cfRule type="expression" dxfId="9990" priority="2830">
      <formula>AND(IF($Q197=3,1,IF($Q197=4,1,0)),IF($F197&lt;=85,1,0))</formula>
    </cfRule>
  </conditionalFormatting>
  <conditionalFormatting sqref="AV198">
    <cfRule type="expression" dxfId="9989" priority="2825">
      <formula>AV198="X"</formula>
    </cfRule>
    <cfRule type="expression" dxfId="9988" priority="2826">
      <formula>AV198="후보"</formula>
    </cfRule>
  </conditionalFormatting>
  <conditionalFormatting sqref="AC198">
    <cfRule type="cellIs" dxfId="9987" priority="2823" operator="greaterThan">
      <formula>0.9</formula>
    </cfRule>
    <cfRule type="cellIs" dxfId="9986" priority="2824" operator="greaterThan">
      <formula>0.85</formula>
    </cfRule>
  </conditionalFormatting>
  <conditionalFormatting sqref="N198">
    <cfRule type="cellIs" dxfId="9985" priority="2821" operator="greaterThan">
      <formula>0.9</formula>
    </cfRule>
    <cfRule type="cellIs" dxfId="9984" priority="2822" operator="greaterThan">
      <formula>0.85</formula>
    </cfRule>
  </conditionalFormatting>
  <conditionalFormatting sqref="E198">
    <cfRule type="expression" dxfId="9983" priority="2817">
      <formula>AND(IF(OR($Q198=1,$Q198=2),1,0),IF($X198&lt;=20,1,0))</formula>
    </cfRule>
    <cfRule type="expression" dxfId="9982" priority="2818">
      <formula>AND(IF($Q198=2,1,0),IF($X198&lt;30,1,0))</formula>
    </cfRule>
    <cfRule type="expression" dxfId="9981" priority="2819">
      <formula>AND(IF($Q198=3,1,0),IF($X198&lt;30,1,0))</formula>
    </cfRule>
    <cfRule type="expression" dxfId="9980" priority="2820">
      <formula>AND(IF($Q198=3,1,IF($Q198=4,1,0)),IF($F198&lt;=85,1,0))</formula>
    </cfRule>
  </conditionalFormatting>
  <conditionalFormatting sqref="X198">
    <cfRule type="expression" dxfId="9979" priority="2813">
      <formula>AND(IF(OR($Q198=1,$Q198=2),1,0),IF($X198&lt;=20,1,0))</formula>
    </cfRule>
    <cfRule type="expression" dxfId="9978" priority="2814">
      <formula>AND(IF($Q198=2,1,0),IF($X198&lt;30,1,0))</formula>
    </cfRule>
    <cfRule type="expression" dxfId="9977" priority="2815">
      <formula>AND(IF($Q198=3,1,0),IF($X198&lt;30,1,0))</formula>
    </cfRule>
    <cfRule type="expression" dxfId="9976" priority="2816">
      <formula>AND(IF($Q198=3,1,IF($Q198=4,1,0)),IF($F198&lt;=85,1,0))</formula>
    </cfRule>
  </conditionalFormatting>
  <conditionalFormatting sqref="AI198">
    <cfRule type="expression" dxfId="9975" priority="2809">
      <formula>AND(IF(OR($Q198=1,$Q198=2),1,0),IF($X198&lt;=20,1,0))</formula>
    </cfRule>
    <cfRule type="expression" dxfId="9974" priority="2810">
      <formula>AND(IF($Q198=2,1,0),IF($X198&lt;30,1,0))</formula>
    </cfRule>
    <cfRule type="expression" dxfId="9973" priority="2811">
      <formula>AND(IF($Q198=3,1,0),IF($X198&lt;30,1,0))</formula>
    </cfRule>
    <cfRule type="expression" dxfId="9972" priority="2812">
      <formula>AND(IF($Q198=3,1,IF($Q198=4,1,0)),IF($F198&lt;=85,1,0))</formula>
    </cfRule>
  </conditionalFormatting>
  <conditionalFormatting sqref="AV199">
    <cfRule type="expression" dxfId="9971" priority="2807">
      <formula>AV199="X"</formula>
    </cfRule>
    <cfRule type="expression" dxfId="9970" priority="2808">
      <formula>AV199="후보"</formula>
    </cfRule>
  </conditionalFormatting>
  <conditionalFormatting sqref="AC199">
    <cfRule type="cellIs" dxfId="9969" priority="2805" operator="greaterThan">
      <formula>0.9</formula>
    </cfRule>
    <cfRule type="cellIs" dxfId="9968" priority="2806" operator="greaterThan">
      <formula>0.85</formula>
    </cfRule>
  </conditionalFormatting>
  <conditionalFormatting sqref="N199">
    <cfRule type="cellIs" dxfId="9967" priority="2803" operator="greaterThan">
      <formula>0.9</formula>
    </cfRule>
    <cfRule type="cellIs" dxfId="9966" priority="2804" operator="greaterThan">
      <formula>0.85</formula>
    </cfRule>
  </conditionalFormatting>
  <conditionalFormatting sqref="E199">
    <cfRule type="expression" dxfId="9965" priority="2799">
      <formula>AND(IF(OR($Q199=1,$Q199=2),1,0),IF($X199&lt;=20,1,0))</formula>
    </cfRule>
    <cfRule type="expression" dxfId="9964" priority="2800">
      <formula>AND(IF($Q199=2,1,0),IF($X199&lt;30,1,0))</formula>
    </cfRule>
    <cfRule type="expression" dxfId="9963" priority="2801">
      <formula>AND(IF($Q199=3,1,0),IF($X199&lt;30,1,0))</formula>
    </cfRule>
    <cfRule type="expression" dxfId="9962" priority="2802">
      <formula>AND(IF($Q199=3,1,IF($Q199=4,1,0)),IF($F199&lt;=85,1,0))</formula>
    </cfRule>
  </conditionalFormatting>
  <conditionalFormatting sqref="X199">
    <cfRule type="expression" dxfId="9961" priority="2795">
      <formula>AND(IF(OR($Q199=1,$Q199=2),1,0),IF($X199&lt;=20,1,0))</formula>
    </cfRule>
    <cfRule type="expression" dxfId="9960" priority="2796">
      <formula>AND(IF($Q199=2,1,0),IF($X199&lt;30,1,0))</formula>
    </cfRule>
    <cfRule type="expression" dxfId="9959" priority="2797">
      <formula>AND(IF($Q199=3,1,0),IF($X199&lt;30,1,0))</formula>
    </cfRule>
    <cfRule type="expression" dxfId="9958" priority="2798">
      <formula>AND(IF($Q199=3,1,IF($Q199=4,1,0)),IF($F199&lt;=85,1,0))</formula>
    </cfRule>
  </conditionalFormatting>
  <conditionalFormatting sqref="AI199">
    <cfRule type="expression" dxfId="9957" priority="2791">
      <formula>AND(IF(OR($Q199=1,$Q199=2),1,0),IF($X199&lt;=20,1,0))</formula>
    </cfRule>
    <cfRule type="expression" dxfId="9956" priority="2792">
      <formula>AND(IF($Q199=2,1,0),IF($X199&lt;30,1,0))</formula>
    </cfRule>
    <cfRule type="expression" dxfId="9955" priority="2793">
      <formula>AND(IF($Q199=3,1,0),IF($X199&lt;30,1,0))</formula>
    </cfRule>
    <cfRule type="expression" dxfId="9954" priority="2794">
      <formula>AND(IF($Q199=3,1,IF($Q199=4,1,0)),IF($F199&lt;=85,1,0))</formula>
    </cfRule>
  </conditionalFormatting>
  <conditionalFormatting sqref="AV200">
    <cfRule type="expression" dxfId="9953" priority="2789">
      <formula>AV200="X"</formula>
    </cfRule>
    <cfRule type="expression" dxfId="9952" priority="2790">
      <formula>AV200="후보"</formula>
    </cfRule>
  </conditionalFormatting>
  <conditionalFormatting sqref="AC200">
    <cfRule type="cellIs" dxfId="9951" priority="2787" operator="greaterThan">
      <formula>0.9</formula>
    </cfRule>
    <cfRule type="cellIs" dxfId="9950" priority="2788" operator="greaterThan">
      <formula>0.85</formula>
    </cfRule>
  </conditionalFormatting>
  <conditionalFormatting sqref="N200">
    <cfRule type="cellIs" dxfId="9949" priority="2785" operator="greaterThan">
      <formula>0.9</formula>
    </cfRule>
    <cfRule type="cellIs" dxfId="9948" priority="2786" operator="greaterThan">
      <formula>0.85</formula>
    </cfRule>
  </conditionalFormatting>
  <conditionalFormatting sqref="E200">
    <cfRule type="expression" dxfId="9947" priority="2781">
      <formula>AND(IF(OR($Q200=1,$Q200=2),1,0),IF($X200&lt;=20,1,0))</formula>
    </cfRule>
    <cfRule type="expression" dxfId="9946" priority="2782">
      <formula>AND(IF($Q200=2,1,0),IF($X200&lt;30,1,0))</formula>
    </cfRule>
    <cfRule type="expression" dxfId="9945" priority="2783">
      <formula>AND(IF($Q200=3,1,0),IF($X200&lt;30,1,0))</formula>
    </cfRule>
    <cfRule type="expression" dxfId="9944" priority="2784">
      <formula>AND(IF($Q200=3,1,IF($Q200=4,1,0)),IF($F200&lt;=85,1,0))</formula>
    </cfRule>
  </conditionalFormatting>
  <conditionalFormatting sqref="X200">
    <cfRule type="expression" dxfId="9943" priority="2777">
      <formula>AND(IF(OR($Q200=1,$Q200=2),1,0),IF($X200&lt;=20,1,0))</formula>
    </cfRule>
    <cfRule type="expression" dxfId="9942" priority="2778">
      <formula>AND(IF($Q200=2,1,0),IF($X200&lt;30,1,0))</formula>
    </cfRule>
    <cfRule type="expression" dxfId="9941" priority="2779">
      <formula>AND(IF($Q200=3,1,0),IF($X200&lt;30,1,0))</formula>
    </cfRule>
    <cfRule type="expression" dxfId="9940" priority="2780">
      <formula>AND(IF($Q200=3,1,IF($Q200=4,1,0)),IF($F200&lt;=85,1,0))</formula>
    </cfRule>
  </conditionalFormatting>
  <conditionalFormatting sqref="AI200">
    <cfRule type="expression" dxfId="9939" priority="2773">
      <formula>AND(IF(OR($Q200=1,$Q200=2),1,0),IF($X200&lt;=20,1,0))</formula>
    </cfRule>
    <cfRule type="expression" dxfId="9938" priority="2774">
      <formula>AND(IF($Q200=2,1,0),IF($X200&lt;30,1,0))</formula>
    </cfRule>
    <cfRule type="expression" dxfId="9937" priority="2775">
      <formula>AND(IF($Q200=3,1,0),IF($X200&lt;30,1,0))</formula>
    </cfRule>
    <cfRule type="expression" dxfId="9936" priority="2776">
      <formula>AND(IF($Q200=3,1,IF($Q200=4,1,0)),IF($F200&lt;=85,1,0))</formula>
    </cfRule>
  </conditionalFormatting>
  <conditionalFormatting sqref="AV201">
    <cfRule type="expression" dxfId="9935" priority="2771">
      <formula>AV201="X"</formula>
    </cfRule>
    <cfRule type="expression" dxfId="9934" priority="2772">
      <formula>AV201="후보"</formula>
    </cfRule>
  </conditionalFormatting>
  <conditionalFormatting sqref="AC201">
    <cfRule type="cellIs" dxfId="9933" priority="2769" operator="greaterThan">
      <formula>0.9</formula>
    </cfRule>
    <cfRule type="cellIs" dxfId="9932" priority="2770" operator="greaterThan">
      <formula>0.85</formula>
    </cfRule>
  </conditionalFormatting>
  <conditionalFormatting sqref="N201">
    <cfRule type="cellIs" dxfId="9931" priority="2767" operator="greaterThan">
      <formula>0.9</formula>
    </cfRule>
    <cfRule type="cellIs" dxfId="9930" priority="2768" operator="greaterThan">
      <formula>0.85</formula>
    </cfRule>
  </conditionalFormatting>
  <conditionalFormatting sqref="E201">
    <cfRule type="expression" dxfId="9929" priority="2763">
      <formula>AND(IF(OR($Q201=1,$Q201=2),1,0),IF($X201&lt;=20,1,0))</formula>
    </cfRule>
    <cfRule type="expression" dxfId="9928" priority="2764">
      <formula>AND(IF($Q201=2,1,0),IF($X201&lt;30,1,0))</formula>
    </cfRule>
    <cfRule type="expression" dxfId="9927" priority="2765">
      <formula>AND(IF($Q201=3,1,0),IF($X201&lt;30,1,0))</formula>
    </cfRule>
    <cfRule type="expression" dxfId="9926" priority="2766">
      <formula>AND(IF($Q201=3,1,IF($Q201=4,1,0)),IF($F201&lt;=85,1,0))</formula>
    </cfRule>
  </conditionalFormatting>
  <conditionalFormatting sqref="X201">
    <cfRule type="expression" dxfId="9925" priority="2759">
      <formula>AND(IF(OR($Q201=1,$Q201=2),1,0),IF($X201&lt;=20,1,0))</formula>
    </cfRule>
    <cfRule type="expression" dxfId="9924" priority="2760">
      <formula>AND(IF($Q201=2,1,0),IF($X201&lt;30,1,0))</formula>
    </cfRule>
    <cfRule type="expression" dxfId="9923" priority="2761">
      <formula>AND(IF($Q201=3,1,0),IF($X201&lt;30,1,0))</formula>
    </cfRule>
    <cfRule type="expression" dxfId="9922" priority="2762">
      <formula>AND(IF($Q201=3,1,IF($Q201=4,1,0)),IF($F201&lt;=85,1,0))</formula>
    </cfRule>
  </conditionalFormatting>
  <conditionalFormatting sqref="AI201">
    <cfRule type="expression" dxfId="9921" priority="2755">
      <formula>AND(IF(OR($Q201=1,$Q201=2),1,0),IF($X201&lt;=20,1,0))</formula>
    </cfRule>
    <cfRule type="expression" dxfId="9920" priority="2756">
      <formula>AND(IF($Q201=2,1,0),IF($X201&lt;30,1,0))</formula>
    </cfRule>
    <cfRule type="expression" dxfId="9919" priority="2757">
      <formula>AND(IF($Q201=3,1,0),IF($X201&lt;30,1,0))</formula>
    </cfRule>
    <cfRule type="expression" dxfId="9918" priority="2758">
      <formula>AND(IF($Q201=3,1,IF($Q201=4,1,0)),IF($F201&lt;=85,1,0))</formula>
    </cfRule>
  </conditionalFormatting>
  <conditionalFormatting sqref="AV202">
    <cfRule type="expression" dxfId="9917" priority="2753">
      <formula>AV202="X"</formula>
    </cfRule>
    <cfRule type="expression" dxfId="9916" priority="2754">
      <formula>AV202="후보"</formula>
    </cfRule>
  </conditionalFormatting>
  <conditionalFormatting sqref="AC202">
    <cfRule type="cellIs" dxfId="9915" priority="2751" operator="greaterThan">
      <formula>0.9</formula>
    </cfRule>
    <cfRule type="cellIs" dxfId="9914" priority="2752" operator="greaterThan">
      <formula>0.85</formula>
    </cfRule>
  </conditionalFormatting>
  <conditionalFormatting sqref="N202">
    <cfRule type="cellIs" dxfId="9913" priority="2749" operator="greaterThan">
      <formula>0.9</formula>
    </cfRule>
    <cfRule type="cellIs" dxfId="9912" priority="2750" operator="greaterThan">
      <formula>0.85</formula>
    </cfRule>
  </conditionalFormatting>
  <conditionalFormatting sqref="E202">
    <cfRule type="expression" dxfId="9911" priority="2745">
      <formula>AND(IF(OR($Q202=1,$Q202=2),1,0),IF($X202&lt;=20,1,0))</formula>
    </cfRule>
    <cfRule type="expression" dxfId="9910" priority="2746">
      <formula>AND(IF($Q202=2,1,0),IF($X202&lt;30,1,0))</formula>
    </cfRule>
    <cfRule type="expression" dxfId="9909" priority="2747">
      <formula>AND(IF($Q202=3,1,0),IF($X202&lt;30,1,0))</formula>
    </cfRule>
    <cfRule type="expression" dxfId="9908" priority="2748">
      <formula>AND(IF($Q202=3,1,IF($Q202=4,1,0)),IF($F202&lt;=85,1,0))</formula>
    </cfRule>
  </conditionalFormatting>
  <conditionalFormatting sqref="X202">
    <cfRule type="expression" dxfId="9907" priority="2741">
      <formula>AND(IF(OR($Q202=1,$Q202=2),1,0),IF($X202&lt;=20,1,0))</formula>
    </cfRule>
    <cfRule type="expression" dxfId="9906" priority="2742">
      <formula>AND(IF($Q202=2,1,0),IF($X202&lt;30,1,0))</formula>
    </cfRule>
    <cfRule type="expression" dxfId="9905" priority="2743">
      <formula>AND(IF($Q202=3,1,0),IF($X202&lt;30,1,0))</formula>
    </cfRule>
    <cfRule type="expression" dxfId="9904" priority="2744">
      <formula>AND(IF($Q202=3,1,IF($Q202=4,1,0)),IF($F202&lt;=85,1,0))</formula>
    </cfRule>
  </conditionalFormatting>
  <conditionalFormatting sqref="AI202">
    <cfRule type="expression" dxfId="9903" priority="2737">
      <formula>AND(IF(OR($Q202=1,$Q202=2),1,0),IF($X202&lt;=20,1,0))</formula>
    </cfRule>
    <cfRule type="expression" dxfId="9902" priority="2738">
      <formula>AND(IF($Q202=2,1,0),IF($X202&lt;30,1,0))</formula>
    </cfRule>
    <cfRule type="expression" dxfId="9901" priority="2739">
      <formula>AND(IF($Q202=3,1,0),IF($X202&lt;30,1,0))</formula>
    </cfRule>
    <cfRule type="expression" dxfId="9900" priority="2740">
      <formula>AND(IF($Q202=3,1,IF($Q202=4,1,0)),IF($F202&lt;=85,1,0))</formula>
    </cfRule>
  </conditionalFormatting>
  <conditionalFormatting sqref="AV203">
    <cfRule type="expression" dxfId="9899" priority="2735">
      <formula>AV203="X"</formula>
    </cfRule>
    <cfRule type="expression" dxfId="9898" priority="2736">
      <formula>AV203="후보"</formula>
    </cfRule>
  </conditionalFormatting>
  <conditionalFormatting sqref="AC203">
    <cfRule type="cellIs" dxfId="9897" priority="2733" operator="greaterThan">
      <formula>0.9</formula>
    </cfRule>
    <cfRule type="cellIs" dxfId="9896" priority="2734" operator="greaterThan">
      <formula>0.85</formula>
    </cfRule>
  </conditionalFormatting>
  <conditionalFormatting sqref="N203">
    <cfRule type="cellIs" dxfId="9895" priority="2731" operator="greaterThan">
      <formula>0.9</formula>
    </cfRule>
    <cfRule type="cellIs" dxfId="9894" priority="2732" operator="greaterThan">
      <formula>0.85</formula>
    </cfRule>
  </conditionalFormatting>
  <conditionalFormatting sqref="E203">
    <cfRule type="expression" dxfId="9893" priority="2727">
      <formula>AND(IF(OR($Q203=1,$Q203=2),1,0),IF($X203&lt;=20,1,0))</formula>
    </cfRule>
    <cfRule type="expression" dxfId="9892" priority="2728">
      <formula>AND(IF($Q203=2,1,0),IF($X203&lt;30,1,0))</formula>
    </cfRule>
    <cfRule type="expression" dxfId="9891" priority="2729">
      <formula>AND(IF($Q203=3,1,0),IF($X203&lt;30,1,0))</formula>
    </cfRule>
    <cfRule type="expression" dxfId="9890" priority="2730">
      <formula>AND(IF($Q203=3,1,IF($Q203=4,1,0)),IF($F203&lt;=85,1,0))</formula>
    </cfRule>
  </conditionalFormatting>
  <conditionalFormatting sqref="X203">
    <cfRule type="expression" dxfId="9889" priority="2723">
      <formula>AND(IF(OR($Q203=1,$Q203=2),1,0),IF($X203&lt;=20,1,0))</formula>
    </cfRule>
    <cfRule type="expression" dxfId="9888" priority="2724">
      <formula>AND(IF($Q203=2,1,0),IF($X203&lt;30,1,0))</formula>
    </cfRule>
    <cfRule type="expression" dxfId="9887" priority="2725">
      <formula>AND(IF($Q203=3,1,0),IF($X203&lt;30,1,0))</formula>
    </cfRule>
    <cfRule type="expression" dxfId="9886" priority="2726">
      <formula>AND(IF($Q203=3,1,IF($Q203=4,1,0)),IF($F203&lt;=85,1,0))</formula>
    </cfRule>
  </conditionalFormatting>
  <conditionalFormatting sqref="AI203">
    <cfRule type="expression" dxfId="9885" priority="2719">
      <formula>AND(IF(OR($Q203=1,$Q203=2),1,0),IF($X203&lt;=20,1,0))</formula>
    </cfRule>
    <cfRule type="expression" dxfId="9884" priority="2720">
      <formula>AND(IF($Q203=2,1,0),IF($X203&lt;30,1,0))</formula>
    </cfRule>
    <cfRule type="expression" dxfId="9883" priority="2721">
      <formula>AND(IF($Q203=3,1,0),IF($X203&lt;30,1,0))</formula>
    </cfRule>
    <cfRule type="expression" dxfId="9882" priority="2722">
      <formula>AND(IF($Q203=3,1,IF($Q203=4,1,0)),IF($F203&lt;=85,1,0))</formula>
    </cfRule>
  </conditionalFormatting>
  <conditionalFormatting sqref="AV204">
    <cfRule type="expression" dxfId="9881" priority="2717">
      <formula>AV204="X"</formula>
    </cfRule>
    <cfRule type="expression" dxfId="9880" priority="2718">
      <formula>AV204="후보"</formula>
    </cfRule>
  </conditionalFormatting>
  <conditionalFormatting sqref="AC204">
    <cfRule type="cellIs" dxfId="9879" priority="2715" operator="greaterThan">
      <formula>0.9</formula>
    </cfRule>
    <cfRule type="cellIs" dxfId="9878" priority="2716" operator="greaterThan">
      <formula>0.85</formula>
    </cfRule>
  </conditionalFormatting>
  <conditionalFormatting sqref="N204">
    <cfRule type="cellIs" dxfId="9877" priority="2713" operator="greaterThan">
      <formula>0.9</formula>
    </cfRule>
    <cfRule type="cellIs" dxfId="9876" priority="2714" operator="greaterThan">
      <formula>0.85</formula>
    </cfRule>
  </conditionalFormatting>
  <conditionalFormatting sqref="E204">
    <cfRule type="expression" dxfId="9875" priority="2709">
      <formula>AND(IF(OR($Q204=1,$Q204=2),1,0),IF($X204&lt;=20,1,0))</formula>
    </cfRule>
    <cfRule type="expression" dxfId="9874" priority="2710">
      <formula>AND(IF($Q204=2,1,0),IF($X204&lt;30,1,0))</formula>
    </cfRule>
    <cfRule type="expression" dxfId="9873" priority="2711">
      <formula>AND(IF($Q204=3,1,0),IF($X204&lt;30,1,0))</formula>
    </cfRule>
    <cfRule type="expression" dxfId="9872" priority="2712">
      <formula>AND(IF($Q204=3,1,IF($Q204=4,1,0)),IF($F204&lt;=85,1,0))</formula>
    </cfRule>
  </conditionalFormatting>
  <conditionalFormatting sqref="X204">
    <cfRule type="expression" dxfId="9871" priority="2705">
      <formula>AND(IF(OR($Q204=1,$Q204=2),1,0),IF($X204&lt;=20,1,0))</formula>
    </cfRule>
    <cfRule type="expression" dxfId="9870" priority="2706">
      <formula>AND(IF($Q204=2,1,0),IF($X204&lt;30,1,0))</formula>
    </cfRule>
    <cfRule type="expression" dxfId="9869" priority="2707">
      <formula>AND(IF($Q204=3,1,0),IF($X204&lt;30,1,0))</formula>
    </cfRule>
    <cfRule type="expression" dxfId="9868" priority="2708">
      <formula>AND(IF($Q204=3,1,IF($Q204=4,1,0)),IF($F204&lt;=85,1,0))</formula>
    </cfRule>
  </conditionalFormatting>
  <conditionalFormatting sqref="AI204">
    <cfRule type="expression" dxfId="9867" priority="2701">
      <formula>AND(IF(OR($Q204=1,$Q204=2),1,0),IF($X204&lt;=20,1,0))</formula>
    </cfRule>
    <cfRule type="expression" dxfId="9866" priority="2702">
      <formula>AND(IF($Q204=2,1,0),IF($X204&lt;30,1,0))</formula>
    </cfRule>
    <cfRule type="expression" dxfId="9865" priority="2703">
      <formula>AND(IF($Q204=3,1,0),IF($X204&lt;30,1,0))</formula>
    </cfRule>
    <cfRule type="expression" dxfId="9864" priority="2704">
      <formula>AND(IF($Q204=3,1,IF($Q204=4,1,0)),IF($F204&lt;=85,1,0))</formula>
    </cfRule>
  </conditionalFormatting>
  <conditionalFormatting sqref="AV205">
    <cfRule type="expression" dxfId="9863" priority="2699">
      <formula>AV205="X"</formula>
    </cfRule>
    <cfRule type="expression" dxfId="9862" priority="2700">
      <formula>AV205="후보"</formula>
    </cfRule>
  </conditionalFormatting>
  <conditionalFormatting sqref="AC205">
    <cfRule type="cellIs" dxfId="9861" priority="2697" operator="greaterThan">
      <formula>0.9</formula>
    </cfRule>
    <cfRule type="cellIs" dxfId="9860" priority="2698" operator="greaterThan">
      <formula>0.85</formula>
    </cfRule>
  </conditionalFormatting>
  <conditionalFormatting sqref="N205">
    <cfRule type="cellIs" dxfId="9859" priority="2695" operator="greaterThan">
      <formula>0.9</formula>
    </cfRule>
    <cfRule type="cellIs" dxfId="9858" priority="2696" operator="greaterThan">
      <formula>0.85</formula>
    </cfRule>
  </conditionalFormatting>
  <conditionalFormatting sqref="E205">
    <cfRule type="expression" dxfId="9857" priority="2691">
      <formula>AND(IF(OR($Q205=1,$Q205=2),1,0),IF($X205&lt;=20,1,0))</formula>
    </cfRule>
    <cfRule type="expression" dxfId="9856" priority="2692">
      <formula>AND(IF($Q205=2,1,0),IF($X205&lt;30,1,0))</formula>
    </cfRule>
    <cfRule type="expression" dxfId="9855" priority="2693">
      <formula>AND(IF($Q205=3,1,0),IF($X205&lt;30,1,0))</formula>
    </cfRule>
    <cfRule type="expression" dxfId="9854" priority="2694">
      <formula>AND(IF($Q205=3,1,IF($Q205=4,1,0)),IF($F205&lt;=85,1,0))</formula>
    </cfRule>
  </conditionalFormatting>
  <conditionalFormatting sqref="X205">
    <cfRule type="expression" dxfId="9853" priority="2687">
      <formula>AND(IF(OR($Q205=1,$Q205=2),1,0),IF($X205&lt;=20,1,0))</formula>
    </cfRule>
    <cfRule type="expression" dxfId="9852" priority="2688">
      <formula>AND(IF($Q205=2,1,0),IF($X205&lt;30,1,0))</formula>
    </cfRule>
    <cfRule type="expression" dxfId="9851" priority="2689">
      <formula>AND(IF($Q205=3,1,0),IF($X205&lt;30,1,0))</formula>
    </cfRule>
    <cfRule type="expression" dxfId="9850" priority="2690">
      <formula>AND(IF($Q205=3,1,IF($Q205=4,1,0)),IF($F205&lt;=85,1,0))</formula>
    </cfRule>
  </conditionalFormatting>
  <conditionalFormatting sqref="AI205">
    <cfRule type="expression" dxfId="9849" priority="2683">
      <formula>AND(IF(OR($Q205=1,$Q205=2),1,0),IF($X205&lt;=20,1,0))</formula>
    </cfRule>
    <cfRule type="expression" dxfId="9848" priority="2684">
      <formula>AND(IF($Q205=2,1,0),IF($X205&lt;30,1,0))</formula>
    </cfRule>
    <cfRule type="expression" dxfId="9847" priority="2685">
      <formula>AND(IF($Q205=3,1,0),IF($X205&lt;30,1,0))</formula>
    </cfRule>
    <cfRule type="expression" dxfId="9846" priority="2686">
      <formula>AND(IF($Q205=3,1,IF($Q205=4,1,0)),IF($F205&lt;=85,1,0))</formula>
    </cfRule>
  </conditionalFormatting>
  <conditionalFormatting sqref="AV206">
    <cfRule type="expression" dxfId="9845" priority="2681">
      <formula>AV206="X"</formula>
    </cfRule>
    <cfRule type="expression" dxfId="9844" priority="2682">
      <formula>AV206="후보"</formula>
    </cfRule>
  </conditionalFormatting>
  <conditionalFormatting sqref="AC206">
    <cfRule type="cellIs" dxfId="9843" priority="2679" operator="greaterThan">
      <formula>0.9</formula>
    </cfRule>
    <cfRule type="cellIs" dxfId="9842" priority="2680" operator="greaterThan">
      <formula>0.85</formula>
    </cfRule>
  </conditionalFormatting>
  <conditionalFormatting sqref="N206">
    <cfRule type="cellIs" dxfId="9841" priority="2677" operator="greaterThan">
      <formula>0.9</formula>
    </cfRule>
    <cfRule type="cellIs" dxfId="9840" priority="2678" operator="greaterThan">
      <formula>0.85</formula>
    </cfRule>
  </conditionalFormatting>
  <conditionalFormatting sqref="E206">
    <cfRule type="expression" dxfId="9839" priority="2673">
      <formula>AND(IF(OR($Q206=1,$Q206=2),1,0),IF($X206&lt;=20,1,0))</formula>
    </cfRule>
    <cfRule type="expression" dxfId="9838" priority="2674">
      <formula>AND(IF($Q206=2,1,0),IF($X206&lt;30,1,0))</formula>
    </cfRule>
    <cfRule type="expression" dxfId="9837" priority="2675">
      <formula>AND(IF($Q206=3,1,0),IF($X206&lt;30,1,0))</formula>
    </cfRule>
    <cfRule type="expression" dxfId="9836" priority="2676">
      <formula>AND(IF($Q206=3,1,IF($Q206=4,1,0)),IF($F206&lt;=85,1,0))</formula>
    </cfRule>
  </conditionalFormatting>
  <conditionalFormatting sqref="X206">
    <cfRule type="expression" dxfId="9835" priority="2669">
      <formula>AND(IF(OR($Q206=1,$Q206=2),1,0),IF($X206&lt;=20,1,0))</formula>
    </cfRule>
    <cfRule type="expression" dxfId="9834" priority="2670">
      <formula>AND(IF($Q206=2,1,0),IF($X206&lt;30,1,0))</formula>
    </cfRule>
    <cfRule type="expression" dxfId="9833" priority="2671">
      <formula>AND(IF($Q206=3,1,0),IF($X206&lt;30,1,0))</formula>
    </cfRule>
    <cfRule type="expression" dxfId="9832" priority="2672">
      <formula>AND(IF($Q206=3,1,IF($Q206=4,1,0)),IF($F206&lt;=85,1,0))</formula>
    </cfRule>
  </conditionalFormatting>
  <conditionalFormatting sqref="AI206">
    <cfRule type="expression" dxfId="9831" priority="2665">
      <formula>AND(IF(OR($Q206=1,$Q206=2),1,0),IF($X206&lt;=20,1,0))</formula>
    </cfRule>
    <cfRule type="expression" dxfId="9830" priority="2666">
      <formula>AND(IF($Q206=2,1,0),IF($X206&lt;30,1,0))</formula>
    </cfRule>
    <cfRule type="expression" dxfId="9829" priority="2667">
      <formula>AND(IF($Q206=3,1,0),IF($X206&lt;30,1,0))</formula>
    </cfRule>
    <cfRule type="expression" dxfId="9828" priority="2668">
      <formula>AND(IF($Q206=3,1,IF($Q206=4,1,0)),IF($F206&lt;=85,1,0))</formula>
    </cfRule>
  </conditionalFormatting>
  <conditionalFormatting sqref="AV207">
    <cfRule type="expression" dxfId="9827" priority="2663">
      <formula>AV207="X"</formula>
    </cfRule>
    <cfRule type="expression" dxfId="9826" priority="2664">
      <formula>AV207="후보"</formula>
    </cfRule>
  </conditionalFormatting>
  <conditionalFormatting sqref="AC207">
    <cfRule type="cellIs" dxfId="9825" priority="2661" operator="greaterThan">
      <formula>0.9</formula>
    </cfRule>
    <cfRule type="cellIs" dxfId="9824" priority="2662" operator="greaterThan">
      <formula>0.85</formula>
    </cfRule>
  </conditionalFormatting>
  <conditionalFormatting sqref="N207">
    <cfRule type="cellIs" dxfId="9823" priority="2659" operator="greaterThan">
      <formula>0.9</formula>
    </cfRule>
    <cfRule type="cellIs" dxfId="9822" priority="2660" operator="greaterThan">
      <formula>0.85</formula>
    </cfRule>
  </conditionalFormatting>
  <conditionalFormatting sqref="E207">
    <cfRule type="expression" dxfId="9821" priority="2655">
      <formula>AND(IF(OR($Q207=1,$Q207=2),1,0),IF($X207&lt;=20,1,0))</formula>
    </cfRule>
    <cfRule type="expression" dxfId="9820" priority="2656">
      <formula>AND(IF($Q207=2,1,0),IF($X207&lt;30,1,0))</formula>
    </cfRule>
    <cfRule type="expression" dxfId="9819" priority="2657">
      <formula>AND(IF($Q207=3,1,0),IF($X207&lt;30,1,0))</formula>
    </cfRule>
    <cfRule type="expression" dxfId="9818" priority="2658">
      <formula>AND(IF($Q207=3,1,IF($Q207=4,1,0)),IF($F207&lt;=85,1,0))</formula>
    </cfRule>
  </conditionalFormatting>
  <conditionalFormatting sqref="X207">
    <cfRule type="expression" dxfId="9817" priority="2651">
      <formula>AND(IF(OR($Q207=1,$Q207=2),1,0),IF($X207&lt;=20,1,0))</formula>
    </cfRule>
    <cfRule type="expression" dxfId="9816" priority="2652">
      <formula>AND(IF($Q207=2,1,0),IF($X207&lt;30,1,0))</formula>
    </cfRule>
    <cfRule type="expression" dxfId="9815" priority="2653">
      <formula>AND(IF($Q207=3,1,0),IF($X207&lt;30,1,0))</formula>
    </cfRule>
    <cfRule type="expression" dxfId="9814" priority="2654">
      <formula>AND(IF($Q207=3,1,IF($Q207=4,1,0)),IF($F207&lt;=85,1,0))</formula>
    </cfRule>
  </conditionalFormatting>
  <conditionalFormatting sqref="AI207">
    <cfRule type="expression" dxfId="9813" priority="2647">
      <formula>AND(IF(OR($Q207=1,$Q207=2),1,0),IF($X207&lt;=20,1,0))</formula>
    </cfRule>
    <cfRule type="expression" dxfId="9812" priority="2648">
      <formula>AND(IF($Q207=2,1,0),IF($X207&lt;30,1,0))</formula>
    </cfRule>
    <cfRule type="expression" dxfId="9811" priority="2649">
      <formula>AND(IF($Q207=3,1,0),IF($X207&lt;30,1,0))</formula>
    </cfRule>
    <cfRule type="expression" dxfId="9810" priority="2650">
      <formula>AND(IF($Q207=3,1,IF($Q207=4,1,0)),IF($F207&lt;=85,1,0))</formula>
    </cfRule>
  </conditionalFormatting>
  <conditionalFormatting sqref="AV208">
    <cfRule type="expression" dxfId="9809" priority="2645">
      <formula>AV208="X"</formula>
    </cfRule>
    <cfRule type="expression" dxfId="9808" priority="2646">
      <formula>AV208="후보"</formula>
    </cfRule>
  </conditionalFormatting>
  <conditionalFormatting sqref="AC208">
    <cfRule type="cellIs" dxfId="9807" priority="2643" operator="greaterThan">
      <formula>0.9</formula>
    </cfRule>
    <cfRule type="cellIs" dxfId="9806" priority="2644" operator="greaterThan">
      <formula>0.85</formula>
    </cfRule>
  </conditionalFormatting>
  <conditionalFormatting sqref="N208">
    <cfRule type="cellIs" dxfId="9805" priority="2641" operator="greaterThan">
      <formula>0.9</formula>
    </cfRule>
    <cfRule type="cellIs" dxfId="9804" priority="2642" operator="greaterThan">
      <formula>0.85</formula>
    </cfRule>
  </conditionalFormatting>
  <conditionalFormatting sqref="E208">
    <cfRule type="expression" dxfId="9803" priority="2637">
      <formula>AND(IF(OR($Q208=1,$Q208=2),1,0),IF($X208&lt;=20,1,0))</formula>
    </cfRule>
    <cfRule type="expression" dxfId="9802" priority="2638">
      <formula>AND(IF($Q208=2,1,0),IF($X208&lt;30,1,0))</formula>
    </cfRule>
    <cfRule type="expression" dxfId="9801" priority="2639">
      <formula>AND(IF($Q208=3,1,0),IF($X208&lt;30,1,0))</formula>
    </cfRule>
    <cfRule type="expression" dxfId="9800" priority="2640">
      <formula>AND(IF($Q208=3,1,IF($Q208=4,1,0)),IF($F208&lt;=85,1,0))</formula>
    </cfRule>
  </conditionalFormatting>
  <conditionalFormatting sqref="X208">
    <cfRule type="expression" dxfId="9799" priority="2633">
      <formula>AND(IF(OR($Q208=1,$Q208=2),1,0),IF($X208&lt;=20,1,0))</formula>
    </cfRule>
    <cfRule type="expression" dxfId="9798" priority="2634">
      <formula>AND(IF($Q208=2,1,0),IF($X208&lt;30,1,0))</formula>
    </cfRule>
    <cfRule type="expression" dxfId="9797" priority="2635">
      <formula>AND(IF($Q208=3,1,0),IF($X208&lt;30,1,0))</formula>
    </cfRule>
    <cfRule type="expression" dxfId="9796" priority="2636">
      <formula>AND(IF($Q208=3,1,IF($Q208=4,1,0)),IF($F208&lt;=85,1,0))</formula>
    </cfRule>
  </conditionalFormatting>
  <conditionalFormatting sqref="AI208">
    <cfRule type="expression" dxfId="9795" priority="2629">
      <formula>AND(IF(OR($Q208=1,$Q208=2),1,0),IF($X208&lt;=20,1,0))</formula>
    </cfRule>
    <cfRule type="expression" dxfId="9794" priority="2630">
      <formula>AND(IF($Q208=2,1,0),IF($X208&lt;30,1,0))</formula>
    </cfRule>
    <cfRule type="expression" dxfId="9793" priority="2631">
      <formula>AND(IF($Q208=3,1,0),IF($X208&lt;30,1,0))</formula>
    </cfRule>
    <cfRule type="expression" dxfId="9792" priority="2632">
      <formula>AND(IF($Q208=3,1,IF($Q208=4,1,0)),IF($F208&lt;=85,1,0))</formula>
    </cfRule>
  </conditionalFormatting>
  <conditionalFormatting sqref="AV209">
    <cfRule type="expression" dxfId="9791" priority="2627">
      <formula>AV209="X"</formula>
    </cfRule>
    <cfRule type="expression" dxfId="9790" priority="2628">
      <formula>AV209="후보"</formula>
    </cfRule>
  </conditionalFormatting>
  <conditionalFormatting sqref="AC209">
    <cfRule type="cellIs" dxfId="9789" priority="2625" operator="greaterThan">
      <formula>0.9</formula>
    </cfRule>
    <cfRule type="cellIs" dxfId="9788" priority="2626" operator="greaterThan">
      <formula>0.85</formula>
    </cfRule>
  </conditionalFormatting>
  <conditionalFormatting sqref="N209">
    <cfRule type="cellIs" dxfId="9787" priority="2623" operator="greaterThan">
      <formula>0.9</formula>
    </cfRule>
    <cfRule type="cellIs" dxfId="9786" priority="2624" operator="greaterThan">
      <formula>0.85</formula>
    </cfRule>
  </conditionalFormatting>
  <conditionalFormatting sqref="E209">
    <cfRule type="expression" dxfId="9785" priority="2619">
      <formula>AND(IF(OR($Q209=1,$Q209=2),1,0),IF($X209&lt;=20,1,0))</formula>
    </cfRule>
    <cfRule type="expression" dxfId="9784" priority="2620">
      <formula>AND(IF($Q209=2,1,0),IF($X209&lt;30,1,0))</formula>
    </cfRule>
    <cfRule type="expression" dxfId="9783" priority="2621">
      <formula>AND(IF($Q209=3,1,0),IF($X209&lt;30,1,0))</formula>
    </cfRule>
    <cfRule type="expression" dxfId="9782" priority="2622">
      <formula>AND(IF($Q209=3,1,IF($Q209=4,1,0)),IF($F209&lt;=85,1,0))</formula>
    </cfRule>
  </conditionalFormatting>
  <conditionalFormatting sqref="X209">
    <cfRule type="expression" dxfId="9781" priority="2615">
      <formula>AND(IF(OR($Q209=1,$Q209=2),1,0),IF($X209&lt;=20,1,0))</formula>
    </cfRule>
    <cfRule type="expression" dxfId="9780" priority="2616">
      <formula>AND(IF($Q209=2,1,0),IF($X209&lt;30,1,0))</formula>
    </cfRule>
    <cfRule type="expression" dxfId="9779" priority="2617">
      <formula>AND(IF($Q209=3,1,0),IF($X209&lt;30,1,0))</formula>
    </cfRule>
    <cfRule type="expression" dxfId="9778" priority="2618">
      <formula>AND(IF($Q209=3,1,IF($Q209=4,1,0)),IF($F209&lt;=85,1,0))</formula>
    </cfRule>
  </conditionalFormatting>
  <conditionalFormatting sqref="AI209">
    <cfRule type="expression" dxfId="9777" priority="2611">
      <formula>AND(IF(OR($Q209=1,$Q209=2),1,0),IF($X209&lt;=20,1,0))</formula>
    </cfRule>
    <cfRule type="expression" dxfId="9776" priority="2612">
      <formula>AND(IF($Q209=2,1,0),IF($X209&lt;30,1,0))</formula>
    </cfRule>
    <cfRule type="expression" dxfId="9775" priority="2613">
      <formula>AND(IF($Q209=3,1,0),IF($X209&lt;30,1,0))</formula>
    </cfRule>
    <cfRule type="expression" dxfId="9774" priority="2614">
      <formula>AND(IF($Q209=3,1,IF($Q209=4,1,0)),IF($F209&lt;=85,1,0))</formula>
    </cfRule>
  </conditionalFormatting>
  <conditionalFormatting sqref="AV210">
    <cfRule type="expression" dxfId="9773" priority="2609">
      <formula>AV210="X"</formula>
    </cfRule>
    <cfRule type="expression" dxfId="9772" priority="2610">
      <formula>AV210="후보"</formula>
    </cfRule>
  </conditionalFormatting>
  <conditionalFormatting sqref="AC210">
    <cfRule type="cellIs" dxfId="9771" priority="2607" operator="greaterThan">
      <formula>0.9</formula>
    </cfRule>
    <cfRule type="cellIs" dxfId="9770" priority="2608" operator="greaterThan">
      <formula>0.85</formula>
    </cfRule>
  </conditionalFormatting>
  <conditionalFormatting sqref="N210">
    <cfRule type="cellIs" dxfId="9769" priority="2605" operator="greaterThan">
      <formula>0.9</formula>
    </cfRule>
    <cfRule type="cellIs" dxfId="9768" priority="2606" operator="greaterThan">
      <formula>0.85</formula>
    </cfRule>
  </conditionalFormatting>
  <conditionalFormatting sqref="E210">
    <cfRule type="expression" dxfId="9767" priority="2601">
      <formula>AND(IF(OR($Q210=1,$Q210=2),1,0),IF($X210&lt;=20,1,0))</formula>
    </cfRule>
    <cfRule type="expression" dxfId="9766" priority="2602">
      <formula>AND(IF($Q210=2,1,0),IF($X210&lt;30,1,0))</formula>
    </cfRule>
    <cfRule type="expression" dxfId="9765" priority="2603">
      <formula>AND(IF($Q210=3,1,0),IF($X210&lt;30,1,0))</formula>
    </cfRule>
    <cfRule type="expression" dxfId="9764" priority="2604">
      <formula>AND(IF($Q210=3,1,IF($Q210=4,1,0)),IF($F210&lt;=85,1,0))</formula>
    </cfRule>
  </conditionalFormatting>
  <conditionalFormatting sqref="X210">
    <cfRule type="expression" dxfId="9763" priority="2597">
      <formula>AND(IF(OR($Q210=1,$Q210=2),1,0),IF($X210&lt;=20,1,0))</formula>
    </cfRule>
    <cfRule type="expression" dxfId="9762" priority="2598">
      <formula>AND(IF($Q210=2,1,0),IF($X210&lt;30,1,0))</formula>
    </cfRule>
    <cfRule type="expression" dxfId="9761" priority="2599">
      <formula>AND(IF($Q210=3,1,0),IF($X210&lt;30,1,0))</formula>
    </cfRule>
    <cfRule type="expression" dxfId="9760" priority="2600">
      <formula>AND(IF($Q210=3,1,IF($Q210=4,1,0)),IF($F210&lt;=85,1,0))</formula>
    </cfRule>
  </conditionalFormatting>
  <conditionalFormatting sqref="AI210">
    <cfRule type="expression" dxfId="9759" priority="2593">
      <formula>AND(IF(OR($Q210=1,$Q210=2),1,0),IF($X210&lt;=20,1,0))</formula>
    </cfRule>
    <cfRule type="expression" dxfId="9758" priority="2594">
      <formula>AND(IF($Q210=2,1,0),IF($X210&lt;30,1,0))</formula>
    </cfRule>
    <cfRule type="expression" dxfId="9757" priority="2595">
      <formula>AND(IF($Q210=3,1,0),IF($X210&lt;30,1,0))</formula>
    </cfRule>
    <cfRule type="expression" dxfId="9756" priority="2596">
      <formula>AND(IF($Q210=3,1,IF($Q210=4,1,0)),IF($F210&lt;=85,1,0))</formula>
    </cfRule>
  </conditionalFormatting>
  <conditionalFormatting sqref="AV211">
    <cfRule type="expression" dxfId="9755" priority="2591">
      <formula>AV211="X"</formula>
    </cfRule>
    <cfRule type="expression" dxfId="9754" priority="2592">
      <formula>AV211="후보"</formula>
    </cfRule>
  </conditionalFormatting>
  <conditionalFormatting sqref="AC211">
    <cfRule type="cellIs" dxfId="9753" priority="2589" operator="greaterThan">
      <formula>0.9</formula>
    </cfRule>
    <cfRule type="cellIs" dxfId="9752" priority="2590" operator="greaterThan">
      <formula>0.85</formula>
    </cfRule>
  </conditionalFormatting>
  <conditionalFormatting sqref="N211">
    <cfRule type="cellIs" dxfId="9751" priority="2587" operator="greaterThan">
      <formula>0.9</formula>
    </cfRule>
    <cfRule type="cellIs" dxfId="9750" priority="2588" operator="greaterThan">
      <formula>0.85</formula>
    </cfRule>
  </conditionalFormatting>
  <conditionalFormatting sqref="E211">
    <cfRule type="expression" dxfId="9749" priority="2583">
      <formula>AND(IF(OR($Q211=1,$Q211=2),1,0),IF($X211&lt;=20,1,0))</formula>
    </cfRule>
    <cfRule type="expression" dxfId="9748" priority="2584">
      <formula>AND(IF($Q211=2,1,0),IF($X211&lt;30,1,0))</formula>
    </cfRule>
    <cfRule type="expression" dxfId="9747" priority="2585">
      <formula>AND(IF($Q211=3,1,0),IF($X211&lt;30,1,0))</formula>
    </cfRule>
    <cfRule type="expression" dxfId="9746" priority="2586">
      <formula>AND(IF($Q211=3,1,IF($Q211=4,1,0)),IF($F211&lt;=85,1,0))</formula>
    </cfRule>
  </conditionalFormatting>
  <conditionalFormatting sqref="X211">
    <cfRule type="expression" dxfId="9745" priority="2579">
      <formula>AND(IF(OR($Q211=1,$Q211=2),1,0),IF($X211&lt;=20,1,0))</formula>
    </cfRule>
    <cfRule type="expression" dxfId="9744" priority="2580">
      <formula>AND(IF($Q211=2,1,0),IF($X211&lt;30,1,0))</formula>
    </cfRule>
    <cfRule type="expression" dxfId="9743" priority="2581">
      <formula>AND(IF($Q211=3,1,0),IF($X211&lt;30,1,0))</formula>
    </cfRule>
    <cfRule type="expression" dxfId="9742" priority="2582">
      <formula>AND(IF($Q211=3,1,IF($Q211=4,1,0)),IF($F211&lt;=85,1,0))</formula>
    </cfRule>
  </conditionalFormatting>
  <conditionalFormatting sqref="AI211">
    <cfRule type="expression" dxfId="9741" priority="2575">
      <formula>AND(IF(OR($Q211=1,$Q211=2),1,0),IF($X211&lt;=20,1,0))</formula>
    </cfRule>
    <cfRule type="expression" dxfId="9740" priority="2576">
      <formula>AND(IF($Q211=2,1,0),IF($X211&lt;30,1,0))</formula>
    </cfRule>
    <cfRule type="expression" dxfId="9739" priority="2577">
      <formula>AND(IF($Q211=3,1,0),IF($X211&lt;30,1,0))</formula>
    </cfRule>
    <cfRule type="expression" dxfId="9738" priority="2578">
      <formula>AND(IF($Q211=3,1,IF($Q211=4,1,0)),IF($F211&lt;=85,1,0))</formula>
    </cfRule>
  </conditionalFormatting>
  <conditionalFormatting sqref="AV212">
    <cfRule type="expression" dxfId="9737" priority="2573">
      <formula>AV212="X"</formula>
    </cfRule>
    <cfRule type="expression" dxfId="9736" priority="2574">
      <formula>AV212="후보"</formula>
    </cfRule>
  </conditionalFormatting>
  <conditionalFormatting sqref="AC212">
    <cfRule type="cellIs" dxfId="9735" priority="2571" operator="greaterThan">
      <formula>0.9</formula>
    </cfRule>
    <cfRule type="cellIs" dxfId="9734" priority="2572" operator="greaterThan">
      <formula>0.85</formula>
    </cfRule>
  </conditionalFormatting>
  <conditionalFormatting sqref="N212">
    <cfRule type="cellIs" dxfId="9733" priority="2569" operator="greaterThan">
      <formula>0.9</formula>
    </cfRule>
    <cfRule type="cellIs" dxfId="9732" priority="2570" operator="greaterThan">
      <formula>0.85</formula>
    </cfRule>
  </conditionalFormatting>
  <conditionalFormatting sqref="E212">
    <cfRule type="expression" dxfId="9731" priority="2565">
      <formula>AND(IF(OR($Q212=1,$Q212=2),1,0),IF($X212&lt;=20,1,0))</formula>
    </cfRule>
    <cfRule type="expression" dxfId="9730" priority="2566">
      <formula>AND(IF($Q212=2,1,0),IF($X212&lt;30,1,0))</formula>
    </cfRule>
    <cfRule type="expression" dxfId="9729" priority="2567">
      <formula>AND(IF($Q212=3,1,0),IF($X212&lt;30,1,0))</formula>
    </cfRule>
    <cfRule type="expression" dxfId="9728" priority="2568">
      <formula>AND(IF($Q212=3,1,IF($Q212=4,1,0)),IF($F212&lt;=85,1,0))</formula>
    </cfRule>
  </conditionalFormatting>
  <conditionalFormatting sqref="X212">
    <cfRule type="expression" dxfId="9727" priority="2561">
      <formula>AND(IF(OR($Q212=1,$Q212=2),1,0),IF($X212&lt;=20,1,0))</formula>
    </cfRule>
    <cfRule type="expression" dxfId="9726" priority="2562">
      <formula>AND(IF($Q212=2,1,0),IF($X212&lt;30,1,0))</formula>
    </cfRule>
    <cfRule type="expression" dxfId="9725" priority="2563">
      <formula>AND(IF($Q212=3,1,0),IF($X212&lt;30,1,0))</formula>
    </cfRule>
    <cfRule type="expression" dxfId="9724" priority="2564">
      <formula>AND(IF($Q212=3,1,IF($Q212=4,1,0)),IF($F212&lt;=85,1,0))</formula>
    </cfRule>
  </conditionalFormatting>
  <conditionalFormatting sqref="AI212">
    <cfRule type="expression" dxfId="9723" priority="2557">
      <formula>AND(IF(OR($Q212=1,$Q212=2),1,0),IF($X212&lt;=20,1,0))</formula>
    </cfRule>
    <cfRule type="expression" dxfId="9722" priority="2558">
      <formula>AND(IF($Q212=2,1,0),IF($X212&lt;30,1,0))</formula>
    </cfRule>
    <cfRule type="expression" dxfId="9721" priority="2559">
      <formula>AND(IF($Q212=3,1,0),IF($X212&lt;30,1,0))</formula>
    </cfRule>
    <cfRule type="expression" dxfId="9720" priority="2560">
      <formula>AND(IF($Q212=3,1,IF($Q212=4,1,0)),IF($F212&lt;=85,1,0))</formula>
    </cfRule>
  </conditionalFormatting>
  <conditionalFormatting sqref="AV213">
    <cfRule type="expression" dxfId="9719" priority="2555">
      <formula>AV213="X"</formula>
    </cfRule>
    <cfRule type="expression" dxfId="9718" priority="2556">
      <formula>AV213="후보"</formula>
    </cfRule>
  </conditionalFormatting>
  <conditionalFormatting sqref="AC213">
    <cfRule type="cellIs" dxfId="9717" priority="2553" operator="greaterThan">
      <formula>0.9</formula>
    </cfRule>
    <cfRule type="cellIs" dxfId="9716" priority="2554" operator="greaterThan">
      <formula>0.85</formula>
    </cfRule>
  </conditionalFormatting>
  <conditionalFormatting sqref="N213">
    <cfRule type="cellIs" dxfId="9715" priority="2551" operator="greaterThan">
      <formula>0.9</formula>
    </cfRule>
    <cfRule type="cellIs" dxfId="9714" priority="2552" operator="greaterThan">
      <formula>0.85</formula>
    </cfRule>
  </conditionalFormatting>
  <conditionalFormatting sqref="E213">
    <cfRule type="expression" dxfId="9713" priority="2547">
      <formula>AND(IF(OR($Q213=1,$Q213=2),1,0),IF($X213&lt;=20,1,0))</formula>
    </cfRule>
    <cfRule type="expression" dxfId="9712" priority="2548">
      <formula>AND(IF($Q213=2,1,0),IF($X213&lt;30,1,0))</formula>
    </cfRule>
    <cfRule type="expression" dxfId="9711" priority="2549">
      <formula>AND(IF($Q213=3,1,0),IF($X213&lt;30,1,0))</formula>
    </cfRule>
    <cfRule type="expression" dxfId="9710" priority="2550">
      <formula>AND(IF($Q213=3,1,IF($Q213=4,1,0)),IF($F213&lt;=85,1,0))</formula>
    </cfRule>
  </conditionalFormatting>
  <conditionalFormatting sqref="X213">
    <cfRule type="expression" dxfId="9709" priority="2543">
      <formula>AND(IF(OR($Q213=1,$Q213=2),1,0),IF($X213&lt;=20,1,0))</formula>
    </cfRule>
    <cfRule type="expression" dxfId="9708" priority="2544">
      <formula>AND(IF($Q213=2,1,0),IF($X213&lt;30,1,0))</formula>
    </cfRule>
    <cfRule type="expression" dxfId="9707" priority="2545">
      <formula>AND(IF($Q213=3,1,0),IF($X213&lt;30,1,0))</formula>
    </cfRule>
    <cfRule type="expression" dxfId="9706" priority="2546">
      <formula>AND(IF($Q213=3,1,IF($Q213=4,1,0)),IF($F213&lt;=85,1,0))</formula>
    </cfRule>
  </conditionalFormatting>
  <conditionalFormatting sqref="AI213">
    <cfRule type="expression" dxfId="9705" priority="2539">
      <formula>AND(IF(OR($Q213=1,$Q213=2),1,0),IF($X213&lt;=20,1,0))</formula>
    </cfRule>
    <cfRule type="expression" dxfId="9704" priority="2540">
      <formula>AND(IF($Q213=2,1,0),IF($X213&lt;30,1,0))</formula>
    </cfRule>
    <cfRule type="expression" dxfId="9703" priority="2541">
      <formula>AND(IF($Q213=3,1,0),IF($X213&lt;30,1,0))</formula>
    </cfRule>
    <cfRule type="expression" dxfId="9702" priority="2542">
      <formula>AND(IF($Q213=3,1,IF($Q213=4,1,0)),IF($F213&lt;=85,1,0))</formula>
    </cfRule>
  </conditionalFormatting>
  <conditionalFormatting sqref="AV214">
    <cfRule type="expression" dxfId="9701" priority="2537">
      <formula>AV214="X"</formula>
    </cfRule>
    <cfRule type="expression" dxfId="9700" priority="2538">
      <formula>AV214="후보"</formula>
    </cfRule>
  </conditionalFormatting>
  <conditionalFormatting sqref="AC214">
    <cfRule type="cellIs" dxfId="9699" priority="2535" operator="greaterThan">
      <formula>0.9</formula>
    </cfRule>
    <cfRule type="cellIs" dxfId="9698" priority="2536" operator="greaterThan">
      <formula>0.85</formula>
    </cfRule>
  </conditionalFormatting>
  <conditionalFormatting sqref="N214">
    <cfRule type="cellIs" dxfId="9697" priority="2533" operator="greaterThan">
      <formula>0.9</formula>
    </cfRule>
    <cfRule type="cellIs" dxfId="9696" priority="2534" operator="greaterThan">
      <formula>0.85</formula>
    </cfRule>
  </conditionalFormatting>
  <conditionalFormatting sqref="E214">
    <cfRule type="expression" dxfId="9695" priority="2529">
      <formula>AND(IF(OR($Q214=1,$Q214=2),1,0),IF($X214&lt;=20,1,0))</formula>
    </cfRule>
    <cfRule type="expression" dxfId="9694" priority="2530">
      <formula>AND(IF($Q214=2,1,0),IF($X214&lt;30,1,0))</formula>
    </cfRule>
    <cfRule type="expression" dxfId="9693" priority="2531">
      <formula>AND(IF($Q214=3,1,0),IF($X214&lt;30,1,0))</formula>
    </cfRule>
    <cfRule type="expression" dxfId="9692" priority="2532">
      <formula>AND(IF($Q214=3,1,IF($Q214=4,1,0)),IF($F214&lt;=85,1,0))</formula>
    </cfRule>
  </conditionalFormatting>
  <conditionalFormatting sqref="X214">
    <cfRule type="expression" dxfId="9691" priority="2525">
      <formula>AND(IF(OR($Q214=1,$Q214=2),1,0),IF($X214&lt;=20,1,0))</formula>
    </cfRule>
    <cfRule type="expression" dxfId="9690" priority="2526">
      <formula>AND(IF($Q214=2,1,0),IF($X214&lt;30,1,0))</formula>
    </cfRule>
    <cfRule type="expression" dxfId="9689" priority="2527">
      <formula>AND(IF($Q214=3,1,0),IF($X214&lt;30,1,0))</formula>
    </cfRule>
    <cfRule type="expression" dxfId="9688" priority="2528">
      <formula>AND(IF($Q214=3,1,IF($Q214=4,1,0)),IF($F214&lt;=85,1,0))</formula>
    </cfRule>
  </conditionalFormatting>
  <conditionalFormatting sqref="AI214">
    <cfRule type="expression" dxfId="9687" priority="2521">
      <formula>AND(IF(OR($Q214=1,$Q214=2),1,0),IF($X214&lt;=20,1,0))</formula>
    </cfRule>
    <cfRule type="expression" dxfId="9686" priority="2522">
      <formula>AND(IF($Q214=2,1,0),IF($X214&lt;30,1,0))</formula>
    </cfRule>
    <cfRule type="expression" dxfId="9685" priority="2523">
      <formula>AND(IF($Q214=3,1,0),IF($X214&lt;30,1,0))</formula>
    </cfRule>
    <cfRule type="expression" dxfId="9684" priority="2524">
      <formula>AND(IF($Q214=3,1,IF($Q214=4,1,0)),IF($F214&lt;=85,1,0))</formula>
    </cfRule>
  </conditionalFormatting>
  <conditionalFormatting sqref="AV215">
    <cfRule type="expression" dxfId="9683" priority="2519">
      <formula>AV215="X"</formula>
    </cfRule>
    <cfRule type="expression" dxfId="9682" priority="2520">
      <formula>AV215="후보"</formula>
    </cfRule>
  </conditionalFormatting>
  <conditionalFormatting sqref="AC215">
    <cfRule type="cellIs" dxfId="9681" priority="2517" operator="greaterThan">
      <formula>0.9</formula>
    </cfRule>
    <cfRule type="cellIs" dxfId="9680" priority="2518" operator="greaterThan">
      <formula>0.85</formula>
    </cfRule>
  </conditionalFormatting>
  <conditionalFormatting sqref="N215">
    <cfRule type="cellIs" dxfId="9679" priority="2515" operator="greaterThan">
      <formula>0.9</formula>
    </cfRule>
    <cfRule type="cellIs" dxfId="9678" priority="2516" operator="greaterThan">
      <formula>0.85</formula>
    </cfRule>
  </conditionalFormatting>
  <conditionalFormatting sqref="E215">
    <cfRule type="expression" dxfId="9677" priority="2511">
      <formula>AND(IF(OR($Q215=1,$Q215=2),1,0),IF($X215&lt;=20,1,0))</formula>
    </cfRule>
    <cfRule type="expression" dxfId="9676" priority="2512">
      <formula>AND(IF($Q215=2,1,0),IF($X215&lt;30,1,0))</formula>
    </cfRule>
    <cfRule type="expression" dxfId="9675" priority="2513">
      <formula>AND(IF($Q215=3,1,0),IF($X215&lt;30,1,0))</formula>
    </cfRule>
    <cfRule type="expression" dxfId="9674" priority="2514">
      <formula>AND(IF($Q215=3,1,IF($Q215=4,1,0)),IF($F215&lt;=85,1,0))</formula>
    </cfRule>
  </conditionalFormatting>
  <conditionalFormatting sqref="X215">
    <cfRule type="expression" dxfId="9673" priority="2507">
      <formula>AND(IF(OR($Q215=1,$Q215=2),1,0),IF($X215&lt;=20,1,0))</formula>
    </cfRule>
    <cfRule type="expression" dxfId="9672" priority="2508">
      <formula>AND(IF($Q215=2,1,0),IF($X215&lt;30,1,0))</formula>
    </cfRule>
    <cfRule type="expression" dxfId="9671" priority="2509">
      <formula>AND(IF($Q215=3,1,0),IF($X215&lt;30,1,0))</formula>
    </cfRule>
    <cfRule type="expression" dxfId="9670" priority="2510">
      <formula>AND(IF($Q215=3,1,IF($Q215=4,1,0)),IF($F215&lt;=85,1,0))</formula>
    </cfRule>
  </conditionalFormatting>
  <conditionalFormatting sqref="AI215">
    <cfRule type="expression" dxfId="9669" priority="2503">
      <formula>AND(IF(OR($Q215=1,$Q215=2),1,0),IF($X215&lt;=20,1,0))</formula>
    </cfRule>
    <cfRule type="expression" dxfId="9668" priority="2504">
      <formula>AND(IF($Q215=2,1,0),IF($X215&lt;30,1,0))</formula>
    </cfRule>
    <cfRule type="expression" dxfId="9667" priority="2505">
      <formula>AND(IF($Q215=3,1,0),IF($X215&lt;30,1,0))</formula>
    </cfRule>
    <cfRule type="expression" dxfId="9666" priority="2506">
      <formula>AND(IF($Q215=3,1,IF($Q215=4,1,0)),IF($F215&lt;=85,1,0))</formula>
    </cfRule>
  </conditionalFormatting>
  <conditionalFormatting sqref="AV216">
    <cfRule type="expression" dxfId="9665" priority="2501">
      <formula>AV216="X"</formula>
    </cfRule>
    <cfRule type="expression" dxfId="9664" priority="2502">
      <formula>AV216="후보"</formula>
    </cfRule>
  </conditionalFormatting>
  <conditionalFormatting sqref="AC216">
    <cfRule type="cellIs" dxfId="9663" priority="2499" operator="greaterThan">
      <formula>0.9</formula>
    </cfRule>
    <cfRule type="cellIs" dxfId="9662" priority="2500" operator="greaterThan">
      <formula>0.85</formula>
    </cfRule>
  </conditionalFormatting>
  <conditionalFormatting sqref="N216">
    <cfRule type="cellIs" dxfId="9661" priority="2497" operator="greaterThan">
      <formula>0.9</formula>
    </cfRule>
    <cfRule type="cellIs" dxfId="9660" priority="2498" operator="greaterThan">
      <formula>0.85</formula>
    </cfRule>
  </conditionalFormatting>
  <conditionalFormatting sqref="E216">
    <cfRule type="expression" dxfId="9659" priority="2493">
      <formula>AND(IF(OR($Q216=1,$Q216=2),1,0),IF($X216&lt;=20,1,0))</formula>
    </cfRule>
    <cfRule type="expression" dxfId="9658" priority="2494">
      <formula>AND(IF($Q216=2,1,0),IF($X216&lt;30,1,0))</formula>
    </cfRule>
    <cfRule type="expression" dxfId="9657" priority="2495">
      <formula>AND(IF($Q216=3,1,0),IF($X216&lt;30,1,0))</formula>
    </cfRule>
    <cfRule type="expression" dxfId="9656" priority="2496">
      <formula>AND(IF($Q216=3,1,IF($Q216=4,1,0)),IF($F216&lt;=85,1,0))</formula>
    </cfRule>
  </conditionalFormatting>
  <conditionalFormatting sqref="X216">
    <cfRule type="expression" dxfId="9655" priority="2489">
      <formula>AND(IF(OR($Q216=1,$Q216=2),1,0),IF($X216&lt;=20,1,0))</formula>
    </cfRule>
    <cfRule type="expression" dxfId="9654" priority="2490">
      <formula>AND(IF($Q216=2,1,0),IF($X216&lt;30,1,0))</formula>
    </cfRule>
    <cfRule type="expression" dxfId="9653" priority="2491">
      <formula>AND(IF($Q216=3,1,0),IF($X216&lt;30,1,0))</formula>
    </cfRule>
    <cfRule type="expression" dxfId="9652" priority="2492">
      <formula>AND(IF($Q216=3,1,IF($Q216=4,1,0)),IF($F216&lt;=85,1,0))</formula>
    </cfRule>
  </conditionalFormatting>
  <conditionalFormatting sqref="AI216">
    <cfRule type="expression" dxfId="9651" priority="2485">
      <formula>AND(IF(OR($Q216=1,$Q216=2),1,0),IF($X216&lt;=20,1,0))</formula>
    </cfRule>
    <cfRule type="expression" dxfId="9650" priority="2486">
      <formula>AND(IF($Q216=2,1,0),IF($X216&lt;30,1,0))</formula>
    </cfRule>
    <cfRule type="expression" dxfId="9649" priority="2487">
      <formula>AND(IF($Q216=3,1,0),IF($X216&lt;30,1,0))</formula>
    </cfRule>
    <cfRule type="expression" dxfId="9648" priority="2488">
      <formula>AND(IF($Q216=3,1,IF($Q216=4,1,0)),IF($F216&lt;=85,1,0))</formula>
    </cfRule>
  </conditionalFormatting>
  <conditionalFormatting sqref="AV217">
    <cfRule type="expression" dxfId="9647" priority="2483">
      <formula>AV217="X"</formula>
    </cfRule>
    <cfRule type="expression" dxfId="9646" priority="2484">
      <formula>AV217="후보"</formula>
    </cfRule>
  </conditionalFormatting>
  <conditionalFormatting sqref="AC217">
    <cfRule type="cellIs" dxfId="9645" priority="2481" operator="greaterThan">
      <formula>0.9</formula>
    </cfRule>
    <cfRule type="cellIs" dxfId="9644" priority="2482" operator="greaterThan">
      <formula>0.85</formula>
    </cfRule>
  </conditionalFormatting>
  <conditionalFormatting sqref="N217">
    <cfRule type="cellIs" dxfId="9643" priority="2479" operator="greaterThan">
      <formula>0.9</formula>
    </cfRule>
    <cfRule type="cellIs" dxfId="9642" priority="2480" operator="greaterThan">
      <formula>0.85</formula>
    </cfRule>
  </conditionalFormatting>
  <conditionalFormatting sqref="E217">
    <cfRule type="expression" dxfId="9641" priority="2475">
      <formula>AND(IF(OR($Q217=1,$Q217=2),1,0),IF($X217&lt;=20,1,0))</formula>
    </cfRule>
    <cfRule type="expression" dxfId="9640" priority="2476">
      <formula>AND(IF($Q217=2,1,0),IF($X217&lt;30,1,0))</formula>
    </cfRule>
    <cfRule type="expression" dxfId="9639" priority="2477">
      <formula>AND(IF($Q217=3,1,0),IF($X217&lt;30,1,0))</formula>
    </cfRule>
    <cfRule type="expression" dxfId="9638" priority="2478">
      <formula>AND(IF($Q217=3,1,IF($Q217=4,1,0)),IF($F217&lt;=85,1,0))</formula>
    </cfRule>
  </conditionalFormatting>
  <conditionalFormatting sqref="X217">
    <cfRule type="expression" dxfId="9637" priority="2471">
      <formula>AND(IF(OR($Q217=1,$Q217=2),1,0),IF($X217&lt;=20,1,0))</formula>
    </cfRule>
    <cfRule type="expression" dxfId="9636" priority="2472">
      <formula>AND(IF($Q217=2,1,0),IF($X217&lt;30,1,0))</formula>
    </cfRule>
    <cfRule type="expression" dxfId="9635" priority="2473">
      <formula>AND(IF($Q217=3,1,0),IF($X217&lt;30,1,0))</formula>
    </cfRule>
    <cfRule type="expression" dxfId="9634" priority="2474">
      <formula>AND(IF($Q217=3,1,IF($Q217=4,1,0)),IF($F217&lt;=85,1,0))</formula>
    </cfRule>
  </conditionalFormatting>
  <conditionalFormatting sqref="AI217">
    <cfRule type="expression" dxfId="9633" priority="2467">
      <formula>AND(IF(OR($Q217=1,$Q217=2),1,0),IF($X217&lt;=20,1,0))</formula>
    </cfRule>
    <cfRule type="expression" dxfId="9632" priority="2468">
      <formula>AND(IF($Q217=2,1,0),IF($X217&lt;30,1,0))</formula>
    </cfRule>
    <cfRule type="expression" dxfId="9631" priority="2469">
      <formula>AND(IF($Q217=3,1,0),IF($X217&lt;30,1,0))</formula>
    </cfRule>
    <cfRule type="expression" dxfId="9630" priority="2470">
      <formula>AND(IF($Q217=3,1,IF($Q217=4,1,0)),IF($F217&lt;=85,1,0))</formula>
    </cfRule>
  </conditionalFormatting>
  <conditionalFormatting sqref="AV218">
    <cfRule type="expression" dxfId="9629" priority="2465">
      <formula>AV218="X"</formula>
    </cfRule>
    <cfRule type="expression" dxfId="9628" priority="2466">
      <formula>AV218="후보"</formula>
    </cfRule>
  </conditionalFormatting>
  <conditionalFormatting sqref="AC218">
    <cfRule type="cellIs" dxfId="9627" priority="2463" operator="greaterThan">
      <formula>0.9</formula>
    </cfRule>
    <cfRule type="cellIs" dxfId="9626" priority="2464" operator="greaterThan">
      <formula>0.85</formula>
    </cfRule>
  </conditionalFormatting>
  <conditionalFormatting sqref="N218">
    <cfRule type="cellIs" dxfId="9625" priority="2461" operator="greaterThan">
      <formula>0.9</formula>
    </cfRule>
    <cfRule type="cellIs" dxfId="9624" priority="2462" operator="greaterThan">
      <formula>0.85</formula>
    </cfRule>
  </conditionalFormatting>
  <conditionalFormatting sqref="E218">
    <cfRule type="expression" dxfId="9623" priority="2457">
      <formula>AND(IF(OR($Q218=1,$Q218=2),1,0),IF($X218&lt;=20,1,0))</formula>
    </cfRule>
    <cfRule type="expression" dxfId="9622" priority="2458">
      <formula>AND(IF($Q218=2,1,0),IF($X218&lt;30,1,0))</formula>
    </cfRule>
    <cfRule type="expression" dxfId="9621" priority="2459">
      <formula>AND(IF($Q218=3,1,0),IF($X218&lt;30,1,0))</formula>
    </cfRule>
    <cfRule type="expression" dxfId="9620" priority="2460">
      <formula>AND(IF($Q218=3,1,IF($Q218=4,1,0)),IF($F218&lt;=85,1,0))</formula>
    </cfRule>
  </conditionalFormatting>
  <conditionalFormatting sqref="X218">
    <cfRule type="expression" dxfId="9619" priority="2453">
      <formula>AND(IF(OR($Q218=1,$Q218=2),1,0),IF($X218&lt;=20,1,0))</formula>
    </cfRule>
    <cfRule type="expression" dxfId="9618" priority="2454">
      <formula>AND(IF($Q218=2,1,0),IF($X218&lt;30,1,0))</formula>
    </cfRule>
    <cfRule type="expression" dxfId="9617" priority="2455">
      <formula>AND(IF($Q218=3,1,0),IF($X218&lt;30,1,0))</formula>
    </cfRule>
    <cfRule type="expression" dxfId="9616" priority="2456">
      <formula>AND(IF($Q218=3,1,IF($Q218=4,1,0)),IF($F218&lt;=85,1,0))</formula>
    </cfRule>
  </conditionalFormatting>
  <conditionalFormatting sqref="AI218">
    <cfRule type="expression" dxfId="9615" priority="2449">
      <formula>AND(IF(OR($Q218=1,$Q218=2),1,0),IF($X218&lt;=20,1,0))</formula>
    </cfRule>
    <cfRule type="expression" dxfId="9614" priority="2450">
      <formula>AND(IF($Q218=2,1,0),IF($X218&lt;30,1,0))</formula>
    </cfRule>
    <cfRule type="expression" dxfId="9613" priority="2451">
      <formula>AND(IF($Q218=3,1,0),IF($X218&lt;30,1,0))</formula>
    </cfRule>
    <cfRule type="expression" dxfId="9612" priority="2452">
      <formula>AND(IF($Q218=3,1,IF($Q218=4,1,0)),IF($F218&lt;=85,1,0))</formula>
    </cfRule>
  </conditionalFormatting>
  <conditionalFormatting sqref="AV219">
    <cfRule type="expression" dxfId="9611" priority="2447">
      <formula>AV219="X"</formula>
    </cfRule>
    <cfRule type="expression" dxfId="9610" priority="2448">
      <formula>AV219="후보"</formula>
    </cfRule>
  </conditionalFormatting>
  <conditionalFormatting sqref="AC219">
    <cfRule type="cellIs" dxfId="9609" priority="2445" operator="greaterThan">
      <formula>0.9</formula>
    </cfRule>
    <cfRule type="cellIs" dxfId="9608" priority="2446" operator="greaterThan">
      <formula>0.85</formula>
    </cfRule>
  </conditionalFormatting>
  <conditionalFormatting sqref="N219">
    <cfRule type="cellIs" dxfId="9607" priority="2443" operator="greaterThan">
      <formula>0.9</formula>
    </cfRule>
    <cfRule type="cellIs" dxfId="9606" priority="2444" operator="greaterThan">
      <formula>0.85</formula>
    </cfRule>
  </conditionalFormatting>
  <conditionalFormatting sqref="E219">
    <cfRule type="expression" dxfId="9605" priority="2439">
      <formula>AND(IF(OR($Q219=1,$Q219=2),1,0),IF($X219&lt;=20,1,0))</formula>
    </cfRule>
    <cfRule type="expression" dxfId="9604" priority="2440">
      <formula>AND(IF($Q219=2,1,0),IF($X219&lt;30,1,0))</formula>
    </cfRule>
    <cfRule type="expression" dxfId="9603" priority="2441">
      <formula>AND(IF($Q219=3,1,0),IF($X219&lt;30,1,0))</formula>
    </cfRule>
    <cfRule type="expression" dxfId="9602" priority="2442">
      <formula>AND(IF($Q219=3,1,IF($Q219=4,1,0)),IF($F219&lt;=85,1,0))</formula>
    </cfRule>
  </conditionalFormatting>
  <conditionalFormatting sqref="X219">
    <cfRule type="expression" dxfId="9601" priority="2435">
      <formula>AND(IF(OR($Q219=1,$Q219=2),1,0),IF($X219&lt;=20,1,0))</formula>
    </cfRule>
    <cfRule type="expression" dxfId="9600" priority="2436">
      <formula>AND(IF($Q219=2,1,0),IF($X219&lt;30,1,0))</formula>
    </cfRule>
    <cfRule type="expression" dxfId="9599" priority="2437">
      <formula>AND(IF($Q219=3,1,0),IF($X219&lt;30,1,0))</formula>
    </cfRule>
    <cfRule type="expression" dxfId="9598" priority="2438">
      <formula>AND(IF($Q219=3,1,IF($Q219=4,1,0)),IF($F219&lt;=85,1,0))</formula>
    </cfRule>
  </conditionalFormatting>
  <conditionalFormatting sqref="AI219">
    <cfRule type="expression" dxfId="9597" priority="2431">
      <formula>AND(IF(OR($Q219=1,$Q219=2),1,0),IF($X219&lt;=20,1,0))</formula>
    </cfRule>
    <cfRule type="expression" dxfId="9596" priority="2432">
      <formula>AND(IF($Q219=2,1,0),IF($X219&lt;30,1,0))</formula>
    </cfRule>
    <cfRule type="expression" dxfId="9595" priority="2433">
      <formula>AND(IF($Q219=3,1,0),IF($X219&lt;30,1,0))</formula>
    </cfRule>
    <cfRule type="expression" dxfId="9594" priority="2434">
      <formula>AND(IF($Q219=3,1,IF($Q219=4,1,0)),IF($F219&lt;=85,1,0))</formula>
    </cfRule>
  </conditionalFormatting>
  <conditionalFormatting sqref="AV220">
    <cfRule type="expression" dxfId="9593" priority="2429">
      <formula>AV220="X"</formula>
    </cfRule>
    <cfRule type="expression" dxfId="9592" priority="2430">
      <formula>AV220="후보"</formula>
    </cfRule>
  </conditionalFormatting>
  <conditionalFormatting sqref="AC220">
    <cfRule type="cellIs" dxfId="9591" priority="2427" operator="greaterThan">
      <formula>0.9</formula>
    </cfRule>
    <cfRule type="cellIs" dxfId="9590" priority="2428" operator="greaterThan">
      <formula>0.85</formula>
    </cfRule>
  </conditionalFormatting>
  <conditionalFormatting sqref="N220">
    <cfRule type="cellIs" dxfId="9589" priority="2425" operator="greaterThan">
      <formula>0.9</formula>
    </cfRule>
    <cfRule type="cellIs" dxfId="9588" priority="2426" operator="greaterThan">
      <formula>0.85</formula>
    </cfRule>
  </conditionalFormatting>
  <conditionalFormatting sqref="E220">
    <cfRule type="expression" dxfId="9587" priority="2421">
      <formula>AND(IF(OR($Q220=1,$Q220=2),1,0),IF($X220&lt;=20,1,0))</formula>
    </cfRule>
    <cfRule type="expression" dxfId="9586" priority="2422">
      <formula>AND(IF($Q220=2,1,0),IF($X220&lt;30,1,0))</formula>
    </cfRule>
    <cfRule type="expression" dxfId="9585" priority="2423">
      <formula>AND(IF($Q220=3,1,0),IF($X220&lt;30,1,0))</formula>
    </cfRule>
    <cfRule type="expression" dxfId="9584" priority="2424">
      <formula>AND(IF($Q220=3,1,IF($Q220=4,1,0)),IF($F220&lt;=85,1,0))</formula>
    </cfRule>
  </conditionalFormatting>
  <conditionalFormatting sqref="X220">
    <cfRule type="expression" dxfId="9583" priority="2417">
      <formula>AND(IF(OR($Q220=1,$Q220=2),1,0),IF($X220&lt;=20,1,0))</formula>
    </cfRule>
    <cfRule type="expression" dxfId="9582" priority="2418">
      <formula>AND(IF($Q220=2,1,0),IF($X220&lt;30,1,0))</formula>
    </cfRule>
    <cfRule type="expression" dxfId="9581" priority="2419">
      <formula>AND(IF($Q220=3,1,0),IF($X220&lt;30,1,0))</formula>
    </cfRule>
    <cfRule type="expression" dxfId="9580" priority="2420">
      <formula>AND(IF($Q220=3,1,IF($Q220=4,1,0)),IF($F220&lt;=85,1,0))</formula>
    </cfRule>
  </conditionalFormatting>
  <conditionalFormatting sqref="AI220">
    <cfRule type="expression" dxfId="9579" priority="2413">
      <formula>AND(IF(OR($Q220=1,$Q220=2),1,0),IF($X220&lt;=20,1,0))</formula>
    </cfRule>
    <cfRule type="expression" dxfId="9578" priority="2414">
      <formula>AND(IF($Q220=2,1,0),IF($X220&lt;30,1,0))</formula>
    </cfRule>
    <cfRule type="expression" dxfId="9577" priority="2415">
      <formula>AND(IF($Q220=3,1,0),IF($X220&lt;30,1,0))</formula>
    </cfRule>
    <cfRule type="expression" dxfId="9576" priority="2416">
      <formula>AND(IF($Q220=3,1,IF($Q220=4,1,0)),IF($F220&lt;=85,1,0))</formula>
    </cfRule>
  </conditionalFormatting>
  <conditionalFormatting sqref="AV221">
    <cfRule type="expression" dxfId="9575" priority="2411">
      <formula>AV221="X"</formula>
    </cfRule>
    <cfRule type="expression" dxfId="9574" priority="2412">
      <formula>AV221="후보"</formula>
    </cfRule>
  </conditionalFormatting>
  <conditionalFormatting sqref="AC221">
    <cfRule type="cellIs" dxfId="9573" priority="2409" operator="greaterThan">
      <formula>0.9</formula>
    </cfRule>
    <cfRule type="cellIs" dxfId="9572" priority="2410" operator="greaterThan">
      <formula>0.85</formula>
    </cfRule>
  </conditionalFormatting>
  <conditionalFormatting sqref="N221">
    <cfRule type="cellIs" dxfId="9571" priority="2407" operator="greaterThan">
      <formula>0.9</formula>
    </cfRule>
    <cfRule type="cellIs" dxfId="9570" priority="2408" operator="greaterThan">
      <formula>0.85</formula>
    </cfRule>
  </conditionalFormatting>
  <conditionalFormatting sqref="E221">
    <cfRule type="expression" dxfId="9569" priority="2403">
      <formula>AND(IF(OR($Q221=1,$Q221=2),1,0),IF($X221&lt;=20,1,0))</formula>
    </cfRule>
    <cfRule type="expression" dxfId="9568" priority="2404">
      <formula>AND(IF($Q221=2,1,0),IF($X221&lt;30,1,0))</formula>
    </cfRule>
    <cfRule type="expression" dxfId="9567" priority="2405">
      <formula>AND(IF($Q221=3,1,0),IF($X221&lt;30,1,0))</formula>
    </cfRule>
    <cfRule type="expression" dxfId="9566" priority="2406">
      <formula>AND(IF($Q221=3,1,IF($Q221=4,1,0)),IF($F221&lt;=85,1,0))</formula>
    </cfRule>
  </conditionalFormatting>
  <conditionalFormatting sqref="X221">
    <cfRule type="expression" dxfId="9565" priority="2399">
      <formula>AND(IF(OR($Q221=1,$Q221=2),1,0),IF($X221&lt;=20,1,0))</formula>
    </cfRule>
    <cfRule type="expression" dxfId="9564" priority="2400">
      <formula>AND(IF($Q221=2,1,0),IF($X221&lt;30,1,0))</formula>
    </cfRule>
    <cfRule type="expression" dxfId="9563" priority="2401">
      <formula>AND(IF($Q221=3,1,0),IF($X221&lt;30,1,0))</formula>
    </cfRule>
    <cfRule type="expression" dxfId="9562" priority="2402">
      <formula>AND(IF($Q221=3,1,IF($Q221=4,1,0)),IF($F221&lt;=85,1,0))</formula>
    </cfRule>
  </conditionalFormatting>
  <conditionalFormatting sqref="AI221">
    <cfRule type="expression" dxfId="9561" priority="2395">
      <formula>AND(IF(OR($Q221=1,$Q221=2),1,0),IF($X221&lt;=20,1,0))</formula>
    </cfRule>
    <cfRule type="expression" dxfId="9560" priority="2396">
      <formula>AND(IF($Q221=2,1,0),IF($X221&lt;30,1,0))</formula>
    </cfRule>
    <cfRule type="expression" dxfId="9559" priority="2397">
      <formula>AND(IF($Q221=3,1,0),IF($X221&lt;30,1,0))</formula>
    </cfRule>
    <cfRule type="expression" dxfId="9558" priority="2398">
      <formula>AND(IF($Q221=3,1,IF($Q221=4,1,0)),IF($F221&lt;=85,1,0))</formula>
    </cfRule>
  </conditionalFormatting>
  <conditionalFormatting sqref="AV222">
    <cfRule type="expression" dxfId="9557" priority="2393">
      <formula>AV222="X"</formula>
    </cfRule>
    <cfRule type="expression" dxfId="9556" priority="2394">
      <formula>AV222="후보"</formula>
    </cfRule>
  </conditionalFormatting>
  <conditionalFormatting sqref="AC222">
    <cfRule type="cellIs" dxfId="9555" priority="2391" operator="greaterThan">
      <formula>0.9</formula>
    </cfRule>
    <cfRule type="cellIs" dxfId="9554" priority="2392" operator="greaterThan">
      <formula>0.85</formula>
    </cfRule>
  </conditionalFormatting>
  <conditionalFormatting sqref="N222">
    <cfRule type="cellIs" dxfId="9553" priority="2389" operator="greaterThan">
      <formula>0.9</formula>
    </cfRule>
    <cfRule type="cellIs" dxfId="9552" priority="2390" operator="greaterThan">
      <formula>0.85</formula>
    </cfRule>
  </conditionalFormatting>
  <conditionalFormatting sqref="E222">
    <cfRule type="expression" dxfId="9551" priority="2385">
      <formula>AND(IF(OR($Q222=1,$Q222=2),1,0),IF($X222&lt;=20,1,0))</formula>
    </cfRule>
    <cfRule type="expression" dxfId="9550" priority="2386">
      <formula>AND(IF($Q222=2,1,0),IF($X222&lt;30,1,0))</formula>
    </cfRule>
    <cfRule type="expression" dxfId="9549" priority="2387">
      <formula>AND(IF($Q222=3,1,0),IF($X222&lt;30,1,0))</formula>
    </cfRule>
    <cfRule type="expression" dxfId="9548" priority="2388">
      <formula>AND(IF($Q222=3,1,IF($Q222=4,1,0)),IF($F222&lt;=85,1,0))</formula>
    </cfRule>
  </conditionalFormatting>
  <conditionalFormatting sqref="X222">
    <cfRule type="expression" dxfId="9547" priority="2381">
      <formula>AND(IF(OR($Q222=1,$Q222=2),1,0),IF($X222&lt;=20,1,0))</formula>
    </cfRule>
    <cfRule type="expression" dxfId="9546" priority="2382">
      <formula>AND(IF($Q222=2,1,0),IF($X222&lt;30,1,0))</formula>
    </cfRule>
    <cfRule type="expression" dxfId="9545" priority="2383">
      <formula>AND(IF($Q222=3,1,0),IF($X222&lt;30,1,0))</formula>
    </cfRule>
    <cfRule type="expression" dxfId="9544" priority="2384">
      <formula>AND(IF($Q222=3,1,IF($Q222=4,1,0)),IF($F222&lt;=85,1,0))</formula>
    </cfRule>
  </conditionalFormatting>
  <conditionalFormatting sqref="AI222">
    <cfRule type="expression" dxfId="9543" priority="2377">
      <formula>AND(IF(OR($Q222=1,$Q222=2),1,0),IF($X222&lt;=20,1,0))</formula>
    </cfRule>
    <cfRule type="expression" dxfId="9542" priority="2378">
      <formula>AND(IF($Q222=2,1,0),IF($X222&lt;30,1,0))</formula>
    </cfRule>
    <cfRule type="expression" dxfId="9541" priority="2379">
      <formula>AND(IF($Q222=3,1,0),IF($X222&lt;30,1,0))</formula>
    </cfRule>
    <cfRule type="expression" dxfId="9540" priority="2380">
      <formula>AND(IF($Q222=3,1,IF($Q222=4,1,0)),IF($F222&lt;=85,1,0))</formula>
    </cfRule>
  </conditionalFormatting>
  <conditionalFormatting sqref="AV223">
    <cfRule type="expression" dxfId="9539" priority="2375">
      <formula>AV223="X"</formula>
    </cfRule>
    <cfRule type="expression" dxfId="9538" priority="2376">
      <formula>AV223="후보"</formula>
    </cfRule>
  </conditionalFormatting>
  <conditionalFormatting sqref="AC223">
    <cfRule type="cellIs" dxfId="9537" priority="2373" operator="greaterThan">
      <formula>0.9</formula>
    </cfRule>
    <cfRule type="cellIs" dxfId="9536" priority="2374" operator="greaterThan">
      <formula>0.85</formula>
    </cfRule>
  </conditionalFormatting>
  <conditionalFormatting sqref="N223">
    <cfRule type="cellIs" dxfId="9535" priority="2371" operator="greaterThan">
      <formula>0.9</formula>
    </cfRule>
    <cfRule type="cellIs" dxfId="9534" priority="2372" operator="greaterThan">
      <formula>0.85</formula>
    </cfRule>
  </conditionalFormatting>
  <conditionalFormatting sqref="E223">
    <cfRule type="expression" dxfId="9533" priority="2367">
      <formula>AND(IF(OR($Q223=1,$Q223=2),1,0),IF($X223&lt;=20,1,0))</formula>
    </cfRule>
    <cfRule type="expression" dxfId="9532" priority="2368">
      <formula>AND(IF($Q223=2,1,0),IF($X223&lt;30,1,0))</formula>
    </cfRule>
    <cfRule type="expression" dxfId="9531" priority="2369">
      <formula>AND(IF($Q223=3,1,0),IF($X223&lt;30,1,0))</formula>
    </cfRule>
    <cfRule type="expression" dxfId="9530" priority="2370">
      <formula>AND(IF($Q223=3,1,IF($Q223=4,1,0)),IF($F223&lt;=85,1,0))</formula>
    </cfRule>
  </conditionalFormatting>
  <conditionalFormatting sqref="X223">
    <cfRule type="expression" dxfId="9529" priority="2363">
      <formula>AND(IF(OR($Q223=1,$Q223=2),1,0),IF($X223&lt;=20,1,0))</formula>
    </cfRule>
    <cfRule type="expression" dxfId="9528" priority="2364">
      <formula>AND(IF($Q223=2,1,0),IF($X223&lt;30,1,0))</formula>
    </cfRule>
    <cfRule type="expression" dxfId="9527" priority="2365">
      <formula>AND(IF($Q223=3,1,0),IF($X223&lt;30,1,0))</formula>
    </cfRule>
    <cfRule type="expression" dxfId="9526" priority="2366">
      <formula>AND(IF($Q223=3,1,IF($Q223=4,1,0)),IF($F223&lt;=85,1,0))</formula>
    </cfRule>
  </conditionalFormatting>
  <conditionalFormatting sqref="AI223">
    <cfRule type="expression" dxfId="9525" priority="2359">
      <formula>AND(IF(OR($Q223=1,$Q223=2),1,0),IF($X223&lt;=20,1,0))</formula>
    </cfRule>
    <cfRule type="expression" dxfId="9524" priority="2360">
      <formula>AND(IF($Q223=2,1,0),IF($X223&lt;30,1,0))</formula>
    </cfRule>
    <cfRule type="expression" dxfId="9523" priority="2361">
      <formula>AND(IF($Q223=3,1,0),IF($X223&lt;30,1,0))</formula>
    </cfRule>
    <cfRule type="expression" dxfId="9522" priority="2362">
      <formula>AND(IF($Q223=3,1,IF($Q223=4,1,0)),IF($F223&lt;=85,1,0))</formula>
    </cfRule>
  </conditionalFormatting>
  <conditionalFormatting sqref="AV224">
    <cfRule type="expression" dxfId="9521" priority="2357">
      <formula>AV224="X"</formula>
    </cfRule>
    <cfRule type="expression" dxfId="9520" priority="2358">
      <formula>AV224="후보"</formula>
    </cfRule>
  </conditionalFormatting>
  <conditionalFormatting sqref="AC224">
    <cfRule type="cellIs" dxfId="9519" priority="2355" operator="greaterThan">
      <formula>0.9</formula>
    </cfRule>
    <cfRule type="cellIs" dxfId="9518" priority="2356" operator="greaterThan">
      <formula>0.85</formula>
    </cfRule>
  </conditionalFormatting>
  <conditionalFormatting sqref="N224">
    <cfRule type="cellIs" dxfId="9517" priority="2353" operator="greaterThan">
      <formula>0.9</formula>
    </cfRule>
    <cfRule type="cellIs" dxfId="9516" priority="2354" operator="greaterThan">
      <formula>0.85</formula>
    </cfRule>
  </conditionalFormatting>
  <conditionalFormatting sqref="E224">
    <cfRule type="expression" dxfId="9515" priority="2349">
      <formula>AND(IF(OR($Q224=1,$Q224=2),1,0),IF($X224&lt;=20,1,0))</formula>
    </cfRule>
    <cfRule type="expression" dxfId="9514" priority="2350">
      <formula>AND(IF($Q224=2,1,0),IF($X224&lt;30,1,0))</formula>
    </cfRule>
    <cfRule type="expression" dxfId="9513" priority="2351">
      <formula>AND(IF($Q224=3,1,0),IF($X224&lt;30,1,0))</formula>
    </cfRule>
    <cfRule type="expression" dxfId="9512" priority="2352">
      <formula>AND(IF($Q224=3,1,IF($Q224=4,1,0)),IF($F224&lt;=85,1,0))</formula>
    </cfRule>
  </conditionalFormatting>
  <conditionalFormatting sqref="X224">
    <cfRule type="expression" dxfId="9511" priority="2345">
      <formula>AND(IF(OR($Q224=1,$Q224=2),1,0),IF($X224&lt;=20,1,0))</formula>
    </cfRule>
    <cfRule type="expression" dxfId="9510" priority="2346">
      <formula>AND(IF($Q224=2,1,0),IF($X224&lt;30,1,0))</formula>
    </cfRule>
    <cfRule type="expression" dxfId="9509" priority="2347">
      <formula>AND(IF($Q224=3,1,0),IF($X224&lt;30,1,0))</formula>
    </cfRule>
    <cfRule type="expression" dxfId="9508" priority="2348">
      <formula>AND(IF($Q224=3,1,IF($Q224=4,1,0)),IF($F224&lt;=85,1,0))</formula>
    </cfRule>
  </conditionalFormatting>
  <conditionalFormatting sqref="AI224">
    <cfRule type="expression" dxfId="9507" priority="2341">
      <formula>AND(IF(OR($Q224=1,$Q224=2),1,0),IF($X224&lt;=20,1,0))</formula>
    </cfRule>
    <cfRule type="expression" dxfId="9506" priority="2342">
      <formula>AND(IF($Q224=2,1,0),IF($X224&lt;30,1,0))</formula>
    </cfRule>
    <cfRule type="expression" dxfId="9505" priority="2343">
      <formula>AND(IF($Q224=3,1,0),IF($X224&lt;30,1,0))</formula>
    </cfRule>
    <cfRule type="expression" dxfId="9504" priority="2344">
      <formula>AND(IF($Q224=3,1,IF($Q224=4,1,0)),IF($F224&lt;=85,1,0))</formula>
    </cfRule>
  </conditionalFormatting>
  <conditionalFormatting sqref="AV225">
    <cfRule type="expression" dxfId="9503" priority="2339">
      <formula>AV225="X"</formula>
    </cfRule>
    <cfRule type="expression" dxfId="9502" priority="2340">
      <formula>AV225="후보"</formula>
    </cfRule>
  </conditionalFormatting>
  <conditionalFormatting sqref="AC225">
    <cfRule type="cellIs" dxfId="9501" priority="2337" operator="greaterThan">
      <formula>0.9</formula>
    </cfRule>
    <cfRule type="cellIs" dxfId="9500" priority="2338" operator="greaterThan">
      <formula>0.85</formula>
    </cfRule>
  </conditionalFormatting>
  <conditionalFormatting sqref="N225">
    <cfRule type="cellIs" dxfId="9499" priority="2335" operator="greaterThan">
      <formula>0.9</formula>
    </cfRule>
    <cfRule type="cellIs" dxfId="9498" priority="2336" operator="greaterThan">
      <formula>0.85</formula>
    </cfRule>
  </conditionalFormatting>
  <conditionalFormatting sqref="E225">
    <cfRule type="expression" dxfId="9497" priority="2331">
      <formula>AND(IF(OR($Q225=1,$Q225=2),1,0),IF($X225&lt;=20,1,0))</formula>
    </cfRule>
    <cfRule type="expression" dxfId="9496" priority="2332">
      <formula>AND(IF($Q225=2,1,0),IF($X225&lt;30,1,0))</formula>
    </cfRule>
    <cfRule type="expression" dxfId="9495" priority="2333">
      <formula>AND(IF($Q225=3,1,0),IF($X225&lt;30,1,0))</formula>
    </cfRule>
    <cfRule type="expression" dxfId="9494" priority="2334">
      <formula>AND(IF($Q225=3,1,IF($Q225=4,1,0)),IF($F225&lt;=85,1,0))</formula>
    </cfRule>
  </conditionalFormatting>
  <conditionalFormatting sqref="X225">
    <cfRule type="expression" dxfId="9493" priority="2327">
      <formula>AND(IF(OR($Q225=1,$Q225=2),1,0),IF($X225&lt;=20,1,0))</formula>
    </cfRule>
    <cfRule type="expression" dxfId="9492" priority="2328">
      <formula>AND(IF($Q225=2,1,0),IF($X225&lt;30,1,0))</formula>
    </cfRule>
    <cfRule type="expression" dxfId="9491" priority="2329">
      <formula>AND(IF($Q225=3,1,0),IF($X225&lt;30,1,0))</formula>
    </cfRule>
    <cfRule type="expression" dxfId="9490" priority="2330">
      <formula>AND(IF($Q225=3,1,IF($Q225=4,1,0)),IF($F225&lt;=85,1,0))</formula>
    </cfRule>
  </conditionalFormatting>
  <conditionalFormatting sqref="AI225">
    <cfRule type="expression" dxfId="9489" priority="2323">
      <formula>AND(IF(OR($Q225=1,$Q225=2),1,0),IF($X225&lt;=20,1,0))</formula>
    </cfRule>
    <cfRule type="expression" dxfId="9488" priority="2324">
      <formula>AND(IF($Q225=2,1,0),IF($X225&lt;30,1,0))</formula>
    </cfRule>
    <cfRule type="expression" dxfId="9487" priority="2325">
      <formula>AND(IF($Q225=3,1,0),IF($X225&lt;30,1,0))</formula>
    </cfRule>
    <cfRule type="expression" dxfId="9486" priority="2326">
      <formula>AND(IF($Q225=3,1,IF($Q225=4,1,0)),IF($F225&lt;=85,1,0))</formula>
    </cfRule>
  </conditionalFormatting>
  <conditionalFormatting sqref="AV226">
    <cfRule type="expression" dxfId="9485" priority="2321">
      <formula>AV226="X"</formula>
    </cfRule>
    <cfRule type="expression" dxfId="9484" priority="2322">
      <formula>AV226="후보"</formula>
    </cfRule>
  </conditionalFormatting>
  <conditionalFormatting sqref="AC226">
    <cfRule type="cellIs" dxfId="9483" priority="2319" operator="greaterThan">
      <formula>0.9</formula>
    </cfRule>
    <cfRule type="cellIs" dxfId="9482" priority="2320" operator="greaterThan">
      <formula>0.85</formula>
    </cfRule>
  </conditionalFormatting>
  <conditionalFormatting sqref="N226">
    <cfRule type="cellIs" dxfId="9481" priority="2317" operator="greaterThan">
      <formula>0.9</formula>
    </cfRule>
    <cfRule type="cellIs" dxfId="9480" priority="2318" operator="greaterThan">
      <formula>0.85</formula>
    </cfRule>
  </conditionalFormatting>
  <conditionalFormatting sqref="E226">
    <cfRule type="expression" dxfId="9479" priority="2313">
      <formula>AND(IF(OR($Q226=1,$Q226=2),1,0),IF($X226&lt;=20,1,0))</formula>
    </cfRule>
    <cfRule type="expression" dxfId="9478" priority="2314">
      <formula>AND(IF($Q226=2,1,0),IF($X226&lt;30,1,0))</formula>
    </cfRule>
    <cfRule type="expression" dxfId="9477" priority="2315">
      <formula>AND(IF($Q226=3,1,0),IF($X226&lt;30,1,0))</formula>
    </cfRule>
    <cfRule type="expression" dxfId="9476" priority="2316">
      <formula>AND(IF($Q226=3,1,IF($Q226=4,1,0)),IF($F226&lt;=85,1,0))</formula>
    </cfRule>
  </conditionalFormatting>
  <conditionalFormatting sqref="X226">
    <cfRule type="expression" dxfId="9475" priority="2309">
      <formula>AND(IF(OR($Q226=1,$Q226=2),1,0),IF($X226&lt;=20,1,0))</formula>
    </cfRule>
    <cfRule type="expression" dxfId="9474" priority="2310">
      <formula>AND(IF($Q226=2,1,0),IF($X226&lt;30,1,0))</formula>
    </cfRule>
    <cfRule type="expression" dxfId="9473" priority="2311">
      <formula>AND(IF($Q226=3,1,0),IF($X226&lt;30,1,0))</formula>
    </cfRule>
    <cfRule type="expression" dxfId="9472" priority="2312">
      <formula>AND(IF($Q226=3,1,IF($Q226=4,1,0)),IF($F226&lt;=85,1,0))</formula>
    </cfRule>
  </conditionalFormatting>
  <conditionalFormatting sqref="AI226">
    <cfRule type="expression" dxfId="9471" priority="2305">
      <formula>AND(IF(OR($Q226=1,$Q226=2),1,0),IF($X226&lt;=20,1,0))</formula>
    </cfRule>
    <cfRule type="expression" dxfId="9470" priority="2306">
      <formula>AND(IF($Q226=2,1,0),IF($X226&lt;30,1,0))</formula>
    </cfRule>
    <cfRule type="expression" dxfId="9469" priority="2307">
      <formula>AND(IF($Q226=3,1,0),IF($X226&lt;30,1,0))</formula>
    </cfRule>
    <cfRule type="expression" dxfId="9468" priority="2308">
      <formula>AND(IF($Q226=3,1,IF($Q226=4,1,0)),IF($F226&lt;=85,1,0))</formula>
    </cfRule>
  </conditionalFormatting>
  <conditionalFormatting sqref="AV227">
    <cfRule type="expression" dxfId="9467" priority="2303">
      <formula>AV227="X"</formula>
    </cfRule>
    <cfRule type="expression" dxfId="9466" priority="2304">
      <formula>AV227="후보"</formula>
    </cfRule>
  </conditionalFormatting>
  <conditionalFormatting sqref="AC227">
    <cfRule type="cellIs" dxfId="9465" priority="2301" operator="greaterThan">
      <formula>0.9</formula>
    </cfRule>
    <cfRule type="cellIs" dxfId="9464" priority="2302" operator="greaterThan">
      <formula>0.85</formula>
    </cfRule>
  </conditionalFormatting>
  <conditionalFormatting sqref="N227">
    <cfRule type="cellIs" dxfId="9463" priority="2299" operator="greaterThan">
      <formula>0.9</formula>
    </cfRule>
    <cfRule type="cellIs" dxfId="9462" priority="2300" operator="greaterThan">
      <formula>0.85</formula>
    </cfRule>
  </conditionalFormatting>
  <conditionalFormatting sqref="E227">
    <cfRule type="expression" dxfId="9461" priority="2295">
      <formula>AND(IF(OR($Q227=1,$Q227=2),1,0),IF($X227&lt;=20,1,0))</formula>
    </cfRule>
    <cfRule type="expression" dxfId="9460" priority="2296">
      <formula>AND(IF($Q227=2,1,0),IF($X227&lt;30,1,0))</formula>
    </cfRule>
    <cfRule type="expression" dxfId="9459" priority="2297">
      <formula>AND(IF($Q227=3,1,0),IF($X227&lt;30,1,0))</formula>
    </cfRule>
    <cfRule type="expression" dxfId="9458" priority="2298">
      <formula>AND(IF($Q227=3,1,IF($Q227=4,1,0)),IF($F227&lt;=85,1,0))</formula>
    </cfRule>
  </conditionalFormatting>
  <conditionalFormatting sqref="X227">
    <cfRule type="expression" dxfId="9457" priority="2291">
      <formula>AND(IF(OR($Q227=1,$Q227=2),1,0),IF($X227&lt;=20,1,0))</formula>
    </cfRule>
    <cfRule type="expression" dxfId="9456" priority="2292">
      <formula>AND(IF($Q227=2,1,0),IF($X227&lt;30,1,0))</formula>
    </cfRule>
    <cfRule type="expression" dxfId="9455" priority="2293">
      <formula>AND(IF($Q227=3,1,0),IF($X227&lt;30,1,0))</formula>
    </cfRule>
    <cfRule type="expression" dxfId="9454" priority="2294">
      <formula>AND(IF($Q227=3,1,IF($Q227=4,1,0)),IF($F227&lt;=85,1,0))</formula>
    </cfRule>
  </conditionalFormatting>
  <conditionalFormatting sqref="AI227">
    <cfRule type="expression" dxfId="9453" priority="2287">
      <formula>AND(IF(OR($Q227=1,$Q227=2),1,0),IF($X227&lt;=20,1,0))</formula>
    </cfRule>
    <cfRule type="expression" dxfId="9452" priority="2288">
      <formula>AND(IF($Q227=2,1,0),IF($X227&lt;30,1,0))</formula>
    </cfRule>
    <cfRule type="expression" dxfId="9451" priority="2289">
      <formula>AND(IF($Q227=3,1,0),IF($X227&lt;30,1,0))</formula>
    </cfRule>
    <cfRule type="expression" dxfId="9450" priority="2290">
      <formula>AND(IF($Q227=3,1,IF($Q227=4,1,0)),IF($F227&lt;=85,1,0))</formula>
    </cfRule>
  </conditionalFormatting>
  <conditionalFormatting sqref="AV228">
    <cfRule type="expression" dxfId="9449" priority="2285">
      <formula>AV228="X"</formula>
    </cfRule>
    <cfRule type="expression" dxfId="9448" priority="2286">
      <formula>AV228="후보"</formula>
    </cfRule>
  </conditionalFormatting>
  <conditionalFormatting sqref="AC228">
    <cfRule type="cellIs" dxfId="9447" priority="2283" operator="greaterThan">
      <formula>0.9</formula>
    </cfRule>
    <cfRule type="cellIs" dxfId="9446" priority="2284" operator="greaterThan">
      <formula>0.85</formula>
    </cfRule>
  </conditionalFormatting>
  <conditionalFormatting sqref="N228">
    <cfRule type="cellIs" dxfId="9445" priority="2281" operator="greaterThan">
      <formula>0.9</formula>
    </cfRule>
    <cfRule type="cellIs" dxfId="9444" priority="2282" operator="greaterThan">
      <formula>0.85</formula>
    </cfRule>
  </conditionalFormatting>
  <conditionalFormatting sqref="E228">
    <cfRule type="expression" dxfId="9443" priority="2277">
      <formula>AND(IF(OR($Q228=1,$Q228=2),1,0),IF($X228&lt;=20,1,0))</formula>
    </cfRule>
    <cfRule type="expression" dxfId="9442" priority="2278">
      <formula>AND(IF($Q228=2,1,0),IF($X228&lt;30,1,0))</formula>
    </cfRule>
    <cfRule type="expression" dxfId="9441" priority="2279">
      <formula>AND(IF($Q228=3,1,0),IF($X228&lt;30,1,0))</formula>
    </cfRule>
    <cfRule type="expression" dxfId="9440" priority="2280">
      <formula>AND(IF($Q228=3,1,IF($Q228=4,1,0)),IF($F228&lt;=85,1,0))</formula>
    </cfRule>
  </conditionalFormatting>
  <conditionalFormatting sqref="X228">
    <cfRule type="expression" dxfId="9439" priority="2273">
      <formula>AND(IF(OR($Q228=1,$Q228=2),1,0),IF($X228&lt;=20,1,0))</formula>
    </cfRule>
    <cfRule type="expression" dxfId="9438" priority="2274">
      <formula>AND(IF($Q228=2,1,0),IF($X228&lt;30,1,0))</formula>
    </cfRule>
    <cfRule type="expression" dxfId="9437" priority="2275">
      <formula>AND(IF($Q228=3,1,0),IF($X228&lt;30,1,0))</formula>
    </cfRule>
    <cfRule type="expression" dxfId="9436" priority="2276">
      <formula>AND(IF($Q228=3,1,IF($Q228=4,1,0)),IF($F228&lt;=85,1,0))</formula>
    </cfRule>
  </conditionalFormatting>
  <conditionalFormatting sqref="AI228">
    <cfRule type="expression" dxfId="9435" priority="2269">
      <formula>AND(IF(OR($Q228=1,$Q228=2),1,0),IF($X228&lt;=20,1,0))</formula>
    </cfRule>
    <cfRule type="expression" dxfId="9434" priority="2270">
      <formula>AND(IF($Q228=2,1,0),IF($X228&lt;30,1,0))</formula>
    </cfRule>
    <cfRule type="expression" dxfId="9433" priority="2271">
      <formula>AND(IF($Q228=3,1,0),IF($X228&lt;30,1,0))</formula>
    </cfRule>
    <cfRule type="expression" dxfId="9432" priority="2272">
      <formula>AND(IF($Q228=3,1,IF($Q228=4,1,0)),IF($F228&lt;=85,1,0))</formula>
    </cfRule>
  </conditionalFormatting>
  <conditionalFormatting sqref="AV229">
    <cfRule type="expression" dxfId="9431" priority="2267">
      <formula>AV229="X"</formula>
    </cfRule>
    <cfRule type="expression" dxfId="9430" priority="2268">
      <formula>AV229="후보"</formula>
    </cfRule>
  </conditionalFormatting>
  <conditionalFormatting sqref="AC229">
    <cfRule type="cellIs" dxfId="9429" priority="2265" operator="greaterThan">
      <formula>0.9</formula>
    </cfRule>
    <cfRule type="cellIs" dxfId="9428" priority="2266" operator="greaterThan">
      <formula>0.85</formula>
    </cfRule>
  </conditionalFormatting>
  <conditionalFormatting sqref="N229">
    <cfRule type="cellIs" dxfId="9427" priority="2263" operator="greaterThan">
      <formula>0.9</formula>
    </cfRule>
    <cfRule type="cellIs" dxfId="9426" priority="2264" operator="greaterThan">
      <formula>0.85</formula>
    </cfRule>
  </conditionalFormatting>
  <conditionalFormatting sqref="E229">
    <cfRule type="expression" dxfId="9425" priority="2259">
      <formula>AND(IF(OR($Q229=1,$Q229=2),1,0),IF($X229&lt;=20,1,0))</formula>
    </cfRule>
    <cfRule type="expression" dxfId="9424" priority="2260">
      <formula>AND(IF($Q229=2,1,0),IF($X229&lt;30,1,0))</formula>
    </cfRule>
    <cfRule type="expression" dxfId="9423" priority="2261">
      <formula>AND(IF($Q229=3,1,0),IF($X229&lt;30,1,0))</formula>
    </cfRule>
    <cfRule type="expression" dxfId="9422" priority="2262">
      <formula>AND(IF($Q229=3,1,IF($Q229=4,1,0)),IF($F229&lt;=85,1,0))</formula>
    </cfRule>
  </conditionalFormatting>
  <conditionalFormatting sqref="X229">
    <cfRule type="expression" dxfId="9421" priority="2255">
      <formula>AND(IF(OR($Q229=1,$Q229=2),1,0),IF($X229&lt;=20,1,0))</formula>
    </cfRule>
    <cfRule type="expression" dxfId="9420" priority="2256">
      <formula>AND(IF($Q229=2,1,0),IF($X229&lt;30,1,0))</formula>
    </cfRule>
    <cfRule type="expression" dxfId="9419" priority="2257">
      <formula>AND(IF($Q229=3,1,0),IF($X229&lt;30,1,0))</formula>
    </cfRule>
    <cfRule type="expression" dxfId="9418" priority="2258">
      <formula>AND(IF($Q229=3,1,IF($Q229=4,1,0)),IF($F229&lt;=85,1,0))</formula>
    </cfRule>
  </conditionalFormatting>
  <conditionalFormatting sqref="AI229">
    <cfRule type="expression" dxfId="9417" priority="2251">
      <formula>AND(IF(OR($Q229=1,$Q229=2),1,0),IF($X229&lt;=20,1,0))</formula>
    </cfRule>
    <cfRule type="expression" dxfId="9416" priority="2252">
      <formula>AND(IF($Q229=2,1,0),IF($X229&lt;30,1,0))</formula>
    </cfRule>
    <cfRule type="expression" dxfId="9415" priority="2253">
      <formula>AND(IF($Q229=3,1,0),IF($X229&lt;30,1,0))</formula>
    </cfRule>
    <cfRule type="expression" dxfId="9414" priority="2254">
      <formula>AND(IF($Q229=3,1,IF($Q229=4,1,0)),IF($F229&lt;=85,1,0))</formula>
    </cfRule>
  </conditionalFormatting>
  <conditionalFormatting sqref="AV230">
    <cfRule type="expression" dxfId="9413" priority="2249">
      <formula>AV230="X"</formula>
    </cfRule>
    <cfRule type="expression" dxfId="9412" priority="2250">
      <formula>AV230="후보"</formula>
    </cfRule>
  </conditionalFormatting>
  <conditionalFormatting sqref="AC230">
    <cfRule type="cellIs" dxfId="9411" priority="2247" operator="greaterThan">
      <formula>0.9</formula>
    </cfRule>
    <cfRule type="cellIs" dxfId="9410" priority="2248" operator="greaterThan">
      <formula>0.85</formula>
    </cfRule>
  </conditionalFormatting>
  <conditionalFormatting sqref="N230">
    <cfRule type="cellIs" dxfId="9409" priority="2245" operator="greaterThan">
      <formula>0.9</formula>
    </cfRule>
    <cfRule type="cellIs" dxfId="9408" priority="2246" operator="greaterThan">
      <formula>0.85</formula>
    </cfRule>
  </conditionalFormatting>
  <conditionalFormatting sqref="E230">
    <cfRule type="expression" dxfId="9407" priority="2241">
      <formula>AND(IF(OR($Q230=1,$Q230=2),1,0),IF($X230&lt;=20,1,0))</formula>
    </cfRule>
    <cfRule type="expression" dxfId="9406" priority="2242">
      <formula>AND(IF($Q230=2,1,0),IF($X230&lt;30,1,0))</formula>
    </cfRule>
    <cfRule type="expression" dxfId="9405" priority="2243">
      <formula>AND(IF($Q230=3,1,0),IF($X230&lt;30,1,0))</formula>
    </cfRule>
    <cfRule type="expression" dxfId="9404" priority="2244">
      <formula>AND(IF($Q230=3,1,IF($Q230=4,1,0)),IF($F230&lt;=85,1,0))</formula>
    </cfRule>
  </conditionalFormatting>
  <conditionalFormatting sqref="X230">
    <cfRule type="expression" dxfId="9403" priority="2237">
      <formula>AND(IF(OR($Q230=1,$Q230=2),1,0),IF($X230&lt;=20,1,0))</formula>
    </cfRule>
    <cfRule type="expression" dxfId="9402" priority="2238">
      <formula>AND(IF($Q230=2,1,0),IF($X230&lt;30,1,0))</formula>
    </cfRule>
    <cfRule type="expression" dxfId="9401" priority="2239">
      <formula>AND(IF($Q230=3,1,0),IF($X230&lt;30,1,0))</formula>
    </cfRule>
    <cfRule type="expression" dxfId="9400" priority="2240">
      <formula>AND(IF($Q230=3,1,IF($Q230=4,1,0)),IF($F230&lt;=85,1,0))</formula>
    </cfRule>
  </conditionalFormatting>
  <conditionalFormatting sqref="AI230">
    <cfRule type="expression" dxfId="9399" priority="2233">
      <formula>AND(IF(OR($Q230=1,$Q230=2),1,0),IF($X230&lt;=20,1,0))</formula>
    </cfRule>
    <cfRule type="expression" dxfId="9398" priority="2234">
      <formula>AND(IF($Q230=2,1,0),IF($X230&lt;30,1,0))</formula>
    </cfRule>
    <cfRule type="expression" dxfId="9397" priority="2235">
      <formula>AND(IF($Q230=3,1,0),IF($X230&lt;30,1,0))</formula>
    </cfRule>
    <cfRule type="expression" dxfId="9396" priority="2236">
      <formula>AND(IF($Q230=3,1,IF($Q230=4,1,0)),IF($F230&lt;=85,1,0))</formula>
    </cfRule>
  </conditionalFormatting>
  <conditionalFormatting sqref="AV231">
    <cfRule type="expression" dxfId="9395" priority="2231">
      <formula>AV231="X"</formula>
    </cfRule>
    <cfRule type="expression" dxfId="9394" priority="2232">
      <formula>AV231="후보"</formula>
    </cfRule>
  </conditionalFormatting>
  <conditionalFormatting sqref="AC231">
    <cfRule type="cellIs" dxfId="9393" priority="2229" operator="greaterThan">
      <formula>0.9</formula>
    </cfRule>
    <cfRule type="cellIs" dxfId="9392" priority="2230" operator="greaterThan">
      <formula>0.85</formula>
    </cfRule>
  </conditionalFormatting>
  <conditionalFormatting sqref="N231">
    <cfRule type="cellIs" dxfId="9391" priority="2227" operator="greaterThan">
      <formula>0.9</formula>
    </cfRule>
    <cfRule type="cellIs" dxfId="9390" priority="2228" operator="greaterThan">
      <formula>0.85</formula>
    </cfRule>
  </conditionalFormatting>
  <conditionalFormatting sqref="E231">
    <cfRule type="expression" dxfId="9389" priority="2223">
      <formula>AND(IF(OR($Q231=1,$Q231=2),1,0),IF($X231&lt;=20,1,0))</formula>
    </cfRule>
    <cfRule type="expression" dxfId="9388" priority="2224">
      <formula>AND(IF($Q231=2,1,0),IF($X231&lt;30,1,0))</formula>
    </cfRule>
    <cfRule type="expression" dxfId="9387" priority="2225">
      <formula>AND(IF($Q231=3,1,0),IF($X231&lt;30,1,0))</formula>
    </cfRule>
    <cfRule type="expression" dxfId="9386" priority="2226">
      <formula>AND(IF($Q231=3,1,IF($Q231=4,1,0)),IF($F231&lt;=85,1,0))</formula>
    </cfRule>
  </conditionalFormatting>
  <conditionalFormatting sqref="X231">
    <cfRule type="expression" dxfId="9385" priority="2219">
      <formula>AND(IF(OR($Q231=1,$Q231=2),1,0),IF($X231&lt;=20,1,0))</formula>
    </cfRule>
    <cfRule type="expression" dxfId="9384" priority="2220">
      <formula>AND(IF($Q231=2,1,0),IF($X231&lt;30,1,0))</formula>
    </cfRule>
    <cfRule type="expression" dxfId="9383" priority="2221">
      <formula>AND(IF($Q231=3,1,0),IF($X231&lt;30,1,0))</formula>
    </cfRule>
    <cfRule type="expression" dxfId="9382" priority="2222">
      <formula>AND(IF($Q231=3,1,IF($Q231=4,1,0)),IF($F231&lt;=85,1,0))</formula>
    </cfRule>
  </conditionalFormatting>
  <conditionalFormatting sqref="AI231">
    <cfRule type="expression" dxfId="9381" priority="2215">
      <formula>AND(IF(OR($Q231=1,$Q231=2),1,0),IF($X231&lt;=20,1,0))</formula>
    </cfRule>
    <cfRule type="expression" dxfId="9380" priority="2216">
      <formula>AND(IF($Q231=2,1,0),IF($X231&lt;30,1,0))</formula>
    </cfRule>
    <cfRule type="expression" dxfId="9379" priority="2217">
      <formula>AND(IF($Q231=3,1,0),IF($X231&lt;30,1,0))</formula>
    </cfRule>
    <cfRule type="expression" dxfId="9378" priority="2218">
      <formula>AND(IF($Q231=3,1,IF($Q231=4,1,0)),IF($F231&lt;=85,1,0))</formula>
    </cfRule>
  </conditionalFormatting>
  <conditionalFormatting sqref="AV232">
    <cfRule type="expression" dxfId="9377" priority="2213">
      <formula>AV232="X"</formula>
    </cfRule>
    <cfRule type="expression" dxfId="9376" priority="2214">
      <formula>AV232="후보"</formula>
    </cfRule>
  </conditionalFormatting>
  <conditionalFormatting sqref="AC232">
    <cfRule type="cellIs" dxfId="9375" priority="2211" operator="greaterThan">
      <formula>0.9</formula>
    </cfRule>
    <cfRule type="cellIs" dxfId="9374" priority="2212" operator="greaterThan">
      <formula>0.85</formula>
    </cfRule>
  </conditionalFormatting>
  <conditionalFormatting sqref="N232">
    <cfRule type="cellIs" dxfId="9373" priority="2209" operator="greaterThan">
      <formula>0.9</formula>
    </cfRule>
    <cfRule type="cellIs" dxfId="9372" priority="2210" operator="greaterThan">
      <formula>0.85</formula>
    </cfRule>
  </conditionalFormatting>
  <conditionalFormatting sqref="E232">
    <cfRule type="expression" dxfId="9371" priority="2205">
      <formula>AND(IF(OR($Q232=1,$Q232=2),1,0),IF($X232&lt;=20,1,0))</formula>
    </cfRule>
    <cfRule type="expression" dxfId="9370" priority="2206">
      <formula>AND(IF($Q232=2,1,0),IF($X232&lt;30,1,0))</formula>
    </cfRule>
    <cfRule type="expression" dxfId="9369" priority="2207">
      <formula>AND(IF($Q232=3,1,0),IF($X232&lt;30,1,0))</formula>
    </cfRule>
    <cfRule type="expression" dxfId="9368" priority="2208">
      <formula>AND(IF($Q232=3,1,IF($Q232=4,1,0)),IF($F232&lt;=85,1,0))</formula>
    </cfRule>
  </conditionalFormatting>
  <conditionalFormatting sqref="X232">
    <cfRule type="expression" dxfId="9367" priority="2201">
      <formula>AND(IF(OR($Q232=1,$Q232=2),1,0),IF($X232&lt;=20,1,0))</formula>
    </cfRule>
    <cfRule type="expression" dxfId="9366" priority="2202">
      <formula>AND(IF($Q232=2,1,0),IF($X232&lt;30,1,0))</formula>
    </cfRule>
    <cfRule type="expression" dxfId="9365" priority="2203">
      <formula>AND(IF($Q232=3,1,0),IF($X232&lt;30,1,0))</formula>
    </cfRule>
    <cfRule type="expression" dxfId="9364" priority="2204">
      <formula>AND(IF($Q232=3,1,IF($Q232=4,1,0)),IF($F232&lt;=85,1,0))</formula>
    </cfRule>
  </conditionalFormatting>
  <conditionalFormatting sqref="AI232">
    <cfRule type="expression" dxfId="9363" priority="2197">
      <formula>AND(IF(OR($Q232=1,$Q232=2),1,0),IF($X232&lt;=20,1,0))</formula>
    </cfRule>
    <cfRule type="expression" dxfId="9362" priority="2198">
      <formula>AND(IF($Q232=2,1,0),IF($X232&lt;30,1,0))</formula>
    </cfRule>
    <cfRule type="expression" dxfId="9361" priority="2199">
      <formula>AND(IF($Q232=3,1,0),IF($X232&lt;30,1,0))</formula>
    </cfRule>
    <cfRule type="expression" dxfId="9360" priority="2200">
      <formula>AND(IF($Q232=3,1,IF($Q232=4,1,0)),IF($F232&lt;=85,1,0))</formula>
    </cfRule>
  </conditionalFormatting>
  <conditionalFormatting sqref="AV233">
    <cfRule type="expression" dxfId="9359" priority="2195">
      <formula>AV233="X"</formula>
    </cfRule>
    <cfRule type="expression" dxfId="9358" priority="2196">
      <formula>AV233="후보"</formula>
    </cfRule>
  </conditionalFormatting>
  <conditionalFormatting sqref="AC233">
    <cfRule type="cellIs" dxfId="9357" priority="2193" operator="greaterThan">
      <formula>0.9</formula>
    </cfRule>
    <cfRule type="cellIs" dxfId="9356" priority="2194" operator="greaterThan">
      <formula>0.85</formula>
    </cfRule>
  </conditionalFormatting>
  <conditionalFormatting sqref="N233">
    <cfRule type="cellIs" dxfId="9355" priority="2191" operator="greaterThan">
      <formula>0.9</formula>
    </cfRule>
    <cfRule type="cellIs" dxfId="9354" priority="2192" operator="greaterThan">
      <formula>0.85</formula>
    </cfRule>
  </conditionalFormatting>
  <conditionalFormatting sqref="E233">
    <cfRule type="expression" dxfId="9353" priority="2187">
      <formula>AND(IF(OR($Q233=1,$Q233=2),1,0),IF($X233&lt;=20,1,0))</formula>
    </cfRule>
    <cfRule type="expression" dxfId="9352" priority="2188">
      <formula>AND(IF($Q233=2,1,0),IF($X233&lt;30,1,0))</formula>
    </cfRule>
    <cfRule type="expression" dxfId="9351" priority="2189">
      <formula>AND(IF($Q233=3,1,0),IF($X233&lt;30,1,0))</formula>
    </cfRule>
    <cfRule type="expression" dxfId="9350" priority="2190">
      <formula>AND(IF($Q233=3,1,IF($Q233=4,1,0)),IF($F233&lt;=85,1,0))</formula>
    </cfRule>
  </conditionalFormatting>
  <conditionalFormatting sqref="X233">
    <cfRule type="expression" dxfId="9349" priority="2183">
      <formula>AND(IF(OR($Q233=1,$Q233=2),1,0),IF($X233&lt;=20,1,0))</formula>
    </cfRule>
    <cfRule type="expression" dxfId="9348" priority="2184">
      <formula>AND(IF($Q233=2,1,0),IF($X233&lt;30,1,0))</formula>
    </cfRule>
    <cfRule type="expression" dxfId="9347" priority="2185">
      <formula>AND(IF($Q233=3,1,0),IF($X233&lt;30,1,0))</formula>
    </cfRule>
    <cfRule type="expression" dxfId="9346" priority="2186">
      <formula>AND(IF($Q233=3,1,IF($Q233=4,1,0)),IF($F233&lt;=85,1,0))</formula>
    </cfRule>
  </conditionalFormatting>
  <conditionalFormatting sqref="AI233">
    <cfRule type="expression" dxfId="9345" priority="2179">
      <formula>AND(IF(OR($Q233=1,$Q233=2),1,0),IF($X233&lt;=20,1,0))</formula>
    </cfRule>
    <cfRule type="expression" dxfId="9344" priority="2180">
      <formula>AND(IF($Q233=2,1,0),IF($X233&lt;30,1,0))</formula>
    </cfRule>
    <cfRule type="expression" dxfId="9343" priority="2181">
      <formula>AND(IF($Q233=3,1,0),IF($X233&lt;30,1,0))</formula>
    </cfRule>
    <cfRule type="expression" dxfId="9342" priority="2182">
      <formula>AND(IF($Q233=3,1,IF($Q233=4,1,0)),IF($F233&lt;=85,1,0))</formula>
    </cfRule>
  </conditionalFormatting>
  <conditionalFormatting sqref="AV234">
    <cfRule type="expression" dxfId="9341" priority="2177">
      <formula>AV234="X"</formula>
    </cfRule>
    <cfRule type="expression" dxfId="9340" priority="2178">
      <formula>AV234="후보"</formula>
    </cfRule>
  </conditionalFormatting>
  <conditionalFormatting sqref="AC234">
    <cfRule type="cellIs" dxfId="9339" priority="2175" operator="greaterThan">
      <formula>0.9</formula>
    </cfRule>
    <cfRule type="cellIs" dxfId="9338" priority="2176" operator="greaterThan">
      <formula>0.85</formula>
    </cfRule>
  </conditionalFormatting>
  <conditionalFormatting sqref="N234">
    <cfRule type="cellIs" dxfId="9337" priority="2173" operator="greaterThan">
      <formula>0.9</formula>
    </cfRule>
    <cfRule type="cellIs" dxfId="9336" priority="2174" operator="greaterThan">
      <formula>0.85</formula>
    </cfRule>
  </conditionalFormatting>
  <conditionalFormatting sqref="E234">
    <cfRule type="expression" dxfId="9335" priority="2169">
      <formula>AND(IF(OR($Q234=1,$Q234=2),1,0),IF($X234&lt;=20,1,0))</formula>
    </cfRule>
    <cfRule type="expression" dxfId="9334" priority="2170">
      <formula>AND(IF($Q234=2,1,0),IF($X234&lt;30,1,0))</formula>
    </cfRule>
    <cfRule type="expression" dxfId="9333" priority="2171">
      <formula>AND(IF($Q234=3,1,0),IF($X234&lt;30,1,0))</formula>
    </cfRule>
    <cfRule type="expression" dxfId="9332" priority="2172">
      <formula>AND(IF($Q234=3,1,IF($Q234=4,1,0)),IF($F234&lt;=85,1,0))</formula>
    </cfRule>
  </conditionalFormatting>
  <conditionalFormatting sqref="X234">
    <cfRule type="expression" dxfId="9331" priority="2165">
      <formula>AND(IF(OR($Q234=1,$Q234=2),1,0),IF($X234&lt;=20,1,0))</formula>
    </cfRule>
    <cfRule type="expression" dxfId="9330" priority="2166">
      <formula>AND(IF($Q234=2,1,0),IF($X234&lt;30,1,0))</formula>
    </cfRule>
    <cfRule type="expression" dxfId="9329" priority="2167">
      <formula>AND(IF($Q234=3,1,0),IF($X234&lt;30,1,0))</formula>
    </cfRule>
    <cfRule type="expression" dxfId="9328" priority="2168">
      <formula>AND(IF($Q234=3,1,IF($Q234=4,1,0)),IF($F234&lt;=85,1,0))</formula>
    </cfRule>
  </conditionalFormatting>
  <conditionalFormatting sqref="AI234">
    <cfRule type="expression" dxfId="9327" priority="2161">
      <formula>AND(IF(OR($Q234=1,$Q234=2),1,0),IF($X234&lt;=20,1,0))</formula>
    </cfRule>
    <cfRule type="expression" dxfId="9326" priority="2162">
      <formula>AND(IF($Q234=2,1,0),IF($X234&lt;30,1,0))</formula>
    </cfRule>
    <cfRule type="expression" dxfId="9325" priority="2163">
      <formula>AND(IF($Q234=3,1,0),IF($X234&lt;30,1,0))</formula>
    </cfRule>
    <cfRule type="expression" dxfId="9324" priority="2164">
      <formula>AND(IF($Q234=3,1,IF($Q234=4,1,0)),IF($F234&lt;=85,1,0))</formula>
    </cfRule>
  </conditionalFormatting>
  <conditionalFormatting sqref="AV235">
    <cfRule type="expression" dxfId="9323" priority="2159">
      <formula>AV235="X"</formula>
    </cfRule>
    <cfRule type="expression" dxfId="9322" priority="2160">
      <formula>AV235="후보"</formula>
    </cfRule>
  </conditionalFormatting>
  <conditionalFormatting sqref="AC235">
    <cfRule type="cellIs" dxfId="9321" priority="2157" operator="greaterThan">
      <formula>0.9</formula>
    </cfRule>
    <cfRule type="cellIs" dxfId="9320" priority="2158" operator="greaterThan">
      <formula>0.85</formula>
    </cfRule>
  </conditionalFormatting>
  <conditionalFormatting sqref="N235">
    <cfRule type="cellIs" dxfId="9319" priority="2155" operator="greaterThan">
      <formula>0.9</formula>
    </cfRule>
    <cfRule type="cellIs" dxfId="9318" priority="2156" operator="greaterThan">
      <formula>0.85</formula>
    </cfRule>
  </conditionalFormatting>
  <conditionalFormatting sqref="E235">
    <cfRule type="expression" dxfId="9317" priority="2151">
      <formula>AND(IF(OR($Q235=1,$Q235=2),1,0),IF($X235&lt;=20,1,0))</formula>
    </cfRule>
    <cfRule type="expression" dxfId="9316" priority="2152">
      <formula>AND(IF($Q235=2,1,0),IF($X235&lt;30,1,0))</formula>
    </cfRule>
    <cfRule type="expression" dxfId="9315" priority="2153">
      <formula>AND(IF($Q235=3,1,0),IF($X235&lt;30,1,0))</formula>
    </cfRule>
    <cfRule type="expression" dxfId="9314" priority="2154">
      <formula>AND(IF($Q235=3,1,IF($Q235=4,1,0)),IF($F235&lt;=85,1,0))</formula>
    </cfRule>
  </conditionalFormatting>
  <conditionalFormatting sqref="X235">
    <cfRule type="expression" dxfId="9313" priority="2147">
      <formula>AND(IF(OR($Q235=1,$Q235=2),1,0),IF($X235&lt;=20,1,0))</formula>
    </cfRule>
    <cfRule type="expression" dxfId="9312" priority="2148">
      <formula>AND(IF($Q235=2,1,0),IF($X235&lt;30,1,0))</formula>
    </cfRule>
    <cfRule type="expression" dxfId="9311" priority="2149">
      <formula>AND(IF($Q235=3,1,0),IF($X235&lt;30,1,0))</formula>
    </cfRule>
    <cfRule type="expression" dxfId="9310" priority="2150">
      <formula>AND(IF($Q235=3,1,IF($Q235=4,1,0)),IF($F235&lt;=85,1,0))</formula>
    </cfRule>
  </conditionalFormatting>
  <conditionalFormatting sqref="AI235">
    <cfRule type="expression" dxfId="9309" priority="2143">
      <formula>AND(IF(OR($Q235=1,$Q235=2),1,0),IF($X235&lt;=20,1,0))</formula>
    </cfRule>
    <cfRule type="expression" dxfId="9308" priority="2144">
      <formula>AND(IF($Q235=2,1,0),IF($X235&lt;30,1,0))</formula>
    </cfRule>
    <cfRule type="expression" dxfId="9307" priority="2145">
      <formula>AND(IF($Q235=3,1,0),IF($X235&lt;30,1,0))</formula>
    </cfRule>
    <cfRule type="expression" dxfId="9306" priority="2146">
      <formula>AND(IF($Q235=3,1,IF($Q235=4,1,0)),IF($F235&lt;=85,1,0))</formula>
    </cfRule>
  </conditionalFormatting>
  <conditionalFormatting sqref="AV236">
    <cfRule type="expression" dxfId="9305" priority="2141">
      <formula>AV236="X"</formula>
    </cfRule>
    <cfRule type="expression" dxfId="9304" priority="2142">
      <formula>AV236="후보"</formula>
    </cfRule>
  </conditionalFormatting>
  <conditionalFormatting sqref="AC236">
    <cfRule type="cellIs" dxfId="9303" priority="2139" operator="greaterThan">
      <formula>0.9</formula>
    </cfRule>
    <cfRule type="cellIs" dxfId="9302" priority="2140" operator="greaterThan">
      <formula>0.85</formula>
    </cfRule>
  </conditionalFormatting>
  <conditionalFormatting sqref="N236">
    <cfRule type="cellIs" dxfId="9301" priority="2137" operator="greaterThan">
      <formula>0.9</formula>
    </cfRule>
    <cfRule type="cellIs" dxfId="9300" priority="2138" operator="greaterThan">
      <formula>0.85</formula>
    </cfRule>
  </conditionalFormatting>
  <conditionalFormatting sqref="E236">
    <cfRule type="expression" dxfId="9299" priority="2133">
      <formula>AND(IF(OR($Q236=1,$Q236=2),1,0),IF($X236&lt;=20,1,0))</formula>
    </cfRule>
    <cfRule type="expression" dxfId="9298" priority="2134">
      <formula>AND(IF($Q236=2,1,0),IF($X236&lt;30,1,0))</formula>
    </cfRule>
    <cfRule type="expression" dxfId="9297" priority="2135">
      <formula>AND(IF($Q236=3,1,0),IF($X236&lt;30,1,0))</formula>
    </cfRule>
    <cfRule type="expression" dxfId="9296" priority="2136">
      <formula>AND(IF($Q236=3,1,IF($Q236=4,1,0)),IF($F236&lt;=85,1,0))</formula>
    </cfRule>
  </conditionalFormatting>
  <conditionalFormatting sqref="X236">
    <cfRule type="expression" dxfId="9295" priority="2129">
      <formula>AND(IF(OR($Q236=1,$Q236=2),1,0),IF($X236&lt;=20,1,0))</formula>
    </cfRule>
    <cfRule type="expression" dxfId="9294" priority="2130">
      <formula>AND(IF($Q236=2,1,0),IF($X236&lt;30,1,0))</formula>
    </cfRule>
    <cfRule type="expression" dxfId="9293" priority="2131">
      <formula>AND(IF($Q236=3,1,0),IF($X236&lt;30,1,0))</formula>
    </cfRule>
    <cfRule type="expression" dxfId="9292" priority="2132">
      <formula>AND(IF($Q236=3,1,IF($Q236=4,1,0)),IF($F236&lt;=85,1,0))</formula>
    </cfRule>
  </conditionalFormatting>
  <conditionalFormatting sqref="AI236">
    <cfRule type="expression" dxfId="9291" priority="2125">
      <formula>AND(IF(OR($Q236=1,$Q236=2),1,0),IF($X236&lt;=20,1,0))</formula>
    </cfRule>
    <cfRule type="expression" dxfId="9290" priority="2126">
      <formula>AND(IF($Q236=2,1,0),IF($X236&lt;30,1,0))</formula>
    </cfRule>
    <cfRule type="expression" dxfId="9289" priority="2127">
      <formula>AND(IF($Q236=3,1,0),IF($X236&lt;30,1,0))</formula>
    </cfRule>
    <cfRule type="expression" dxfId="9288" priority="2128">
      <formula>AND(IF($Q236=3,1,IF($Q236=4,1,0)),IF($F236&lt;=85,1,0))</formula>
    </cfRule>
  </conditionalFormatting>
  <conditionalFormatting sqref="AV237">
    <cfRule type="expression" dxfId="9287" priority="2123">
      <formula>AV237="X"</formula>
    </cfRule>
    <cfRule type="expression" dxfId="9286" priority="2124">
      <formula>AV237="후보"</formula>
    </cfRule>
  </conditionalFormatting>
  <conditionalFormatting sqref="AC237">
    <cfRule type="cellIs" dxfId="9285" priority="2121" operator="greaterThan">
      <formula>0.9</formula>
    </cfRule>
    <cfRule type="cellIs" dxfId="9284" priority="2122" operator="greaterThan">
      <formula>0.85</formula>
    </cfRule>
  </conditionalFormatting>
  <conditionalFormatting sqref="N237">
    <cfRule type="cellIs" dxfId="9283" priority="2119" operator="greaterThan">
      <formula>0.9</formula>
    </cfRule>
    <cfRule type="cellIs" dxfId="9282" priority="2120" operator="greaterThan">
      <formula>0.85</formula>
    </cfRule>
  </conditionalFormatting>
  <conditionalFormatting sqref="E237">
    <cfRule type="expression" dxfId="9281" priority="2115">
      <formula>AND(IF(OR($Q237=1,$Q237=2),1,0),IF($X237&lt;=20,1,0))</formula>
    </cfRule>
    <cfRule type="expression" dxfId="9280" priority="2116">
      <formula>AND(IF($Q237=2,1,0),IF($X237&lt;30,1,0))</formula>
    </cfRule>
    <cfRule type="expression" dxfId="9279" priority="2117">
      <formula>AND(IF($Q237=3,1,0),IF($X237&lt;30,1,0))</formula>
    </cfRule>
    <cfRule type="expression" dxfId="9278" priority="2118">
      <formula>AND(IF($Q237=3,1,IF($Q237=4,1,0)),IF($F237&lt;=85,1,0))</formula>
    </cfRule>
  </conditionalFormatting>
  <conditionalFormatting sqref="X237">
    <cfRule type="expression" dxfId="9277" priority="2111">
      <formula>AND(IF(OR($Q237=1,$Q237=2),1,0),IF($X237&lt;=20,1,0))</formula>
    </cfRule>
    <cfRule type="expression" dxfId="9276" priority="2112">
      <formula>AND(IF($Q237=2,1,0),IF($X237&lt;30,1,0))</formula>
    </cfRule>
    <cfRule type="expression" dxfId="9275" priority="2113">
      <formula>AND(IF($Q237=3,1,0),IF($X237&lt;30,1,0))</formula>
    </cfRule>
    <cfRule type="expression" dxfId="9274" priority="2114">
      <formula>AND(IF($Q237=3,1,IF($Q237=4,1,0)),IF($F237&lt;=85,1,0))</formula>
    </cfRule>
  </conditionalFormatting>
  <conditionalFormatting sqref="AI237">
    <cfRule type="expression" dxfId="9273" priority="2107">
      <formula>AND(IF(OR($Q237=1,$Q237=2),1,0),IF($X237&lt;=20,1,0))</formula>
    </cfRule>
    <cfRule type="expression" dxfId="9272" priority="2108">
      <formula>AND(IF($Q237=2,1,0),IF($X237&lt;30,1,0))</formula>
    </cfRule>
    <cfRule type="expression" dxfId="9271" priority="2109">
      <formula>AND(IF($Q237=3,1,0),IF($X237&lt;30,1,0))</formula>
    </cfRule>
    <cfRule type="expression" dxfId="9270" priority="2110">
      <formula>AND(IF($Q237=3,1,IF($Q237=4,1,0)),IF($F237&lt;=85,1,0))</formula>
    </cfRule>
  </conditionalFormatting>
  <conditionalFormatting sqref="AV238">
    <cfRule type="expression" dxfId="9269" priority="2105">
      <formula>AV238="X"</formula>
    </cfRule>
    <cfRule type="expression" dxfId="9268" priority="2106">
      <formula>AV238="후보"</formula>
    </cfRule>
  </conditionalFormatting>
  <conditionalFormatting sqref="AC238">
    <cfRule type="cellIs" dxfId="9267" priority="2103" operator="greaterThan">
      <formula>0.9</formula>
    </cfRule>
    <cfRule type="cellIs" dxfId="9266" priority="2104" operator="greaterThan">
      <formula>0.85</formula>
    </cfRule>
  </conditionalFormatting>
  <conditionalFormatting sqref="N238">
    <cfRule type="cellIs" dxfId="9265" priority="2101" operator="greaterThan">
      <formula>0.9</formula>
    </cfRule>
    <cfRule type="cellIs" dxfId="9264" priority="2102" operator="greaterThan">
      <formula>0.85</formula>
    </cfRule>
  </conditionalFormatting>
  <conditionalFormatting sqref="E238">
    <cfRule type="expression" dxfId="9263" priority="2097">
      <formula>AND(IF(OR($Q238=1,$Q238=2),1,0),IF($X238&lt;=20,1,0))</formula>
    </cfRule>
    <cfRule type="expression" dxfId="9262" priority="2098">
      <formula>AND(IF($Q238=2,1,0),IF($X238&lt;30,1,0))</formula>
    </cfRule>
    <cfRule type="expression" dxfId="9261" priority="2099">
      <formula>AND(IF($Q238=3,1,0),IF($X238&lt;30,1,0))</formula>
    </cfRule>
    <cfRule type="expression" dxfId="9260" priority="2100">
      <formula>AND(IF($Q238=3,1,IF($Q238=4,1,0)),IF($F238&lt;=85,1,0))</formula>
    </cfRule>
  </conditionalFormatting>
  <conditionalFormatting sqref="X238">
    <cfRule type="expression" dxfId="9259" priority="2093">
      <formula>AND(IF(OR($Q238=1,$Q238=2),1,0),IF($X238&lt;=20,1,0))</formula>
    </cfRule>
    <cfRule type="expression" dxfId="9258" priority="2094">
      <formula>AND(IF($Q238=2,1,0),IF($X238&lt;30,1,0))</formula>
    </cfRule>
    <cfRule type="expression" dxfId="9257" priority="2095">
      <formula>AND(IF($Q238=3,1,0),IF($X238&lt;30,1,0))</formula>
    </cfRule>
    <cfRule type="expression" dxfId="9256" priority="2096">
      <formula>AND(IF($Q238=3,1,IF($Q238=4,1,0)),IF($F238&lt;=85,1,0))</formula>
    </cfRule>
  </conditionalFormatting>
  <conditionalFormatting sqref="AI238">
    <cfRule type="expression" dxfId="9255" priority="2089">
      <formula>AND(IF(OR($Q238=1,$Q238=2),1,0),IF($X238&lt;=20,1,0))</formula>
    </cfRule>
    <cfRule type="expression" dxfId="9254" priority="2090">
      <formula>AND(IF($Q238=2,1,0),IF($X238&lt;30,1,0))</formula>
    </cfRule>
    <cfRule type="expression" dxfId="9253" priority="2091">
      <formula>AND(IF($Q238=3,1,0),IF($X238&lt;30,1,0))</formula>
    </cfRule>
    <cfRule type="expression" dxfId="9252" priority="2092">
      <formula>AND(IF($Q238=3,1,IF($Q238=4,1,0)),IF($F238&lt;=85,1,0))</formula>
    </cfRule>
  </conditionalFormatting>
  <conditionalFormatting sqref="AV239">
    <cfRule type="expression" dxfId="9251" priority="2087">
      <formula>AV239="X"</formula>
    </cfRule>
    <cfRule type="expression" dxfId="9250" priority="2088">
      <formula>AV239="후보"</formula>
    </cfRule>
  </conditionalFormatting>
  <conditionalFormatting sqref="AC239">
    <cfRule type="cellIs" dxfId="9249" priority="2085" operator="greaterThan">
      <formula>0.9</formula>
    </cfRule>
    <cfRule type="cellIs" dxfId="9248" priority="2086" operator="greaterThan">
      <formula>0.85</formula>
    </cfRule>
  </conditionalFormatting>
  <conditionalFormatting sqref="N239">
    <cfRule type="cellIs" dxfId="9247" priority="2083" operator="greaterThan">
      <formula>0.9</formula>
    </cfRule>
    <cfRule type="cellIs" dxfId="9246" priority="2084" operator="greaterThan">
      <formula>0.85</formula>
    </cfRule>
  </conditionalFormatting>
  <conditionalFormatting sqref="E239">
    <cfRule type="expression" dxfId="9245" priority="2079">
      <formula>AND(IF(OR($Q239=1,$Q239=2),1,0),IF($X239&lt;=20,1,0))</formula>
    </cfRule>
    <cfRule type="expression" dxfId="9244" priority="2080">
      <formula>AND(IF($Q239=2,1,0),IF($X239&lt;30,1,0))</formula>
    </cfRule>
    <cfRule type="expression" dxfId="9243" priority="2081">
      <formula>AND(IF($Q239=3,1,0),IF($X239&lt;30,1,0))</formula>
    </cfRule>
    <cfRule type="expression" dxfId="9242" priority="2082">
      <formula>AND(IF($Q239=3,1,IF($Q239=4,1,0)),IF($F239&lt;=85,1,0))</formula>
    </cfRule>
  </conditionalFormatting>
  <conditionalFormatting sqref="X239">
    <cfRule type="expression" dxfId="9241" priority="2075">
      <formula>AND(IF(OR($Q239=1,$Q239=2),1,0),IF($X239&lt;=20,1,0))</formula>
    </cfRule>
    <cfRule type="expression" dxfId="9240" priority="2076">
      <formula>AND(IF($Q239=2,1,0),IF($X239&lt;30,1,0))</formula>
    </cfRule>
    <cfRule type="expression" dxfId="9239" priority="2077">
      <formula>AND(IF($Q239=3,1,0),IF($X239&lt;30,1,0))</formula>
    </cfRule>
    <cfRule type="expression" dxfId="9238" priority="2078">
      <formula>AND(IF($Q239=3,1,IF($Q239=4,1,0)),IF($F239&lt;=85,1,0))</formula>
    </cfRule>
  </conditionalFormatting>
  <conditionalFormatting sqref="AI239">
    <cfRule type="expression" dxfId="9237" priority="2071">
      <formula>AND(IF(OR($Q239=1,$Q239=2),1,0),IF($X239&lt;=20,1,0))</formula>
    </cfRule>
    <cfRule type="expression" dxfId="9236" priority="2072">
      <formula>AND(IF($Q239=2,1,0),IF($X239&lt;30,1,0))</formula>
    </cfRule>
    <cfRule type="expression" dxfId="9235" priority="2073">
      <formula>AND(IF($Q239=3,1,0),IF($X239&lt;30,1,0))</formula>
    </cfRule>
    <cfRule type="expression" dxfId="9234" priority="2074">
      <formula>AND(IF($Q239=3,1,IF($Q239=4,1,0)),IF($F239&lt;=85,1,0))</formula>
    </cfRule>
  </conditionalFormatting>
  <conditionalFormatting sqref="AV240">
    <cfRule type="expression" dxfId="9233" priority="2069">
      <formula>AV240="X"</formula>
    </cfRule>
    <cfRule type="expression" dxfId="9232" priority="2070">
      <formula>AV240="후보"</formula>
    </cfRule>
  </conditionalFormatting>
  <conditionalFormatting sqref="AC240">
    <cfRule type="cellIs" dxfId="9231" priority="2067" operator="greaterThan">
      <formula>0.9</formula>
    </cfRule>
    <cfRule type="cellIs" dxfId="9230" priority="2068" operator="greaterThan">
      <formula>0.85</formula>
    </cfRule>
  </conditionalFormatting>
  <conditionalFormatting sqref="N240">
    <cfRule type="cellIs" dxfId="9229" priority="2065" operator="greaterThan">
      <formula>0.9</formula>
    </cfRule>
    <cfRule type="cellIs" dxfId="9228" priority="2066" operator="greaterThan">
      <formula>0.85</formula>
    </cfRule>
  </conditionalFormatting>
  <conditionalFormatting sqref="E240">
    <cfRule type="expression" dxfId="9227" priority="2061">
      <formula>AND(IF(OR($Q240=1,$Q240=2),1,0),IF($X240&lt;=20,1,0))</formula>
    </cfRule>
    <cfRule type="expression" dxfId="9226" priority="2062">
      <formula>AND(IF($Q240=2,1,0),IF($X240&lt;30,1,0))</formula>
    </cfRule>
    <cfRule type="expression" dxfId="9225" priority="2063">
      <formula>AND(IF($Q240=3,1,0),IF($X240&lt;30,1,0))</formula>
    </cfRule>
    <cfRule type="expression" dxfId="9224" priority="2064">
      <formula>AND(IF($Q240=3,1,IF($Q240=4,1,0)),IF($F240&lt;=85,1,0))</formula>
    </cfRule>
  </conditionalFormatting>
  <conditionalFormatting sqref="X240">
    <cfRule type="expression" dxfId="9223" priority="2057">
      <formula>AND(IF(OR($Q240=1,$Q240=2),1,0),IF($X240&lt;=20,1,0))</formula>
    </cfRule>
    <cfRule type="expression" dxfId="9222" priority="2058">
      <formula>AND(IF($Q240=2,1,0),IF($X240&lt;30,1,0))</formula>
    </cfRule>
    <cfRule type="expression" dxfId="9221" priority="2059">
      <formula>AND(IF($Q240=3,1,0),IF($X240&lt;30,1,0))</formula>
    </cfRule>
    <cfRule type="expression" dxfId="9220" priority="2060">
      <formula>AND(IF($Q240=3,1,IF($Q240=4,1,0)),IF($F240&lt;=85,1,0))</formula>
    </cfRule>
  </conditionalFormatting>
  <conditionalFormatting sqref="AI240">
    <cfRule type="expression" dxfId="9219" priority="2053">
      <formula>AND(IF(OR($Q240=1,$Q240=2),1,0),IF($X240&lt;=20,1,0))</formula>
    </cfRule>
    <cfRule type="expression" dxfId="9218" priority="2054">
      <formula>AND(IF($Q240=2,1,0),IF($X240&lt;30,1,0))</formula>
    </cfRule>
    <cfRule type="expression" dxfId="9217" priority="2055">
      <formula>AND(IF($Q240=3,1,0),IF($X240&lt;30,1,0))</formula>
    </cfRule>
    <cfRule type="expression" dxfId="9216" priority="2056">
      <formula>AND(IF($Q240=3,1,IF($Q240=4,1,0)),IF($F240&lt;=85,1,0))</formula>
    </cfRule>
  </conditionalFormatting>
  <conditionalFormatting sqref="AV241">
    <cfRule type="expression" dxfId="9215" priority="2051">
      <formula>AV241="X"</formula>
    </cfRule>
    <cfRule type="expression" dxfId="9214" priority="2052">
      <formula>AV241="후보"</formula>
    </cfRule>
  </conditionalFormatting>
  <conditionalFormatting sqref="AC241">
    <cfRule type="cellIs" dxfId="9213" priority="2049" operator="greaterThan">
      <formula>0.9</formula>
    </cfRule>
    <cfRule type="cellIs" dxfId="9212" priority="2050" operator="greaterThan">
      <formula>0.85</formula>
    </cfRule>
  </conditionalFormatting>
  <conditionalFormatting sqref="N241">
    <cfRule type="cellIs" dxfId="9211" priority="2047" operator="greaterThan">
      <formula>0.9</formula>
    </cfRule>
    <cfRule type="cellIs" dxfId="9210" priority="2048" operator="greaterThan">
      <formula>0.85</formula>
    </cfRule>
  </conditionalFormatting>
  <conditionalFormatting sqref="E241">
    <cfRule type="expression" dxfId="9209" priority="2043">
      <formula>AND(IF(OR($Q241=1,$Q241=2),1,0),IF($X241&lt;=20,1,0))</formula>
    </cfRule>
    <cfRule type="expression" dxfId="9208" priority="2044">
      <formula>AND(IF($Q241=2,1,0),IF($X241&lt;30,1,0))</formula>
    </cfRule>
    <cfRule type="expression" dxfId="9207" priority="2045">
      <formula>AND(IF($Q241=3,1,0),IF($X241&lt;30,1,0))</formula>
    </cfRule>
    <cfRule type="expression" dxfId="9206" priority="2046">
      <formula>AND(IF($Q241=3,1,IF($Q241=4,1,0)),IF($F241&lt;=85,1,0))</formula>
    </cfRule>
  </conditionalFormatting>
  <conditionalFormatting sqref="X241">
    <cfRule type="expression" dxfId="9205" priority="2039">
      <formula>AND(IF(OR($Q241=1,$Q241=2),1,0),IF($X241&lt;=20,1,0))</formula>
    </cfRule>
    <cfRule type="expression" dxfId="9204" priority="2040">
      <formula>AND(IF($Q241=2,1,0),IF($X241&lt;30,1,0))</formula>
    </cfRule>
    <cfRule type="expression" dxfId="9203" priority="2041">
      <formula>AND(IF($Q241=3,1,0),IF($X241&lt;30,1,0))</formula>
    </cfRule>
    <cfRule type="expression" dxfId="9202" priority="2042">
      <formula>AND(IF($Q241=3,1,IF($Q241=4,1,0)),IF($F241&lt;=85,1,0))</formula>
    </cfRule>
  </conditionalFormatting>
  <conditionalFormatting sqref="AI241">
    <cfRule type="expression" dxfId="9201" priority="2035">
      <formula>AND(IF(OR($Q241=1,$Q241=2),1,0),IF($X241&lt;=20,1,0))</formula>
    </cfRule>
    <cfRule type="expression" dxfId="9200" priority="2036">
      <formula>AND(IF($Q241=2,1,0),IF($X241&lt;30,1,0))</formula>
    </cfRule>
    <cfRule type="expression" dxfId="9199" priority="2037">
      <formula>AND(IF($Q241=3,1,0),IF($X241&lt;30,1,0))</formula>
    </cfRule>
    <cfRule type="expression" dxfId="9198" priority="2038">
      <formula>AND(IF($Q241=3,1,IF($Q241=4,1,0)),IF($F241&lt;=85,1,0))</formula>
    </cfRule>
  </conditionalFormatting>
  <conditionalFormatting sqref="AV242">
    <cfRule type="expression" dxfId="9197" priority="2033">
      <formula>AV242="X"</formula>
    </cfRule>
    <cfRule type="expression" dxfId="9196" priority="2034">
      <formula>AV242="후보"</formula>
    </cfRule>
  </conditionalFormatting>
  <conditionalFormatting sqref="AC242">
    <cfRule type="cellIs" dxfId="9195" priority="2031" operator="greaterThan">
      <formula>0.9</formula>
    </cfRule>
    <cfRule type="cellIs" dxfId="9194" priority="2032" operator="greaterThan">
      <formula>0.85</formula>
    </cfRule>
  </conditionalFormatting>
  <conditionalFormatting sqref="N242">
    <cfRule type="cellIs" dxfId="9193" priority="2029" operator="greaterThan">
      <formula>0.9</formula>
    </cfRule>
    <cfRule type="cellIs" dxfId="9192" priority="2030" operator="greaterThan">
      <formula>0.85</formula>
    </cfRule>
  </conditionalFormatting>
  <conditionalFormatting sqref="E242">
    <cfRule type="expression" dxfId="9191" priority="2025">
      <formula>AND(IF(OR($Q242=1,$Q242=2),1,0),IF($X242&lt;=20,1,0))</formula>
    </cfRule>
    <cfRule type="expression" dxfId="9190" priority="2026">
      <formula>AND(IF($Q242=2,1,0),IF($X242&lt;30,1,0))</formula>
    </cfRule>
    <cfRule type="expression" dxfId="9189" priority="2027">
      <formula>AND(IF($Q242=3,1,0),IF($X242&lt;30,1,0))</formula>
    </cfRule>
    <cfRule type="expression" dxfId="9188" priority="2028">
      <formula>AND(IF($Q242=3,1,IF($Q242=4,1,0)),IF($F242&lt;=85,1,0))</formula>
    </cfRule>
  </conditionalFormatting>
  <conditionalFormatting sqref="X242">
    <cfRule type="expression" dxfId="9187" priority="2021">
      <formula>AND(IF(OR($Q242=1,$Q242=2),1,0),IF($X242&lt;=20,1,0))</formula>
    </cfRule>
    <cfRule type="expression" dxfId="9186" priority="2022">
      <formula>AND(IF($Q242=2,1,0),IF($X242&lt;30,1,0))</formula>
    </cfRule>
    <cfRule type="expression" dxfId="9185" priority="2023">
      <formula>AND(IF($Q242=3,1,0),IF($X242&lt;30,1,0))</formula>
    </cfRule>
    <cfRule type="expression" dxfId="9184" priority="2024">
      <formula>AND(IF($Q242=3,1,IF($Q242=4,1,0)),IF($F242&lt;=85,1,0))</formula>
    </cfRule>
  </conditionalFormatting>
  <conditionalFormatting sqref="AI242">
    <cfRule type="expression" dxfId="9183" priority="2017">
      <formula>AND(IF(OR($Q242=1,$Q242=2),1,0),IF($X242&lt;=20,1,0))</formula>
    </cfRule>
    <cfRule type="expression" dxfId="9182" priority="2018">
      <formula>AND(IF($Q242=2,1,0),IF($X242&lt;30,1,0))</formula>
    </cfRule>
    <cfRule type="expression" dxfId="9181" priority="2019">
      <formula>AND(IF($Q242=3,1,0),IF($X242&lt;30,1,0))</formula>
    </cfRule>
    <cfRule type="expression" dxfId="9180" priority="2020">
      <formula>AND(IF($Q242=3,1,IF($Q242=4,1,0)),IF($F242&lt;=85,1,0))</formula>
    </cfRule>
  </conditionalFormatting>
  <conditionalFormatting sqref="AV243">
    <cfRule type="expression" dxfId="9179" priority="2015">
      <formula>AV243="X"</formula>
    </cfRule>
    <cfRule type="expression" dxfId="9178" priority="2016">
      <formula>AV243="후보"</formula>
    </cfRule>
  </conditionalFormatting>
  <conditionalFormatting sqref="AC243">
    <cfRule type="cellIs" dxfId="9177" priority="2013" operator="greaterThan">
      <formula>0.9</formula>
    </cfRule>
    <cfRule type="cellIs" dxfId="9176" priority="2014" operator="greaterThan">
      <formula>0.85</formula>
    </cfRule>
  </conditionalFormatting>
  <conditionalFormatting sqref="N243">
    <cfRule type="cellIs" dxfId="9175" priority="2011" operator="greaterThan">
      <formula>0.9</formula>
    </cfRule>
    <cfRule type="cellIs" dxfId="9174" priority="2012" operator="greaterThan">
      <formula>0.85</formula>
    </cfRule>
  </conditionalFormatting>
  <conditionalFormatting sqref="E243">
    <cfRule type="expression" dxfId="9173" priority="2007">
      <formula>AND(IF(OR($Q243=1,$Q243=2),1,0),IF($X243&lt;=20,1,0))</formula>
    </cfRule>
    <cfRule type="expression" dxfId="9172" priority="2008">
      <formula>AND(IF($Q243=2,1,0),IF($X243&lt;30,1,0))</formula>
    </cfRule>
    <cfRule type="expression" dxfId="9171" priority="2009">
      <formula>AND(IF($Q243=3,1,0),IF($X243&lt;30,1,0))</formula>
    </cfRule>
    <cfRule type="expression" dxfId="9170" priority="2010">
      <formula>AND(IF($Q243=3,1,IF($Q243=4,1,0)),IF($F243&lt;=85,1,0))</formula>
    </cfRule>
  </conditionalFormatting>
  <conditionalFormatting sqref="X243">
    <cfRule type="expression" dxfId="9169" priority="2003">
      <formula>AND(IF(OR($Q243=1,$Q243=2),1,0),IF($X243&lt;=20,1,0))</formula>
    </cfRule>
    <cfRule type="expression" dxfId="9168" priority="2004">
      <formula>AND(IF($Q243=2,1,0),IF($X243&lt;30,1,0))</formula>
    </cfRule>
    <cfRule type="expression" dxfId="9167" priority="2005">
      <formula>AND(IF($Q243=3,1,0),IF($X243&lt;30,1,0))</formula>
    </cfRule>
    <cfRule type="expression" dxfId="9166" priority="2006">
      <formula>AND(IF($Q243=3,1,IF($Q243=4,1,0)),IF($F243&lt;=85,1,0))</formula>
    </cfRule>
  </conditionalFormatting>
  <conditionalFormatting sqref="AI243">
    <cfRule type="expression" dxfId="9165" priority="1999">
      <formula>AND(IF(OR($Q243=1,$Q243=2),1,0),IF($X243&lt;=20,1,0))</formula>
    </cfRule>
    <cfRule type="expression" dxfId="9164" priority="2000">
      <formula>AND(IF($Q243=2,1,0),IF($X243&lt;30,1,0))</formula>
    </cfRule>
    <cfRule type="expression" dxfId="9163" priority="2001">
      <formula>AND(IF($Q243=3,1,0),IF($X243&lt;30,1,0))</formula>
    </cfRule>
    <cfRule type="expression" dxfId="9162" priority="2002">
      <formula>AND(IF($Q243=3,1,IF($Q243=4,1,0)),IF($F243&lt;=85,1,0))</formula>
    </cfRule>
  </conditionalFormatting>
  <conditionalFormatting sqref="AV244">
    <cfRule type="expression" dxfId="9161" priority="1997">
      <formula>AV244="X"</formula>
    </cfRule>
    <cfRule type="expression" dxfId="9160" priority="1998">
      <formula>AV244="후보"</formula>
    </cfRule>
  </conditionalFormatting>
  <conditionalFormatting sqref="AC244">
    <cfRule type="cellIs" dxfId="9159" priority="1995" operator="greaterThan">
      <formula>0.9</formula>
    </cfRule>
    <cfRule type="cellIs" dxfId="9158" priority="1996" operator="greaterThan">
      <formula>0.85</formula>
    </cfRule>
  </conditionalFormatting>
  <conditionalFormatting sqref="N244">
    <cfRule type="cellIs" dxfId="9157" priority="1993" operator="greaterThan">
      <formula>0.9</formula>
    </cfRule>
    <cfRule type="cellIs" dxfId="9156" priority="1994" operator="greaterThan">
      <formula>0.85</formula>
    </cfRule>
  </conditionalFormatting>
  <conditionalFormatting sqref="E244">
    <cfRule type="expression" dxfId="9155" priority="1989">
      <formula>AND(IF(OR($Q244=1,$Q244=2),1,0),IF($X244&lt;=20,1,0))</formula>
    </cfRule>
    <cfRule type="expression" dxfId="9154" priority="1990">
      <formula>AND(IF($Q244=2,1,0),IF($X244&lt;30,1,0))</formula>
    </cfRule>
    <cfRule type="expression" dxfId="9153" priority="1991">
      <formula>AND(IF($Q244=3,1,0),IF($X244&lt;30,1,0))</formula>
    </cfRule>
    <cfRule type="expression" dxfId="9152" priority="1992">
      <formula>AND(IF($Q244=3,1,IF($Q244=4,1,0)),IF($F244&lt;=85,1,0))</formula>
    </cfRule>
  </conditionalFormatting>
  <conditionalFormatting sqref="X244">
    <cfRule type="expression" dxfId="9151" priority="1985">
      <formula>AND(IF(OR($Q244=1,$Q244=2),1,0),IF($X244&lt;=20,1,0))</formula>
    </cfRule>
    <cfRule type="expression" dxfId="9150" priority="1986">
      <formula>AND(IF($Q244=2,1,0),IF($X244&lt;30,1,0))</formula>
    </cfRule>
    <cfRule type="expression" dxfId="9149" priority="1987">
      <formula>AND(IF($Q244=3,1,0),IF($X244&lt;30,1,0))</formula>
    </cfRule>
    <cfRule type="expression" dxfId="9148" priority="1988">
      <formula>AND(IF($Q244=3,1,IF($Q244=4,1,0)),IF($F244&lt;=85,1,0))</formula>
    </cfRule>
  </conditionalFormatting>
  <conditionalFormatting sqref="AI244">
    <cfRule type="expression" dxfId="9147" priority="1981">
      <formula>AND(IF(OR($Q244=1,$Q244=2),1,0),IF($X244&lt;=20,1,0))</formula>
    </cfRule>
    <cfRule type="expression" dxfId="9146" priority="1982">
      <formula>AND(IF($Q244=2,1,0),IF($X244&lt;30,1,0))</formula>
    </cfRule>
    <cfRule type="expression" dxfId="9145" priority="1983">
      <formula>AND(IF($Q244=3,1,0),IF($X244&lt;30,1,0))</formula>
    </cfRule>
    <cfRule type="expression" dxfId="9144" priority="1984">
      <formula>AND(IF($Q244=3,1,IF($Q244=4,1,0)),IF($F244&lt;=85,1,0))</formula>
    </cfRule>
  </conditionalFormatting>
  <conditionalFormatting sqref="AV245">
    <cfRule type="expression" dxfId="9143" priority="1979">
      <formula>AV245="X"</formula>
    </cfRule>
    <cfRule type="expression" dxfId="9142" priority="1980">
      <formula>AV245="후보"</formula>
    </cfRule>
  </conditionalFormatting>
  <conditionalFormatting sqref="AC245">
    <cfRule type="cellIs" dxfId="9141" priority="1977" operator="greaterThan">
      <formula>0.9</formula>
    </cfRule>
    <cfRule type="cellIs" dxfId="9140" priority="1978" operator="greaterThan">
      <formula>0.85</formula>
    </cfRule>
  </conditionalFormatting>
  <conditionalFormatting sqref="N245">
    <cfRule type="cellIs" dxfId="9139" priority="1975" operator="greaterThan">
      <formula>0.9</formula>
    </cfRule>
    <cfRule type="cellIs" dxfId="9138" priority="1976" operator="greaterThan">
      <formula>0.85</formula>
    </cfRule>
  </conditionalFormatting>
  <conditionalFormatting sqref="E245">
    <cfRule type="expression" dxfId="9137" priority="1971">
      <formula>AND(IF(OR($Q245=1,$Q245=2),1,0),IF($X245&lt;=20,1,0))</formula>
    </cfRule>
    <cfRule type="expression" dxfId="9136" priority="1972">
      <formula>AND(IF($Q245=2,1,0),IF($X245&lt;30,1,0))</formula>
    </cfRule>
    <cfRule type="expression" dxfId="9135" priority="1973">
      <formula>AND(IF($Q245=3,1,0),IF($X245&lt;30,1,0))</formula>
    </cfRule>
    <cfRule type="expression" dxfId="9134" priority="1974">
      <formula>AND(IF($Q245=3,1,IF($Q245=4,1,0)),IF($F245&lt;=85,1,0))</formula>
    </cfRule>
  </conditionalFormatting>
  <conditionalFormatting sqref="X245">
    <cfRule type="expression" dxfId="9133" priority="1967">
      <formula>AND(IF(OR($Q245=1,$Q245=2),1,0),IF($X245&lt;=20,1,0))</formula>
    </cfRule>
    <cfRule type="expression" dxfId="9132" priority="1968">
      <formula>AND(IF($Q245=2,1,0),IF($X245&lt;30,1,0))</formula>
    </cfRule>
    <cfRule type="expression" dxfId="9131" priority="1969">
      <formula>AND(IF($Q245=3,1,0),IF($X245&lt;30,1,0))</formula>
    </cfRule>
    <cfRule type="expression" dxfId="9130" priority="1970">
      <formula>AND(IF($Q245=3,1,IF($Q245=4,1,0)),IF($F245&lt;=85,1,0))</formula>
    </cfRule>
  </conditionalFormatting>
  <conditionalFormatting sqref="AI245">
    <cfRule type="expression" dxfId="9129" priority="1963">
      <formula>AND(IF(OR($Q245=1,$Q245=2),1,0),IF($X245&lt;=20,1,0))</formula>
    </cfRule>
    <cfRule type="expression" dxfId="9128" priority="1964">
      <formula>AND(IF($Q245=2,1,0),IF($X245&lt;30,1,0))</formula>
    </cfRule>
    <cfRule type="expression" dxfId="9127" priority="1965">
      <formula>AND(IF($Q245=3,1,0),IF($X245&lt;30,1,0))</formula>
    </cfRule>
    <cfRule type="expression" dxfId="9126" priority="1966">
      <formula>AND(IF($Q245=3,1,IF($Q245=4,1,0)),IF($F245&lt;=85,1,0))</formula>
    </cfRule>
  </conditionalFormatting>
  <conditionalFormatting sqref="AV246">
    <cfRule type="expression" dxfId="9125" priority="1961">
      <formula>AV246="X"</formula>
    </cfRule>
    <cfRule type="expression" dxfId="9124" priority="1962">
      <formula>AV246="후보"</formula>
    </cfRule>
  </conditionalFormatting>
  <conditionalFormatting sqref="AC246">
    <cfRule type="cellIs" dxfId="9123" priority="1959" operator="greaterThan">
      <formula>0.9</formula>
    </cfRule>
    <cfRule type="cellIs" dxfId="9122" priority="1960" operator="greaterThan">
      <formula>0.85</formula>
    </cfRule>
  </conditionalFormatting>
  <conditionalFormatting sqref="N246">
    <cfRule type="cellIs" dxfId="9121" priority="1957" operator="greaterThan">
      <formula>0.9</formula>
    </cfRule>
    <cfRule type="cellIs" dxfId="9120" priority="1958" operator="greaterThan">
      <formula>0.85</formula>
    </cfRule>
  </conditionalFormatting>
  <conditionalFormatting sqref="E246">
    <cfRule type="expression" dxfId="9119" priority="1953">
      <formula>AND(IF(OR($Q246=1,$Q246=2),1,0),IF($X246&lt;=20,1,0))</formula>
    </cfRule>
    <cfRule type="expression" dxfId="9118" priority="1954">
      <formula>AND(IF($Q246=2,1,0),IF($X246&lt;30,1,0))</formula>
    </cfRule>
    <cfRule type="expression" dxfId="9117" priority="1955">
      <formula>AND(IF($Q246=3,1,0),IF($X246&lt;30,1,0))</formula>
    </cfRule>
    <cfRule type="expression" dxfId="9116" priority="1956">
      <formula>AND(IF($Q246=3,1,IF($Q246=4,1,0)),IF($F246&lt;=85,1,0))</formula>
    </cfRule>
  </conditionalFormatting>
  <conditionalFormatting sqref="X246">
    <cfRule type="expression" dxfId="9115" priority="1949">
      <formula>AND(IF(OR($Q246=1,$Q246=2),1,0),IF($X246&lt;=20,1,0))</formula>
    </cfRule>
    <cfRule type="expression" dxfId="9114" priority="1950">
      <formula>AND(IF($Q246=2,1,0),IF($X246&lt;30,1,0))</formula>
    </cfRule>
    <cfRule type="expression" dxfId="9113" priority="1951">
      <formula>AND(IF($Q246=3,1,0),IF($X246&lt;30,1,0))</formula>
    </cfRule>
    <cfRule type="expression" dxfId="9112" priority="1952">
      <formula>AND(IF($Q246=3,1,IF($Q246=4,1,0)),IF($F246&lt;=85,1,0))</formula>
    </cfRule>
  </conditionalFormatting>
  <conditionalFormatting sqref="AI246">
    <cfRule type="expression" dxfId="9111" priority="1945">
      <formula>AND(IF(OR($Q246=1,$Q246=2),1,0),IF($X246&lt;=20,1,0))</formula>
    </cfRule>
    <cfRule type="expression" dxfId="9110" priority="1946">
      <formula>AND(IF($Q246=2,1,0),IF($X246&lt;30,1,0))</formula>
    </cfRule>
    <cfRule type="expression" dxfId="9109" priority="1947">
      <formula>AND(IF($Q246=3,1,0),IF($X246&lt;30,1,0))</formula>
    </cfRule>
    <cfRule type="expression" dxfId="9108" priority="1948">
      <formula>AND(IF($Q246=3,1,IF($Q246=4,1,0)),IF($F246&lt;=85,1,0))</formula>
    </cfRule>
  </conditionalFormatting>
  <conditionalFormatting sqref="AV247">
    <cfRule type="expression" dxfId="9107" priority="1943">
      <formula>AV247="X"</formula>
    </cfRule>
    <cfRule type="expression" dxfId="9106" priority="1944">
      <formula>AV247="후보"</formula>
    </cfRule>
  </conditionalFormatting>
  <conditionalFormatting sqref="AC247">
    <cfRule type="cellIs" dxfId="9105" priority="1941" operator="greaterThan">
      <formula>0.9</formula>
    </cfRule>
    <cfRule type="cellIs" dxfId="9104" priority="1942" operator="greaterThan">
      <formula>0.85</formula>
    </cfRule>
  </conditionalFormatting>
  <conditionalFormatting sqref="N247">
    <cfRule type="cellIs" dxfId="9103" priority="1939" operator="greaterThan">
      <formula>0.9</formula>
    </cfRule>
    <cfRule type="cellIs" dxfId="9102" priority="1940" operator="greaterThan">
      <formula>0.85</formula>
    </cfRule>
  </conditionalFormatting>
  <conditionalFormatting sqref="E247">
    <cfRule type="expression" dxfId="9101" priority="1935">
      <formula>AND(IF(OR($Q247=1,$Q247=2),1,0),IF($X247&lt;=20,1,0))</formula>
    </cfRule>
    <cfRule type="expression" dxfId="9100" priority="1936">
      <formula>AND(IF($Q247=2,1,0),IF($X247&lt;30,1,0))</formula>
    </cfRule>
    <cfRule type="expression" dxfId="9099" priority="1937">
      <formula>AND(IF($Q247=3,1,0),IF($X247&lt;30,1,0))</formula>
    </cfRule>
    <cfRule type="expression" dxfId="9098" priority="1938">
      <formula>AND(IF($Q247=3,1,IF($Q247=4,1,0)),IF($F247&lt;=85,1,0))</formula>
    </cfRule>
  </conditionalFormatting>
  <conditionalFormatting sqref="X247">
    <cfRule type="expression" dxfId="9097" priority="1931">
      <formula>AND(IF(OR($Q247=1,$Q247=2),1,0),IF($X247&lt;=20,1,0))</formula>
    </cfRule>
    <cfRule type="expression" dxfId="9096" priority="1932">
      <formula>AND(IF($Q247=2,1,0),IF($X247&lt;30,1,0))</formula>
    </cfRule>
    <cfRule type="expression" dxfId="9095" priority="1933">
      <formula>AND(IF($Q247=3,1,0),IF($X247&lt;30,1,0))</formula>
    </cfRule>
    <cfRule type="expression" dxfId="9094" priority="1934">
      <formula>AND(IF($Q247=3,1,IF($Q247=4,1,0)),IF($F247&lt;=85,1,0))</formula>
    </cfRule>
  </conditionalFormatting>
  <conditionalFormatting sqref="AI247">
    <cfRule type="expression" dxfId="9093" priority="1927">
      <formula>AND(IF(OR($Q247=1,$Q247=2),1,0),IF($X247&lt;=20,1,0))</formula>
    </cfRule>
    <cfRule type="expression" dxfId="9092" priority="1928">
      <formula>AND(IF($Q247=2,1,0),IF($X247&lt;30,1,0))</formula>
    </cfRule>
    <cfRule type="expression" dxfId="9091" priority="1929">
      <formula>AND(IF($Q247=3,1,0),IF($X247&lt;30,1,0))</formula>
    </cfRule>
    <cfRule type="expression" dxfId="9090" priority="1930">
      <formula>AND(IF($Q247=3,1,IF($Q247=4,1,0)),IF($F247&lt;=85,1,0))</formula>
    </cfRule>
  </conditionalFormatting>
  <conditionalFormatting sqref="AV248">
    <cfRule type="expression" dxfId="9089" priority="1925">
      <formula>AV248="X"</formula>
    </cfRule>
    <cfRule type="expression" dxfId="9088" priority="1926">
      <formula>AV248="후보"</formula>
    </cfRule>
  </conditionalFormatting>
  <conditionalFormatting sqref="AC248">
    <cfRule type="cellIs" dxfId="9087" priority="1923" operator="greaterThan">
      <formula>0.9</formula>
    </cfRule>
    <cfRule type="cellIs" dxfId="9086" priority="1924" operator="greaterThan">
      <formula>0.85</formula>
    </cfRule>
  </conditionalFormatting>
  <conditionalFormatting sqref="N248">
    <cfRule type="cellIs" dxfId="9085" priority="1921" operator="greaterThan">
      <formula>0.9</formula>
    </cfRule>
    <cfRule type="cellIs" dxfId="9084" priority="1922" operator="greaterThan">
      <formula>0.85</formula>
    </cfRule>
  </conditionalFormatting>
  <conditionalFormatting sqref="E248">
    <cfRule type="expression" dxfId="9083" priority="1917">
      <formula>AND(IF(OR($Q248=1,$Q248=2),1,0),IF($X248&lt;=20,1,0))</formula>
    </cfRule>
    <cfRule type="expression" dxfId="9082" priority="1918">
      <formula>AND(IF($Q248=2,1,0),IF($X248&lt;30,1,0))</formula>
    </cfRule>
    <cfRule type="expression" dxfId="9081" priority="1919">
      <formula>AND(IF($Q248=3,1,0),IF($X248&lt;30,1,0))</formula>
    </cfRule>
    <cfRule type="expression" dxfId="9080" priority="1920">
      <formula>AND(IF($Q248=3,1,IF($Q248=4,1,0)),IF($F248&lt;=85,1,0))</formula>
    </cfRule>
  </conditionalFormatting>
  <conditionalFormatting sqref="X248">
    <cfRule type="expression" dxfId="9079" priority="1913">
      <formula>AND(IF(OR($Q248=1,$Q248=2),1,0),IF($X248&lt;=20,1,0))</formula>
    </cfRule>
    <cfRule type="expression" dxfId="9078" priority="1914">
      <formula>AND(IF($Q248=2,1,0),IF($X248&lt;30,1,0))</formula>
    </cfRule>
    <cfRule type="expression" dxfId="9077" priority="1915">
      <formula>AND(IF($Q248=3,1,0),IF($X248&lt;30,1,0))</formula>
    </cfRule>
    <cfRule type="expression" dxfId="9076" priority="1916">
      <formula>AND(IF($Q248=3,1,IF($Q248=4,1,0)),IF($F248&lt;=85,1,0))</formula>
    </cfRule>
  </conditionalFormatting>
  <conditionalFormatting sqref="AI248">
    <cfRule type="expression" dxfId="9075" priority="1909">
      <formula>AND(IF(OR($Q248=1,$Q248=2),1,0),IF($X248&lt;=20,1,0))</formula>
    </cfRule>
    <cfRule type="expression" dxfId="9074" priority="1910">
      <formula>AND(IF($Q248=2,1,0),IF($X248&lt;30,1,0))</formula>
    </cfRule>
    <cfRule type="expression" dxfId="9073" priority="1911">
      <formula>AND(IF($Q248=3,1,0),IF($X248&lt;30,1,0))</formula>
    </cfRule>
    <cfRule type="expression" dxfId="9072" priority="1912">
      <formula>AND(IF($Q248=3,1,IF($Q248=4,1,0)),IF($F248&lt;=85,1,0))</formula>
    </cfRule>
  </conditionalFormatting>
  <conditionalFormatting sqref="AV249">
    <cfRule type="expression" dxfId="9071" priority="1907">
      <formula>AV249="X"</formula>
    </cfRule>
    <cfRule type="expression" dxfId="9070" priority="1908">
      <formula>AV249="후보"</formula>
    </cfRule>
  </conditionalFormatting>
  <conditionalFormatting sqref="AC249">
    <cfRule type="cellIs" dxfId="9069" priority="1905" operator="greaterThan">
      <formula>0.9</formula>
    </cfRule>
    <cfRule type="cellIs" dxfId="9068" priority="1906" operator="greaterThan">
      <formula>0.85</formula>
    </cfRule>
  </conditionalFormatting>
  <conditionalFormatting sqref="N249">
    <cfRule type="cellIs" dxfId="9067" priority="1903" operator="greaterThan">
      <formula>0.9</formula>
    </cfRule>
    <cfRule type="cellIs" dxfId="9066" priority="1904" operator="greaterThan">
      <formula>0.85</formula>
    </cfRule>
  </conditionalFormatting>
  <conditionalFormatting sqref="E249">
    <cfRule type="expression" dxfId="9065" priority="1899">
      <formula>AND(IF(OR($Q249=1,$Q249=2),1,0),IF($X249&lt;=20,1,0))</formula>
    </cfRule>
    <cfRule type="expression" dxfId="9064" priority="1900">
      <formula>AND(IF($Q249=2,1,0),IF($X249&lt;30,1,0))</formula>
    </cfRule>
    <cfRule type="expression" dxfId="9063" priority="1901">
      <formula>AND(IF($Q249=3,1,0),IF($X249&lt;30,1,0))</formula>
    </cfRule>
    <cfRule type="expression" dxfId="9062" priority="1902">
      <formula>AND(IF($Q249=3,1,IF($Q249=4,1,0)),IF($F249&lt;=85,1,0))</formula>
    </cfRule>
  </conditionalFormatting>
  <conditionalFormatting sqref="X249">
    <cfRule type="expression" dxfId="9061" priority="1895">
      <formula>AND(IF(OR($Q249=1,$Q249=2),1,0),IF($X249&lt;=20,1,0))</formula>
    </cfRule>
    <cfRule type="expression" dxfId="9060" priority="1896">
      <formula>AND(IF($Q249=2,1,0),IF($X249&lt;30,1,0))</formula>
    </cfRule>
    <cfRule type="expression" dxfId="9059" priority="1897">
      <formula>AND(IF($Q249=3,1,0),IF($X249&lt;30,1,0))</formula>
    </cfRule>
    <cfRule type="expression" dxfId="9058" priority="1898">
      <formula>AND(IF($Q249=3,1,IF($Q249=4,1,0)),IF($F249&lt;=85,1,0))</formula>
    </cfRule>
  </conditionalFormatting>
  <conditionalFormatting sqref="AI249">
    <cfRule type="expression" dxfId="9057" priority="1891">
      <formula>AND(IF(OR($Q249=1,$Q249=2),1,0),IF($X249&lt;=20,1,0))</formula>
    </cfRule>
    <cfRule type="expression" dxfId="9056" priority="1892">
      <formula>AND(IF($Q249=2,1,0),IF($X249&lt;30,1,0))</formula>
    </cfRule>
    <cfRule type="expression" dxfId="9055" priority="1893">
      <formula>AND(IF($Q249=3,1,0),IF($X249&lt;30,1,0))</formula>
    </cfRule>
    <cfRule type="expression" dxfId="9054" priority="1894">
      <formula>AND(IF($Q249=3,1,IF($Q249=4,1,0)),IF($F249&lt;=85,1,0))</formula>
    </cfRule>
  </conditionalFormatting>
  <conditionalFormatting sqref="AV250">
    <cfRule type="expression" dxfId="9053" priority="1889">
      <formula>AV250="X"</formula>
    </cfRule>
    <cfRule type="expression" dxfId="9052" priority="1890">
      <formula>AV250="후보"</formula>
    </cfRule>
  </conditionalFormatting>
  <conditionalFormatting sqref="AC250">
    <cfRule type="cellIs" dxfId="9051" priority="1887" operator="greaterThan">
      <formula>0.9</formula>
    </cfRule>
    <cfRule type="cellIs" dxfId="9050" priority="1888" operator="greaterThan">
      <formula>0.85</formula>
    </cfRule>
  </conditionalFormatting>
  <conditionalFormatting sqref="N250">
    <cfRule type="cellIs" dxfId="9049" priority="1885" operator="greaterThan">
      <formula>0.9</formula>
    </cfRule>
    <cfRule type="cellIs" dxfId="9048" priority="1886" operator="greaterThan">
      <formula>0.85</formula>
    </cfRule>
  </conditionalFormatting>
  <conditionalFormatting sqref="E250">
    <cfRule type="expression" dxfId="9047" priority="1881">
      <formula>AND(IF(OR($Q250=1,$Q250=2),1,0),IF($X250&lt;=20,1,0))</formula>
    </cfRule>
    <cfRule type="expression" dxfId="9046" priority="1882">
      <formula>AND(IF($Q250=2,1,0),IF($X250&lt;30,1,0))</formula>
    </cfRule>
    <cfRule type="expression" dxfId="9045" priority="1883">
      <formula>AND(IF($Q250=3,1,0),IF($X250&lt;30,1,0))</formula>
    </cfRule>
    <cfRule type="expression" dxfId="9044" priority="1884">
      <formula>AND(IF($Q250=3,1,IF($Q250=4,1,0)),IF($F250&lt;=85,1,0))</formula>
    </cfRule>
  </conditionalFormatting>
  <conditionalFormatting sqref="X250">
    <cfRule type="expression" dxfId="9043" priority="1877">
      <formula>AND(IF(OR($Q250=1,$Q250=2),1,0),IF($X250&lt;=20,1,0))</formula>
    </cfRule>
    <cfRule type="expression" dxfId="9042" priority="1878">
      <formula>AND(IF($Q250=2,1,0),IF($X250&lt;30,1,0))</formula>
    </cfRule>
    <cfRule type="expression" dxfId="9041" priority="1879">
      <formula>AND(IF($Q250=3,1,0),IF($X250&lt;30,1,0))</formula>
    </cfRule>
    <cfRule type="expression" dxfId="9040" priority="1880">
      <formula>AND(IF($Q250=3,1,IF($Q250=4,1,0)),IF($F250&lt;=85,1,0))</formula>
    </cfRule>
  </conditionalFormatting>
  <conditionalFormatting sqref="AI250">
    <cfRule type="expression" dxfId="9039" priority="1873">
      <formula>AND(IF(OR($Q250=1,$Q250=2),1,0),IF($X250&lt;=20,1,0))</formula>
    </cfRule>
    <cfRule type="expression" dxfId="9038" priority="1874">
      <formula>AND(IF($Q250=2,1,0),IF($X250&lt;30,1,0))</formula>
    </cfRule>
    <cfRule type="expression" dxfId="9037" priority="1875">
      <formula>AND(IF($Q250=3,1,0),IF($X250&lt;30,1,0))</formula>
    </cfRule>
    <cfRule type="expression" dxfId="9036" priority="1876">
      <formula>AND(IF($Q250=3,1,IF($Q250=4,1,0)),IF($F250&lt;=85,1,0))</formula>
    </cfRule>
  </conditionalFormatting>
  <conditionalFormatting sqref="AV251">
    <cfRule type="expression" dxfId="9035" priority="1871">
      <formula>AV251="X"</formula>
    </cfRule>
    <cfRule type="expression" dxfId="9034" priority="1872">
      <formula>AV251="후보"</formula>
    </cfRule>
  </conditionalFormatting>
  <conditionalFormatting sqref="AC251">
    <cfRule type="cellIs" dxfId="9033" priority="1869" operator="greaterThan">
      <formula>0.9</formula>
    </cfRule>
    <cfRule type="cellIs" dxfId="9032" priority="1870" operator="greaterThan">
      <formula>0.85</formula>
    </cfRule>
  </conditionalFormatting>
  <conditionalFormatting sqref="N251">
    <cfRule type="cellIs" dxfId="9031" priority="1867" operator="greaterThan">
      <formula>0.9</formula>
    </cfRule>
    <cfRule type="cellIs" dxfId="9030" priority="1868" operator="greaterThan">
      <formula>0.85</formula>
    </cfRule>
  </conditionalFormatting>
  <conditionalFormatting sqref="E251">
    <cfRule type="expression" dxfId="9029" priority="1863">
      <formula>AND(IF(OR($Q251=1,$Q251=2),1,0),IF($X251&lt;=20,1,0))</formula>
    </cfRule>
    <cfRule type="expression" dxfId="9028" priority="1864">
      <formula>AND(IF($Q251=2,1,0),IF($X251&lt;30,1,0))</formula>
    </cfRule>
    <cfRule type="expression" dxfId="9027" priority="1865">
      <formula>AND(IF($Q251=3,1,0),IF($X251&lt;30,1,0))</formula>
    </cfRule>
    <cfRule type="expression" dxfId="9026" priority="1866">
      <formula>AND(IF($Q251=3,1,IF($Q251=4,1,0)),IF($F251&lt;=85,1,0))</formula>
    </cfRule>
  </conditionalFormatting>
  <conditionalFormatting sqref="X251">
    <cfRule type="expression" dxfId="9025" priority="1859">
      <formula>AND(IF(OR($Q251=1,$Q251=2),1,0),IF($X251&lt;=20,1,0))</formula>
    </cfRule>
    <cfRule type="expression" dxfId="9024" priority="1860">
      <formula>AND(IF($Q251=2,1,0),IF($X251&lt;30,1,0))</formula>
    </cfRule>
    <cfRule type="expression" dxfId="9023" priority="1861">
      <formula>AND(IF($Q251=3,1,0),IF($X251&lt;30,1,0))</formula>
    </cfRule>
    <cfRule type="expression" dxfId="9022" priority="1862">
      <formula>AND(IF($Q251=3,1,IF($Q251=4,1,0)),IF($F251&lt;=85,1,0))</formula>
    </cfRule>
  </conditionalFormatting>
  <conditionalFormatting sqref="AI251">
    <cfRule type="expression" dxfId="9021" priority="1855">
      <formula>AND(IF(OR($Q251=1,$Q251=2),1,0),IF($X251&lt;=20,1,0))</formula>
    </cfRule>
    <cfRule type="expression" dxfId="9020" priority="1856">
      <formula>AND(IF($Q251=2,1,0),IF($X251&lt;30,1,0))</formula>
    </cfRule>
    <cfRule type="expression" dxfId="9019" priority="1857">
      <formula>AND(IF($Q251=3,1,0),IF($X251&lt;30,1,0))</formula>
    </cfRule>
    <cfRule type="expression" dxfId="9018" priority="1858">
      <formula>AND(IF($Q251=3,1,IF($Q251=4,1,0)),IF($F251&lt;=85,1,0))</formula>
    </cfRule>
  </conditionalFormatting>
  <conditionalFormatting sqref="AV252">
    <cfRule type="expression" dxfId="9017" priority="1853">
      <formula>AV252="X"</formula>
    </cfRule>
    <cfRule type="expression" dxfId="9016" priority="1854">
      <formula>AV252="후보"</formula>
    </cfRule>
  </conditionalFormatting>
  <conditionalFormatting sqref="AC252">
    <cfRule type="cellIs" dxfId="9015" priority="1851" operator="greaterThan">
      <formula>0.9</formula>
    </cfRule>
    <cfRule type="cellIs" dxfId="9014" priority="1852" operator="greaterThan">
      <formula>0.85</formula>
    </cfRule>
  </conditionalFormatting>
  <conditionalFormatting sqref="N252">
    <cfRule type="cellIs" dxfId="9013" priority="1849" operator="greaterThan">
      <formula>0.9</formula>
    </cfRule>
    <cfRule type="cellIs" dxfId="9012" priority="1850" operator="greaterThan">
      <formula>0.85</formula>
    </cfRule>
  </conditionalFormatting>
  <conditionalFormatting sqref="E252">
    <cfRule type="expression" dxfId="9011" priority="1845">
      <formula>AND(IF(OR($Q252=1,$Q252=2),1,0),IF($X252&lt;=20,1,0))</formula>
    </cfRule>
    <cfRule type="expression" dxfId="9010" priority="1846">
      <formula>AND(IF($Q252=2,1,0),IF($X252&lt;30,1,0))</formula>
    </cfRule>
    <cfRule type="expression" dxfId="9009" priority="1847">
      <formula>AND(IF($Q252=3,1,0),IF($X252&lt;30,1,0))</formula>
    </cfRule>
    <cfRule type="expression" dxfId="9008" priority="1848">
      <formula>AND(IF($Q252=3,1,IF($Q252=4,1,0)),IF($F252&lt;=85,1,0))</formula>
    </cfRule>
  </conditionalFormatting>
  <conditionalFormatting sqref="X252">
    <cfRule type="expression" dxfId="9007" priority="1841">
      <formula>AND(IF(OR($Q252=1,$Q252=2),1,0),IF($X252&lt;=20,1,0))</formula>
    </cfRule>
    <cfRule type="expression" dxfId="9006" priority="1842">
      <formula>AND(IF($Q252=2,1,0),IF($X252&lt;30,1,0))</formula>
    </cfRule>
    <cfRule type="expression" dxfId="9005" priority="1843">
      <formula>AND(IF($Q252=3,1,0),IF($X252&lt;30,1,0))</formula>
    </cfRule>
    <cfRule type="expression" dxfId="9004" priority="1844">
      <formula>AND(IF($Q252=3,1,IF($Q252=4,1,0)),IF($F252&lt;=85,1,0))</formula>
    </cfRule>
  </conditionalFormatting>
  <conditionalFormatting sqref="AI252">
    <cfRule type="expression" dxfId="9003" priority="1837">
      <formula>AND(IF(OR($Q252=1,$Q252=2),1,0),IF($X252&lt;=20,1,0))</formula>
    </cfRule>
    <cfRule type="expression" dxfId="9002" priority="1838">
      <formula>AND(IF($Q252=2,1,0),IF($X252&lt;30,1,0))</formula>
    </cfRule>
    <cfRule type="expression" dxfId="9001" priority="1839">
      <formula>AND(IF($Q252=3,1,0),IF($X252&lt;30,1,0))</formula>
    </cfRule>
    <cfRule type="expression" dxfId="9000" priority="1840">
      <formula>AND(IF($Q252=3,1,IF($Q252=4,1,0)),IF($F252&lt;=85,1,0))</formula>
    </cfRule>
  </conditionalFormatting>
  <conditionalFormatting sqref="AV253">
    <cfRule type="expression" dxfId="8999" priority="1835">
      <formula>AV253="X"</formula>
    </cfRule>
    <cfRule type="expression" dxfId="8998" priority="1836">
      <formula>AV253="후보"</formula>
    </cfRule>
  </conditionalFormatting>
  <conditionalFormatting sqref="AC253">
    <cfRule type="cellIs" dxfId="8997" priority="1833" operator="greaterThan">
      <formula>0.9</formula>
    </cfRule>
    <cfRule type="cellIs" dxfId="8996" priority="1834" operator="greaterThan">
      <formula>0.85</formula>
    </cfRule>
  </conditionalFormatting>
  <conditionalFormatting sqref="N253">
    <cfRule type="cellIs" dxfId="8995" priority="1831" operator="greaterThan">
      <formula>0.9</formula>
    </cfRule>
    <cfRule type="cellIs" dxfId="8994" priority="1832" operator="greaterThan">
      <formula>0.85</formula>
    </cfRule>
  </conditionalFormatting>
  <conditionalFormatting sqref="E253">
    <cfRule type="expression" dxfId="8993" priority="1827">
      <formula>AND(IF(OR($Q253=1,$Q253=2),1,0),IF($X253&lt;=20,1,0))</formula>
    </cfRule>
    <cfRule type="expression" dxfId="8992" priority="1828">
      <formula>AND(IF($Q253=2,1,0),IF($X253&lt;30,1,0))</formula>
    </cfRule>
    <cfRule type="expression" dxfId="8991" priority="1829">
      <formula>AND(IF($Q253=3,1,0),IF($X253&lt;30,1,0))</formula>
    </cfRule>
    <cfRule type="expression" dxfId="8990" priority="1830">
      <formula>AND(IF($Q253=3,1,IF($Q253=4,1,0)),IF($F253&lt;=85,1,0))</formula>
    </cfRule>
  </conditionalFormatting>
  <conditionalFormatting sqref="X253">
    <cfRule type="expression" dxfId="8989" priority="1823">
      <formula>AND(IF(OR($Q253=1,$Q253=2),1,0),IF($X253&lt;=20,1,0))</formula>
    </cfRule>
    <cfRule type="expression" dxfId="8988" priority="1824">
      <formula>AND(IF($Q253=2,1,0),IF($X253&lt;30,1,0))</formula>
    </cfRule>
    <cfRule type="expression" dxfId="8987" priority="1825">
      <formula>AND(IF($Q253=3,1,0),IF($X253&lt;30,1,0))</formula>
    </cfRule>
    <cfRule type="expression" dxfId="8986" priority="1826">
      <formula>AND(IF($Q253=3,1,IF($Q253=4,1,0)),IF($F253&lt;=85,1,0))</formula>
    </cfRule>
  </conditionalFormatting>
  <conditionalFormatting sqref="AI253">
    <cfRule type="expression" dxfId="8985" priority="1819">
      <formula>AND(IF(OR($Q253=1,$Q253=2),1,0),IF($X253&lt;=20,1,0))</formula>
    </cfRule>
    <cfRule type="expression" dxfId="8984" priority="1820">
      <formula>AND(IF($Q253=2,1,0),IF($X253&lt;30,1,0))</formula>
    </cfRule>
    <cfRule type="expression" dxfId="8983" priority="1821">
      <formula>AND(IF($Q253=3,1,0),IF($X253&lt;30,1,0))</formula>
    </cfRule>
    <cfRule type="expression" dxfId="8982" priority="1822">
      <formula>AND(IF($Q253=3,1,IF($Q253=4,1,0)),IF($F253&lt;=85,1,0))</formula>
    </cfRule>
  </conditionalFormatting>
  <conditionalFormatting sqref="AV254">
    <cfRule type="expression" dxfId="8981" priority="1817">
      <formula>AV254="X"</formula>
    </cfRule>
    <cfRule type="expression" dxfId="8980" priority="1818">
      <formula>AV254="후보"</formula>
    </cfRule>
  </conditionalFormatting>
  <conditionalFormatting sqref="AC254">
    <cfRule type="cellIs" dxfId="8979" priority="1815" operator="greaterThan">
      <formula>0.9</formula>
    </cfRule>
    <cfRule type="cellIs" dxfId="8978" priority="1816" operator="greaterThan">
      <formula>0.85</formula>
    </cfRule>
  </conditionalFormatting>
  <conditionalFormatting sqref="N254">
    <cfRule type="cellIs" dxfId="8977" priority="1813" operator="greaterThan">
      <formula>0.9</formula>
    </cfRule>
    <cfRule type="cellIs" dxfId="8976" priority="1814" operator="greaterThan">
      <formula>0.85</formula>
    </cfRule>
  </conditionalFormatting>
  <conditionalFormatting sqref="E254">
    <cfRule type="expression" dxfId="8975" priority="1809">
      <formula>AND(IF(OR($Q254=1,$Q254=2),1,0),IF($X254&lt;=20,1,0))</formula>
    </cfRule>
    <cfRule type="expression" dxfId="8974" priority="1810">
      <formula>AND(IF($Q254=2,1,0),IF($X254&lt;30,1,0))</formula>
    </cfRule>
    <cfRule type="expression" dxfId="8973" priority="1811">
      <formula>AND(IF($Q254=3,1,0),IF($X254&lt;30,1,0))</formula>
    </cfRule>
    <cfRule type="expression" dxfId="8972" priority="1812">
      <formula>AND(IF($Q254=3,1,IF($Q254=4,1,0)),IF($F254&lt;=85,1,0))</formula>
    </cfRule>
  </conditionalFormatting>
  <conditionalFormatting sqref="X254">
    <cfRule type="expression" dxfId="8971" priority="1805">
      <formula>AND(IF(OR($Q254=1,$Q254=2),1,0),IF($X254&lt;=20,1,0))</formula>
    </cfRule>
    <cfRule type="expression" dxfId="8970" priority="1806">
      <formula>AND(IF($Q254=2,1,0),IF($X254&lt;30,1,0))</formula>
    </cfRule>
    <cfRule type="expression" dxfId="8969" priority="1807">
      <formula>AND(IF($Q254=3,1,0),IF($X254&lt;30,1,0))</formula>
    </cfRule>
    <cfRule type="expression" dxfId="8968" priority="1808">
      <formula>AND(IF($Q254=3,1,IF($Q254=4,1,0)),IF($F254&lt;=85,1,0))</formula>
    </cfRule>
  </conditionalFormatting>
  <conditionalFormatting sqref="AI254">
    <cfRule type="expression" dxfId="8967" priority="1801">
      <formula>AND(IF(OR($Q254=1,$Q254=2),1,0),IF($X254&lt;=20,1,0))</formula>
    </cfRule>
    <cfRule type="expression" dxfId="8966" priority="1802">
      <formula>AND(IF($Q254=2,1,0),IF($X254&lt;30,1,0))</formula>
    </cfRule>
    <cfRule type="expression" dxfId="8965" priority="1803">
      <formula>AND(IF($Q254=3,1,0),IF($X254&lt;30,1,0))</formula>
    </cfRule>
    <cfRule type="expression" dxfId="8964" priority="1804">
      <formula>AND(IF($Q254=3,1,IF($Q254=4,1,0)),IF($F254&lt;=85,1,0))</formula>
    </cfRule>
  </conditionalFormatting>
  <conditionalFormatting sqref="AV255">
    <cfRule type="expression" dxfId="8963" priority="1799">
      <formula>AV255="X"</formula>
    </cfRule>
    <cfRule type="expression" dxfId="8962" priority="1800">
      <formula>AV255="후보"</formula>
    </cfRule>
  </conditionalFormatting>
  <conditionalFormatting sqref="AC255">
    <cfRule type="cellIs" dxfId="8961" priority="1797" operator="greaterThan">
      <formula>0.9</formula>
    </cfRule>
    <cfRule type="cellIs" dxfId="8960" priority="1798" operator="greaterThan">
      <formula>0.85</formula>
    </cfRule>
  </conditionalFormatting>
  <conditionalFormatting sqref="N255">
    <cfRule type="cellIs" dxfId="8959" priority="1795" operator="greaterThan">
      <formula>0.9</formula>
    </cfRule>
    <cfRule type="cellIs" dxfId="8958" priority="1796" operator="greaterThan">
      <formula>0.85</formula>
    </cfRule>
  </conditionalFormatting>
  <conditionalFormatting sqref="E255">
    <cfRule type="expression" dxfId="8957" priority="1791">
      <formula>AND(IF(OR($Q255=1,$Q255=2),1,0),IF($X255&lt;=20,1,0))</formula>
    </cfRule>
    <cfRule type="expression" dxfId="8956" priority="1792">
      <formula>AND(IF($Q255=2,1,0),IF($X255&lt;30,1,0))</formula>
    </cfRule>
    <cfRule type="expression" dxfId="8955" priority="1793">
      <formula>AND(IF($Q255=3,1,0),IF($X255&lt;30,1,0))</formula>
    </cfRule>
    <cfRule type="expression" dxfId="8954" priority="1794">
      <formula>AND(IF($Q255=3,1,IF($Q255=4,1,0)),IF($F255&lt;=85,1,0))</formula>
    </cfRule>
  </conditionalFormatting>
  <conditionalFormatting sqref="X255">
    <cfRule type="expression" dxfId="8953" priority="1787">
      <formula>AND(IF(OR($Q255=1,$Q255=2),1,0),IF($X255&lt;=20,1,0))</formula>
    </cfRule>
    <cfRule type="expression" dxfId="8952" priority="1788">
      <formula>AND(IF($Q255=2,1,0),IF($X255&lt;30,1,0))</formula>
    </cfRule>
    <cfRule type="expression" dxfId="8951" priority="1789">
      <formula>AND(IF($Q255=3,1,0),IF($X255&lt;30,1,0))</formula>
    </cfRule>
    <cfRule type="expression" dxfId="8950" priority="1790">
      <formula>AND(IF($Q255=3,1,IF($Q255=4,1,0)),IF($F255&lt;=85,1,0))</formula>
    </cfRule>
  </conditionalFormatting>
  <conditionalFormatting sqref="AI255">
    <cfRule type="expression" dxfId="8949" priority="1783">
      <formula>AND(IF(OR($Q255=1,$Q255=2),1,0),IF($X255&lt;=20,1,0))</formula>
    </cfRule>
    <cfRule type="expression" dxfId="8948" priority="1784">
      <formula>AND(IF($Q255=2,1,0),IF($X255&lt;30,1,0))</formula>
    </cfRule>
    <cfRule type="expression" dxfId="8947" priority="1785">
      <formula>AND(IF($Q255=3,1,0),IF($X255&lt;30,1,0))</formula>
    </cfRule>
    <cfRule type="expression" dxfId="8946" priority="1786">
      <formula>AND(IF($Q255=3,1,IF($Q255=4,1,0)),IF($F255&lt;=85,1,0))</formula>
    </cfRule>
  </conditionalFormatting>
  <conditionalFormatting sqref="AV256">
    <cfRule type="expression" dxfId="8945" priority="1781">
      <formula>AV256="X"</formula>
    </cfRule>
    <cfRule type="expression" dxfId="8944" priority="1782">
      <formula>AV256="후보"</formula>
    </cfRule>
  </conditionalFormatting>
  <conditionalFormatting sqref="AC256">
    <cfRule type="cellIs" dxfId="8943" priority="1779" operator="greaterThan">
      <formula>0.9</formula>
    </cfRule>
    <cfRule type="cellIs" dxfId="8942" priority="1780" operator="greaterThan">
      <formula>0.85</formula>
    </cfRule>
  </conditionalFormatting>
  <conditionalFormatting sqref="N256">
    <cfRule type="cellIs" dxfId="8941" priority="1777" operator="greaterThan">
      <formula>0.9</formula>
    </cfRule>
    <cfRule type="cellIs" dxfId="8940" priority="1778" operator="greaterThan">
      <formula>0.85</formula>
    </cfRule>
  </conditionalFormatting>
  <conditionalFormatting sqref="E256">
    <cfRule type="expression" dxfId="8939" priority="1773">
      <formula>AND(IF(OR($Q256=1,$Q256=2),1,0),IF($X256&lt;=20,1,0))</formula>
    </cfRule>
    <cfRule type="expression" dxfId="8938" priority="1774">
      <formula>AND(IF($Q256=2,1,0),IF($X256&lt;30,1,0))</formula>
    </cfRule>
    <cfRule type="expression" dxfId="8937" priority="1775">
      <formula>AND(IF($Q256=3,1,0),IF($X256&lt;30,1,0))</formula>
    </cfRule>
    <cfRule type="expression" dxfId="8936" priority="1776">
      <formula>AND(IF($Q256=3,1,IF($Q256=4,1,0)),IF($F256&lt;=85,1,0))</formula>
    </cfRule>
  </conditionalFormatting>
  <conditionalFormatting sqref="X256">
    <cfRule type="expression" dxfId="8935" priority="1769">
      <formula>AND(IF(OR($Q256=1,$Q256=2),1,0),IF($X256&lt;=20,1,0))</formula>
    </cfRule>
    <cfRule type="expression" dxfId="8934" priority="1770">
      <formula>AND(IF($Q256=2,1,0),IF($X256&lt;30,1,0))</formula>
    </cfRule>
    <cfRule type="expression" dxfId="8933" priority="1771">
      <formula>AND(IF($Q256=3,1,0),IF($X256&lt;30,1,0))</formula>
    </cfRule>
    <cfRule type="expression" dxfId="8932" priority="1772">
      <formula>AND(IF($Q256=3,1,IF($Q256=4,1,0)),IF($F256&lt;=85,1,0))</formula>
    </cfRule>
  </conditionalFormatting>
  <conditionalFormatting sqref="AI256">
    <cfRule type="expression" dxfId="8931" priority="1765">
      <formula>AND(IF(OR($Q256=1,$Q256=2),1,0),IF($X256&lt;=20,1,0))</formula>
    </cfRule>
    <cfRule type="expression" dxfId="8930" priority="1766">
      <formula>AND(IF($Q256=2,1,0),IF($X256&lt;30,1,0))</formula>
    </cfRule>
    <cfRule type="expression" dxfId="8929" priority="1767">
      <formula>AND(IF($Q256=3,1,0),IF($X256&lt;30,1,0))</formula>
    </cfRule>
    <cfRule type="expression" dxfId="8928" priority="1768">
      <formula>AND(IF($Q256=3,1,IF($Q256=4,1,0)),IF($F256&lt;=85,1,0))</formula>
    </cfRule>
  </conditionalFormatting>
  <conditionalFormatting sqref="AV257">
    <cfRule type="expression" dxfId="8927" priority="1763">
      <formula>AV257="X"</formula>
    </cfRule>
    <cfRule type="expression" dxfId="8926" priority="1764">
      <formula>AV257="후보"</formula>
    </cfRule>
  </conditionalFormatting>
  <conditionalFormatting sqref="AC257">
    <cfRule type="cellIs" dxfId="8925" priority="1761" operator="greaterThan">
      <formula>0.9</formula>
    </cfRule>
    <cfRule type="cellIs" dxfId="8924" priority="1762" operator="greaterThan">
      <formula>0.85</formula>
    </cfRule>
  </conditionalFormatting>
  <conditionalFormatting sqref="N257">
    <cfRule type="cellIs" dxfId="8923" priority="1759" operator="greaterThan">
      <formula>0.9</formula>
    </cfRule>
    <cfRule type="cellIs" dxfId="8922" priority="1760" operator="greaterThan">
      <formula>0.85</formula>
    </cfRule>
  </conditionalFormatting>
  <conditionalFormatting sqref="E257">
    <cfRule type="expression" dxfId="8921" priority="1755">
      <formula>AND(IF(OR($Q257=1,$Q257=2),1,0),IF($X257&lt;=20,1,0))</formula>
    </cfRule>
    <cfRule type="expression" dxfId="8920" priority="1756">
      <formula>AND(IF($Q257=2,1,0),IF($X257&lt;30,1,0))</formula>
    </cfRule>
    <cfRule type="expression" dxfId="8919" priority="1757">
      <formula>AND(IF($Q257=3,1,0),IF($X257&lt;30,1,0))</formula>
    </cfRule>
    <cfRule type="expression" dxfId="8918" priority="1758">
      <formula>AND(IF($Q257=3,1,IF($Q257=4,1,0)),IF($F257&lt;=85,1,0))</formula>
    </cfRule>
  </conditionalFormatting>
  <conditionalFormatting sqref="X257">
    <cfRule type="expression" dxfId="8917" priority="1751">
      <formula>AND(IF(OR($Q257=1,$Q257=2),1,0),IF($X257&lt;=20,1,0))</formula>
    </cfRule>
    <cfRule type="expression" dxfId="8916" priority="1752">
      <formula>AND(IF($Q257=2,1,0),IF($X257&lt;30,1,0))</formula>
    </cfRule>
    <cfRule type="expression" dxfId="8915" priority="1753">
      <formula>AND(IF($Q257=3,1,0),IF($X257&lt;30,1,0))</formula>
    </cfRule>
    <cfRule type="expression" dxfId="8914" priority="1754">
      <formula>AND(IF($Q257=3,1,IF($Q257=4,1,0)),IF($F257&lt;=85,1,0))</formula>
    </cfRule>
  </conditionalFormatting>
  <conditionalFormatting sqref="AI257">
    <cfRule type="expression" dxfId="8913" priority="1747">
      <formula>AND(IF(OR($Q257=1,$Q257=2),1,0),IF($X257&lt;=20,1,0))</formula>
    </cfRule>
    <cfRule type="expression" dxfId="8912" priority="1748">
      <formula>AND(IF($Q257=2,1,0),IF($X257&lt;30,1,0))</formula>
    </cfRule>
    <cfRule type="expression" dxfId="8911" priority="1749">
      <formula>AND(IF($Q257=3,1,0),IF($X257&lt;30,1,0))</formula>
    </cfRule>
    <cfRule type="expression" dxfId="8910" priority="1750">
      <formula>AND(IF($Q257=3,1,IF($Q257=4,1,0)),IF($F257&lt;=85,1,0))</formula>
    </cfRule>
  </conditionalFormatting>
  <conditionalFormatting sqref="AV258">
    <cfRule type="expression" dxfId="8909" priority="1745">
      <formula>AV258="X"</formula>
    </cfRule>
    <cfRule type="expression" dxfId="8908" priority="1746">
      <formula>AV258="후보"</formula>
    </cfRule>
  </conditionalFormatting>
  <conditionalFormatting sqref="AC258">
    <cfRule type="cellIs" dxfId="8907" priority="1743" operator="greaterThan">
      <formula>0.9</formula>
    </cfRule>
    <cfRule type="cellIs" dxfId="8906" priority="1744" operator="greaterThan">
      <formula>0.85</formula>
    </cfRule>
  </conditionalFormatting>
  <conditionalFormatting sqref="N258">
    <cfRule type="cellIs" dxfId="8905" priority="1741" operator="greaterThan">
      <formula>0.9</formula>
    </cfRule>
    <cfRule type="cellIs" dxfId="8904" priority="1742" operator="greaterThan">
      <formula>0.85</formula>
    </cfRule>
  </conditionalFormatting>
  <conditionalFormatting sqref="E258">
    <cfRule type="expression" dxfId="8903" priority="1737">
      <formula>AND(IF(OR($Q258=1,$Q258=2),1,0),IF($X258&lt;=20,1,0))</formula>
    </cfRule>
    <cfRule type="expression" dxfId="8902" priority="1738">
      <formula>AND(IF($Q258=2,1,0),IF($X258&lt;30,1,0))</formula>
    </cfRule>
    <cfRule type="expression" dxfId="8901" priority="1739">
      <formula>AND(IF($Q258=3,1,0),IF($X258&lt;30,1,0))</formula>
    </cfRule>
    <cfRule type="expression" dxfId="8900" priority="1740">
      <formula>AND(IF($Q258=3,1,IF($Q258=4,1,0)),IF($F258&lt;=85,1,0))</formula>
    </cfRule>
  </conditionalFormatting>
  <conditionalFormatting sqref="X258">
    <cfRule type="expression" dxfId="8899" priority="1733">
      <formula>AND(IF(OR($Q258=1,$Q258=2),1,0),IF($X258&lt;=20,1,0))</formula>
    </cfRule>
    <cfRule type="expression" dxfId="8898" priority="1734">
      <formula>AND(IF($Q258=2,1,0),IF($X258&lt;30,1,0))</formula>
    </cfRule>
    <cfRule type="expression" dxfId="8897" priority="1735">
      <formula>AND(IF($Q258=3,1,0),IF($X258&lt;30,1,0))</formula>
    </cfRule>
    <cfRule type="expression" dxfId="8896" priority="1736">
      <formula>AND(IF($Q258=3,1,IF($Q258=4,1,0)),IF($F258&lt;=85,1,0))</formula>
    </cfRule>
  </conditionalFormatting>
  <conditionalFormatting sqref="AI258">
    <cfRule type="expression" dxfId="8895" priority="1729">
      <formula>AND(IF(OR($Q258=1,$Q258=2),1,0),IF($X258&lt;=20,1,0))</formula>
    </cfRule>
    <cfRule type="expression" dxfId="8894" priority="1730">
      <formula>AND(IF($Q258=2,1,0),IF($X258&lt;30,1,0))</formula>
    </cfRule>
    <cfRule type="expression" dxfId="8893" priority="1731">
      <formula>AND(IF($Q258=3,1,0),IF($X258&lt;30,1,0))</formula>
    </cfRule>
    <cfRule type="expression" dxfId="8892" priority="1732">
      <formula>AND(IF($Q258=3,1,IF($Q258=4,1,0)),IF($F258&lt;=85,1,0))</formula>
    </cfRule>
  </conditionalFormatting>
  <conditionalFormatting sqref="AV259">
    <cfRule type="expression" dxfId="8891" priority="1727">
      <formula>AV259="X"</formula>
    </cfRule>
    <cfRule type="expression" dxfId="8890" priority="1728">
      <formula>AV259="후보"</formula>
    </cfRule>
  </conditionalFormatting>
  <conditionalFormatting sqref="AC259">
    <cfRule type="cellIs" dxfId="8889" priority="1725" operator="greaterThan">
      <formula>0.9</formula>
    </cfRule>
    <cfRule type="cellIs" dxfId="8888" priority="1726" operator="greaterThan">
      <formula>0.85</formula>
    </cfRule>
  </conditionalFormatting>
  <conditionalFormatting sqref="N259">
    <cfRule type="cellIs" dxfId="8887" priority="1723" operator="greaterThan">
      <formula>0.9</formula>
    </cfRule>
    <cfRule type="cellIs" dxfId="8886" priority="1724" operator="greaterThan">
      <formula>0.85</formula>
    </cfRule>
  </conditionalFormatting>
  <conditionalFormatting sqref="E259">
    <cfRule type="expression" dxfId="8885" priority="1719">
      <formula>AND(IF(OR($Q259=1,$Q259=2),1,0),IF($X259&lt;=20,1,0))</formula>
    </cfRule>
    <cfRule type="expression" dxfId="8884" priority="1720">
      <formula>AND(IF($Q259=2,1,0),IF($X259&lt;30,1,0))</formula>
    </cfRule>
    <cfRule type="expression" dxfId="8883" priority="1721">
      <formula>AND(IF($Q259=3,1,0),IF($X259&lt;30,1,0))</formula>
    </cfRule>
    <cfRule type="expression" dxfId="8882" priority="1722">
      <formula>AND(IF($Q259=3,1,IF($Q259=4,1,0)),IF($F259&lt;=85,1,0))</formula>
    </cfRule>
  </conditionalFormatting>
  <conditionalFormatting sqref="X259">
    <cfRule type="expression" dxfId="8881" priority="1715">
      <formula>AND(IF(OR($Q259=1,$Q259=2),1,0),IF($X259&lt;=20,1,0))</formula>
    </cfRule>
    <cfRule type="expression" dxfId="8880" priority="1716">
      <formula>AND(IF($Q259=2,1,0),IF($X259&lt;30,1,0))</formula>
    </cfRule>
    <cfRule type="expression" dxfId="8879" priority="1717">
      <formula>AND(IF($Q259=3,1,0),IF($X259&lt;30,1,0))</formula>
    </cfRule>
    <cfRule type="expression" dxfId="8878" priority="1718">
      <formula>AND(IF($Q259=3,1,IF($Q259=4,1,0)),IF($F259&lt;=85,1,0))</formula>
    </cfRule>
  </conditionalFormatting>
  <conditionalFormatting sqref="AI259">
    <cfRule type="expression" dxfId="8877" priority="1711">
      <formula>AND(IF(OR($Q259=1,$Q259=2),1,0),IF($X259&lt;=20,1,0))</formula>
    </cfRule>
    <cfRule type="expression" dxfId="8876" priority="1712">
      <formula>AND(IF($Q259=2,1,0),IF($X259&lt;30,1,0))</formula>
    </cfRule>
    <cfRule type="expression" dxfId="8875" priority="1713">
      <formula>AND(IF($Q259=3,1,0),IF($X259&lt;30,1,0))</formula>
    </cfRule>
    <cfRule type="expression" dxfId="8874" priority="1714">
      <formula>AND(IF($Q259=3,1,IF($Q259=4,1,0)),IF($F259&lt;=85,1,0))</formula>
    </cfRule>
  </conditionalFormatting>
  <conditionalFormatting sqref="AV260">
    <cfRule type="expression" dxfId="8873" priority="1709">
      <formula>AV260="X"</formula>
    </cfRule>
    <cfRule type="expression" dxfId="8872" priority="1710">
      <formula>AV260="후보"</formula>
    </cfRule>
  </conditionalFormatting>
  <conditionalFormatting sqref="AC260">
    <cfRule type="cellIs" dxfId="8871" priority="1707" operator="greaterThan">
      <formula>0.9</formula>
    </cfRule>
    <cfRule type="cellIs" dxfId="8870" priority="1708" operator="greaterThan">
      <formula>0.85</formula>
    </cfRule>
  </conditionalFormatting>
  <conditionalFormatting sqref="N260">
    <cfRule type="cellIs" dxfId="8869" priority="1705" operator="greaterThan">
      <formula>0.9</formula>
    </cfRule>
    <cfRule type="cellIs" dxfId="8868" priority="1706" operator="greaterThan">
      <formula>0.85</formula>
    </cfRule>
  </conditionalFormatting>
  <conditionalFormatting sqref="E260">
    <cfRule type="expression" dxfId="8867" priority="1701">
      <formula>AND(IF(OR($Q260=1,$Q260=2),1,0),IF($X260&lt;=20,1,0))</formula>
    </cfRule>
    <cfRule type="expression" dxfId="8866" priority="1702">
      <formula>AND(IF($Q260=2,1,0),IF($X260&lt;30,1,0))</formula>
    </cfRule>
    <cfRule type="expression" dxfId="8865" priority="1703">
      <formula>AND(IF($Q260=3,1,0),IF($X260&lt;30,1,0))</formula>
    </cfRule>
    <cfRule type="expression" dxfId="8864" priority="1704">
      <formula>AND(IF($Q260=3,1,IF($Q260=4,1,0)),IF($F260&lt;=85,1,0))</formula>
    </cfRule>
  </conditionalFormatting>
  <conditionalFormatting sqref="X260">
    <cfRule type="expression" dxfId="8863" priority="1697">
      <formula>AND(IF(OR($Q260=1,$Q260=2),1,0),IF($X260&lt;=20,1,0))</formula>
    </cfRule>
    <cfRule type="expression" dxfId="8862" priority="1698">
      <formula>AND(IF($Q260=2,1,0),IF($X260&lt;30,1,0))</formula>
    </cfRule>
    <cfRule type="expression" dxfId="8861" priority="1699">
      <formula>AND(IF($Q260=3,1,0),IF($X260&lt;30,1,0))</formula>
    </cfRule>
    <cfRule type="expression" dxfId="8860" priority="1700">
      <formula>AND(IF($Q260=3,1,IF($Q260=4,1,0)),IF($F260&lt;=85,1,0))</formula>
    </cfRule>
  </conditionalFormatting>
  <conditionalFormatting sqref="AI260">
    <cfRule type="expression" dxfId="8859" priority="1693">
      <formula>AND(IF(OR($Q260=1,$Q260=2),1,0),IF($X260&lt;=20,1,0))</formula>
    </cfRule>
    <cfRule type="expression" dxfId="8858" priority="1694">
      <formula>AND(IF($Q260=2,1,0),IF($X260&lt;30,1,0))</formula>
    </cfRule>
    <cfRule type="expression" dxfId="8857" priority="1695">
      <formula>AND(IF($Q260=3,1,0),IF($X260&lt;30,1,0))</formula>
    </cfRule>
    <cfRule type="expression" dxfId="8856" priority="1696">
      <formula>AND(IF($Q260=3,1,IF($Q260=4,1,0)),IF($F260&lt;=85,1,0))</formula>
    </cfRule>
  </conditionalFormatting>
  <conditionalFormatting sqref="AV261">
    <cfRule type="expression" dxfId="8855" priority="1691">
      <formula>AV261="X"</formula>
    </cfRule>
    <cfRule type="expression" dxfId="8854" priority="1692">
      <formula>AV261="후보"</formula>
    </cfRule>
  </conditionalFormatting>
  <conditionalFormatting sqref="AC261">
    <cfRule type="cellIs" dxfId="8853" priority="1689" operator="greaterThan">
      <formula>0.9</formula>
    </cfRule>
    <cfRule type="cellIs" dxfId="8852" priority="1690" operator="greaterThan">
      <formula>0.85</formula>
    </cfRule>
  </conditionalFormatting>
  <conditionalFormatting sqref="N261">
    <cfRule type="cellIs" dxfId="8851" priority="1687" operator="greaterThan">
      <formula>0.9</formula>
    </cfRule>
    <cfRule type="cellIs" dxfId="8850" priority="1688" operator="greaterThan">
      <formula>0.85</formula>
    </cfRule>
  </conditionalFormatting>
  <conditionalFormatting sqref="E261">
    <cfRule type="expression" dxfId="8849" priority="1683">
      <formula>AND(IF(OR($Q261=1,$Q261=2),1,0),IF($X261&lt;=20,1,0))</formula>
    </cfRule>
    <cfRule type="expression" dxfId="8848" priority="1684">
      <formula>AND(IF($Q261=2,1,0),IF($X261&lt;30,1,0))</formula>
    </cfRule>
    <cfRule type="expression" dxfId="8847" priority="1685">
      <formula>AND(IF($Q261=3,1,0),IF($X261&lt;30,1,0))</formula>
    </cfRule>
    <cfRule type="expression" dxfId="8846" priority="1686">
      <formula>AND(IF($Q261=3,1,IF($Q261=4,1,0)),IF($F261&lt;=85,1,0))</formula>
    </cfRule>
  </conditionalFormatting>
  <conditionalFormatting sqref="X261">
    <cfRule type="expression" dxfId="8845" priority="1679">
      <formula>AND(IF(OR($Q261=1,$Q261=2),1,0),IF($X261&lt;=20,1,0))</formula>
    </cfRule>
    <cfRule type="expression" dxfId="8844" priority="1680">
      <formula>AND(IF($Q261=2,1,0),IF($X261&lt;30,1,0))</formula>
    </cfRule>
    <cfRule type="expression" dxfId="8843" priority="1681">
      <formula>AND(IF($Q261=3,1,0),IF($X261&lt;30,1,0))</formula>
    </cfRule>
    <cfRule type="expression" dxfId="8842" priority="1682">
      <formula>AND(IF($Q261=3,1,IF($Q261=4,1,0)),IF($F261&lt;=85,1,0))</formula>
    </cfRule>
  </conditionalFormatting>
  <conditionalFormatting sqref="AI261">
    <cfRule type="expression" dxfId="8841" priority="1675">
      <formula>AND(IF(OR($Q261=1,$Q261=2),1,0),IF($X261&lt;=20,1,0))</formula>
    </cfRule>
    <cfRule type="expression" dxfId="8840" priority="1676">
      <formula>AND(IF($Q261=2,1,0),IF($X261&lt;30,1,0))</formula>
    </cfRule>
    <cfRule type="expression" dxfId="8839" priority="1677">
      <formula>AND(IF($Q261=3,1,0),IF($X261&lt;30,1,0))</formula>
    </cfRule>
    <cfRule type="expression" dxfId="8838" priority="1678">
      <formula>AND(IF($Q261=3,1,IF($Q261=4,1,0)),IF($F261&lt;=85,1,0))</formula>
    </cfRule>
  </conditionalFormatting>
  <conditionalFormatting sqref="AV262">
    <cfRule type="expression" dxfId="8837" priority="1673">
      <formula>AV262="X"</formula>
    </cfRule>
    <cfRule type="expression" dxfId="8836" priority="1674">
      <formula>AV262="후보"</formula>
    </cfRule>
  </conditionalFormatting>
  <conditionalFormatting sqref="AC262">
    <cfRule type="cellIs" dxfId="8835" priority="1671" operator="greaterThan">
      <formula>0.9</formula>
    </cfRule>
    <cfRule type="cellIs" dxfId="8834" priority="1672" operator="greaterThan">
      <formula>0.85</formula>
    </cfRule>
  </conditionalFormatting>
  <conditionalFormatting sqref="N262">
    <cfRule type="cellIs" dxfId="8833" priority="1669" operator="greaterThan">
      <formula>0.9</formula>
    </cfRule>
    <cfRule type="cellIs" dxfId="8832" priority="1670" operator="greaterThan">
      <formula>0.85</formula>
    </cfRule>
  </conditionalFormatting>
  <conditionalFormatting sqref="E262">
    <cfRule type="expression" dxfId="8831" priority="1665">
      <formula>AND(IF(OR($Q262=1,$Q262=2),1,0),IF($X262&lt;=20,1,0))</formula>
    </cfRule>
    <cfRule type="expression" dxfId="8830" priority="1666">
      <formula>AND(IF($Q262=2,1,0),IF($X262&lt;30,1,0))</formula>
    </cfRule>
    <cfRule type="expression" dxfId="8829" priority="1667">
      <formula>AND(IF($Q262=3,1,0),IF($X262&lt;30,1,0))</formula>
    </cfRule>
    <cfRule type="expression" dxfId="8828" priority="1668">
      <formula>AND(IF($Q262=3,1,IF($Q262=4,1,0)),IF($F262&lt;=85,1,0))</formula>
    </cfRule>
  </conditionalFormatting>
  <conditionalFormatting sqref="X262">
    <cfRule type="expression" dxfId="8827" priority="1661">
      <formula>AND(IF(OR($Q262=1,$Q262=2),1,0),IF($X262&lt;=20,1,0))</formula>
    </cfRule>
    <cfRule type="expression" dxfId="8826" priority="1662">
      <formula>AND(IF($Q262=2,1,0),IF($X262&lt;30,1,0))</formula>
    </cfRule>
    <cfRule type="expression" dxfId="8825" priority="1663">
      <formula>AND(IF($Q262=3,1,0),IF($X262&lt;30,1,0))</formula>
    </cfRule>
    <cfRule type="expression" dxfId="8824" priority="1664">
      <formula>AND(IF($Q262=3,1,IF($Q262=4,1,0)),IF($F262&lt;=85,1,0))</formula>
    </cfRule>
  </conditionalFormatting>
  <conditionalFormatting sqref="AI262">
    <cfRule type="expression" dxfId="8823" priority="1657">
      <formula>AND(IF(OR($Q262=1,$Q262=2),1,0),IF($X262&lt;=20,1,0))</formula>
    </cfRule>
    <cfRule type="expression" dxfId="8822" priority="1658">
      <formula>AND(IF($Q262=2,1,0),IF($X262&lt;30,1,0))</formula>
    </cfRule>
    <cfRule type="expression" dxfId="8821" priority="1659">
      <formula>AND(IF($Q262=3,1,0),IF($X262&lt;30,1,0))</formula>
    </cfRule>
    <cfRule type="expression" dxfId="8820" priority="1660">
      <formula>AND(IF($Q262=3,1,IF($Q262=4,1,0)),IF($F262&lt;=85,1,0))</formula>
    </cfRule>
  </conditionalFormatting>
  <conditionalFormatting sqref="AV263">
    <cfRule type="expression" dxfId="8819" priority="1655">
      <formula>AV263="X"</formula>
    </cfRule>
    <cfRule type="expression" dxfId="8818" priority="1656">
      <formula>AV263="후보"</formula>
    </cfRule>
  </conditionalFormatting>
  <conditionalFormatting sqref="AC263">
    <cfRule type="cellIs" dxfId="8817" priority="1653" operator="greaterThan">
      <formula>0.9</formula>
    </cfRule>
    <cfRule type="cellIs" dxfId="8816" priority="1654" operator="greaterThan">
      <formula>0.85</formula>
    </cfRule>
  </conditionalFormatting>
  <conditionalFormatting sqref="N263">
    <cfRule type="cellIs" dxfId="8815" priority="1651" operator="greaterThan">
      <formula>0.9</formula>
    </cfRule>
    <cfRule type="cellIs" dxfId="8814" priority="1652" operator="greaterThan">
      <formula>0.85</formula>
    </cfRule>
  </conditionalFormatting>
  <conditionalFormatting sqref="E263">
    <cfRule type="expression" dxfId="8813" priority="1647">
      <formula>AND(IF(OR($Q263=1,$Q263=2),1,0),IF($X263&lt;=20,1,0))</formula>
    </cfRule>
    <cfRule type="expression" dxfId="8812" priority="1648">
      <formula>AND(IF($Q263=2,1,0),IF($X263&lt;30,1,0))</formula>
    </cfRule>
    <cfRule type="expression" dxfId="8811" priority="1649">
      <formula>AND(IF($Q263=3,1,0),IF($X263&lt;30,1,0))</formula>
    </cfRule>
    <cfRule type="expression" dxfId="8810" priority="1650">
      <formula>AND(IF($Q263=3,1,IF($Q263=4,1,0)),IF($F263&lt;=85,1,0))</formula>
    </cfRule>
  </conditionalFormatting>
  <conditionalFormatting sqref="X263">
    <cfRule type="expression" dxfId="8809" priority="1643">
      <formula>AND(IF(OR($Q263=1,$Q263=2),1,0),IF($X263&lt;=20,1,0))</formula>
    </cfRule>
    <cfRule type="expression" dxfId="8808" priority="1644">
      <formula>AND(IF($Q263=2,1,0),IF($X263&lt;30,1,0))</formula>
    </cfRule>
    <cfRule type="expression" dxfId="8807" priority="1645">
      <formula>AND(IF($Q263=3,1,0),IF($X263&lt;30,1,0))</formula>
    </cfRule>
    <cfRule type="expression" dxfId="8806" priority="1646">
      <formula>AND(IF($Q263=3,1,IF($Q263=4,1,0)),IF($F263&lt;=85,1,0))</formula>
    </cfRule>
  </conditionalFormatting>
  <conditionalFormatting sqref="AI263">
    <cfRule type="expression" dxfId="8805" priority="1639">
      <formula>AND(IF(OR($Q263=1,$Q263=2),1,0),IF($X263&lt;=20,1,0))</formula>
    </cfRule>
    <cfRule type="expression" dxfId="8804" priority="1640">
      <formula>AND(IF($Q263=2,1,0),IF($X263&lt;30,1,0))</formula>
    </cfRule>
    <cfRule type="expression" dxfId="8803" priority="1641">
      <formula>AND(IF($Q263=3,1,0),IF($X263&lt;30,1,0))</formula>
    </cfRule>
    <cfRule type="expression" dxfId="8802" priority="1642">
      <formula>AND(IF($Q263=3,1,IF($Q263=4,1,0)),IF($F263&lt;=85,1,0))</formula>
    </cfRule>
  </conditionalFormatting>
  <conditionalFormatting sqref="AV264">
    <cfRule type="expression" dxfId="8801" priority="1637">
      <formula>AV264="X"</formula>
    </cfRule>
    <cfRule type="expression" dxfId="8800" priority="1638">
      <formula>AV264="후보"</formula>
    </cfRule>
  </conditionalFormatting>
  <conditionalFormatting sqref="AC264">
    <cfRule type="cellIs" dxfId="8799" priority="1635" operator="greaterThan">
      <formula>0.9</formula>
    </cfRule>
    <cfRule type="cellIs" dxfId="8798" priority="1636" operator="greaterThan">
      <formula>0.85</formula>
    </cfRule>
  </conditionalFormatting>
  <conditionalFormatting sqref="N264">
    <cfRule type="cellIs" dxfId="8797" priority="1633" operator="greaterThan">
      <formula>0.9</formula>
    </cfRule>
    <cfRule type="cellIs" dxfId="8796" priority="1634" operator="greaterThan">
      <formula>0.85</formula>
    </cfRule>
  </conditionalFormatting>
  <conditionalFormatting sqref="E264">
    <cfRule type="expression" dxfId="8795" priority="1629">
      <formula>AND(IF(OR($Q264=1,$Q264=2),1,0),IF($X264&lt;=20,1,0))</formula>
    </cfRule>
    <cfRule type="expression" dxfId="8794" priority="1630">
      <formula>AND(IF($Q264=2,1,0),IF($X264&lt;30,1,0))</formula>
    </cfRule>
    <cfRule type="expression" dxfId="8793" priority="1631">
      <formula>AND(IF($Q264=3,1,0),IF($X264&lt;30,1,0))</formula>
    </cfRule>
    <cfRule type="expression" dxfId="8792" priority="1632">
      <formula>AND(IF($Q264=3,1,IF($Q264=4,1,0)),IF($F264&lt;=85,1,0))</formula>
    </cfRule>
  </conditionalFormatting>
  <conditionalFormatting sqref="X264">
    <cfRule type="expression" dxfId="8791" priority="1625">
      <formula>AND(IF(OR($Q264=1,$Q264=2),1,0),IF($X264&lt;=20,1,0))</formula>
    </cfRule>
    <cfRule type="expression" dxfId="8790" priority="1626">
      <formula>AND(IF($Q264=2,1,0),IF($X264&lt;30,1,0))</formula>
    </cfRule>
    <cfRule type="expression" dxfId="8789" priority="1627">
      <formula>AND(IF($Q264=3,1,0),IF($X264&lt;30,1,0))</formula>
    </cfRule>
    <cfRule type="expression" dxfId="8788" priority="1628">
      <formula>AND(IF($Q264=3,1,IF($Q264=4,1,0)),IF($F264&lt;=85,1,0))</formula>
    </cfRule>
  </conditionalFormatting>
  <conditionalFormatting sqref="AI264">
    <cfRule type="expression" dxfId="8787" priority="1621">
      <formula>AND(IF(OR($Q264=1,$Q264=2),1,0),IF($X264&lt;=20,1,0))</formula>
    </cfRule>
    <cfRule type="expression" dxfId="8786" priority="1622">
      <formula>AND(IF($Q264=2,1,0),IF($X264&lt;30,1,0))</formula>
    </cfRule>
    <cfRule type="expression" dxfId="8785" priority="1623">
      <formula>AND(IF($Q264=3,1,0),IF($X264&lt;30,1,0))</formula>
    </cfRule>
    <cfRule type="expression" dxfId="8784" priority="1624">
      <formula>AND(IF($Q264=3,1,IF($Q264=4,1,0)),IF($F264&lt;=85,1,0))</formula>
    </cfRule>
  </conditionalFormatting>
  <conditionalFormatting sqref="AV265">
    <cfRule type="expression" dxfId="8783" priority="1619">
      <formula>AV265="X"</formula>
    </cfRule>
    <cfRule type="expression" dxfId="8782" priority="1620">
      <formula>AV265="후보"</formula>
    </cfRule>
  </conditionalFormatting>
  <conditionalFormatting sqref="AC265">
    <cfRule type="cellIs" dxfId="8781" priority="1617" operator="greaterThan">
      <formula>0.9</formula>
    </cfRule>
    <cfRule type="cellIs" dxfId="8780" priority="1618" operator="greaterThan">
      <formula>0.85</formula>
    </cfRule>
  </conditionalFormatting>
  <conditionalFormatting sqref="N265">
    <cfRule type="cellIs" dxfId="8779" priority="1615" operator="greaterThan">
      <formula>0.9</formula>
    </cfRule>
    <cfRule type="cellIs" dxfId="8778" priority="1616" operator="greaterThan">
      <formula>0.85</formula>
    </cfRule>
  </conditionalFormatting>
  <conditionalFormatting sqref="E265">
    <cfRule type="expression" dxfId="8777" priority="1611">
      <formula>AND(IF(OR($Q265=1,$Q265=2),1,0),IF($X265&lt;=20,1,0))</formula>
    </cfRule>
    <cfRule type="expression" dxfId="8776" priority="1612">
      <formula>AND(IF($Q265=2,1,0),IF($X265&lt;30,1,0))</formula>
    </cfRule>
    <cfRule type="expression" dxfId="8775" priority="1613">
      <formula>AND(IF($Q265=3,1,0),IF($X265&lt;30,1,0))</formula>
    </cfRule>
    <cfRule type="expression" dxfId="8774" priority="1614">
      <formula>AND(IF($Q265=3,1,IF($Q265=4,1,0)),IF($F265&lt;=85,1,0))</formula>
    </cfRule>
  </conditionalFormatting>
  <conditionalFormatting sqref="X265">
    <cfRule type="expression" dxfId="8773" priority="1607">
      <formula>AND(IF(OR($Q265=1,$Q265=2),1,0),IF($X265&lt;=20,1,0))</formula>
    </cfRule>
    <cfRule type="expression" dxfId="8772" priority="1608">
      <formula>AND(IF($Q265=2,1,0),IF($X265&lt;30,1,0))</formula>
    </cfRule>
    <cfRule type="expression" dxfId="8771" priority="1609">
      <formula>AND(IF($Q265=3,1,0),IF($X265&lt;30,1,0))</formula>
    </cfRule>
    <cfRule type="expression" dxfId="8770" priority="1610">
      <formula>AND(IF($Q265=3,1,IF($Q265=4,1,0)),IF($F265&lt;=85,1,0))</formula>
    </cfRule>
  </conditionalFormatting>
  <conditionalFormatting sqref="AI265">
    <cfRule type="expression" dxfId="8769" priority="1603">
      <formula>AND(IF(OR($Q265=1,$Q265=2),1,0),IF($X265&lt;=20,1,0))</formula>
    </cfRule>
    <cfRule type="expression" dxfId="8768" priority="1604">
      <formula>AND(IF($Q265=2,1,0),IF($X265&lt;30,1,0))</formula>
    </cfRule>
    <cfRule type="expression" dxfId="8767" priority="1605">
      <formula>AND(IF($Q265=3,1,0),IF($X265&lt;30,1,0))</formula>
    </cfRule>
    <cfRule type="expression" dxfId="8766" priority="1606">
      <formula>AND(IF($Q265=3,1,IF($Q265=4,1,0)),IF($F265&lt;=85,1,0))</formula>
    </cfRule>
  </conditionalFormatting>
  <conditionalFormatting sqref="AV266">
    <cfRule type="expression" dxfId="8765" priority="1601">
      <formula>AV266="X"</formula>
    </cfRule>
    <cfRule type="expression" dxfId="8764" priority="1602">
      <formula>AV266="후보"</formula>
    </cfRule>
  </conditionalFormatting>
  <conditionalFormatting sqref="AC266">
    <cfRule type="cellIs" dxfId="8763" priority="1599" operator="greaterThan">
      <formula>0.9</formula>
    </cfRule>
    <cfRule type="cellIs" dxfId="8762" priority="1600" operator="greaterThan">
      <formula>0.85</formula>
    </cfRule>
  </conditionalFormatting>
  <conditionalFormatting sqref="N266">
    <cfRule type="cellIs" dxfId="8761" priority="1597" operator="greaterThan">
      <formula>0.9</formula>
    </cfRule>
    <cfRule type="cellIs" dxfId="8760" priority="1598" operator="greaterThan">
      <formula>0.85</formula>
    </cfRule>
  </conditionalFormatting>
  <conditionalFormatting sqref="E266">
    <cfRule type="expression" dxfId="8759" priority="1593">
      <formula>AND(IF(OR($Q266=1,$Q266=2),1,0),IF($X266&lt;=20,1,0))</formula>
    </cfRule>
    <cfRule type="expression" dxfId="8758" priority="1594">
      <formula>AND(IF($Q266=2,1,0),IF($X266&lt;30,1,0))</formula>
    </cfRule>
    <cfRule type="expression" dxfId="8757" priority="1595">
      <formula>AND(IF($Q266=3,1,0),IF($X266&lt;30,1,0))</formula>
    </cfRule>
    <cfRule type="expression" dxfId="8756" priority="1596">
      <formula>AND(IF($Q266=3,1,IF($Q266=4,1,0)),IF($F266&lt;=85,1,0))</formula>
    </cfRule>
  </conditionalFormatting>
  <conditionalFormatting sqref="X266">
    <cfRule type="expression" dxfId="8755" priority="1589">
      <formula>AND(IF(OR($Q266=1,$Q266=2),1,0),IF($X266&lt;=20,1,0))</formula>
    </cfRule>
    <cfRule type="expression" dxfId="8754" priority="1590">
      <formula>AND(IF($Q266=2,1,0),IF($X266&lt;30,1,0))</formula>
    </cfRule>
    <cfRule type="expression" dxfId="8753" priority="1591">
      <formula>AND(IF($Q266=3,1,0),IF($X266&lt;30,1,0))</formula>
    </cfRule>
    <cfRule type="expression" dxfId="8752" priority="1592">
      <formula>AND(IF($Q266=3,1,IF($Q266=4,1,0)),IF($F266&lt;=85,1,0))</formula>
    </cfRule>
  </conditionalFormatting>
  <conditionalFormatting sqref="AI266">
    <cfRule type="expression" dxfId="8751" priority="1585">
      <formula>AND(IF(OR($Q266=1,$Q266=2),1,0),IF($X266&lt;=20,1,0))</formula>
    </cfRule>
    <cfRule type="expression" dxfId="8750" priority="1586">
      <formula>AND(IF($Q266=2,1,0),IF($X266&lt;30,1,0))</formula>
    </cfRule>
    <cfRule type="expression" dxfId="8749" priority="1587">
      <formula>AND(IF($Q266=3,1,0),IF($X266&lt;30,1,0))</formula>
    </cfRule>
    <cfRule type="expression" dxfId="8748" priority="1588">
      <formula>AND(IF($Q266=3,1,IF($Q266=4,1,0)),IF($F266&lt;=85,1,0))</formula>
    </cfRule>
  </conditionalFormatting>
  <conditionalFormatting sqref="AV267">
    <cfRule type="expression" dxfId="8747" priority="1583">
      <formula>AV267="X"</formula>
    </cfRule>
    <cfRule type="expression" dxfId="8746" priority="1584">
      <formula>AV267="후보"</formula>
    </cfRule>
  </conditionalFormatting>
  <conditionalFormatting sqref="AC267">
    <cfRule type="cellIs" dxfId="8745" priority="1581" operator="greaterThan">
      <formula>0.9</formula>
    </cfRule>
    <cfRule type="cellIs" dxfId="8744" priority="1582" operator="greaterThan">
      <formula>0.85</formula>
    </cfRule>
  </conditionalFormatting>
  <conditionalFormatting sqref="N267">
    <cfRule type="cellIs" dxfId="8743" priority="1579" operator="greaterThan">
      <formula>0.9</formula>
    </cfRule>
    <cfRule type="cellIs" dxfId="8742" priority="1580" operator="greaterThan">
      <formula>0.85</formula>
    </cfRule>
  </conditionalFormatting>
  <conditionalFormatting sqref="E267">
    <cfRule type="expression" dxfId="8741" priority="1575">
      <formula>AND(IF(OR($Q267=1,$Q267=2),1,0),IF($X267&lt;=20,1,0))</formula>
    </cfRule>
    <cfRule type="expression" dxfId="8740" priority="1576">
      <formula>AND(IF($Q267=2,1,0),IF($X267&lt;30,1,0))</formula>
    </cfRule>
    <cfRule type="expression" dxfId="8739" priority="1577">
      <formula>AND(IF($Q267=3,1,0),IF($X267&lt;30,1,0))</formula>
    </cfRule>
    <cfRule type="expression" dxfId="8738" priority="1578">
      <formula>AND(IF($Q267=3,1,IF($Q267=4,1,0)),IF($F267&lt;=85,1,0))</formula>
    </cfRule>
  </conditionalFormatting>
  <conditionalFormatting sqref="X267">
    <cfRule type="expression" dxfId="8737" priority="1571">
      <formula>AND(IF(OR($Q267=1,$Q267=2),1,0),IF($X267&lt;=20,1,0))</formula>
    </cfRule>
    <cfRule type="expression" dxfId="8736" priority="1572">
      <formula>AND(IF($Q267=2,1,0),IF($X267&lt;30,1,0))</formula>
    </cfRule>
    <cfRule type="expression" dxfId="8735" priority="1573">
      <formula>AND(IF($Q267=3,1,0),IF($X267&lt;30,1,0))</formula>
    </cfRule>
    <cfRule type="expression" dxfId="8734" priority="1574">
      <formula>AND(IF($Q267=3,1,IF($Q267=4,1,0)),IF($F267&lt;=85,1,0))</formula>
    </cfRule>
  </conditionalFormatting>
  <conditionalFormatting sqref="AI267">
    <cfRule type="expression" dxfId="8733" priority="1567">
      <formula>AND(IF(OR($Q267=1,$Q267=2),1,0),IF($X267&lt;=20,1,0))</formula>
    </cfRule>
    <cfRule type="expression" dxfId="8732" priority="1568">
      <formula>AND(IF($Q267=2,1,0),IF($X267&lt;30,1,0))</formula>
    </cfRule>
    <cfRule type="expression" dxfId="8731" priority="1569">
      <formula>AND(IF($Q267=3,1,0),IF($X267&lt;30,1,0))</formula>
    </cfRule>
    <cfRule type="expression" dxfId="8730" priority="1570">
      <formula>AND(IF($Q267=3,1,IF($Q267=4,1,0)),IF($F267&lt;=85,1,0))</formula>
    </cfRule>
  </conditionalFormatting>
  <conditionalFormatting sqref="AV268">
    <cfRule type="expression" dxfId="8729" priority="1565">
      <formula>AV268="X"</formula>
    </cfRule>
    <cfRule type="expression" dxfId="8728" priority="1566">
      <formula>AV268="후보"</formula>
    </cfRule>
  </conditionalFormatting>
  <conditionalFormatting sqref="AC268">
    <cfRule type="cellIs" dxfId="8727" priority="1563" operator="greaterThan">
      <formula>0.9</formula>
    </cfRule>
    <cfRule type="cellIs" dxfId="8726" priority="1564" operator="greaterThan">
      <formula>0.85</formula>
    </cfRule>
  </conditionalFormatting>
  <conditionalFormatting sqref="N268">
    <cfRule type="cellIs" dxfId="8725" priority="1561" operator="greaterThan">
      <formula>0.9</formula>
    </cfRule>
    <cfRule type="cellIs" dxfId="8724" priority="1562" operator="greaterThan">
      <formula>0.85</formula>
    </cfRule>
  </conditionalFormatting>
  <conditionalFormatting sqref="E268">
    <cfRule type="expression" dxfId="8723" priority="1557">
      <formula>AND(IF(OR($Q268=1,$Q268=2),1,0),IF($X268&lt;=20,1,0))</formula>
    </cfRule>
    <cfRule type="expression" dxfId="8722" priority="1558">
      <formula>AND(IF($Q268=2,1,0),IF($X268&lt;30,1,0))</formula>
    </cfRule>
    <cfRule type="expression" dxfId="8721" priority="1559">
      <formula>AND(IF($Q268=3,1,0),IF($X268&lt;30,1,0))</formula>
    </cfRule>
    <cfRule type="expression" dxfId="8720" priority="1560">
      <formula>AND(IF($Q268=3,1,IF($Q268=4,1,0)),IF($F268&lt;=85,1,0))</formula>
    </cfRule>
  </conditionalFormatting>
  <conditionalFormatting sqref="X268">
    <cfRule type="expression" dxfId="8719" priority="1553">
      <formula>AND(IF(OR($Q268=1,$Q268=2),1,0),IF($X268&lt;=20,1,0))</formula>
    </cfRule>
    <cfRule type="expression" dxfId="8718" priority="1554">
      <formula>AND(IF($Q268=2,1,0),IF($X268&lt;30,1,0))</formula>
    </cfRule>
    <cfRule type="expression" dxfId="8717" priority="1555">
      <formula>AND(IF($Q268=3,1,0),IF($X268&lt;30,1,0))</formula>
    </cfRule>
    <cfRule type="expression" dxfId="8716" priority="1556">
      <formula>AND(IF($Q268=3,1,IF($Q268=4,1,0)),IF($F268&lt;=85,1,0))</formula>
    </cfRule>
  </conditionalFormatting>
  <conditionalFormatting sqref="AI268">
    <cfRule type="expression" dxfId="8715" priority="1549">
      <formula>AND(IF(OR($Q268=1,$Q268=2),1,0),IF($X268&lt;=20,1,0))</formula>
    </cfRule>
    <cfRule type="expression" dxfId="8714" priority="1550">
      <formula>AND(IF($Q268=2,1,0),IF($X268&lt;30,1,0))</formula>
    </cfRule>
    <cfRule type="expression" dxfId="8713" priority="1551">
      <formula>AND(IF($Q268=3,1,0),IF($X268&lt;30,1,0))</formula>
    </cfRule>
    <cfRule type="expression" dxfId="8712" priority="1552">
      <formula>AND(IF($Q268=3,1,IF($Q268=4,1,0)),IF($F268&lt;=85,1,0))</formula>
    </cfRule>
  </conditionalFormatting>
  <conditionalFormatting sqref="AV269">
    <cfRule type="expression" dxfId="8711" priority="1547">
      <formula>AV269="X"</formula>
    </cfRule>
    <cfRule type="expression" dxfId="8710" priority="1548">
      <formula>AV269="후보"</formula>
    </cfRule>
  </conditionalFormatting>
  <conditionalFormatting sqref="AC269">
    <cfRule type="cellIs" dxfId="8709" priority="1545" operator="greaterThan">
      <formula>0.9</formula>
    </cfRule>
    <cfRule type="cellIs" dxfId="8708" priority="1546" operator="greaterThan">
      <formula>0.85</formula>
    </cfRule>
  </conditionalFormatting>
  <conditionalFormatting sqref="N269">
    <cfRule type="cellIs" dxfId="8707" priority="1543" operator="greaterThan">
      <formula>0.9</formula>
    </cfRule>
    <cfRule type="cellIs" dxfId="8706" priority="1544" operator="greaterThan">
      <formula>0.85</formula>
    </cfRule>
  </conditionalFormatting>
  <conditionalFormatting sqref="E269">
    <cfRule type="expression" dxfId="8705" priority="1539">
      <formula>AND(IF(OR($Q269=1,$Q269=2),1,0),IF($X269&lt;=20,1,0))</formula>
    </cfRule>
    <cfRule type="expression" dxfId="8704" priority="1540">
      <formula>AND(IF($Q269=2,1,0),IF($X269&lt;30,1,0))</formula>
    </cfRule>
    <cfRule type="expression" dxfId="8703" priority="1541">
      <formula>AND(IF($Q269=3,1,0),IF($X269&lt;30,1,0))</formula>
    </cfRule>
    <cfRule type="expression" dxfId="8702" priority="1542">
      <formula>AND(IF($Q269=3,1,IF($Q269=4,1,0)),IF($F269&lt;=85,1,0))</formula>
    </cfRule>
  </conditionalFormatting>
  <conditionalFormatting sqref="X269">
    <cfRule type="expression" dxfId="8701" priority="1535">
      <formula>AND(IF(OR($Q269=1,$Q269=2),1,0),IF($X269&lt;=20,1,0))</formula>
    </cfRule>
    <cfRule type="expression" dxfId="8700" priority="1536">
      <formula>AND(IF($Q269=2,1,0),IF($X269&lt;30,1,0))</formula>
    </cfRule>
    <cfRule type="expression" dxfId="8699" priority="1537">
      <formula>AND(IF($Q269=3,1,0),IF($X269&lt;30,1,0))</formula>
    </cfRule>
    <cfRule type="expression" dxfId="8698" priority="1538">
      <formula>AND(IF($Q269=3,1,IF($Q269=4,1,0)),IF($F269&lt;=85,1,0))</formula>
    </cfRule>
  </conditionalFormatting>
  <conditionalFormatting sqref="AI269">
    <cfRule type="expression" dxfId="8697" priority="1531">
      <formula>AND(IF(OR($Q269=1,$Q269=2),1,0),IF($X269&lt;=20,1,0))</formula>
    </cfRule>
    <cfRule type="expression" dxfId="8696" priority="1532">
      <formula>AND(IF($Q269=2,1,0),IF($X269&lt;30,1,0))</formula>
    </cfRule>
    <cfRule type="expression" dxfId="8695" priority="1533">
      <formula>AND(IF($Q269=3,1,0),IF($X269&lt;30,1,0))</formula>
    </cfRule>
    <cfRule type="expression" dxfId="8694" priority="1534">
      <formula>AND(IF($Q269=3,1,IF($Q269=4,1,0)),IF($F269&lt;=85,1,0))</formula>
    </cfRule>
  </conditionalFormatting>
  <conditionalFormatting sqref="AV270">
    <cfRule type="expression" dxfId="8693" priority="1529">
      <formula>AV270="X"</formula>
    </cfRule>
    <cfRule type="expression" dxfId="8692" priority="1530">
      <formula>AV270="후보"</formula>
    </cfRule>
  </conditionalFormatting>
  <conditionalFormatting sqref="AC270">
    <cfRule type="cellIs" dxfId="8691" priority="1527" operator="greaterThan">
      <formula>0.9</formula>
    </cfRule>
    <cfRule type="cellIs" dxfId="8690" priority="1528" operator="greaterThan">
      <formula>0.85</formula>
    </cfRule>
  </conditionalFormatting>
  <conditionalFormatting sqref="N270">
    <cfRule type="cellIs" dxfId="8689" priority="1525" operator="greaterThan">
      <formula>0.9</formula>
    </cfRule>
    <cfRule type="cellIs" dxfId="8688" priority="1526" operator="greaterThan">
      <formula>0.85</formula>
    </cfRule>
  </conditionalFormatting>
  <conditionalFormatting sqref="E270">
    <cfRule type="expression" dxfId="8687" priority="1521">
      <formula>AND(IF(OR($Q270=1,$Q270=2),1,0),IF($X270&lt;=20,1,0))</formula>
    </cfRule>
    <cfRule type="expression" dxfId="8686" priority="1522">
      <formula>AND(IF($Q270=2,1,0),IF($X270&lt;30,1,0))</formula>
    </cfRule>
    <cfRule type="expression" dxfId="8685" priority="1523">
      <formula>AND(IF($Q270=3,1,0),IF($X270&lt;30,1,0))</formula>
    </cfRule>
    <cfRule type="expression" dxfId="8684" priority="1524">
      <formula>AND(IF($Q270=3,1,IF($Q270=4,1,0)),IF($F270&lt;=85,1,0))</formula>
    </cfRule>
  </conditionalFormatting>
  <conditionalFormatting sqref="X270">
    <cfRule type="expression" dxfId="8683" priority="1517">
      <formula>AND(IF(OR($Q270=1,$Q270=2),1,0),IF($X270&lt;=20,1,0))</formula>
    </cfRule>
    <cfRule type="expression" dxfId="8682" priority="1518">
      <formula>AND(IF($Q270=2,1,0),IF($X270&lt;30,1,0))</formula>
    </cfRule>
    <cfRule type="expression" dxfId="8681" priority="1519">
      <formula>AND(IF($Q270=3,1,0),IF($X270&lt;30,1,0))</formula>
    </cfRule>
    <cfRule type="expression" dxfId="8680" priority="1520">
      <formula>AND(IF($Q270=3,1,IF($Q270=4,1,0)),IF($F270&lt;=85,1,0))</formula>
    </cfRule>
  </conditionalFormatting>
  <conditionalFormatting sqref="AI270">
    <cfRule type="expression" dxfId="8679" priority="1513">
      <formula>AND(IF(OR($Q270=1,$Q270=2),1,0),IF($X270&lt;=20,1,0))</formula>
    </cfRule>
    <cfRule type="expression" dxfId="8678" priority="1514">
      <formula>AND(IF($Q270=2,1,0),IF($X270&lt;30,1,0))</formula>
    </cfRule>
    <cfRule type="expression" dxfId="8677" priority="1515">
      <formula>AND(IF($Q270=3,1,0),IF($X270&lt;30,1,0))</formula>
    </cfRule>
    <cfRule type="expression" dxfId="8676" priority="1516">
      <formula>AND(IF($Q270=3,1,IF($Q270=4,1,0)),IF($F270&lt;=85,1,0))</formula>
    </cfRule>
  </conditionalFormatting>
  <conditionalFormatting sqref="AV271">
    <cfRule type="expression" dxfId="8675" priority="1511">
      <formula>AV271="X"</formula>
    </cfRule>
    <cfRule type="expression" dxfId="8674" priority="1512">
      <formula>AV271="후보"</formula>
    </cfRule>
  </conditionalFormatting>
  <conditionalFormatting sqref="AC271">
    <cfRule type="cellIs" dxfId="8673" priority="1509" operator="greaterThan">
      <formula>0.9</formula>
    </cfRule>
    <cfRule type="cellIs" dxfId="8672" priority="1510" operator="greaterThan">
      <formula>0.85</formula>
    </cfRule>
  </conditionalFormatting>
  <conditionalFormatting sqref="N271">
    <cfRule type="cellIs" dxfId="8671" priority="1507" operator="greaterThan">
      <formula>0.9</formula>
    </cfRule>
    <cfRule type="cellIs" dxfId="8670" priority="1508" operator="greaterThan">
      <formula>0.85</formula>
    </cfRule>
  </conditionalFormatting>
  <conditionalFormatting sqref="E271">
    <cfRule type="expression" dxfId="8669" priority="1503">
      <formula>AND(IF(OR($Q271=1,$Q271=2),1,0),IF($X271&lt;=20,1,0))</formula>
    </cfRule>
    <cfRule type="expression" dxfId="8668" priority="1504">
      <formula>AND(IF($Q271=2,1,0),IF($X271&lt;30,1,0))</formula>
    </cfRule>
    <cfRule type="expression" dxfId="8667" priority="1505">
      <formula>AND(IF($Q271=3,1,0),IF($X271&lt;30,1,0))</formula>
    </cfRule>
    <cfRule type="expression" dxfId="8666" priority="1506">
      <formula>AND(IF($Q271=3,1,IF($Q271=4,1,0)),IF($F271&lt;=85,1,0))</formula>
    </cfRule>
  </conditionalFormatting>
  <conditionalFormatting sqref="X271">
    <cfRule type="expression" dxfId="8665" priority="1499">
      <formula>AND(IF(OR($Q271=1,$Q271=2),1,0),IF($X271&lt;=20,1,0))</formula>
    </cfRule>
    <cfRule type="expression" dxfId="8664" priority="1500">
      <formula>AND(IF($Q271=2,1,0),IF($X271&lt;30,1,0))</formula>
    </cfRule>
    <cfRule type="expression" dxfId="8663" priority="1501">
      <formula>AND(IF($Q271=3,1,0),IF($X271&lt;30,1,0))</formula>
    </cfRule>
    <cfRule type="expression" dxfId="8662" priority="1502">
      <formula>AND(IF($Q271=3,1,IF($Q271=4,1,0)),IF($F271&lt;=85,1,0))</formula>
    </cfRule>
  </conditionalFormatting>
  <conditionalFormatting sqref="AI271">
    <cfRule type="expression" dxfId="8661" priority="1495">
      <formula>AND(IF(OR($Q271=1,$Q271=2),1,0),IF($X271&lt;=20,1,0))</formula>
    </cfRule>
    <cfRule type="expression" dxfId="8660" priority="1496">
      <formula>AND(IF($Q271=2,1,0),IF($X271&lt;30,1,0))</formula>
    </cfRule>
    <cfRule type="expression" dxfId="8659" priority="1497">
      <formula>AND(IF($Q271=3,1,0),IF($X271&lt;30,1,0))</formula>
    </cfRule>
    <cfRule type="expression" dxfId="8658" priority="1498">
      <formula>AND(IF($Q271=3,1,IF($Q271=4,1,0)),IF($F271&lt;=85,1,0))</formula>
    </cfRule>
  </conditionalFormatting>
  <conditionalFormatting sqref="AV272">
    <cfRule type="expression" dxfId="8657" priority="1493">
      <formula>AV272="X"</formula>
    </cfRule>
    <cfRule type="expression" dxfId="8656" priority="1494">
      <formula>AV272="후보"</formula>
    </cfRule>
  </conditionalFormatting>
  <conditionalFormatting sqref="AC272">
    <cfRule type="cellIs" dxfId="8655" priority="1491" operator="greaterThan">
      <formula>0.9</formula>
    </cfRule>
    <cfRule type="cellIs" dxfId="8654" priority="1492" operator="greaterThan">
      <formula>0.85</formula>
    </cfRule>
  </conditionalFormatting>
  <conditionalFormatting sqref="N272">
    <cfRule type="cellIs" dxfId="8653" priority="1489" operator="greaterThan">
      <formula>0.9</formula>
    </cfRule>
    <cfRule type="cellIs" dxfId="8652" priority="1490" operator="greaterThan">
      <formula>0.85</formula>
    </cfRule>
  </conditionalFormatting>
  <conditionalFormatting sqref="E272">
    <cfRule type="expression" dxfId="8651" priority="1485">
      <formula>AND(IF(OR($Q272=1,$Q272=2),1,0),IF($X272&lt;=20,1,0))</formula>
    </cfRule>
    <cfRule type="expression" dxfId="8650" priority="1486">
      <formula>AND(IF($Q272=2,1,0),IF($X272&lt;30,1,0))</formula>
    </cfRule>
    <cfRule type="expression" dxfId="8649" priority="1487">
      <formula>AND(IF($Q272=3,1,0),IF($X272&lt;30,1,0))</formula>
    </cfRule>
    <cfRule type="expression" dxfId="8648" priority="1488">
      <formula>AND(IF($Q272=3,1,IF($Q272=4,1,0)),IF($F272&lt;=85,1,0))</formula>
    </cfRule>
  </conditionalFormatting>
  <conditionalFormatting sqref="X272">
    <cfRule type="expression" dxfId="8647" priority="1481">
      <formula>AND(IF(OR($Q272=1,$Q272=2),1,0),IF($X272&lt;=20,1,0))</formula>
    </cfRule>
    <cfRule type="expression" dxfId="8646" priority="1482">
      <formula>AND(IF($Q272=2,1,0),IF($X272&lt;30,1,0))</formula>
    </cfRule>
    <cfRule type="expression" dxfId="8645" priority="1483">
      <formula>AND(IF($Q272=3,1,0),IF($X272&lt;30,1,0))</formula>
    </cfRule>
    <cfRule type="expression" dxfId="8644" priority="1484">
      <formula>AND(IF($Q272=3,1,IF($Q272=4,1,0)),IF($F272&lt;=85,1,0))</formula>
    </cfRule>
  </conditionalFormatting>
  <conditionalFormatting sqref="AI272">
    <cfRule type="expression" dxfId="8643" priority="1477">
      <formula>AND(IF(OR($Q272=1,$Q272=2),1,0),IF($X272&lt;=20,1,0))</formula>
    </cfRule>
    <cfRule type="expression" dxfId="8642" priority="1478">
      <formula>AND(IF($Q272=2,1,0),IF($X272&lt;30,1,0))</formula>
    </cfRule>
    <cfRule type="expression" dxfId="8641" priority="1479">
      <formula>AND(IF($Q272=3,1,0),IF($X272&lt;30,1,0))</formula>
    </cfRule>
    <cfRule type="expression" dxfId="8640" priority="1480">
      <formula>AND(IF($Q272=3,1,IF($Q272=4,1,0)),IF($F272&lt;=85,1,0))</formula>
    </cfRule>
  </conditionalFormatting>
  <conditionalFormatting sqref="AV273">
    <cfRule type="expression" dxfId="8639" priority="1475">
      <formula>AV273="X"</formula>
    </cfRule>
    <cfRule type="expression" dxfId="8638" priority="1476">
      <formula>AV273="후보"</formula>
    </cfRule>
  </conditionalFormatting>
  <conditionalFormatting sqref="AC273">
    <cfRule type="cellIs" dxfId="8637" priority="1473" operator="greaterThan">
      <formula>0.9</formula>
    </cfRule>
    <cfRule type="cellIs" dxfId="8636" priority="1474" operator="greaterThan">
      <formula>0.85</formula>
    </cfRule>
  </conditionalFormatting>
  <conditionalFormatting sqref="N273">
    <cfRule type="cellIs" dxfId="8635" priority="1471" operator="greaterThan">
      <formula>0.9</formula>
    </cfRule>
    <cfRule type="cellIs" dxfId="8634" priority="1472" operator="greaterThan">
      <formula>0.85</formula>
    </cfRule>
  </conditionalFormatting>
  <conditionalFormatting sqref="E273">
    <cfRule type="expression" dxfId="8633" priority="1467">
      <formula>AND(IF(OR($Q273=1,$Q273=2),1,0),IF($X273&lt;=20,1,0))</formula>
    </cfRule>
    <cfRule type="expression" dxfId="8632" priority="1468">
      <formula>AND(IF($Q273=2,1,0),IF($X273&lt;30,1,0))</formula>
    </cfRule>
    <cfRule type="expression" dxfId="8631" priority="1469">
      <formula>AND(IF($Q273=3,1,0),IF($X273&lt;30,1,0))</formula>
    </cfRule>
    <cfRule type="expression" dxfId="8630" priority="1470">
      <formula>AND(IF($Q273=3,1,IF($Q273=4,1,0)),IF($F273&lt;=85,1,0))</formula>
    </cfRule>
  </conditionalFormatting>
  <conditionalFormatting sqref="X273">
    <cfRule type="expression" dxfId="8629" priority="1463">
      <formula>AND(IF(OR($Q273=1,$Q273=2),1,0),IF($X273&lt;=20,1,0))</formula>
    </cfRule>
    <cfRule type="expression" dxfId="8628" priority="1464">
      <formula>AND(IF($Q273=2,1,0),IF($X273&lt;30,1,0))</formula>
    </cfRule>
    <cfRule type="expression" dxfId="8627" priority="1465">
      <formula>AND(IF($Q273=3,1,0),IF($X273&lt;30,1,0))</formula>
    </cfRule>
    <cfRule type="expression" dxfId="8626" priority="1466">
      <formula>AND(IF($Q273=3,1,IF($Q273=4,1,0)),IF($F273&lt;=85,1,0))</formula>
    </cfRule>
  </conditionalFormatting>
  <conditionalFormatting sqref="AI273">
    <cfRule type="expression" dxfId="8625" priority="1459">
      <formula>AND(IF(OR($Q273=1,$Q273=2),1,0),IF($X273&lt;=20,1,0))</formula>
    </cfRule>
    <cfRule type="expression" dxfId="8624" priority="1460">
      <formula>AND(IF($Q273=2,1,0),IF($X273&lt;30,1,0))</formula>
    </cfRule>
    <cfRule type="expression" dxfId="8623" priority="1461">
      <formula>AND(IF($Q273=3,1,0),IF($X273&lt;30,1,0))</formula>
    </cfRule>
    <cfRule type="expression" dxfId="8622" priority="1462">
      <formula>AND(IF($Q273=3,1,IF($Q273=4,1,0)),IF($F273&lt;=85,1,0))</formula>
    </cfRule>
  </conditionalFormatting>
  <conditionalFormatting sqref="AV274">
    <cfRule type="expression" dxfId="8621" priority="1457">
      <formula>AV274="X"</formula>
    </cfRule>
    <cfRule type="expression" dxfId="8620" priority="1458">
      <formula>AV274="후보"</formula>
    </cfRule>
  </conditionalFormatting>
  <conditionalFormatting sqref="AC274">
    <cfRule type="cellIs" dxfId="8619" priority="1455" operator="greaterThan">
      <formula>0.9</formula>
    </cfRule>
    <cfRule type="cellIs" dxfId="8618" priority="1456" operator="greaterThan">
      <formula>0.85</formula>
    </cfRule>
  </conditionalFormatting>
  <conditionalFormatting sqref="N274">
    <cfRule type="cellIs" dxfId="8617" priority="1453" operator="greaterThan">
      <formula>0.9</formula>
    </cfRule>
    <cfRule type="cellIs" dxfId="8616" priority="1454" operator="greaterThan">
      <formula>0.85</formula>
    </cfRule>
  </conditionalFormatting>
  <conditionalFormatting sqref="E274">
    <cfRule type="expression" dxfId="8615" priority="1449">
      <formula>AND(IF(OR($Q274=1,$Q274=2),1,0),IF($X274&lt;=20,1,0))</formula>
    </cfRule>
    <cfRule type="expression" dxfId="8614" priority="1450">
      <formula>AND(IF($Q274=2,1,0),IF($X274&lt;30,1,0))</formula>
    </cfRule>
    <cfRule type="expression" dxfId="8613" priority="1451">
      <formula>AND(IF($Q274=3,1,0),IF($X274&lt;30,1,0))</formula>
    </cfRule>
    <cfRule type="expression" dxfId="8612" priority="1452">
      <formula>AND(IF($Q274=3,1,IF($Q274=4,1,0)),IF($F274&lt;=85,1,0))</formula>
    </cfRule>
  </conditionalFormatting>
  <conditionalFormatting sqref="X274">
    <cfRule type="expression" dxfId="8611" priority="1445">
      <formula>AND(IF(OR($Q274=1,$Q274=2),1,0),IF($X274&lt;=20,1,0))</formula>
    </cfRule>
    <cfRule type="expression" dxfId="8610" priority="1446">
      <formula>AND(IF($Q274=2,1,0),IF($X274&lt;30,1,0))</formula>
    </cfRule>
    <cfRule type="expression" dxfId="8609" priority="1447">
      <formula>AND(IF($Q274=3,1,0),IF($X274&lt;30,1,0))</formula>
    </cfRule>
    <cfRule type="expression" dxfId="8608" priority="1448">
      <formula>AND(IF($Q274=3,1,IF($Q274=4,1,0)),IF($F274&lt;=85,1,0))</formula>
    </cfRule>
  </conditionalFormatting>
  <conditionalFormatting sqref="AI274">
    <cfRule type="expression" dxfId="8607" priority="1441">
      <formula>AND(IF(OR($Q274=1,$Q274=2),1,0),IF($X274&lt;=20,1,0))</formula>
    </cfRule>
    <cfRule type="expression" dxfId="8606" priority="1442">
      <formula>AND(IF($Q274=2,1,0),IF($X274&lt;30,1,0))</formula>
    </cfRule>
    <cfRule type="expression" dxfId="8605" priority="1443">
      <formula>AND(IF($Q274=3,1,0),IF($X274&lt;30,1,0))</formula>
    </cfRule>
    <cfRule type="expression" dxfId="8604" priority="1444">
      <formula>AND(IF($Q274=3,1,IF($Q274=4,1,0)),IF($F274&lt;=85,1,0))</formula>
    </cfRule>
  </conditionalFormatting>
  <conditionalFormatting sqref="AV275">
    <cfRule type="expression" dxfId="8603" priority="1439">
      <formula>AV275="X"</formula>
    </cfRule>
    <cfRule type="expression" dxfId="8602" priority="1440">
      <formula>AV275="후보"</formula>
    </cfRule>
  </conditionalFormatting>
  <conditionalFormatting sqref="AC275">
    <cfRule type="cellIs" dxfId="8601" priority="1437" operator="greaterThan">
      <formula>0.9</formula>
    </cfRule>
    <cfRule type="cellIs" dxfId="8600" priority="1438" operator="greaterThan">
      <formula>0.85</formula>
    </cfRule>
  </conditionalFormatting>
  <conditionalFormatting sqref="N275">
    <cfRule type="cellIs" dxfId="8599" priority="1435" operator="greaterThan">
      <formula>0.9</formula>
    </cfRule>
    <cfRule type="cellIs" dxfId="8598" priority="1436" operator="greaterThan">
      <formula>0.85</formula>
    </cfRule>
  </conditionalFormatting>
  <conditionalFormatting sqref="E275">
    <cfRule type="expression" dxfId="8597" priority="1431">
      <formula>AND(IF(OR($Q275=1,$Q275=2),1,0),IF($X275&lt;=20,1,0))</formula>
    </cfRule>
    <cfRule type="expression" dxfId="8596" priority="1432">
      <formula>AND(IF($Q275=2,1,0),IF($X275&lt;30,1,0))</formula>
    </cfRule>
    <cfRule type="expression" dxfId="8595" priority="1433">
      <formula>AND(IF($Q275=3,1,0),IF($X275&lt;30,1,0))</formula>
    </cfRule>
    <cfRule type="expression" dxfId="8594" priority="1434">
      <formula>AND(IF($Q275=3,1,IF($Q275=4,1,0)),IF($F275&lt;=85,1,0))</formula>
    </cfRule>
  </conditionalFormatting>
  <conditionalFormatting sqref="X275">
    <cfRule type="expression" dxfId="8593" priority="1427">
      <formula>AND(IF(OR($Q275=1,$Q275=2),1,0),IF($X275&lt;=20,1,0))</formula>
    </cfRule>
    <cfRule type="expression" dxfId="8592" priority="1428">
      <formula>AND(IF($Q275=2,1,0),IF($X275&lt;30,1,0))</formula>
    </cfRule>
    <cfRule type="expression" dxfId="8591" priority="1429">
      <formula>AND(IF($Q275=3,1,0),IF($X275&lt;30,1,0))</formula>
    </cfRule>
    <cfRule type="expression" dxfId="8590" priority="1430">
      <formula>AND(IF($Q275=3,1,IF($Q275=4,1,0)),IF($F275&lt;=85,1,0))</formula>
    </cfRule>
  </conditionalFormatting>
  <conditionalFormatting sqref="AI275">
    <cfRule type="expression" dxfId="8589" priority="1423">
      <formula>AND(IF(OR($Q275=1,$Q275=2),1,0),IF($X275&lt;=20,1,0))</formula>
    </cfRule>
    <cfRule type="expression" dxfId="8588" priority="1424">
      <formula>AND(IF($Q275=2,1,0),IF($X275&lt;30,1,0))</formula>
    </cfRule>
    <cfRule type="expression" dxfId="8587" priority="1425">
      <formula>AND(IF($Q275=3,1,0),IF($X275&lt;30,1,0))</formula>
    </cfRule>
    <cfRule type="expression" dxfId="8586" priority="1426">
      <formula>AND(IF($Q275=3,1,IF($Q275=4,1,0)),IF($F275&lt;=85,1,0))</formula>
    </cfRule>
  </conditionalFormatting>
  <conditionalFormatting sqref="AV276">
    <cfRule type="expression" dxfId="8585" priority="1421">
      <formula>AV276="X"</formula>
    </cfRule>
    <cfRule type="expression" dxfId="8584" priority="1422">
      <formula>AV276="후보"</formula>
    </cfRule>
  </conditionalFormatting>
  <conditionalFormatting sqref="AC276">
    <cfRule type="cellIs" dxfId="8583" priority="1419" operator="greaterThan">
      <formula>0.9</formula>
    </cfRule>
    <cfRule type="cellIs" dxfId="8582" priority="1420" operator="greaterThan">
      <formula>0.85</formula>
    </cfRule>
  </conditionalFormatting>
  <conditionalFormatting sqref="N276">
    <cfRule type="cellIs" dxfId="8581" priority="1417" operator="greaterThan">
      <formula>0.9</formula>
    </cfRule>
    <cfRule type="cellIs" dxfId="8580" priority="1418" operator="greaterThan">
      <formula>0.85</formula>
    </cfRule>
  </conditionalFormatting>
  <conditionalFormatting sqref="E276">
    <cfRule type="expression" dxfId="8579" priority="1413">
      <formula>AND(IF(OR($Q276=1,$Q276=2),1,0),IF($X276&lt;=20,1,0))</formula>
    </cfRule>
    <cfRule type="expression" dxfId="8578" priority="1414">
      <formula>AND(IF($Q276=2,1,0),IF($X276&lt;30,1,0))</formula>
    </cfRule>
    <cfRule type="expression" dxfId="8577" priority="1415">
      <formula>AND(IF($Q276=3,1,0),IF($X276&lt;30,1,0))</formula>
    </cfRule>
    <cfRule type="expression" dxfId="8576" priority="1416">
      <formula>AND(IF($Q276=3,1,IF($Q276=4,1,0)),IF($F276&lt;=85,1,0))</formula>
    </cfRule>
  </conditionalFormatting>
  <conditionalFormatting sqref="X276">
    <cfRule type="expression" dxfId="8575" priority="1409">
      <formula>AND(IF(OR($Q276=1,$Q276=2),1,0),IF($X276&lt;=20,1,0))</formula>
    </cfRule>
    <cfRule type="expression" dxfId="8574" priority="1410">
      <formula>AND(IF($Q276=2,1,0),IF($X276&lt;30,1,0))</formula>
    </cfRule>
    <cfRule type="expression" dxfId="8573" priority="1411">
      <formula>AND(IF($Q276=3,1,0),IF($X276&lt;30,1,0))</formula>
    </cfRule>
    <cfRule type="expression" dxfId="8572" priority="1412">
      <formula>AND(IF($Q276=3,1,IF($Q276=4,1,0)),IF($F276&lt;=85,1,0))</formula>
    </cfRule>
  </conditionalFormatting>
  <conditionalFormatting sqref="AI276">
    <cfRule type="expression" dxfId="8571" priority="1405">
      <formula>AND(IF(OR($Q276=1,$Q276=2),1,0),IF($X276&lt;=20,1,0))</formula>
    </cfRule>
    <cfRule type="expression" dxfId="8570" priority="1406">
      <formula>AND(IF($Q276=2,1,0),IF($X276&lt;30,1,0))</formula>
    </cfRule>
    <cfRule type="expression" dxfId="8569" priority="1407">
      <formula>AND(IF($Q276=3,1,0),IF($X276&lt;30,1,0))</formula>
    </cfRule>
    <cfRule type="expression" dxfId="8568" priority="1408">
      <formula>AND(IF($Q276=3,1,IF($Q276=4,1,0)),IF($F276&lt;=85,1,0))</formula>
    </cfRule>
  </conditionalFormatting>
  <conditionalFormatting sqref="AV277">
    <cfRule type="expression" dxfId="8567" priority="1403">
      <formula>AV277="X"</formula>
    </cfRule>
    <cfRule type="expression" dxfId="8566" priority="1404">
      <formula>AV277="후보"</formula>
    </cfRule>
  </conditionalFormatting>
  <conditionalFormatting sqref="AC277">
    <cfRule type="cellIs" dxfId="8565" priority="1401" operator="greaterThan">
      <formula>0.9</formula>
    </cfRule>
    <cfRule type="cellIs" dxfId="8564" priority="1402" operator="greaterThan">
      <formula>0.85</formula>
    </cfRule>
  </conditionalFormatting>
  <conditionalFormatting sqref="N277">
    <cfRule type="cellIs" dxfId="8563" priority="1399" operator="greaterThan">
      <formula>0.9</formula>
    </cfRule>
    <cfRule type="cellIs" dxfId="8562" priority="1400" operator="greaterThan">
      <formula>0.85</formula>
    </cfRule>
  </conditionalFormatting>
  <conditionalFormatting sqref="E277">
    <cfRule type="expression" dxfId="8561" priority="1395">
      <formula>AND(IF(OR($Q277=1,$Q277=2),1,0),IF($X277&lt;=20,1,0))</formula>
    </cfRule>
    <cfRule type="expression" dxfId="8560" priority="1396">
      <formula>AND(IF($Q277=2,1,0),IF($X277&lt;30,1,0))</formula>
    </cfRule>
    <cfRule type="expression" dxfId="8559" priority="1397">
      <formula>AND(IF($Q277=3,1,0),IF($X277&lt;30,1,0))</formula>
    </cfRule>
    <cfRule type="expression" dxfId="8558" priority="1398">
      <formula>AND(IF($Q277=3,1,IF($Q277=4,1,0)),IF($F277&lt;=85,1,0))</formula>
    </cfRule>
  </conditionalFormatting>
  <conditionalFormatting sqref="X277">
    <cfRule type="expression" dxfId="8557" priority="1391">
      <formula>AND(IF(OR($Q277=1,$Q277=2),1,0),IF($X277&lt;=20,1,0))</formula>
    </cfRule>
    <cfRule type="expression" dxfId="8556" priority="1392">
      <formula>AND(IF($Q277=2,1,0),IF($X277&lt;30,1,0))</formula>
    </cfRule>
    <cfRule type="expression" dxfId="8555" priority="1393">
      <formula>AND(IF($Q277=3,1,0),IF($X277&lt;30,1,0))</formula>
    </cfRule>
    <cfRule type="expression" dxfId="8554" priority="1394">
      <formula>AND(IF($Q277=3,1,IF($Q277=4,1,0)),IF($F277&lt;=85,1,0))</formula>
    </cfRule>
  </conditionalFormatting>
  <conditionalFormatting sqref="AI277">
    <cfRule type="expression" dxfId="8553" priority="1387">
      <formula>AND(IF(OR($Q277=1,$Q277=2),1,0),IF($X277&lt;=20,1,0))</formula>
    </cfRule>
    <cfRule type="expression" dxfId="8552" priority="1388">
      <formula>AND(IF($Q277=2,1,0),IF($X277&lt;30,1,0))</formula>
    </cfRule>
    <cfRule type="expression" dxfId="8551" priority="1389">
      <formula>AND(IF($Q277=3,1,0),IF($X277&lt;30,1,0))</formula>
    </cfRule>
    <cfRule type="expression" dxfId="8550" priority="1390">
      <formula>AND(IF($Q277=3,1,IF($Q277=4,1,0)),IF($F277&lt;=85,1,0))</formula>
    </cfRule>
  </conditionalFormatting>
  <conditionalFormatting sqref="AV278">
    <cfRule type="expression" dxfId="8549" priority="1385">
      <formula>AV278="X"</formula>
    </cfRule>
    <cfRule type="expression" dxfId="8548" priority="1386">
      <formula>AV278="후보"</formula>
    </cfRule>
  </conditionalFormatting>
  <conditionalFormatting sqref="AC278">
    <cfRule type="cellIs" dxfId="8547" priority="1383" operator="greaterThan">
      <formula>0.9</formula>
    </cfRule>
    <cfRule type="cellIs" dxfId="8546" priority="1384" operator="greaterThan">
      <formula>0.85</formula>
    </cfRule>
  </conditionalFormatting>
  <conditionalFormatting sqref="N278">
    <cfRule type="cellIs" dxfId="8545" priority="1381" operator="greaterThan">
      <formula>0.9</formula>
    </cfRule>
    <cfRule type="cellIs" dxfId="8544" priority="1382" operator="greaterThan">
      <formula>0.85</formula>
    </cfRule>
  </conditionalFormatting>
  <conditionalFormatting sqref="E278">
    <cfRule type="expression" dxfId="8543" priority="1377">
      <formula>AND(IF(OR($Q278=1,$Q278=2),1,0),IF($X278&lt;=20,1,0))</formula>
    </cfRule>
    <cfRule type="expression" dxfId="8542" priority="1378">
      <formula>AND(IF($Q278=2,1,0),IF($X278&lt;30,1,0))</formula>
    </cfRule>
    <cfRule type="expression" dxfId="8541" priority="1379">
      <formula>AND(IF($Q278=3,1,0),IF($X278&lt;30,1,0))</formula>
    </cfRule>
    <cfRule type="expression" dxfId="8540" priority="1380">
      <formula>AND(IF($Q278=3,1,IF($Q278=4,1,0)),IF($F278&lt;=85,1,0))</formula>
    </cfRule>
  </conditionalFormatting>
  <conditionalFormatting sqref="X278">
    <cfRule type="expression" dxfId="8539" priority="1373">
      <formula>AND(IF(OR($Q278=1,$Q278=2),1,0),IF($X278&lt;=20,1,0))</formula>
    </cfRule>
    <cfRule type="expression" dxfId="8538" priority="1374">
      <formula>AND(IF($Q278=2,1,0),IF($X278&lt;30,1,0))</formula>
    </cfRule>
    <cfRule type="expression" dxfId="8537" priority="1375">
      <formula>AND(IF($Q278=3,1,0),IF($X278&lt;30,1,0))</formula>
    </cfRule>
    <cfRule type="expression" dxfId="8536" priority="1376">
      <formula>AND(IF($Q278=3,1,IF($Q278=4,1,0)),IF($F278&lt;=85,1,0))</formula>
    </cfRule>
  </conditionalFormatting>
  <conditionalFormatting sqref="AI278">
    <cfRule type="expression" dxfId="8535" priority="1369">
      <formula>AND(IF(OR($Q278=1,$Q278=2),1,0),IF($X278&lt;=20,1,0))</formula>
    </cfRule>
    <cfRule type="expression" dxfId="8534" priority="1370">
      <formula>AND(IF($Q278=2,1,0),IF($X278&lt;30,1,0))</formula>
    </cfRule>
    <cfRule type="expression" dxfId="8533" priority="1371">
      <formula>AND(IF($Q278=3,1,0),IF($X278&lt;30,1,0))</formula>
    </cfRule>
    <cfRule type="expression" dxfId="8532" priority="1372">
      <formula>AND(IF($Q278=3,1,IF($Q278=4,1,0)),IF($F278&lt;=85,1,0))</formula>
    </cfRule>
  </conditionalFormatting>
  <conditionalFormatting sqref="AV279">
    <cfRule type="expression" dxfId="8531" priority="1367">
      <formula>AV279="X"</formula>
    </cfRule>
    <cfRule type="expression" dxfId="8530" priority="1368">
      <formula>AV279="후보"</formula>
    </cfRule>
  </conditionalFormatting>
  <conditionalFormatting sqref="AC279">
    <cfRule type="cellIs" dxfId="8529" priority="1365" operator="greaterThan">
      <formula>0.9</formula>
    </cfRule>
    <cfRule type="cellIs" dxfId="8528" priority="1366" operator="greaterThan">
      <formula>0.85</formula>
    </cfRule>
  </conditionalFormatting>
  <conditionalFormatting sqref="N279">
    <cfRule type="cellIs" dxfId="8527" priority="1363" operator="greaterThan">
      <formula>0.9</formula>
    </cfRule>
    <cfRule type="cellIs" dxfId="8526" priority="1364" operator="greaterThan">
      <formula>0.85</formula>
    </cfRule>
  </conditionalFormatting>
  <conditionalFormatting sqref="E279">
    <cfRule type="expression" dxfId="8525" priority="1359">
      <formula>AND(IF(OR($Q279=1,$Q279=2),1,0),IF($X279&lt;=20,1,0))</formula>
    </cfRule>
    <cfRule type="expression" dxfId="8524" priority="1360">
      <formula>AND(IF($Q279=2,1,0),IF($X279&lt;30,1,0))</formula>
    </cfRule>
    <cfRule type="expression" dxfId="8523" priority="1361">
      <formula>AND(IF($Q279=3,1,0),IF($X279&lt;30,1,0))</formula>
    </cfRule>
    <cfRule type="expression" dxfId="8522" priority="1362">
      <formula>AND(IF($Q279=3,1,IF($Q279=4,1,0)),IF($F279&lt;=85,1,0))</formula>
    </cfRule>
  </conditionalFormatting>
  <conditionalFormatting sqref="X279">
    <cfRule type="expression" dxfId="8521" priority="1355">
      <formula>AND(IF(OR($Q279=1,$Q279=2),1,0),IF($X279&lt;=20,1,0))</formula>
    </cfRule>
    <cfRule type="expression" dxfId="8520" priority="1356">
      <formula>AND(IF($Q279=2,1,0),IF($X279&lt;30,1,0))</formula>
    </cfRule>
    <cfRule type="expression" dxfId="8519" priority="1357">
      <formula>AND(IF($Q279=3,1,0),IF($X279&lt;30,1,0))</formula>
    </cfRule>
    <cfRule type="expression" dxfId="8518" priority="1358">
      <formula>AND(IF($Q279=3,1,IF($Q279=4,1,0)),IF($F279&lt;=85,1,0))</formula>
    </cfRule>
  </conditionalFormatting>
  <conditionalFormatting sqref="AI279">
    <cfRule type="expression" dxfId="8517" priority="1351">
      <formula>AND(IF(OR($Q279=1,$Q279=2),1,0),IF($X279&lt;=20,1,0))</formula>
    </cfRule>
    <cfRule type="expression" dxfId="8516" priority="1352">
      <formula>AND(IF($Q279=2,1,0),IF($X279&lt;30,1,0))</formula>
    </cfRule>
    <cfRule type="expression" dxfId="8515" priority="1353">
      <formula>AND(IF($Q279=3,1,0),IF($X279&lt;30,1,0))</formula>
    </cfRule>
    <cfRule type="expression" dxfId="8514" priority="1354">
      <formula>AND(IF($Q279=3,1,IF($Q279=4,1,0)),IF($F279&lt;=85,1,0))</formula>
    </cfRule>
  </conditionalFormatting>
  <conditionalFormatting sqref="AV280">
    <cfRule type="expression" dxfId="8513" priority="1349">
      <formula>AV280="X"</formula>
    </cfRule>
    <cfRule type="expression" dxfId="8512" priority="1350">
      <formula>AV280="후보"</formula>
    </cfRule>
  </conditionalFormatting>
  <conditionalFormatting sqref="AC280">
    <cfRule type="cellIs" dxfId="8511" priority="1347" operator="greaterThan">
      <formula>0.9</formula>
    </cfRule>
    <cfRule type="cellIs" dxfId="8510" priority="1348" operator="greaterThan">
      <formula>0.85</formula>
    </cfRule>
  </conditionalFormatting>
  <conditionalFormatting sqref="N280">
    <cfRule type="cellIs" dxfId="8509" priority="1345" operator="greaterThan">
      <formula>0.9</formula>
    </cfRule>
    <cfRule type="cellIs" dxfId="8508" priority="1346" operator="greaterThan">
      <formula>0.85</formula>
    </cfRule>
  </conditionalFormatting>
  <conditionalFormatting sqref="E280">
    <cfRule type="expression" dxfId="8507" priority="1341">
      <formula>AND(IF(OR($Q280=1,$Q280=2),1,0),IF($X280&lt;=20,1,0))</formula>
    </cfRule>
    <cfRule type="expression" dxfId="8506" priority="1342">
      <formula>AND(IF($Q280=2,1,0),IF($X280&lt;30,1,0))</formula>
    </cfRule>
    <cfRule type="expression" dxfId="8505" priority="1343">
      <formula>AND(IF($Q280=3,1,0),IF($X280&lt;30,1,0))</formula>
    </cfRule>
    <cfRule type="expression" dxfId="8504" priority="1344">
      <formula>AND(IF($Q280=3,1,IF($Q280=4,1,0)),IF($F280&lt;=85,1,0))</formula>
    </cfRule>
  </conditionalFormatting>
  <conditionalFormatting sqref="X280">
    <cfRule type="expression" dxfId="8503" priority="1337">
      <formula>AND(IF(OR($Q280=1,$Q280=2),1,0),IF($X280&lt;=20,1,0))</formula>
    </cfRule>
    <cfRule type="expression" dxfId="8502" priority="1338">
      <formula>AND(IF($Q280=2,1,0),IF($X280&lt;30,1,0))</formula>
    </cfRule>
    <cfRule type="expression" dxfId="8501" priority="1339">
      <formula>AND(IF($Q280=3,1,0),IF($X280&lt;30,1,0))</formula>
    </cfRule>
    <cfRule type="expression" dxfId="8500" priority="1340">
      <formula>AND(IF($Q280=3,1,IF($Q280=4,1,0)),IF($F280&lt;=85,1,0))</formula>
    </cfRule>
  </conditionalFormatting>
  <conditionalFormatting sqref="AI280">
    <cfRule type="expression" dxfId="8499" priority="1333">
      <formula>AND(IF(OR($Q280=1,$Q280=2),1,0),IF($X280&lt;=20,1,0))</formula>
    </cfRule>
    <cfRule type="expression" dxfId="8498" priority="1334">
      <formula>AND(IF($Q280=2,1,0),IF($X280&lt;30,1,0))</formula>
    </cfRule>
    <cfRule type="expression" dxfId="8497" priority="1335">
      <formula>AND(IF($Q280=3,1,0),IF($X280&lt;30,1,0))</formula>
    </cfRule>
    <cfRule type="expression" dxfId="8496" priority="1336">
      <formula>AND(IF($Q280=3,1,IF($Q280=4,1,0)),IF($F280&lt;=85,1,0))</formula>
    </cfRule>
  </conditionalFormatting>
  <conditionalFormatting sqref="AV281">
    <cfRule type="expression" dxfId="8495" priority="1331">
      <formula>AV281="X"</formula>
    </cfRule>
    <cfRule type="expression" dxfId="8494" priority="1332">
      <formula>AV281="후보"</formula>
    </cfRule>
  </conditionalFormatting>
  <conditionalFormatting sqref="AC281">
    <cfRule type="cellIs" dxfId="8493" priority="1329" operator="greaterThan">
      <formula>0.9</formula>
    </cfRule>
    <cfRule type="cellIs" dxfId="8492" priority="1330" operator="greaterThan">
      <formula>0.85</formula>
    </cfRule>
  </conditionalFormatting>
  <conditionalFormatting sqref="N281">
    <cfRule type="cellIs" dxfId="8491" priority="1327" operator="greaterThan">
      <formula>0.9</formula>
    </cfRule>
    <cfRule type="cellIs" dxfId="8490" priority="1328" operator="greaterThan">
      <formula>0.85</formula>
    </cfRule>
  </conditionalFormatting>
  <conditionalFormatting sqref="E281">
    <cfRule type="expression" dxfId="8489" priority="1323">
      <formula>AND(IF(OR($Q281=1,$Q281=2),1,0),IF($X281&lt;=20,1,0))</formula>
    </cfRule>
    <cfRule type="expression" dxfId="8488" priority="1324">
      <formula>AND(IF($Q281=2,1,0),IF($X281&lt;30,1,0))</formula>
    </cfRule>
    <cfRule type="expression" dxfId="8487" priority="1325">
      <formula>AND(IF($Q281=3,1,0),IF($X281&lt;30,1,0))</formula>
    </cfRule>
    <cfRule type="expression" dxfId="8486" priority="1326">
      <formula>AND(IF($Q281=3,1,IF($Q281=4,1,0)),IF($F281&lt;=85,1,0))</formula>
    </cfRule>
  </conditionalFormatting>
  <conditionalFormatting sqref="X281">
    <cfRule type="expression" dxfId="8485" priority="1319">
      <formula>AND(IF(OR($Q281=1,$Q281=2),1,0),IF($X281&lt;=20,1,0))</formula>
    </cfRule>
    <cfRule type="expression" dxfId="8484" priority="1320">
      <formula>AND(IF($Q281=2,1,0),IF($X281&lt;30,1,0))</formula>
    </cfRule>
    <cfRule type="expression" dxfId="8483" priority="1321">
      <formula>AND(IF($Q281=3,1,0),IF($X281&lt;30,1,0))</formula>
    </cfRule>
    <cfRule type="expression" dxfId="8482" priority="1322">
      <formula>AND(IF($Q281=3,1,IF($Q281=4,1,0)),IF($F281&lt;=85,1,0))</formula>
    </cfRule>
  </conditionalFormatting>
  <conditionalFormatting sqref="AI281">
    <cfRule type="expression" dxfId="8481" priority="1315">
      <formula>AND(IF(OR($Q281=1,$Q281=2),1,0),IF($X281&lt;=20,1,0))</formula>
    </cfRule>
    <cfRule type="expression" dxfId="8480" priority="1316">
      <formula>AND(IF($Q281=2,1,0),IF($X281&lt;30,1,0))</formula>
    </cfRule>
    <cfRule type="expression" dxfId="8479" priority="1317">
      <formula>AND(IF($Q281=3,1,0),IF($X281&lt;30,1,0))</formula>
    </cfRule>
    <cfRule type="expression" dxfId="8478" priority="1318">
      <formula>AND(IF($Q281=3,1,IF($Q281=4,1,0)),IF($F281&lt;=85,1,0))</formula>
    </cfRule>
  </conditionalFormatting>
  <conditionalFormatting sqref="AV282">
    <cfRule type="expression" dxfId="8477" priority="1313">
      <formula>AV282="X"</formula>
    </cfRule>
    <cfRule type="expression" dxfId="8476" priority="1314">
      <formula>AV282="후보"</formula>
    </cfRule>
  </conditionalFormatting>
  <conditionalFormatting sqref="AC282">
    <cfRule type="cellIs" dxfId="8475" priority="1311" operator="greaterThan">
      <formula>0.9</formula>
    </cfRule>
    <cfRule type="cellIs" dxfId="8474" priority="1312" operator="greaterThan">
      <formula>0.85</formula>
    </cfRule>
  </conditionalFormatting>
  <conditionalFormatting sqref="N282">
    <cfRule type="cellIs" dxfId="8473" priority="1309" operator="greaterThan">
      <formula>0.9</formula>
    </cfRule>
    <cfRule type="cellIs" dxfId="8472" priority="1310" operator="greaterThan">
      <formula>0.85</formula>
    </cfRule>
  </conditionalFormatting>
  <conditionalFormatting sqref="E282">
    <cfRule type="expression" dxfId="8471" priority="1305">
      <formula>AND(IF(OR($Q282=1,$Q282=2),1,0),IF($X282&lt;=20,1,0))</formula>
    </cfRule>
    <cfRule type="expression" dxfId="8470" priority="1306">
      <formula>AND(IF($Q282=2,1,0),IF($X282&lt;30,1,0))</formula>
    </cfRule>
    <cfRule type="expression" dxfId="8469" priority="1307">
      <formula>AND(IF($Q282=3,1,0),IF($X282&lt;30,1,0))</formula>
    </cfRule>
    <cfRule type="expression" dxfId="8468" priority="1308">
      <formula>AND(IF($Q282=3,1,IF($Q282=4,1,0)),IF($F282&lt;=85,1,0))</formula>
    </cfRule>
  </conditionalFormatting>
  <conditionalFormatting sqref="X282">
    <cfRule type="expression" dxfId="8467" priority="1301">
      <formula>AND(IF(OR($Q282=1,$Q282=2),1,0),IF($X282&lt;=20,1,0))</formula>
    </cfRule>
    <cfRule type="expression" dxfId="8466" priority="1302">
      <formula>AND(IF($Q282=2,1,0),IF($X282&lt;30,1,0))</formula>
    </cfRule>
    <cfRule type="expression" dxfId="8465" priority="1303">
      <formula>AND(IF($Q282=3,1,0),IF($X282&lt;30,1,0))</formula>
    </cfRule>
    <cfRule type="expression" dxfId="8464" priority="1304">
      <formula>AND(IF($Q282=3,1,IF($Q282=4,1,0)),IF($F282&lt;=85,1,0))</formula>
    </cfRule>
  </conditionalFormatting>
  <conditionalFormatting sqref="AI282">
    <cfRule type="expression" dxfId="8463" priority="1297">
      <formula>AND(IF(OR($Q282=1,$Q282=2),1,0),IF($X282&lt;=20,1,0))</formula>
    </cfRule>
    <cfRule type="expression" dxfId="8462" priority="1298">
      <formula>AND(IF($Q282=2,1,0),IF($X282&lt;30,1,0))</formula>
    </cfRule>
    <cfRule type="expression" dxfId="8461" priority="1299">
      <formula>AND(IF($Q282=3,1,0),IF($X282&lt;30,1,0))</formula>
    </cfRule>
    <cfRule type="expression" dxfId="8460" priority="1300">
      <formula>AND(IF($Q282=3,1,IF($Q282=4,1,0)),IF($F282&lt;=85,1,0))</formula>
    </cfRule>
  </conditionalFormatting>
  <conditionalFormatting sqref="AV283">
    <cfRule type="expression" dxfId="8459" priority="1295">
      <formula>AV283="X"</formula>
    </cfRule>
    <cfRule type="expression" dxfId="8458" priority="1296">
      <formula>AV283="후보"</formula>
    </cfRule>
  </conditionalFormatting>
  <conditionalFormatting sqref="AC283">
    <cfRule type="cellIs" dxfId="8457" priority="1293" operator="greaterThan">
      <formula>0.9</formula>
    </cfRule>
    <cfRule type="cellIs" dxfId="8456" priority="1294" operator="greaterThan">
      <formula>0.85</formula>
    </cfRule>
  </conditionalFormatting>
  <conditionalFormatting sqref="N283">
    <cfRule type="cellIs" dxfId="8455" priority="1291" operator="greaterThan">
      <formula>0.9</formula>
    </cfRule>
    <cfRule type="cellIs" dxfId="8454" priority="1292" operator="greaterThan">
      <formula>0.85</formula>
    </cfRule>
  </conditionalFormatting>
  <conditionalFormatting sqref="E283">
    <cfRule type="expression" dxfId="8453" priority="1287">
      <formula>AND(IF(OR($Q283=1,$Q283=2),1,0),IF($X283&lt;=20,1,0))</formula>
    </cfRule>
    <cfRule type="expression" dxfId="8452" priority="1288">
      <formula>AND(IF($Q283=2,1,0),IF($X283&lt;30,1,0))</formula>
    </cfRule>
    <cfRule type="expression" dxfId="8451" priority="1289">
      <formula>AND(IF($Q283=3,1,0),IF($X283&lt;30,1,0))</formula>
    </cfRule>
    <cfRule type="expression" dxfId="8450" priority="1290">
      <formula>AND(IF($Q283=3,1,IF($Q283=4,1,0)),IF($F283&lt;=85,1,0))</formula>
    </cfRule>
  </conditionalFormatting>
  <conditionalFormatting sqref="X283">
    <cfRule type="expression" dxfId="8449" priority="1283">
      <formula>AND(IF(OR($Q283=1,$Q283=2),1,0),IF($X283&lt;=20,1,0))</formula>
    </cfRule>
    <cfRule type="expression" dxfId="8448" priority="1284">
      <formula>AND(IF($Q283=2,1,0),IF($X283&lt;30,1,0))</formula>
    </cfRule>
    <cfRule type="expression" dxfId="8447" priority="1285">
      <formula>AND(IF($Q283=3,1,0),IF($X283&lt;30,1,0))</formula>
    </cfRule>
    <cfRule type="expression" dxfId="8446" priority="1286">
      <formula>AND(IF($Q283=3,1,IF($Q283=4,1,0)),IF($F283&lt;=85,1,0))</formula>
    </cfRule>
  </conditionalFormatting>
  <conditionalFormatting sqref="AI283">
    <cfRule type="expression" dxfId="8445" priority="1279">
      <formula>AND(IF(OR($Q283=1,$Q283=2),1,0),IF($X283&lt;=20,1,0))</formula>
    </cfRule>
    <cfRule type="expression" dxfId="8444" priority="1280">
      <formula>AND(IF($Q283=2,1,0),IF($X283&lt;30,1,0))</formula>
    </cfRule>
    <cfRule type="expression" dxfId="8443" priority="1281">
      <formula>AND(IF($Q283=3,1,0),IF($X283&lt;30,1,0))</formula>
    </cfRule>
    <cfRule type="expression" dxfId="8442" priority="1282">
      <formula>AND(IF($Q283=3,1,IF($Q283=4,1,0)),IF($F283&lt;=85,1,0))</formula>
    </cfRule>
  </conditionalFormatting>
  <conditionalFormatting sqref="AV284">
    <cfRule type="expression" dxfId="8441" priority="1277">
      <formula>AV284="X"</formula>
    </cfRule>
    <cfRule type="expression" dxfId="8440" priority="1278">
      <formula>AV284="후보"</formula>
    </cfRule>
  </conditionalFormatting>
  <conditionalFormatting sqref="AC284">
    <cfRule type="cellIs" dxfId="8439" priority="1275" operator="greaterThan">
      <formula>0.9</formula>
    </cfRule>
    <cfRule type="cellIs" dxfId="8438" priority="1276" operator="greaterThan">
      <formula>0.85</formula>
    </cfRule>
  </conditionalFormatting>
  <conditionalFormatting sqref="N284">
    <cfRule type="cellIs" dxfId="8437" priority="1273" operator="greaterThan">
      <formula>0.9</formula>
    </cfRule>
    <cfRule type="cellIs" dxfId="8436" priority="1274" operator="greaterThan">
      <formula>0.85</formula>
    </cfRule>
  </conditionalFormatting>
  <conditionalFormatting sqref="E284">
    <cfRule type="expression" dxfId="8435" priority="1269">
      <formula>AND(IF(OR($Q284=1,$Q284=2),1,0),IF($X284&lt;=20,1,0))</formula>
    </cfRule>
    <cfRule type="expression" dxfId="8434" priority="1270">
      <formula>AND(IF($Q284=2,1,0),IF($X284&lt;30,1,0))</formula>
    </cfRule>
    <cfRule type="expression" dxfId="8433" priority="1271">
      <formula>AND(IF($Q284=3,1,0),IF($X284&lt;30,1,0))</formula>
    </cfRule>
    <cfRule type="expression" dxfId="8432" priority="1272">
      <formula>AND(IF($Q284=3,1,IF($Q284=4,1,0)),IF($F284&lt;=85,1,0))</formula>
    </cfRule>
  </conditionalFormatting>
  <conditionalFormatting sqref="X284">
    <cfRule type="expression" dxfId="8431" priority="1265">
      <formula>AND(IF(OR($Q284=1,$Q284=2),1,0),IF($X284&lt;=20,1,0))</formula>
    </cfRule>
    <cfRule type="expression" dxfId="8430" priority="1266">
      <formula>AND(IF($Q284=2,1,0),IF($X284&lt;30,1,0))</formula>
    </cfRule>
    <cfRule type="expression" dxfId="8429" priority="1267">
      <formula>AND(IF($Q284=3,1,0),IF($X284&lt;30,1,0))</formula>
    </cfRule>
    <cfRule type="expression" dxfId="8428" priority="1268">
      <formula>AND(IF($Q284=3,1,IF($Q284=4,1,0)),IF($F284&lt;=85,1,0))</formula>
    </cfRule>
  </conditionalFormatting>
  <conditionalFormatting sqref="AI284">
    <cfRule type="expression" dxfId="8427" priority="1261">
      <formula>AND(IF(OR($Q284=1,$Q284=2),1,0),IF($X284&lt;=20,1,0))</formula>
    </cfRule>
    <cfRule type="expression" dxfId="8426" priority="1262">
      <formula>AND(IF($Q284=2,1,0),IF($X284&lt;30,1,0))</formula>
    </cfRule>
    <cfRule type="expression" dxfId="8425" priority="1263">
      <formula>AND(IF($Q284=3,1,0),IF($X284&lt;30,1,0))</formula>
    </cfRule>
    <cfRule type="expression" dxfId="8424" priority="1264">
      <formula>AND(IF($Q284=3,1,IF($Q284=4,1,0)),IF($F284&lt;=85,1,0))</formula>
    </cfRule>
  </conditionalFormatting>
  <conditionalFormatting sqref="AV285">
    <cfRule type="expression" dxfId="8423" priority="1259">
      <formula>AV285="X"</formula>
    </cfRule>
    <cfRule type="expression" dxfId="8422" priority="1260">
      <formula>AV285="후보"</formula>
    </cfRule>
  </conditionalFormatting>
  <conditionalFormatting sqref="AC285">
    <cfRule type="cellIs" dxfId="8421" priority="1257" operator="greaterThan">
      <formula>0.9</formula>
    </cfRule>
    <cfRule type="cellIs" dxfId="8420" priority="1258" operator="greaterThan">
      <formula>0.85</formula>
    </cfRule>
  </conditionalFormatting>
  <conditionalFormatting sqref="N285">
    <cfRule type="cellIs" dxfId="8419" priority="1255" operator="greaterThan">
      <formula>0.9</formula>
    </cfRule>
    <cfRule type="cellIs" dxfId="8418" priority="1256" operator="greaterThan">
      <formula>0.85</formula>
    </cfRule>
  </conditionalFormatting>
  <conditionalFormatting sqref="E285">
    <cfRule type="expression" dxfId="8417" priority="1251">
      <formula>AND(IF(OR($Q285=1,$Q285=2),1,0),IF($X285&lt;=20,1,0))</formula>
    </cfRule>
    <cfRule type="expression" dxfId="8416" priority="1252">
      <formula>AND(IF($Q285=2,1,0),IF($X285&lt;30,1,0))</formula>
    </cfRule>
    <cfRule type="expression" dxfId="8415" priority="1253">
      <formula>AND(IF($Q285=3,1,0),IF($X285&lt;30,1,0))</formula>
    </cfRule>
    <cfRule type="expression" dxfId="8414" priority="1254">
      <formula>AND(IF($Q285=3,1,IF($Q285=4,1,0)),IF($F285&lt;=85,1,0))</formula>
    </cfRule>
  </conditionalFormatting>
  <conditionalFormatting sqref="X285">
    <cfRule type="expression" dxfId="8413" priority="1247">
      <formula>AND(IF(OR($Q285=1,$Q285=2),1,0),IF($X285&lt;=20,1,0))</formula>
    </cfRule>
    <cfRule type="expression" dxfId="8412" priority="1248">
      <formula>AND(IF($Q285=2,1,0),IF($X285&lt;30,1,0))</formula>
    </cfRule>
    <cfRule type="expression" dxfId="8411" priority="1249">
      <formula>AND(IF($Q285=3,1,0),IF($X285&lt;30,1,0))</formula>
    </cfRule>
    <cfRule type="expression" dxfId="8410" priority="1250">
      <formula>AND(IF($Q285=3,1,IF($Q285=4,1,0)),IF($F285&lt;=85,1,0))</formula>
    </cfRule>
  </conditionalFormatting>
  <conditionalFormatting sqref="AI285">
    <cfRule type="expression" dxfId="8409" priority="1243">
      <formula>AND(IF(OR($Q285=1,$Q285=2),1,0),IF($X285&lt;=20,1,0))</formula>
    </cfRule>
    <cfRule type="expression" dxfId="8408" priority="1244">
      <formula>AND(IF($Q285=2,1,0),IF($X285&lt;30,1,0))</formula>
    </cfRule>
    <cfRule type="expression" dxfId="8407" priority="1245">
      <formula>AND(IF($Q285=3,1,0),IF($X285&lt;30,1,0))</formula>
    </cfRule>
    <cfRule type="expression" dxfId="8406" priority="1246">
      <formula>AND(IF($Q285=3,1,IF($Q285=4,1,0)),IF($F285&lt;=85,1,0))</formula>
    </cfRule>
  </conditionalFormatting>
  <conditionalFormatting sqref="AV286">
    <cfRule type="expression" dxfId="8405" priority="1241">
      <formula>AV286="X"</formula>
    </cfRule>
    <cfRule type="expression" dxfId="8404" priority="1242">
      <formula>AV286="후보"</formula>
    </cfRule>
  </conditionalFormatting>
  <conditionalFormatting sqref="AC286">
    <cfRule type="cellIs" dxfId="8403" priority="1239" operator="greaterThan">
      <formula>0.9</formula>
    </cfRule>
    <cfRule type="cellIs" dxfId="8402" priority="1240" operator="greaterThan">
      <formula>0.85</formula>
    </cfRule>
  </conditionalFormatting>
  <conditionalFormatting sqref="N286">
    <cfRule type="cellIs" dxfId="8401" priority="1237" operator="greaterThan">
      <formula>0.9</formula>
    </cfRule>
    <cfRule type="cellIs" dxfId="8400" priority="1238" operator="greaterThan">
      <formula>0.85</formula>
    </cfRule>
  </conditionalFormatting>
  <conditionalFormatting sqref="E286">
    <cfRule type="expression" dxfId="8399" priority="1233">
      <formula>AND(IF(OR($Q286=1,$Q286=2),1,0),IF($X286&lt;=20,1,0))</formula>
    </cfRule>
    <cfRule type="expression" dxfId="8398" priority="1234">
      <formula>AND(IF($Q286=2,1,0),IF($X286&lt;30,1,0))</formula>
    </cfRule>
    <cfRule type="expression" dxfId="8397" priority="1235">
      <formula>AND(IF($Q286=3,1,0),IF($X286&lt;30,1,0))</formula>
    </cfRule>
    <cfRule type="expression" dxfId="8396" priority="1236">
      <formula>AND(IF($Q286=3,1,IF($Q286=4,1,0)),IF($F286&lt;=85,1,0))</formula>
    </cfRule>
  </conditionalFormatting>
  <conditionalFormatting sqref="X286">
    <cfRule type="expression" dxfId="8395" priority="1229">
      <formula>AND(IF(OR($Q286=1,$Q286=2),1,0),IF($X286&lt;=20,1,0))</formula>
    </cfRule>
    <cfRule type="expression" dxfId="8394" priority="1230">
      <formula>AND(IF($Q286=2,1,0),IF($X286&lt;30,1,0))</formula>
    </cfRule>
    <cfRule type="expression" dxfId="8393" priority="1231">
      <formula>AND(IF($Q286=3,1,0),IF($X286&lt;30,1,0))</formula>
    </cfRule>
    <cfRule type="expression" dxfId="8392" priority="1232">
      <formula>AND(IF($Q286=3,1,IF($Q286=4,1,0)),IF($F286&lt;=85,1,0))</formula>
    </cfRule>
  </conditionalFormatting>
  <conditionalFormatting sqref="AI286">
    <cfRule type="expression" dxfId="8391" priority="1225">
      <formula>AND(IF(OR($Q286=1,$Q286=2),1,0),IF($X286&lt;=20,1,0))</formula>
    </cfRule>
    <cfRule type="expression" dxfId="8390" priority="1226">
      <formula>AND(IF($Q286=2,1,0),IF($X286&lt;30,1,0))</formula>
    </cfRule>
    <cfRule type="expression" dxfId="8389" priority="1227">
      <formula>AND(IF($Q286=3,1,0),IF($X286&lt;30,1,0))</formula>
    </cfRule>
    <cfRule type="expression" dxfId="8388" priority="1228">
      <formula>AND(IF($Q286=3,1,IF($Q286=4,1,0)),IF($F286&lt;=85,1,0))</formula>
    </cfRule>
  </conditionalFormatting>
  <conditionalFormatting sqref="AV287">
    <cfRule type="expression" dxfId="8387" priority="1223">
      <formula>AV287="X"</formula>
    </cfRule>
    <cfRule type="expression" dxfId="8386" priority="1224">
      <formula>AV287="후보"</formula>
    </cfRule>
  </conditionalFormatting>
  <conditionalFormatting sqref="AC287">
    <cfRule type="cellIs" dxfId="8385" priority="1221" operator="greaterThan">
      <formula>0.9</formula>
    </cfRule>
    <cfRule type="cellIs" dxfId="8384" priority="1222" operator="greaterThan">
      <formula>0.85</formula>
    </cfRule>
  </conditionalFormatting>
  <conditionalFormatting sqref="N287">
    <cfRule type="cellIs" dxfId="8383" priority="1219" operator="greaterThan">
      <formula>0.9</formula>
    </cfRule>
    <cfRule type="cellIs" dxfId="8382" priority="1220" operator="greaterThan">
      <formula>0.85</formula>
    </cfRule>
  </conditionalFormatting>
  <conditionalFormatting sqref="E287">
    <cfRule type="expression" dxfId="8381" priority="1215">
      <formula>AND(IF(OR($Q287=1,$Q287=2),1,0),IF($X287&lt;=20,1,0))</formula>
    </cfRule>
    <cfRule type="expression" dxfId="8380" priority="1216">
      <formula>AND(IF($Q287=2,1,0),IF($X287&lt;30,1,0))</formula>
    </cfRule>
    <cfRule type="expression" dxfId="8379" priority="1217">
      <formula>AND(IF($Q287=3,1,0),IF($X287&lt;30,1,0))</formula>
    </cfRule>
    <cfRule type="expression" dxfId="8378" priority="1218">
      <formula>AND(IF($Q287=3,1,IF($Q287=4,1,0)),IF($F287&lt;=85,1,0))</formula>
    </cfRule>
  </conditionalFormatting>
  <conditionalFormatting sqref="X287">
    <cfRule type="expression" dxfId="8377" priority="1211">
      <formula>AND(IF(OR($Q287=1,$Q287=2),1,0),IF($X287&lt;=20,1,0))</formula>
    </cfRule>
    <cfRule type="expression" dxfId="8376" priority="1212">
      <formula>AND(IF($Q287=2,1,0),IF($X287&lt;30,1,0))</formula>
    </cfRule>
    <cfRule type="expression" dxfId="8375" priority="1213">
      <formula>AND(IF($Q287=3,1,0),IF($X287&lt;30,1,0))</formula>
    </cfRule>
    <cfRule type="expression" dxfId="8374" priority="1214">
      <formula>AND(IF($Q287=3,1,IF($Q287=4,1,0)),IF($F287&lt;=85,1,0))</formula>
    </cfRule>
  </conditionalFormatting>
  <conditionalFormatting sqref="AI287">
    <cfRule type="expression" dxfId="8373" priority="1207">
      <formula>AND(IF(OR($Q287=1,$Q287=2),1,0),IF($X287&lt;=20,1,0))</formula>
    </cfRule>
    <cfRule type="expression" dxfId="8372" priority="1208">
      <formula>AND(IF($Q287=2,1,0),IF($X287&lt;30,1,0))</formula>
    </cfRule>
    <cfRule type="expression" dxfId="8371" priority="1209">
      <formula>AND(IF($Q287=3,1,0),IF($X287&lt;30,1,0))</formula>
    </cfRule>
    <cfRule type="expression" dxfId="8370" priority="1210">
      <formula>AND(IF($Q287=3,1,IF($Q287=4,1,0)),IF($F287&lt;=85,1,0))</formula>
    </cfRule>
  </conditionalFormatting>
  <conditionalFormatting sqref="AV288">
    <cfRule type="expression" dxfId="8369" priority="1205">
      <formula>AV288="X"</formula>
    </cfRule>
    <cfRule type="expression" dxfId="8368" priority="1206">
      <formula>AV288="후보"</formula>
    </cfRule>
  </conditionalFormatting>
  <conditionalFormatting sqref="AC288">
    <cfRule type="cellIs" dxfId="8367" priority="1203" operator="greaterThan">
      <formula>0.9</formula>
    </cfRule>
    <cfRule type="cellIs" dxfId="8366" priority="1204" operator="greaterThan">
      <formula>0.85</formula>
    </cfRule>
  </conditionalFormatting>
  <conditionalFormatting sqref="N288">
    <cfRule type="cellIs" dxfId="8365" priority="1201" operator="greaterThan">
      <formula>0.9</formula>
    </cfRule>
    <cfRule type="cellIs" dxfId="8364" priority="1202" operator="greaterThan">
      <formula>0.85</formula>
    </cfRule>
  </conditionalFormatting>
  <conditionalFormatting sqref="E288">
    <cfRule type="expression" dxfId="8363" priority="1197">
      <formula>AND(IF(OR($Q288=1,$Q288=2),1,0),IF($X288&lt;=20,1,0))</formula>
    </cfRule>
    <cfRule type="expression" dxfId="8362" priority="1198">
      <formula>AND(IF($Q288=2,1,0),IF($X288&lt;30,1,0))</formula>
    </cfRule>
    <cfRule type="expression" dxfId="8361" priority="1199">
      <formula>AND(IF($Q288=3,1,0),IF($X288&lt;30,1,0))</formula>
    </cfRule>
    <cfRule type="expression" dxfId="8360" priority="1200">
      <formula>AND(IF($Q288=3,1,IF($Q288=4,1,0)),IF($F288&lt;=85,1,0))</formula>
    </cfRule>
  </conditionalFormatting>
  <conditionalFormatting sqref="X288">
    <cfRule type="expression" dxfId="8359" priority="1193">
      <formula>AND(IF(OR($Q288=1,$Q288=2),1,0),IF($X288&lt;=20,1,0))</formula>
    </cfRule>
    <cfRule type="expression" dxfId="8358" priority="1194">
      <formula>AND(IF($Q288=2,1,0),IF($X288&lt;30,1,0))</formula>
    </cfRule>
    <cfRule type="expression" dxfId="8357" priority="1195">
      <formula>AND(IF($Q288=3,1,0),IF($X288&lt;30,1,0))</formula>
    </cfRule>
    <cfRule type="expression" dxfId="8356" priority="1196">
      <formula>AND(IF($Q288=3,1,IF($Q288=4,1,0)),IF($F288&lt;=85,1,0))</formula>
    </cfRule>
  </conditionalFormatting>
  <conditionalFormatting sqref="AI288">
    <cfRule type="expression" dxfId="8355" priority="1189">
      <formula>AND(IF(OR($Q288=1,$Q288=2),1,0),IF($X288&lt;=20,1,0))</formula>
    </cfRule>
    <cfRule type="expression" dxfId="8354" priority="1190">
      <formula>AND(IF($Q288=2,1,0),IF($X288&lt;30,1,0))</formula>
    </cfRule>
    <cfRule type="expression" dxfId="8353" priority="1191">
      <formula>AND(IF($Q288=3,1,0),IF($X288&lt;30,1,0))</formula>
    </cfRule>
    <cfRule type="expression" dxfId="8352" priority="1192">
      <formula>AND(IF($Q288=3,1,IF($Q288=4,1,0)),IF($F288&lt;=85,1,0))</formula>
    </cfRule>
  </conditionalFormatting>
  <conditionalFormatting sqref="AV289">
    <cfRule type="expression" dxfId="8351" priority="1187">
      <formula>AV289="X"</formula>
    </cfRule>
    <cfRule type="expression" dxfId="8350" priority="1188">
      <formula>AV289="후보"</formula>
    </cfRule>
  </conditionalFormatting>
  <conditionalFormatting sqref="AC289">
    <cfRule type="cellIs" dxfId="8349" priority="1185" operator="greaterThan">
      <formula>0.9</formula>
    </cfRule>
    <cfRule type="cellIs" dxfId="8348" priority="1186" operator="greaterThan">
      <formula>0.85</formula>
    </cfRule>
  </conditionalFormatting>
  <conditionalFormatting sqref="N289">
    <cfRule type="cellIs" dxfId="8347" priority="1183" operator="greaterThan">
      <formula>0.9</formula>
    </cfRule>
    <cfRule type="cellIs" dxfId="8346" priority="1184" operator="greaterThan">
      <formula>0.85</formula>
    </cfRule>
  </conditionalFormatting>
  <conditionalFormatting sqref="E289">
    <cfRule type="expression" dxfId="8345" priority="1179">
      <formula>AND(IF(OR($Q289=1,$Q289=2),1,0),IF($X289&lt;=20,1,0))</formula>
    </cfRule>
    <cfRule type="expression" dxfId="8344" priority="1180">
      <formula>AND(IF($Q289=2,1,0),IF($X289&lt;30,1,0))</formula>
    </cfRule>
    <cfRule type="expression" dxfId="8343" priority="1181">
      <formula>AND(IF($Q289=3,1,0),IF($X289&lt;30,1,0))</formula>
    </cfRule>
    <cfRule type="expression" dxfId="8342" priority="1182">
      <formula>AND(IF($Q289=3,1,IF($Q289=4,1,0)),IF($F289&lt;=85,1,0))</formula>
    </cfRule>
  </conditionalFormatting>
  <conditionalFormatting sqref="X289">
    <cfRule type="expression" dxfId="8341" priority="1175">
      <formula>AND(IF(OR($Q289=1,$Q289=2),1,0),IF($X289&lt;=20,1,0))</formula>
    </cfRule>
    <cfRule type="expression" dxfId="8340" priority="1176">
      <formula>AND(IF($Q289=2,1,0),IF($X289&lt;30,1,0))</formula>
    </cfRule>
    <cfRule type="expression" dxfId="8339" priority="1177">
      <formula>AND(IF($Q289=3,1,0),IF($X289&lt;30,1,0))</formula>
    </cfRule>
    <cfRule type="expression" dxfId="8338" priority="1178">
      <formula>AND(IF($Q289=3,1,IF($Q289=4,1,0)),IF($F289&lt;=85,1,0))</formula>
    </cfRule>
  </conditionalFormatting>
  <conditionalFormatting sqref="AI289">
    <cfRule type="expression" dxfId="8337" priority="1171">
      <formula>AND(IF(OR($Q289=1,$Q289=2),1,0),IF($X289&lt;=20,1,0))</formula>
    </cfRule>
    <cfRule type="expression" dxfId="8336" priority="1172">
      <formula>AND(IF($Q289=2,1,0),IF($X289&lt;30,1,0))</formula>
    </cfRule>
    <cfRule type="expression" dxfId="8335" priority="1173">
      <formula>AND(IF($Q289=3,1,0),IF($X289&lt;30,1,0))</formula>
    </cfRule>
    <cfRule type="expression" dxfId="8334" priority="1174">
      <formula>AND(IF($Q289=3,1,IF($Q289=4,1,0)),IF($F289&lt;=85,1,0))</formula>
    </cfRule>
  </conditionalFormatting>
  <conditionalFormatting sqref="AV290">
    <cfRule type="expression" dxfId="8333" priority="1169">
      <formula>AV290="X"</formula>
    </cfRule>
    <cfRule type="expression" dxfId="8332" priority="1170">
      <formula>AV290="후보"</formula>
    </cfRule>
  </conditionalFormatting>
  <conditionalFormatting sqref="AC290">
    <cfRule type="cellIs" dxfId="8331" priority="1167" operator="greaterThan">
      <formula>0.9</formula>
    </cfRule>
    <cfRule type="cellIs" dxfId="8330" priority="1168" operator="greaterThan">
      <formula>0.85</formula>
    </cfRule>
  </conditionalFormatting>
  <conditionalFormatting sqref="N290">
    <cfRule type="cellIs" dxfId="8329" priority="1165" operator="greaterThan">
      <formula>0.9</formula>
    </cfRule>
    <cfRule type="cellIs" dxfId="8328" priority="1166" operator="greaterThan">
      <formula>0.85</formula>
    </cfRule>
  </conditionalFormatting>
  <conditionalFormatting sqref="E290">
    <cfRule type="expression" dxfId="8327" priority="1161">
      <formula>AND(IF(OR($Q290=1,$Q290=2),1,0),IF($X290&lt;=20,1,0))</formula>
    </cfRule>
    <cfRule type="expression" dxfId="8326" priority="1162">
      <formula>AND(IF($Q290=2,1,0),IF($X290&lt;30,1,0))</formula>
    </cfRule>
    <cfRule type="expression" dxfId="8325" priority="1163">
      <formula>AND(IF($Q290=3,1,0),IF($X290&lt;30,1,0))</formula>
    </cfRule>
    <cfRule type="expression" dxfId="8324" priority="1164">
      <formula>AND(IF($Q290=3,1,IF($Q290=4,1,0)),IF($F290&lt;=85,1,0))</formula>
    </cfRule>
  </conditionalFormatting>
  <conditionalFormatting sqref="X290">
    <cfRule type="expression" dxfId="8323" priority="1157">
      <formula>AND(IF(OR($Q290=1,$Q290=2),1,0),IF($X290&lt;=20,1,0))</formula>
    </cfRule>
    <cfRule type="expression" dxfId="8322" priority="1158">
      <formula>AND(IF($Q290=2,1,0),IF($X290&lt;30,1,0))</formula>
    </cfRule>
    <cfRule type="expression" dxfId="8321" priority="1159">
      <formula>AND(IF($Q290=3,1,0),IF($X290&lt;30,1,0))</formula>
    </cfRule>
    <cfRule type="expression" dxfId="8320" priority="1160">
      <formula>AND(IF($Q290=3,1,IF($Q290=4,1,0)),IF($F290&lt;=85,1,0))</formula>
    </cfRule>
  </conditionalFormatting>
  <conditionalFormatting sqref="AI290">
    <cfRule type="expression" dxfId="8319" priority="1153">
      <formula>AND(IF(OR($Q290=1,$Q290=2),1,0),IF($X290&lt;=20,1,0))</formula>
    </cfRule>
    <cfRule type="expression" dxfId="8318" priority="1154">
      <formula>AND(IF($Q290=2,1,0),IF($X290&lt;30,1,0))</formula>
    </cfRule>
    <cfRule type="expression" dxfId="8317" priority="1155">
      <formula>AND(IF($Q290=3,1,0),IF($X290&lt;30,1,0))</formula>
    </cfRule>
    <cfRule type="expression" dxfId="8316" priority="1156">
      <formula>AND(IF($Q290=3,1,IF($Q290=4,1,0)),IF($F290&lt;=85,1,0))</formula>
    </cfRule>
  </conditionalFormatting>
  <conditionalFormatting sqref="AV291">
    <cfRule type="expression" dxfId="8315" priority="1151">
      <formula>AV291="X"</formula>
    </cfRule>
    <cfRule type="expression" dxfId="8314" priority="1152">
      <formula>AV291="후보"</formula>
    </cfRule>
  </conditionalFormatting>
  <conditionalFormatting sqref="AC291">
    <cfRule type="cellIs" dxfId="8313" priority="1149" operator="greaterThan">
      <formula>0.9</formula>
    </cfRule>
    <cfRule type="cellIs" dxfId="8312" priority="1150" operator="greaterThan">
      <formula>0.85</formula>
    </cfRule>
  </conditionalFormatting>
  <conditionalFormatting sqref="N291">
    <cfRule type="cellIs" dxfId="8311" priority="1147" operator="greaterThan">
      <formula>0.9</formula>
    </cfRule>
    <cfRule type="cellIs" dxfId="8310" priority="1148" operator="greaterThan">
      <formula>0.85</formula>
    </cfRule>
  </conditionalFormatting>
  <conditionalFormatting sqref="E291">
    <cfRule type="expression" dxfId="8309" priority="1143">
      <formula>AND(IF(OR($Q291=1,$Q291=2),1,0),IF($X291&lt;=20,1,0))</formula>
    </cfRule>
    <cfRule type="expression" dxfId="8308" priority="1144">
      <formula>AND(IF($Q291=2,1,0),IF($X291&lt;30,1,0))</formula>
    </cfRule>
    <cfRule type="expression" dxfId="8307" priority="1145">
      <formula>AND(IF($Q291=3,1,0),IF($X291&lt;30,1,0))</formula>
    </cfRule>
    <cfRule type="expression" dxfId="8306" priority="1146">
      <formula>AND(IF($Q291=3,1,IF($Q291=4,1,0)),IF($F291&lt;=85,1,0))</formula>
    </cfRule>
  </conditionalFormatting>
  <conditionalFormatting sqref="X291">
    <cfRule type="expression" dxfId="8305" priority="1139">
      <formula>AND(IF(OR($Q291=1,$Q291=2),1,0),IF($X291&lt;=20,1,0))</formula>
    </cfRule>
    <cfRule type="expression" dxfId="8304" priority="1140">
      <formula>AND(IF($Q291=2,1,0),IF($X291&lt;30,1,0))</formula>
    </cfRule>
    <cfRule type="expression" dxfId="8303" priority="1141">
      <formula>AND(IF($Q291=3,1,0),IF($X291&lt;30,1,0))</formula>
    </cfRule>
    <cfRule type="expression" dxfId="8302" priority="1142">
      <formula>AND(IF($Q291=3,1,IF($Q291=4,1,0)),IF($F291&lt;=85,1,0))</formula>
    </cfRule>
  </conditionalFormatting>
  <conditionalFormatting sqref="AI291">
    <cfRule type="expression" dxfId="8301" priority="1135">
      <formula>AND(IF(OR($Q291=1,$Q291=2),1,0),IF($X291&lt;=20,1,0))</formula>
    </cfRule>
    <cfRule type="expression" dxfId="8300" priority="1136">
      <formula>AND(IF($Q291=2,1,0),IF($X291&lt;30,1,0))</formula>
    </cfRule>
    <cfRule type="expression" dxfId="8299" priority="1137">
      <formula>AND(IF($Q291=3,1,0),IF($X291&lt;30,1,0))</formula>
    </cfRule>
    <cfRule type="expression" dxfId="8298" priority="1138">
      <formula>AND(IF($Q291=3,1,IF($Q291=4,1,0)),IF($F291&lt;=85,1,0))</formula>
    </cfRule>
  </conditionalFormatting>
  <conditionalFormatting sqref="AV292">
    <cfRule type="expression" dxfId="8297" priority="1133">
      <formula>AV292="X"</formula>
    </cfRule>
    <cfRule type="expression" dxfId="8296" priority="1134">
      <formula>AV292="후보"</formula>
    </cfRule>
  </conditionalFormatting>
  <conditionalFormatting sqref="AC292">
    <cfRule type="cellIs" dxfId="8295" priority="1131" operator="greaterThan">
      <formula>0.9</formula>
    </cfRule>
    <cfRule type="cellIs" dxfId="8294" priority="1132" operator="greaterThan">
      <formula>0.85</formula>
    </cfRule>
  </conditionalFormatting>
  <conditionalFormatting sqref="N292">
    <cfRule type="cellIs" dxfId="8293" priority="1129" operator="greaterThan">
      <formula>0.9</formula>
    </cfRule>
    <cfRule type="cellIs" dxfId="8292" priority="1130" operator="greaterThan">
      <formula>0.85</formula>
    </cfRule>
  </conditionalFormatting>
  <conditionalFormatting sqref="E292">
    <cfRule type="expression" dxfId="8291" priority="1125">
      <formula>AND(IF(OR($Q292=1,$Q292=2),1,0),IF($X292&lt;=20,1,0))</formula>
    </cfRule>
    <cfRule type="expression" dxfId="8290" priority="1126">
      <formula>AND(IF($Q292=2,1,0),IF($X292&lt;30,1,0))</formula>
    </cfRule>
    <cfRule type="expression" dxfId="8289" priority="1127">
      <formula>AND(IF($Q292=3,1,0),IF($X292&lt;30,1,0))</formula>
    </cfRule>
    <cfRule type="expression" dxfId="8288" priority="1128">
      <formula>AND(IF($Q292=3,1,IF($Q292=4,1,0)),IF($F292&lt;=85,1,0))</formula>
    </cfRule>
  </conditionalFormatting>
  <conditionalFormatting sqref="X292">
    <cfRule type="expression" dxfId="8287" priority="1121">
      <formula>AND(IF(OR($Q292=1,$Q292=2),1,0),IF($X292&lt;=20,1,0))</formula>
    </cfRule>
    <cfRule type="expression" dxfId="8286" priority="1122">
      <formula>AND(IF($Q292=2,1,0),IF($X292&lt;30,1,0))</formula>
    </cfRule>
    <cfRule type="expression" dxfId="8285" priority="1123">
      <formula>AND(IF($Q292=3,1,0),IF($X292&lt;30,1,0))</formula>
    </cfRule>
    <cfRule type="expression" dxfId="8284" priority="1124">
      <formula>AND(IF($Q292=3,1,IF($Q292=4,1,0)),IF($F292&lt;=85,1,0))</formula>
    </cfRule>
  </conditionalFormatting>
  <conditionalFormatting sqref="AI292">
    <cfRule type="expression" dxfId="8283" priority="1117">
      <formula>AND(IF(OR($Q292=1,$Q292=2),1,0),IF($X292&lt;=20,1,0))</formula>
    </cfRule>
    <cfRule type="expression" dxfId="8282" priority="1118">
      <formula>AND(IF($Q292=2,1,0),IF($X292&lt;30,1,0))</formula>
    </cfRule>
    <cfRule type="expression" dxfId="8281" priority="1119">
      <formula>AND(IF($Q292=3,1,0),IF($X292&lt;30,1,0))</formula>
    </cfRule>
    <cfRule type="expression" dxfId="8280" priority="1120">
      <formula>AND(IF($Q292=3,1,IF($Q292=4,1,0)),IF($F292&lt;=85,1,0))</formula>
    </cfRule>
  </conditionalFormatting>
  <conditionalFormatting sqref="AV293">
    <cfRule type="expression" dxfId="8279" priority="1115">
      <formula>AV293="X"</formula>
    </cfRule>
    <cfRule type="expression" dxfId="8278" priority="1116">
      <formula>AV293="후보"</formula>
    </cfRule>
  </conditionalFormatting>
  <conditionalFormatting sqref="AC293">
    <cfRule type="cellIs" dxfId="8277" priority="1113" operator="greaterThan">
      <formula>0.9</formula>
    </cfRule>
    <cfRule type="cellIs" dxfId="8276" priority="1114" operator="greaterThan">
      <formula>0.85</formula>
    </cfRule>
  </conditionalFormatting>
  <conditionalFormatting sqref="N293">
    <cfRule type="cellIs" dxfId="8275" priority="1111" operator="greaterThan">
      <formula>0.9</formula>
    </cfRule>
    <cfRule type="cellIs" dxfId="8274" priority="1112" operator="greaterThan">
      <formula>0.85</formula>
    </cfRule>
  </conditionalFormatting>
  <conditionalFormatting sqref="E293">
    <cfRule type="expression" dxfId="8273" priority="1107">
      <formula>AND(IF(OR($Q293=1,$Q293=2),1,0),IF($X293&lt;=20,1,0))</formula>
    </cfRule>
    <cfRule type="expression" dxfId="8272" priority="1108">
      <formula>AND(IF($Q293=2,1,0),IF($X293&lt;30,1,0))</formula>
    </cfRule>
    <cfRule type="expression" dxfId="8271" priority="1109">
      <formula>AND(IF($Q293=3,1,0),IF($X293&lt;30,1,0))</formula>
    </cfRule>
    <cfRule type="expression" dxfId="8270" priority="1110">
      <formula>AND(IF($Q293=3,1,IF($Q293=4,1,0)),IF($F293&lt;=85,1,0))</formula>
    </cfRule>
  </conditionalFormatting>
  <conditionalFormatting sqref="X293">
    <cfRule type="expression" dxfId="8269" priority="1103">
      <formula>AND(IF(OR($Q293=1,$Q293=2),1,0),IF($X293&lt;=20,1,0))</formula>
    </cfRule>
    <cfRule type="expression" dxfId="8268" priority="1104">
      <formula>AND(IF($Q293=2,1,0),IF($X293&lt;30,1,0))</formula>
    </cfRule>
    <cfRule type="expression" dxfId="8267" priority="1105">
      <formula>AND(IF($Q293=3,1,0),IF($X293&lt;30,1,0))</formula>
    </cfRule>
    <cfRule type="expression" dxfId="8266" priority="1106">
      <formula>AND(IF($Q293=3,1,IF($Q293=4,1,0)),IF($F293&lt;=85,1,0))</formula>
    </cfRule>
  </conditionalFormatting>
  <conditionalFormatting sqref="AI293">
    <cfRule type="expression" dxfId="8265" priority="1099">
      <formula>AND(IF(OR($Q293=1,$Q293=2),1,0),IF($X293&lt;=20,1,0))</formula>
    </cfRule>
    <cfRule type="expression" dxfId="8264" priority="1100">
      <formula>AND(IF($Q293=2,1,0),IF($X293&lt;30,1,0))</formula>
    </cfRule>
    <cfRule type="expression" dxfId="8263" priority="1101">
      <formula>AND(IF($Q293=3,1,0),IF($X293&lt;30,1,0))</formula>
    </cfRule>
    <cfRule type="expression" dxfId="8262" priority="1102">
      <formula>AND(IF($Q293=3,1,IF($Q293=4,1,0)),IF($F293&lt;=85,1,0))</formula>
    </cfRule>
  </conditionalFormatting>
  <conditionalFormatting sqref="AV294">
    <cfRule type="expression" dxfId="8261" priority="1097">
      <formula>AV294="X"</formula>
    </cfRule>
    <cfRule type="expression" dxfId="8260" priority="1098">
      <formula>AV294="후보"</formula>
    </cfRule>
  </conditionalFormatting>
  <conditionalFormatting sqref="AC294">
    <cfRule type="cellIs" dxfId="8259" priority="1095" operator="greaterThan">
      <formula>0.9</formula>
    </cfRule>
    <cfRule type="cellIs" dxfId="8258" priority="1096" operator="greaterThan">
      <formula>0.85</formula>
    </cfRule>
  </conditionalFormatting>
  <conditionalFormatting sqref="N294">
    <cfRule type="cellIs" dxfId="8257" priority="1093" operator="greaterThan">
      <formula>0.9</formula>
    </cfRule>
    <cfRule type="cellIs" dxfId="8256" priority="1094" operator="greaterThan">
      <formula>0.85</formula>
    </cfRule>
  </conditionalFormatting>
  <conditionalFormatting sqref="E294">
    <cfRule type="expression" dxfId="8255" priority="1089">
      <formula>AND(IF(OR($Q294=1,$Q294=2),1,0),IF($X294&lt;=20,1,0))</formula>
    </cfRule>
    <cfRule type="expression" dxfId="8254" priority="1090">
      <formula>AND(IF($Q294=2,1,0),IF($X294&lt;30,1,0))</formula>
    </cfRule>
    <cfRule type="expression" dxfId="8253" priority="1091">
      <formula>AND(IF($Q294=3,1,0),IF($X294&lt;30,1,0))</formula>
    </cfRule>
    <cfRule type="expression" dxfId="8252" priority="1092">
      <formula>AND(IF($Q294=3,1,IF($Q294=4,1,0)),IF($F294&lt;=85,1,0))</formula>
    </cfRule>
  </conditionalFormatting>
  <conditionalFormatting sqref="X294">
    <cfRule type="expression" dxfId="8251" priority="1085">
      <formula>AND(IF(OR($Q294=1,$Q294=2),1,0),IF($X294&lt;=20,1,0))</formula>
    </cfRule>
    <cfRule type="expression" dxfId="8250" priority="1086">
      <formula>AND(IF($Q294=2,1,0),IF($X294&lt;30,1,0))</formula>
    </cfRule>
    <cfRule type="expression" dxfId="8249" priority="1087">
      <formula>AND(IF($Q294=3,1,0),IF($X294&lt;30,1,0))</formula>
    </cfRule>
    <cfRule type="expression" dxfId="8248" priority="1088">
      <formula>AND(IF($Q294=3,1,IF($Q294=4,1,0)),IF($F294&lt;=85,1,0))</formula>
    </cfRule>
  </conditionalFormatting>
  <conditionalFormatting sqref="AI294">
    <cfRule type="expression" dxfId="8247" priority="1081">
      <formula>AND(IF(OR($Q294=1,$Q294=2),1,0),IF($X294&lt;=20,1,0))</formula>
    </cfRule>
    <cfRule type="expression" dxfId="8246" priority="1082">
      <formula>AND(IF($Q294=2,1,0),IF($X294&lt;30,1,0))</formula>
    </cfRule>
    <cfRule type="expression" dxfId="8245" priority="1083">
      <formula>AND(IF($Q294=3,1,0),IF($X294&lt;30,1,0))</formula>
    </cfRule>
    <cfRule type="expression" dxfId="8244" priority="1084">
      <formula>AND(IF($Q294=3,1,IF($Q294=4,1,0)),IF($F294&lt;=85,1,0))</formula>
    </cfRule>
  </conditionalFormatting>
  <conditionalFormatting sqref="AV295">
    <cfRule type="expression" dxfId="8243" priority="1079">
      <formula>AV295="X"</formula>
    </cfRule>
    <cfRule type="expression" dxfId="8242" priority="1080">
      <formula>AV295="후보"</formula>
    </cfRule>
  </conditionalFormatting>
  <conditionalFormatting sqref="AC295">
    <cfRule type="cellIs" dxfId="8241" priority="1077" operator="greaterThan">
      <formula>0.9</formula>
    </cfRule>
    <cfRule type="cellIs" dxfId="8240" priority="1078" operator="greaterThan">
      <formula>0.85</formula>
    </cfRule>
  </conditionalFormatting>
  <conditionalFormatting sqref="N295">
    <cfRule type="cellIs" dxfId="8239" priority="1075" operator="greaterThan">
      <formula>0.9</formula>
    </cfRule>
    <cfRule type="cellIs" dxfId="8238" priority="1076" operator="greaterThan">
      <formula>0.85</formula>
    </cfRule>
  </conditionalFormatting>
  <conditionalFormatting sqref="E295">
    <cfRule type="expression" dxfId="8237" priority="1071">
      <formula>AND(IF(OR($Q295=1,$Q295=2),1,0),IF($X295&lt;=20,1,0))</formula>
    </cfRule>
    <cfRule type="expression" dxfId="8236" priority="1072">
      <formula>AND(IF($Q295=2,1,0),IF($X295&lt;30,1,0))</formula>
    </cfRule>
    <cfRule type="expression" dxfId="8235" priority="1073">
      <formula>AND(IF($Q295=3,1,0),IF($X295&lt;30,1,0))</formula>
    </cfRule>
    <cfRule type="expression" dxfId="8234" priority="1074">
      <formula>AND(IF($Q295=3,1,IF($Q295=4,1,0)),IF($F295&lt;=85,1,0))</formula>
    </cfRule>
  </conditionalFormatting>
  <conditionalFormatting sqref="X295">
    <cfRule type="expression" dxfId="8233" priority="1067">
      <formula>AND(IF(OR($Q295=1,$Q295=2),1,0),IF($X295&lt;=20,1,0))</formula>
    </cfRule>
    <cfRule type="expression" dxfId="8232" priority="1068">
      <formula>AND(IF($Q295=2,1,0),IF($X295&lt;30,1,0))</formula>
    </cfRule>
    <cfRule type="expression" dxfId="8231" priority="1069">
      <formula>AND(IF($Q295=3,1,0),IF($X295&lt;30,1,0))</formula>
    </cfRule>
    <cfRule type="expression" dxfId="8230" priority="1070">
      <formula>AND(IF($Q295=3,1,IF($Q295=4,1,0)),IF($F295&lt;=85,1,0))</formula>
    </cfRule>
  </conditionalFormatting>
  <conditionalFormatting sqref="AI295">
    <cfRule type="expression" dxfId="8229" priority="1063">
      <formula>AND(IF(OR($Q295=1,$Q295=2),1,0),IF($X295&lt;=20,1,0))</formula>
    </cfRule>
    <cfRule type="expression" dxfId="8228" priority="1064">
      <formula>AND(IF($Q295=2,1,0),IF($X295&lt;30,1,0))</formula>
    </cfRule>
    <cfRule type="expression" dxfId="8227" priority="1065">
      <formula>AND(IF($Q295=3,1,0),IF($X295&lt;30,1,0))</formula>
    </cfRule>
    <cfRule type="expression" dxfId="8226" priority="1066">
      <formula>AND(IF($Q295=3,1,IF($Q295=4,1,0)),IF($F295&lt;=85,1,0))</formula>
    </cfRule>
  </conditionalFormatting>
  <conditionalFormatting sqref="AV296">
    <cfRule type="expression" dxfId="8225" priority="1061">
      <formula>AV296="X"</formula>
    </cfRule>
    <cfRule type="expression" dxfId="8224" priority="1062">
      <formula>AV296="후보"</formula>
    </cfRule>
  </conditionalFormatting>
  <conditionalFormatting sqref="AC296">
    <cfRule type="cellIs" dxfId="8223" priority="1059" operator="greaterThan">
      <formula>0.9</formula>
    </cfRule>
    <cfRule type="cellIs" dxfId="8222" priority="1060" operator="greaterThan">
      <formula>0.85</formula>
    </cfRule>
  </conditionalFormatting>
  <conditionalFormatting sqref="N296">
    <cfRule type="cellIs" dxfId="8221" priority="1057" operator="greaterThan">
      <formula>0.9</formula>
    </cfRule>
    <cfRule type="cellIs" dxfId="8220" priority="1058" operator="greaterThan">
      <formula>0.85</formula>
    </cfRule>
  </conditionalFormatting>
  <conditionalFormatting sqref="E296">
    <cfRule type="expression" dxfId="8219" priority="1053">
      <formula>AND(IF(OR($Q296=1,$Q296=2),1,0),IF($X296&lt;=20,1,0))</formula>
    </cfRule>
    <cfRule type="expression" dxfId="8218" priority="1054">
      <formula>AND(IF($Q296=2,1,0),IF($X296&lt;30,1,0))</formula>
    </cfRule>
    <cfRule type="expression" dxfId="8217" priority="1055">
      <formula>AND(IF($Q296=3,1,0),IF($X296&lt;30,1,0))</formula>
    </cfRule>
    <cfRule type="expression" dxfId="8216" priority="1056">
      <formula>AND(IF($Q296=3,1,IF($Q296=4,1,0)),IF($F296&lt;=85,1,0))</formula>
    </cfRule>
  </conditionalFormatting>
  <conditionalFormatting sqref="X296">
    <cfRule type="expression" dxfId="8215" priority="1049">
      <formula>AND(IF(OR($Q296=1,$Q296=2),1,0),IF($X296&lt;=20,1,0))</formula>
    </cfRule>
    <cfRule type="expression" dxfId="8214" priority="1050">
      <formula>AND(IF($Q296=2,1,0),IF($X296&lt;30,1,0))</formula>
    </cfRule>
    <cfRule type="expression" dxfId="8213" priority="1051">
      <formula>AND(IF($Q296=3,1,0),IF($X296&lt;30,1,0))</formula>
    </cfRule>
    <cfRule type="expression" dxfId="8212" priority="1052">
      <formula>AND(IF($Q296=3,1,IF($Q296=4,1,0)),IF($F296&lt;=85,1,0))</formula>
    </cfRule>
  </conditionalFormatting>
  <conditionalFormatting sqref="AI296">
    <cfRule type="expression" dxfId="8211" priority="1045">
      <formula>AND(IF(OR($Q296=1,$Q296=2),1,0),IF($X296&lt;=20,1,0))</formula>
    </cfRule>
    <cfRule type="expression" dxfId="8210" priority="1046">
      <formula>AND(IF($Q296=2,1,0),IF($X296&lt;30,1,0))</formula>
    </cfRule>
    <cfRule type="expression" dxfId="8209" priority="1047">
      <formula>AND(IF($Q296=3,1,0),IF($X296&lt;30,1,0))</formula>
    </cfRule>
    <cfRule type="expression" dxfId="8208" priority="1048">
      <formula>AND(IF($Q296=3,1,IF($Q296=4,1,0)),IF($F296&lt;=85,1,0))</formula>
    </cfRule>
  </conditionalFormatting>
  <conditionalFormatting sqref="AV297">
    <cfRule type="expression" dxfId="8207" priority="1043">
      <formula>AV297="X"</formula>
    </cfRule>
    <cfRule type="expression" dxfId="8206" priority="1044">
      <formula>AV297="후보"</formula>
    </cfRule>
  </conditionalFormatting>
  <conditionalFormatting sqref="AC297">
    <cfRule type="cellIs" dxfId="8205" priority="1041" operator="greaterThan">
      <formula>0.9</formula>
    </cfRule>
    <cfRule type="cellIs" dxfId="8204" priority="1042" operator="greaterThan">
      <formula>0.85</formula>
    </cfRule>
  </conditionalFormatting>
  <conditionalFormatting sqref="N297">
    <cfRule type="cellIs" dxfId="8203" priority="1039" operator="greaterThan">
      <formula>0.9</formula>
    </cfRule>
    <cfRule type="cellIs" dxfId="8202" priority="1040" operator="greaterThan">
      <formula>0.85</formula>
    </cfRule>
  </conditionalFormatting>
  <conditionalFormatting sqref="E297">
    <cfRule type="expression" dxfId="8201" priority="1035">
      <formula>AND(IF(OR($Q297=1,$Q297=2),1,0),IF($X297&lt;=20,1,0))</formula>
    </cfRule>
    <cfRule type="expression" dxfId="8200" priority="1036">
      <formula>AND(IF($Q297=2,1,0),IF($X297&lt;30,1,0))</formula>
    </cfRule>
    <cfRule type="expression" dxfId="8199" priority="1037">
      <formula>AND(IF($Q297=3,1,0),IF($X297&lt;30,1,0))</formula>
    </cfRule>
    <cfRule type="expression" dxfId="8198" priority="1038">
      <formula>AND(IF($Q297=3,1,IF($Q297=4,1,0)),IF($F297&lt;=85,1,0))</formula>
    </cfRule>
  </conditionalFormatting>
  <conditionalFormatting sqref="X297">
    <cfRule type="expression" dxfId="8197" priority="1031">
      <formula>AND(IF(OR($Q297=1,$Q297=2),1,0),IF($X297&lt;=20,1,0))</formula>
    </cfRule>
    <cfRule type="expression" dxfId="8196" priority="1032">
      <formula>AND(IF($Q297=2,1,0),IF($X297&lt;30,1,0))</formula>
    </cfRule>
    <cfRule type="expression" dxfId="8195" priority="1033">
      <formula>AND(IF($Q297=3,1,0),IF($X297&lt;30,1,0))</formula>
    </cfRule>
    <cfRule type="expression" dxfId="8194" priority="1034">
      <formula>AND(IF($Q297=3,1,IF($Q297=4,1,0)),IF($F297&lt;=85,1,0))</formula>
    </cfRule>
  </conditionalFormatting>
  <conditionalFormatting sqref="AI297">
    <cfRule type="expression" dxfId="8193" priority="1027">
      <formula>AND(IF(OR($Q297=1,$Q297=2),1,0),IF($X297&lt;=20,1,0))</formula>
    </cfRule>
    <cfRule type="expression" dxfId="8192" priority="1028">
      <formula>AND(IF($Q297=2,1,0),IF($X297&lt;30,1,0))</formula>
    </cfRule>
    <cfRule type="expression" dxfId="8191" priority="1029">
      <formula>AND(IF($Q297=3,1,0),IF($X297&lt;30,1,0))</formula>
    </cfRule>
    <cfRule type="expression" dxfId="8190" priority="1030">
      <formula>AND(IF($Q297=3,1,IF($Q297=4,1,0)),IF($F297&lt;=85,1,0))</formula>
    </cfRule>
  </conditionalFormatting>
  <conditionalFormatting sqref="AV298">
    <cfRule type="expression" dxfId="8189" priority="1025">
      <formula>AV298="X"</formula>
    </cfRule>
    <cfRule type="expression" dxfId="8188" priority="1026">
      <formula>AV298="후보"</formula>
    </cfRule>
  </conditionalFormatting>
  <conditionalFormatting sqref="AC298">
    <cfRule type="cellIs" dxfId="8187" priority="1023" operator="greaterThan">
      <formula>0.9</formula>
    </cfRule>
    <cfRule type="cellIs" dxfId="8186" priority="1024" operator="greaterThan">
      <formula>0.85</formula>
    </cfRule>
  </conditionalFormatting>
  <conditionalFormatting sqref="N298">
    <cfRule type="cellIs" dxfId="8185" priority="1021" operator="greaterThan">
      <formula>0.9</formula>
    </cfRule>
    <cfRule type="cellIs" dxfId="8184" priority="1022" operator="greaterThan">
      <formula>0.85</formula>
    </cfRule>
  </conditionalFormatting>
  <conditionalFormatting sqref="E298">
    <cfRule type="expression" dxfId="8183" priority="1017">
      <formula>AND(IF(OR($Q298=1,$Q298=2),1,0),IF($X298&lt;=20,1,0))</formula>
    </cfRule>
    <cfRule type="expression" dxfId="8182" priority="1018">
      <formula>AND(IF($Q298=2,1,0),IF($X298&lt;30,1,0))</formula>
    </cfRule>
    <cfRule type="expression" dxfId="8181" priority="1019">
      <formula>AND(IF($Q298=3,1,0),IF($X298&lt;30,1,0))</formula>
    </cfRule>
    <cfRule type="expression" dxfId="8180" priority="1020">
      <formula>AND(IF($Q298=3,1,IF($Q298=4,1,0)),IF($F298&lt;=85,1,0))</formula>
    </cfRule>
  </conditionalFormatting>
  <conditionalFormatting sqref="X298">
    <cfRule type="expression" dxfId="8179" priority="1013">
      <formula>AND(IF(OR($Q298=1,$Q298=2),1,0),IF($X298&lt;=20,1,0))</formula>
    </cfRule>
    <cfRule type="expression" dxfId="8178" priority="1014">
      <formula>AND(IF($Q298=2,1,0),IF($X298&lt;30,1,0))</formula>
    </cfRule>
    <cfRule type="expression" dxfId="8177" priority="1015">
      <formula>AND(IF($Q298=3,1,0),IF($X298&lt;30,1,0))</formula>
    </cfRule>
    <cfRule type="expression" dxfId="8176" priority="1016">
      <formula>AND(IF($Q298=3,1,IF($Q298=4,1,0)),IF($F298&lt;=85,1,0))</formula>
    </cfRule>
  </conditionalFormatting>
  <conditionalFormatting sqref="AI298">
    <cfRule type="expression" dxfId="8175" priority="1009">
      <formula>AND(IF(OR($Q298=1,$Q298=2),1,0),IF($X298&lt;=20,1,0))</formula>
    </cfRule>
    <cfRule type="expression" dxfId="8174" priority="1010">
      <formula>AND(IF($Q298=2,1,0),IF($X298&lt;30,1,0))</formula>
    </cfRule>
    <cfRule type="expression" dxfId="8173" priority="1011">
      <formula>AND(IF($Q298=3,1,0),IF($X298&lt;30,1,0))</formula>
    </cfRule>
    <cfRule type="expression" dxfId="8172" priority="1012">
      <formula>AND(IF($Q298=3,1,IF($Q298=4,1,0)),IF($F298&lt;=85,1,0))</formula>
    </cfRule>
  </conditionalFormatting>
  <conditionalFormatting sqref="AV299">
    <cfRule type="expression" dxfId="8171" priority="1007">
      <formula>AV299="X"</formula>
    </cfRule>
    <cfRule type="expression" dxfId="8170" priority="1008">
      <formula>AV299="후보"</formula>
    </cfRule>
  </conditionalFormatting>
  <conditionalFormatting sqref="AC299">
    <cfRule type="cellIs" dxfId="8169" priority="1005" operator="greaterThan">
      <formula>0.9</formula>
    </cfRule>
    <cfRule type="cellIs" dxfId="8168" priority="1006" operator="greaterThan">
      <formula>0.85</formula>
    </cfRule>
  </conditionalFormatting>
  <conditionalFormatting sqref="N299">
    <cfRule type="cellIs" dxfId="8167" priority="1003" operator="greaterThan">
      <formula>0.9</formula>
    </cfRule>
    <cfRule type="cellIs" dxfId="8166" priority="1004" operator="greaterThan">
      <formula>0.85</formula>
    </cfRule>
  </conditionalFormatting>
  <conditionalFormatting sqref="E299">
    <cfRule type="expression" dxfId="8165" priority="999">
      <formula>AND(IF(OR($Q299=1,$Q299=2),1,0),IF($X299&lt;=20,1,0))</formula>
    </cfRule>
    <cfRule type="expression" dxfId="8164" priority="1000">
      <formula>AND(IF($Q299=2,1,0),IF($X299&lt;30,1,0))</formula>
    </cfRule>
    <cfRule type="expression" dxfId="8163" priority="1001">
      <formula>AND(IF($Q299=3,1,0),IF($X299&lt;30,1,0))</formula>
    </cfRule>
    <cfRule type="expression" dxfId="8162" priority="1002">
      <formula>AND(IF($Q299=3,1,IF($Q299=4,1,0)),IF($F299&lt;=85,1,0))</formula>
    </cfRule>
  </conditionalFormatting>
  <conditionalFormatting sqref="X299">
    <cfRule type="expression" dxfId="8161" priority="995">
      <formula>AND(IF(OR($Q299=1,$Q299=2),1,0),IF($X299&lt;=20,1,0))</formula>
    </cfRule>
    <cfRule type="expression" dxfId="8160" priority="996">
      <formula>AND(IF($Q299=2,1,0),IF($X299&lt;30,1,0))</formula>
    </cfRule>
    <cfRule type="expression" dxfId="8159" priority="997">
      <formula>AND(IF($Q299=3,1,0),IF($X299&lt;30,1,0))</formula>
    </cfRule>
    <cfRule type="expression" dxfId="8158" priority="998">
      <formula>AND(IF($Q299=3,1,IF($Q299=4,1,0)),IF($F299&lt;=85,1,0))</formula>
    </cfRule>
  </conditionalFormatting>
  <conditionalFormatting sqref="AI299">
    <cfRule type="expression" dxfId="8157" priority="991">
      <formula>AND(IF(OR($Q299=1,$Q299=2),1,0),IF($X299&lt;=20,1,0))</formula>
    </cfRule>
    <cfRule type="expression" dxfId="8156" priority="992">
      <formula>AND(IF($Q299=2,1,0),IF($X299&lt;30,1,0))</formula>
    </cfRule>
    <cfRule type="expression" dxfId="8155" priority="993">
      <formula>AND(IF($Q299=3,1,0),IF($X299&lt;30,1,0))</formula>
    </cfRule>
    <cfRule type="expression" dxfId="8154" priority="994">
      <formula>AND(IF($Q299=3,1,IF($Q299=4,1,0)),IF($F299&lt;=85,1,0))</formula>
    </cfRule>
  </conditionalFormatting>
  <conditionalFormatting sqref="AV300">
    <cfRule type="expression" dxfId="8153" priority="989">
      <formula>AV300="X"</formula>
    </cfRule>
    <cfRule type="expression" dxfId="8152" priority="990">
      <formula>AV300="후보"</formula>
    </cfRule>
  </conditionalFormatting>
  <conditionalFormatting sqref="AC300">
    <cfRule type="cellIs" dxfId="8151" priority="987" operator="greaterThan">
      <formula>0.9</formula>
    </cfRule>
    <cfRule type="cellIs" dxfId="8150" priority="988" operator="greaterThan">
      <formula>0.85</formula>
    </cfRule>
  </conditionalFormatting>
  <conditionalFormatting sqref="N300">
    <cfRule type="cellIs" dxfId="8149" priority="985" operator="greaterThan">
      <formula>0.9</formula>
    </cfRule>
    <cfRule type="cellIs" dxfId="8148" priority="986" operator="greaterThan">
      <formula>0.85</formula>
    </cfRule>
  </conditionalFormatting>
  <conditionalFormatting sqref="E300">
    <cfRule type="expression" dxfId="8147" priority="981">
      <formula>AND(IF(OR($Q300=1,$Q300=2),1,0),IF($X300&lt;=20,1,0))</formula>
    </cfRule>
    <cfRule type="expression" dxfId="8146" priority="982">
      <formula>AND(IF($Q300=2,1,0),IF($X300&lt;30,1,0))</formula>
    </cfRule>
    <cfRule type="expression" dxfId="8145" priority="983">
      <formula>AND(IF($Q300=3,1,0),IF($X300&lt;30,1,0))</formula>
    </cfRule>
    <cfRule type="expression" dxfId="8144" priority="984">
      <formula>AND(IF($Q300=3,1,IF($Q300=4,1,0)),IF($F300&lt;=85,1,0))</formula>
    </cfRule>
  </conditionalFormatting>
  <conditionalFormatting sqref="X300">
    <cfRule type="expression" dxfId="8143" priority="977">
      <formula>AND(IF(OR($Q300=1,$Q300=2),1,0),IF($X300&lt;=20,1,0))</formula>
    </cfRule>
    <cfRule type="expression" dxfId="8142" priority="978">
      <formula>AND(IF($Q300=2,1,0),IF($X300&lt;30,1,0))</formula>
    </cfRule>
    <cfRule type="expression" dxfId="8141" priority="979">
      <formula>AND(IF($Q300=3,1,0),IF($X300&lt;30,1,0))</formula>
    </cfRule>
    <cfRule type="expression" dxfId="8140" priority="980">
      <formula>AND(IF($Q300=3,1,IF($Q300=4,1,0)),IF($F300&lt;=85,1,0))</formula>
    </cfRule>
  </conditionalFormatting>
  <conditionalFormatting sqref="AI300">
    <cfRule type="expression" dxfId="8139" priority="973">
      <formula>AND(IF(OR($Q300=1,$Q300=2),1,0),IF($X300&lt;=20,1,0))</formula>
    </cfRule>
    <cfRule type="expression" dxfId="8138" priority="974">
      <formula>AND(IF($Q300=2,1,0),IF($X300&lt;30,1,0))</formula>
    </cfRule>
    <cfRule type="expression" dxfId="8137" priority="975">
      <formula>AND(IF($Q300=3,1,0),IF($X300&lt;30,1,0))</formula>
    </cfRule>
    <cfRule type="expression" dxfId="8136" priority="976">
      <formula>AND(IF($Q300=3,1,IF($Q300=4,1,0)),IF($F300&lt;=85,1,0))</formula>
    </cfRule>
  </conditionalFormatting>
  <conditionalFormatting sqref="AV301">
    <cfRule type="expression" dxfId="8135" priority="971">
      <formula>AV301="X"</formula>
    </cfRule>
    <cfRule type="expression" dxfId="8134" priority="972">
      <formula>AV301="후보"</formula>
    </cfRule>
  </conditionalFormatting>
  <conditionalFormatting sqref="AC301">
    <cfRule type="cellIs" dxfId="8133" priority="969" operator="greaterThan">
      <formula>0.9</formula>
    </cfRule>
    <cfRule type="cellIs" dxfId="8132" priority="970" operator="greaterThan">
      <formula>0.85</formula>
    </cfRule>
  </conditionalFormatting>
  <conditionalFormatting sqref="N301">
    <cfRule type="cellIs" dxfId="8131" priority="967" operator="greaterThan">
      <formula>0.9</formula>
    </cfRule>
    <cfRule type="cellIs" dxfId="8130" priority="968" operator="greaterThan">
      <formula>0.85</formula>
    </cfRule>
  </conditionalFormatting>
  <conditionalFormatting sqref="E301">
    <cfRule type="expression" dxfId="8129" priority="963">
      <formula>AND(IF(OR($Q301=1,$Q301=2),1,0),IF($X301&lt;=20,1,0))</formula>
    </cfRule>
    <cfRule type="expression" dxfId="8128" priority="964">
      <formula>AND(IF($Q301=2,1,0),IF($X301&lt;30,1,0))</formula>
    </cfRule>
    <cfRule type="expression" dxfId="8127" priority="965">
      <formula>AND(IF($Q301=3,1,0),IF($X301&lt;30,1,0))</formula>
    </cfRule>
    <cfRule type="expression" dxfId="8126" priority="966">
      <formula>AND(IF($Q301=3,1,IF($Q301=4,1,0)),IF($F301&lt;=85,1,0))</formula>
    </cfRule>
  </conditionalFormatting>
  <conditionalFormatting sqref="X301">
    <cfRule type="expression" dxfId="8125" priority="959">
      <formula>AND(IF(OR($Q301=1,$Q301=2),1,0),IF($X301&lt;=20,1,0))</formula>
    </cfRule>
    <cfRule type="expression" dxfId="8124" priority="960">
      <formula>AND(IF($Q301=2,1,0),IF($X301&lt;30,1,0))</formula>
    </cfRule>
    <cfRule type="expression" dxfId="8123" priority="961">
      <formula>AND(IF($Q301=3,1,0),IF($X301&lt;30,1,0))</formula>
    </cfRule>
    <cfRule type="expression" dxfId="8122" priority="962">
      <formula>AND(IF($Q301=3,1,IF($Q301=4,1,0)),IF($F301&lt;=85,1,0))</formula>
    </cfRule>
  </conditionalFormatting>
  <conditionalFormatting sqref="AI301">
    <cfRule type="expression" dxfId="8121" priority="955">
      <formula>AND(IF(OR($Q301=1,$Q301=2),1,0),IF($X301&lt;=20,1,0))</formula>
    </cfRule>
    <cfRule type="expression" dxfId="8120" priority="956">
      <formula>AND(IF($Q301=2,1,0),IF($X301&lt;30,1,0))</formula>
    </cfRule>
    <cfRule type="expression" dxfId="8119" priority="957">
      <formula>AND(IF($Q301=3,1,0),IF($X301&lt;30,1,0))</formula>
    </cfRule>
    <cfRule type="expression" dxfId="8118" priority="958">
      <formula>AND(IF($Q301=3,1,IF($Q301=4,1,0)),IF($F301&lt;=85,1,0))</formula>
    </cfRule>
  </conditionalFormatting>
  <conditionalFormatting sqref="AV302">
    <cfRule type="expression" dxfId="8117" priority="953">
      <formula>AV302="X"</formula>
    </cfRule>
    <cfRule type="expression" dxfId="8116" priority="954">
      <formula>AV302="후보"</formula>
    </cfRule>
  </conditionalFormatting>
  <conditionalFormatting sqref="AC302">
    <cfRule type="cellIs" dxfId="8115" priority="951" operator="greaterThan">
      <formula>0.9</formula>
    </cfRule>
    <cfRule type="cellIs" dxfId="8114" priority="952" operator="greaterThan">
      <formula>0.85</formula>
    </cfRule>
  </conditionalFormatting>
  <conditionalFormatting sqref="N302">
    <cfRule type="cellIs" dxfId="8113" priority="949" operator="greaterThan">
      <formula>0.9</formula>
    </cfRule>
    <cfRule type="cellIs" dxfId="8112" priority="950" operator="greaterThan">
      <formula>0.85</formula>
    </cfRule>
  </conditionalFormatting>
  <conditionalFormatting sqref="E302">
    <cfRule type="expression" dxfId="8111" priority="945">
      <formula>AND(IF(OR($Q302=1,$Q302=2),1,0),IF($X302&lt;=20,1,0))</formula>
    </cfRule>
    <cfRule type="expression" dxfId="8110" priority="946">
      <formula>AND(IF($Q302=2,1,0),IF($X302&lt;30,1,0))</formula>
    </cfRule>
    <cfRule type="expression" dxfId="8109" priority="947">
      <formula>AND(IF($Q302=3,1,0),IF($X302&lt;30,1,0))</formula>
    </cfRule>
    <cfRule type="expression" dxfId="8108" priority="948">
      <formula>AND(IF($Q302=3,1,IF($Q302=4,1,0)),IF($F302&lt;=85,1,0))</formula>
    </cfRule>
  </conditionalFormatting>
  <conditionalFormatting sqref="X302">
    <cfRule type="expression" dxfId="8107" priority="941">
      <formula>AND(IF(OR($Q302=1,$Q302=2),1,0),IF($X302&lt;=20,1,0))</formula>
    </cfRule>
    <cfRule type="expression" dxfId="8106" priority="942">
      <formula>AND(IF($Q302=2,1,0),IF($X302&lt;30,1,0))</formula>
    </cfRule>
    <cfRule type="expression" dxfId="8105" priority="943">
      <formula>AND(IF($Q302=3,1,0),IF($X302&lt;30,1,0))</formula>
    </cfRule>
    <cfRule type="expression" dxfId="8104" priority="944">
      <formula>AND(IF($Q302=3,1,IF($Q302=4,1,0)),IF($F302&lt;=85,1,0))</formula>
    </cfRule>
  </conditionalFormatting>
  <conditionalFormatting sqref="AI302">
    <cfRule type="expression" dxfId="8103" priority="937">
      <formula>AND(IF(OR($Q302=1,$Q302=2),1,0),IF($X302&lt;=20,1,0))</formula>
    </cfRule>
    <cfRule type="expression" dxfId="8102" priority="938">
      <formula>AND(IF($Q302=2,1,0),IF($X302&lt;30,1,0))</formula>
    </cfRule>
    <cfRule type="expression" dxfId="8101" priority="939">
      <formula>AND(IF($Q302=3,1,0),IF($X302&lt;30,1,0))</formula>
    </cfRule>
    <cfRule type="expression" dxfId="8100" priority="940">
      <formula>AND(IF($Q302=3,1,IF($Q302=4,1,0)),IF($F302&lt;=85,1,0))</formula>
    </cfRule>
  </conditionalFormatting>
  <conditionalFormatting sqref="AV303">
    <cfRule type="expression" dxfId="8099" priority="935">
      <formula>AV303="X"</formula>
    </cfRule>
    <cfRule type="expression" dxfId="8098" priority="936">
      <formula>AV303="후보"</formula>
    </cfRule>
  </conditionalFormatting>
  <conditionalFormatting sqref="AC303">
    <cfRule type="cellIs" dxfId="8097" priority="933" operator="greaterThan">
      <formula>0.9</formula>
    </cfRule>
    <cfRule type="cellIs" dxfId="8096" priority="934" operator="greaterThan">
      <formula>0.85</formula>
    </cfRule>
  </conditionalFormatting>
  <conditionalFormatting sqref="N303">
    <cfRule type="cellIs" dxfId="8095" priority="931" operator="greaterThan">
      <formula>0.9</formula>
    </cfRule>
    <cfRule type="cellIs" dxfId="8094" priority="932" operator="greaterThan">
      <formula>0.85</formula>
    </cfRule>
  </conditionalFormatting>
  <conditionalFormatting sqref="E303">
    <cfRule type="expression" dxfId="8093" priority="927">
      <formula>AND(IF(OR($Q303=1,$Q303=2),1,0),IF($X303&lt;=20,1,0))</formula>
    </cfRule>
    <cfRule type="expression" dxfId="8092" priority="928">
      <formula>AND(IF($Q303=2,1,0),IF($X303&lt;30,1,0))</formula>
    </cfRule>
    <cfRule type="expression" dxfId="8091" priority="929">
      <formula>AND(IF($Q303=3,1,0),IF($X303&lt;30,1,0))</formula>
    </cfRule>
    <cfRule type="expression" dxfId="8090" priority="930">
      <formula>AND(IF($Q303=3,1,IF($Q303=4,1,0)),IF($F303&lt;=85,1,0))</formula>
    </cfRule>
  </conditionalFormatting>
  <conditionalFormatting sqref="X303">
    <cfRule type="expression" dxfId="8089" priority="923">
      <formula>AND(IF(OR($Q303=1,$Q303=2),1,0),IF($X303&lt;=20,1,0))</formula>
    </cfRule>
    <cfRule type="expression" dxfId="8088" priority="924">
      <formula>AND(IF($Q303=2,1,0),IF($X303&lt;30,1,0))</formula>
    </cfRule>
    <cfRule type="expression" dxfId="8087" priority="925">
      <formula>AND(IF($Q303=3,1,0),IF($X303&lt;30,1,0))</formula>
    </cfRule>
    <cfRule type="expression" dxfId="8086" priority="926">
      <formula>AND(IF($Q303=3,1,IF($Q303=4,1,0)),IF($F303&lt;=85,1,0))</formula>
    </cfRule>
  </conditionalFormatting>
  <conditionalFormatting sqref="AI303">
    <cfRule type="expression" dxfId="8085" priority="919">
      <formula>AND(IF(OR($Q303=1,$Q303=2),1,0),IF($X303&lt;=20,1,0))</formula>
    </cfRule>
    <cfRule type="expression" dxfId="8084" priority="920">
      <formula>AND(IF($Q303=2,1,0),IF($X303&lt;30,1,0))</formula>
    </cfRule>
    <cfRule type="expression" dxfId="8083" priority="921">
      <formula>AND(IF($Q303=3,1,0),IF($X303&lt;30,1,0))</formula>
    </cfRule>
    <cfRule type="expression" dxfId="8082" priority="922">
      <formula>AND(IF($Q303=3,1,IF($Q303=4,1,0)),IF($F303&lt;=85,1,0))</formula>
    </cfRule>
  </conditionalFormatting>
  <conditionalFormatting sqref="AV304">
    <cfRule type="expression" dxfId="8081" priority="917">
      <formula>AV304="X"</formula>
    </cfRule>
    <cfRule type="expression" dxfId="8080" priority="918">
      <formula>AV304="후보"</formula>
    </cfRule>
  </conditionalFormatting>
  <conditionalFormatting sqref="AC304">
    <cfRule type="cellIs" dxfId="8079" priority="915" operator="greaterThan">
      <formula>0.9</formula>
    </cfRule>
    <cfRule type="cellIs" dxfId="8078" priority="916" operator="greaterThan">
      <formula>0.85</formula>
    </cfRule>
  </conditionalFormatting>
  <conditionalFormatting sqref="N304">
    <cfRule type="cellIs" dxfId="8077" priority="913" operator="greaterThan">
      <formula>0.9</formula>
    </cfRule>
    <cfRule type="cellIs" dxfId="8076" priority="914" operator="greaterThan">
      <formula>0.85</formula>
    </cfRule>
  </conditionalFormatting>
  <conditionalFormatting sqref="E304">
    <cfRule type="expression" dxfId="8075" priority="909">
      <formula>AND(IF(OR($Q304=1,$Q304=2),1,0),IF($X304&lt;=20,1,0))</formula>
    </cfRule>
    <cfRule type="expression" dxfId="8074" priority="910">
      <formula>AND(IF($Q304=2,1,0),IF($X304&lt;30,1,0))</formula>
    </cfRule>
    <cfRule type="expression" dxfId="8073" priority="911">
      <formula>AND(IF($Q304=3,1,0),IF($X304&lt;30,1,0))</formula>
    </cfRule>
    <cfRule type="expression" dxfId="8072" priority="912">
      <formula>AND(IF($Q304=3,1,IF($Q304=4,1,0)),IF($F304&lt;=85,1,0))</formula>
    </cfRule>
  </conditionalFormatting>
  <conditionalFormatting sqref="X304">
    <cfRule type="expression" dxfId="8071" priority="905">
      <formula>AND(IF(OR($Q304=1,$Q304=2),1,0),IF($X304&lt;=20,1,0))</formula>
    </cfRule>
    <cfRule type="expression" dxfId="8070" priority="906">
      <formula>AND(IF($Q304=2,1,0),IF($X304&lt;30,1,0))</formula>
    </cfRule>
    <cfRule type="expression" dxfId="8069" priority="907">
      <formula>AND(IF($Q304=3,1,0),IF($X304&lt;30,1,0))</formula>
    </cfRule>
    <cfRule type="expression" dxfId="8068" priority="908">
      <formula>AND(IF($Q304=3,1,IF($Q304=4,1,0)),IF($F304&lt;=85,1,0))</formula>
    </cfRule>
  </conditionalFormatting>
  <conditionalFormatting sqref="AI304">
    <cfRule type="expression" dxfId="8067" priority="901">
      <formula>AND(IF(OR($Q304=1,$Q304=2),1,0),IF($X304&lt;=20,1,0))</formula>
    </cfRule>
    <cfRule type="expression" dxfId="8066" priority="902">
      <formula>AND(IF($Q304=2,1,0),IF($X304&lt;30,1,0))</formula>
    </cfRule>
    <cfRule type="expression" dxfId="8065" priority="903">
      <formula>AND(IF($Q304=3,1,0),IF($X304&lt;30,1,0))</formula>
    </cfRule>
    <cfRule type="expression" dxfId="8064" priority="904">
      <formula>AND(IF($Q304=3,1,IF($Q304=4,1,0)),IF($F304&lt;=85,1,0))</formula>
    </cfRule>
  </conditionalFormatting>
  <conditionalFormatting sqref="AV305">
    <cfRule type="expression" dxfId="8063" priority="899">
      <formula>AV305="X"</formula>
    </cfRule>
    <cfRule type="expression" dxfId="8062" priority="900">
      <formula>AV305="후보"</formula>
    </cfRule>
  </conditionalFormatting>
  <conditionalFormatting sqref="AC305">
    <cfRule type="cellIs" dxfId="8061" priority="897" operator="greaterThan">
      <formula>0.9</formula>
    </cfRule>
    <cfRule type="cellIs" dxfId="8060" priority="898" operator="greaterThan">
      <formula>0.85</formula>
    </cfRule>
  </conditionalFormatting>
  <conditionalFormatting sqref="N305">
    <cfRule type="cellIs" dxfId="8059" priority="895" operator="greaterThan">
      <formula>0.9</formula>
    </cfRule>
    <cfRule type="cellIs" dxfId="8058" priority="896" operator="greaterThan">
      <formula>0.85</formula>
    </cfRule>
  </conditionalFormatting>
  <conditionalFormatting sqref="E305">
    <cfRule type="expression" dxfId="8057" priority="891">
      <formula>AND(IF(OR($Q305=1,$Q305=2),1,0),IF($X305&lt;=20,1,0))</formula>
    </cfRule>
    <cfRule type="expression" dxfId="8056" priority="892">
      <formula>AND(IF($Q305=2,1,0),IF($X305&lt;30,1,0))</formula>
    </cfRule>
    <cfRule type="expression" dxfId="8055" priority="893">
      <formula>AND(IF($Q305=3,1,0),IF($X305&lt;30,1,0))</formula>
    </cfRule>
    <cfRule type="expression" dxfId="8054" priority="894">
      <formula>AND(IF($Q305=3,1,IF($Q305=4,1,0)),IF($F305&lt;=85,1,0))</formula>
    </cfRule>
  </conditionalFormatting>
  <conditionalFormatting sqref="X305">
    <cfRule type="expression" dxfId="8053" priority="887">
      <formula>AND(IF(OR($Q305=1,$Q305=2),1,0),IF($X305&lt;=20,1,0))</formula>
    </cfRule>
    <cfRule type="expression" dxfId="8052" priority="888">
      <formula>AND(IF($Q305=2,1,0),IF($X305&lt;30,1,0))</formula>
    </cfRule>
    <cfRule type="expression" dxfId="8051" priority="889">
      <formula>AND(IF($Q305=3,1,0),IF($X305&lt;30,1,0))</formula>
    </cfRule>
    <cfRule type="expression" dxfId="8050" priority="890">
      <formula>AND(IF($Q305=3,1,IF($Q305=4,1,0)),IF($F305&lt;=85,1,0))</formula>
    </cfRule>
  </conditionalFormatting>
  <conditionalFormatting sqref="AI305">
    <cfRule type="expression" dxfId="8049" priority="883">
      <formula>AND(IF(OR($Q305=1,$Q305=2),1,0),IF($X305&lt;=20,1,0))</formula>
    </cfRule>
    <cfRule type="expression" dxfId="8048" priority="884">
      <formula>AND(IF($Q305=2,1,0),IF($X305&lt;30,1,0))</formula>
    </cfRule>
    <cfRule type="expression" dxfId="8047" priority="885">
      <formula>AND(IF($Q305=3,1,0),IF($X305&lt;30,1,0))</formula>
    </cfRule>
    <cfRule type="expression" dxfId="8046" priority="886">
      <formula>AND(IF($Q305=3,1,IF($Q305=4,1,0)),IF($F305&lt;=85,1,0))</formula>
    </cfRule>
  </conditionalFormatting>
  <conditionalFormatting sqref="AV306">
    <cfRule type="expression" dxfId="8045" priority="881">
      <formula>AV306="X"</formula>
    </cfRule>
    <cfRule type="expression" dxfId="8044" priority="882">
      <formula>AV306="후보"</formula>
    </cfRule>
  </conditionalFormatting>
  <conditionalFormatting sqref="AC306">
    <cfRule type="cellIs" dxfId="8043" priority="879" operator="greaterThan">
      <formula>0.9</formula>
    </cfRule>
    <cfRule type="cellIs" dxfId="8042" priority="880" operator="greaterThan">
      <formula>0.85</formula>
    </cfRule>
  </conditionalFormatting>
  <conditionalFormatting sqref="N306">
    <cfRule type="cellIs" dxfId="8041" priority="877" operator="greaterThan">
      <formula>0.9</formula>
    </cfRule>
    <cfRule type="cellIs" dxfId="8040" priority="878" operator="greaterThan">
      <formula>0.85</formula>
    </cfRule>
  </conditionalFormatting>
  <conditionalFormatting sqref="E306">
    <cfRule type="expression" dxfId="8039" priority="873">
      <formula>AND(IF(OR($Q306=1,$Q306=2),1,0),IF($X306&lt;=20,1,0))</formula>
    </cfRule>
    <cfRule type="expression" dxfId="8038" priority="874">
      <formula>AND(IF($Q306=2,1,0),IF($X306&lt;30,1,0))</formula>
    </cfRule>
    <cfRule type="expression" dxfId="8037" priority="875">
      <formula>AND(IF($Q306=3,1,0),IF($X306&lt;30,1,0))</formula>
    </cfRule>
    <cfRule type="expression" dxfId="8036" priority="876">
      <formula>AND(IF($Q306=3,1,IF($Q306=4,1,0)),IF($F306&lt;=85,1,0))</formula>
    </cfRule>
  </conditionalFormatting>
  <conditionalFormatting sqref="X306">
    <cfRule type="expression" dxfId="8035" priority="869">
      <formula>AND(IF(OR($Q306=1,$Q306=2),1,0),IF($X306&lt;=20,1,0))</formula>
    </cfRule>
    <cfRule type="expression" dxfId="8034" priority="870">
      <formula>AND(IF($Q306=2,1,0),IF($X306&lt;30,1,0))</formula>
    </cfRule>
    <cfRule type="expression" dxfId="8033" priority="871">
      <formula>AND(IF($Q306=3,1,0),IF($X306&lt;30,1,0))</formula>
    </cfRule>
    <cfRule type="expression" dxfId="8032" priority="872">
      <formula>AND(IF($Q306=3,1,IF($Q306=4,1,0)),IF($F306&lt;=85,1,0))</formula>
    </cfRule>
  </conditionalFormatting>
  <conditionalFormatting sqref="AI306">
    <cfRule type="expression" dxfId="8031" priority="865">
      <formula>AND(IF(OR($Q306=1,$Q306=2),1,0),IF($X306&lt;=20,1,0))</formula>
    </cfRule>
    <cfRule type="expression" dxfId="8030" priority="866">
      <formula>AND(IF($Q306=2,1,0),IF($X306&lt;30,1,0))</formula>
    </cfRule>
    <cfRule type="expression" dxfId="8029" priority="867">
      <formula>AND(IF($Q306=3,1,0),IF($X306&lt;30,1,0))</formula>
    </cfRule>
    <cfRule type="expression" dxfId="8028" priority="868">
      <formula>AND(IF($Q306=3,1,IF($Q306=4,1,0)),IF($F306&lt;=85,1,0))</formula>
    </cfRule>
  </conditionalFormatting>
  <conditionalFormatting sqref="AV307">
    <cfRule type="expression" dxfId="8027" priority="863">
      <formula>AV307="X"</formula>
    </cfRule>
    <cfRule type="expression" dxfId="8026" priority="864">
      <formula>AV307="후보"</formula>
    </cfRule>
  </conditionalFormatting>
  <conditionalFormatting sqref="AC307">
    <cfRule type="cellIs" dxfId="8025" priority="861" operator="greaterThan">
      <formula>0.9</formula>
    </cfRule>
    <cfRule type="cellIs" dxfId="8024" priority="862" operator="greaterThan">
      <formula>0.85</formula>
    </cfRule>
  </conditionalFormatting>
  <conditionalFormatting sqref="N307">
    <cfRule type="cellIs" dxfId="8023" priority="859" operator="greaterThan">
      <formula>0.9</formula>
    </cfRule>
    <cfRule type="cellIs" dxfId="8022" priority="860" operator="greaterThan">
      <formula>0.85</formula>
    </cfRule>
  </conditionalFormatting>
  <conditionalFormatting sqref="E307">
    <cfRule type="expression" dxfId="8021" priority="855">
      <formula>AND(IF(OR($Q307=1,$Q307=2),1,0),IF($X307&lt;=20,1,0))</formula>
    </cfRule>
    <cfRule type="expression" dxfId="8020" priority="856">
      <formula>AND(IF($Q307=2,1,0),IF($X307&lt;30,1,0))</formula>
    </cfRule>
    <cfRule type="expression" dxfId="8019" priority="857">
      <formula>AND(IF($Q307=3,1,0),IF($X307&lt;30,1,0))</formula>
    </cfRule>
    <cfRule type="expression" dxfId="8018" priority="858">
      <formula>AND(IF($Q307=3,1,IF($Q307=4,1,0)),IF($F307&lt;=85,1,0))</formula>
    </cfRule>
  </conditionalFormatting>
  <conditionalFormatting sqref="X307">
    <cfRule type="expression" dxfId="8017" priority="851">
      <formula>AND(IF(OR($Q307=1,$Q307=2),1,0),IF($X307&lt;=20,1,0))</formula>
    </cfRule>
    <cfRule type="expression" dxfId="8016" priority="852">
      <formula>AND(IF($Q307=2,1,0),IF($X307&lt;30,1,0))</formula>
    </cfRule>
    <cfRule type="expression" dxfId="8015" priority="853">
      <formula>AND(IF($Q307=3,1,0),IF($X307&lt;30,1,0))</formula>
    </cfRule>
    <cfRule type="expression" dxfId="8014" priority="854">
      <formula>AND(IF($Q307=3,1,IF($Q307=4,1,0)),IF($F307&lt;=85,1,0))</formula>
    </cfRule>
  </conditionalFormatting>
  <conditionalFormatting sqref="AI307">
    <cfRule type="expression" dxfId="8013" priority="847">
      <formula>AND(IF(OR($Q307=1,$Q307=2),1,0),IF($X307&lt;=20,1,0))</formula>
    </cfRule>
    <cfRule type="expression" dxfId="8012" priority="848">
      <formula>AND(IF($Q307=2,1,0),IF($X307&lt;30,1,0))</formula>
    </cfRule>
    <cfRule type="expression" dxfId="8011" priority="849">
      <formula>AND(IF($Q307=3,1,0),IF($X307&lt;30,1,0))</formula>
    </cfRule>
    <cfRule type="expression" dxfId="8010" priority="850">
      <formula>AND(IF($Q307=3,1,IF($Q307=4,1,0)),IF($F307&lt;=85,1,0))</formula>
    </cfRule>
  </conditionalFormatting>
  <conditionalFormatting sqref="AV308">
    <cfRule type="expression" dxfId="8009" priority="845">
      <formula>AV308="X"</formula>
    </cfRule>
    <cfRule type="expression" dxfId="8008" priority="846">
      <formula>AV308="후보"</formula>
    </cfRule>
  </conditionalFormatting>
  <conditionalFormatting sqref="AC308">
    <cfRule type="cellIs" dxfId="8007" priority="843" operator="greaterThan">
      <formula>0.9</formula>
    </cfRule>
    <cfRule type="cellIs" dxfId="8006" priority="844" operator="greaterThan">
      <formula>0.85</formula>
    </cfRule>
  </conditionalFormatting>
  <conditionalFormatting sqref="N308">
    <cfRule type="cellIs" dxfId="8005" priority="841" operator="greaterThan">
      <formula>0.9</formula>
    </cfRule>
    <cfRule type="cellIs" dxfId="8004" priority="842" operator="greaterThan">
      <formula>0.85</formula>
    </cfRule>
  </conditionalFormatting>
  <conditionalFormatting sqref="E308">
    <cfRule type="expression" dxfId="8003" priority="837">
      <formula>AND(IF(OR($Q308=1,$Q308=2),1,0),IF($X308&lt;=20,1,0))</formula>
    </cfRule>
    <cfRule type="expression" dxfId="8002" priority="838">
      <formula>AND(IF($Q308=2,1,0),IF($X308&lt;30,1,0))</formula>
    </cfRule>
    <cfRule type="expression" dxfId="8001" priority="839">
      <formula>AND(IF($Q308=3,1,0),IF($X308&lt;30,1,0))</formula>
    </cfRule>
    <cfRule type="expression" dxfId="8000" priority="840">
      <formula>AND(IF($Q308=3,1,IF($Q308=4,1,0)),IF($F308&lt;=85,1,0))</formula>
    </cfRule>
  </conditionalFormatting>
  <conditionalFormatting sqref="X308">
    <cfRule type="expression" dxfId="7999" priority="833">
      <formula>AND(IF(OR($Q308=1,$Q308=2),1,0),IF($X308&lt;=20,1,0))</formula>
    </cfRule>
    <cfRule type="expression" dxfId="7998" priority="834">
      <formula>AND(IF($Q308=2,1,0),IF($X308&lt;30,1,0))</formula>
    </cfRule>
    <cfRule type="expression" dxfId="7997" priority="835">
      <formula>AND(IF($Q308=3,1,0),IF($X308&lt;30,1,0))</formula>
    </cfRule>
    <cfRule type="expression" dxfId="7996" priority="836">
      <formula>AND(IF($Q308=3,1,IF($Q308=4,1,0)),IF($F308&lt;=85,1,0))</formula>
    </cfRule>
  </conditionalFormatting>
  <conditionalFormatting sqref="AI308">
    <cfRule type="expression" dxfId="7995" priority="829">
      <formula>AND(IF(OR($Q308=1,$Q308=2),1,0),IF($X308&lt;=20,1,0))</formula>
    </cfRule>
    <cfRule type="expression" dxfId="7994" priority="830">
      <formula>AND(IF($Q308=2,1,0),IF($X308&lt;30,1,0))</formula>
    </cfRule>
    <cfRule type="expression" dxfId="7993" priority="831">
      <formula>AND(IF($Q308=3,1,0),IF($X308&lt;30,1,0))</formula>
    </cfRule>
    <cfRule type="expression" dxfId="7992" priority="832">
      <formula>AND(IF($Q308=3,1,IF($Q308=4,1,0)),IF($F308&lt;=85,1,0))</formula>
    </cfRule>
  </conditionalFormatting>
  <conditionalFormatting sqref="AV309">
    <cfRule type="expression" dxfId="7991" priority="827">
      <formula>AV309="X"</formula>
    </cfRule>
    <cfRule type="expression" dxfId="7990" priority="828">
      <formula>AV309="후보"</formula>
    </cfRule>
  </conditionalFormatting>
  <conditionalFormatting sqref="AC309">
    <cfRule type="cellIs" dxfId="7989" priority="825" operator="greaterThan">
      <formula>0.9</formula>
    </cfRule>
    <cfRule type="cellIs" dxfId="7988" priority="826" operator="greaterThan">
      <formula>0.85</formula>
    </cfRule>
  </conditionalFormatting>
  <conditionalFormatting sqref="N309">
    <cfRule type="cellIs" dxfId="7987" priority="823" operator="greaterThan">
      <formula>0.9</formula>
    </cfRule>
    <cfRule type="cellIs" dxfId="7986" priority="824" operator="greaterThan">
      <formula>0.85</formula>
    </cfRule>
  </conditionalFormatting>
  <conditionalFormatting sqref="E309">
    <cfRule type="expression" dxfId="7985" priority="819">
      <formula>AND(IF(OR($Q309=1,$Q309=2),1,0),IF($X309&lt;=20,1,0))</formula>
    </cfRule>
    <cfRule type="expression" dxfId="7984" priority="820">
      <formula>AND(IF($Q309=2,1,0),IF($X309&lt;30,1,0))</formula>
    </cfRule>
    <cfRule type="expression" dxfId="7983" priority="821">
      <formula>AND(IF($Q309=3,1,0),IF($X309&lt;30,1,0))</formula>
    </cfRule>
    <cfRule type="expression" dxfId="7982" priority="822">
      <formula>AND(IF($Q309=3,1,IF($Q309=4,1,0)),IF($F309&lt;=85,1,0))</formula>
    </cfRule>
  </conditionalFormatting>
  <conditionalFormatting sqref="X309">
    <cfRule type="expression" dxfId="7981" priority="815">
      <formula>AND(IF(OR($Q309=1,$Q309=2),1,0),IF($X309&lt;=20,1,0))</formula>
    </cfRule>
    <cfRule type="expression" dxfId="7980" priority="816">
      <formula>AND(IF($Q309=2,1,0),IF($X309&lt;30,1,0))</formula>
    </cfRule>
    <cfRule type="expression" dxfId="7979" priority="817">
      <formula>AND(IF($Q309=3,1,0),IF($X309&lt;30,1,0))</formula>
    </cfRule>
    <cfRule type="expression" dxfId="7978" priority="818">
      <formula>AND(IF($Q309=3,1,IF($Q309=4,1,0)),IF($F309&lt;=85,1,0))</formula>
    </cfRule>
  </conditionalFormatting>
  <conditionalFormatting sqref="AI309">
    <cfRule type="expression" dxfId="7977" priority="811">
      <formula>AND(IF(OR($Q309=1,$Q309=2),1,0),IF($X309&lt;=20,1,0))</formula>
    </cfRule>
    <cfRule type="expression" dxfId="7976" priority="812">
      <formula>AND(IF($Q309=2,1,0),IF($X309&lt;30,1,0))</formula>
    </cfRule>
    <cfRule type="expression" dxfId="7975" priority="813">
      <formula>AND(IF($Q309=3,1,0),IF($X309&lt;30,1,0))</formula>
    </cfRule>
    <cfRule type="expression" dxfId="7974" priority="814">
      <formula>AND(IF($Q309=3,1,IF($Q309=4,1,0)),IF($F309&lt;=85,1,0))</formula>
    </cfRule>
  </conditionalFormatting>
  <conditionalFormatting sqref="AV310">
    <cfRule type="expression" dxfId="7973" priority="809">
      <formula>AV310="X"</formula>
    </cfRule>
    <cfRule type="expression" dxfId="7972" priority="810">
      <formula>AV310="후보"</formula>
    </cfRule>
  </conditionalFormatting>
  <conditionalFormatting sqref="AC310">
    <cfRule type="cellIs" dxfId="7971" priority="807" operator="greaterThan">
      <formula>0.9</formula>
    </cfRule>
    <cfRule type="cellIs" dxfId="7970" priority="808" operator="greaterThan">
      <formula>0.85</formula>
    </cfRule>
  </conditionalFormatting>
  <conditionalFormatting sqref="N310">
    <cfRule type="cellIs" dxfId="7969" priority="805" operator="greaterThan">
      <formula>0.9</formula>
    </cfRule>
    <cfRule type="cellIs" dxfId="7968" priority="806" operator="greaterThan">
      <formula>0.85</formula>
    </cfRule>
  </conditionalFormatting>
  <conditionalFormatting sqref="E310">
    <cfRule type="expression" dxfId="7967" priority="801">
      <formula>AND(IF(OR($Q310=1,$Q310=2),1,0),IF($X310&lt;=20,1,0))</formula>
    </cfRule>
    <cfRule type="expression" dxfId="7966" priority="802">
      <formula>AND(IF($Q310=2,1,0),IF($X310&lt;30,1,0))</formula>
    </cfRule>
    <cfRule type="expression" dxfId="7965" priority="803">
      <formula>AND(IF($Q310=3,1,0),IF($X310&lt;30,1,0))</formula>
    </cfRule>
    <cfRule type="expression" dxfId="7964" priority="804">
      <formula>AND(IF($Q310=3,1,IF($Q310=4,1,0)),IF($F310&lt;=85,1,0))</formula>
    </cfRule>
  </conditionalFormatting>
  <conditionalFormatting sqref="X310">
    <cfRule type="expression" dxfId="7963" priority="797">
      <formula>AND(IF(OR($Q310=1,$Q310=2),1,0),IF($X310&lt;=20,1,0))</formula>
    </cfRule>
    <cfRule type="expression" dxfId="7962" priority="798">
      <formula>AND(IF($Q310=2,1,0),IF($X310&lt;30,1,0))</formula>
    </cfRule>
    <cfRule type="expression" dxfId="7961" priority="799">
      <formula>AND(IF($Q310=3,1,0),IF($X310&lt;30,1,0))</formula>
    </cfRule>
    <cfRule type="expression" dxfId="7960" priority="800">
      <formula>AND(IF($Q310=3,1,IF($Q310=4,1,0)),IF($F310&lt;=85,1,0))</formula>
    </cfRule>
  </conditionalFormatting>
  <conditionalFormatting sqref="AI310">
    <cfRule type="expression" dxfId="7959" priority="793">
      <formula>AND(IF(OR($Q310=1,$Q310=2),1,0),IF($X310&lt;=20,1,0))</formula>
    </cfRule>
    <cfRule type="expression" dxfId="7958" priority="794">
      <formula>AND(IF($Q310=2,1,0),IF($X310&lt;30,1,0))</formula>
    </cfRule>
    <cfRule type="expression" dxfId="7957" priority="795">
      <formula>AND(IF($Q310=3,1,0),IF($X310&lt;30,1,0))</formula>
    </cfRule>
    <cfRule type="expression" dxfId="7956" priority="796">
      <formula>AND(IF($Q310=3,1,IF($Q310=4,1,0)),IF($F310&lt;=85,1,0))</formula>
    </cfRule>
  </conditionalFormatting>
  <conditionalFormatting sqref="AV311">
    <cfRule type="expression" dxfId="7955" priority="791">
      <formula>AV311="X"</formula>
    </cfRule>
    <cfRule type="expression" dxfId="7954" priority="792">
      <formula>AV311="후보"</formula>
    </cfRule>
  </conditionalFormatting>
  <conditionalFormatting sqref="AC311">
    <cfRule type="cellIs" dxfId="7953" priority="789" operator="greaterThan">
      <formula>0.9</formula>
    </cfRule>
    <cfRule type="cellIs" dxfId="7952" priority="790" operator="greaterThan">
      <formula>0.85</formula>
    </cfRule>
  </conditionalFormatting>
  <conditionalFormatting sqref="N311">
    <cfRule type="cellIs" dxfId="7951" priority="787" operator="greaterThan">
      <formula>0.9</formula>
    </cfRule>
    <cfRule type="cellIs" dxfId="7950" priority="788" operator="greaterThan">
      <formula>0.85</formula>
    </cfRule>
  </conditionalFormatting>
  <conditionalFormatting sqref="E311">
    <cfRule type="expression" dxfId="7949" priority="783">
      <formula>AND(IF(OR($Q311=1,$Q311=2),1,0),IF($X311&lt;=20,1,0))</formula>
    </cfRule>
    <cfRule type="expression" dxfId="7948" priority="784">
      <formula>AND(IF($Q311=2,1,0),IF($X311&lt;30,1,0))</formula>
    </cfRule>
    <cfRule type="expression" dxfId="7947" priority="785">
      <formula>AND(IF($Q311=3,1,0),IF($X311&lt;30,1,0))</formula>
    </cfRule>
    <cfRule type="expression" dxfId="7946" priority="786">
      <formula>AND(IF($Q311=3,1,IF($Q311=4,1,0)),IF($F311&lt;=85,1,0))</formula>
    </cfRule>
  </conditionalFormatting>
  <conditionalFormatting sqref="X311">
    <cfRule type="expression" dxfId="7945" priority="779">
      <formula>AND(IF(OR($Q311=1,$Q311=2),1,0),IF($X311&lt;=20,1,0))</formula>
    </cfRule>
    <cfRule type="expression" dxfId="7944" priority="780">
      <formula>AND(IF($Q311=2,1,0),IF($X311&lt;30,1,0))</formula>
    </cfRule>
    <cfRule type="expression" dxfId="7943" priority="781">
      <formula>AND(IF($Q311=3,1,0),IF($X311&lt;30,1,0))</formula>
    </cfRule>
    <cfRule type="expression" dxfId="7942" priority="782">
      <formula>AND(IF($Q311=3,1,IF($Q311=4,1,0)),IF($F311&lt;=85,1,0))</formula>
    </cfRule>
  </conditionalFormatting>
  <conditionalFormatting sqref="AI311">
    <cfRule type="expression" dxfId="7941" priority="775">
      <formula>AND(IF(OR($Q311=1,$Q311=2),1,0),IF($X311&lt;=20,1,0))</formula>
    </cfRule>
    <cfRule type="expression" dxfId="7940" priority="776">
      <formula>AND(IF($Q311=2,1,0),IF($X311&lt;30,1,0))</formula>
    </cfRule>
    <cfRule type="expression" dxfId="7939" priority="777">
      <formula>AND(IF($Q311=3,1,0),IF($X311&lt;30,1,0))</formula>
    </cfRule>
    <cfRule type="expression" dxfId="7938" priority="778">
      <formula>AND(IF($Q311=3,1,IF($Q311=4,1,0)),IF($F311&lt;=85,1,0))</formula>
    </cfRule>
  </conditionalFormatting>
  <conditionalFormatting sqref="AV312">
    <cfRule type="expression" dxfId="7937" priority="773">
      <formula>AV312="X"</formula>
    </cfRule>
    <cfRule type="expression" dxfId="7936" priority="774">
      <formula>AV312="후보"</formula>
    </cfRule>
  </conditionalFormatting>
  <conditionalFormatting sqref="AC312">
    <cfRule type="cellIs" dxfId="7935" priority="771" operator="greaterThan">
      <formula>0.9</formula>
    </cfRule>
    <cfRule type="cellIs" dxfId="7934" priority="772" operator="greaterThan">
      <formula>0.85</formula>
    </cfRule>
  </conditionalFormatting>
  <conditionalFormatting sqref="N312">
    <cfRule type="cellIs" dxfId="7933" priority="769" operator="greaterThan">
      <formula>0.9</formula>
    </cfRule>
    <cfRule type="cellIs" dxfId="7932" priority="770" operator="greaterThan">
      <formula>0.85</formula>
    </cfRule>
  </conditionalFormatting>
  <conditionalFormatting sqref="E312">
    <cfRule type="expression" dxfId="7931" priority="765">
      <formula>AND(IF(OR($Q312=1,$Q312=2),1,0),IF($X312&lt;=20,1,0))</formula>
    </cfRule>
    <cfRule type="expression" dxfId="7930" priority="766">
      <formula>AND(IF($Q312=2,1,0),IF($X312&lt;30,1,0))</formula>
    </cfRule>
    <cfRule type="expression" dxfId="7929" priority="767">
      <formula>AND(IF($Q312=3,1,0),IF($X312&lt;30,1,0))</formula>
    </cfRule>
    <cfRule type="expression" dxfId="7928" priority="768">
      <formula>AND(IF($Q312=3,1,IF($Q312=4,1,0)),IF($F312&lt;=85,1,0))</formula>
    </cfRule>
  </conditionalFormatting>
  <conditionalFormatting sqref="X312">
    <cfRule type="expression" dxfId="7927" priority="761">
      <formula>AND(IF(OR($Q312=1,$Q312=2),1,0),IF($X312&lt;=20,1,0))</formula>
    </cfRule>
    <cfRule type="expression" dxfId="7926" priority="762">
      <formula>AND(IF($Q312=2,1,0),IF($X312&lt;30,1,0))</formula>
    </cfRule>
    <cfRule type="expression" dxfId="7925" priority="763">
      <formula>AND(IF($Q312=3,1,0),IF($X312&lt;30,1,0))</formula>
    </cfRule>
    <cfRule type="expression" dxfId="7924" priority="764">
      <formula>AND(IF($Q312=3,1,IF($Q312=4,1,0)),IF($F312&lt;=85,1,0))</formula>
    </cfRule>
  </conditionalFormatting>
  <conditionalFormatting sqref="AI312">
    <cfRule type="expression" dxfId="7923" priority="757">
      <formula>AND(IF(OR($Q312=1,$Q312=2),1,0),IF($X312&lt;=20,1,0))</formula>
    </cfRule>
    <cfRule type="expression" dxfId="7922" priority="758">
      <formula>AND(IF($Q312=2,1,0),IF($X312&lt;30,1,0))</formula>
    </cfRule>
    <cfRule type="expression" dxfId="7921" priority="759">
      <formula>AND(IF($Q312=3,1,0),IF($X312&lt;30,1,0))</formula>
    </cfRule>
    <cfRule type="expression" dxfId="7920" priority="760">
      <formula>AND(IF($Q312=3,1,IF($Q312=4,1,0)),IF($F312&lt;=85,1,0))</formula>
    </cfRule>
  </conditionalFormatting>
  <conditionalFormatting sqref="AV313">
    <cfRule type="expression" dxfId="7919" priority="755">
      <formula>AV313="X"</formula>
    </cfRule>
    <cfRule type="expression" dxfId="7918" priority="756">
      <formula>AV313="후보"</formula>
    </cfRule>
  </conditionalFormatting>
  <conditionalFormatting sqref="AC313">
    <cfRule type="cellIs" dxfId="7917" priority="753" operator="greaterThan">
      <formula>0.9</formula>
    </cfRule>
    <cfRule type="cellIs" dxfId="7916" priority="754" operator="greaterThan">
      <formula>0.85</formula>
    </cfRule>
  </conditionalFormatting>
  <conditionalFormatting sqref="N313">
    <cfRule type="cellIs" dxfId="7915" priority="751" operator="greaterThan">
      <formula>0.9</formula>
    </cfRule>
    <cfRule type="cellIs" dxfId="7914" priority="752" operator="greaterThan">
      <formula>0.85</formula>
    </cfRule>
  </conditionalFormatting>
  <conditionalFormatting sqref="E313">
    <cfRule type="expression" dxfId="7913" priority="747">
      <formula>AND(IF(OR($Q313=1,$Q313=2),1,0),IF($X313&lt;=20,1,0))</formula>
    </cfRule>
    <cfRule type="expression" dxfId="7912" priority="748">
      <formula>AND(IF($Q313=2,1,0),IF($X313&lt;30,1,0))</formula>
    </cfRule>
    <cfRule type="expression" dxfId="7911" priority="749">
      <formula>AND(IF($Q313=3,1,0),IF($X313&lt;30,1,0))</formula>
    </cfRule>
    <cfRule type="expression" dxfId="7910" priority="750">
      <formula>AND(IF($Q313=3,1,IF($Q313=4,1,0)),IF($F313&lt;=85,1,0))</formula>
    </cfRule>
  </conditionalFormatting>
  <conditionalFormatting sqref="X313">
    <cfRule type="expression" dxfId="7909" priority="743">
      <formula>AND(IF(OR($Q313=1,$Q313=2),1,0),IF($X313&lt;=20,1,0))</formula>
    </cfRule>
    <cfRule type="expression" dxfId="7908" priority="744">
      <formula>AND(IF($Q313=2,1,0),IF($X313&lt;30,1,0))</formula>
    </cfRule>
    <cfRule type="expression" dxfId="7907" priority="745">
      <formula>AND(IF($Q313=3,1,0),IF($X313&lt;30,1,0))</formula>
    </cfRule>
    <cfRule type="expression" dxfId="7906" priority="746">
      <formula>AND(IF($Q313=3,1,IF($Q313=4,1,0)),IF($F313&lt;=85,1,0))</formula>
    </cfRule>
  </conditionalFormatting>
  <conditionalFormatting sqref="AI313">
    <cfRule type="expression" dxfId="7905" priority="739">
      <formula>AND(IF(OR($Q313=1,$Q313=2),1,0),IF($X313&lt;=20,1,0))</formula>
    </cfRule>
    <cfRule type="expression" dxfId="7904" priority="740">
      <formula>AND(IF($Q313=2,1,0),IF($X313&lt;30,1,0))</formula>
    </cfRule>
    <cfRule type="expression" dxfId="7903" priority="741">
      <formula>AND(IF($Q313=3,1,0),IF($X313&lt;30,1,0))</formula>
    </cfRule>
    <cfRule type="expression" dxfId="7902" priority="742">
      <formula>AND(IF($Q313=3,1,IF($Q313=4,1,0)),IF($F313&lt;=85,1,0))</formula>
    </cfRule>
  </conditionalFormatting>
  <conditionalFormatting sqref="AV314">
    <cfRule type="expression" dxfId="7901" priority="737">
      <formula>AV314="X"</formula>
    </cfRule>
    <cfRule type="expression" dxfId="7900" priority="738">
      <formula>AV314="후보"</formula>
    </cfRule>
  </conditionalFormatting>
  <conditionalFormatting sqref="AC314">
    <cfRule type="cellIs" dxfId="7899" priority="735" operator="greaterThan">
      <formula>0.9</formula>
    </cfRule>
    <cfRule type="cellIs" dxfId="7898" priority="736" operator="greaterThan">
      <formula>0.85</formula>
    </cfRule>
  </conditionalFormatting>
  <conditionalFormatting sqref="N314">
    <cfRule type="cellIs" dxfId="7897" priority="733" operator="greaterThan">
      <formula>0.9</formula>
    </cfRule>
    <cfRule type="cellIs" dxfId="7896" priority="734" operator="greaterThan">
      <formula>0.85</formula>
    </cfRule>
  </conditionalFormatting>
  <conditionalFormatting sqref="E314">
    <cfRule type="expression" dxfId="7895" priority="729">
      <formula>AND(IF(OR($Q314=1,$Q314=2),1,0),IF($X314&lt;=20,1,0))</formula>
    </cfRule>
    <cfRule type="expression" dxfId="7894" priority="730">
      <formula>AND(IF($Q314=2,1,0),IF($X314&lt;30,1,0))</formula>
    </cfRule>
    <cfRule type="expression" dxfId="7893" priority="731">
      <formula>AND(IF($Q314=3,1,0),IF($X314&lt;30,1,0))</formula>
    </cfRule>
    <cfRule type="expression" dxfId="7892" priority="732">
      <formula>AND(IF($Q314=3,1,IF($Q314=4,1,0)),IF($F314&lt;=85,1,0))</formula>
    </cfRule>
  </conditionalFormatting>
  <conditionalFormatting sqref="X314">
    <cfRule type="expression" dxfId="7891" priority="725">
      <formula>AND(IF(OR($Q314=1,$Q314=2),1,0),IF($X314&lt;=20,1,0))</formula>
    </cfRule>
    <cfRule type="expression" dxfId="7890" priority="726">
      <formula>AND(IF($Q314=2,1,0),IF($X314&lt;30,1,0))</formula>
    </cfRule>
    <cfRule type="expression" dxfId="7889" priority="727">
      <formula>AND(IF($Q314=3,1,0),IF($X314&lt;30,1,0))</formula>
    </cfRule>
    <cfRule type="expression" dxfId="7888" priority="728">
      <formula>AND(IF($Q314=3,1,IF($Q314=4,1,0)),IF($F314&lt;=85,1,0))</formula>
    </cfRule>
  </conditionalFormatting>
  <conditionalFormatting sqref="AI314">
    <cfRule type="expression" dxfId="7887" priority="721">
      <formula>AND(IF(OR($Q314=1,$Q314=2),1,0),IF($X314&lt;=20,1,0))</formula>
    </cfRule>
    <cfRule type="expression" dxfId="7886" priority="722">
      <formula>AND(IF($Q314=2,1,0),IF($X314&lt;30,1,0))</formula>
    </cfRule>
    <cfRule type="expression" dxfId="7885" priority="723">
      <formula>AND(IF($Q314=3,1,0),IF($X314&lt;30,1,0))</formula>
    </cfRule>
    <cfRule type="expression" dxfId="7884" priority="724">
      <formula>AND(IF($Q314=3,1,IF($Q314=4,1,0)),IF($F314&lt;=85,1,0))</formula>
    </cfRule>
  </conditionalFormatting>
  <conditionalFormatting sqref="AV315">
    <cfRule type="expression" dxfId="7883" priority="719">
      <formula>AV315="X"</formula>
    </cfRule>
    <cfRule type="expression" dxfId="7882" priority="720">
      <formula>AV315="후보"</formula>
    </cfRule>
  </conditionalFormatting>
  <conditionalFormatting sqref="AC315">
    <cfRule type="cellIs" dxfId="7881" priority="717" operator="greaterThan">
      <formula>0.9</formula>
    </cfRule>
    <cfRule type="cellIs" dxfId="7880" priority="718" operator="greaterThan">
      <formula>0.85</formula>
    </cfRule>
  </conditionalFormatting>
  <conditionalFormatting sqref="N315">
    <cfRule type="cellIs" dxfId="7879" priority="715" operator="greaterThan">
      <formula>0.9</formula>
    </cfRule>
    <cfRule type="cellIs" dxfId="7878" priority="716" operator="greaterThan">
      <formula>0.85</formula>
    </cfRule>
  </conditionalFormatting>
  <conditionalFormatting sqref="E315">
    <cfRule type="expression" dxfId="7877" priority="711">
      <formula>AND(IF(OR($Q315=1,$Q315=2),1,0),IF($X315&lt;=20,1,0))</formula>
    </cfRule>
    <cfRule type="expression" dxfId="7876" priority="712">
      <formula>AND(IF($Q315=2,1,0),IF($X315&lt;30,1,0))</formula>
    </cfRule>
    <cfRule type="expression" dxfId="7875" priority="713">
      <formula>AND(IF($Q315=3,1,0),IF($X315&lt;30,1,0))</formula>
    </cfRule>
    <cfRule type="expression" dxfId="7874" priority="714">
      <formula>AND(IF($Q315=3,1,IF($Q315=4,1,0)),IF($F315&lt;=85,1,0))</formula>
    </cfRule>
  </conditionalFormatting>
  <conditionalFormatting sqref="X315">
    <cfRule type="expression" dxfId="7873" priority="707">
      <formula>AND(IF(OR($Q315=1,$Q315=2),1,0),IF($X315&lt;=20,1,0))</formula>
    </cfRule>
    <cfRule type="expression" dxfId="7872" priority="708">
      <formula>AND(IF($Q315=2,1,0),IF($X315&lt;30,1,0))</formula>
    </cfRule>
    <cfRule type="expression" dxfId="7871" priority="709">
      <formula>AND(IF($Q315=3,1,0),IF($X315&lt;30,1,0))</formula>
    </cfRule>
    <cfRule type="expression" dxfId="7870" priority="710">
      <formula>AND(IF($Q315=3,1,IF($Q315=4,1,0)),IF($F315&lt;=85,1,0))</formula>
    </cfRule>
  </conditionalFormatting>
  <conditionalFormatting sqref="AI315">
    <cfRule type="expression" dxfId="7869" priority="703">
      <formula>AND(IF(OR($Q315=1,$Q315=2),1,0),IF($X315&lt;=20,1,0))</formula>
    </cfRule>
    <cfRule type="expression" dxfId="7868" priority="704">
      <formula>AND(IF($Q315=2,1,0),IF($X315&lt;30,1,0))</formula>
    </cfRule>
    <cfRule type="expression" dxfId="7867" priority="705">
      <formula>AND(IF($Q315=3,1,0),IF($X315&lt;30,1,0))</formula>
    </cfRule>
    <cfRule type="expression" dxfId="7866" priority="706">
      <formula>AND(IF($Q315=3,1,IF($Q315=4,1,0)),IF($F315&lt;=85,1,0))</formula>
    </cfRule>
  </conditionalFormatting>
  <conditionalFormatting sqref="AV316">
    <cfRule type="expression" dxfId="7865" priority="701">
      <formula>AV316="X"</formula>
    </cfRule>
    <cfRule type="expression" dxfId="7864" priority="702">
      <formula>AV316="후보"</formula>
    </cfRule>
  </conditionalFormatting>
  <conditionalFormatting sqref="AC316">
    <cfRule type="cellIs" dxfId="7863" priority="699" operator="greaterThan">
      <formula>0.9</formula>
    </cfRule>
    <cfRule type="cellIs" dxfId="7862" priority="700" operator="greaterThan">
      <formula>0.85</formula>
    </cfRule>
  </conditionalFormatting>
  <conditionalFormatting sqref="N316">
    <cfRule type="cellIs" dxfId="7861" priority="697" operator="greaterThan">
      <formula>0.9</formula>
    </cfRule>
    <cfRule type="cellIs" dxfId="7860" priority="698" operator="greaterThan">
      <formula>0.85</formula>
    </cfRule>
  </conditionalFormatting>
  <conditionalFormatting sqref="E316">
    <cfRule type="expression" dxfId="7859" priority="693">
      <formula>AND(IF(OR($Q316=1,$Q316=2),1,0),IF($X316&lt;=20,1,0))</formula>
    </cfRule>
    <cfRule type="expression" dxfId="7858" priority="694">
      <formula>AND(IF($Q316=2,1,0),IF($X316&lt;30,1,0))</formula>
    </cfRule>
    <cfRule type="expression" dxfId="7857" priority="695">
      <formula>AND(IF($Q316=3,1,0),IF($X316&lt;30,1,0))</formula>
    </cfRule>
    <cfRule type="expression" dxfId="7856" priority="696">
      <formula>AND(IF($Q316=3,1,IF($Q316=4,1,0)),IF($F316&lt;=85,1,0))</formula>
    </cfRule>
  </conditionalFormatting>
  <conditionalFormatting sqref="X316">
    <cfRule type="expression" dxfId="7855" priority="689">
      <formula>AND(IF(OR($Q316=1,$Q316=2),1,0),IF($X316&lt;=20,1,0))</formula>
    </cfRule>
    <cfRule type="expression" dxfId="7854" priority="690">
      <formula>AND(IF($Q316=2,1,0),IF($X316&lt;30,1,0))</formula>
    </cfRule>
    <cfRule type="expression" dxfId="7853" priority="691">
      <formula>AND(IF($Q316=3,1,0),IF($X316&lt;30,1,0))</formula>
    </cfRule>
    <cfRule type="expression" dxfId="7852" priority="692">
      <formula>AND(IF($Q316=3,1,IF($Q316=4,1,0)),IF($F316&lt;=85,1,0))</formula>
    </cfRule>
  </conditionalFormatting>
  <conditionalFormatting sqref="AI316">
    <cfRule type="expression" dxfId="7851" priority="685">
      <formula>AND(IF(OR($Q316=1,$Q316=2),1,0),IF($X316&lt;=20,1,0))</formula>
    </cfRule>
    <cfRule type="expression" dxfId="7850" priority="686">
      <formula>AND(IF($Q316=2,1,0),IF($X316&lt;30,1,0))</formula>
    </cfRule>
    <cfRule type="expression" dxfId="7849" priority="687">
      <formula>AND(IF($Q316=3,1,0),IF($X316&lt;30,1,0))</formula>
    </cfRule>
    <cfRule type="expression" dxfId="7848" priority="688">
      <formula>AND(IF($Q316=3,1,IF($Q316=4,1,0)),IF($F316&lt;=85,1,0))</formula>
    </cfRule>
  </conditionalFormatting>
  <conditionalFormatting sqref="AV317">
    <cfRule type="expression" dxfId="7847" priority="683">
      <formula>AV317="X"</formula>
    </cfRule>
    <cfRule type="expression" dxfId="7846" priority="684">
      <formula>AV317="후보"</formula>
    </cfRule>
  </conditionalFormatting>
  <conditionalFormatting sqref="AC317">
    <cfRule type="cellIs" dxfId="7845" priority="681" operator="greaterThan">
      <formula>0.9</formula>
    </cfRule>
    <cfRule type="cellIs" dxfId="7844" priority="682" operator="greaterThan">
      <formula>0.85</formula>
    </cfRule>
  </conditionalFormatting>
  <conditionalFormatting sqref="N317">
    <cfRule type="cellIs" dxfId="7843" priority="679" operator="greaterThan">
      <formula>0.9</formula>
    </cfRule>
    <cfRule type="cellIs" dxfId="7842" priority="680" operator="greaterThan">
      <formula>0.85</formula>
    </cfRule>
  </conditionalFormatting>
  <conditionalFormatting sqref="E317">
    <cfRule type="expression" dxfId="7841" priority="675">
      <formula>AND(IF(OR($Q317=1,$Q317=2),1,0),IF($X317&lt;=20,1,0))</formula>
    </cfRule>
    <cfRule type="expression" dxfId="7840" priority="676">
      <formula>AND(IF($Q317=2,1,0),IF($X317&lt;30,1,0))</formula>
    </cfRule>
    <cfRule type="expression" dxfId="7839" priority="677">
      <formula>AND(IF($Q317=3,1,0),IF($X317&lt;30,1,0))</formula>
    </cfRule>
    <cfRule type="expression" dxfId="7838" priority="678">
      <formula>AND(IF($Q317=3,1,IF($Q317=4,1,0)),IF($F317&lt;=85,1,0))</formula>
    </cfRule>
  </conditionalFormatting>
  <conditionalFormatting sqref="X317">
    <cfRule type="expression" dxfId="7837" priority="671">
      <formula>AND(IF(OR($Q317=1,$Q317=2),1,0),IF($X317&lt;=20,1,0))</formula>
    </cfRule>
    <cfRule type="expression" dxfId="7836" priority="672">
      <formula>AND(IF($Q317=2,1,0),IF($X317&lt;30,1,0))</formula>
    </cfRule>
    <cfRule type="expression" dxfId="7835" priority="673">
      <formula>AND(IF($Q317=3,1,0),IF($X317&lt;30,1,0))</formula>
    </cfRule>
    <cfRule type="expression" dxfId="7834" priority="674">
      <formula>AND(IF($Q317=3,1,IF($Q317=4,1,0)),IF($F317&lt;=85,1,0))</formula>
    </cfRule>
  </conditionalFormatting>
  <conditionalFormatting sqref="AI317">
    <cfRule type="expression" dxfId="7833" priority="667">
      <formula>AND(IF(OR($Q317=1,$Q317=2),1,0),IF($X317&lt;=20,1,0))</formula>
    </cfRule>
    <cfRule type="expression" dxfId="7832" priority="668">
      <formula>AND(IF($Q317=2,1,0),IF($X317&lt;30,1,0))</formula>
    </cfRule>
    <cfRule type="expression" dxfId="7831" priority="669">
      <formula>AND(IF($Q317=3,1,0),IF($X317&lt;30,1,0))</formula>
    </cfRule>
    <cfRule type="expression" dxfId="7830" priority="670">
      <formula>AND(IF($Q317=3,1,IF($Q317=4,1,0)),IF($F317&lt;=85,1,0))</formula>
    </cfRule>
  </conditionalFormatting>
  <conditionalFormatting sqref="AV318">
    <cfRule type="expression" dxfId="7829" priority="665">
      <formula>AV318="X"</formula>
    </cfRule>
    <cfRule type="expression" dxfId="7828" priority="666">
      <formula>AV318="후보"</formula>
    </cfRule>
  </conditionalFormatting>
  <conditionalFormatting sqref="AC318">
    <cfRule type="cellIs" dxfId="7827" priority="663" operator="greaterThan">
      <formula>0.9</formula>
    </cfRule>
    <cfRule type="cellIs" dxfId="7826" priority="664" operator="greaterThan">
      <formula>0.85</formula>
    </cfRule>
  </conditionalFormatting>
  <conditionalFormatting sqref="N318">
    <cfRule type="cellIs" dxfId="7825" priority="661" operator="greaterThan">
      <formula>0.9</formula>
    </cfRule>
    <cfRule type="cellIs" dxfId="7824" priority="662" operator="greaterThan">
      <formula>0.85</formula>
    </cfRule>
  </conditionalFormatting>
  <conditionalFormatting sqref="E318">
    <cfRule type="expression" dxfId="7823" priority="657">
      <formula>AND(IF(OR($Q318=1,$Q318=2),1,0),IF($X318&lt;=20,1,0))</formula>
    </cfRule>
    <cfRule type="expression" dxfId="7822" priority="658">
      <formula>AND(IF($Q318=2,1,0),IF($X318&lt;30,1,0))</formula>
    </cfRule>
    <cfRule type="expression" dxfId="7821" priority="659">
      <formula>AND(IF($Q318=3,1,0),IF($X318&lt;30,1,0))</formula>
    </cfRule>
    <cfRule type="expression" dxfId="7820" priority="660">
      <formula>AND(IF($Q318=3,1,IF($Q318=4,1,0)),IF($F318&lt;=85,1,0))</formula>
    </cfRule>
  </conditionalFormatting>
  <conditionalFormatting sqref="X318">
    <cfRule type="expression" dxfId="7819" priority="653">
      <formula>AND(IF(OR($Q318=1,$Q318=2),1,0),IF($X318&lt;=20,1,0))</formula>
    </cfRule>
    <cfRule type="expression" dxfId="7818" priority="654">
      <formula>AND(IF($Q318=2,1,0),IF($X318&lt;30,1,0))</formula>
    </cfRule>
    <cfRule type="expression" dxfId="7817" priority="655">
      <formula>AND(IF($Q318=3,1,0),IF($X318&lt;30,1,0))</formula>
    </cfRule>
    <cfRule type="expression" dxfId="7816" priority="656">
      <formula>AND(IF($Q318=3,1,IF($Q318=4,1,0)),IF($F318&lt;=85,1,0))</formula>
    </cfRule>
  </conditionalFormatting>
  <conditionalFormatting sqref="AI318">
    <cfRule type="expression" dxfId="7815" priority="649">
      <formula>AND(IF(OR($Q318=1,$Q318=2),1,0),IF($X318&lt;=20,1,0))</formula>
    </cfRule>
    <cfRule type="expression" dxfId="7814" priority="650">
      <formula>AND(IF($Q318=2,1,0),IF($X318&lt;30,1,0))</formula>
    </cfRule>
    <cfRule type="expression" dxfId="7813" priority="651">
      <formula>AND(IF($Q318=3,1,0),IF($X318&lt;30,1,0))</formula>
    </cfRule>
    <cfRule type="expression" dxfId="7812" priority="652">
      <formula>AND(IF($Q318=3,1,IF($Q318=4,1,0)),IF($F318&lt;=85,1,0))</formula>
    </cfRule>
  </conditionalFormatting>
  <conditionalFormatting sqref="AV319">
    <cfRule type="expression" dxfId="7811" priority="647">
      <formula>AV319="X"</formula>
    </cfRule>
    <cfRule type="expression" dxfId="7810" priority="648">
      <formula>AV319="후보"</formula>
    </cfRule>
  </conditionalFormatting>
  <conditionalFormatting sqref="AC319">
    <cfRule type="cellIs" dxfId="7809" priority="645" operator="greaterThan">
      <formula>0.9</formula>
    </cfRule>
    <cfRule type="cellIs" dxfId="7808" priority="646" operator="greaterThan">
      <formula>0.85</formula>
    </cfRule>
  </conditionalFormatting>
  <conditionalFormatting sqref="N319">
    <cfRule type="cellIs" dxfId="7807" priority="643" operator="greaterThan">
      <formula>0.9</formula>
    </cfRule>
    <cfRule type="cellIs" dxfId="7806" priority="644" operator="greaterThan">
      <formula>0.85</formula>
    </cfRule>
  </conditionalFormatting>
  <conditionalFormatting sqref="E319">
    <cfRule type="expression" dxfId="7805" priority="639">
      <formula>AND(IF(OR($Q319=1,$Q319=2),1,0),IF($X319&lt;=20,1,0))</formula>
    </cfRule>
    <cfRule type="expression" dxfId="7804" priority="640">
      <formula>AND(IF($Q319=2,1,0),IF($X319&lt;30,1,0))</formula>
    </cfRule>
    <cfRule type="expression" dxfId="7803" priority="641">
      <formula>AND(IF($Q319=3,1,0),IF($X319&lt;30,1,0))</formula>
    </cfRule>
    <cfRule type="expression" dxfId="7802" priority="642">
      <formula>AND(IF($Q319=3,1,IF($Q319=4,1,0)),IF($F319&lt;=85,1,0))</formula>
    </cfRule>
  </conditionalFormatting>
  <conditionalFormatting sqref="X319">
    <cfRule type="expression" dxfId="7801" priority="635">
      <formula>AND(IF(OR($Q319=1,$Q319=2),1,0),IF($X319&lt;=20,1,0))</formula>
    </cfRule>
    <cfRule type="expression" dxfId="7800" priority="636">
      <formula>AND(IF($Q319=2,1,0),IF($X319&lt;30,1,0))</formula>
    </cfRule>
    <cfRule type="expression" dxfId="7799" priority="637">
      <formula>AND(IF($Q319=3,1,0),IF($X319&lt;30,1,0))</formula>
    </cfRule>
    <cfRule type="expression" dxfId="7798" priority="638">
      <formula>AND(IF($Q319=3,1,IF($Q319=4,1,0)),IF($F319&lt;=85,1,0))</formula>
    </cfRule>
  </conditionalFormatting>
  <conditionalFormatting sqref="AI319">
    <cfRule type="expression" dxfId="7797" priority="631">
      <formula>AND(IF(OR($Q319=1,$Q319=2),1,0),IF($X319&lt;=20,1,0))</formula>
    </cfRule>
    <cfRule type="expression" dxfId="7796" priority="632">
      <formula>AND(IF($Q319=2,1,0),IF($X319&lt;30,1,0))</formula>
    </cfRule>
    <cfRule type="expression" dxfId="7795" priority="633">
      <formula>AND(IF($Q319=3,1,0),IF($X319&lt;30,1,0))</formula>
    </cfRule>
    <cfRule type="expression" dxfId="7794" priority="634">
      <formula>AND(IF($Q319=3,1,IF($Q319=4,1,0)),IF($F319&lt;=85,1,0))</formula>
    </cfRule>
  </conditionalFormatting>
  <conditionalFormatting sqref="AV320">
    <cfRule type="expression" dxfId="7793" priority="629">
      <formula>AV320="X"</formula>
    </cfRule>
    <cfRule type="expression" dxfId="7792" priority="630">
      <formula>AV320="후보"</formula>
    </cfRule>
  </conditionalFormatting>
  <conditionalFormatting sqref="AC320">
    <cfRule type="cellIs" dxfId="7791" priority="627" operator="greaterThan">
      <formula>0.9</formula>
    </cfRule>
    <cfRule type="cellIs" dxfId="7790" priority="628" operator="greaterThan">
      <formula>0.85</formula>
    </cfRule>
  </conditionalFormatting>
  <conditionalFormatting sqref="N320">
    <cfRule type="cellIs" dxfId="7789" priority="625" operator="greaterThan">
      <formula>0.9</formula>
    </cfRule>
    <cfRule type="cellIs" dxfId="7788" priority="626" operator="greaterThan">
      <formula>0.85</formula>
    </cfRule>
  </conditionalFormatting>
  <conditionalFormatting sqref="E320">
    <cfRule type="expression" dxfId="7787" priority="621">
      <formula>AND(IF(OR($Q320=1,$Q320=2),1,0),IF($X320&lt;=20,1,0))</formula>
    </cfRule>
    <cfRule type="expression" dxfId="7786" priority="622">
      <formula>AND(IF($Q320=2,1,0),IF($X320&lt;30,1,0))</formula>
    </cfRule>
    <cfRule type="expression" dxfId="7785" priority="623">
      <formula>AND(IF($Q320=3,1,0),IF($X320&lt;30,1,0))</formula>
    </cfRule>
    <cfRule type="expression" dxfId="7784" priority="624">
      <formula>AND(IF($Q320=3,1,IF($Q320=4,1,0)),IF($F320&lt;=85,1,0))</formula>
    </cfRule>
  </conditionalFormatting>
  <conditionalFormatting sqref="X320">
    <cfRule type="expression" dxfId="7783" priority="617">
      <formula>AND(IF(OR($Q320=1,$Q320=2),1,0),IF($X320&lt;=20,1,0))</formula>
    </cfRule>
    <cfRule type="expression" dxfId="7782" priority="618">
      <formula>AND(IF($Q320=2,1,0),IF($X320&lt;30,1,0))</formula>
    </cfRule>
    <cfRule type="expression" dxfId="7781" priority="619">
      <formula>AND(IF($Q320=3,1,0),IF($X320&lt;30,1,0))</formula>
    </cfRule>
    <cfRule type="expression" dxfId="7780" priority="620">
      <formula>AND(IF($Q320=3,1,IF($Q320=4,1,0)),IF($F320&lt;=85,1,0))</formula>
    </cfRule>
  </conditionalFormatting>
  <conditionalFormatting sqref="AI320">
    <cfRule type="expression" dxfId="7779" priority="613">
      <formula>AND(IF(OR($Q320=1,$Q320=2),1,0),IF($X320&lt;=20,1,0))</formula>
    </cfRule>
    <cfRule type="expression" dxfId="7778" priority="614">
      <formula>AND(IF($Q320=2,1,0),IF($X320&lt;30,1,0))</formula>
    </cfRule>
    <cfRule type="expression" dxfId="7777" priority="615">
      <formula>AND(IF($Q320=3,1,0),IF($X320&lt;30,1,0))</formula>
    </cfRule>
    <cfRule type="expression" dxfId="7776" priority="616">
      <formula>AND(IF($Q320=3,1,IF($Q320=4,1,0)),IF($F320&lt;=85,1,0))</formula>
    </cfRule>
  </conditionalFormatting>
  <conditionalFormatting sqref="AV321">
    <cfRule type="expression" dxfId="7775" priority="611">
      <formula>AV321="X"</formula>
    </cfRule>
    <cfRule type="expression" dxfId="7774" priority="612">
      <formula>AV321="후보"</formula>
    </cfRule>
  </conditionalFormatting>
  <conditionalFormatting sqref="AC321">
    <cfRule type="cellIs" dxfId="7773" priority="609" operator="greaterThan">
      <formula>0.9</formula>
    </cfRule>
    <cfRule type="cellIs" dxfId="7772" priority="610" operator="greaterThan">
      <formula>0.85</formula>
    </cfRule>
  </conditionalFormatting>
  <conditionalFormatting sqref="N321">
    <cfRule type="cellIs" dxfId="7771" priority="607" operator="greaterThan">
      <formula>0.9</formula>
    </cfRule>
    <cfRule type="cellIs" dxfId="7770" priority="608" operator="greaterThan">
      <formula>0.85</formula>
    </cfRule>
  </conditionalFormatting>
  <conditionalFormatting sqref="E321">
    <cfRule type="expression" dxfId="7769" priority="603">
      <formula>AND(IF(OR($Q321=1,$Q321=2),1,0),IF($X321&lt;=20,1,0))</formula>
    </cfRule>
    <cfRule type="expression" dxfId="7768" priority="604">
      <formula>AND(IF($Q321=2,1,0),IF($X321&lt;30,1,0))</formula>
    </cfRule>
    <cfRule type="expression" dxfId="7767" priority="605">
      <formula>AND(IF($Q321=3,1,0),IF($X321&lt;30,1,0))</formula>
    </cfRule>
    <cfRule type="expression" dxfId="7766" priority="606">
      <formula>AND(IF($Q321=3,1,IF($Q321=4,1,0)),IF($F321&lt;=85,1,0))</formula>
    </cfRule>
  </conditionalFormatting>
  <conditionalFormatting sqref="X321">
    <cfRule type="expression" dxfId="7765" priority="599">
      <formula>AND(IF(OR($Q321=1,$Q321=2),1,0),IF($X321&lt;=20,1,0))</formula>
    </cfRule>
    <cfRule type="expression" dxfId="7764" priority="600">
      <formula>AND(IF($Q321=2,1,0),IF($X321&lt;30,1,0))</formula>
    </cfRule>
    <cfRule type="expression" dxfId="7763" priority="601">
      <formula>AND(IF($Q321=3,1,0),IF($X321&lt;30,1,0))</formula>
    </cfRule>
    <cfRule type="expression" dxfId="7762" priority="602">
      <formula>AND(IF($Q321=3,1,IF($Q321=4,1,0)),IF($F321&lt;=85,1,0))</formula>
    </cfRule>
  </conditionalFormatting>
  <conditionalFormatting sqref="AI321">
    <cfRule type="expression" dxfId="7761" priority="595">
      <formula>AND(IF(OR($Q321=1,$Q321=2),1,0),IF($X321&lt;=20,1,0))</formula>
    </cfRule>
    <cfRule type="expression" dxfId="7760" priority="596">
      <formula>AND(IF($Q321=2,1,0),IF($X321&lt;30,1,0))</formula>
    </cfRule>
    <cfRule type="expression" dxfId="7759" priority="597">
      <formula>AND(IF($Q321=3,1,0),IF($X321&lt;30,1,0))</formula>
    </cfRule>
    <cfRule type="expression" dxfId="7758" priority="598">
      <formula>AND(IF($Q321=3,1,IF($Q321=4,1,0)),IF($F321&lt;=85,1,0))</formula>
    </cfRule>
  </conditionalFormatting>
  <conditionalFormatting sqref="AV322">
    <cfRule type="expression" dxfId="7757" priority="593">
      <formula>AV322="X"</formula>
    </cfRule>
    <cfRule type="expression" dxfId="7756" priority="594">
      <formula>AV322="후보"</formula>
    </cfRule>
  </conditionalFormatting>
  <conditionalFormatting sqref="AC322">
    <cfRule type="cellIs" dxfId="7755" priority="591" operator="greaterThan">
      <formula>0.9</formula>
    </cfRule>
    <cfRule type="cellIs" dxfId="7754" priority="592" operator="greaterThan">
      <formula>0.85</formula>
    </cfRule>
  </conditionalFormatting>
  <conditionalFormatting sqref="N322">
    <cfRule type="cellIs" dxfId="7753" priority="589" operator="greaterThan">
      <formula>0.9</formula>
    </cfRule>
    <cfRule type="cellIs" dxfId="7752" priority="590" operator="greaterThan">
      <formula>0.85</formula>
    </cfRule>
  </conditionalFormatting>
  <conditionalFormatting sqref="E322">
    <cfRule type="expression" dxfId="7751" priority="585">
      <formula>AND(IF(OR($Q322=1,$Q322=2),1,0),IF($X322&lt;=20,1,0))</formula>
    </cfRule>
    <cfRule type="expression" dxfId="7750" priority="586">
      <formula>AND(IF($Q322=2,1,0),IF($X322&lt;30,1,0))</formula>
    </cfRule>
    <cfRule type="expression" dxfId="7749" priority="587">
      <formula>AND(IF($Q322=3,1,0),IF($X322&lt;30,1,0))</formula>
    </cfRule>
    <cfRule type="expression" dxfId="7748" priority="588">
      <formula>AND(IF($Q322=3,1,IF($Q322=4,1,0)),IF($F322&lt;=85,1,0))</formula>
    </cfRule>
  </conditionalFormatting>
  <conditionalFormatting sqref="X322">
    <cfRule type="expression" dxfId="7747" priority="581">
      <formula>AND(IF(OR($Q322=1,$Q322=2),1,0),IF($X322&lt;=20,1,0))</formula>
    </cfRule>
    <cfRule type="expression" dxfId="7746" priority="582">
      <formula>AND(IF($Q322=2,1,0),IF($X322&lt;30,1,0))</formula>
    </cfRule>
    <cfRule type="expression" dxfId="7745" priority="583">
      <formula>AND(IF($Q322=3,1,0),IF($X322&lt;30,1,0))</formula>
    </cfRule>
    <cfRule type="expression" dxfId="7744" priority="584">
      <formula>AND(IF($Q322=3,1,IF($Q322=4,1,0)),IF($F322&lt;=85,1,0))</formula>
    </cfRule>
  </conditionalFormatting>
  <conditionalFormatting sqref="AI322">
    <cfRule type="expression" dxfId="7743" priority="577">
      <formula>AND(IF(OR($Q322=1,$Q322=2),1,0),IF($X322&lt;=20,1,0))</formula>
    </cfRule>
    <cfRule type="expression" dxfId="7742" priority="578">
      <formula>AND(IF($Q322=2,1,0),IF($X322&lt;30,1,0))</formula>
    </cfRule>
    <cfRule type="expression" dxfId="7741" priority="579">
      <formula>AND(IF($Q322=3,1,0),IF($X322&lt;30,1,0))</formula>
    </cfRule>
    <cfRule type="expression" dxfId="7740" priority="580">
      <formula>AND(IF($Q322=3,1,IF($Q322=4,1,0)),IF($F322&lt;=85,1,0))</formula>
    </cfRule>
  </conditionalFormatting>
  <conditionalFormatting sqref="AV323">
    <cfRule type="expression" dxfId="7739" priority="575">
      <formula>AV323="X"</formula>
    </cfRule>
    <cfRule type="expression" dxfId="7738" priority="576">
      <formula>AV323="후보"</formula>
    </cfRule>
  </conditionalFormatting>
  <conditionalFormatting sqref="AC323">
    <cfRule type="cellIs" dxfId="7737" priority="573" operator="greaterThan">
      <formula>0.9</formula>
    </cfRule>
    <cfRule type="cellIs" dxfId="7736" priority="574" operator="greaterThan">
      <formula>0.85</formula>
    </cfRule>
  </conditionalFormatting>
  <conditionalFormatting sqref="N323">
    <cfRule type="cellIs" dxfId="7735" priority="571" operator="greaterThan">
      <formula>0.9</formula>
    </cfRule>
    <cfRule type="cellIs" dxfId="7734" priority="572" operator="greaterThan">
      <formula>0.85</formula>
    </cfRule>
  </conditionalFormatting>
  <conditionalFormatting sqref="E323">
    <cfRule type="expression" dxfId="7733" priority="567">
      <formula>AND(IF(OR($Q323=1,$Q323=2),1,0),IF($X323&lt;=20,1,0))</formula>
    </cfRule>
    <cfRule type="expression" dxfId="7732" priority="568">
      <formula>AND(IF($Q323=2,1,0),IF($X323&lt;30,1,0))</formula>
    </cfRule>
    <cfRule type="expression" dxfId="7731" priority="569">
      <formula>AND(IF($Q323=3,1,0),IF($X323&lt;30,1,0))</formula>
    </cfRule>
    <cfRule type="expression" dxfId="7730" priority="570">
      <formula>AND(IF($Q323=3,1,IF($Q323=4,1,0)),IF($F323&lt;=85,1,0))</formula>
    </cfRule>
  </conditionalFormatting>
  <conditionalFormatting sqref="X323">
    <cfRule type="expression" dxfId="7729" priority="563">
      <formula>AND(IF(OR($Q323=1,$Q323=2),1,0),IF($X323&lt;=20,1,0))</formula>
    </cfRule>
    <cfRule type="expression" dxfId="7728" priority="564">
      <formula>AND(IF($Q323=2,1,0),IF($X323&lt;30,1,0))</formula>
    </cfRule>
    <cfRule type="expression" dxfId="7727" priority="565">
      <formula>AND(IF($Q323=3,1,0),IF($X323&lt;30,1,0))</formula>
    </cfRule>
    <cfRule type="expression" dxfId="7726" priority="566">
      <formula>AND(IF($Q323=3,1,IF($Q323=4,1,0)),IF($F323&lt;=85,1,0))</formula>
    </cfRule>
  </conditionalFormatting>
  <conditionalFormatting sqref="AI323">
    <cfRule type="expression" dxfId="7725" priority="559">
      <formula>AND(IF(OR($Q323=1,$Q323=2),1,0),IF($X323&lt;=20,1,0))</formula>
    </cfRule>
    <cfRule type="expression" dxfId="7724" priority="560">
      <formula>AND(IF($Q323=2,1,0),IF($X323&lt;30,1,0))</formula>
    </cfRule>
    <cfRule type="expression" dxfId="7723" priority="561">
      <formula>AND(IF($Q323=3,1,0),IF($X323&lt;30,1,0))</formula>
    </cfRule>
    <cfRule type="expression" dxfId="7722" priority="562">
      <formula>AND(IF($Q323=3,1,IF($Q323=4,1,0)),IF($F323&lt;=85,1,0))</formula>
    </cfRule>
  </conditionalFormatting>
  <conditionalFormatting sqref="AV324">
    <cfRule type="expression" dxfId="7721" priority="557">
      <formula>AV324="X"</formula>
    </cfRule>
    <cfRule type="expression" dxfId="7720" priority="558">
      <formula>AV324="후보"</formula>
    </cfRule>
  </conditionalFormatting>
  <conditionalFormatting sqref="AC324">
    <cfRule type="cellIs" dxfId="7719" priority="555" operator="greaterThan">
      <formula>0.9</formula>
    </cfRule>
    <cfRule type="cellIs" dxfId="7718" priority="556" operator="greaterThan">
      <formula>0.85</formula>
    </cfRule>
  </conditionalFormatting>
  <conditionalFormatting sqref="N324">
    <cfRule type="cellIs" dxfId="7717" priority="553" operator="greaterThan">
      <formula>0.9</formula>
    </cfRule>
    <cfRule type="cellIs" dxfId="7716" priority="554" operator="greaterThan">
      <formula>0.85</formula>
    </cfRule>
  </conditionalFormatting>
  <conditionalFormatting sqref="E324">
    <cfRule type="expression" dxfId="7715" priority="549">
      <formula>AND(IF(OR($Q324=1,$Q324=2),1,0),IF($X324&lt;=20,1,0))</formula>
    </cfRule>
    <cfRule type="expression" dxfId="7714" priority="550">
      <formula>AND(IF($Q324=2,1,0),IF($X324&lt;30,1,0))</formula>
    </cfRule>
    <cfRule type="expression" dxfId="7713" priority="551">
      <formula>AND(IF($Q324=3,1,0),IF($X324&lt;30,1,0))</formula>
    </cfRule>
    <cfRule type="expression" dxfId="7712" priority="552">
      <formula>AND(IF($Q324=3,1,IF($Q324=4,1,0)),IF($F324&lt;=85,1,0))</formula>
    </cfRule>
  </conditionalFormatting>
  <conditionalFormatting sqref="X324">
    <cfRule type="expression" dxfId="7711" priority="545">
      <formula>AND(IF(OR($Q324=1,$Q324=2),1,0),IF($X324&lt;=20,1,0))</formula>
    </cfRule>
    <cfRule type="expression" dxfId="7710" priority="546">
      <formula>AND(IF($Q324=2,1,0),IF($X324&lt;30,1,0))</formula>
    </cfRule>
    <cfRule type="expression" dxfId="7709" priority="547">
      <formula>AND(IF($Q324=3,1,0),IF($X324&lt;30,1,0))</formula>
    </cfRule>
    <cfRule type="expression" dxfId="7708" priority="548">
      <formula>AND(IF($Q324=3,1,IF($Q324=4,1,0)),IF($F324&lt;=85,1,0))</formula>
    </cfRule>
  </conditionalFormatting>
  <conditionalFormatting sqref="AI324">
    <cfRule type="expression" dxfId="7707" priority="541">
      <formula>AND(IF(OR($Q324=1,$Q324=2),1,0),IF($X324&lt;=20,1,0))</formula>
    </cfRule>
    <cfRule type="expression" dxfId="7706" priority="542">
      <formula>AND(IF($Q324=2,1,0),IF($X324&lt;30,1,0))</formula>
    </cfRule>
    <cfRule type="expression" dxfId="7705" priority="543">
      <formula>AND(IF($Q324=3,1,0),IF($X324&lt;30,1,0))</formula>
    </cfRule>
    <cfRule type="expression" dxfId="7704" priority="544">
      <formula>AND(IF($Q324=3,1,IF($Q324=4,1,0)),IF($F324&lt;=85,1,0))</formula>
    </cfRule>
  </conditionalFormatting>
  <conditionalFormatting sqref="AV325">
    <cfRule type="expression" dxfId="7703" priority="539">
      <formula>AV325="X"</formula>
    </cfRule>
    <cfRule type="expression" dxfId="7702" priority="540">
      <formula>AV325="후보"</formula>
    </cfRule>
  </conditionalFormatting>
  <conditionalFormatting sqref="AC325">
    <cfRule type="cellIs" dxfId="7701" priority="537" operator="greaterThan">
      <formula>0.9</formula>
    </cfRule>
    <cfRule type="cellIs" dxfId="7700" priority="538" operator="greaterThan">
      <formula>0.85</formula>
    </cfRule>
  </conditionalFormatting>
  <conditionalFormatting sqref="N325">
    <cfRule type="cellIs" dxfId="7699" priority="535" operator="greaterThan">
      <formula>0.9</formula>
    </cfRule>
    <cfRule type="cellIs" dxfId="7698" priority="536" operator="greaterThan">
      <formula>0.85</formula>
    </cfRule>
  </conditionalFormatting>
  <conditionalFormatting sqref="E325">
    <cfRule type="expression" dxfId="7697" priority="531">
      <formula>AND(IF(OR($Q325=1,$Q325=2),1,0),IF($X325&lt;=20,1,0))</formula>
    </cfRule>
    <cfRule type="expression" dxfId="7696" priority="532">
      <formula>AND(IF($Q325=2,1,0),IF($X325&lt;30,1,0))</formula>
    </cfRule>
    <cfRule type="expression" dxfId="7695" priority="533">
      <formula>AND(IF($Q325=3,1,0),IF($X325&lt;30,1,0))</formula>
    </cfRule>
    <cfRule type="expression" dxfId="7694" priority="534">
      <formula>AND(IF($Q325=3,1,IF($Q325=4,1,0)),IF($F325&lt;=85,1,0))</formula>
    </cfRule>
  </conditionalFormatting>
  <conditionalFormatting sqref="X325">
    <cfRule type="expression" dxfId="7693" priority="527">
      <formula>AND(IF(OR($Q325=1,$Q325=2),1,0),IF($X325&lt;=20,1,0))</formula>
    </cfRule>
    <cfRule type="expression" dxfId="7692" priority="528">
      <formula>AND(IF($Q325=2,1,0),IF($X325&lt;30,1,0))</formula>
    </cfRule>
    <cfRule type="expression" dxfId="7691" priority="529">
      <formula>AND(IF($Q325=3,1,0),IF($X325&lt;30,1,0))</formula>
    </cfRule>
    <cfRule type="expression" dxfId="7690" priority="530">
      <formula>AND(IF($Q325=3,1,IF($Q325=4,1,0)),IF($F325&lt;=85,1,0))</formula>
    </cfRule>
  </conditionalFormatting>
  <conditionalFormatting sqref="AI325">
    <cfRule type="expression" dxfId="7689" priority="523">
      <formula>AND(IF(OR($Q325=1,$Q325=2),1,0),IF($X325&lt;=20,1,0))</formula>
    </cfRule>
    <cfRule type="expression" dxfId="7688" priority="524">
      <formula>AND(IF($Q325=2,1,0),IF($X325&lt;30,1,0))</formula>
    </cfRule>
    <cfRule type="expression" dxfId="7687" priority="525">
      <formula>AND(IF($Q325=3,1,0),IF($X325&lt;30,1,0))</formula>
    </cfRule>
    <cfRule type="expression" dxfId="7686" priority="526">
      <formula>AND(IF($Q325=3,1,IF($Q325=4,1,0)),IF($F325&lt;=85,1,0))</formula>
    </cfRule>
  </conditionalFormatting>
  <conditionalFormatting sqref="AV326">
    <cfRule type="expression" dxfId="7685" priority="521">
      <formula>AV326="X"</formula>
    </cfRule>
    <cfRule type="expression" dxfId="7684" priority="522">
      <formula>AV326="후보"</formula>
    </cfRule>
  </conditionalFormatting>
  <conditionalFormatting sqref="AC326">
    <cfRule type="cellIs" dxfId="7683" priority="519" operator="greaterThan">
      <formula>0.9</formula>
    </cfRule>
    <cfRule type="cellIs" dxfId="7682" priority="520" operator="greaterThan">
      <formula>0.85</formula>
    </cfRule>
  </conditionalFormatting>
  <conditionalFormatting sqref="N326">
    <cfRule type="cellIs" dxfId="7681" priority="517" operator="greaterThan">
      <formula>0.9</formula>
    </cfRule>
    <cfRule type="cellIs" dxfId="7680" priority="518" operator="greaterThan">
      <formula>0.85</formula>
    </cfRule>
  </conditionalFormatting>
  <conditionalFormatting sqref="E326">
    <cfRule type="expression" dxfId="7679" priority="513">
      <formula>AND(IF(OR($Q326=1,$Q326=2),1,0),IF($X326&lt;=20,1,0))</formula>
    </cfRule>
    <cfRule type="expression" dxfId="7678" priority="514">
      <formula>AND(IF($Q326=2,1,0),IF($X326&lt;30,1,0))</formula>
    </cfRule>
    <cfRule type="expression" dxfId="7677" priority="515">
      <formula>AND(IF($Q326=3,1,0),IF($X326&lt;30,1,0))</formula>
    </cfRule>
    <cfRule type="expression" dxfId="7676" priority="516">
      <formula>AND(IF($Q326=3,1,IF($Q326=4,1,0)),IF($F326&lt;=85,1,0))</formula>
    </cfRule>
  </conditionalFormatting>
  <conditionalFormatting sqref="X326">
    <cfRule type="expression" dxfId="7675" priority="509">
      <formula>AND(IF(OR($Q326=1,$Q326=2),1,0),IF($X326&lt;=20,1,0))</formula>
    </cfRule>
    <cfRule type="expression" dxfId="7674" priority="510">
      <formula>AND(IF($Q326=2,1,0),IF($X326&lt;30,1,0))</formula>
    </cfRule>
    <cfRule type="expression" dxfId="7673" priority="511">
      <formula>AND(IF($Q326=3,1,0),IF($X326&lt;30,1,0))</formula>
    </cfRule>
    <cfRule type="expression" dxfId="7672" priority="512">
      <formula>AND(IF($Q326=3,1,IF($Q326=4,1,0)),IF($F326&lt;=85,1,0))</formula>
    </cfRule>
  </conditionalFormatting>
  <conditionalFormatting sqref="AI326">
    <cfRule type="expression" dxfId="7671" priority="505">
      <formula>AND(IF(OR($Q326=1,$Q326=2),1,0),IF($X326&lt;=20,1,0))</formula>
    </cfRule>
    <cfRule type="expression" dxfId="7670" priority="506">
      <formula>AND(IF($Q326=2,1,0),IF($X326&lt;30,1,0))</formula>
    </cfRule>
    <cfRule type="expression" dxfId="7669" priority="507">
      <formula>AND(IF($Q326=3,1,0),IF($X326&lt;30,1,0))</formula>
    </cfRule>
    <cfRule type="expression" dxfId="7668" priority="508">
      <formula>AND(IF($Q326=3,1,IF($Q326=4,1,0)),IF($F326&lt;=85,1,0))</formula>
    </cfRule>
  </conditionalFormatting>
  <conditionalFormatting sqref="AV327">
    <cfRule type="expression" dxfId="7667" priority="503">
      <formula>AV327="X"</formula>
    </cfRule>
    <cfRule type="expression" dxfId="7666" priority="504">
      <formula>AV327="후보"</formula>
    </cfRule>
  </conditionalFormatting>
  <conditionalFormatting sqref="AC327">
    <cfRule type="cellIs" dxfId="7665" priority="501" operator="greaterThan">
      <formula>0.9</formula>
    </cfRule>
    <cfRule type="cellIs" dxfId="7664" priority="502" operator="greaterThan">
      <formula>0.85</formula>
    </cfRule>
  </conditionalFormatting>
  <conditionalFormatting sqref="N327">
    <cfRule type="cellIs" dxfId="7663" priority="499" operator="greaterThan">
      <formula>0.9</formula>
    </cfRule>
    <cfRule type="cellIs" dxfId="7662" priority="500" operator="greaterThan">
      <formula>0.85</formula>
    </cfRule>
  </conditionalFormatting>
  <conditionalFormatting sqref="E327">
    <cfRule type="expression" dxfId="7661" priority="495">
      <formula>AND(IF(OR($Q327=1,$Q327=2),1,0),IF($X327&lt;=20,1,0))</formula>
    </cfRule>
    <cfRule type="expression" dxfId="7660" priority="496">
      <formula>AND(IF($Q327=2,1,0),IF($X327&lt;30,1,0))</formula>
    </cfRule>
    <cfRule type="expression" dxfId="7659" priority="497">
      <formula>AND(IF($Q327=3,1,0),IF($X327&lt;30,1,0))</formula>
    </cfRule>
    <cfRule type="expression" dxfId="7658" priority="498">
      <formula>AND(IF($Q327=3,1,IF($Q327=4,1,0)),IF($F327&lt;=85,1,0))</formula>
    </cfRule>
  </conditionalFormatting>
  <conditionalFormatting sqref="X327">
    <cfRule type="expression" dxfId="7657" priority="491">
      <formula>AND(IF(OR($Q327=1,$Q327=2),1,0),IF($X327&lt;=20,1,0))</formula>
    </cfRule>
    <cfRule type="expression" dxfId="7656" priority="492">
      <formula>AND(IF($Q327=2,1,0),IF($X327&lt;30,1,0))</formula>
    </cfRule>
    <cfRule type="expression" dxfId="7655" priority="493">
      <formula>AND(IF($Q327=3,1,0),IF($X327&lt;30,1,0))</formula>
    </cfRule>
    <cfRule type="expression" dxfId="7654" priority="494">
      <formula>AND(IF($Q327=3,1,IF($Q327=4,1,0)),IF($F327&lt;=85,1,0))</formula>
    </cfRule>
  </conditionalFormatting>
  <conditionalFormatting sqref="AI327">
    <cfRule type="expression" dxfId="7653" priority="487">
      <formula>AND(IF(OR($Q327=1,$Q327=2),1,0),IF($X327&lt;=20,1,0))</formula>
    </cfRule>
    <cfRule type="expression" dxfId="7652" priority="488">
      <formula>AND(IF($Q327=2,1,0),IF($X327&lt;30,1,0))</formula>
    </cfRule>
    <cfRule type="expression" dxfId="7651" priority="489">
      <formula>AND(IF($Q327=3,1,0),IF($X327&lt;30,1,0))</formula>
    </cfRule>
    <cfRule type="expression" dxfId="7650" priority="490">
      <formula>AND(IF($Q327=3,1,IF($Q327=4,1,0)),IF($F327&lt;=85,1,0))</formula>
    </cfRule>
  </conditionalFormatting>
  <conditionalFormatting sqref="AV328">
    <cfRule type="expression" dxfId="7649" priority="485">
      <formula>AV328="X"</formula>
    </cfRule>
    <cfRule type="expression" dxfId="7648" priority="486">
      <formula>AV328="후보"</formula>
    </cfRule>
  </conditionalFormatting>
  <conditionalFormatting sqref="AC328">
    <cfRule type="cellIs" dxfId="7647" priority="483" operator="greaterThan">
      <formula>0.9</formula>
    </cfRule>
    <cfRule type="cellIs" dxfId="7646" priority="484" operator="greaterThan">
      <formula>0.85</formula>
    </cfRule>
  </conditionalFormatting>
  <conditionalFormatting sqref="N328">
    <cfRule type="cellIs" dxfId="7645" priority="481" operator="greaterThan">
      <formula>0.9</formula>
    </cfRule>
    <cfRule type="cellIs" dxfId="7644" priority="482" operator="greaterThan">
      <formula>0.85</formula>
    </cfRule>
  </conditionalFormatting>
  <conditionalFormatting sqref="E328">
    <cfRule type="expression" dxfId="7643" priority="477">
      <formula>AND(IF(OR($Q328=1,$Q328=2),1,0),IF($X328&lt;=20,1,0))</formula>
    </cfRule>
    <cfRule type="expression" dxfId="7642" priority="478">
      <formula>AND(IF($Q328=2,1,0),IF($X328&lt;30,1,0))</formula>
    </cfRule>
    <cfRule type="expression" dxfId="7641" priority="479">
      <formula>AND(IF($Q328=3,1,0),IF($X328&lt;30,1,0))</formula>
    </cfRule>
    <cfRule type="expression" dxfId="7640" priority="480">
      <formula>AND(IF($Q328=3,1,IF($Q328=4,1,0)),IF($F328&lt;=85,1,0))</formula>
    </cfRule>
  </conditionalFormatting>
  <conditionalFormatting sqref="X328">
    <cfRule type="expression" dxfId="7639" priority="473">
      <formula>AND(IF(OR($Q328=1,$Q328=2),1,0),IF($X328&lt;=20,1,0))</formula>
    </cfRule>
    <cfRule type="expression" dxfId="7638" priority="474">
      <formula>AND(IF($Q328=2,1,0),IF($X328&lt;30,1,0))</formula>
    </cfRule>
    <cfRule type="expression" dxfId="7637" priority="475">
      <formula>AND(IF($Q328=3,1,0),IF($X328&lt;30,1,0))</formula>
    </cfRule>
    <cfRule type="expression" dxfId="7636" priority="476">
      <formula>AND(IF($Q328=3,1,IF($Q328=4,1,0)),IF($F328&lt;=85,1,0))</formula>
    </cfRule>
  </conditionalFormatting>
  <conditionalFormatting sqref="AI328">
    <cfRule type="expression" dxfId="7635" priority="469">
      <formula>AND(IF(OR($Q328=1,$Q328=2),1,0),IF($X328&lt;=20,1,0))</formula>
    </cfRule>
    <cfRule type="expression" dxfId="7634" priority="470">
      <formula>AND(IF($Q328=2,1,0),IF($X328&lt;30,1,0))</formula>
    </cfRule>
    <cfRule type="expression" dxfId="7633" priority="471">
      <formula>AND(IF($Q328=3,1,0),IF($X328&lt;30,1,0))</formula>
    </cfRule>
    <cfRule type="expression" dxfId="7632" priority="472">
      <formula>AND(IF($Q328=3,1,IF($Q328=4,1,0)),IF($F328&lt;=85,1,0))</formula>
    </cfRule>
  </conditionalFormatting>
  <conditionalFormatting sqref="AV329">
    <cfRule type="expression" dxfId="7631" priority="467">
      <formula>AV329="X"</formula>
    </cfRule>
    <cfRule type="expression" dxfId="7630" priority="468">
      <formula>AV329="후보"</formula>
    </cfRule>
  </conditionalFormatting>
  <conditionalFormatting sqref="AC329">
    <cfRule type="cellIs" dxfId="7629" priority="465" operator="greaterThan">
      <formula>0.9</formula>
    </cfRule>
    <cfRule type="cellIs" dxfId="7628" priority="466" operator="greaterThan">
      <formula>0.85</formula>
    </cfRule>
  </conditionalFormatting>
  <conditionalFormatting sqref="N329">
    <cfRule type="cellIs" dxfId="7627" priority="463" operator="greaterThan">
      <formula>0.9</formula>
    </cfRule>
    <cfRule type="cellIs" dxfId="7626" priority="464" operator="greaterThan">
      <formula>0.85</formula>
    </cfRule>
  </conditionalFormatting>
  <conditionalFormatting sqref="E329">
    <cfRule type="expression" dxfId="7625" priority="459">
      <formula>AND(IF(OR($Q329=1,$Q329=2),1,0),IF($X329&lt;=20,1,0))</formula>
    </cfRule>
    <cfRule type="expression" dxfId="7624" priority="460">
      <formula>AND(IF($Q329=2,1,0),IF($X329&lt;30,1,0))</formula>
    </cfRule>
    <cfRule type="expression" dxfId="7623" priority="461">
      <formula>AND(IF($Q329=3,1,0),IF($X329&lt;30,1,0))</formula>
    </cfRule>
    <cfRule type="expression" dxfId="7622" priority="462">
      <formula>AND(IF($Q329=3,1,IF($Q329=4,1,0)),IF($F329&lt;=85,1,0))</formula>
    </cfRule>
  </conditionalFormatting>
  <conditionalFormatting sqref="X329">
    <cfRule type="expression" dxfId="7621" priority="455">
      <formula>AND(IF(OR($Q329=1,$Q329=2),1,0),IF($X329&lt;=20,1,0))</formula>
    </cfRule>
    <cfRule type="expression" dxfId="7620" priority="456">
      <formula>AND(IF($Q329=2,1,0),IF($X329&lt;30,1,0))</formula>
    </cfRule>
    <cfRule type="expression" dxfId="7619" priority="457">
      <formula>AND(IF($Q329=3,1,0),IF($X329&lt;30,1,0))</formula>
    </cfRule>
    <cfRule type="expression" dxfId="7618" priority="458">
      <formula>AND(IF($Q329=3,1,IF($Q329=4,1,0)),IF($F329&lt;=85,1,0))</formula>
    </cfRule>
  </conditionalFormatting>
  <conditionalFormatting sqref="AI329">
    <cfRule type="expression" dxfId="7617" priority="451">
      <formula>AND(IF(OR($Q329=1,$Q329=2),1,0),IF($X329&lt;=20,1,0))</formula>
    </cfRule>
    <cfRule type="expression" dxfId="7616" priority="452">
      <formula>AND(IF($Q329=2,1,0),IF($X329&lt;30,1,0))</formula>
    </cfRule>
    <cfRule type="expression" dxfId="7615" priority="453">
      <formula>AND(IF($Q329=3,1,0),IF($X329&lt;30,1,0))</formula>
    </cfRule>
    <cfRule type="expression" dxfId="7614" priority="454">
      <formula>AND(IF($Q329=3,1,IF($Q329=4,1,0)),IF($F329&lt;=85,1,0))</formula>
    </cfRule>
  </conditionalFormatting>
  <conditionalFormatting sqref="AV330">
    <cfRule type="expression" dxfId="7613" priority="449">
      <formula>AV330="X"</formula>
    </cfRule>
    <cfRule type="expression" dxfId="7612" priority="450">
      <formula>AV330="후보"</formula>
    </cfRule>
  </conditionalFormatting>
  <conditionalFormatting sqref="AC330">
    <cfRule type="cellIs" dxfId="7611" priority="447" operator="greaterThan">
      <formula>0.9</formula>
    </cfRule>
    <cfRule type="cellIs" dxfId="7610" priority="448" operator="greaterThan">
      <formula>0.85</formula>
    </cfRule>
  </conditionalFormatting>
  <conditionalFormatting sqref="N330">
    <cfRule type="cellIs" dxfId="7609" priority="445" operator="greaterThan">
      <formula>0.9</formula>
    </cfRule>
    <cfRule type="cellIs" dxfId="7608" priority="446" operator="greaterThan">
      <formula>0.85</formula>
    </cfRule>
  </conditionalFormatting>
  <conditionalFormatting sqref="E330">
    <cfRule type="expression" dxfId="7607" priority="441">
      <formula>AND(IF(OR($Q330=1,$Q330=2),1,0),IF($X330&lt;=20,1,0))</formula>
    </cfRule>
    <cfRule type="expression" dxfId="7606" priority="442">
      <formula>AND(IF($Q330=2,1,0),IF($X330&lt;30,1,0))</formula>
    </cfRule>
    <cfRule type="expression" dxfId="7605" priority="443">
      <formula>AND(IF($Q330=3,1,0),IF($X330&lt;30,1,0))</formula>
    </cfRule>
    <cfRule type="expression" dxfId="7604" priority="444">
      <formula>AND(IF($Q330=3,1,IF($Q330=4,1,0)),IF($F330&lt;=85,1,0))</formula>
    </cfRule>
  </conditionalFormatting>
  <conditionalFormatting sqref="X330">
    <cfRule type="expression" dxfId="7603" priority="437">
      <formula>AND(IF(OR($Q330=1,$Q330=2),1,0),IF($X330&lt;=20,1,0))</formula>
    </cfRule>
    <cfRule type="expression" dxfId="7602" priority="438">
      <formula>AND(IF($Q330=2,1,0),IF($X330&lt;30,1,0))</formula>
    </cfRule>
    <cfRule type="expression" dxfId="7601" priority="439">
      <formula>AND(IF($Q330=3,1,0),IF($X330&lt;30,1,0))</formula>
    </cfRule>
    <cfRule type="expression" dxfId="7600" priority="440">
      <formula>AND(IF($Q330=3,1,IF($Q330=4,1,0)),IF($F330&lt;=85,1,0))</formula>
    </cfRule>
  </conditionalFormatting>
  <conditionalFormatting sqref="AI330">
    <cfRule type="expression" dxfId="7599" priority="433">
      <formula>AND(IF(OR($Q330=1,$Q330=2),1,0),IF($X330&lt;=20,1,0))</formula>
    </cfRule>
    <cfRule type="expression" dxfId="7598" priority="434">
      <formula>AND(IF($Q330=2,1,0),IF($X330&lt;30,1,0))</formula>
    </cfRule>
    <cfRule type="expression" dxfId="7597" priority="435">
      <formula>AND(IF($Q330=3,1,0),IF($X330&lt;30,1,0))</formula>
    </cfRule>
    <cfRule type="expression" dxfId="7596" priority="436">
      <formula>AND(IF($Q330=3,1,IF($Q330=4,1,0)),IF($F330&lt;=85,1,0))</formula>
    </cfRule>
  </conditionalFormatting>
  <conditionalFormatting sqref="AV331">
    <cfRule type="expression" dxfId="7595" priority="431">
      <formula>AV331="X"</formula>
    </cfRule>
    <cfRule type="expression" dxfId="7594" priority="432">
      <formula>AV331="후보"</formula>
    </cfRule>
  </conditionalFormatting>
  <conditionalFormatting sqref="AC331">
    <cfRule type="cellIs" dxfId="7593" priority="429" operator="greaterThan">
      <formula>0.9</formula>
    </cfRule>
    <cfRule type="cellIs" dxfId="7592" priority="430" operator="greaterThan">
      <formula>0.85</formula>
    </cfRule>
  </conditionalFormatting>
  <conditionalFormatting sqref="N331">
    <cfRule type="cellIs" dxfId="7591" priority="427" operator="greaterThan">
      <formula>0.9</formula>
    </cfRule>
    <cfRule type="cellIs" dxfId="7590" priority="428" operator="greaterThan">
      <formula>0.85</formula>
    </cfRule>
  </conditionalFormatting>
  <conditionalFormatting sqref="E331">
    <cfRule type="expression" dxfId="7589" priority="423">
      <formula>AND(IF(OR($Q331=1,$Q331=2),1,0),IF($X331&lt;=20,1,0))</formula>
    </cfRule>
    <cfRule type="expression" dxfId="7588" priority="424">
      <formula>AND(IF($Q331=2,1,0),IF($X331&lt;30,1,0))</formula>
    </cfRule>
    <cfRule type="expression" dxfId="7587" priority="425">
      <formula>AND(IF($Q331=3,1,0),IF($X331&lt;30,1,0))</formula>
    </cfRule>
    <cfRule type="expression" dxfId="7586" priority="426">
      <formula>AND(IF($Q331=3,1,IF($Q331=4,1,0)),IF($F331&lt;=85,1,0))</formula>
    </cfRule>
  </conditionalFormatting>
  <conditionalFormatting sqref="X331">
    <cfRule type="expression" dxfId="7585" priority="419">
      <formula>AND(IF(OR($Q331=1,$Q331=2),1,0),IF($X331&lt;=20,1,0))</formula>
    </cfRule>
    <cfRule type="expression" dxfId="7584" priority="420">
      <formula>AND(IF($Q331=2,1,0),IF($X331&lt;30,1,0))</formula>
    </cfRule>
    <cfRule type="expression" dxfId="7583" priority="421">
      <formula>AND(IF($Q331=3,1,0),IF($X331&lt;30,1,0))</formula>
    </cfRule>
    <cfRule type="expression" dxfId="7582" priority="422">
      <formula>AND(IF($Q331=3,1,IF($Q331=4,1,0)),IF($F331&lt;=85,1,0))</formula>
    </cfRule>
  </conditionalFormatting>
  <conditionalFormatting sqref="AI331">
    <cfRule type="expression" dxfId="7581" priority="415">
      <formula>AND(IF(OR($Q331=1,$Q331=2),1,0),IF($X331&lt;=20,1,0))</formula>
    </cfRule>
    <cfRule type="expression" dxfId="7580" priority="416">
      <formula>AND(IF($Q331=2,1,0),IF($X331&lt;30,1,0))</formula>
    </cfRule>
    <cfRule type="expression" dxfId="7579" priority="417">
      <formula>AND(IF($Q331=3,1,0),IF($X331&lt;30,1,0))</formula>
    </cfRule>
    <cfRule type="expression" dxfId="7578" priority="418">
      <formula>AND(IF($Q331=3,1,IF($Q331=4,1,0)),IF($F331&lt;=85,1,0))</formula>
    </cfRule>
  </conditionalFormatting>
  <conditionalFormatting sqref="AV332">
    <cfRule type="expression" dxfId="7577" priority="413">
      <formula>AV332="X"</formula>
    </cfRule>
    <cfRule type="expression" dxfId="7576" priority="414">
      <formula>AV332="후보"</formula>
    </cfRule>
  </conditionalFormatting>
  <conditionalFormatting sqref="AC332">
    <cfRule type="cellIs" dxfId="7575" priority="411" operator="greaterThan">
      <formula>0.9</formula>
    </cfRule>
    <cfRule type="cellIs" dxfId="7574" priority="412" operator="greaterThan">
      <formula>0.85</formula>
    </cfRule>
  </conditionalFormatting>
  <conditionalFormatting sqref="N332">
    <cfRule type="cellIs" dxfId="7573" priority="409" operator="greaterThan">
      <formula>0.9</formula>
    </cfRule>
    <cfRule type="cellIs" dxfId="7572" priority="410" operator="greaterThan">
      <formula>0.85</formula>
    </cfRule>
  </conditionalFormatting>
  <conditionalFormatting sqref="E332">
    <cfRule type="expression" dxfId="7571" priority="405">
      <formula>AND(IF(OR($Q332=1,$Q332=2),1,0),IF($X332&lt;=20,1,0))</formula>
    </cfRule>
    <cfRule type="expression" dxfId="7570" priority="406">
      <formula>AND(IF($Q332=2,1,0),IF($X332&lt;30,1,0))</formula>
    </cfRule>
    <cfRule type="expression" dxfId="7569" priority="407">
      <formula>AND(IF($Q332=3,1,0),IF($X332&lt;30,1,0))</formula>
    </cfRule>
    <cfRule type="expression" dxfId="7568" priority="408">
      <formula>AND(IF($Q332=3,1,IF($Q332=4,1,0)),IF($F332&lt;=85,1,0))</formula>
    </cfRule>
  </conditionalFormatting>
  <conditionalFormatting sqref="X332">
    <cfRule type="expression" dxfId="7567" priority="401">
      <formula>AND(IF(OR($Q332=1,$Q332=2),1,0),IF($X332&lt;=20,1,0))</formula>
    </cfRule>
    <cfRule type="expression" dxfId="7566" priority="402">
      <formula>AND(IF($Q332=2,1,0),IF($X332&lt;30,1,0))</formula>
    </cfRule>
    <cfRule type="expression" dxfId="7565" priority="403">
      <formula>AND(IF($Q332=3,1,0),IF($X332&lt;30,1,0))</formula>
    </cfRule>
    <cfRule type="expression" dxfId="7564" priority="404">
      <formula>AND(IF($Q332=3,1,IF($Q332=4,1,0)),IF($F332&lt;=85,1,0))</formula>
    </cfRule>
  </conditionalFormatting>
  <conditionalFormatting sqref="AI332">
    <cfRule type="expression" dxfId="7563" priority="397">
      <formula>AND(IF(OR($Q332=1,$Q332=2),1,0),IF($X332&lt;=20,1,0))</formula>
    </cfRule>
    <cfRule type="expression" dxfId="7562" priority="398">
      <formula>AND(IF($Q332=2,1,0),IF($X332&lt;30,1,0))</formula>
    </cfRule>
    <cfRule type="expression" dxfId="7561" priority="399">
      <formula>AND(IF($Q332=3,1,0),IF($X332&lt;30,1,0))</formula>
    </cfRule>
    <cfRule type="expression" dxfId="7560" priority="400">
      <formula>AND(IF($Q332=3,1,IF($Q332=4,1,0)),IF($F332&lt;=85,1,0))</formula>
    </cfRule>
  </conditionalFormatting>
  <conditionalFormatting sqref="AV333">
    <cfRule type="expression" dxfId="7559" priority="395">
      <formula>AV333="X"</formula>
    </cfRule>
    <cfRule type="expression" dxfId="7558" priority="396">
      <formula>AV333="후보"</formula>
    </cfRule>
  </conditionalFormatting>
  <conditionalFormatting sqref="AC333">
    <cfRule type="cellIs" dxfId="7557" priority="393" operator="greaterThan">
      <formula>0.9</formula>
    </cfRule>
    <cfRule type="cellIs" dxfId="7556" priority="394" operator="greaterThan">
      <formula>0.85</formula>
    </cfRule>
  </conditionalFormatting>
  <conditionalFormatting sqref="N333">
    <cfRule type="cellIs" dxfId="7555" priority="391" operator="greaterThan">
      <formula>0.9</formula>
    </cfRule>
    <cfRule type="cellIs" dxfId="7554" priority="392" operator="greaterThan">
      <formula>0.85</formula>
    </cfRule>
  </conditionalFormatting>
  <conditionalFormatting sqref="E333">
    <cfRule type="expression" dxfId="7553" priority="387">
      <formula>AND(IF(OR($Q333=1,$Q333=2),1,0),IF($X333&lt;=20,1,0))</formula>
    </cfRule>
    <cfRule type="expression" dxfId="7552" priority="388">
      <formula>AND(IF($Q333=2,1,0),IF($X333&lt;30,1,0))</formula>
    </cfRule>
    <cfRule type="expression" dxfId="7551" priority="389">
      <formula>AND(IF($Q333=3,1,0),IF($X333&lt;30,1,0))</formula>
    </cfRule>
    <cfRule type="expression" dxfId="7550" priority="390">
      <formula>AND(IF($Q333=3,1,IF($Q333=4,1,0)),IF($F333&lt;=85,1,0))</formula>
    </cfRule>
  </conditionalFormatting>
  <conditionalFormatting sqref="X333">
    <cfRule type="expression" dxfId="7549" priority="383">
      <formula>AND(IF(OR($Q333=1,$Q333=2),1,0),IF($X333&lt;=20,1,0))</formula>
    </cfRule>
    <cfRule type="expression" dxfId="7548" priority="384">
      <formula>AND(IF($Q333=2,1,0),IF($X333&lt;30,1,0))</formula>
    </cfRule>
    <cfRule type="expression" dxfId="7547" priority="385">
      <formula>AND(IF($Q333=3,1,0),IF($X333&lt;30,1,0))</formula>
    </cfRule>
    <cfRule type="expression" dxfId="7546" priority="386">
      <formula>AND(IF($Q333=3,1,IF($Q333=4,1,0)),IF($F333&lt;=85,1,0))</formula>
    </cfRule>
  </conditionalFormatting>
  <conditionalFormatting sqref="AI333">
    <cfRule type="expression" dxfId="7545" priority="379">
      <formula>AND(IF(OR($Q333=1,$Q333=2),1,0),IF($X333&lt;=20,1,0))</formula>
    </cfRule>
    <cfRule type="expression" dxfId="7544" priority="380">
      <formula>AND(IF($Q333=2,1,0),IF($X333&lt;30,1,0))</formula>
    </cfRule>
    <cfRule type="expression" dxfId="7543" priority="381">
      <formula>AND(IF($Q333=3,1,0),IF($X333&lt;30,1,0))</formula>
    </cfRule>
    <cfRule type="expression" dxfId="7542" priority="382">
      <formula>AND(IF($Q333=3,1,IF($Q333=4,1,0)),IF($F333&lt;=85,1,0))</formula>
    </cfRule>
  </conditionalFormatting>
  <conditionalFormatting sqref="AV334">
    <cfRule type="expression" dxfId="7541" priority="377">
      <formula>AV334="X"</formula>
    </cfRule>
    <cfRule type="expression" dxfId="7540" priority="378">
      <formula>AV334="후보"</formula>
    </cfRule>
  </conditionalFormatting>
  <conditionalFormatting sqref="AC334">
    <cfRule type="cellIs" dxfId="7539" priority="375" operator="greaterThan">
      <formula>0.9</formula>
    </cfRule>
    <cfRule type="cellIs" dxfId="7538" priority="376" operator="greaterThan">
      <formula>0.85</formula>
    </cfRule>
  </conditionalFormatting>
  <conditionalFormatting sqref="N334">
    <cfRule type="cellIs" dxfId="7537" priority="373" operator="greaterThan">
      <formula>0.9</formula>
    </cfRule>
    <cfRule type="cellIs" dxfId="7536" priority="374" operator="greaterThan">
      <formula>0.85</formula>
    </cfRule>
  </conditionalFormatting>
  <conditionalFormatting sqref="E334">
    <cfRule type="expression" dxfId="7535" priority="369">
      <formula>AND(IF(OR($Q334=1,$Q334=2),1,0),IF($X334&lt;=20,1,0))</formula>
    </cfRule>
    <cfRule type="expression" dxfId="7534" priority="370">
      <formula>AND(IF($Q334=2,1,0),IF($X334&lt;30,1,0))</formula>
    </cfRule>
    <cfRule type="expression" dxfId="7533" priority="371">
      <formula>AND(IF($Q334=3,1,0),IF($X334&lt;30,1,0))</formula>
    </cfRule>
    <cfRule type="expression" dxfId="7532" priority="372">
      <formula>AND(IF($Q334=3,1,IF($Q334=4,1,0)),IF($F334&lt;=85,1,0))</formula>
    </cfRule>
  </conditionalFormatting>
  <conditionalFormatting sqref="X334">
    <cfRule type="expression" dxfId="7531" priority="365">
      <formula>AND(IF(OR($Q334=1,$Q334=2),1,0),IF($X334&lt;=20,1,0))</formula>
    </cfRule>
    <cfRule type="expression" dxfId="7530" priority="366">
      <formula>AND(IF($Q334=2,1,0),IF($X334&lt;30,1,0))</formula>
    </cfRule>
    <cfRule type="expression" dxfId="7529" priority="367">
      <formula>AND(IF($Q334=3,1,0),IF($X334&lt;30,1,0))</formula>
    </cfRule>
    <cfRule type="expression" dxfId="7528" priority="368">
      <formula>AND(IF($Q334=3,1,IF($Q334=4,1,0)),IF($F334&lt;=85,1,0))</formula>
    </cfRule>
  </conditionalFormatting>
  <conditionalFormatting sqref="AI334">
    <cfRule type="expression" dxfId="7527" priority="361">
      <formula>AND(IF(OR($Q334=1,$Q334=2),1,0),IF($X334&lt;=20,1,0))</formula>
    </cfRule>
    <cfRule type="expression" dxfId="7526" priority="362">
      <formula>AND(IF($Q334=2,1,0),IF($X334&lt;30,1,0))</formula>
    </cfRule>
    <cfRule type="expression" dxfId="7525" priority="363">
      <formula>AND(IF($Q334=3,1,0),IF($X334&lt;30,1,0))</formula>
    </cfRule>
    <cfRule type="expression" dxfId="7524" priority="364">
      <formula>AND(IF($Q334=3,1,IF($Q334=4,1,0)),IF($F334&lt;=85,1,0))</formula>
    </cfRule>
  </conditionalFormatting>
  <conditionalFormatting sqref="AV335">
    <cfRule type="expression" dxfId="7523" priority="359">
      <formula>AV335="X"</formula>
    </cfRule>
    <cfRule type="expression" dxfId="7522" priority="360">
      <formula>AV335="후보"</formula>
    </cfRule>
  </conditionalFormatting>
  <conditionalFormatting sqref="AC335">
    <cfRule type="cellIs" dxfId="7521" priority="357" operator="greaterThan">
      <formula>0.9</formula>
    </cfRule>
    <cfRule type="cellIs" dxfId="7520" priority="358" operator="greaterThan">
      <formula>0.85</formula>
    </cfRule>
  </conditionalFormatting>
  <conditionalFormatting sqref="N335">
    <cfRule type="cellIs" dxfId="7519" priority="355" operator="greaterThan">
      <formula>0.9</formula>
    </cfRule>
    <cfRule type="cellIs" dxfId="7518" priority="356" operator="greaterThan">
      <formula>0.85</formula>
    </cfRule>
  </conditionalFormatting>
  <conditionalFormatting sqref="E335">
    <cfRule type="expression" dxfId="7517" priority="351">
      <formula>AND(IF(OR($Q335=1,$Q335=2),1,0),IF($X335&lt;=20,1,0))</formula>
    </cfRule>
    <cfRule type="expression" dxfId="7516" priority="352">
      <formula>AND(IF($Q335=2,1,0),IF($X335&lt;30,1,0))</formula>
    </cfRule>
    <cfRule type="expression" dxfId="7515" priority="353">
      <formula>AND(IF($Q335=3,1,0),IF($X335&lt;30,1,0))</formula>
    </cfRule>
    <cfRule type="expression" dxfId="7514" priority="354">
      <formula>AND(IF($Q335=3,1,IF($Q335=4,1,0)),IF($F335&lt;=85,1,0))</formula>
    </cfRule>
  </conditionalFormatting>
  <conditionalFormatting sqref="X335">
    <cfRule type="expression" dxfId="7513" priority="347">
      <formula>AND(IF(OR($Q335=1,$Q335=2),1,0),IF($X335&lt;=20,1,0))</formula>
    </cfRule>
    <cfRule type="expression" dxfId="7512" priority="348">
      <formula>AND(IF($Q335=2,1,0),IF($X335&lt;30,1,0))</formula>
    </cfRule>
    <cfRule type="expression" dxfId="7511" priority="349">
      <formula>AND(IF($Q335=3,1,0),IF($X335&lt;30,1,0))</formula>
    </cfRule>
    <cfRule type="expression" dxfId="7510" priority="350">
      <formula>AND(IF($Q335=3,1,IF($Q335=4,1,0)),IF($F335&lt;=85,1,0))</formula>
    </cfRule>
  </conditionalFormatting>
  <conditionalFormatting sqref="AI335">
    <cfRule type="expression" dxfId="7509" priority="343">
      <formula>AND(IF(OR($Q335=1,$Q335=2),1,0),IF($X335&lt;=20,1,0))</formula>
    </cfRule>
    <cfRule type="expression" dxfId="7508" priority="344">
      <formula>AND(IF($Q335=2,1,0),IF($X335&lt;30,1,0))</formula>
    </cfRule>
    <cfRule type="expression" dxfId="7507" priority="345">
      <formula>AND(IF($Q335=3,1,0),IF($X335&lt;30,1,0))</formula>
    </cfRule>
    <cfRule type="expression" dxfId="7506" priority="346">
      <formula>AND(IF($Q335=3,1,IF($Q335=4,1,0)),IF($F335&lt;=85,1,0))</formula>
    </cfRule>
  </conditionalFormatting>
  <conditionalFormatting sqref="AV336">
    <cfRule type="expression" dxfId="7505" priority="341">
      <formula>AV336="X"</formula>
    </cfRule>
    <cfRule type="expression" dxfId="7504" priority="342">
      <formula>AV336="후보"</formula>
    </cfRule>
  </conditionalFormatting>
  <conditionalFormatting sqref="AC336">
    <cfRule type="cellIs" dxfId="7503" priority="339" operator="greaterThan">
      <formula>0.9</formula>
    </cfRule>
    <cfRule type="cellIs" dxfId="7502" priority="340" operator="greaterThan">
      <formula>0.85</formula>
    </cfRule>
  </conditionalFormatting>
  <conditionalFormatting sqref="N336">
    <cfRule type="cellIs" dxfId="7501" priority="337" operator="greaterThan">
      <formula>0.9</formula>
    </cfRule>
    <cfRule type="cellIs" dxfId="7500" priority="338" operator="greaterThan">
      <formula>0.85</formula>
    </cfRule>
  </conditionalFormatting>
  <conditionalFormatting sqref="E336">
    <cfRule type="expression" dxfId="7499" priority="333">
      <formula>AND(IF(OR($Q336=1,$Q336=2),1,0),IF($X336&lt;=20,1,0))</formula>
    </cfRule>
    <cfRule type="expression" dxfId="7498" priority="334">
      <formula>AND(IF($Q336=2,1,0),IF($X336&lt;30,1,0))</formula>
    </cfRule>
    <cfRule type="expression" dxfId="7497" priority="335">
      <formula>AND(IF($Q336=3,1,0),IF($X336&lt;30,1,0))</formula>
    </cfRule>
    <cfRule type="expression" dxfId="7496" priority="336">
      <formula>AND(IF($Q336=3,1,IF($Q336=4,1,0)),IF($F336&lt;=85,1,0))</formula>
    </cfRule>
  </conditionalFormatting>
  <conditionalFormatting sqref="X336">
    <cfRule type="expression" dxfId="7495" priority="329">
      <formula>AND(IF(OR($Q336=1,$Q336=2),1,0),IF($X336&lt;=20,1,0))</formula>
    </cfRule>
    <cfRule type="expression" dxfId="7494" priority="330">
      <formula>AND(IF($Q336=2,1,0),IF($X336&lt;30,1,0))</formula>
    </cfRule>
    <cfRule type="expression" dxfId="7493" priority="331">
      <formula>AND(IF($Q336=3,1,0),IF($X336&lt;30,1,0))</formula>
    </cfRule>
    <cfRule type="expression" dxfId="7492" priority="332">
      <formula>AND(IF($Q336=3,1,IF($Q336=4,1,0)),IF($F336&lt;=85,1,0))</formula>
    </cfRule>
  </conditionalFormatting>
  <conditionalFormatting sqref="AI336">
    <cfRule type="expression" dxfId="7491" priority="325">
      <formula>AND(IF(OR($Q336=1,$Q336=2),1,0),IF($X336&lt;=20,1,0))</formula>
    </cfRule>
    <cfRule type="expression" dxfId="7490" priority="326">
      <formula>AND(IF($Q336=2,1,0),IF($X336&lt;30,1,0))</formula>
    </cfRule>
    <cfRule type="expression" dxfId="7489" priority="327">
      <formula>AND(IF($Q336=3,1,0),IF($X336&lt;30,1,0))</formula>
    </cfRule>
    <cfRule type="expression" dxfId="7488" priority="328">
      <formula>AND(IF($Q336=3,1,IF($Q336=4,1,0)),IF($F336&lt;=85,1,0))</formula>
    </cfRule>
  </conditionalFormatting>
  <conditionalFormatting sqref="AV337">
    <cfRule type="expression" dxfId="7487" priority="323">
      <formula>AV337="X"</formula>
    </cfRule>
    <cfRule type="expression" dxfId="7486" priority="324">
      <formula>AV337="후보"</formula>
    </cfRule>
  </conditionalFormatting>
  <conditionalFormatting sqref="AC337">
    <cfRule type="cellIs" dxfId="7485" priority="321" operator="greaterThan">
      <formula>0.9</formula>
    </cfRule>
    <cfRule type="cellIs" dxfId="7484" priority="322" operator="greaterThan">
      <formula>0.85</formula>
    </cfRule>
  </conditionalFormatting>
  <conditionalFormatting sqref="N337">
    <cfRule type="cellIs" dxfId="7483" priority="319" operator="greaterThan">
      <formula>0.9</formula>
    </cfRule>
    <cfRule type="cellIs" dxfId="7482" priority="320" operator="greaterThan">
      <formula>0.85</formula>
    </cfRule>
  </conditionalFormatting>
  <conditionalFormatting sqref="E337">
    <cfRule type="expression" dxfId="7481" priority="315">
      <formula>AND(IF(OR($Q337=1,$Q337=2),1,0),IF($X337&lt;=20,1,0))</formula>
    </cfRule>
    <cfRule type="expression" dxfId="7480" priority="316">
      <formula>AND(IF($Q337=2,1,0),IF($X337&lt;30,1,0))</formula>
    </cfRule>
    <cfRule type="expression" dxfId="7479" priority="317">
      <formula>AND(IF($Q337=3,1,0),IF($X337&lt;30,1,0))</formula>
    </cfRule>
    <cfRule type="expression" dxfId="7478" priority="318">
      <formula>AND(IF($Q337=3,1,IF($Q337=4,1,0)),IF($F337&lt;=85,1,0))</formula>
    </cfRule>
  </conditionalFormatting>
  <conditionalFormatting sqref="X337">
    <cfRule type="expression" dxfId="7477" priority="311">
      <formula>AND(IF(OR($Q337=1,$Q337=2),1,0),IF($X337&lt;=20,1,0))</formula>
    </cfRule>
    <cfRule type="expression" dxfId="7476" priority="312">
      <formula>AND(IF($Q337=2,1,0),IF($X337&lt;30,1,0))</formula>
    </cfRule>
    <cfRule type="expression" dxfId="7475" priority="313">
      <formula>AND(IF($Q337=3,1,0),IF($X337&lt;30,1,0))</formula>
    </cfRule>
    <cfRule type="expression" dxfId="7474" priority="314">
      <formula>AND(IF($Q337=3,1,IF($Q337=4,1,0)),IF($F337&lt;=85,1,0))</formula>
    </cfRule>
  </conditionalFormatting>
  <conditionalFormatting sqref="AI337">
    <cfRule type="expression" dxfId="7473" priority="307">
      <formula>AND(IF(OR($Q337=1,$Q337=2),1,0),IF($X337&lt;=20,1,0))</formula>
    </cfRule>
    <cfRule type="expression" dxfId="7472" priority="308">
      <formula>AND(IF($Q337=2,1,0),IF($X337&lt;30,1,0))</formula>
    </cfRule>
    <cfRule type="expression" dxfId="7471" priority="309">
      <formula>AND(IF($Q337=3,1,0),IF($X337&lt;30,1,0))</formula>
    </cfRule>
    <cfRule type="expression" dxfId="7470" priority="310">
      <formula>AND(IF($Q337=3,1,IF($Q337=4,1,0)),IF($F337&lt;=85,1,0))</formula>
    </cfRule>
  </conditionalFormatting>
  <conditionalFormatting sqref="AV338">
    <cfRule type="expression" dxfId="7469" priority="305">
      <formula>AV338="X"</formula>
    </cfRule>
    <cfRule type="expression" dxfId="7468" priority="306">
      <formula>AV338="후보"</formula>
    </cfRule>
  </conditionalFormatting>
  <conditionalFormatting sqref="AC338">
    <cfRule type="cellIs" dxfId="7467" priority="303" operator="greaterThan">
      <formula>0.9</formula>
    </cfRule>
    <cfRule type="cellIs" dxfId="7466" priority="304" operator="greaterThan">
      <formula>0.85</formula>
    </cfRule>
  </conditionalFormatting>
  <conditionalFormatting sqref="N338">
    <cfRule type="cellIs" dxfId="7465" priority="301" operator="greaterThan">
      <formula>0.9</formula>
    </cfRule>
    <cfRule type="cellIs" dxfId="7464" priority="302" operator="greaterThan">
      <formula>0.85</formula>
    </cfRule>
  </conditionalFormatting>
  <conditionalFormatting sqref="E338">
    <cfRule type="expression" dxfId="7463" priority="297">
      <formula>AND(IF(OR($Q338=1,$Q338=2),1,0),IF($X338&lt;=20,1,0))</formula>
    </cfRule>
    <cfRule type="expression" dxfId="7462" priority="298">
      <formula>AND(IF($Q338=2,1,0),IF($X338&lt;30,1,0))</formula>
    </cfRule>
    <cfRule type="expression" dxfId="7461" priority="299">
      <formula>AND(IF($Q338=3,1,0),IF($X338&lt;30,1,0))</formula>
    </cfRule>
    <cfRule type="expression" dxfId="7460" priority="300">
      <formula>AND(IF($Q338=3,1,IF($Q338=4,1,0)),IF($F338&lt;=85,1,0))</formula>
    </cfRule>
  </conditionalFormatting>
  <conditionalFormatting sqref="X338">
    <cfRule type="expression" dxfId="7459" priority="293">
      <formula>AND(IF(OR($Q338=1,$Q338=2),1,0),IF($X338&lt;=20,1,0))</formula>
    </cfRule>
    <cfRule type="expression" dxfId="7458" priority="294">
      <formula>AND(IF($Q338=2,1,0),IF($X338&lt;30,1,0))</formula>
    </cfRule>
    <cfRule type="expression" dxfId="7457" priority="295">
      <formula>AND(IF($Q338=3,1,0),IF($X338&lt;30,1,0))</formula>
    </cfRule>
    <cfRule type="expression" dxfId="7456" priority="296">
      <formula>AND(IF($Q338=3,1,IF($Q338=4,1,0)),IF($F338&lt;=85,1,0))</formula>
    </cfRule>
  </conditionalFormatting>
  <conditionalFormatting sqref="AI338">
    <cfRule type="expression" dxfId="7455" priority="289">
      <formula>AND(IF(OR($Q338=1,$Q338=2),1,0),IF($X338&lt;=20,1,0))</formula>
    </cfRule>
    <cfRule type="expression" dxfId="7454" priority="290">
      <formula>AND(IF($Q338=2,1,0),IF($X338&lt;30,1,0))</formula>
    </cfRule>
    <cfRule type="expression" dxfId="7453" priority="291">
      <formula>AND(IF($Q338=3,1,0),IF($X338&lt;30,1,0))</formula>
    </cfRule>
    <cfRule type="expression" dxfId="7452" priority="292">
      <formula>AND(IF($Q338=3,1,IF($Q338=4,1,0)),IF($F338&lt;=85,1,0))</formula>
    </cfRule>
  </conditionalFormatting>
  <conditionalFormatting sqref="AV339">
    <cfRule type="expression" dxfId="7451" priority="287">
      <formula>AV339="X"</formula>
    </cfRule>
    <cfRule type="expression" dxfId="7450" priority="288">
      <formula>AV339="후보"</formula>
    </cfRule>
  </conditionalFormatting>
  <conditionalFormatting sqref="AC339">
    <cfRule type="cellIs" dxfId="7449" priority="285" operator="greaterThan">
      <formula>0.9</formula>
    </cfRule>
    <cfRule type="cellIs" dxfId="7448" priority="286" operator="greaterThan">
      <formula>0.85</formula>
    </cfRule>
  </conditionalFormatting>
  <conditionalFormatting sqref="N339">
    <cfRule type="cellIs" dxfId="7447" priority="283" operator="greaterThan">
      <formula>0.9</formula>
    </cfRule>
    <cfRule type="cellIs" dxfId="7446" priority="284" operator="greaterThan">
      <formula>0.85</formula>
    </cfRule>
  </conditionalFormatting>
  <conditionalFormatting sqref="E339">
    <cfRule type="expression" dxfId="7445" priority="279">
      <formula>AND(IF(OR($Q339=1,$Q339=2),1,0),IF($X339&lt;=20,1,0))</formula>
    </cfRule>
    <cfRule type="expression" dxfId="7444" priority="280">
      <formula>AND(IF($Q339=2,1,0),IF($X339&lt;30,1,0))</formula>
    </cfRule>
    <cfRule type="expression" dxfId="7443" priority="281">
      <formula>AND(IF($Q339=3,1,0),IF($X339&lt;30,1,0))</formula>
    </cfRule>
    <cfRule type="expression" dxfId="7442" priority="282">
      <formula>AND(IF($Q339=3,1,IF($Q339=4,1,0)),IF($F339&lt;=85,1,0))</formula>
    </cfRule>
  </conditionalFormatting>
  <conditionalFormatting sqref="X339">
    <cfRule type="expression" dxfId="7441" priority="275">
      <formula>AND(IF(OR($Q339=1,$Q339=2),1,0),IF($X339&lt;=20,1,0))</formula>
    </cfRule>
    <cfRule type="expression" dxfId="7440" priority="276">
      <formula>AND(IF($Q339=2,1,0),IF($X339&lt;30,1,0))</formula>
    </cfRule>
    <cfRule type="expression" dxfId="7439" priority="277">
      <formula>AND(IF($Q339=3,1,0),IF($X339&lt;30,1,0))</formula>
    </cfRule>
    <cfRule type="expression" dxfId="7438" priority="278">
      <formula>AND(IF($Q339=3,1,IF($Q339=4,1,0)),IF($F339&lt;=85,1,0))</formula>
    </cfRule>
  </conditionalFormatting>
  <conditionalFormatting sqref="AI339">
    <cfRule type="expression" dxfId="7437" priority="271">
      <formula>AND(IF(OR($Q339=1,$Q339=2),1,0),IF($X339&lt;=20,1,0))</formula>
    </cfRule>
    <cfRule type="expression" dxfId="7436" priority="272">
      <formula>AND(IF($Q339=2,1,0),IF($X339&lt;30,1,0))</formula>
    </cfRule>
    <cfRule type="expression" dxfId="7435" priority="273">
      <formula>AND(IF($Q339=3,1,0),IF($X339&lt;30,1,0))</formula>
    </cfRule>
    <cfRule type="expression" dxfId="7434" priority="274">
      <formula>AND(IF($Q339=3,1,IF($Q339=4,1,0)),IF($F339&lt;=85,1,0))</formula>
    </cfRule>
  </conditionalFormatting>
  <conditionalFormatting sqref="AV340">
    <cfRule type="expression" dxfId="7433" priority="269">
      <formula>AV340="X"</formula>
    </cfRule>
    <cfRule type="expression" dxfId="7432" priority="270">
      <formula>AV340="후보"</formula>
    </cfRule>
  </conditionalFormatting>
  <conditionalFormatting sqref="AC340">
    <cfRule type="cellIs" dxfId="7431" priority="267" operator="greaterThan">
      <formula>0.9</formula>
    </cfRule>
    <cfRule type="cellIs" dxfId="7430" priority="268" operator="greaterThan">
      <formula>0.85</formula>
    </cfRule>
  </conditionalFormatting>
  <conditionalFormatting sqref="N340">
    <cfRule type="cellIs" dxfId="7429" priority="265" operator="greaterThan">
      <formula>0.9</formula>
    </cfRule>
    <cfRule type="cellIs" dxfId="7428" priority="266" operator="greaterThan">
      <formula>0.85</formula>
    </cfRule>
  </conditionalFormatting>
  <conditionalFormatting sqref="E340">
    <cfRule type="expression" dxfId="7427" priority="261">
      <formula>AND(IF(OR($Q340=1,$Q340=2),1,0),IF($X340&lt;=20,1,0))</formula>
    </cfRule>
    <cfRule type="expression" dxfId="7426" priority="262">
      <formula>AND(IF($Q340=2,1,0),IF($X340&lt;30,1,0))</formula>
    </cfRule>
    <cfRule type="expression" dxfId="7425" priority="263">
      <formula>AND(IF($Q340=3,1,0),IF($X340&lt;30,1,0))</formula>
    </cfRule>
    <cfRule type="expression" dxfId="7424" priority="264">
      <formula>AND(IF($Q340=3,1,IF($Q340=4,1,0)),IF($F340&lt;=85,1,0))</formula>
    </cfRule>
  </conditionalFormatting>
  <conditionalFormatting sqref="X340">
    <cfRule type="expression" dxfId="7423" priority="257">
      <formula>AND(IF(OR($Q340=1,$Q340=2),1,0),IF($X340&lt;=20,1,0))</formula>
    </cfRule>
    <cfRule type="expression" dxfId="7422" priority="258">
      <formula>AND(IF($Q340=2,1,0),IF($X340&lt;30,1,0))</formula>
    </cfRule>
    <cfRule type="expression" dxfId="7421" priority="259">
      <formula>AND(IF($Q340=3,1,0),IF($X340&lt;30,1,0))</formula>
    </cfRule>
    <cfRule type="expression" dxfId="7420" priority="260">
      <formula>AND(IF($Q340=3,1,IF($Q340=4,1,0)),IF($F340&lt;=85,1,0))</formula>
    </cfRule>
  </conditionalFormatting>
  <conditionalFormatting sqref="AI340">
    <cfRule type="expression" dxfId="7419" priority="253">
      <formula>AND(IF(OR($Q340=1,$Q340=2),1,0),IF($X340&lt;=20,1,0))</formula>
    </cfRule>
    <cfRule type="expression" dxfId="7418" priority="254">
      <formula>AND(IF($Q340=2,1,0),IF($X340&lt;30,1,0))</formula>
    </cfRule>
    <cfRule type="expression" dxfId="7417" priority="255">
      <formula>AND(IF($Q340=3,1,0),IF($X340&lt;30,1,0))</formula>
    </cfRule>
    <cfRule type="expression" dxfId="7416" priority="256">
      <formula>AND(IF($Q340=3,1,IF($Q340=4,1,0)),IF($F340&lt;=85,1,0))</formula>
    </cfRule>
  </conditionalFormatting>
  <conditionalFormatting sqref="AV341">
    <cfRule type="expression" dxfId="7415" priority="251">
      <formula>AV341="X"</formula>
    </cfRule>
    <cfRule type="expression" dxfId="7414" priority="252">
      <formula>AV341="후보"</formula>
    </cfRule>
  </conditionalFormatting>
  <conditionalFormatting sqref="AC341">
    <cfRule type="cellIs" dxfId="7413" priority="249" operator="greaterThan">
      <formula>0.9</formula>
    </cfRule>
    <cfRule type="cellIs" dxfId="7412" priority="250" operator="greaterThan">
      <formula>0.85</formula>
    </cfRule>
  </conditionalFormatting>
  <conditionalFormatting sqref="N341">
    <cfRule type="cellIs" dxfId="7411" priority="247" operator="greaterThan">
      <formula>0.9</formula>
    </cfRule>
    <cfRule type="cellIs" dxfId="7410" priority="248" operator="greaterThan">
      <formula>0.85</formula>
    </cfRule>
  </conditionalFormatting>
  <conditionalFormatting sqref="E341">
    <cfRule type="expression" dxfId="7409" priority="243">
      <formula>AND(IF(OR($Q341=1,$Q341=2),1,0),IF($X341&lt;=20,1,0))</formula>
    </cfRule>
    <cfRule type="expression" dxfId="7408" priority="244">
      <formula>AND(IF($Q341=2,1,0),IF($X341&lt;30,1,0))</formula>
    </cfRule>
    <cfRule type="expression" dxfId="7407" priority="245">
      <formula>AND(IF($Q341=3,1,0),IF($X341&lt;30,1,0))</formula>
    </cfRule>
    <cfRule type="expression" dxfId="7406" priority="246">
      <formula>AND(IF($Q341=3,1,IF($Q341=4,1,0)),IF($F341&lt;=85,1,0))</formula>
    </cfRule>
  </conditionalFormatting>
  <conditionalFormatting sqref="X341">
    <cfRule type="expression" dxfId="7405" priority="239">
      <formula>AND(IF(OR($Q341=1,$Q341=2),1,0),IF($X341&lt;=20,1,0))</formula>
    </cfRule>
    <cfRule type="expression" dxfId="7404" priority="240">
      <formula>AND(IF($Q341=2,1,0),IF($X341&lt;30,1,0))</formula>
    </cfRule>
    <cfRule type="expression" dxfId="7403" priority="241">
      <formula>AND(IF($Q341=3,1,0),IF($X341&lt;30,1,0))</formula>
    </cfRule>
    <cfRule type="expression" dxfId="7402" priority="242">
      <formula>AND(IF($Q341=3,1,IF($Q341=4,1,0)),IF($F341&lt;=85,1,0))</formula>
    </cfRule>
  </conditionalFormatting>
  <conditionalFormatting sqref="AI341">
    <cfRule type="expression" dxfId="7401" priority="235">
      <formula>AND(IF(OR($Q341=1,$Q341=2),1,0),IF($X341&lt;=20,1,0))</formula>
    </cfRule>
    <cfRule type="expression" dxfId="7400" priority="236">
      <formula>AND(IF($Q341=2,1,0),IF($X341&lt;30,1,0))</formula>
    </cfRule>
    <cfRule type="expression" dxfId="7399" priority="237">
      <formula>AND(IF($Q341=3,1,0),IF($X341&lt;30,1,0))</formula>
    </cfRule>
    <cfRule type="expression" dxfId="7398" priority="238">
      <formula>AND(IF($Q341=3,1,IF($Q341=4,1,0)),IF($F341&lt;=85,1,0))</formula>
    </cfRule>
  </conditionalFormatting>
  <conditionalFormatting sqref="AV342">
    <cfRule type="expression" dxfId="7397" priority="233">
      <formula>AV342="X"</formula>
    </cfRule>
    <cfRule type="expression" dxfId="7396" priority="234">
      <formula>AV342="후보"</formula>
    </cfRule>
  </conditionalFormatting>
  <conditionalFormatting sqref="AC342">
    <cfRule type="cellIs" dxfId="7395" priority="231" operator="greaterThan">
      <formula>0.9</formula>
    </cfRule>
    <cfRule type="cellIs" dxfId="7394" priority="232" operator="greaterThan">
      <formula>0.85</formula>
    </cfRule>
  </conditionalFormatting>
  <conditionalFormatting sqref="N342">
    <cfRule type="cellIs" dxfId="7393" priority="229" operator="greaterThan">
      <formula>0.9</formula>
    </cfRule>
    <cfRule type="cellIs" dxfId="7392" priority="230" operator="greaterThan">
      <formula>0.85</formula>
    </cfRule>
  </conditionalFormatting>
  <conditionalFormatting sqref="E342">
    <cfRule type="expression" dxfId="7391" priority="225">
      <formula>AND(IF(OR($Q342=1,$Q342=2),1,0),IF($X342&lt;=20,1,0))</formula>
    </cfRule>
    <cfRule type="expression" dxfId="7390" priority="226">
      <formula>AND(IF($Q342=2,1,0),IF($X342&lt;30,1,0))</formula>
    </cfRule>
    <cfRule type="expression" dxfId="7389" priority="227">
      <formula>AND(IF($Q342=3,1,0),IF($X342&lt;30,1,0))</formula>
    </cfRule>
    <cfRule type="expression" dxfId="7388" priority="228">
      <formula>AND(IF($Q342=3,1,IF($Q342=4,1,0)),IF($F342&lt;=85,1,0))</formula>
    </cfRule>
  </conditionalFormatting>
  <conditionalFormatting sqref="X342">
    <cfRule type="expression" dxfId="7387" priority="221">
      <formula>AND(IF(OR($Q342=1,$Q342=2),1,0),IF($X342&lt;=20,1,0))</formula>
    </cfRule>
    <cfRule type="expression" dxfId="7386" priority="222">
      <formula>AND(IF($Q342=2,1,0),IF($X342&lt;30,1,0))</formula>
    </cfRule>
    <cfRule type="expression" dxfId="7385" priority="223">
      <formula>AND(IF($Q342=3,1,0),IF($X342&lt;30,1,0))</formula>
    </cfRule>
    <cfRule type="expression" dxfId="7384" priority="224">
      <formula>AND(IF($Q342=3,1,IF($Q342=4,1,0)),IF($F342&lt;=85,1,0))</formula>
    </cfRule>
  </conditionalFormatting>
  <conditionalFormatting sqref="AI342">
    <cfRule type="expression" dxfId="7383" priority="217">
      <formula>AND(IF(OR($Q342=1,$Q342=2),1,0),IF($X342&lt;=20,1,0))</formula>
    </cfRule>
    <cfRule type="expression" dxfId="7382" priority="218">
      <formula>AND(IF($Q342=2,1,0),IF($X342&lt;30,1,0))</formula>
    </cfRule>
    <cfRule type="expression" dxfId="7381" priority="219">
      <formula>AND(IF($Q342=3,1,0),IF($X342&lt;30,1,0))</formula>
    </cfRule>
    <cfRule type="expression" dxfId="7380" priority="220">
      <formula>AND(IF($Q342=3,1,IF($Q342=4,1,0)),IF($F342&lt;=85,1,0))</formula>
    </cfRule>
  </conditionalFormatting>
  <conditionalFormatting sqref="AV343">
    <cfRule type="expression" dxfId="7379" priority="215">
      <formula>AV343="X"</formula>
    </cfRule>
    <cfRule type="expression" dxfId="7378" priority="216">
      <formula>AV343="후보"</formula>
    </cfRule>
  </conditionalFormatting>
  <conditionalFormatting sqref="AC343">
    <cfRule type="cellIs" dxfId="7377" priority="213" operator="greaterThan">
      <formula>0.9</formula>
    </cfRule>
    <cfRule type="cellIs" dxfId="7376" priority="214" operator="greaterThan">
      <formula>0.85</formula>
    </cfRule>
  </conditionalFormatting>
  <conditionalFormatting sqref="N343">
    <cfRule type="cellIs" dxfId="7375" priority="211" operator="greaterThan">
      <formula>0.9</formula>
    </cfRule>
    <cfRule type="cellIs" dxfId="7374" priority="212" operator="greaterThan">
      <formula>0.85</formula>
    </cfRule>
  </conditionalFormatting>
  <conditionalFormatting sqref="E343">
    <cfRule type="expression" dxfId="7373" priority="207">
      <formula>AND(IF(OR($Q343=1,$Q343=2),1,0),IF($X343&lt;=20,1,0))</formula>
    </cfRule>
    <cfRule type="expression" dxfId="7372" priority="208">
      <formula>AND(IF($Q343=2,1,0),IF($X343&lt;30,1,0))</formula>
    </cfRule>
    <cfRule type="expression" dxfId="7371" priority="209">
      <formula>AND(IF($Q343=3,1,0),IF($X343&lt;30,1,0))</formula>
    </cfRule>
    <cfRule type="expression" dxfId="7370" priority="210">
      <formula>AND(IF($Q343=3,1,IF($Q343=4,1,0)),IF($F343&lt;=85,1,0))</formula>
    </cfRule>
  </conditionalFormatting>
  <conditionalFormatting sqref="X343">
    <cfRule type="expression" dxfId="7369" priority="203">
      <formula>AND(IF(OR($Q343=1,$Q343=2),1,0),IF($X343&lt;=20,1,0))</formula>
    </cfRule>
    <cfRule type="expression" dxfId="7368" priority="204">
      <formula>AND(IF($Q343=2,1,0),IF($X343&lt;30,1,0))</formula>
    </cfRule>
    <cfRule type="expression" dxfId="7367" priority="205">
      <formula>AND(IF($Q343=3,1,0),IF($X343&lt;30,1,0))</formula>
    </cfRule>
    <cfRule type="expression" dxfId="7366" priority="206">
      <formula>AND(IF($Q343=3,1,IF($Q343=4,1,0)),IF($F343&lt;=85,1,0))</formula>
    </cfRule>
  </conditionalFormatting>
  <conditionalFormatting sqref="AI343">
    <cfRule type="expression" dxfId="7365" priority="199">
      <formula>AND(IF(OR($Q343=1,$Q343=2),1,0),IF($X343&lt;=20,1,0))</formula>
    </cfRule>
    <cfRule type="expression" dxfId="7364" priority="200">
      <formula>AND(IF($Q343=2,1,0),IF($X343&lt;30,1,0))</formula>
    </cfRule>
    <cfRule type="expression" dxfId="7363" priority="201">
      <formula>AND(IF($Q343=3,1,0),IF($X343&lt;30,1,0))</formula>
    </cfRule>
    <cfRule type="expression" dxfId="7362" priority="202">
      <formula>AND(IF($Q343=3,1,IF($Q343=4,1,0)),IF($F343&lt;=85,1,0))</formula>
    </cfRule>
  </conditionalFormatting>
  <conditionalFormatting sqref="AV344">
    <cfRule type="expression" dxfId="7361" priority="197">
      <formula>AV344="X"</formula>
    </cfRule>
    <cfRule type="expression" dxfId="7360" priority="198">
      <formula>AV344="후보"</formula>
    </cfRule>
  </conditionalFormatting>
  <conditionalFormatting sqref="AC344">
    <cfRule type="cellIs" dxfId="7359" priority="195" operator="greaterThan">
      <formula>0.9</formula>
    </cfRule>
    <cfRule type="cellIs" dxfId="7358" priority="196" operator="greaterThan">
      <formula>0.85</formula>
    </cfRule>
  </conditionalFormatting>
  <conditionalFormatting sqref="N344">
    <cfRule type="cellIs" dxfId="7357" priority="193" operator="greaterThan">
      <formula>0.9</formula>
    </cfRule>
    <cfRule type="cellIs" dxfId="7356" priority="194" operator="greaterThan">
      <formula>0.85</formula>
    </cfRule>
  </conditionalFormatting>
  <conditionalFormatting sqref="E344">
    <cfRule type="expression" dxfId="7355" priority="189">
      <formula>AND(IF(OR($Q344=1,$Q344=2),1,0),IF($X344&lt;=20,1,0))</formula>
    </cfRule>
    <cfRule type="expression" dxfId="7354" priority="190">
      <formula>AND(IF($Q344=2,1,0),IF($X344&lt;30,1,0))</formula>
    </cfRule>
    <cfRule type="expression" dxfId="7353" priority="191">
      <formula>AND(IF($Q344=3,1,0),IF($X344&lt;30,1,0))</formula>
    </cfRule>
    <cfRule type="expression" dxfId="7352" priority="192">
      <formula>AND(IF($Q344=3,1,IF($Q344=4,1,0)),IF($F344&lt;=85,1,0))</formula>
    </cfRule>
  </conditionalFormatting>
  <conditionalFormatting sqref="X344">
    <cfRule type="expression" dxfId="7351" priority="185">
      <formula>AND(IF(OR($Q344=1,$Q344=2),1,0),IF($X344&lt;=20,1,0))</formula>
    </cfRule>
    <cfRule type="expression" dxfId="7350" priority="186">
      <formula>AND(IF($Q344=2,1,0),IF($X344&lt;30,1,0))</formula>
    </cfRule>
    <cfRule type="expression" dxfId="7349" priority="187">
      <formula>AND(IF($Q344=3,1,0),IF($X344&lt;30,1,0))</formula>
    </cfRule>
    <cfRule type="expression" dxfId="7348" priority="188">
      <formula>AND(IF($Q344=3,1,IF($Q344=4,1,0)),IF($F344&lt;=85,1,0))</formula>
    </cfRule>
  </conditionalFormatting>
  <conditionalFormatting sqref="AI344">
    <cfRule type="expression" dxfId="7347" priority="181">
      <formula>AND(IF(OR($Q344=1,$Q344=2),1,0),IF($X344&lt;=20,1,0))</formula>
    </cfRule>
    <cfRule type="expression" dxfId="7346" priority="182">
      <formula>AND(IF($Q344=2,1,0),IF($X344&lt;30,1,0))</formula>
    </cfRule>
    <cfRule type="expression" dxfId="7345" priority="183">
      <formula>AND(IF($Q344=3,1,0),IF($X344&lt;30,1,0))</formula>
    </cfRule>
    <cfRule type="expression" dxfId="7344" priority="184">
      <formula>AND(IF($Q344=3,1,IF($Q344=4,1,0)),IF($F344&lt;=85,1,0))</formula>
    </cfRule>
  </conditionalFormatting>
  <conditionalFormatting sqref="AV345">
    <cfRule type="expression" dxfId="7343" priority="179">
      <formula>AV345="X"</formula>
    </cfRule>
    <cfRule type="expression" dxfId="7342" priority="180">
      <formula>AV345="후보"</formula>
    </cfRule>
  </conditionalFormatting>
  <conditionalFormatting sqref="AC345">
    <cfRule type="cellIs" dxfId="7341" priority="177" operator="greaterThan">
      <formula>0.9</formula>
    </cfRule>
    <cfRule type="cellIs" dxfId="7340" priority="178" operator="greaterThan">
      <formula>0.85</formula>
    </cfRule>
  </conditionalFormatting>
  <conditionalFormatting sqref="N345">
    <cfRule type="cellIs" dxfId="7339" priority="175" operator="greaterThan">
      <formula>0.9</formula>
    </cfRule>
    <cfRule type="cellIs" dxfId="7338" priority="176" operator="greaterThan">
      <formula>0.85</formula>
    </cfRule>
  </conditionalFormatting>
  <conditionalFormatting sqref="E345">
    <cfRule type="expression" dxfId="7337" priority="171">
      <formula>AND(IF(OR($Q345=1,$Q345=2),1,0),IF($X345&lt;=20,1,0))</formula>
    </cfRule>
    <cfRule type="expression" dxfId="7336" priority="172">
      <formula>AND(IF($Q345=2,1,0),IF($X345&lt;30,1,0))</formula>
    </cfRule>
    <cfRule type="expression" dxfId="7335" priority="173">
      <formula>AND(IF($Q345=3,1,0),IF($X345&lt;30,1,0))</formula>
    </cfRule>
    <cfRule type="expression" dxfId="7334" priority="174">
      <formula>AND(IF($Q345=3,1,IF($Q345=4,1,0)),IF($F345&lt;=85,1,0))</formula>
    </cfRule>
  </conditionalFormatting>
  <conditionalFormatting sqref="X345">
    <cfRule type="expression" dxfId="7333" priority="167">
      <formula>AND(IF(OR($Q345=1,$Q345=2),1,0),IF($X345&lt;=20,1,0))</formula>
    </cfRule>
    <cfRule type="expression" dxfId="7332" priority="168">
      <formula>AND(IF($Q345=2,1,0),IF($X345&lt;30,1,0))</formula>
    </cfRule>
    <cfRule type="expression" dxfId="7331" priority="169">
      <formula>AND(IF($Q345=3,1,0),IF($X345&lt;30,1,0))</formula>
    </cfRule>
    <cfRule type="expression" dxfId="7330" priority="170">
      <formula>AND(IF($Q345=3,1,IF($Q345=4,1,0)),IF($F345&lt;=85,1,0))</formula>
    </cfRule>
  </conditionalFormatting>
  <conditionalFormatting sqref="AI345">
    <cfRule type="expression" dxfId="7329" priority="163">
      <formula>AND(IF(OR($Q345=1,$Q345=2),1,0),IF($X345&lt;=20,1,0))</formula>
    </cfRule>
    <cfRule type="expression" dxfId="7328" priority="164">
      <formula>AND(IF($Q345=2,1,0),IF($X345&lt;30,1,0))</formula>
    </cfRule>
    <cfRule type="expression" dxfId="7327" priority="165">
      <formula>AND(IF($Q345=3,1,0),IF($X345&lt;30,1,0))</formula>
    </cfRule>
    <cfRule type="expression" dxfId="7326" priority="166">
      <formula>AND(IF($Q345=3,1,IF($Q345=4,1,0)),IF($F345&lt;=85,1,0))</formula>
    </cfRule>
  </conditionalFormatting>
  <conditionalFormatting sqref="AV346">
    <cfRule type="expression" dxfId="7325" priority="161">
      <formula>AV346="X"</formula>
    </cfRule>
    <cfRule type="expression" dxfId="7324" priority="162">
      <formula>AV346="후보"</formula>
    </cfRule>
  </conditionalFormatting>
  <conditionalFormatting sqref="AC346">
    <cfRule type="cellIs" dxfId="7323" priority="159" operator="greaterThan">
      <formula>0.9</formula>
    </cfRule>
    <cfRule type="cellIs" dxfId="7322" priority="160" operator="greaterThan">
      <formula>0.85</formula>
    </cfRule>
  </conditionalFormatting>
  <conditionalFormatting sqref="N346">
    <cfRule type="cellIs" dxfId="7321" priority="157" operator="greaterThan">
      <formula>0.9</formula>
    </cfRule>
    <cfRule type="cellIs" dxfId="7320" priority="158" operator="greaterThan">
      <formula>0.85</formula>
    </cfRule>
  </conditionalFormatting>
  <conditionalFormatting sqref="E346">
    <cfRule type="expression" dxfId="7319" priority="153">
      <formula>AND(IF(OR($Q346=1,$Q346=2),1,0),IF($X346&lt;=20,1,0))</formula>
    </cfRule>
    <cfRule type="expression" dxfId="7318" priority="154">
      <formula>AND(IF($Q346=2,1,0),IF($X346&lt;30,1,0))</formula>
    </cfRule>
    <cfRule type="expression" dxfId="7317" priority="155">
      <formula>AND(IF($Q346=3,1,0),IF($X346&lt;30,1,0))</formula>
    </cfRule>
    <cfRule type="expression" dxfId="7316" priority="156">
      <formula>AND(IF($Q346=3,1,IF($Q346=4,1,0)),IF($F346&lt;=85,1,0))</formula>
    </cfRule>
  </conditionalFormatting>
  <conditionalFormatting sqref="X346">
    <cfRule type="expression" dxfId="7315" priority="149">
      <formula>AND(IF(OR($Q346=1,$Q346=2),1,0),IF($X346&lt;=20,1,0))</formula>
    </cfRule>
    <cfRule type="expression" dxfId="7314" priority="150">
      <formula>AND(IF($Q346=2,1,0),IF($X346&lt;30,1,0))</formula>
    </cfRule>
    <cfRule type="expression" dxfId="7313" priority="151">
      <formula>AND(IF($Q346=3,1,0),IF($X346&lt;30,1,0))</formula>
    </cfRule>
    <cfRule type="expression" dxfId="7312" priority="152">
      <formula>AND(IF($Q346=3,1,IF($Q346=4,1,0)),IF($F346&lt;=85,1,0))</formula>
    </cfRule>
  </conditionalFormatting>
  <conditionalFormatting sqref="AI346">
    <cfRule type="expression" dxfId="7311" priority="145">
      <formula>AND(IF(OR($Q346=1,$Q346=2),1,0),IF($X346&lt;=20,1,0))</formula>
    </cfRule>
    <cfRule type="expression" dxfId="7310" priority="146">
      <formula>AND(IF($Q346=2,1,0),IF($X346&lt;30,1,0))</formula>
    </cfRule>
    <cfRule type="expression" dxfId="7309" priority="147">
      <formula>AND(IF($Q346=3,1,0),IF($X346&lt;30,1,0))</formula>
    </cfRule>
    <cfRule type="expression" dxfId="7308" priority="148">
      <formula>AND(IF($Q346=3,1,IF($Q346=4,1,0)),IF($F346&lt;=85,1,0))</formula>
    </cfRule>
  </conditionalFormatting>
  <conditionalFormatting sqref="AV347">
    <cfRule type="expression" dxfId="7307" priority="143">
      <formula>AV347="X"</formula>
    </cfRule>
    <cfRule type="expression" dxfId="7306" priority="144">
      <formula>AV347="후보"</formula>
    </cfRule>
  </conditionalFormatting>
  <conditionalFormatting sqref="AC347">
    <cfRule type="cellIs" dxfId="7305" priority="141" operator="greaterThan">
      <formula>0.9</formula>
    </cfRule>
    <cfRule type="cellIs" dxfId="7304" priority="142" operator="greaterThan">
      <formula>0.85</formula>
    </cfRule>
  </conditionalFormatting>
  <conditionalFormatting sqref="N347">
    <cfRule type="cellIs" dxfId="7303" priority="139" operator="greaterThan">
      <formula>0.9</formula>
    </cfRule>
    <cfRule type="cellIs" dxfId="7302" priority="140" operator="greaterThan">
      <formula>0.85</formula>
    </cfRule>
  </conditionalFormatting>
  <conditionalFormatting sqref="E347">
    <cfRule type="expression" dxfId="7301" priority="135">
      <formula>AND(IF(OR($Q347=1,$Q347=2),1,0),IF($X347&lt;=20,1,0))</formula>
    </cfRule>
    <cfRule type="expression" dxfId="7300" priority="136">
      <formula>AND(IF($Q347=2,1,0),IF($X347&lt;30,1,0))</formula>
    </cfRule>
    <cfRule type="expression" dxfId="7299" priority="137">
      <formula>AND(IF($Q347=3,1,0),IF($X347&lt;30,1,0))</formula>
    </cfRule>
    <cfRule type="expression" dxfId="7298" priority="138">
      <formula>AND(IF($Q347=3,1,IF($Q347=4,1,0)),IF($F347&lt;=85,1,0))</formula>
    </cfRule>
  </conditionalFormatting>
  <conditionalFormatting sqref="X347">
    <cfRule type="expression" dxfId="7297" priority="131">
      <formula>AND(IF(OR($Q347=1,$Q347=2),1,0),IF($X347&lt;=20,1,0))</formula>
    </cfRule>
    <cfRule type="expression" dxfId="7296" priority="132">
      <formula>AND(IF($Q347=2,1,0),IF($X347&lt;30,1,0))</formula>
    </cfRule>
    <cfRule type="expression" dxfId="7295" priority="133">
      <formula>AND(IF($Q347=3,1,0),IF($X347&lt;30,1,0))</formula>
    </cfRule>
    <cfRule type="expression" dxfId="7294" priority="134">
      <formula>AND(IF($Q347=3,1,IF($Q347=4,1,0)),IF($F347&lt;=85,1,0))</formula>
    </cfRule>
  </conditionalFormatting>
  <conditionalFormatting sqref="AI347">
    <cfRule type="expression" dxfId="7293" priority="127">
      <formula>AND(IF(OR($Q347=1,$Q347=2),1,0),IF($X347&lt;=20,1,0))</formula>
    </cfRule>
    <cfRule type="expression" dxfId="7292" priority="128">
      <formula>AND(IF($Q347=2,1,0),IF($X347&lt;30,1,0))</formula>
    </cfRule>
    <cfRule type="expression" dxfId="7291" priority="129">
      <formula>AND(IF($Q347=3,1,0),IF($X347&lt;30,1,0))</formula>
    </cfRule>
    <cfRule type="expression" dxfId="7290" priority="130">
      <formula>AND(IF($Q347=3,1,IF($Q347=4,1,0)),IF($F347&lt;=85,1,0))</formula>
    </cfRule>
  </conditionalFormatting>
  <conditionalFormatting sqref="AV348">
    <cfRule type="expression" dxfId="7289" priority="125">
      <formula>AV348="X"</formula>
    </cfRule>
    <cfRule type="expression" dxfId="7288" priority="126">
      <formula>AV348="후보"</formula>
    </cfRule>
  </conditionalFormatting>
  <conditionalFormatting sqref="AC348">
    <cfRule type="cellIs" dxfId="7287" priority="123" operator="greaterThan">
      <formula>0.9</formula>
    </cfRule>
    <cfRule type="cellIs" dxfId="7286" priority="124" operator="greaterThan">
      <formula>0.85</formula>
    </cfRule>
  </conditionalFormatting>
  <conditionalFormatting sqref="N348">
    <cfRule type="cellIs" dxfId="7285" priority="121" operator="greaterThan">
      <formula>0.9</formula>
    </cfRule>
    <cfRule type="cellIs" dxfId="7284" priority="122" operator="greaterThan">
      <formula>0.85</formula>
    </cfRule>
  </conditionalFormatting>
  <conditionalFormatting sqref="E348">
    <cfRule type="expression" dxfId="7283" priority="117">
      <formula>AND(IF(OR($Q348=1,$Q348=2),1,0),IF($X348&lt;=20,1,0))</formula>
    </cfRule>
    <cfRule type="expression" dxfId="7282" priority="118">
      <formula>AND(IF($Q348=2,1,0),IF($X348&lt;30,1,0))</formula>
    </cfRule>
    <cfRule type="expression" dxfId="7281" priority="119">
      <formula>AND(IF($Q348=3,1,0),IF($X348&lt;30,1,0))</formula>
    </cfRule>
    <cfRule type="expression" dxfId="7280" priority="120">
      <formula>AND(IF($Q348=3,1,IF($Q348=4,1,0)),IF($F348&lt;=85,1,0))</formula>
    </cfRule>
  </conditionalFormatting>
  <conditionalFormatting sqref="X348">
    <cfRule type="expression" dxfId="7279" priority="113">
      <formula>AND(IF(OR($Q348=1,$Q348=2),1,0),IF($X348&lt;=20,1,0))</formula>
    </cfRule>
    <cfRule type="expression" dxfId="7278" priority="114">
      <formula>AND(IF($Q348=2,1,0),IF($X348&lt;30,1,0))</formula>
    </cfRule>
    <cfRule type="expression" dxfId="7277" priority="115">
      <formula>AND(IF($Q348=3,1,0),IF($X348&lt;30,1,0))</formula>
    </cfRule>
    <cfRule type="expression" dxfId="7276" priority="116">
      <formula>AND(IF($Q348=3,1,IF($Q348=4,1,0)),IF($F348&lt;=85,1,0))</formula>
    </cfRule>
  </conditionalFormatting>
  <conditionalFormatting sqref="AI348">
    <cfRule type="expression" dxfId="7275" priority="109">
      <formula>AND(IF(OR($Q348=1,$Q348=2),1,0),IF($X348&lt;=20,1,0))</formula>
    </cfRule>
    <cfRule type="expression" dxfId="7274" priority="110">
      <formula>AND(IF($Q348=2,1,0),IF($X348&lt;30,1,0))</formula>
    </cfRule>
    <cfRule type="expression" dxfId="7273" priority="111">
      <formula>AND(IF($Q348=3,1,0),IF($X348&lt;30,1,0))</formula>
    </cfRule>
    <cfRule type="expression" dxfId="7272" priority="112">
      <formula>AND(IF($Q348=3,1,IF($Q348=4,1,0)),IF($F348&lt;=85,1,0))</formula>
    </cfRule>
  </conditionalFormatting>
  <conditionalFormatting sqref="AV349">
    <cfRule type="expression" dxfId="7271" priority="107">
      <formula>AV349="X"</formula>
    </cfRule>
    <cfRule type="expression" dxfId="7270" priority="108">
      <formula>AV349="후보"</formula>
    </cfRule>
  </conditionalFormatting>
  <conditionalFormatting sqref="AC349">
    <cfRule type="cellIs" dxfId="7269" priority="105" operator="greaterThan">
      <formula>0.9</formula>
    </cfRule>
    <cfRule type="cellIs" dxfId="7268" priority="106" operator="greaterThan">
      <formula>0.85</formula>
    </cfRule>
  </conditionalFormatting>
  <conditionalFormatting sqref="N349">
    <cfRule type="cellIs" dxfId="7267" priority="103" operator="greaterThan">
      <formula>0.9</formula>
    </cfRule>
    <cfRule type="cellIs" dxfId="7266" priority="104" operator="greaterThan">
      <formula>0.85</formula>
    </cfRule>
  </conditionalFormatting>
  <conditionalFormatting sqref="E349">
    <cfRule type="expression" dxfId="7265" priority="99">
      <formula>AND(IF(OR($Q349=1,$Q349=2),1,0),IF($X349&lt;=20,1,0))</formula>
    </cfRule>
    <cfRule type="expression" dxfId="7264" priority="100">
      <formula>AND(IF($Q349=2,1,0),IF($X349&lt;30,1,0))</formula>
    </cfRule>
    <cfRule type="expression" dxfId="7263" priority="101">
      <formula>AND(IF($Q349=3,1,0),IF($X349&lt;30,1,0))</formula>
    </cfRule>
    <cfRule type="expression" dxfId="7262" priority="102">
      <formula>AND(IF($Q349=3,1,IF($Q349=4,1,0)),IF($F349&lt;=85,1,0))</formula>
    </cfRule>
  </conditionalFormatting>
  <conditionalFormatting sqref="X349">
    <cfRule type="expression" dxfId="7261" priority="95">
      <formula>AND(IF(OR($Q349=1,$Q349=2),1,0),IF($X349&lt;=20,1,0))</formula>
    </cfRule>
    <cfRule type="expression" dxfId="7260" priority="96">
      <formula>AND(IF($Q349=2,1,0),IF($X349&lt;30,1,0))</formula>
    </cfRule>
    <cfRule type="expression" dxfId="7259" priority="97">
      <formula>AND(IF($Q349=3,1,0),IF($X349&lt;30,1,0))</formula>
    </cfRule>
    <cfRule type="expression" dxfId="7258" priority="98">
      <formula>AND(IF($Q349=3,1,IF($Q349=4,1,0)),IF($F349&lt;=85,1,0))</formula>
    </cfRule>
  </conditionalFormatting>
  <conditionalFormatting sqref="AI349">
    <cfRule type="expression" dxfId="7257" priority="91">
      <formula>AND(IF(OR($Q349=1,$Q349=2),1,0),IF($X349&lt;=20,1,0))</formula>
    </cfRule>
    <cfRule type="expression" dxfId="7256" priority="92">
      <formula>AND(IF($Q349=2,1,0),IF($X349&lt;30,1,0))</formula>
    </cfRule>
    <cfRule type="expression" dxfId="7255" priority="93">
      <formula>AND(IF($Q349=3,1,0),IF($X349&lt;30,1,0))</formula>
    </cfRule>
    <cfRule type="expression" dxfId="7254" priority="94">
      <formula>AND(IF($Q349=3,1,IF($Q349=4,1,0)),IF($F349&lt;=85,1,0))</formula>
    </cfRule>
  </conditionalFormatting>
  <conditionalFormatting sqref="AV350">
    <cfRule type="expression" dxfId="7253" priority="89">
      <formula>AV350="X"</formula>
    </cfRule>
    <cfRule type="expression" dxfId="7252" priority="90">
      <formula>AV350="후보"</formula>
    </cfRule>
  </conditionalFormatting>
  <conditionalFormatting sqref="AC350">
    <cfRule type="cellIs" dxfId="7251" priority="87" operator="greaterThan">
      <formula>0.9</formula>
    </cfRule>
    <cfRule type="cellIs" dxfId="7250" priority="88" operator="greaterThan">
      <formula>0.85</formula>
    </cfRule>
  </conditionalFormatting>
  <conditionalFormatting sqref="N350">
    <cfRule type="cellIs" dxfId="7249" priority="85" operator="greaterThan">
      <formula>0.9</formula>
    </cfRule>
    <cfRule type="cellIs" dxfId="7248" priority="86" operator="greaterThan">
      <formula>0.85</formula>
    </cfRule>
  </conditionalFormatting>
  <conditionalFormatting sqref="E350">
    <cfRule type="expression" dxfId="7247" priority="81">
      <formula>AND(IF(OR($Q350=1,$Q350=2),1,0),IF($X350&lt;=20,1,0))</formula>
    </cfRule>
    <cfRule type="expression" dxfId="7246" priority="82">
      <formula>AND(IF($Q350=2,1,0),IF($X350&lt;30,1,0))</formula>
    </cfRule>
    <cfRule type="expression" dxfId="7245" priority="83">
      <formula>AND(IF($Q350=3,1,0),IF($X350&lt;30,1,0))</formula>
    </cfRule>
    <cfRule type="expression" dxfId="7244" priority="84">
      <formula>AND(IF($Q350=3,1,IF($Q350=4,1,0)),IF($F350&lt;=85,1,0))</formula>
    </cfRule>
  </conditionalFormatting>
  <conditionalFormatting sqref="X350">
    <cfRule type="expression" dxfId="7243" priority="77">
      <formula>AND(IF(OR($Q350=1,$Q350=2),1,0),IF($X350&lt;=20,1,0))</formula>
    </cfRule>
    <cfRule type="expression" dxfId="7242" priority="78">
      <formula>AND(IF($Q350=2,1,0),IF($X350&lt;30,1,0))</formula>
    </cfRule>
    <cfRule type="expression" dxfId="7241" priority="79">
      <formula>AND(IF($Q350=3,1,0),IF($X350&lt;30,1,0))</formula>
    </cfRule>
    <cfRule type="expression" dxfId="7240" priority="80">
      <formula>AND(IF($Q350=3,1,IF($Q350=4,1,0)),IF($F350&lt;=85,1,0))</formula>
    </cfRule>
  </conditionalFormatting>
  <conditionalFormatting sqref="AI350">
    <cfRule type="expression" dxfId="7239" priority="73">
      <formula>AND(IF(OR($Q350=1,$Q350=2),1,0),IF($X350&lt;=20,1,0))</formula>
    </cfRule>
    <cfRule type="expression" dxfId="7238" priority="74">
      <formula>AND(IF($Q350=2,1,0),IF($X350&lt;30,1,0))</formula>
    </cfRule>
    <cfRule type="expression" dxfId="7237" priority="75">
      <formula>AND(IF($Q350=3,1,0),IF($X350&lt;30,1,0))</formula>
    </cfRule>
    <cfRule type="expression" dxfId="7236" priority="76">
      <formula>AND(IF($Q350=3,1,IF($Q350=4,1,0)),IF($F350&lt;=85,1,0))</formula>
    </cfRule>
  </conditionalFormatting>
  <conditionalFormatting sqref="AV351">
    <cfRule type="expression" dxfId="7235" priority="71">
      <formula>AV351="X"</formula>
    </cfRule>
    <cfRule type="expression" dxfId="7234" priority="72">
      <formula>AV351="후보"</formula>
    </cfRule>
  </conditionalFormatting>
  <conditionalFormatting sqref="AC351">
    <cfRule type="cellIs" dxfId="7233" priority="69" operator="greaterThan">
      <formula>0.9</formula>
    </cfRule>
    <cfRule type="cellIs" dxfId="7232" priority="70" operator="greaterThan">
      <formula>0.85</formula>
    </cfRule>
  </conditionalFormatting>
  <conditionalFormatting sqref="N351">
    <cfRule type="cellIs" dxfId="7231" priority="67" operator="greaterThan">
      <formula>0.9</formula>
    </cfRule>
    <cfRule type="cellIs" dxfId="7230" priority="68" operator="greaterThan">
      <formula>0.85</formula>
    </cfRule>
  </conditionalFormatting>
  <conditionalFormatting sqref="E351">
    <cfRule type="expression" dxfId="7229" priority="63">
      <formula>AND(IF(OR($Q351=1,$Q351=2),1,0),IF($X351&lt;=20,1,0))</formula>
    </cfRule>
    <cfRule type="expression" dxfId="7228" priority="64">
      <formula>AND(IF($Q351=2,1,0),IF($X351&lt;30,1,0))</formula>
    </cfRule>
    <cfRule type="expression" dxfId="7227" priority="65">
      <formula>AND(IF($Q351=3,1,0),IF($X351&lt;30,1,0))</formula>
    </cfRule>
    <cfRule type="expression" dxfId="7226" priority="66">
      <formula>AND(IF($Q351=3,1,IF($Q351=4,1,0)),IF($F351&lt;=85,1,0))</formula>
    </cfRule>
  </conditionalFormatting>
  <conditionalFormatting sqref="X351">
    <cfRule type="expression" dxfId="7225" priority="59">
      <formula>AND(IF(OR($Q351=1,$Q351=2),1,0),IF($X351&lt;=20,1,0))</formula>
    </cfRule>
    <cfRule type="expression" dxfId="7224" priority="60">
      <formula>AND(IF($Q351=2,1,0),IF($X351&lt;30,1,0))</formula>
    </cfRule>
    <cfRule type="expression" dxfId="7223" priority="61">
      <formula>AND(IF($Q351=3,1,0),IF($X351&lt;30,1,0))</formula>
    </cfRule>
    <cfRule type="expression" dxfId="7222" priority="62">
      <formula>AND(IF($Q351=3,1,IF($Q351=4,1,0)),IF($F351&lt;=85,1,0))</formula>
    </cfRule>
  </conditionalFormatting>
  <conditionalFormatting sqref="AI351">
    <cfRule type="expression" dxfId="7221" priority="55">
      <formula>AND(IF(OR($Q351=1,$Q351=2),1,0),IF($X351&lt;=20,1,0))</formula>
    </cfRule>
    <cfRule type="expression" dxfId="7220" priority="56">
      <formula>AND(IF($Q351=2,1,0),IF($X351&lt;30,1,0))</formula>
    </cfRule>
    <cfRule type="expression" dxfId="7219" priority="57">
      <formula>AND(IF($Q351=3,1,0),IF($X351&lt;30,1,0))</formula>
    </cfRule>
    <cfRule type="expression" dxfId="7218" priority="58">
      <formula>AND(IF($Q351=3,1,IF($Q351=4,1,0)),IF($F351&lt;=85,1,0))</formula>
    </cfRule>
  </conditionalFormatting>
  <conditionalFormatting sqref="AV352">
    <cfRule type="expression" dxfId="7217" priority="53">
      <formula>AV352="X"</formula>
    </cfRule>
    <cfRule type="expression" dxfId="7216" priority="54">
      <formula>AV352="후보"</formula>
    </cfRule>
  </conditionalFormatting>
  <conditionalFormatting sqref="AC352">
    <cfRule type="cellIs" dxfId="7215" priority="51" operator="greaterThan">
      <formula>0.9</formula>
    </cfRule>
    <cfRule type="cellIs" dxfId="7214" priority="52" operator="greaterThan">
      <formula>0.85</formula>
    </cfRule>
  </conditionalFormatting>
  <conditionalFormatting sqref="N352">
    <cfRule type="cellIs" dxfId="7213" priority="49" operator="greaterThan">
      <formula>0.9</formula>
    </cfRule>
    <cfRule type="cellIs" dxfId="7212" priority="50" operator="greaterThan">
      <formula>0.85</formula>
    </cfRule>
  </conditionalFormatting>
  <conditionalFormatting sqref="E352">
    <cfRule type="expression" dxfId="7211" priority="45">
      <formula>AND(IF(OR($Q352=1,$Q352=2),1,0),IF($X352&lt;=20,1,0))</formula>
    </cfRule>
    <cfRule type="expression" dxfId="7210" priority="46">
      <formula>AND(IF($Q352=2,1,0),IF($X352&lt;30,1,0))</formula>
    </cfRule>
    <cfRule type="expression" dxfId="7209" priority="47">
      <formula>AND(IF($Q352=3,1,0),IF($X352&lt;30,1,0))</formula>
    </cfRule>
    <cfRule type="expression" dxfId="7208" priority="48">
      <formula>AND(IF($Q352=3,1,IF($Q352=4,1,0)),IF($F352&lt;=85,1,0))</formula>
    </cfRule>
  </conditionalFormatting>
  <conditionalFormatting sqref="X352">
    <cfRule type="expression" dxfId="7207" priority="41">
      <formula>AND(IF(OR($Q352=1,$Q352=2),1,0),IF($X352&lt;=20,1,0))</formula>
    </cfRule>
    <cfRule type="expression" dxfId="7206" priority="42">
      <formula>AND(IF($Q352=2,1,0),IF($X352&lt;30,1,0))</formula>
    </cfRule>
    <cfRule type="expression" dxfId="7205" priority="43">
      <formula>AND(IF($Q352=3,1,0),IF($X352&lt;30,1,0))</formula>
    </cfRule>
    <cfRule type="expression" dxfId="7204" priority="44">
      <formula>AND(IF($Q352=3,1,IF($Q352=4,1,0)),IF($F352&lt;=85,1,0))</formula>
    </cfRule>
  </conditionalFormatting>
  <conditionalFormatting sqref="AI352">
    <cfRule type="expression" dxfId="7203" priority="37">
      <formula>AND(IF(OR($Q352=1,$Q352=2),1,0),IF($X352&lt;=20,1,0))</formula>
    </cfRule>
    <cfRule type="expression" dxfId="7202" priority="38">
      <formula>AND(IF($Q352=2,1,0),IF($X352&lt;30,1,0))</formula>
    </cfRule>
    <cfRule type="expression" dxfId="7201" priority="39">
      <formula>AND(IF($Q352=3,1,0),IF($X352&lt;30,1,0))</formula>
    </cfRule>
    <cfRule type="expression" dxfId="7200" priority="40">
      <formula>AND(IF($Q352=3,1,IF($Q352=4,1,0)),IF($F352&lt;=85,1,0))</formula>
    </cfRule>
  </conditionalFormatting>
  <conditionalFormatting sqref="AV353">
    <cfRule type="expression" dxfId="7199" priority="35">
      <formula>AV353="X"</formula>
    </cfRule>
    <cfRule type="expression" dxfId="7198" priority="36">
      <formula>AV353="후보"</formula>
    </cfRule>
  </conditionalFormatting>
  <conditionalFormatting sqref="AC353">
    <cfRule type="cellIs" dxfId="7197" priority="33" operator="greaterThan">
      <formula>0.9</formula>
    </cfRule>
    <cfRule type="cellIs" dxfId="7196" priority="34" operator="greaterThan">
      <formula>0.85</formula>
    </cfRule>
  </conditionalFormatting>
  <conditionalFormatting sqref="N353">
    <cfRule type="cellIs" dxfId="7195" priority="31" operator="greaterThan">
      <formula>0.9</formula>
    </cfRule>
    <cfRule type="cellIs" dxfId="7194" priority="32" operator="greaterThan">
      <formula>0.85</formula>
    </cfRule>
  </conditionalFormatting>
  <conditionalFormatting sqref="E353">
    <cfRule type="expression" dxfId="7193" priority="27">
      <formula>AND(IF(OR($Q353=1,$Q353=2),1,0),IF($X353&lt;=20,1,0))</formula>
    </cfRule>
    <cfRule type="expression" dxfId="7192" priority="28">
      <formula>AND(IF($Q353=2,1,0),IF($X353&lt;30,1,0))</formula>
    </cfRule>
    <cfRule type="expression" dxfId="7191" priority="29">
      <formula>AND(IF($Q353=3,1,0),IF($X353&lt;30,1,0))</formula>
    </cfRule>
    <cfRule type="expression" dxfId="7190" priority="30">
      <formula>AND(IF($Q353=3,1,IF($Q353=4,1,0)),IF($F353&lt;=85,1,0))</formula>
    </cfRule>
  </conditionalFormatting>
  <conditionalFormatting sqref="X353">
    <cfRule type="expression" dxfId="7189" priority="23">
      <formula>AND(IF(OR($Q353=1,$Q353=2),1,0),IF($X353&lt;=20,1,0))</formula>
    </cfRule>
    <cfRule type="expression" dxfId="7188" priority="24">
      <formula>AND(IF($Q353=2,1,0),IF($X353&lt;30,1,0))</formula>
    </cfRule>
    <cfRule type="expression" dxfId="7187" priority="25">
      <formula>AND(IF($Q353=3,1,0),IF($X353&lt;30,1,0))</formula>
    </cfRule>
    <cfRule type="expression" dxfId="7186" priority="26">
      <formula>AND(IF($Q353=3,1,IF($Q353=4,1,0)),IF($F353&lt;=85,1,0))</formula>
    </cfRule>
  </conditionalFormatting>
  <conditionalFormatting sqref="AI353">
    <cfRule type="expression" dxfId="7185" priority="19">
      <formula>AND(IF(OR($Q353=1,$Q353=2),1,0),IF($X353&lt;=20,1,0))</formula>
    </cfRule>
    <cfRule type="expression" dxfId="7184" priority="20">
      <formula>AND(IF($Q353=2,1,0),IF($X353&lt;30,1,0))</formula>
    </cfRule>
    <cfRule type="expression" dxfId="7183" priority="21">
      <formula>AND(IF($Q353=3,1,0),IF($X353&lt;30,1,0))</formula>
    </cfRule>
    <cfRule type="expression" dxfId="7182" priority="22">
      <formula>AND(IF($Q353=3,1,IF($Q353=4,1,0)),IF($F353&lt;=85,1,0))</formula>
    </cfRule>
  </conditionalFormatting>
  <conditionalFormatting sqref="AV354">
    <cfRule type="expression" dxfId="7181" priority="17">
      <formula>AV354="X"</formula>
    </cfRule>
    <cfRule type="expression" dxfId="7180" priority="18">
      <formula>AV354="후보"</formula>
    </cfRule>
  </conditionalFormatting>
  <conditionalFormatting sqref="AC354">
    <cfRule type="cellIs" dxfId="7179" priority="15" operator="greaterThan">
      <formula>0.9</formula>
    </cfRule>
    <cfRule type="cellIs" dxfId="7178" priority="16" operator="greaterThan">
      <formula>0.85</formula>
    </cfRule>
  </conditionalFormatting>
  <conditionalFormatting sqref="N354">
    <cfRule type="cellIs" dxfId="7177" priority="13" operator="greaterThan">
      <formula>0.9</formula>
    </cfRule>
    <cfRule type="cellIs" dxfId="7176" priority="14" operator="greaterThan">
      <formula>0.85</formula>
    </cfRule>
  </conditionalFormatting>
  <conditionalFormatting sqref="E354">
    <cfRule type="expression" dxfId="7175" priority="9">
      <formula>AND(IF(OR($Q354=1,$Q354=2),1,0),IF($X354&lt;=20,1,0))</formula>
    </cfRule>
    <cfRule type="expression" dxfId="7174" priority="10">
      <formula>AND(IF($Q354=2,1,0),IF($X354&lt;30,1,0))</formula>
    </cfRule>
    <cfRule type="expression" dxfId="7173" priority="11">
      <formula>AND(IF($Q354=3,1,0),IF($X354&lt;30,1,0))</formula>
    </cfRule>
    <cfRule type="expression" dxfId="7172" priority="12">
      <formula>AND(IF($Q354=3,1,IF($Q354=4,1,0)),IF($F354&lt;=85,1,0))</formula>
    </cfRule>
  </conditionalFormatting>
  <conditionalFormatting sqref="X354">
    <cfRule type="expression" dxfId="7171" priority="5">
      <formula>AND(IF(OR($Q354=1,$Q354=2),1,0),IF($X354&lt;=20,1,0))</formula>
    </cfRule>
    <cfRule type="expression" dxfId="7170" priority="6">
      <formula>AND(IF($Q354=2,1,0),IF($X354&lt;30,1,0))</formula>
    </cfRule>
    <cfRule type="expression" dxfId="7169" priority="7">
      <formula>AND(IF($Q354=3,1,0),IF($X354&lt;30,1,0))</formula>
    </cfRule>
    <cfRule type="expression" dxfId="7168" priority="8">
      <formula>AND(IF($Q354=3,1,IF($Q354=4,1,0)),IF($F354&lt;=85,1,0))</formula>
    </cfRule>
  </conditionalFormatting>
  <conditionalFormatting sqref="AI354">
    <cfRule type="expression" dxfId="7167" priority="1">
      <formula>AND(IF(OR($Q354=1,$Q354=2),1,0),IF($X354&lt;=20,1,0))</formula>
    </cfRule>
    <cfRule type="expression" dxfId="7166" priority="2">
      <formula>AND(IF($Q354=2,1,0),IF($X354&lt;30,1,0))</formula>
    </cfRule>
    <cfRule type="expression" dxfId="7165" priority="3">
      <formula>AND(IF($Q354=3,1,0),IF($X354&lt;30,1,0))</formula>
    </cfRule>
    <cfRule type="expression" dxfId="7164" priority="4">
      <formula>AND(IF($Q354=3,1,IF($Q354=4,1,0)),IF($F354&lt;=85,1,0))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13" sqref="T13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203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</row>
    <row r="4" spans="1:22" s="37" customFormat="1" ht="12" x14ac:dyDescent="0.3">
      <c r="A4" s="74" t="s">
        <v>1659</v>
      </c>
      <c r="B4" s="75" t="s">
        <v>1454</v>
      </c>
      <c r="C4" s="85">
        <v>983</v>
      </c>
      <c r="D4" s="86">
        <v>135.4</v>
      </c>
      <c r="E4" s="87">
        <v>41</v>
      </c>
      <c r="F4" s="86">
        <v>105.6</v>
      </c>
      <c r="G4" s="17">
        <v>32</v>
      </c>
      <c r="H4" s="88">
        <v>335</v>
      </c>
      <c r="I4" s="89">
        <v>95000</v>
      </c>
      <c r="J4" s="89" t="s">
        <v>89</v>
      </c>
      <c r="K4" s="89">
        <v>63000</v>
      </c>
      <c r="L4" s="89" t="s">
        <v>91</v>
      </c>
      <c r="M4" s="90">
        <f>I4-K4</f>
        <v>32000</v>
      </c>
      <c r="N4" s="4">
        <f>IF(ISERROR(K4/I4),"",K4/I4)</f>
        <v>0.66315789473684206</v>
      </c>
      <c r="O4" s="91">
        <f>I4/E4</f>
        <v>2317.0731707317073</v>
      </c>
      <c r="P4" s="91">
        <f>K4/E4</f>
        <v>1536.5853658536585</v>
      </c>
      <c r="Q4" s="79">
        <v>3</v>
      </c>
      <c r="R4" s="79">
        <v>2</v>
      </c>
      <c r="S4" s="79" t="s">
        <v>62</v>
      </c>
      <c r="T4" s="5">
        <v>135</v>
      </c>
      <c r="U4" s="9"/>
    </row>
    <row r="5" spans="1:22" s="37" customFormat="1" ht="12" x14ac:dyDescent="0.3">
      <c r="A5" s="74" t="s">
        <v>1674</v>
      </c>
      <c r="B5" s="75" t="s">
        <v>1470</v>
      </c>
      <c r="C5" s="85">
        <v>905</v>
      </c>
      <c r="D5" s="86">
        <v>145</v>
      </c>
      <c r="E5" s="87">
        <v>44</v>
      </c>
      <c r="F5" s="86">
        <v>112.5</v>
      </c>
      <c r="G5" s="17">
        <v>34</v>
      </c>
      <c r="H5" s="88">
        <v>39</v>
      </c>
      <c r="I5" s="89">
        <v>86500</v>
      </c>
      <c r="J5" s="89" t="s">
        <v>92</v>
      </c>
      <c r="K5" s="89">
        <v>50000</v>
      </c>
      <c r="L5" s="89" t="s">
        <v>92</v>
      </c>
      <c r="M5" s="90">
        <f>I5-K5</f>
        <v>36500</v>
      </c>
      <c r="N5" s="4">
        <f>IF(ISERROR(K5/I5),"",K5/I5)</f>
        <v>0.5780346820809249</v>
      </c>
      <c r="O5" s="91">
        <f>I5/E5</f>
        <v>1965.909090909091</v>
      </c>
      <c r="P5" s="91">
        <f>K5/E5</f>
        <v>1136.3636363636363</v>
      </c>
      <c r="Q5" s="79">
        <v>4</v>
      </c>
      <c r="R5" s="79">
        <v>2</v>
      </c>
      <c r="S5" s="79" t="s">
        <v>62</v>
      </c>
      <c r="T5" s="5" t="s">
        <v>100</v>
      </c>
      <c r="U5" s="9"/>
    </row>
    <row r="6" spans="1:22" s="37" customFormat="1" ht="12" x14ac:dyDescent="0.3">
      <c r="A6" s="74" t="s">
        <v>1647</v>
      </c>
      <c r="B6" s="75" t="s">
        <v>1430</v>
      </c>
      <c r="C6" s="85">
        <v>385</v>
      </c>
      <c r="D6" s="86">
        <v>194.3</v>
      </c>
      <c r="E6" s="87">
        <v>59</v>
      </c>
      <c r="F6" s="86">
        <v>159.80000000000001</v>
      </c>
      <c r="G6" s="17">
        <v>48</v>
      </c>
      <c r="H6" s="88">
        <v>80</v>
      </c>
      <c r="I6" s="89">
        <v>85000</v>
      </c>
      <c r="J6" s="89" t="s">
        <v>71</v>
      </c>
      <c r="K6" s="89"/>
      <c r="L6" s="89"/>
      <c r="M6" s="90">
        <f>I6-K6</f>
        <v>85000</v>
      </c>
      <c r="N6" s="4">
        <f>IF(ISERROR(K6/I6),"",K6/I6)</f>
        <v>0</v>
      </c>
      <c r="O6" s="91">
        <f>I6/E6</f>
        <v>1440.6779661016949</v>
      </c>
      <c r="P6" s="91">
        <f>K6/E6</f>
        <v>0</v>
      </c>
      <c r="Q6" s="79">
        <v>4</v>
      </c>
      <c r="R6" s="79">
        <v>3</v>
      </c>
      <c r="S6" s="79" t="s">
        <v>62</v>
      </c>
      <c r="T6" s="5">
        <v>194</v>
      </c>
      <c r="U6" s="9"/>
    </row>
    <row r="7" spans="1:22" s="37" customFormat="1" ht="12" x14ac:dyDescent="0.3">
      <c r="A7" s="74" t="s">
        <v>1674</v>
      </c>
      <c r="B7" s="75" t="s">
        <v>1675</v>
      </c>
      <c r="C7" s="85">
        <v>905</v>
      </c>
      <c r="D7" s="86">
        <v>128.30000000000001</v>
      </c>
      <c r="E7" s="87">
        <v>39</v>
      </c>
      <c r="F7" s="86">
        <v>98.8</v>
      </c>
      <c r="G7" s="17">
        <v>30</v>
      </c>
      <c r="H7" s="88">
        <v>47</v>
      </c>
      <c r="I7" s="89">
        <v>83000</v>
      </c>
      <c r="J7" s="89" t="s">
        <v>83</v>
      </c>
      <c r="K7" s="89"/>
      <c r="L7" s="89"/>
      <c r="M7" s="90">
        <f>I7-K7</f>
        <v>83000</v>
      </c>
      <c r="N7" s="4">
        <f>IF(ISERROR(K7/I7),"",K7/I7)</f>
        <v>0</v>
      </c>
      <c r="O7" s="91">
        <f>I7/E7</f>
        <v>2128.2051282051284</v>
      </c>
      <c r="P7" s="91">
        <f>K7/E7</f>
        <v>0</v>
      </c>
      <c r="Q7" s="79">
        <v>4</v>
      </c>
      <c r="R7" s="79">
        <v>2</v>
      </c>
      <c r="S7" s="79" t="s">
        <v>62</v>
      </c>
      <c r="T7" s="5">
        <v>128</v>
      </c>
      <c r="U7" s="9"/>
    </row>
    <row r="8" spans="1:22" s="37" customFormat="1" ht="12" x14ac:dyDescent="0.3">
      <c r="A8" s="74" t="s">
        <v>1634</v>
      </c>
      <c r="B8" s="75" t="s">
        <v>1816</v>
      </c>
      <c r="C8" s="85">
        <v>402</v>
      </c>
      <c r="D8" s="86">
        <v>166.4</v>
      </c>
      <c r="E8" s="87">
        <v>50</v>
      </c>
      <c r="F8" s="86">
        <v>132.6</v>
      </c>
      <c r="G8" s="17">
        <v>40</v>
      </c>
      <c r="H8" s="88">
        <v>216</v>
      </c>
      <c r="I8" s="89">
        <v>80000</v>
      </c>
      <c r="J8" s="89" t="s">
        <v>71</v>
      </c>
      <c r="K8" s="89">
        <v>45000</v>
      </c>
      <c r="L8" s="89" t="s">
        <v>71</v>
      </c>
      <c r="M8" s="90">
        <f>I8-K8</f>
        <v>35000</v>
      </c>
      <c r="N8" s="4">
        <f>IF(ISERROR(K8/I8),"",K8/I8)</f>
        <v>0.5625</v>
      </c>
      <c r="O8" s="91">
        <f>I8/E8</f>
        <v>1600</v>
      </c>
      <c r="P8" s="91">
        <f>K8/E8</f>
        <v>900</v>
      </c>
      <c r="Q8" s="79">
        <v>3</v>
      </c>
      <c r="R8" s="79">
        <v>2</v>
      </c>
      <c r="S8" s="79" t="s">
        <v>62</v>
      </c>
      <c r="T8" s="5">
        <v>166</v>
      </c>
      <c r="U8" s="9"/>
    </row>
    <row r="9" spans="1:22" s="37" customFormat="1" ht="12" x14ac:dyDescent="0.3">
      <c r="A9" s="74" t="s">
        <v>1748</v>
      </c>
      <c r="B9" s="75" t="s">
        <v>1749</v>
      </c>
      <c r="C9" s="85">
        <v>452</v>
      </c>
      <c r="D9" s="86">
        <v>156.80000000000001</v>
      </c>
      <c r="E9" s="87">
        <v>47</v>
      </c>
      <c r="F9" s="86">
        <v>124.9</v>
      </c>
      <c r="G9" s="17">
        <v>38</v>
      </c>
      <c r="H9" s="88">
        <v>78</v>
      </c>
      <c r="I9" s="89">
        <v>77000</v>
      </c>
      <c r="J9" s="89" t="s">
        <v>89</v>
      </c>
      <c r="K9" s="89"/>
      <c r="L9" s="89"/>
      <c r="M9" s="90">
        <f>I9-K9</f>
        <v>77000</v>
      </c>
      <c r="N9" s="4">
        <f>IF(ISERROR(K9/I9),"",K9/I9)</f>
        <v>0</v>
      </c>
      <c r="O9" s="91">
        <f>I9/E9</f>
        <v>1638.2978723404256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156</v>
      </c>
      <c r="U9" s="9"/>
    </row>
    <row r="10" spans="1:22" s="37" customFormat="1" ht="12" x14ac:dyDescent="0.3">
      <c r="A10" s="74" t="s">
        <v>1646</v>
      </c>
      <c r="B10" s="75" t="s">
        <v>1425</v>
      </c>
      <c r="C10" s="85">
        <v>992</v>
      </c>
      <c r="D10" s="86">
        <v>111.2</v>
      </c>
      <c r="E10" s="87">
        <v>34</v>
      </c>
      <c r="F10" s="86">
        <v>84.8</v>
      </c>
      <c r="G10" s="17">
        <v>26</v>
      </c>
      <c r="H10" s="88">
        <v>433</v>
      </c>
      <c r="I10" s="89">
        <v>76000</v>
      </c>
      <c r="J10" s="89" t="s">
        <v>1338</v>
      </c>
      <c r="K10" s="89"/>
      <c r="L10" s="89"/>
      <c r="M10" s="90">
        <f>I10-K10</f>
        <v>76000</v>
      </c>
      <c r="N10" s="4">
        <f>IF(ISERROR(K10/I10),"",K10/I10)</f>
        <v>0</v>
      </c>
      <c r="O10" s="91">
        <f>I10/E10</f>
        <v>2235.294117647059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 t="s">
        <v>73</v>
      </c>
      <c r="U10" s="9"/>
    </row>
    <row r="11" spans="1:22" s="37" customFormat="1" ht="12" x14ac:dyDescent="0.3">
      <c r="A11" s="74" t="s">
        <v>1610</v>
      </c>
      <c r="B11" s="75" t="s">
        <v>1784</v>
      </c>
      <c r="C11" s="85">
        <v>1495</v>
      </c>
      <c r="D11" s="86">
        <v>138.19999999999999</v>
      </c>
      <c r="E11" s="87">
        <v>42</v>
      </c>
      <c r="F11" s="86">
        <v>111</v>
      </c>
      <c r="G11" s="17">
        <v>34</v>
      </c>
      <c r="H11" s="88">
        <v>147</v>
      </c>
      <c r="I11" s="89">
        <v>75000</v>
      </c>
      <c r="J11" s="89" t="s">
        <v>68</v>
      </c>
      <c r="K11" s="89"/>
      <c r="L11" s="89"/>
      <c r="M11" s="90">
        <f>I11-K11</f>
        <v>75000</v>
      </c>
      <c r="N11" s="4">
        <f>IF(ISERROR(K11/I11),"",K11/I11)</f>
        <v>0</v>
      </c>
      <c r="O11" s="91">
        <f>I11/E11</f>
        <v>1785.7142857142858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>
        <v>138</v>
      </c>
      <c r="U11" s="9"/>
    </row>
    <row r="12" spans="1:22" s="37" customFormat="1" ht="12" x14ac:dyDescent="0.3">
      <c r="A12" s="74" t="s">
        <v>1659</v>
      </c>
      <c r="B12" s="75" t="s">
        <v>1660</v>
      </c>
      <c r="C12" s="85">
        <v>983</v>
      </c>
      <c r="D12" s="86">
        <v>109.3</v>
      </c>
      <c r="E12" s="87">
        <v>33</v>
      </c>
      <c r="F12" s="86">
        <v>84.8</v>
      </c>
      <c r="G12" s="17">
        <v>26</v>
      </c>
      <c r="H12" s="88">
        <v>397</v>
      </c>
      <c r="I12" s="89">
        <v>73000</v>
      </c>
      <c r="J12" s="89" t="s">
        <v>71</v>
      </c>
      <c r="K12" s="89">
        <v>50000</v>
      </c>
      <c r="L12" s="89" t="s">
        <v>89</v>
      </c>
      <c r="M12" s="90">
        <f>I12-K12</f>
        <v>23000</v>
      </c>
      <c r="N12" s="4">
        <f>IF(ISERROR(K12/I12),"",K12/I12)</f>
        <v>0.68493150684931503</v>
      </c>
      <c r="O12" s="91">
        <f>I12/E12</f>
        <v>2212.121212121212</v>
      </c>
      <c r="P12" s="91">
        <f>K12/E12</f>
        <v>1515.1515151515152</v>
      </c>
      <c r="Q12" s="79">
        <v>3</v>
      </c>
      <c r="R12" s="79">
        <v>2</v>
      </c>
      <c r="S12" s="79" t="s">
        <v>62</v>
      </c>
      <c r="T12" s="5" t="s">
        <v>66</v>
      </c>
      <c r="U12" s="9"/>
    </row>
    <row r="13" spans="1:22" s="37" customFormat="1" ht="12" x14ac:dyDescent="0.3">
      <c r="A13" s="74" t="s">
        <v>1735</v>
      </c>
      <c r="B13" s="75" t="s">
        <v>1736</v>
      </c>
      <c r="C13" s="85">
        <v>586</v>
      </c>
      <c r="D13" s="86">
        <v>197</v>
      </c>
      <c r="E13" s="87">
        <v>60</v>
      </c>
      <c r="F13" s="86">
        <v>163.80000000000001</v>
      </c>
      <c r="G13" s="17">
        <v>50</v>
      </c>
      <c r="H13" s="88">
        <v>114</v>
      </c>
      <c r="I13" s="89">
        <v>72000</v>
      </c>
      <c r="J13" s="89" t="s">
        <v>89</v>
      </c>
      <c r="K13" s="89"/>
      <c r="L13" s="89"/>
      <c r="M13" s="90">
        <f>I13-K13</f>
        <v>72000</v>
      </c>
      <c r="N13" s="4">
        <f>IF(ISERROR(K13/I13),"",K13/I13)</f>
        <v>0</v>
      </c>
      <c r="O13" s="91">
        <f>I13/E13</f>
        <v>1200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196</v>
      </c>
      <c r="U13" s="9"/>
    </row>
    <row r="14" spans="1:22" s="37" customFormat="1" ht="12" x14ac:dyDescent="0.3">
      <c r="A14" s="74" t="s">
        <v>1491</v>
      </c>
      <c r="B14" s="75" t="s">
        <v>1430</v>
      </c>
      <c r="C14" s="85">
        <v>310</v>
      </c>
      <c r="D14" s="86">
        <v>176</v>
      </c>
      <c r="E14" s="87">
        <v>53</v>
      </c>
      <c r="F14" s="86">
        <v>150.30000000000001</v>
      </c>
      <c r="G14" s="17">
        <v>45</v>
      </c>
      <c r="H14" s="88">
        <v>60</v>
      </c>
      <c r="I14" s="89">
        <v>70000</v>
      </c>
      <c r="J14" s="89" t="s">
        <v>75</v>
      </c>
      <c r="K14" s="89"/>
      <c r="L14" s="89"/>
      <c r="M14" s="90">
        <f>I14-K14</f>
        <v>70000</v>
      </c>
      <c r="N14" s="4">
        <f>IF(ISERROR(K14/I14),"",K14/I14)</f>
        <v>0</v>
      </c>
      <c r="O14" s="91">
        <f>I14/E14</f>
        <v>1320.7547169811321</v>
      </c>
      <c r="P14" s="91">
        <f>K14/E14</f>
        <v>0</v>
      </c>
      <c r="Q14" s="79">
        <v>4</v>
      </c>
      <c r="R14" s="79">
        <v>2</v>
      </c>
      <c r="S14" s="79" t="s">
        <v>62</v>
      </c>
      <c r="T14" s="5" t="s">
        <v>109</v>
      </c>
      <c r="U14" s="9"/>
    </row>
    <row r="15" spans="1:22" s="37" customFormat="1" ht="12" x14ac:dyDescent="0.3">
      <c r="A15" s="74" t="s">
        <v>1549</v>
      </c>
      <c r="B15" s="75" t="s">
        <v>1550</v>
      </c>
      <c r="C15" s="85">
        <v>586</v>
      </c>
      <c r="D15" s="86">
        <v>164.7</v>
      </c>
      <c r="E15" s="87">
        <v>50</v>
      </c>
      <c r="F15" s="86">
        <v>131.30000000000001</v>
      </c>
      <c r="G15" s="17">
        <v>40</v>
      </c>
      <c r="H15" s="88">
        <v>56</v>
      </c>
      <c r="I15" s="89">
        <v>70000</v>
      </c>
      <c r="J15" s="89" t="s">
        <v>71</v>
      </c>
      <c r="K15" s="89">
        <v>45000</v>
      </c>
      <c r="L15" s="89" t="s">
        <v>71</v>
      </c>
      <c r="M15" s="90">
        <f>I15-K15</f>
        <v>25000</v>
      </c>
      <c r="N15" s="4">
        <f>IF(ISERROR(K15/I15),"",K15/I15)</f>
        <v>0.6428571428571429</v>
      </c>
      <c r="O15" s="91">
        <f>I15/E15</f>
        <v>1400</v>
      </c>
      <c r="P15" s="91">
        <f>K15/E15</f>
        <v>900</v>
      </c>
      <c r="Q15" s="79">
        <v>4</v>
      </c>
      <c r="R15" s="79">
        <v>2</v>
      </c>
      <c r="S15" s="79" t="s">
        <v>62</v>
      </c>
      <c r="T15" s="5" t="s">
        <v>141</v>
      </c>
      <c r="U15" s="9"/>
    </row>
    <row r="16" spans="1:22" s="37" customFormat="1" ht="12" x14ac:dyDescent="0.3">
      <c r="A16" s="74" t="s">
        <v>1647</v>
      </c>
      <c r="B16" s="75" t="s">
        <v>1434</v>
      </c>
      <c r="C16" s="85">
        <v>385</v>
      </c>
      <c r="D16" s="86">
        <v>165.3</v>
      </c>
      <c r="E16" s="87">
        <v>50</v>
      </c>
      <c r="F16" s="86">
        <v>133.80000000000001</v>
      </c>
      <c r="G16" s="17">
        <v>40</v>
      </c>
      <c r="H16" s="88">
        <v>90</v>
      </c>
      <c r="I16" s="89">
        <v>69000</v>
      </c>
      <c r="J16" s="89" t="s">
        <v>81</v>
      </c>
      <c r="K16" s="89">
        <v>50000</v>
      </c>
      <c r="L16" s="89" t="s">
        <v>75</v>
      </c>
      <c r="M16" s="90">
        <f>I16-K16</f>
        <v>19000</v>
      </c>
      <c r="N16" s="4">
        <f>IF(ISERROR(K16/I16),"",K16/I16)</f>
        <v>0.72463768115942029</v>
      </c>
      <c r="O16" s="91">
        <f>I16/E16</f>
        <v>1380</v>
      </c>
      <c r="P16" s="91">
        <f>K16/E16</f>
        <v>1000</v>
      </c>
      <c r="Q16" s="79">
        <v>4</v>
      </c>
      <c r="R16" s="79">
        <v>2</v>
      </c>
      <c r="S16" s="79" t="s">
        <v>62</v>
      </c>
      <c r="T16" s="5" t="s">
        <v>78</v>
      </c>
      <c r="U16" s="9"/>
    </row>
    <row r="17" spans="1:21" s="37" customFormat="1" ht="12" x14ac:dyDescent="0.3">
      <c r="A17" s="74" t="s">
        <v>1815</v>
      </c>
      <c r="B17" s="75" t="s">
        <v>1635</v>
      </c>
      <c r="C17" s="85">
        <v>402</v>
      </c>
      <c r="D17" s="86">
        <v>145.1</v>
      </c>
      <c r="E17" s="87">
        <v>44</v>
      </c>
      <c r="F17" s="86">
        <v>109.5</v>
      </c>
      <c r="G17" s="17">
        <v>33</v>
      </c>
      <c r="H17" s="88">
        <v>132</v>
      </c>
      <c r="I17" s="89">
        <v>68000</v>
      </c>
      <c r="J17" s="89" t="s">
        <v>71</v>
      </c>
      <c r="K17" s="89">
        <v>43000</v>
      </c>
      <c r="L17" s="89" t="s">
        <v>71</v>
      </c>
      <c r="M17" s="90">
        <f>I17-K17</f>
        <v>25000</v>
      </c>
      <c r="N17" s="4">
        <f>IF(ISERROR(K17/I17),"",K17/I17)</f>
        <v>0.63235294117647056</v>
      </c>
      <c r="O17" s="91">
        <f>I17/E17</f>
        <v>1545.4545454545455</v>
      </c>
      <c r="P17" s="91">
        <f>K17/E17</f>
        <v>977.27272727272725</v>
      </c>
      <c r="Q17" s="79">
        <v>3</v>
      </c>
      <c r="R17" s="79">
        <v>2</v>
      </c>
      <c r="S17" s="79" t="s">
        <v>62</v>
      </c>
      <c r="T17" s="5">
        <v>145</v>
      </c>
      <c r="U17" s="9"/>
    </row>
    <row r="18" spans="1:21" s="37" customFormat="1" ht="12" x14ac:dyDescent="0.3">
      <c r="A18" s="74" t="s">
        <v>1549</v>
      </c>
      <c r="B18" s="75" t="s">
        <v>1550</v>
      </c>
      <c r="C18" s="85">
        <v>586</v>
      </c>
      <c r="D18" s="86">
        <v>154.1</v>
      </c>
      <c r="E18" s="87">
        <v>47</v>
      </c>
      <c r="F18" s="86">
        <v>123.6</v>
      </c>
      <c r="G18" s="17">
        <v>37</v>
      </c>
      <c r="H18" s="88">
        <v>89</v>
      </c>
      <c r="I18" s="89">
        <v>65000</v>
      </c>
      <c r="J18" s="89" t="s">
        <v>102</v>
      </c>
      <c r="K18" s="89"/>
      <c r="L18" s="89"/>
      <c r="M18" s="90">
        <f>I18-K18</f>
        <v>65000</v>
      </c>
      <c r="N18" s="4">
        <f>IF(ISERROR(K18/I18),"",K18/I18)</f>
        <v>0</v>
      </c>
      <c r="O18" s="91">
        <f>I18/E18</f>
        <v>1382.9787234042553</v>
      </c>
      <c r="P18" s="91">
        <f>K18/E18</f>
        <v>0</v>
      </c>
      <c r="Q18" s="79">
        <v>4</v>
      </c>
      <c r="R18" s="79">
        <v>2</v>
      </c>
      <c r="S18" s="79" t="s">
        <v>62</v>
      </c>
      <c r="T18" s="5">
        <v>154</v>
      </c>
      <c r="U18" s="9"/>
    </row>
    <row r="19" spans="1:21" s="37" customFormat="1" ht="12" x14ac:dyDescent="0.3">
      <c r="A19" s="74" t="s">
        <v>1760</v>
      </c>
      <c r="B19" s="75" t="s">
        <v>1550</v>
      </c>
      <c r="C19" s="85">
        <v>648</v>
      </c>
      <c r="D19" s="86">
        <v>164.7</v>
      </c>
      <c r="E19" s="87">
        <v>50</v>
      </c>
      <c r="F19" s="86">
        <v>131.6</v>
      </c>
      <c r="G19" s="17">
        <v>40</v>
      </c>
      <c r="H19" s="88">
        <v>150</v>
      </c>
      <c r="I19" s="89">
        <v>65000</v>
      </c>
      <c r="J19" s="89" t="s">
        <v>88</v>
      </c>
      <c r="K19" s="89">
        <v>50000</v>
      </c>
      <c r="L19" s="89" t="s">
        <v>70</v>
      </c>
      <c r="M19" s="90">
        <f>I19-K19</f>
        <v>15000</v>
      </c>
      <c r="N19" s="4">
        <f>IF(ISERROR(K19/I19),"",K19/I19)</f>
        <v>0.76923076923076927</v>
      </c>
      <c r="O19" s="91">
        <f>I19/E19</f>
        <v>1300</v>
      </c>
      <c r="P19" s="91">
        <f>K19/E19</f>
        <v>1000</v>
      </c>
      <c r="Q19" s="79">
        <v>4</v>
      </c>
      <c r="R19" s="79">
        <v>2</v>
      </c>
      <c r="S19" s="79" t="s">
        <v>62</v>
      </c>
      <c r="T19" s="5" t="s">
        <v>159</v>
      </c>
      <c r="U19" s="9"/>
    </row>
    <row r="20" spans="1:21" s="37" customFormat="1" ht="12" x14ac:dyDescent="0.3">
      <c r="A20" s="74" t="s">
        <v>1753</v>
      </c>
      <c r="B20" s="75" t="s">
        <v>1754</v>
      </c>
      <c r="C20" s="85">
        <v>1956</v>
      </c>
      <c r="D20" s="86">
        <v>113.4</v>
      </c>
      <c r="E20" s="87">
        <v>34</v>
      </c>
      <c r="F20" s="86">
        <v>80</v>
      </c>
      <c r="G20" s="17">
        <v>24</v>
      </c>
      <c r="H20" s="88">
        <v>652</v>
      </c>
      <c r="I20" s="89">
        <v>65000</v>
      </c>
      <c r="J20" s="89">
        <v>6</v>
      </c>
      <c r="K20" s="89">
        <v>52000</v>
      </c>
      <c r="L20" s="89">
        <v>15</v>
      </c>
      <c r="M20" s="90">
        <f>I20-K20</f>
        <v>13000</v>
      </c>
      <c r="N20" s="4">
        <f>IF(ISERROR(K20/I20),"",K20/I20)</f>
        <v>0.8</v>
      </c>
      <c r="O20" s="91">
        <f>I20/E20</f>
        <v>1911.7647058823529</v>
      </c>
      <c r="P20" s="91">
        <f>K20/E20</f>
        <v>1529.4117647058824</v>
      </c>
      <c r="Q20" s="79">
        <v>3</v>
      </c>
      <c r="R20" s="79">
        <v>2</v>
      </c>
      <c r="S20" s="79" t="s">
        <v>62</v>
      </c>
      <c r="T20" s="5" t="s">
        <v>154</v>
      </c>
      <c r="U20" s="9"/>
    </row>
    <row r="21" spans="1:21" s="37" customFormat="1" ht="12" x14ac:dyDescent="0.3">
      <c r="A21" s="74" t="s">
        <v>1661</v>
      </c>
      <c r="B21" s="75" t="s">
        <v>1662</v>
      </c>
      <c r="C21" s="85">
        <v>664</v>
      </c>
      <c r="D21" s="86">
        <v>108</v>
      </c>
      <c r="E21" s="87">
        <v>33</v>
      </c>
      <c r="F21" s="86">
        <v>85</v>
      </c>
      <c r="G21" s="17">
        <v>26</v>
      </c>
      <c r="H21" s="88">
        <v>346</v>
      </c>
      <c r="I21" s="89">
        <v>64900</v>
      </c>
      <c r="J21" s="89" t="s">
        <v>83</v>
      </c>
      <c r="K21" s="89">
        <v>45000</v>
      </c>
      <c r="L21" s="89" t="s">
        <v>79</v>
      </c>
      <c r="M21" s="90">
        <f>I21-K21</f>
        <v>19900</v>
      </c>
      <c r="N21" s="4">
        <f>IF(ISERROR(K21/I21),"",K21/I21)</f>
        <v>0.69337442218798151</v>
      </c>
      <c r="O21" s="91">
        <f>I21/E21</f>
        <v>1966.6666666666667</v>
      </c>
      <c r="P21" s="91">
        <f>K21/E21</f>
        <v>1363.6363636363637</v>
      </c>
      <c r="Q21" s="79">
        <v>3</v>
      </c>
      <c r="R21" s="79">
        <v>2</v>
      </c>
      <c r="S21" s="79" t="s">
        <v>62</v>
      </c>
      <c r="T21" s="5" t="s">
        <v>93</v>
      </c>
      <c r="U21" s="9"/>
    </row>
    <row r="22" spans="1:21" s="37" customFormat="1" ht="12" x14ac:dyDescent="0.3">
      <c r="A22" s="74" t="s">
        <v>1646</v>
      </c>
      <c r="B22" s="75" t="s">
        <v>1425</v>
      </c>
      <c r="C22" s="85">
        <v>992</v>
      </c>
      <c r="D22" s="86">
        <v>99.9</v>
      </c>
      <c r="E22" s="87">
        <v>30</v>
      </c>
      <c r="F22" s="86">
        <v>75.8</v>
      </c>
      <c r="G22" s="17">
        <v>23</v>
      </c>
      <c r="H22" s="88">
        <v>468</v>
      </c>
      <c r="I22" s="89">
        <v>63000</v>
      </c>
      <c r="J22" s="89" t="s">
        <v>68</v>
      </c>
      <c r="K22" s="89">
        <v>38000</v>
      </c>
      <c r="L22" s="89" t="s">
        <v>69</v>
      </c>
      <c r="M22" s="90">
        <f>I22-K22</f>
        <v>25000</v>
      </c>
      <c r="N22" s="4">
        <f>IF(ISERROR(K22/I22),"",K22/I22)</f>
        <v>0.60317460317460314</v>
      </c>
      <c r="O22" s="91">
        <f>I22/E22</f>
        <v>2100</v>
      </c>
      <c r="P22" s="91">
        <f>K22/E22</f>
        <v>1266.6666666666667</v>
      </c>
      <c r="Q22" s="79">
        <v>4</v>
      </c>
      <c r="R22" s="79">
        <v>2</v>
      </c>
      <c r="S22" s="79" t="s">
        <v>62</v>
      </c>
      <c r="T22" s="5">
        <v>99</v>
      </c>
      <c r="U22" s="9"/>
    </row>
    <row r="23" spans="1:21" s="37" customFormat="1" ht="12" x14ac:dyDescent="0.3">
      <c r="A23" s="74" t="s">
        <v>1691</v>
      </c>
      <c r="B23" s="75" t="s">
        <v>1434</v>
      </c>
      <c r="C23" s="85">
        <v>310</v>
      </c>
      <c r="D23" s="86">
        <v>163.69999999999999</v>
      </c>
      <c r="E23" s="87">
        <v>50</v>
      </c>
      <c r="F23" s="86">
        <v>138.9</v>
      </c>
      <c r="G23" s="17">
        <v>42</v>
      </c>
      <c r="H23" s="88">
        <v>142</v>
      </c>
      <c r="I23" s="89">
        <v>62000</v>
      </c>
      <c r="J23" s="89" t="s">
        <v>81</v>
      </c>
      <c r="K23" s="89"/>
      <c r="L23" s="89"/>
      <c r="M23" s="90">
        <f>I23-K23</f>
        <v>62000</v>
      </c>
      <c r="N23" s="4">
        <f>IF(ISERROR(K23/I23),"",K23/I23)</f>
        <v>0</v>
      </c>
      <c r="O23" s="91">
        <f>I23/E23</f>
        <v>1240</v>
      </c>
      <c r="P23" s="91">
        <f>K23/E23</f>
        <v>0</v>
      </c>
      <c r="Q23" s="79">
        <v>4</v>
      </c>
      <c r="R23" s="79">
        <v>2</v>
      </c>
      <c r="S23" s="79" t="s">
        <v>62</v>
      </c>
      <c r="T23" s="5">
        <v>163</v>
      </c>
      <c r="U23" s="9"/>
    </row>
    <row r="24" spans="1:21" s="37" customFormat="1" ht="12" x14ac:dyDescent="0.3">
      <c r="A24" s="74" t="s">
        <v>1760</v>
      </c>
      <c r="B24" s="75" t="s">
        <v>1550</v>
      </c>
      <c r="C24" s="85">
        <v>648</v>
      </c>
      <c r="D24" s="86">
        <v>152.6</v>
      </c>
      <c r="E24" s="87">
        <v>46</v>
      </c>
      <c r="F24" s="86">
        <v>123.6</v>
      </c>
      <c r="G24" s="17">
        <v>37</v>
      </c>
      <c r="H24" s="88">
        <v>136</v>
      </c>
      <c r="I24" s="89">
        <v>62000</v>
      </c>
      <c r="J24" s="89" t="s">
        <v>64</v>
      </c>
      <c r="K24" s="89">
        <v>45000</v>
      </c>
      <c r="L24" s="89" t="s">
        <v>64</v>
      </c>
      <c r="M24" s="90">
        <f>I24-K24</f>
        <v>17000</v>
      </c>
      <c r="N24" s="4">
        <f>IF(ISERROR(K24/I24),"",K24/I24)</f>
        <v>0.72580645161290325</v>
      </c>
      <c r="O24" s="91">
        <f>I24/E24</f>
        <v>1347.8260869565217</v>
      </c>
      <c r="P24" s="91">
        <f>K24/E24</f>
        <v>978.26086956521738</v>
      </c>
      <c r="Q24" s="79">
        <v>4</v>
      </c>
      <c r="R24" s="79">
        <v>2</v>
      </c>
      <c r="S24" s="79" t="s">
        <v>62</v>
      </c>
      <c r="T24" s="5">
        <v>152</v>
      </c>
      <c r="U24" s="9"/>
    </row>
    <row r="25" spans="1:21" s="37" customFormat="1" ht="12" x14ac:dyDescent="0.3">
      <c r="A25" s="74" t="s">
        <v>1661</v>
      </c>
      <c r="B25" s="75" t="s">
        <v>1662</v>
      </c>
      <c r="C25" s="85">
        <v>664</v>
      </c>
      <c r="D25" s="86">
        <v>97.6</v>
      </c>
      <c r="E25" s="87">
        <v>30</v>
      </c>
      <c r="F25" s="86">
        <v>76</v>
      </c>
      <c r="G25" s="17">
        <v>23</v>
      </c>
      <c r="H25" s="88">
        <v>73</v>
      </c>
      <c r="I25" s="89">
        <v>60000</v>
      </c>
      <c r="J25" s="89" t="s">
        <v>92</v>
      </c>
      <c r="K25" s="89">
        <v>42000</v>
      </c>
      <c r="L25" s="89" t="s">
        <v>69</v>
      </c>
      <c r="M25" s="90">
        <f>I25-K25</f>
        <v>18000</v>
      </c>
      <c r="N25" s="4">
        <f>IF(ISERROR(K25/I25),"",K25/I25)</f>
        <v>0.7</v>
      </c>
      <c r="O25" s="91">
        <f>I25/E25</f>
        <v>2000</v>
      </c>
      <c r="P25" s="91">
        <f>K25/E25</f>
        <v>1400</v>
      </c>
      <c r="Q25" s="79">
        <v>3</v>
      </c>
      <c r="R25" s="79">
        <v>2</v>
      </c>
      <c r="S25" s="79" t="s">
        <v>62</v>
      </c>
      <c r="T25" s="5">
        <v>97</v>
      </c>
      <c r="U25" s="9"/>
    </row>
    <row r="26" spans="1:21" s="37" customFormat="1" ht="12" x14ac:dyDescent="0.3">
      <c r="A26" s="74" t="s">
        <v>1610</v>
      </c>
      <c r="B26" s="75" t="s">
        <v>1522</v>
      </c>
      <c r="C26" s="85">
        <v>1495</v>
      </c>
      <c r="D26" s="86">
        <v>112.2</v>
      </c>
      <c r="E26" s="87">
        <v>34</v>
      </c>
      <c r="F26" s="86">
        <v>85</v>
      </c>
      <c r="G26" s="17">
        <v>26</v>
      </c>
      <c r="H26" s="88">
        <v>636</v>
      </c>
      <c r="I26" s="89">
        <v>58000</v>
      </c>
      <c r="J26" s="89" t="s">
        <v>70</v>
      </c>
      <c r="K26" s="89">
        <v>43000</v>
      </c>
      <c r="L26" s="89" t="s">
        <v>102</v>
      </c>
      <c r="M26" s="90">
        <f>I26-K26</f>
        <v>15000</v>
      </c>
      <c r="N26" s="4">
        <f>IF(ISERROR(K26/I26),"",K26/I26)</f>
        <v>0.74137931034482762</v>
      </c>
      <c r="O26" s="91">
        <f>I26/E26</f>
        <v>1705.8823529411766</v>
      </c>
      <c r="P26" s="91">
        <f>K26/E26</f>
        <v>1264.7058823529412</v>
      </c>
      <c r="Q26" s="79">
        <v>3</v>
      </c>
      <c r="R26" s="79">
        <v>2</v>
      </c>
      <c r="S26" s="79" t="s">
        <v>62</v>
      </c>
      <c r="T26" s="5" t="s">
        <v>106</v>
      </c>
      <c r="U26" s="9"/>
    </row>
    <row r="27" spans="1:21" s="37" customFormat="1" ht="12" x14ac:dyDescent="0.3">
      <c r="A27" s="74" t="s">
        <v>1716</v>
      </c>
      <c r="B27" s="75" t="s">
        <v>1717</v>
      </c>
      <c r="C27" s="85">
        <v>1148</v>
      </c>
      <c r="D27" s="86">
        <v>111</v>
      </c>
      <c r="E27" s="87">
        <v>34</v>
      </c>
      <c r="F27" s="86">
        <v>85</v>
      </c>
      <c r="G27" s="17">
        <v>26</v>
      </c>
      <c r="H27" s="88">
        <v>573</v>
      </c>
      <c r="I27" s="89">
        <v>56500</v>
      </c>
      <c r="J27" s="89" t="s">
        <v>71</v>
      </c>
      <c r="K27" s="89">
        <v>29000</v>
      </c>
      <c r="L27" s="89" t="s">
        <v>71</v>
      </c>
      <c r="M27" s="90">
        <f>I27-K27</f>
        <v>27500</v>
      </c>
      <c r="N27" s="4">
        <f>IF(ISERROR(K27/I27),"",K27/I27)</f>
        <v>0.51327433628318586</v>
      </c>
      <c r="O27" s="91">
        <f>I27/E27</f>
        <v>1661.7647058823529</v>
      </c>
      <c r="P27" s="91">
        <f>K27/E27</f>
        <v>852.94117647058829</v>
      </c>
      <c r="Q27" s="79">
        <v>3</v>
      </c>
      <c r="R27" s="79">
        <v>2</v>
      </c>
      <c r="S27" s="79" t="s">
        <v>62</v>
      </c>
      <c r="T27" s="5" t="s">
        <v>135</v>
      </c>
      <c r="U27" s="9"/>
    </row>
    <row r="28" spans="1:21" s="37" customFormat="1" ht="12" x14ac:dyDescent="0.3">
      <c r="A28" s="74" t="s">
        <v>1606</v>
      </c>
      <c r="B28" s="75" t="s">
        <v>1781</v>
      </c>
      <c r="C28" s="85">
        <v>540</v>
      </c>
      <c r="D28" s="86">
        <v>184.6</v>
      </c>
      <c r="E28" s="87">
        <v>56</v>
      </c>
      <c r="F28" s="86">
        <v>155.4</v>
      </c>
      <c r="G28" s="17">
        <v>47</v>
      </c>
      <c r="H28" s="88">
        <v>111</v>
      </c>
      <c r="I28" s="89">
        <v>56000</v>
      </c>
      <c r="J28" s="89" t="s">
        <v>71</v>
      </c>
      <c r="K28" s="89">
        <v>38000</v>
      </c>
      <c r="L28" s="89" t="s">
        <v>81</v>
      </c>
      <c r="M28" s="90">
        <f>I28-K28</f>
        <v>18000</v>
      </c>
      <c r="N28" s="4">
        <f>IF(ISERROR(K28/I28),"",K28/I28)</f>
        <v>0.6785714285714286</v>
      </c>
      <c r="O28" s="91">
        <f>I28/E28</f>
        <v>1000</v>
      </c>
      <c r="P28" s="91">
        <f>K28/E28</f>
        <v>678.57142857142856</v>
      </c>
      <c r="Q28" s="79">
        <v>4</v>
      </c>
      <c r="R28" s="79">
        <v>2</v>
      </c>
      <c r="S28" s="79" t="s">
        <v>62</v>
      </c>
      <c r="T28" s="5">
        <v>184</v>
      </c>
      <c r="U28" s="9"/>
    </row>
    <row r="29" spans="1:21" s="37" customFormat="1" ht="12" x14ac:dyDescent="0.3">
      <c r="A29" s="74" t="s">
        <v>1618</v>
      </c>
      <c r="B29" s="75" t="s">
        <v>1794</v>
      </c>
      <c r="C29" s="85">
        <v>1034</v>
      </c>
      <c r="D29" s="86">
        <v>112.5</v>
      </c>
      <c r="E29" s="87">
        <v>34</v>
      </c>
      <c r="F29" s="86">
        <v>85</v>
      </c>
      <c r="G29" s="17">
        <v>26</v>
      </c>
      <c r="H29" s="88">
        <v>616</v>
      </c>
      <c r="I29" s="89">
        <v>55000</v>
      </c>
      <c r="J29" s="89" t="s">
        <v>75</v>
      </c>
      <c r="K29" s="89">
        <v>32000</v>
      </c>
      <c r="L29" s="89" t="s">
        <v>89</v>
      </c>
      <c r="M29" s="90">
        <f>I29-K29</f>
        <v>23000</v>
      </c>
      <c r="N29" s="4">
        <f>IF(ISERROR(K29/I29),"",K29/I29)</f>
        <v>0.58181818181818179</v>
      </c>
      <c r="O29" s="91">
        <f>I29/E29</f>
        <v>1617.6470588235295</v>
      </c>
      <c r="P29" s="91">
        <f>K29/E29</f>
        <v>941.17647058823525</v>
      </c>
      <c r="Q29" s="79">
        <v>4</v>
      </c>
      <c r="R29" s="79">
        <v>2</v>
      </c>
      <c r="S29" s="79" t="s">
        <v>62</v>
      </c>
      <c r="T29" s="5" t="s">
        <v>106</v>
      </c>
      <c r="U29" s="9"/>
    </row>
    <row r="30" spans="1:21" s="37" customFormat="1" ht="12" x14ac:dyDescent="0.3">
      <c r="A30" s="74" t="s">
        <v>1691</v>
      </c>
      <c r="B30" s="75" t="s">
        <v>1434</v>
      </c>
      <c r="C30" s="85">
        <v>310</v>
      </c>
      <c r="D30" s="86">
        <v>140.30000000000001</v>
      </c>
      <c r="E30" s="87">
        <v>42</v>
      </c>
      <c r="F30" s="86">
        <v>115.5</v>
      </c>
      <c r="G30" s="17">
        <v>35</v>
      </c>
      <c r="H30" s="88">
        <v>48</v>
      </c>
      <c r="I30" s="89">
        <v>55000</v>
      </c>
      <c r="J30" s="89" t="s">
        <v>64</v>
      </c>
      <c r="K30" s="89">
        <v>45000</v>
      </c>
      <c r="L30" s="89" t="s">
        <v>64</v>
      </c>
      <c r="M30" s="90">
        <f>I30-K30</f>
        <v>10000</v>
      </c>
      <c r="N30" s="4">
        <f>IF(ISERROR(K30/I30),"",K30/I30)</f>
        <v>0.81818181818181823</v>
      </c>
      <c r="O30" s="91">
        <f>I30/E30</f>
        <v>1309.5238095238096</v>
      </c>
      <c r="P30" s="91">
        <f>K30/E30</f>
        <v>1071.4285714285713</v>
      </c>
      <c r="Q30" s="79">
        <v>3</v>
      </c>
      <c r="R30" s="79">
        <v>2</v>
      </c>
      <c r="S30" s="79" t="s">
        <v>62</v>
      </c>
      <c r="T30" s="5">
        <v>140</v>
      </c>
      <c r="U30" s="9"/>
    </row>
    <row r="31" spans="1:21" s="37" customFormat="1" ht="12" x14ac:dyDescent="0.3">
      <c r="A31" s="74" t="s">
        <v>1614</v>
      </c>
      <c r="B31" s="75" t="s">
        <v>1615</v>
      </c>
      <c r="C31" s="85">
        <v>480</v>
      </c>
      <c r="D31" s="86">
        <v>197</v>
      </c>
      <c r="E31" s="87">
        <v>60</v>
      </c>
      <c r="F31" s="86">
        <v>161.9</v>
      </c>
      <c r="G31" s="17">
        <v>49</v>
      </c>
      <c r="H31" s="88">
        <v>60</v>
      </c>
      <c r="I31" s="89">
        <v>55000</v>
      </c>
      <c r="J31" s="89" t="s">
        <v>88</v>
      </c>
      <c r="K31" s="89">
        <v>45000</v>
      </c>
      <c r="L31" s="89" t="s">
        <v>97</v>
      </c>
      <c r="M31" s="90">
        <f>I31-K31</f>
        <v>10000</v>
      </c>
      <c r="N31" s="4">
        <f>IF(ISERROR(K31/I31),"",K31/I31)</f>
        <v>0.81818181818181823</v>
      </c>
      <c r="O31" s="91">
        <f>I31/E31</f>
        <v>916.66666666666663</v>
      </c>
      <c r="P31" s="91">
        <f>K31/E31</f>
        <v>750</v>
      </c>
      <c r="Q31" s="79">
        <v>4</v>
      </c>
      <c r="R31" s="79">
        <v>2</v>
      </c>
      <c r="S31" s="79" t="s">
        <v>62</v>
      </c>
      <c r="T31" s="5">
        <v>197</v>
      </c>
      <c r="U31" s="9"/>
    </row>
    <row r="32" spans="1:21" s="37" customFormat="1" ht="12" x14ac:dyDescent="0.3">
      <c r="A32" s="74" t="s">
        <v>1674</v>
      </c>
      <c r="B32" s="75" t="s">
        <v>1675</v>
      </c>
      <c r="C32" s="85">
        <v>905</v>
      </c>
      <c r="D32" s="86">
        <v>95.7</v>
      </c>
      <c r="E32" s="87">
        <v>29</v>
      </c>
      <c r="F32" s="86">
        <v>72.5</v>
      </c>
      <c r="G32" s="17">
        <v>22</v>
      </c>
      <c r="H32" s="88">
        <v>152</v>
      </c>
      <c r="I32" s="89">
        <v>54000</v>
      </c>
      <c r="J32" s="89" t="s">
        <v>99</v>
      </c>
      <c r="K32" s="89">
        <v>39000</v>
      </c>
      <c r="L32" s="89" t="s">
        <v>71</v>
      </c>
      <c r="M32" s="90">
        <f>I32-K32</f>
        <v>15000</v>
      </c>
      <c r="N32" s="4">
        <f>IF(ISERROR(K32/I32),"",K32/I32)</f>
        <v>0.72222222222222221</v>
      </c>
      <c r="O32" s="91">
        <f>I32/E32</f>
        <v>1862.0689655172414</v>
      </c>
      <c r="P32" s="91">
        <f>K32/E32</f>
        <v>1344.8275862068965</v>
      </c>
      <c r="Q32" s="79">
        <v>3</v>
      </c>
      <c r="R32" s="79">
        <v>2</v>
      </c>
      <c r="S32" s="79" t="s">
        <v>62</v>
      </c>
      <c r="T32" s="5">
        <v>95</v>
      </c>
      <c r="U32" s="9"/>
    </row>
    <row r="33" spans="1:21" s="37" customFormat="1" ht="12" x14ac:dyDescent="0.3">
      <c r="A33" s="74" t="s">
        <v>1549</v>
      </c>
      <c r="B33" s="75" t="s">
        <v>1550</v>
      </c>
      <c r="C33" s="85">
        <v>586</v>
      </c>
      <c r="D33" s="86">
        <v>125.5</v>
      </c>
      <c r="E33" s="87">
        <v>38</v>
      </c>
      <c r="F33" s="86">
        <v>99.7</v>
      </c>
      <c r="G33" s="17">
        <v>30</v>
      </c>
      <c r="H33" s="88">
        <v>56</v>
      </c>
      <c r="I33" s="89">
        <v>53000</v>
      </c>
      <c r="J33" s="89" t="s">
        <v>89</v>
      </c>
      <c r="K33" s="89"/>
      <c r="L33" s="89"/>
      <c r="M33" s="90">
        <f>I33-K33</f>
        <v>53000</v>
      </c>
      <c r="N33" s="4">
        <f>IF(ISERROR(K33/I33),"",K33/I33)</f>
        <v>0</v>
      </c>
      <c r="O33" s="91">
        <f>I33/E33</f>
        <v>1394.7368421052631</v>
      </c>
      <c r="P33" s="91">
        <f>K33/E33</f>
        <v>0</v>
      </c>
      <c r="Q33" s="79">
        <v>3</v>
      </c>
      <c r="R33" s="79">
        <v>2</v>
      </c>
      <c r="S33" s="79" t="s">
        <v>62</v>
      </c>
      <c r="T33" s="5" t="s">
        <v>140</v>
      </c>
      <c r="U33" s="9"/>
    </row>
    <row r="34" spans="1:21" s="37" customFormat="1" ht="12" x14ac:dyDescent="0.3">
      <c r="A34" s="74" t="s">
        <v>1606</v>
      </c>
      <c r="B34" s="75" t="s">
        <v>1607</v>
      </c>
      <c r="C34" s="85">
        <v>540</v>
      </c>
      <c r="D34" s="86">
        <v>151.80000000000001</v>
      </c>
      <c r="E34" s="87">
        <v>46</v>
      </c>
      <c r="F34" s="86">
        <v>123.8</v>
      </c>
      <c r="G34" s="17">
        <v>37</v>
      </c>
      <c r="H34" s="88">
        <v>85</v>
      </c>
      <c r="I34" s="89">
        <v>53000</v>
      </c>
      <c r="J34" s="89" t="s">
        <v>88</v>
      </c>
      <c r="K34" s="89">
        <v>40000</v>
      </c>
      <c r="L34" s="89" t="s">
        <v>102</v>
      </c>
      <c r="M34" s="90">
        <f>I34-K34</f>
        <v>13000</v>
      </c>
      <c r="N34" s="4">
        <f>IF(ISERROR(K34/I34),"",K34/I34)</f>
        <v>0.75471698113207553</v>
      </c>
      <c r="O34" s="91">
        <f>I34/E34</f>
        <v>1152.1739130434783</v>
      </c>
      <c r="P34" s="91">
        <f>K34/E34</f>
        <v>869.56521739130437</v>
      </c>
      <c r="Q34" s="79">
        <v>4</v>
      </c>
      <c r="R34" s="79">
        <v>2</v>
      </c>
      <c r="S34" s="79" t="s">
        <v>62</v>
      </c>
      <c r="T34" s="5">
        <v>151</v>
      </c>
      <c r="U34" s="9"/>
    </row>
    <row r="35" spans="1:21" s="37" customFormat="1" ht="12" x14ac:dyDescent="0.3">
      <c r="A35" s="74" t="s">
        <v>1760</v>
      </c>
      <c r="B35" s="75" t="s">
        <v>1736</v>
      </c>
      <c r="C35" s="85">
        <v>648</v>
      </c>
      <c r="D35" s="86">
        <v>125.1</v>
      </c>
      <c r="E35" s="87">
        <v>38</v>
      </c>
      <c r="F35" s="86">
        <v>99.7</v>
      </c>
      <c r="G35" s="17">
        <v>30</v>
      </c>
      <c r="H35" s="88">
        <v>76</v>
      </c>
      <c r="I35" s="89">
        <v>52000</v>
      </c>
      <c r="J35" s="89" t="s">
        <v>83</v>
      </c>
      <c r="K35" s="89"/>
      <c r="L35" s="89"/>
      <c r="M35" s="90">
        <f>I35-K35</f>
        <v>52000</v>
      </c>
      <c r="N35" s="4">
        <f>IF(ISERROR(K35/I35),"",K35/I35)</f>
        <v>0</v>
      </c>
      <c r="O35" s="91">
        <f>I35/E35</f>
        <v>1368.421052631579</v>
      </c>
      <c r="P35" s="91">
        <f>K35/E35</f>
        <v>0</v>
      </c>
      <c r="Q35" s="79">
        <v>3</v>
      </c>
      <c r="R35" s="79">
        <v>2</v>
      </c>
      <c r="S35" s="79" t="s">
        <v>62</v>
      </c>
      <c r="T35" s="5" t="s">
        <v>157</v>
      </c>
      <c r="U35" s="9"/>
    </row>
    <row r="36" spans="1:21" s="37" customFormat="1" ht="12" x14ac:dyDescent="0.3">
      <c r="A36" s="74" t="s">
        <v>1733</v>
      </c>
      <c r="B36" s="75" t="s">
        <v>1734</v>
      </c>
      <c r="C36" s="85">
        <v>356</v>
      </c>
      <c r="D36" s="86">
        <v>109.6</v>
      </c>
      <c r="E36" s="87">
        <v>33</v>
      </c>
      <c r="F36" s="86">
        <v>84.9</v>
      </c>
      <c r="G36" s="17">
        <v>26</v>
      </c>
      <c r="H36" s="88">
        <v>136</v>
      </c>
      <c r="I36" s="89">
        <v>51000</v>
      </c>
      <c r="J36" s="89" t="s">
        <v>92</v>
      </c>
      <c r="K36" s="89">
        <v>42000</v>
      </c>
      <c r="L36" s="89" t="s">
        <v>89</v>
      </c>
      <c r="M36" s="90">
        <f>I36-K36</f>
        <v>9000</v>
      </c>
      <c r="N36" s="4">
        <f>IF(ISERROR(K36/I36),"",K36/I36)</f>
        <v>0.82352941176470584</v>
      </c>
      <c r="O36" s="91">
        <f>I36/E36</f>
        <v>1545.4545454545455</v>
      </c>
      <c r="P36" s="91">
        <f>K36/E36</f>
        <v>1272.7272727272727</v>
      </c>
      <c r="Q36" s="79">
        <v>3</v>
      </c>
      <c r="R36" s="79">
        <v>2</v>
      </c>
      <c r="S36" s="79" t="s">
        <v>62</v>
      </c>
      <c r="T36" s="5" t="s">
        <v>66</v>
      </c>
      <c r="U36" s="9"/>
    </row>
    <row r="37" spans="1:21" s="37" customFormat="1" ht="12" x14ac:dyDescent="0.3">
      <c r="A37" s="74" t="s">
        <v>1619</v>
      </c>
      <c r="B37" s="75" t="s">
        <v>1795</v>
      </c>
      <c r="C37" s="85">
        <v>336</v>
      </c>
      <c r="D37" s="86">
        <v>110.8</v>
      </c>
      <c r="E37" s="87">
        <v>34</v>
      </c>
      <c r="F37" s="86">
        <v>85</v>
      </c>
      <c r="G37" s="17">
        <v>26</v>
      </c>
      <c r="H37" s="88">
        <v>192</v>
      </c>
      <c r="I37" s="89">
        <v>49000</v>
      </c>
      <c r="J37" s="89" t="s">
        <v>71</v>
      </c>
      <c r="K37" s="89">
        <v>30000</v>
      </c>
      <c r="L37" s="89" t="s">
        <v>68</v>
      </c>
      <c r="M37" s="90">
        <f>I37-K37</f>
        <v>19000</v>
      </c>
      <c r="N37" s="4">
        <f>IF(ISERROR(K37/I37),"",K37/I37)</f>
        <v>0.61224489795918369</v>
      </c>
      <c r="O37" s="91">
        <f>I37/E37</f>
        <v>1441.1764705882354</v>
      </c>
      <c r="P37" s="91">
        <f>K37/E37</f>
        <v>882.35294117647061</v>
      </c>
      <c r="Q37" s="79">
        <v>3</v>
      </c>
      <c r="R37" s="79">
        <v>2</v>
      </c>
      <c r="S37" s="79" t="s">
        <v>62</v>
      </c>
      <c r="T37" s="5" t="s">
        <v>135</v>
      </c>
      <c r="U37" s="9"/>
    </row>
    <row r="38" spans="1:21" s="37" customFormat="1" ht="12" x14ac:dyDescent="0.3">
      <c r="A38" s="74" t="s">
        <v>1797</v>
      </c>
      <c r="B38" s="75" t="s">
        <v>1571</v>
      </c>
      <c r="C38" s="85">
        <v>427</v>
      </c>
      <c r="D38" s="86">
        <v>111.9</v>
      </c>
      <c r="E38" s="87">
        <v>34</v>
      </c>
      <c r="F38" s="86">
        <v>85</v>
      </c>
      <c r="G38" s="17">
        <v>26</v>
      </c>
      <c r="H38" s="88">
        <v>285</v>
      </c>
      <c r="I38" s="89">
        <v>49000</v>
      </c>
      <c r="J38" s="89" t="s">
        <v>181</v>
      </c>
      <c r="K38" s="89">
        <v>30000</v>
      </c>
      <c r="L38" s="89" t="s">
        <v>65</v>
      </c>
      <c r="M38" s="90">
        <f>I38-K38</f>
        <v>19000</v>
      </c>
      <c r="N38" s="4">
        <f>IF(ISERROR(K38/I38),"",K38/I38)</f>
        <v>0.61224489795918369</v>
      </c>
      <c r="O38" s="91">
        <f>I38/E38</f>
        <v>1441.1764705882354</v>
      </c>
      <c r="P38" s="91">
        <f>K38/E38</f>
        <v>882.35294117647061</v>
      </c>
      <c r="Q38" s="79">
        <v>4</v>
      </c>
      <c r="R38" s="79">
        <v>2</v>
      </c>
      <c r="S38" s="79" t="s">
        <v>62</v>
      </c>
      <c r="T38" s="5" t="s">
        <v>73</v>
      </c>
      <c r="U38" s="9"/>
    </row>
    <row r="39" spans="1:21" s="37" customFormat="1" ht="12" x14ac:dyDescent="0.3">
      <c r="A39" s="74" t="s">
        <v>1622</v>
      </c>
      <c r="B39" s="75" t="s">
        <v>1623</v>
      </c>
      <c r="C39" s="85">
        <v>1020</v>
      </c>
      <c r="D39" s="86">
        <v>112.3</v>
      </c>
      <c r="E39" s="87">
        <v>34</v>
      </c>
      <c r="F39" s="86">
        <v>85</v>
      </c>
      <c r="G39" s="17">
        <v>26</v>
      </c>
      <c r="H39" s="88">
        <v>288</v>
      </c>
      <c r="I39" s="89">
        <v>49000</v>
      </c>
      <c r="J39" s="89" t="s">
        <v>89</v>
      </c>
      <c r="K39" s="89">
        <v>35000</v>
      </c>
      <c r="L39" s="89" t="s">
        <v>83</v>
      </c>
      <c r="M39" s="90">
        <f>I39-K39</f>
        <v>14000</v>
      </c>
      <c r="N39" s="4">
        <f>IF(ISERROR(K39/I39),"",K39/I39)</f>
        <v>0.7142857142857143</v>
      </c>
      <c r="O39" s="91">
        <f>I39/E39</f>
        <v>1441.1764705882354</v>
      </c>
      <c r="P39" s="91">
        <f>K39/E39</f>
        <v>1029.4117647058824</v>
      </c>
      <c r="Q39" s="79">
        <v>4</v>
      </c>
      <c r="R39" s="79">
        <v>2</v>
      </c>
      <c r="S39" s="79" t="s">
        <v>62</v>
      </c>
      <c r="T39" s="5" t="s">
        <v>107</v>
      </c>
      <c r="U39" s="9"/>
    </row>
    <row r="40" spans="1:21" s="37" customFormat="1" ht="12" x14ac:dyDescent="0.3">
      <c r="A40" s="74" t="s">
        <v>1735</v>
      </c>
      <c r="B40" s="75" t="s">
        <v>1736</v>
      </c>
      <c r="C40" s="85">
        <v>586</v>
      </c>
      <c r="D40" s="86">
        <v>113.7</v>
      </c>
      <c r="E40" s="87">
        <v>34</v>
      </c>
      <c r="F40" s="86">
        <v>84.6</v>
      </c>
      <c r="G40" s="17">
        <v>26</v>
      </c>
      <c r="H40" s="88">
        <v>268</v>
      </c>
      <c r="I40" s="89">
        <v>49000</v>
      </c>
      <c r="J40" s="89" t="s">
        <v>81</v>
      </c>
      <c r="K40" s="89">
        <v>36000</v>
      </c>
      <c r="L40" s="89" t="s">
        <v>81</v>
      </c>
      <c r="M40" s="90">
        <f>I40-K40</f>
        <v>13000</v>
      </c>
      <c r="N40" s="4">
        <f>IF(ISERROR(K40/I40),"",K40/I40)</f>
        <v>0.73469387755102045</v>
      </c>
      <c r="O40" s="91">
        <f>I40/E40</f>
        <v>1441.1764705882354</v>
      </c>
      <c r="P40" s="91">
        <f>K40/E40</f>
        <v>1058.8235294117646</v>
      </c>
      <c r="Q40" s="79">
        <v>3</v>
      </c>
      <c r="R40" s="79">
        <v>2</v>
      </c>
      <c r="S40" s="79" t="s">
        <v>62</v>
      </c>
      <c r="T40" s="5">
        <v>113</v>
      </c>
      <c r="U40" s="9"/>
    </row>
    <row r="41" spans="1:21" s="37" customFormat="1" ht="12" x14ac:dyDescent="0.3">
      <c r="A41" s="74" t="s">
        <v>1798</v>
      </c>
      <c r="B41" s="75" t="s">
        <v>1793</v>
      </c>
      <c r="C41" s="85">
        <v>424</v>
      </c>
      <c r="D41" s="86">
        <v>112.2</v>
      </c>
      <c r="E41" s="87">
        <v>34</v>
      </c>
      <c r="F41" s="86">
        <v>85</v>
      </c>
      <c r="G41" s="17">
        <v>26</v>
      </c>
      <c r="H41" s="88">
        <v>282</v>
      </c>
      <c r="I41" s="89">
        <v>49000</v>
      </c>
      <c r="J41" s="89" t="s">
        <v>64</v>
      </c>
      <c r="K41" s="89">
        <v>36000</v>
      </c>
      <c r="L41" s="89" t="s">
        <v>89</v>
      </c>
      <c r="M41" s="90">
        <f>I41-K41</f>
        <v>13000</v>
      </c>
      <c r="N41" s="4">
        <f>IF(ISERROR(K41/I41),"",K41/I41)</f>
        <v>0.73469387755102045</v>
      </c>
      <c r="O41" s="91">
        <f>I41/E41</f>
        <v>1441.1764705882354</v>
      </c>
      <c r="P41" s="91">
        <f>K41/E41</f>
        <v>1058.8235294117646</v>
      </c>
      <c r="Q41" s="79">
        <v>4</v>
      </c>
      <c r="R41" s="79">
        <v>2</v>
      </c>
      <c r="S41" s="79" t="s">
        <v>62</v>
      </c>
      <c r="T41" s="5" t="s">
        <v>106</v>
      </c>
      <c r="U41" s="9"/>
    </row>
    <row r="42" spans="1:21" s="37" customFormat="1" ht="12" x14ac:dyDescent="0.3">
      <c r="A42" s="74" t="s">
        <v>1748</v>
      </c>
      <c r="B42" s="75" t="s">
        <v>1749</v>
      </c>
      <c r="C42" s="85">
        <v>452</v>
      </c>
      <c r="D42" s="86">
        <v>110.8</v>
      </c>
      <c r="E42" s="87">
        <v>34</v>
      </c>
      <c r="F42" s="86">
        <v>84.8</v>
      </c>
      <c r="G42" s="17">
        <v>26</v>
      </c>
      <c r="H42" s="88">
        <v>129</v>
      </c>
      <c r="I42" s="89">
        <v>49000</v>
      </c>
      <c r="J42" s="89" t="s">
        <v>71</v>
      </c>
      <c r="K42" s="89">
        <v>38000</v>
      </c>
      <c r="L42" s="89" t="s">
        <v>71</v>
      </c>
      <c r="M42" s="90">
        <f>I42-K42</f>
        <v>11000</v>
      </c>
      <c r="N42" s="4">
        <f>IF(ISERROR(K42/I42),"",K42/I42)</f>
        <v>0.77551020408163263</v>
      </c>
      <c r="O42" s="91">
        <f>I42/E42</f>
        <v>1441.1764705882354</v>
      </c>
      <c r="P42" s="91">
        <f>K42/E42</f>
        <v>1117.6470588235295</v>
      </c>
      <c r="Q42" s="79">
        <v>3</v>
      </c>
      <c r="R42" s="79">
        <v>2</v>
      </c>
      <c r="S42" s="79" t="s">
        <v>62</v>
      </c>
      <c r="T42" s="5" t="s">
        <v>72</v>
      </c>
      <c r="U42" s="9"/>
    </row>
    <row r="43" spans="1:21" s="37" customFormat="1" ht="12" x14ac:dyDescent="0.3">
      <c r="A43" s="74" t="s">
        <v>1760</v>
      </c>
      <c r="B43" s="75" t="s">
        <v>1761</v>
      </c>
      <c r="C43" s="85">
        <v>648</v>
      </c>
      <c r="D43" s="86">
        <v>114.2</v>
      </c>
      <c r="E43" s="87">
        <v>35</v>
      </c>
      <c r="F43" s="86">
        <v>84.6</v>
      </c>
      <c r="G43" s="17">
        <v>26</v>
      </c>
      <c r="H43" s="88">
        <v>136</v>
      </c>
      <c r="I43" s="89">
        <v>49000</v>
      </c>
      <c r="J43" s="89" t="s">
        <v>83</v>
      </c>
      <c r="K43" s="89">
        <v>38000</v>
      </c>
      <c r="L43" s="89" t="s">
        <v>79</v>
      </c>
      <c r="M43" s="90">
        <f>I43-K43</f>
        <v>11000</v>
      </c>
      <c r="N43" s="4">
        <f>IF(ISERROR(K43/I43),"",K43/I43)</f>
        <v>0.77551020408163263</v>
      </c>
      <c r="O43" s="91">
        <f>I43/E43</f>
        <v>1400</v>
      </c>
      <c r="P43" s="91">
        <f>K43/E43</f>
        <v>1085.7142857142858</v>
      </c>
      <c r="Q43" s="79">
        <v>3</v>
      </c>
      <c r="R43" s="79">
        <v>2</v>
      </c>
      <c r="S43" s="79" t="s">
        <v>62</v>
      </c>
      <c r="T43" s="5">
        <v>114</v>
      </c>
      <c r="U43" s="9"/>
    </row>
    <row r="44" spans="1:21" s="37" customFormat="1" ht="12" x14ac:dyDescent="0.3">
      <c r="A44" s="74" t="s">
        <v>1610</v>
      </c>
      <c r="B44" s="75" t="s">
        <v>1784</v>
      </c>
      <c r="C44" s="85">
        <v>1495</v>
      </c>
      <c r="D44" s="86">
        <v>98.7</v>
      </c>
      <c r="E44" s="87">
        <v>30</v>
      </c>
      <c r="F44" s="86">
        <v>74.400000000000006</v>
      </c>
      <c r="G44" s="17">
        <v>22</v>
      </c>
      <c r="H44" s="88">
        <v>334</v>
      </c>
      <c r="I44" s="89">
        <v>49000</v>
      </c>
      <c r="J44" s="89" t="s">
        <v>97</v>
      </c>
      <c r="K44" s="89">
        <v>39000</v>
      </c>
      <c r="L44" s="89" t="s">
        <v>79</v>
      </c>
      <c r="M44" s="90">
        <f>I44-K44</f>
        <v>10000</v>
      </c>
      <c r="N44" s="4">
        <f>IF(ISERROR(K44/I44),"",K44/I44)</f>
        <v>0.79591836734693877</v>
      </c>
      <c r="O44" s="91">
        <f>I44/E44</f>
        <v>1633.3333333333333</v>
      </c>
      <c r="P44" s="91">
        <f>K44/E44</f>
        <v>1300</v>
      </c>
      <c r="Q44" s="79">
        <v>3</v>
      </c>
      <c r="R44" s="79">
        <v>2</v>
      </c>
      <c r="S44" s="79" t="s">
        <v>62</v>
      </c>
      <c r="T44" s="5">
        <v>98</v>
      </c>
      <c r="U44" s="9"/>
    </row>
    <row r="45" spans="1:21" s="37" customFormat="1" ht="12" x14ac:dyDescent="0.3">
      <c r="A45" s="74" t="s">
        <v>1595</v>
      </c>
      <c r="B45" s="75" t="s">
        <v>1770</v>
      </c>
      <c r="C45" s="85">
        <v>1222</v>
      </c>
      <c r="D45" s="86">
        <v>180.1</v>
      </c>
      <c r="E45" s="87">
        <v>54</v>
      </c>
      <c r="F45" s="86">
        <v>150.80000000000001</v>
      </c>
      <c r="G45" s="17">
        <v>46</v>
      </c>
      <c r="H45" s="88">
        <v>74</v>
      </c>
      <c r="I45" s="89">
        <v>48000</v>
      </c>
      <c r="J45" s="89" t="s">
        <v>64</v>
      </c>
      <c r="K45" s="89"/>
      <c r="L45" s="89"/>
      <c r="M45" s="90">
        <f>I45-K45</f>
        <v>48000</v>
      </c>
      <c r="N45" s="4">
        <f>IF(ISERROR(K45/I45),"",K45/I45)</f>
        <v>0</v>
      </c>
      <c r="O45" s="91">
        <f>I45/E45</f>
        <v>888.88888888888891</v>
      </c>
      <c r="P45" s="91">
        <f>K45/E45</f>
        <v>0</v>
      </c>
      <c r="Q45" s="79">
        <v>4</v>
      </c>
      <c r="R45" s="79">
        <v>2</v>
      </c>
      <c r="S45" s="79" t="s">
        <v>62</v>
      </c>
      <c r="T45" s="5">
        <v>180</v>
      </c>
      <c r="U45" s="9"/>
    </row>
    <row r="46" spans="1:21" s="37" customFormat="1" ht="12" x14ac:dyDescent="0.3">
      <c r="A46" s="74" t="s">
        <v>1636</v>
      </c>
      <c r="B46" s="75" t="s">
        <v>1637</v>
      </c>
      <c r="C46" s="85">
        <v>671</v>
      </c>
      <c r="D46" s="86">
        <v>116.4</v>
      </c>
      <c r="E46" s="87">
        <v>35</v>
      </c>
      <c r="F46" s="86">
        <v>84.9</v>
      </c>
      <c r="G46" s="17">
        <v>26</v>
      </c>
      <c r="H46" s="88">
        <v>342</v>
      </c>
      <c r="I46" s="89">
        <v>48000</v>
      </c>
      <c r="J46" s="89" t="s">
        <v>89</v>
      </c>
      <c r="K46" s="89">
        <v>35000</v>
      </c>
      <c r="L46" s="89" t="s">
        <v>71</v>
      </c>
      <c r="M46" s="90">
        <f>I46-K46</f>
        <v>13000</v>
      </c>
      <c r="N46" s="4">
        <f>IF(ISERROR(K46/I46),"",K46/I46)</f>
        <v>0.72916666666666663</v>
      </c>
      <c r="O46" s="91">
        <f>I46/E46</f>
        <v>1371.4285714285713</v>
      </c>
      <c r="P46" s="91">
        <f>K46/E46</f>
        <v>1000</v>
      </c>
      <c r="Q46" s="79">
        <v>3</v>
      </c>
      <c r="R46" s="79">
        <v>2</v>
      </c>
      <c r="S46" s="79" t="s">
        <v>62</v>
      </c>
      <c r="T46" s="5">
        <v>116</v>
      </c>
      <c r="U46" s="9"/>
    </row>
    <row r="47" spans="1:21" s="37" customFormat="1" ht="12" x14ac:dyDescent="0.3">
      <c r="A47" s="74" t="s">
        <v>1618</v>
      </c>
      <c r="B47" s="75" t="s">
        <v>1793</v>
      </c>
      <c r="C47" s="85">
        <v>1034</v>
      </c>
      <c r="D47" s="86">
        <v>98.5</v>
      </c>
      <c r="E47" s="87">
        <v>30</v>
      </c>
      <c r="F47" s="86">
        <v>73.900000000000006</v>
      </c>
      <c r="G47" s="17">
        <v>22</v>
      </c>
      <c r="H47" s="88">
        <v>129</v>
      </c>
      <c r="I47" s="89">
        <v>47500</v>
      </c>
      <c r="J47" s="89" t="s">
        <v>92</v>
      </c>
      <c r="K47" s="89">
        <v>33000</v>
      </c>
      <c r="L47" s="89" t="s">
        <v>71</v>
      </c>
      <c r="M47" s="90">
        <f>I47-K47</f>
        <v>14500</v>
      </c>
      <c r="N47" s="4">
        <f>IF(ISERROR(K47/I47),"",K47/I47)</f>
        <v>0.69473684210526321</v>
      </c>
      <c r="O47" s="91">
        <f>I47/E47</f>
        <v>1583.3333333333333</v>
      </c>
      <c r="P47" s="91">
        <f>K47/E47</f>
        <v>1100</v>
      </c>
      <c r="Q47" s="79">
        <v>3</v>
      </c>
      <c r="R47" s="79">
        <v>2</v>
      </c>
      <c r="S47" s="79" t="s">
        <v>62</v>
      </c>
      <c r="T47" s="5">
        <v>98</v>
      </c>
      <c r="U47" s="9"/>
    </row>
    <row r="48" spans="1:21" s="37" customFormat="1" ht="12" x14ac:dyDescent="0.3">
      <c r="A48" s="74" t="s">
        <v>1652</v>
      </c>
      <c r="B48" s="75" t="s">
        <v>1653</v>
      </c>
      <c r="C48" s="85">
        <v>575</v>
      </c>
      <c r="D48" s="86">
        <v>156.6</v>
      </c>
      <c r="E48" s="87">
        <v>47</v>
      </c>
      <c r="F48" s="86">
        <v>125.1</v>
      </c>
      <c r="G48" s="17">
        <v>38</v>
      </c>
      <c r="H48" s="88">
        <v>150</v>
      </c>
      <c r="I48" s="89">
        <v>47000</v>
      </c>
      <c r="J48" s="89" t="s">
        <v>65</v>
      </c>
      <c r="K48" s="89">
        <v>43000</v>
      </c>
      <c r="L48" s="89" t="s">
        <v>69</v>
      </c>
      <c r="M48" s="90">
        <f>I48-K48</f>
        <v>4000</v>
      </c>
      <c r="N48" s="4">
        <f>IF(ISERROR(K48/I48),"",K48/I48)</f>
        <v>0.91489361702127658</v>
      </c>
      <c r="O48" s="91">
        <f>I48/E48</f>
        <v>1000</v>
      </c>
      <c r="P48" s="91">
        <f>K48/E48</f>
        <v>914.89361702127655</v>
      </c>
      <c r="Q48" s="79">
        <v>4</v>
      </c>
      <c r="R48" s="79">
        <v>2</v>
      </c>
      <c r="S48" s="79" t="s">
        <v>62</v>
      </c>
      <c r="T48" s="5">
        <v>156</v>
      </c>
      <c r="U48" s="9"/>
    </row>
    <row r="49" spans="1:21" s="37" customFormat="1" ht="12" x14ac:dyDescent="0.3">
      <c r="A49" s="74" t="s">
        <v>1674</v>
      </c>
      <c r="B49" s="75" t="s">
        <v>1675</v>
      </c>
      <c r="C49" s="85">
        <v>905</v>
      </c>
      <c r="D49" s="86">
        <v>79.3</v>
      </c>
      <c r="E49" s="87">
        <v>24</v>
      </c>
      <c r="F49" s="86">
        <v>59.8</v>
      </c>
      <c r="G49" s="17">
        <v>18</v>
      </c>
      <c r="H49" s="88">
        <v>240</v>
      </c>
      <c r="I49" s="89">
        <v>46000</v>
      </c>
      <c r="J49" s="89" t="s">
        <v>63</v>
      </c>
      <c r="K49" s="89">
        <v>33000</v>
      </c>
      <c r="L49" s="89" t="s">
        <v>193</v>
      </c>
      <c r="M49" s="90">
        <f>I49-K49</f>
        <v>13000</v>
      </c>
      <c r="N49" s="4">
        <f>IF(ISERROR(K49/I49),"",K49/I49)</f>
        <v>0.71739130434782605</v>
      </c>
      <c r="O49" s="91">
        <f>I49/E49</f>
        <v>1916.6666666666667</v>
      </c>
      <c r="P49" s="91">
        <f>K49/E49</f>
        <v>1375</v>
      </c>
      <c r="Q49" s="79">
        <v>3</v>
      </c>
      <c r="R49" s="79">
        <v>2</v>
      </c>
      <c r="S49" s="79" t="s">
        <v>62</v>
      </c>
      <c r="T49" s="5">
        <v>79</v>
      </c>
      <c r="U49" s="9"/>
    </row>
    <row r="50" spans="1:21" s="37" customFormat="1" ht="12" x14ac:dyDescent="0.3">
      <c r="A50" s="74" t="s">
        <v>1798</v>
      </c>
      <c r="B50" s="75" t="s">
        <v>1793</v>
      </c>
      <c r="C50" s="85">
        <v>424</v>
      </c>
      <c r="D50" s="86">
        <v>96.5</v>
      </c>
      <c r="E50" s="87">
        <v>29</v>
      </c>
      <c r="F50" s="86">
        <v>73.099999999999994</v>
      </c>
      <c r="G50" s="17">
        <v>22</v>
      </c>
      <c r="H50" s="88">
        <v>48</v>
      </c>
      <c r="I50" s="89">
        <v>45000</v>
      </c>
      <c r="J50" s="89" t="s">
        <v>89</v>
      </c>
      <c r="K50" s="89">
        <v>28000</v>
      </c>
      <c r="L50" s="89" t="s">
        <v>89</v>
      </c>
      <c r="M50" s="90">
        <f>I50-K50</f>
        <v>17000</v>
      </c>
      <c r="N50" s="4">
        <f>IF(ISERROR(K50/I50),"",K50/I50)</f>
        <v>0.62222222222222223</v>
      </c>
      <c r="O50" s="91">
        <f>I50/E50</f>
        <v>1551.7241379310344</v>
      </c>
      <c r="P50" s="91">
        <f>K50/E50</f>
        <v>965.51724137931035</v>
      </c>
      <c r="Q50" s="79">
        <v>3</v>
      </c>
      <c r="R50" s="79">
        <v>2</v>
      </c>
      <c r="S50" s="79" t="s">
        <v>62</v>
      </c>
      <c r="T50" s="5">
        <v>96</v>
      </c>
      <c r="U50" s="9"/>
    </row>
    <row r="51" spans="1:21" s="37" customFormat="1" ht="12" x14ac:dyDescent="0.3">
      <c r="A51" s="74" t="s">
        <v>1652</v>
      </c>
      <c r="B51" s="75" t="s">
        <v>1653</v>
      </c>
      <c r="C51" s="85">
        <v>575</v>
      </c>
      <c r="D51" s="86">
        <v>131.1</v>
      </c>
      <c r="E51" s="87">
        <v>40</v>
      </c>
      <c r="F51" s="86">
        <v>104</v>
      </c>
      <c r="G51" s="17">
        <v>31</v>
      </c>
      <c r="H51" s="88">
        <v>232</v>
      </c>
      <c r="I51" s="89">
        <v>43000</v>
      </c>
      <c r="J51" s="89" t="s">
        <v>71</v>
      </c>
      <c r="K51" s="89"/>
      <c r="L51" s="89"/>
      <c r="M51" s="90">
        <f>I51-K51</f>
        <v>43000</v>
      </c>
      <c r="N51" s="4">
        <f>IF(ISERROR(K51/I51),"",K51/I51)</f>
        <v>0</v>
      </c>
      <c r="O51" s="91">
        <f>I51/E51</f>
        <v>1075</v>
      </c>
      <c r="P51" s="91">
        <f>K51/E51</f>
        <v>0</v>
      </c>
      <c r="Q51" s="79">
        <v>3</v>
      </c>
      <c r="R51" s="79">
        <v>2</v>
      </c>
      <c r="S51" s="79" t="s">
        <v>62</v>
      </c>
      <c r="T51" s="5" t="s">
        <v>85</v>
      </c>
      <c r="U51" s="9"/>
    </row>
    <row r="52" spans="1:21" s="37" customFormat="1" ht="12" x14ac:dyDescent="0.3">
      <c r="A52" s="74" t="s">
        <v>1614</v>
      </c>
      <c r="B52" s="75" t="s">
        <v>1790</v>
      </c>
      <c r="C52" s="85">
        <v>480</v>
      </c>
      <c r="D52" s="86">
        <v>165.1</v>
      </c>
      <c r="E52" s="87">
        <v>50</v>
      </c>
      <c r="F52" s="86">
        <v>133.9</v>
      </c>
      <c r="G52" s="17">
        <v>40</v>
      </c>
      <c r="H52" s="88">
        <v>120</v>
      </c>
      <c r="I52" s="89">
        <v>43000</v>
      </c>
      <c r="J52" s="89" t="s">
        <v>71</v>
      </c>
      <c r="K52" s="89"/>
      <c r="L52" s="89"/>
      <c r="M52" s="90">
        <f>I52-K52</f>
        <v>43000</v>
      </c>
      <c r="N52" s="4">
        <f>IF(ISERROR(K52/I52),"",K52/I52)</f>
        <v>0</v>
      </c>
      <c r="O52" s="91">
        <f>I52/E52</f>
        <v>860</v>
      </c>
      <c r="P52" s="91">
        <f>K52/E52</f>
        <v>0</v>
      </c>
      <c r="Q52" s="79">
        <v>4</v>
      </c>
      <c r="R52" s="79">
        <v>2</v>
      </c>
      <c r="S52" s="79" t="s">
        <v>62</v>
      </c>
      <c r="T52" s="5">
        <v>165</v>
      </c>
      <c r="U52" s="9"/>
    </row>
    <row r="53" spans="1:21" s="37" customFormat="1" ht="12" x14ac:dyDescent="0.3">
      <c r="A53" s="74" t="s">
        <v>1796</v>
      </c>
      <c r="B53" s="75" t="s">
        <v>1571</v>
      </c>
      <c r="C53" s="85">
        <v>427</v>
      </c>
      <c r="D53" s="86">
        <v>96.3</v>
      </c>
      <c r="E53" s="87">
        <v>29</v>
      </c>
      <c r="F53" s="86">
        <v>73.099999999999994</v>
      </c>
      <c r="G53" s="17">
        <v>22</v>
      </c>
      <c r="H53" s="88">
        <v>44</v>
      </c>
      <c r="I53" s="89">
        <v>43000</v>
      </c>
      <c r="J53" s="89" t="s">
        <v>182</v>
      </c>
      <c r="K53" s="89">
        <v>30000</v>
      </c>
      <c r="L53" s="89" t="s">
        <v>89</v>
      </c>
      <c r="M53" s="90">
        <f>I53-K53</f>
        <v>13000</v>
      </c>
      <c r="N53" s="4">
        <f>IF(ISERROR(K53/I53),"",K53/I53)</f>
        <v>0.69767441860465118</v>
      </c>
      <c r="O53" s="91">
        <f>I53/E53</f>
        <v>1482.7586206896551</v>
      </c>
      <c r="P53" s="91">
        <f>K53/E53</f>
        <v>1034.4827586206898</v>
      </c>
      <c r="Q53" s="79">
        <v>3</v>
      </c>
      <c r="R53" s="79">
        <v>2</v>
      </c>
      <c r="S53" s="79" t="s">
        <v>62</v>
      </c>
      <c r="T53" s="5">
        <v>96</v>
      </c>
      <c r="U53" s="9"/>
    </row>
    <row r="54" spans="1:21" s="37" customFormat="1" ht="12" x14ac:dyDescent="0.3">
      <c r="A54" s="74" t="s">
        <v>1687</v>
      </c>
      <c r="B54" s="75" t="s">
        <v>1486</v>
      </c>
      <c r="C54" s="85">
        <v>459</v>
      </c>
      <c r="D54" s="86">
        <v>112.7</v>
      </c>
      <c r="E54" s="87">
        <v>34</v>
      </c>
      <c r="F54" s="86">
        <v>85</v>
      </c>
      <c r="G54" s="17">
        <v>26</v>
      </c>
      <c r="H54" s="88">
        <v>259</v>
      </c>
      <c r="I54" s="89">
        <v>42500</v>
      </c>
      <c r="J54" s="89" t="s">
        <v>92</v>
      </c>
      <c r="K54" s="89"/>
      <c r="L54" s="89"/>
      <c r="M54" s="90">
        <f>I54-K54</f>
        <v>42500</v>
      </c>
      <c r="N54" s="4">
        <f>IF(ISERROR(K54/I54),"",K54/I54)</f>
        <v>0</v>
      </c>
      <c r="O54" s="91">
        <f>I54/E54</f>
        <v>1250</v>
      </c>
      <c r="P54" s="91">
        <f>K54/E54</f>
        <v>0</v>
      </c>
      <c r="Q54" s="79">
        <v>3</v>
      </c>
      <c r="R54" s="79">
        <v>2</v>
      </c>
      <c r="S54" s="79" t="s">
        <v>62</v>
      </c>
      <c r="T54" s="5" t="s">
        <v>106</v>
      </c>
      <c r="U54" s="9"/>
    </row>
    <row r="55" spans="1:21" s="37" customFormat="1" ht="12" x14ac:dyDescent="0.3">
      <c r="A55" s="74" t="s">
        <v>1769</v>
      </c>
      <c r="B55" s="75" t="s">
        <v>1767</v>
      </c>
      <c r="C55" s="85">
        <v>1222</v>
      </c>
      <c r="D55" s="86">
        <v>151</v>
      </c>
      <c r="E55" s="87">
        <v>46</v>
      </c>
      <c r="F55" s="86">
        <v>127.6</v>
      </c>
      <c r="G55" s="17">
        <v>39</v>
      </c>
      <c r="H55" s="88">
        <v>104</v>
      </c>
      <c r="I55" s="89">
        <v>42000</v>
      </c>
      <c r="J55" s="89" t="s">
        <v>83</v>
      </c>
      <c r="K55" s="89"/>
      <c r="L55" s="89"/>
      <c r="M55" s="90">
        <f>I55-K55</f>
        <v>42000</v>
      </c>
      <c r="N55" s="4">
        <f>IF(ISERROR(K55/I55),"",K55/I55)</f>
        <v>0</v>
      </c>
      <c r="O55" s="91">
        <f>I55/E55</f>
        <v>913.04347826086962</v>
      </c>
      <c r="P55" s="91">
        <f>K55/E55</f>
        <v>0</v>
      </c>
      <c r="Q55" s="79">
        <v>4</v>
      </c>
      <c r="R55" s="79">
        <v>2</v>
      </c>
      <c r="S55" s="79" t="s">
        <v>62</v>
      </c>
      <c r="T55" s="5">
        <v>150</v>
      </c>
      <c r="U55" s="9"/>
    </row>
    <row r="56" spans="1:21" s="37" customFormat="1" ht="12" x14ac:dyDescent="0.3">
      <c r="A56" s="74" t="s">
        <v>1606</v>
      </c>
      <c r="B56" s="75" t="s">
        <v>1607</v>
      </c>
      <c r="C56" s="85">
        <v>540</v>
      </c>
      <c r="D56" s="86">
        <v>131.69999999999999</v>
      </c>
      <c r="E56" s="87">
        <v>40</v>
      </c>
      <c r="F56" s="86">
        <v>106.7</v>
      </c>
      <c r="G56" s="17">
        <v>32</v>
      </c>
      <c r="H56" s="88">
        <v>85</v>
      </c>
      <c r="I56" s="89">
        <v>42000</v>
      </c>
      <c r="J56" s="89" t="s">
        <v>79</v>
      </c>
      <c r="K56" s="89"/>
      <c r="L56" s="89"/>
      <c r="M56" s="90">
        <f>I56-K56</f>
        <v>42000</v>
      </c>
      <c r="N56" s="4">
        <f>IF(ISERROR(K56/I56),"",K56/I56)</f>
        <v>0</v>
      </c>
      <c r="O56" s="91">
        <f>I56/E56</f>
        <v>1050</v>
      </c>
      <c r="P56" s="91">
        <f>K56/E56</f>
        <v>0</v>
      </c>
      <c r="Q56" s="79">
        <v>3</v>
      </c>
      <c r="R56" s="79">
        <v>2</v>
      </c>
      <c r="S56" s="79" t="s">
        <v>62</v>
      </c>
      <c r="T56" s="5" t="s">
        <v>179</v>
      </c>
      <c r="U56" s="9"/>
    </row>
    <row r="57" spans="1:21" s="37" customFormat="1" ht="12" x14ac:dyDescent="0.3">
      <c r="A57" s="74" t="s">
        <v>1782</v>
      </c>
      <c r="B57" s="75" t="s">
        <v>1783</v>
      </c>
      <c r="C57" s="85">
        <v>418</v>
      </c>
      <c r="D57" s="86">
        <v>112.7</v>
      </c>
      <c r="E57" s="87">
        <v>34</v>
      </c>
      <c r="F57" s="86">
        <v>85</v>
      </c>
      <c r="G57" s="17">
        <v>26</v>
      </c>
      <c r="H57" s="88">
        <v>289</v>
      </c>
      <c r="I57" s="89">
        <v>42000</v>
      </c>
      <c r="J57" s="89" t="s">
        <v>89</v>
      </c>
      <c r="K57" s="89">
        <v>34000</v>
      </c>
      <c r="L57" s="89" t="s">
        <v>89</v>
      </c>
      <c r="M57" s="90">
        <f>I57-K57</f>
        <v>8000</v>
      </c>
      <c r="N57" s="4">
        <f>IF(ISERROR(K57/I57),"",K57/I57)</f>
        <v>0.80952380952380953</v>
      </c>
      <c r="O57" s="91">
        <f>I57/E57</f>
        <v>1235.2941176470588</v>
      </c>
      <c r="P57" s="91">
        <f>K57/E57</f>
        <v>1000</v>
      </c>
      <c r="Q57" s="79">
        <v>4</v>
      </c>
      <c r="R57" s="79">
        <v>2</v>
      </c>
      <c r="S57" s="79" t="s">
        <v>62</v>
      </c>
      <c r="T57" s="5" t="s">
        <v>106</v>
      </c>
      <c r="U57" s="9"/>
    </row>
    <row r="58" spans="1:21" s="37" customFormat="1" ht="12" x14ac:dyDescent="0.3">
      <c r="A58" s="74" t="s">
        <v>1695</v>
      </c>
      <c r="B58" s="75" t="s">
        <v>1688</v>
      </c>
      <c r="C58" s="85">
        <v>416</v>
      </c>
      <c r="D58" s="86">
        <v>112.6</v>
      </c>
      <c r="E58" s="87">
        <v>34</v>
      </c>
      <c r="F58" s="86">
        <v>85</v>
      </c>
      <c r="G58" s="17">
        <v>26</v>
      </c>
      <c r="H58" s="88">
        <v>193</v>
      </c>
      <c r="I58" s="89">
        <v>42000</v>
      </c>
      <c r="J58" s="89" t="s">
        <v>70</v>
      </c>
      <c r="K58" s="89">
        <v>36000</v>
      </c>
      <c r="L58" s="89" t="s">
        <v>102</v>
      </c>
      <c r="M58" s="90">
        <f>I58-K58</f>
        <v>6000</v>
      </c>
      <c r="N58" s="4">
        <f>IF(ISERROR(K58/I58),"",K58/I58)</f>
        <v>0.8571428571428571</v>
      </c>
      <c r="O58" s="91">
        <f>I58/E58</f>
        <v>1235.2941176470588</v>
      </c>
      <c r="P58" s="91">
        <f>K58/E58</f>
        <v>1058.8235294117646</v>
      </c>
      <c r="Q58" s="79">
        <v>3</v>
      </c>
      <c r="R58" s="79">
        <v>2</v>
      </c>
      <c r="S58" s="79" t="s">
        <v>62</v>
      </c>
      <c r="T58" s="5" t="s">
        <v>106</v>
      </c>
      <c r="U58" s="9"/>
    </row>
    <row r="59" spans="1:21" s="37" customFormat="1" ht="12" x14ac:dyDescent="0.3">
      <c r="A59" s="74" t="s">
        <v>1733</v>
      </c>
      <c r="B59" s="75" t="s">
        <v>1734</v>
      </c>
      <c r="C59" s="85">
        <v>356</v>
      </c>
      <c r="D59" s="86">
        <v>85.9</v>
      </c>
      <c r="E59" s="87">
        <v>26</v>
      </c>
      <c r="F59" s="86">
        <v>59.9</v>
      </c>
      <c r="G59" s="17">
        <v>18</v>
      </c>
      <c r="H59" s="88">
        <v>92</v>
      </c>
      <c r="I59" s="89">
        <v>40500</v>
      </c>
      <c r="J59" s="89" t="s">
        <v>81</v>
      </c>
      <c r="K59" s="89">
        <v>32000</v>
      </c>
      <c r="L59" s="89" t="s">
        <v>81</v>
      </c>
      <c r="M59" s="90">
        <f>I59-K59</f>
        <v>8500</v>
      </c>
      <c r="N59" s="4">
        <f>IF(ISERROR(K59/I59),"",K59/I59)</f>
        <v>0.79012345679012341</v>
      </c>
      <c r="O59" s="91">
        <f>I59/E59</f>
        <v>1557.6923076923076</v>
      </c>
      <c r="P59" s="91">
        <f>K59/E59</f>
        <v>1230.7692307692307</v>
      </c>
      <c r="Q59" s="79">
        <v>3</v>
      </c>
      <c r="R59" s="79">
        <v>2</v>
      </c>
      <c r="S59" s="79" t="s">
        <v>62</v>
      </c>
      <c r="T59" s="5">
        <v>85</v>
      </c>
      <c r="U59" s="9"/>
    </row>
    <row r="60" spans="1:21" s="37" customFormat="1" ht="12" x14ac:dyDescent="0.3">
      <c r="A60" s="74" t="s">
        <v>1610</v>
      </c>
      <c r="B60" s="75" t="s">
        <v>1784</v>
      </c>
      <c r="C60" s="85">
        <v>1495</v>
      </c>
      <c r="D60" s="86">
        <v>82.2</v>
      </c>
      <c r="E60" s="87">
        <v>25</v>
      </c>
      <c r="F60" s="86">
        <v>59.9</v>
      </c>
      <c r="G60" s="17">
        <v>18</v>
      </c>
      <c r="H60" s="88">
        <v>159</v>
      </c>
      <c r="I60" s="89">
        <v>40500</v>
      </c>
      <c r="J60" s="89" t="s">
        <v>83</v>
      </c>
      <c r="K60" s="89">
        <v>34000</v>
      </c>
      <c r="L60" s="89" t="s">
        <v>102</v>
      </c>
      <c r="M60" s="90">
        <f>I60-K60</f>
        <v>6500</v>
      </c>
      <c r="N60" s="4">
        <f>IF(ISERROR(K60/I60),"",K60/I60)</f>
        <v>0.83950617283950613</v>
      </c>
      <c r="O60" s="91">
        <f>I60/E60</f>
        <v>1620</v>
      </c>
      <c r="P60" s="91">
        <f>K60/E60</f>
        <v>1360</v>
      </c>
      <c r="Q60" s="79">
        <v>3</v>
      </c>
      <c r="R60" s="79">
        <v>2</v>
      </c>
      <c r="S60" s="79" t="s">
        <v>62</v>
      </c>
      <c r="T60" s="5">
        <v>82</v>
      </c>
      <c r="U60" s="9"/>
    </row>
    <row r="61" spans="1:21" s="37" customFormat="1" ht="12" x14ac:dyDescent="0.3">
      <c r="A61" s="74" t="s">
        <v>1769</v>
      </c>
      <c r="B61" s="75" t="s">
        <v>1596</v>
      </c>
      <c r="C61" s="85">
        <v>1222</v>
      </c>
      <c r="D61" s="86">
        <v>134.30000000000001</v>
      </c>
      <c r="E61" s="87">
        <v>41</v>
      </c>
      <c r="F61" s="86">
        <v>112.6</v>
      </c>
      <c r="G61" s="17">
        <v>34</v>
      </c>
      <c r="H61" s="88">
        <v>90</v>
      </c>
      <c r="I61" s="89">
        <v>38000</v>
      </c>
      <c r="J61" s="89" t="s">
        <v>79</v>
      </c>
      <c r="K61" s="89"/>
      <c r="L61" s="89"/>
      <c r="M61" s="90">
        <f>I61-K61</f>
        <v>38000</v>
      </c>
      <c r="N61" s="4">
        <f>IF(ISERROR(K61/I61),"",K61/I61)</f>
        <v>0</v>
      </c>
      <c r="O61" s="91">
        <f>I61/E61</f>
        <v>926.82926829268297</v>
      </c>
      <c r="P61" s="91">
        <f>K61/E61</f>
        <v>0</v>
      </c>
      <c r="Q61" s="79">
        <v>4</v>
      </c>
      <c r="R61" s="79">
        <v>2</v>
      </c>
      <c r="S61" s="79" t="s">
        <v>62</v>
      </c>
      <c r="T61" s="5">
        <v>134</v>
      </c>
      <c r="U61" s="9"/>
    </row>
    <row r="62" spans="1:21" s="37" customFormat="1" ht="12" x14ac:dyDescent="0.3">
      <c r="A62" s="74" t="s">
        <v>1614</v>
      </c>
      <c r="B62" s="75" t="s">
        <v>1615</v>
      </c>
      <c r="C62" s="85">
        <v>480</v>
      </c>
      <c r="D62" s="86">
        <v>132.1</v>
      </c>
      <c r="E62" s="87">
        <v>40</v>
      </c>
      <c r="F62" s="86">
        <v>99.8</v>
      </c>
      <c r="G62" s="17">
        <v>30</v>
      </c>
      <c r="H62" s="88">
        <v>150</v>
      </c>
      <c r="I62" s="89">
        <v>38000</v>
      </c>
      <c r="J62" s="89" t="s">
        <v>75</v>
      </c>
      <c r="K62" s="89">
        <v>35000</v>
      </c>
      <c r="L62" s="89" t="s">
        <v>75</v>
      </c>
      <c r="M62" s="90">
        <f>I62-K62</f>
        <v>3000</v>
      </c>
      <c r="N62" s="4">
        <f>IF(ISERROR(K62/I62),"",K62/I62)</f>
        <v>0.92105263157894735</v>
      </c>
      <c r="O62" s="91">
        <f>I62/E62</f>
        <v>950</v>
      </c>
      <c r="P62" s="91">
        <f>K62/E62</f>
        <v>875</v>
      </c>
      <c r="Q62" s="79">
        <v>3</v>
      </c>
      <c r="R62" s="79">
        <v>2</v>
      </c>
      <c r="S62" s="79" t="s">
        <v>62</v>
      </c>
      <c r="T62" s="5">
        <v>132</v>
      </c>
      <c r="U62" s="9"/>
    </row>
    <row r="63" spans="1:21" s="37" customFormat="1" ht="12" x14ac:dyDescent="0.3">
      <c r="A63" s="74" t="s">
        <v>1803</v>
      </c>
      <c r="B63" s="75" t="s">
        <v>1804</v>
      </c>
      <c r="C63" s="85">
        <v>427</v>
      </c>
      <c r="D63" s="86">
        <v>162.19999999999999</v>
      </c>
      <c r="E63" s="87">
        <v>49</v>
      </c>
      <c r="F63" s="86">
        <v>132.30000000000001</v>
      </c>
      <c r="G63" s="17">
        <v>40</v>
      </c>
      <c r="H63" s="88">
        <v>170</v>
      </c>
      <c r="I63" s="89">
        <v>37000</v>
      </c>
      <c r="J63" s="89" t="s">
        <v>89</v>
      </c>
      <c r="K63" s="89"/>
      <c r="L63" s="89"/>
      <c r="M63" s="90">
        <f>I63-K63</f>
        <v>37000</v>
      </c>
      <c r="N63" s="4">
        <f>IF(ISERROR(K63/I63),"",K63/I63)</f>
        <v>0</v>
      </c>
      <c r="O63" s="91">
        <f>I63/E63</f>
        <v>755.10204081632651</v>
      </c>
      <c r="P63" s="91">
        <f>K63/E63</f>
        <v>0</v>
      </c>
      <c r="Q63" s="79">
        <v>4</v>
      </c>
      <c r="R63" s="79">
        <v>2</v>
      </c>
      <c r="S63" s="79" t="s">
        <v>62</v>
      </c>
      <c r="T63" s="5">
        <v>162</v>
      </c>
      <c r="U63" s="9"/>
    </row>
    <row r="64" spans="1:21" s="37" customFormat="1" ht="12" x14ac:dyDescent="0.3">
      <c r="A64" s="74" t="s">
        <v>1693</v>
      </c>
      <c r="B64" s="75" t="s">
        <v>1694</v>
      </c>
      <c r="C64" s="85">
        <v>320</v>
      </c>
      <c r="D64" s="86">
        <v>145</v>
      </c>
      <c r="E64" s="87">
        <v>44</v>
      </c>
      <c r="F64" s="86">
        <v>117.4</v>
      </c>
      <c r="G64" s="17">
        <v>36</v>
      </c>
      <c r="H64" s="88">
        <v>120</v>
      </c>
      <c r="I64" s="89">
        <v>36500</v>
      </c>
      <c r="J64" s="89" t="s">
        <v>64</v>
      </c>
      <c r="K64" s="89">
        <v>35000</v>
      </c>
      <c r="L64" s="89" t="s">
        <v>92</v>
      </c>
      <c r="M64" s="90">
        <f>I64-K64</f>
        <v>1500</v>
      </c>
      <c r="N64" s="4">
        <f>IF(ISERROR(K64/I64),"",K64/I64)</f>
        <v>0.95890410958904104</v>
      </c>
      <c r="O64" s="91">
        <f>I64/E64</f>
        <v>829.5454545454545</v>
      </c>
      <c r="P64" s="91">
        <f>K64/E64</f>
        <v>795.4545454545455</v>
      </c>
      <c r="Q64" s="79">
        <v>4</v>
      </c>
      <c r="R64" s="79">
        <v>3</v>
      </c>
      <c r="S64" s="79" t="s">
        <v>62</v>
      </c>
      <c r="T64" s="5">
        <v>145</v>
      </c>
      <c r="U64" s="9"/>
    </row>
    <row r="65" spans="1:21" s="37" customFormat="1" ht="12" x14ac:dyDescent="0.3">
      <c r="A65" s="74" t="s">
        <v>1689</v>
      </c>
      <c r="B65" s="75" t="s">
        <v>1690</v>
      </c>
      <c r="C65" s="85">
        <v>320</v>
      </c>
      <c r="D65" s="86">
        <v>156.5</v>
      </c>
      <c r="E65" s="87">
        <v>47</v>
      </c>
      <c r="F65" s="86">
        <v>134.9</v>
      </c>
      <c r="G65" s="17">
        <v>41</v>
      </c>
      <c r="H65" s="88">
        <v>172</v>
      </c>
      <c r="I65" s="89">
        <v>36000</v>
      </c>
      <c r="J65" s="89" t="s">
        <v>97</v>
      </c>
      <c r="K65" s="89"/>
      <c r="L65" s="89"/>
      <c r="M65" s="90">
        <f>I65-K65</f>
        <v>36000</v>
      </c>
      <c r="N65" s="4">
        <f>IF(ISERROR(K65/I65),"",K65/I65)</f>
        <v>0</v>
      </c>
      <c r="O65" s="91">
        <f>I65/E65</f>
        <v>765.95744680851067</v>
      </c>
      <c r="P65" s="91">
        <f>K65/E65</f>
        <v>0</v>
      </c>
      <c r="Q65" s="79">
        <v>4</v>
      </c>
      <c r="R65" s="79">
        <v>2</v>
      </c>
      <c r="S65" s="79" t="s">
        <v>62</v>
      </c>
      <c r="T65" s="5">
        <v>156</v>
      </c>
      <c r="U65" s="9"/>
    </row>
    <row r="66" spans="1:21" s="37" customFormat="1" ht="12" x14ac:dyDescent="0.3">
      <c r="A66" s="74" t="s">
        <v>1606</v>
      </c>
      <c r="B66" s="75" t="s">
        <v>1780</v>
      </c>
      <c r="C66" s="85">
        <v>540</v>
      </c>
      <c r="D66" s="86">
        <v>114.9</v>
      </c>
      <c r="E66" s="87">
        <v>35</v>
      </c>
      <c r="F66" s="86">
        <v>85</v>
      </c>
      <c r="G66" s="17">
        <v>26</v>
      </c>
      <c r="H66" s="88">
        <v>176</v>
      </c>
      <c r="I66" s="89">
        <v>36000</v>
      </c>
      <c r="J66" s="89" t="s">
        <v>97</v>
      </c>
      <c r="K66" s="89"/>
      <c r="L66" s="89"/>
      <c r="M66" s="90">
        <f>I66-K66</f>
        <v>36000</v>
      </c>
      <c r="N66" s="4">
        <f>IF(ISERROR(K66/I66),"",K66/I66)</f>
        <v>0</v>
      </c>
      <c r="O66" s="91">
        <f>I66/E66</f>
        <v>1028.5714285714287</v>
      </c>
      <c r="P66" s="91">
        <f>K66/E66</f>
        <v>0</v>
      </c>
      <c r="Q66" s="79">
        <v>3</v>
      </c>
      <c r="R66" s="79">
        <v>2</v>
      </c>
      <c r="S66" s="79" t="s">
        <v>62</v>
      </c>
      <c r="T66" s="5">
        <v>114</v>
      </c>
      <c r="U66" s="9"/>
    </row>
    <row r="67" spans="1:21" s="37" customFormat="1" ht="12" x14ac:dyDescent="0.3">
      <c r="A67" s="74" t="s">
        <v>1614</v>
      </c>
      <c r="B67" s="75" t="s">
        <v>1615</v>
      </c>
      <c r="C67" s="85">
        <v>480</v>
      </c>
      <c r="D67" s="86">
        <v>116.8</v>
      </c>
      <c r="E67" s="87">
        <v>35</v>
      </c>
      <c r="F67" s="86">
        <v>85</v>
      </c>
      <c r="G67" s="17">
        <v>26</v>
      </c>
      <c r="H67" s="88">
        <v>150</v>
      </c>
      <c r="I67" s="89">
        <v>36000</v>
      </c>
      <c r="J67" s="89" t="s">
        <v>89</v>
      </c>
      <c r="K67" s="89">
        <v>30000</v>
      </c>
      <c r="L67" s="89" t="s">
        <v>70</v>
      </c>
      <c r="M67" s="90">
        <f>I67-K67</f>
        <v>6000</v>
      </c>
      <c r="N67" s="4">
        <f>IF(ISERROR(K67/I67),"",K67/I67)</f>
        <v>0.83333333333333337</v>
      </c>
      <c r="O67" s="91">
        <f>I67/E67</f>
        <v>1028.5714285714287</v>
      </c>
      <c r="P67" s="91">
        <f>K67/E67</f>
        <v>857.14285714285711</v>
      </c>
      <c r="Q67" s="79">
        <v>3</v>
      </c>
      <c r="R67" s="79">
        <v>2</v>
      </c>
      <c r="S67" s="79" t="s">
        <v>62</v>
      </c>
      <c r="T67" s="5">
        <v>116</v>
      </c>
      <c r="U67" s="9"/>
    </row>
    <row r="68" spans="1:21" s="37" customFormat="1" ht="12" x14ac:dyDescent="0.3">
      <c r="A68" s="74" t="s">
        <v>1722</v>
      </c>
      <c r="B68" s="75" t="s">
        <v>1724</v>
      </c>
      <c r="C68" s="85">
        <v>380</v>
      </c>
      <c r="D68" s="86">
        <v>161.1</v>
      </c>
      <c r="E68" s="87">
        <v>49</v>
      </c>
      <c r="F68" s="86">
        <v>134.19999999999999</v>
      </c>
      <c r="G68" s="17">
        <v>41</v>
      </c>
      <c r="H68" s="88">
        <v>90</v>
      </c>
      <c r="I68" s="89">
        <v>35000</v>
      </c>
      <c r="J68" s="89" t="s">
        <v>92</v>
      </c>
      <c r="K68" s="89"/>
      <c r="L68" s="89"/>
      <c r="M68" s="90">
        <f>I68-K68</f>
        <v>35000</v>
      </c>
      <c r="N68" s="4">
        <f>IF(ISERROR(K68/I68),"",K68/I68)</f>
        <v>0</v>
      </c>
      <c r="O68" s="91">
        <f>I68/E68</f>
        <v>714.28571428571433</v>
      </c>
      <c r="P68" s="91">
        <f>K68/E68</f>
        <v>0</v>
      </c>
      <c r="Q68" s="79">
        <v>4</v>
      </c>
      <c r="R68" s="79">
        <v>2</v>
      </c>
      <c r="S68" s="79" t="s">
        <v>62</v>
      </c>
      <c r="T68" s="5">
        <v>161</v>
      </c>
      <c r="U68" s="9"/>
    </row>
    <row r="69" spans="1:21" s="37" customFormat="1" ht="12" x14ac:dyDescent="0.3">
      <c r="A69" s="74" t="s">
        <v>1657</v>
      </c>
      <c r="B69" s="75" t="s">
        <v>1658</v>
      </c>
      <c r="C69" s="85">
        <v>321</v>
      </c>
      <c r="D69" s="86">
        <v>109.8</v>
      </c>
      <c r="E69" s="87">
        <v>33</v>
      </c>
      <c r="F69" s="86">
        <v>84.9</v>
      </c>
      <c r="G69" s="17">
        <v>26</v>
      </c>
      <c r="H69" s="88">
        <v>321</v>
      </c>
      <c r="I69" s="89">
        <v>34000</v>
      </c>
      <c r="J69" s="89" t="s">
        <v>88</v>
      </c>
      <c r="K69" s="89">
        <v>28000</v>
      </c>
      <c r="L69" s="89" t="s">
        <v>89</v>
      </c>
      <c r="M69" s="90">
        <f>I69-K69</f>
        <v>6000</v>
      </c>
      <c r="N69" s="4">
        <f>IF(ISERROR(K69/I69),"",K69/I69)</f>
        <v>0.82352941176470584</v>
      </c>
      <c r="O69" s="91">
        <f>I69/E69</f>
        <v>1030.3030303030303</v>
      </c>
      <c r="P69" s="91">
        <f>K69/E69</f>
        <v>848.4848484848485</v>
      </c>
      <c r="Q69" s="79">
        <v>3</v>
      </c>
      <c r="R69" s="79">
        <v>2</v>
      </c>
      <c r="S69" s="79" t="s">
        <v>62</v>
      </c>
      <c r="T69" s="5">
        <v>109</v>
      </c>
      <c r="U69" s="9"/>
    </row>
    <row r="70" spans="1:21" s="37" customFormat="1" ht="12" x14ac:dyDescent="0.3">
      <c r="A70" s="74" t="s">
        <v>1595</v>
      </c>
      <c r="B70" s="75" t="s">
        <v>1768</v>
      </c>
      <c r="C70" s="85">
        <v>1222</v>
      </c>
      <c r="D70" s="86">
        <v>129.30000000000001</v>
      </c>
      <c r="E70" s="87">
        <v>39</v>
      </c>
      <c r="F70" s="86">
        <v>106.1</v>
      </c>
      <c r="G70" s="17">
        <v>32</v>
      </c>
      <c r="H70" s="88">
        <v>330</v>
      </c>
      <c r="I70" s="89">
        <v>34000</v>
      </c>
      <c r="J70" s="89" t="s">
        <v>63</v>
      </c>
      <c r="K70" s="89">
        <v>29000</v>
      </c>
      <c r="L70" s="89" t="s">
        <v>79</v>
      </c>
      <c r="M70" s="90">
        <f>I70-K70</f>
        <v>5000</v>
      </c>
      <c r="N70" s="4">
        <f>IF(ISERROR(K70/I70),"",K70/I70)</f>
        <v>0.8529411764705882</v>
      </c>
      <c r="O70" s="91">
        <f>I70/E70</f>
        <v>871.79487179487182</v>
      </c>
      <c r="P70" s="91">
        <f>K70/E70</f>
        <v>743.58974358974353</v>
      </c>
      <c r="Q70" s="79">
        <v>3</v>
      </c>
      <c r="R70" s="79">
        <v>2</v>
      </c>
      <c r="S70" s="79" t="s">
        <v>62</v>
      </c>
      <c r="T70" s="5">
        <v>129</v>
      </c>
      <c r="U70" s="9"/>
    </row>
    <row r="71" spans="1:21" s="37" customFormat="1" ht="12" x14ac:dyDescent="0.3">
      <c r="A71" s="74" t="s">
        <v>1693</v>
      </c>
      <c r="B71" s="75" t="s">
        <v>1694</v>
      </c>
      <c r="C71" s="85">
        <v>320</v>
      </c>
      <c r="D71" s="86">
        <v>125.4</v>
      </c>
      <c r="E71" s="87">
        <v>38</v>
      </c>
      <c r="F71" s="86">
        <v>100</v>
      </c>
      <c r="G71" s="17">
        <v>30</v>
      </c>
      <c r="H71" s="88">
        <v>170</v>
      </c>
      <c r="I71" s="89">
        <v>34000</v>
      </c>
      <c r="J71" s="89" t="s">
        <v>97</v>
      </c>
      <c r="K71" s="89">
        <v>30000</v>
      </c>
      <c r="L71" s="89" t="s">
        <v>97</v>
      </c>
      <c r="M71" s="90">
        <f>I71-K71</f>
        <v>4000</v>
      </c>
      <c r="N71" s="4">
        <f>IF(ISERROR(K71/I71),"",K71/I71)</f>
        <v>0.88235294117647056</v>
      </c>
      <c r="O71" s="91">
        <f>I71/E71</f>
        <v>894.73684210526312</v>
      </c>
      <c r="P71" s="91">
        <f>K71/E71</f>
        <v>789.47368421052636</v>
      </c>
      <c r="Q71" s="79">
        <v>3</v>
      </c>
      <c r="R71" s="79">
        <v>2</v>
      </c>
      <c r="S71" s="79" t="s">
        <v>62</v>
      </c>
      <c r="T71" s="5">
        <v>125</v>
      </c>
      <c r="U71" s="9"/>
    </row>
    <row r="72" spans="1:21" s="37" customFormat="1" ht="12" x14ac:dyDescent="0.3">
      <c r="A72" s="74" t="s">
        <v>1666</v>
      </c>
      <c r="B72" s="75" t="s">
        <v>1460</v>
      </c>
      <c r="C72" s="85">
        <v>370</v>
      </c>
      <c r="D72" s="86">
        <v>110.6</v>
      </c>
      <c r="E72" s="87">
        <v>33</v>
      </c>
      <c r="F72" s="86">
        <v>84.9</v>
      </c>
      <c r="G72" s="17">
        <v>26</v>
      </c>
      <c r="H72" s="88">
        <v>340</v>
      </c>
      <c r="I72" s="89">
        <v>33500</v>
      </c>
      <c r="J72" s="89" t="s">
        <v>97</v>
      </c>
      <c r="K72" s="89">
        <v>29000</v>
      </c>
      <c r="L72" s="89" t="s">
        <v>88</v>
      </c>
      <c r="M72" s="90">
        <f>I72-K72</f>
        <v>4500</v>
      </c>
      <c r="N72" s="4">
        <f>IF(ISERROR(K72/I72),"",K72/I72)</f>
        <v>0.86567164179104472</v>
      </c>
      <c r="O72" s="91">
        <f>I72/E72</f>
        <v>1015.1515151515151</v>
      </c>
      <c r="P72" s="91">
        <f>K72/E72</f>
        <v>878.78787878787875</v>
      </c>
      <c r="Q72" s="79">
        <v>3</v>
      </c>
      <c r="R72" s="79">
        <v>2</v>
      </c>
      <c r="S72" s="79" t="s">
        <v>62</v>
      </c>
      <c r="T72" s="5">
        <v>110</v>
      </c>
      <c r="U72" s="9"/>
    </row>
    <row r="73" spans="1:21" s="37" customFormat="1" ht="12" x14ac:dyDescent="0.3">
      <c r="A73" s="74" t="s">
        <v>1582</v>
      </c>
      <c r="B73" s="75" t="s">
        <v>1583</v>
      </c>
      <c r="C73" s="85">
        <v>539</v>
      </c>
      <c r="D73" s="86">
        <v>112.9</v>
      </c>
      <c r="E73" s="87">
        <v>34</v>
      </c>
      <c r="F73" s="86">
        <v>84.9</v>
      </c>
      <c r="G73" s="17">
        <v>26</v>
      </c>
      <c r="H73" s="88">
        <v>337</v>
      </c>
      <c r="I73" s="89">
        <v>32000</v>
      </c>
      <c r="J73" s="89" t="s">
        <v>81</v>
      </c>
      <c r="K73" s="89"/>
      <c r="L73" s="89"/>
      <c r="M73" s="90">
        <f>I73-K73</f>
        <v>32000</v>
      </c>
      <c r="N73" s="4">
        <f>IF(ISERROR(K73/I73),"",K73/I73)</f>
        <v>0</v>
      </c>
      <c r="O73" s="91">
        <f>I73/E73</f>
        <v>941.17647058823525</v>
      </c>
      <c r="P73" s="91">
        <f>K73/E73</f>
        <v>0</v>
      </c>
      <c r="Q73" s="79">
        <v>3</v>
      </c>
      <c r="R73" s="79">
        <v>2</v>
      </c>
      <c r="S73" s="79" t="s">
        <v>62</v>
      </c>
      <c r="T73" s="5">
        <v>112</v>
      </c>
      <c r="U73" s="9"/>
    </row>
    <row r="74" spans="1:21" s="37" customFormat="1" ht="12" x14ac:dyDescent="0.3">
      <c r="A74" s="74" t="s">
        <v>1664</v>
      </c>
      <c r="B74" s="75" t="s">
        <v>1665</v>
      </c>
      <c r="C74" s="85">
        <v>370</v>
      </c>
      <c r="D74" s="86">
        <v>98</v>
      </c>
      <c r="E74" s="87">
        <v>30</v>
      </c>
      <c r="F74" s="86">
        <v>75.2</v>
      </c>
      <c r="G74" s="17">
        <v>23</v>
      </c>
      <c r="H74" s="88">
        <v>30</v>
      </c>
      <c r="I74" s="89">
        <v>31500</v>
      </c>
      <c r="J74" s="89" t="s">
        <v>81</v>
      </c>
      <c r="K74" s="89"/>
      <c r="L74" s="89"/>
      <c r="M74" s="90">
        <f>I74-K74</f>
        <v>31500</v>
      </c>
      <c r="N74" s="4">
        <f>IF(ISERROR(K74/I74),"",K74/I74)</f>
        <v>0</v>
      </c>
      <c r="O74" s="91">
        <f>I74/E74</f>
        <v>1050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>
        <v>97</v>
      </c>
      <c r="U74" s="9"/>
    </row>
    <row r="75" spans="1:21" s="37" customFormat="1" ht="12" x14ac:dyDescent="0.3">
      <c r="A75" s="74" t="s">
        <v>1689</v>
      </c>
      <c r="B75" s="75" t="s">
        <v>1690</v>
      </c>
      <c r="C75" s="85">
        <v>320</v>
      </c>
      <c r="D75" s="86">
        <v>119</v>
      </c>
      <c r="E75" s="87">
        <v>36</v>
      </c>
      <c r="F75" s="86">
        <v>99.8</v>
      </c>
      <c r="G75" s="17">
        <v>30</v>
      </c>
      <c r="H75" s="88">
        <v>148</v>
      </c>
      <c r="I75" s="89">
        <v>31000</v>
      </c>
      <c r="J75" s="89" t="s">
        <v>81</v>
      </c>
      <c r="K75" s="89"/>
      <c r="L75" s="89"/>
      <c r="M75" s="90">
        <f>I75-K75</f>
        <v>31000</v>
      </c>
      <c r="N75" s="4">
        <f>IF(ISERROR(K75/I75),"",K75/I75)</f>
        <v>0</v>
      </c>
      <c r="O75" s="91">
        <f>I75/E75</f>
        <v>861.11111111111109</v>
      </c>
      <c r="P75" s="91">
        <f>K75/E75</f>
        <v>0</v>
      </c>
      <c r="Q75" s="79">
        <v>3</v>
      </c>
      <c r="R75" s="79">
        <v>2</v>
      </c>
      <c r="S75" s="79" t="s">
        <v>62</v>
      </c>
      <c r="T75" s="5">
        <v>119</v>
      </c>
      <c r="U75" s="9"/>
    </row>
    <row r="76" spans="1:21" s="37" customFormat="1" ht="12" x14ac:dyDescent="0.3">
      <c r="A76" s="74" t="s">
        <v>1729</v>
      </c>
      <c r="B76" s="75" t="s">
        <v>1730</v>
      </c>
      <c r="C76" s="85">
        <v>388</v>
      </c>
      <c r="D76" s="86">
        <v>118.2</v>
      </c>
      <c r="E76" s="87">
        <v>36</v>
      </c>
      <c r="F76" s="86">
        <v>85</v>
      </c>
      <c r="G76" s="17">
        <v>26</v>
      </c>
      <c r="H76" s="88">
        <v>100</v>
      </c>
      <c r="I76" s="89">
        <v>31000</v>
      </c>
      <c r="J76" s="89" t="s">
        <v>102</v>
      </c>
      <c r="K76" s="89"/>
      <c r="L76" s="89"/>
      <c r="M76" s="90">
        <f>I76-K76</f>
        <v>31000</v>
      </c>
      <c r="N76" s="4">
        <f>IF(ISERROR(K76/I76),"",K76/I76)</f>
        <v>0</v>
      </c>
      <c r="O76" s="91">
        <f>I76/E76</f>
        <v>861.11111111111109</v>
      </c>
      <c r="P76" s="91">
        <f>K76/E76</f>
        <v>0</v>
      </c>
      <c r="Q76" s="79">
        <v>3</v>
      </c>
      <c r="R76" s="79">
        <v>2</v>
      </c>
      <c r="S76" s="79" t="s">
        <v>62</v>
      </c>
      <c r="T76" s="5">
        <v>118</v>
      </c>
      <c r="U76" s="9"/>
    </row>
    <row r="77" spans="1:21" s="37" customFormat="1" ht="12" x14ac:dyDescent="0.3">
      <c r="A77" s="74" t="s">
        <v>1595</v>
      </c>
      <c r="B77" s="75" t="s">
        <v>1596</v>
      </c>
      <c r="C77" s="85">
        <v>1222</v>
      </c>
      <c r="D77" s="86">
        <v>114.8</v>
      </c>
      <c r="E77" s="87">
        <v>35</v>
      </c>
      <c r="F77" s="86">
        <v>84.9</v>
      </c>
      <c r="G77" s="17">
        <v>26</v>
      </c>
      <c r="H77" s="88">
        <v>420</v>
      </c>
      <c r="I77" s="89">
        <v>31000</v>
      </c>
      <c r="J77" s="89" t="s">
        <v>97</v>
      </c>
      <c r="K77" s="89">
        <v>27000</v>
      </c>
      <c r="L77" s="89" t="s">
        <v>92</v>
      </c>
      <c r="M77" s="90">
        <f>I77-K77</f>
        <v>4000</v>
      </c>
      <c r="N77" s="4">
        <f>IF(ISERROR(K77/I77),"",K77/I77)</f>
        <v>0.87096774193548387</v>
      </c>
      <c r="O77" s="91">
        <f>I77/E77</f>
        <v>885.71428571428567</v>
      </c>
      <c r="P77" s="91">
        <f>K77/E77</f>
        <v>771.42857142857144</v>
      </c>
      <c r="Q77" s="79">
        <v>3</v>
      </c>
      <c r="R77" s="79">
        <v>2</v>
      </c>
      <c r="S77" s="79" t="s">
        <v>62</v>
      </c>
      <c r="T77" s="5" t="s">
        <v>161</v>
      </c>
      <c r="U77" s="9"/>
    </row>
    <row r="78" spans="1:21" s="37" customFormat="1" ht="12" x14ac:dyDescent="0.3">
      <c r="A78" s="74" t="s">
        <v>1722</v>
      </c>
      <c r="B78" s="75" t="s">
        <v>1723</v>
      </c>
      <c r="C78" s="85">
        <v>380</v>
      </c>
      <c r="D78" s="86">
        <v>121.3</v>
      </c>
      <c r="E78" s="87">
        <v>37</v>
      </c>
      <c r="F78" s="86">
        <v>99.3</v>
      </c>
      <c r="G78" s="17">
        <v>30</v>
      </c>
      <c r="H78" s="88">
        <v>110</v>
      </c>
      <c r="I78" s="89">
        <v>30500</v>
      </c>
      <c r="J78" s="89" t="s">
        <v>71</v>
      </c>
      <c r="K78" s="89">
        <v>25000</v>
      </c>
      <c r="L78" s="89" t="s">
        <v>70</v>
      </c>
      <c r="M78" s="90">
        <f>I78-K78</f>
        <v>5500</v>
      </c>
      <c r="N78" s="4">
        <f>IF(ISERROR(K78/I78),"",K78/I78)</f>
        <v>0.81967213114754101</v>
      </c>
      <c r="O78" s="91">
        <f>I78/E78</f>
        <v>824.32432432432438</v>
      </c>
      <c r="P78" s="91">
        <f>K78/E78</f>
        <v>675.67567567567562</v>
      </c>
      <c r="Q78" s="79">
        <v>3</v>
      </c>
      <c r="R78" s="79">
        <v>2</v>
      </c>
      <c r="S78" s="79" t="s">
        <v>62</v>
      </c>
      <c r="T78" s="5">
        <v>121</v>
      </c>
      <c r="U78" s="9"/>
    </row>
    <row r="79" spans="1:21" s="37" customFormat="1" ht="12" x14ac:dyDescent="0.3">
      <c r="A79" s="74" t="s">
        <v>1582</v>
      </c>
      <c r="B79" s="75" t="s">
        <v>1583</v>
      </c>
      <c r="C79" s="85">
        <v>539</v>
      </c>
      <c r="D79" s="86">
        <v>103.2</v>
      </c>
      <c r="E79" s="87">
        <v>31</v>
      </c>
      <c r="F79" s="86">
        <v>79.400000000000006</v>
      </c>
      <c r="G79" s="17">
        <v>24</v>
      </c>
      <c r="H79" s="88">
        <v>202</v>
      </c>
      <c r="I79" s="89">
        <v>30500</v>
      </c>
      <c r="J79" s="89" t="s">
        <v>88</v>
      </c>
      <c r="K79" s="89">
        <v>26000</v>
      </c>
      <c r="L79" s="89" t="s">
        <v>83</v>
      </c>
      <c r="M79" s="90">
        <f>I79-K79</f>
        <v>4500</v>
      </c>
      <c r="N79" s="4">
        <f>IF(ISERROR(K79/I79),"",K79/I79)</f>
        <v>0.85245901639344257</v>
      </c>
      <c r="O79" s="91">
        <f>I79/E79</f>
        <v>983.87096774193549</v>
      </c>
      <c r="P79" s="91">
        <f>K79/E79</f>
        <v>838.70967741935488</v>
      </c>
      <c r="Q79" s="79">
        <v>3</v>
      </c>
      <c r="R79" s="79">
        <v>2</v>
      </c>
      <c r="S79" s="79" t="s">
        <v>62</v>
      </c>
      <c r="T79" s="5">
        <v>103</v>
      </c>
      <c r="U79" s="9"/>
    </row>
    <row r="80" spans="1:21" s="37" customFormat="1" ht="12" x14ac:dyDescent="0.3">
      <c r="A80" s="74" t="s">
        <v>1682</v>
      </c>
      <c r="B80" s="75" t="s">
        <v>1681</v>
      </c>
      <c r="C80" s="85">
        <v>380</v>
      </c>
      <c r="D80" s="86">
        <v>145.5</v>
      </c>
      <c r="E80" s="87">
        <v>44</v>
      </c>
      <c r="F80" s="86">
        <v>124.7</v>
      </c>
      <c r="G80" s="17">
        <v>38</v>
      </c>
      <c r="H80" s="88">
        <v>140</v>
      </c>
      <c r="I80" s="89">
        <v>29000</v>
      </c>
      <c r="J80" s="89" t="s">
        <v>88</v>
      </c>
      <c r="K80" s="89"/>
      <c r="L80" s="89"/>
      <c r="M80" s="90">
        <f>I80-K80</f>
        <v>29000</v>
      </c>
      <c r="N80" s="4">
        <f>IF(ISERROR(K80/I80),"",K80/I80)</f>
        <v>0</v>
      </c>
      <c r="O80" s="91">
        <f>I80/E80</f>
        <v>659.09090909090912</v>
      </c>
      <c r="P80" s="91">
        <f>K80/E80</f>
        <v>0</v>
      </c>
      <c r="Q80" s="79">
        <v>4</v>
      </c>
      <c r="R80" s="79">
        <v>2</v>
      </c>
      <c r="S80" s="79" t="s">
        <v>62</v>
      </c>
      <c r="T80" s="5">
        <v>145</v>
      </c>
      <c r="U80" s="9"/>
    </row>
    <row r="81" spans="1:21" s="37" customFormat="1" ht="12" x14ac:dyDescent="0.3">
      <c r="A81" s="74" t="s">
        <v>1595</v>
      </c>
      <c r="B81" s="75" t="s">
        <v>1767</v>
      </c>
      <c r="C81" s="85">
        <v>1222</v>
      </c>
      <c r="D81" s="86">
        <v>97.5</v>
      </c>
      <c r="E81" s="87">
        <v>30</v>
      </c>
      <c r="F81" s="86">
        <v>74.3</v>
      </c>
      <c r="G81" s="17">
        <v>22</v>
      </c>
      <c r="H81" s="88">
        <v>30</v>
      </c>
      <c r="I81" s="89">
        <v>28500</v>
      </c>
      <c r="J81" s="89" t="s">
        <v>102</v>
      </c>
      <c r="K81" s="89"/>
      <c r="L81" s="89"/>
      <c r="M81" s="90">
        <f>I81-K81</f>
        <v>28500</v>
      </c>
      <c r="N81" s="4">
        <f>IF(ISERROR(K81/I81),"",K81/I81)</f>
        <v>0</v>
      </c>
      <c r="O81" s="91">
        <f>I81/E81</f>
        <v>950</v>
      </c>
      <c r="P81" s="91">
        <f>K81/E81</f>
        <v>0</v>
      </c>
      <c r="Q81" s="79">
        <v>3</v>
      </c>
      <c r="R81" s="79">
        <v>2</v>
      </c>
      <c r="S81" s="79" t="s">
        <v>62</v>
      </c>
      <c r="T81" s="5">
        <v>97</v>
      </c>
      <c r="U81" s="9"/>
    </row>
    <row r="82" spans="1:21" s="37" customFormat="1" ht="12" x14ac:dyDescent="0.3">
      <c r="A82" s="74" t="s">
        <v>1626</v>
      </c>
      <c r="B82" s="75" t="s">
        <v>1627</v>
      </c>
      <c r="C82" s="85">
        <v>427</v>
      </c>
      <c r="D82" s="86">
        <v>109.2</v>
      </c>
      <c r="E82" s="87">
        <v>33</v>
      </c>
      <c r="F82" s="86">
        <v>84.9</v>
      </c>
      <c r="G82" s="17">
        <v>26</v>
      </c>
      <c r="H82" s="88">
        <v>173</v>
      </c>
      <c r="I82" s="89">
        <v>26900</v>
      </c>
      <c r="J82" s="89" t="s">
        <v>75</v>
      </c>
      <c r="K82" s="89"/>
      <c r="L82" s="89"/>
      <c r="M82" s="90">
        <f>I82-K82</f>
        <v>26900</v>
      </c>
      <c r="N82" s="4">
        <f>IF(ISERROR(K82/I82),"",K82/I82)</f>
        <v>0</v>
      </c>
      <c r="O82" s="91">
        <f>I82/E82</f>
        <v>815.15151515151513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109</v>
      </c>
      <c r="U82" s="9"/>
    </row>
    <row r="83" spans="1:21" s="37" customFormat="1" ht="12" x14ac:dyDescent="0.3">
      <c r="A83" s="74" t="s">
        <v>1655</v>
      </c>
      <c r="B83" s="75" t="s">
        <v>1449</v>
      </c>
      <c r="C83" s="85">
        <v>455</v>
      </c>
      <c r="D83" s="86">
        <v>109.7</v>
      </c>
      <c r="E83" s="87">
        <v>33</v>
      </c>
      <c r="F83" s="86">
        <v>84.9</v>
      </c>
      <c r="G83" s="17">
        <v>26</v>
      </c>
      <c r="H83" s="88">
        <v>228</v>
      </c>
      <c r="I83" s="89">
        <v>26500</v>
      </c>
      <c r="J83" s="89" t="s">
        <v>70</v>
      </c>
      <c r="K83" s="89"/>
      <c r="L83" s="89"/>
      <c r="M83" s="90">
        <f>I83-K83</f>
        <v>26500</v>
      </c>
      <c r="N83" s="4">
        <f>IF(ISERROR(K83/I83),"",K83/I83)</f>
        <v>0</v>
      </c>
      <c r="O83" s="91">
        <f>I83/E83</f>
        <v>803.030303030303</v>
      </c>
      <c r="P83" s="91">
        <f>K83/E83</f>
        <v>0</v>
      </c>
      <c r="Q83" s="79">
        <v>3</v>
      </c>
      <c r="R83" s="79">
        <v>2</v>
      </c>
      <c r="S83" s="79" t="s">
        <v>62</v>
      </c>
      <c r="T83" s="5">
        <v>109</v>
      </c>
      <c r="U83" s="9"/>
    </row>
    <row r="84" spans="1:21" s="37" customFormat="1" ht="12" x14ac:dyDescent="0.3">
      <c r="A84" s="74" t="s">
        <v>1737</v>
      </c>
      <c r="B84" s="75" t="s">
        <v>1738</v>
      </c>
      <c r="C84" s="85">
        <v>478</v>
      </c>
      <c r="D84" s="86">
        <v>105.5</v>
      </c>
      <c r="E84" s="87">
        <v>32</v>
      </c>
      <c r="F84" s="86">
        <v>84.9</v>
      </c>
      <c r="G84" s="17">
        <v>26</v>
      </c>
      <c r="H84" s="88">
        <v>328</v>
      </c>
      <c r="I84" s="89">
        <v>26500</v>
      </c>
      <c r="J84" s="89" t="s">
        <v>71</v>
      </c>
      <c r="K84" s="89">
        <v>24700</v>
      </c>
      <c r="L84" s="89" t="s">
        <v>102</v>
      </c>
      <c r="M84" s="90">
        <f>I84-K84</f>
        <v>1800</v>
      </c>
      <c r="N84" s="4">
        <f>IF(ISERROR(K84/I84),"",K84/I84)</f>
        <v>0.93207547169811322</v>
      </c>
      <c r="O84" s="91">
        <f>I84/E84</f>
        <v>828.125</v>
      </c>
      <c r="P84" s="91">
        <f>K84/E84</f>
        <v>771.875</v>
      </c>
      <c r="Q84" s="79">
        <v>3</v>
      </c>
      <c r="R84" s="79">
        <v>2</v>
      </c>
      <c r="S84" s="79" t="s">
        <v>62</v>
      </c>
      <c r="T84" s="5">
        <v>105</v>
      </c>
      <c r="U84" s="9"/>
    </row>
    <row r="85" spans="1:21" s="37" customFormat="1" ht="12" x14ac:dyDescent="0.3">
      <c r="A85" s="74" t="s">
        <v>1729</v>
      </c>
      <c r="B85" s="75" t="s">
        <v>1544</v>
      </c>
      <c r="C85" s="85">
        <v>388</v>
      </c>
      <c r="D85" s="86">
        <v>103.6</v>
      </c>
      <c r="E85" s="87">
        <v>31</v>
      </c>
      <c r="F85" s="86">
        <v>75</v>
      </c>
      <c r="G85" s="17">
        <v>23</v>
      </c>
      <c r="H85" s="88">
        <v>288</v>
      </c>
      <c r="I85" s="89">
        <v>26000</v>
      </c>
      <c r="J85" s="89" t="s">
        <v>81</v>
      </c>
      <c r="K85" s="89">
        <v>24000</v>
      </c>
      <c r="L85" s="89" t="s">
        <v>88</v>
      </c>
      <c r="M85" s="90">
        <f>I85-K85</f>
        <v>2000</v>
      </c>
      <c r="N85" s="4">
        <f>IF(ISERROR(K85/I85),"",K85/I85)</f>
        <v>0.92307692307692313</v>
      </c>
      <c r="O85" s="91">
        <f>I85/E85</f>
        <v>838.70967741935488</v>
      </c>
      <c r="P85" s="91">
        <f>K85/E85</f>
        <v>774.19354838709683</v>
      </c>
      <c r="Q85" s="79">
        <v>3</v>
      </c>
      <c r="R85" s="79">
        <v>2</v>
      </c>
      <c r="S85" s="79" t="s">
        <v>62</v>
      </c>
      <c r="T85" s="5">
        <v>103</v>
      </c>
      <c r="U85" s="9"/>
    </row>
    <row r="86" spans="1:21" s="37" customFormat="1" ht="12" x14ac:dyDescent="0.3">
      <c r="A86" s="74" t="s">
        <v>1722</v>
      </c>
      <c r="B86" s="75" t="s">
        <v>1723</v>
      </c>
      <c r="C86" s="85">
        <v>380</v>
      </c>
      <c r="D86" s="86">
        <v>102</v>
      </c>
      <c r="E86" s="87">
        <v>31</v>
      </c>
      <c r="F86" s="86">
        <v>85</v>
      </c>
      <c r="G86" s="17">
        <v>26</v>
      </c>
      <c r="H86" s="88">
        <v>86</v>
      </c>
      <c r="I86" s="89">
        <v>25500</v>
      </c>
      <c r="J86" s="89" t="s">
        <v>70</v>
      </c>
      <c r="K86" s="89"/>
      <c r="L86" s="89"/>
      <c r="M86" s="90">
        <f>I86-K86</f>
        <v>25500</v>
      </c>
      <c r="N86" s="4">
        <f>IF(ISERROR(K86/I86),"",K86/I86)</f>
        <v>0</v>
      </c>
      <c r="O86" s="91">
        <f>I86/E86</f>
        <v>822.58064516129036</v>
      </c>
      <c r="P86" s="91">
        <f>K86/E86</f>
        <v>0</v>
      </c>
      <c r="Q86" s="79">
        <v>3</v>
      </c>
      <c r="R86" s="79">
        <v>2</v>
      </c>
      <c r="S86" s="79" t="s">
        <v>62</v>
      </c>
      <c r="T86" s="5">
        <v>102</v>
      </c>
      <c r="U86" s="9"/>
    </row>
    <row r="87" spans="1:21" s="37" customFormat="1" ht="12" x14ac:dyDescent="0.3">
      <c r="A87" s="74" t="s">
        <v>1746</v>
      </c>
      <c r="B87" s="75" t="s">
        <v>1747</v>
      </c>
      <c r="C87" s="85">
        <v>812</v>
      </c>
      <c r="D87" s="86">
        <v>107.6</v>
      </c>
      <c r="E87" s="87">
        <v>33</v>
      </c>
      <c r="F87" s="86">
        <v>85</v>
      </c>
      <c r="G87" s="17">
        <v>26</v>
      </c>
      <c r="H87" s="88">
        <v>264</v>
      </c>
      <c r="I87" s="89">
        <v>25500</v>
      </c>
      <c r="J87" s="89" t="s">
        <v>64</v>
      </c>
      <c r="K87" s="89"/>
      <c r="L87" s="89"/>
      <c r="M87" s="90">
        <f>I87-K87</f>
        <v>25500</v>
      </c>
      <c r="N87" s="4">
        <f>IF(ISERROR(K87/I87),"",K87/I87)</f>
        <v>0</v>
      </c>
      <c r="O87" s="91">
        <f>I87/E87</f>
        <v>772.72727272727275</v>
      </c>
      <c r="P87" s="91">
        <f>K87/E87</f>
        <v>0</v>
      </c>
      <c r="Q87" s="79">
        <v>3</v>
      </c>
      <c r="R87" s="79">
        <v>2</v>
      </c>
      <c r="S87" s="79" t="s">
        <v>62</v>
      </c>
      <c r="T87" s="5">
        <v>107</v>
      </c>
      <c r="U87" s="9"/>
    </row>
    <row r="88" spans="1:21" s="37" customFormat="1" ht="12" x14ac:dyDescent="0.3">
      <c r="A88" s="74" t="s">
        <v>1799</v>
      </c>
      <c r="B88" s="75" t="s">
        <v>1800</v>
      </c>
      <c r="C88" s="85">
        <v>570</v>
      </c>
      <c r="D88" s="86">
        <v>150.69999999999999</v>
      </c>
      <c r="E88" s="87">
        <v>46</v>
      </c>
      <c r="F88" s="86">
        <v>129</v>
      </c>
      <c r="G88" s="17">
        <v>39</v>
      </c>
      <c r="H88" s="88">
        <v>90</v>
      </c>
      <c r="I88" s="89">
        <v>23000</v>
      </c>
      <c r="J88" s="89" t="s">
        <v>81</v>
      </c>
      <c r="K88" s="89"/>
      <c r="L88" s="89"/>
      <c r="M88" s="90">
        <f>I88-K88</f>
        <v>23000</v>
      </c>
      <c r="N88" s="4">
        <f>IF(ISERROR(K88/I88),"",K88/I88)</f>
        <v>0</v>
      </c>
      <c r="O88" s="91">
        <f>I88/E88</f>
        <v>500</v>
      </c>
      <c r="P88" s="91">
        <f>K88/E88</f>
        <v>0</v>
      </c>
      <c r="Q88" s="79">
        <v>4</v>
      </c>
      <c r="R88" s="79">
        <v>2</v>
      </c>
      <c r="S88" s="79" t="s">
        <v>62</v>
      </c>
      <c r="T88" s="5">
        <v>150</v>
      </c>
      <c r="U88" s="9"/>
    </row>
    <row r="89" spans="1:21" s="37" customFormat="1" ht="12" x14ac:dyDescent="0.3">
      <c r="A89" s="74" t="s">
        <v>1654</v>
      </c>
      <c r="B89" s="75" t="s">
        <v>1436</v>
      </c>
      <c r="C89" s="85">
        <v>450</v>
      </c>
      <c r="D89" s="86">
        <v>103.2</v>
      </c>
      <c r="E89" s="87">
        <v>31</v>
      </c>
      <c r="F89" s="86">
        <v>84.9</v>
      </c>
      <c r="G89" s="17">
        <v>26</v>
      </c>
      <c r="H89" s="88">
        <v>360</v>
      </c>
      <c r="I89" s="89">
        <v>22500</v>
      </c>
      <c r="J89" s="89" t="s">
        <v>64</v>
      </c>
      <c r="K89" s="89"/>
      <c r="L89" s="89"/>
      <c r="M89" s="90">
        <f>I89-K89</f>
        <v>22500</v>
      </c>
      <c r="N89" s="4">
        <f>IF(ISERROR(K89/I89),"",K89/I89)</f>
        <v>0</v>
      </c>
      <c r="O89" s="91">
        <f>I89/E89</f>
        <v>725.80645161290317</v>
      </c>
      <c r="P89" s="91">
        <f>K89/E89</f>
        <v>0</v>
      </c>
      <c r="Q89" s="79">
        <v>3</v>
      </c>
      <c r="R89" s="79">
        <v>2</v>
      </c>
      <c r="S89" s="79" t="s">
        <v>62</v>
      </c>
      <c r="T89" s="5" t="s">
        <v>86</v>
      </c>
      <c r="U89" s="9"/>
    </row>
    <row r="90" spans="1:21" s="37" customFormat="1" ht="12" x14ac:dyDescent="0.3">
      <c r="A90" s="74" t="s">
        <v>1672</v>
      </c>
      <c r="B90" s="75" t="s">
        <v>1673</v>
      </c>
      <c r="C90" s="85">
        <v>386</v>
      </c>
      <c r="D90" s="86">
        <v>122</v>
      </c>
      <c r="E90" s="87">
        <v>37</v>
      </c>
      <c r="F90" s="86">
        <v>101.8</v>
      </c>
      <c r="G90" s="17">
        <v>31</v>
      </c>
      <c r="H90" s="88">
        <v>242</v>
      </c>
      <c r="I90" s="89">
        <v>22000</v>
      </c>
      <c r="J90" s="89" t="s">
        <v>71</v>
      </c>
      <c r="K90" s="89"/>
      <c r="L90" s="89"/>
      <c r="M90" s="90">
        <f>I90-K90</f>
        <v>22000</v>
      </c>
      <c r="N90" s="4">
        <f>IF(ISERROR(K90/I90),"",K90/I90)</f>
        <v>0</v>
      </c>
      <c r="O90" s="91">
        <f>I90/E90</f>
        <v>594.59459459459458</v>
      </c>
      <c r="P90" s="91">
        <f>K90/E90</f>
        <v>0</v>
      </c>
      <c r="Q90" s="79">
        <v>4</v>
      </c>
      <c r="R90" s="79">
        <v>2</v>
      </c>
      <c r="S90" s="79" t="s">
        <v>62</v>
      </c>
      <c r="T90" s="5">
        <v>122</v>
      </c>
      <c r="U90" s="9"/>
    </row>
    <row r="91" spans="1:21" s="37" customFormat="1" ht="12" x14ac:dyDescent="0.3">
      <c r="A91" s="74" t="s">
        <v>1685</v>
      </c>
      <c r="B91" s="75" t="s">
        <v>1686</v>
      </c>
      <c r="C91" s="85">
        <v>324</v>
      </c>
      <c r="D91" s="86">
        <v>103.6</v>
      </c>
      <c r="E91" s="87">
        <v>31</v>
      </c>
      <c r="F91" s="86">
        <v>85</v>
      </c>
      <c r="G91" s="17">
        <v>26</v>
      </c>
      <c r="H91" s="88">
        <v>120</v>
      </c>
      <c r="I91" s="89">
        <v>22000</v>
      </c>
      <c r="J91" s="89" t="s">
        <v>92</v>
      </c>
      <c r="K91" s="89"/>
      <c r="L91" s="89"/>
      <c r="M91" s="90">
        <f>I91-K91</f>
        <v>22000</v>
      </c>
      <c r="N91" s="4">
        <f>IF(ISERROR(K91/I91),"",K91/I91)</f>
        <v>0</v>
      </c>
      <c r="O91" s="91">
        <f>I91/E91</f>
        <v>709.67741935483866</v>
      </c>
      <c r="P91" s="91">
        <f>K91/E91</f>
        <v>0</v>
      </c>
      <c r="Q91" s="79">
        <v>3</v>
      </c>
      <c r="R91" s="79">
        <v>2</v>
      </c>
      <c r="S91" s="79" t="s">
        <v>62</v>
      </c>
      <c r="T91" s="5" t="s">
        <v>87</v>
      </c>
      <c r="U91" s="9"/>
    </row>
    <row r="92" spans="1:21" s="37" customFormat="1" ht="12" x14ac:dyDescent="0.3">
      <c r="A92" s="74" t="s">
        <v>1642</v>
      </c>
      <c r="B92" s="75" t="s">
        <v>1643</v>
      </c>
      <c r="C92" s="85">
        <v>704</v>
      </c>
      <c r="D92" s="86">
        <v>81.7</v>
      </c>
      <c r="E92" s="87">
        <v>25</v>
      </c>
      <c r="F92" s="86">
        <v>59.9</v>
      </c>
      <c r="G92" s="17">
        <v>18</v>
      </c>
      <c r="H92" s="88">
        <v>622</v>
      </c>
      <c r="I92" s="89">
        <v>22000</v>
      </c>
      <c r="J92" s="89" t="s">
        <v>88</v>
      </c>
      <c r="K92" s="89">
        <v>20000</v>
      </c>
      <c r="L92" s="89" t="s">
        <v>65</v>
      </c>
      <c r="M92" s="90">
        <f>I92-K92</f>
        <v>2000</v>
      </c>
      <c r="N92" s="4">
        <f>IF(ISERROR(K92/I92),"",K92/I92)</f>
        <v>0.90909090909090906</v>
      </c>
      <c r="O92" s="91">
        <f>I92/E92</f>
        <v>880</v>
      </c>
      <c r="P92" s="91">
        <f>K92/E92</f>
        <v>800</v>
      </c>
      <c r="Q92" s="79">
        <v>3</v>
      </c>
      <c r="R92" s="79">
        <v>2</v>
      </c>
      <c r="S92" s="79" t="s">
        <v>62</v>
      </c>
      <c r="T92" s="5">
        <v>81</v>
      </c>
      <c r="U92" s="9"/>
    </row>
    <row r="93" spans="1:21" s="37" customFormat="1" ht="12" x14ac:dyDescent="0.3">
      <c r="A93" s="74" t="s">
        <v>1655</v>
      </c>
      <c r="B93" s="75" t="s">
        <v>1656</v>
      </c>
      <c r="C93" s="85">
        <v>455</v>
      </c>
      <c r="D93" s="86">
        <v>93.5</v>
      </c>
      <c r="E93" s="87">
        <v>28</v>
      </c>
      <c r="F93" s="86">
        <v>72.599999999999994</v>
      </c>
      <c r="G93" s="17">
        <v>22</v>
      </c>
      <c r="H93" s="88">
        <v>227</v>
      </c>
      <c r="I93" s="89">
        <v>21500</v>
      </c>
      <c r="J93" s="89" t="s">
        <v>81</v>
      </c>
      <c r="K93" s="89">
        <v>20000</v>
      </c>
      <c r="L93" s="89" t="s">
        <v>70</v>
      </c>
      <c r="M93" s="90">
        <f>I93-K93</f>
        <v>1500</v>
      </c>
      <c r="N93" s="4">
        <f>IF(ISERROR(K93/I93),"",K93/I93)</f>
        <v>0.93023255813953487</v>
      </c>
      <c r="O93" s="91">
        <f>I93/E93</f>
        <v>767.85714285714289</v>
      </c>
      <c r="P93" s="91">
        <f>K93/E93</f>
        <v>714.28571428571433</v>
      </c>
      <c r="Q93" s="79">
        <v>3</v>
      </c>
      <c r="R93" s="79">
        <v>1</v>
      </c>
      <c r="S93" s="79" t="s">
        <v>62</v>
      </c>
      <c r="T93" s="5">
        <v>93</v>
      </c>
      <c r="U93" s="9"/>
    </row>
    <row r="94" spans="1:21" s="37" customFormat="1" ht="12" x14ac:dyDescent="0.3">
      <c r="A94" s="74" t="s">
        <v>1751</v>
      </c>
      <c r="B94" s="75" t="s">
        <v>1538</v>
      </c>
      <c r="C94" s="85">
        <v>1464</v>
      </c>
      <c r="D94" s="86">
        <v>77.400000000000006</v>
      </c>
      <c r="E94" s="87">
        <v>23</v>
      </c>
      <c r="F94" s="86">
        <v>60</v>
      </c>
      <c r="G94" s="17">
        <v>18</v>
      </c>
      <c r="H94" s="88">
        <v>1158</v>
      </c>
      <c r="I94" s="89">
        <v>21500</v>
      </c>
      <c r="J94" s="89" t="s">
        <v>83</v>
      </c>
      <c r="K94" s="89">
        <v>22000</v>
      </c>
      <c r="L94" s="89" t="s">
        <v>81</v>
      </c>
      <c r="M94" s="90">
        <f>I94-K94</f>
        <v>-500</v>
      </c>
      <c r="N94" s="4">
        <f>IF(ISERROR(K94/I94),"",K94/I94)</f>
        <v>1.0232558139534884</v>
      </c>
      <c r="O94" s="91">
        <f>I94/E94</f>
        <v>934.78260869565213</v>
      </c>
      <c r="P94" s="91">
        <f>K94/E94</f>
        <v>956.52173913043475</v>
      </c>
      <c r="Q94" s="79">
        <v>3</v>
      </c>
      <c r="R94" s="79">
        <v>2</v>
      </c>
      <c r="S94" s="79" t="s">
        <v>62</v>
      </c>
      <c r="T94" s="5" t="s">
        <v>148</v>
      </c>
      <c r="U94" s="9"/>
    </row>
    <row r="95" spans="1:21" s="37" customFormat="1" ht="12" x14ac:dyDescent="0.3">
      <c r="A95" s="74" t="s">
        <v>1746</v>
      </c>
      <c r="B95" s="75" t="s">
        <v>1747</v>
      </c>
      <c r="C95" s="85">
        <v>812</v>
      </c>
      <c r="D95" s="86">
        <v>97.9</v>
      </c>
      <c r="E95" s="87">
        <v>30</v>
      </c>
      <c r="F95" s="86">
        <v>80.3</v>
      </c>
      <c r="G95" s="17">
        <v>24</v>
      </c>
      <c r="H95" s="88">
        <v>298</v>
      </c>
      <c r="I95" s="89">
        <v>21200</v>
      </c>
      <c r="J95" s="89" t="s">
        <v>88</v>
      </c>
      <c r="K95" s="89"/>
      <c r="L95" s="89"/>
      <c r="M95" s="90">
        <f>I95-K95</f>
        <v>21200</v>
      </c>
      <c r="N95" s="4">
        <f>IF(ISERROR(K95/I95),"",K95/I95)</f>
        <v>0</v>
      </c>
      <c r="O95" s="91">
        <f>I95/E95</f>
        <v>706.66666666666663</v>
      </c>
      <c r="P95" s="91">
        <f>K95/E95</f>
        <v>0</v>
      </c>
      <c r="Q95" s="79">
        <v>3</v>
      </c>
      <c r="R95" s="79">
        <v>2</v>
      </c>
      <c r="S95" s="79" t="s">
        <v>62</v>
      </c>
      <c r="T95" s="5">
        <v>97</v>
      </c>
      <c r="U95" s="9"/>
    </row>
    <row r="96" spans="1:21" s="37" customFormat="1" ht="12" x14ac:dyDescent="0.3">
      <c r="A96" s="74" t="s">
        <v>1811</v>
      </c>
      <c r="B96" s="75" t="s">
        <v>1812</v>
      </c>
      <c r="C96" s="85">
        <v>564</v>
      </c>
      <c r="D96" s="86">
        <v>107.9</v>
      </c>
      <c r="E96" s="87">
        <v>33</v>
      </c>
      <c r="F96" s="86">
        <v>84.8</v>
      </c>
      <c r="G96" s="17">
        <v>26</v>
      </c>
      <c r="H96" s="88">
        <v>220</v>
      </c>
      <c r="I96" s="89">
        <v>20500</v>
      </c>
      <c r="J96" s="89" t="s">
        <v>89</v>
      </c>
      <c r="K96" s="89"/>
      <c r="L96" s="89"/>
      <c r="M96" s="90">
        <f>I96-K96</f>
        <v>20500</v>
      </c>
      <c r="N96" s="4">
        <f>IF(ISERROR(K96/I96),"",K96/I96)</f>
        <v>0</v>
      </c>
      <c r="O96" s="91">
        <f>I96/E96</f>
        <v>621.21212121212125</v>
      </c>
      <c r="P96" s="91">
        <f>K96/E96</f>
        <v>0</v>
      </c>
      <c r="Q96" s="79">
        <v>3</v>
      </c>
      <c r="R96" s="79">
        <v>2</v>
      </c>
      <c r="S96" s="79" t="s">
        <v>62</v>
      </c>
      <c r="T96" s="5">
        <v>107</v>
      </c>
      <c r="U96" s="9"/>
    </row>
    <row r="97" spans="1:21" s="37" customFormat="1" ht="12" x14ac:dyDescent="0.3">
      <c r="A97" s="74" t="s">
        <v>1725</v>
      </c>
      <c r="B97" s="75" t="s">
        <v>1726</v>
      </c>
      <c r="C97" s="85">
        <v>527</v>
      </c>
      <c r="D97" s="86">
        <v>76.400000000000006</v>
      </c>
      <c r="E97" s="87">
        <v>23</v>
      </c>
      <c r="F97" s="86">
        <v>59.9</v>
      </c>
      <c r="G97" s="17">
        <v>18</v>
      </c>
      <c r="H97" s="88">
        <v>299</v>
      </c>
      <c r="I97" s="89">
        <v>20500</v>
      </c>
      <c r="J97" s="89" t="s">
        <v>102</v>
      </c>
      <c r="K97" s="89">
        <v>19500</v>
      </c>
      <c r="L97" s="89" t="s">
        <v>75</v>
      </c>
      <c r="M97" s="90">
        <f>I97-K97</f>
        <v>1000</v>
      </c>
      <c r="N97" s="4">
        <f>IF(ISERROR(K97/I97),"",K97/I97)</f>
        <v>0.95121951219512191</v>
      </c>
      <c r="O97" s="91">
        <f>I97/E97</f>
        <v>891.304347826087</v>
      </c>
      <c r="P97" s="91">
        <f>K97/E97</f>
        <v>847.82608695652175</v>
      </c>
      <c r="Q97" s="79">
        <v>3</v>
      </c>
      <c r="R97" s="79">
        <v>2</v>
      </c>
      <c r="S97" s="79" t="s">
        <v>62</v>
      </c>
      <c r="T97" s="5">
        <v>76</v>
      </c>
      <c r="U97" s="9"/>
    </row>
    <row r="98" spans="1:21" s="37" customFormat="1" ht="12" x14ac:dyDescent="0.3">
      <c r="A98" s="74" t="s">
        <v>1650</v>
      </c>
      <c r="B98" s="75" t="s">
        <v>1651</v>
      </c>
      <c r="C98" s="85">
        <v>620</v>
      </c>
      <c r="D98" s="86">
        <v>105.5</v>
      </c>
      <c r="E98" s="87">
        <v>32</v>
      </c>
      <c r="F98" s="86">
        <v>85</v>
      </c>
      <c r="G98" s="17">
        <v>26</v>
      </c>
      <c r="H98" s="88">
        <v>200</v>
      </c>
      <c r="I98" s="89">
        <v>20000</v>
      </c>
      <c r="J98" s="89" t="s">
        <v>79</v>
      </c>
      <c r="K98" s="89"/>
      <c r="L98" s="89"/>
      <c r="M98" s="90">
        <f>I98-K98</f>
        <v>20000</v>
      </c>
      <c r="N98" s="4">
        <f>IF(ISERROR(K98/I98),"",K98/I98)</f>
        <v>0</v>
      </c>
      <c r="O98" s="91">
        <f>I98/E98</f>
        <v>625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>
        <v>105</v>
      </c>
      <c r="U98" s="9"/>
    </row>
    <row r="99" spans="1:21" s="37" customFormat="1" ht="12" x14ac:dyDescent="0.3">
      <c r="A99" s="74" t="s">
        <v>1809</v>
      </c>
      <c r="B99" s="75" t="s">
        <v>1810</v>
      </c>
      <c r="C99" s="85">
        <v>1200</v>
      </c>
      <c r="D99" s="86">
        <v>67.5</v>
      </c>
      <c r="E99" s="87">
        <v>20</v>
      </c>
      <c r="F99" s="86">
        <v>61.8</v>
      </c>
      <c r="G99" s="17">
        <v>19</v>
      </c>
      <c r="H99" s="88">
        <v>246</v>
      </c>
      <c r="I99" s="89">
        <v>20000</v>
      </c>
      <c r="J99" s="89" t="s">
        <v>83</v>
      </c>
      <c r="K99" s="89"/>
      <c r="L99" s="89"/>
      <c r="M99" s="90">
        <f>I99-K99</f>
        <v>20000</v>
      </c>
      <c r="N99" s="4">
        <f>IF(ISERROR(K99/I99),"",K99/I99)</f>
        <v>0</v>
      </c>
      <c r="O99" s="91">
        <f>I99/E99</f>
        <v>1000</v>
      </c>
      <c r="P99" s="91">
        <f>K99/E99</f>
        <v>0</v>
      </c>
      <c r="Q99" s="79">
        <v>3</v>
      </c>
      <c r="R99" s="79">
        <v>1</v>
      </c>
      <c r="S99" s="79" t="s">
        <v>62</v>
      </c>
      <c r="T99" s="5" t="s">
        <v>191</v>
      </c>
      <c r="U99" s="9"/>
    </row>
    <row r="100" spans="1:21" s="37" customFormat="1" ht="12" x14ac:dyDescent="0.3">
      <c r="A100" s="74" t="s">
        <v>1630</v>
      </c>
      <c r="B100" s="75" t="s">
        <v>1631</v>
      </c>
      <c r="C100" s="85">
        <v>1200</v>
      </c>
      <c r="D100" s="86">
        <v>45.1</v>
      </c>
      <c r="E100" s="87">
        <v>14</v>
      </c>
      <c r="F100" s="86">
        <v>39.700000000000003</v>
      </c>
      <c r="G100" s="17">
        <v>12</v>
      </c>
      <c r="H100" s="88">
        <v>390</v>
      </c>
      <c r="I100" s="89">
        <v>20000</v>
      </c>
      <c r="J100" s="89" t="s">
        <v>83</v>
      </c>
      <c r="K100" s="89">
        <v>3000</v>
      </c>
      <c r="L100" s="89" t="s">
        <v>71</v>
      </c>
      <c r="M100" s="90">
        <f>I100-K100</f>
        <v>17000</v>
      </c>
      <c r="N100" s="4">
        <f>IF(ISERROR(K100/I100),"",K100/I100)</f>
        <v>0.15</v>
      </c>
      <c r="O100" s="91">
        <f>I100/E100</f>
        <v>1428.5714285714287</v>
      </c>
      <c r="P100" s="91">
        <f>K100/E100</f>
        <v>214.28571428571428</v>
      </c>
      <c r="Q100" s="79">
        <v>2</v>
      </c>
      <c r="R100" s="79">
        <v>1</v>
      </c>
      <c r="S100" s="79" t="s">
        <v>62</v>
      </c>
      <c r="T100" s="5" t="s">
        <v>188</v>
      </c>
      <c r="U100" s="9"/>
    </row>
    <row r="101" spans="1:21" s="37" customFormat="1" ht="12" x14ac:dyDescent="0.3">
      <c r="A101" s="74" t="s">
        <v>1567</v>
      </c>
      <c r="B101" s="75" t="s">
        <v>1750</v>
      </c>
      <c r="C101" s="85">
        <v>952</v>
      </c>
      <c r="D101" s="86">
        <v>76.3</v>
      </c>
      <c r="E101" s="87">
        <v>23</v>
      </c>
      <c r="F101" s="86">
        <v>59.3</v>
      </c>
      <c r="G101" s="17">
        <v>18</v>
      </c>
      <c r="H101" s="88">
        <v>734</v>
      </c>
      <c r="I101" s="89">
        <v>20000</v>
      </c>
      <c r="J101" s="89" t="s">
        <v>64</v>
      </c>
      <c r="K101" s="89">
        <v>21000</v>
      </c>
      <c r="L101" s="89" t="s">
        <v>79</v>
      </c>
      <c r="M101" s="90">
        <f>I101-K101</f>
        <v>-1000</v>
      </c>
      <c r="N101" s="4">
        <f>IF(ISERROR(K101/I101),"",K101/I101)</f>
        <v>1.05</v>
      </c>
      <c r="O101" s="91">
        <f>I101/E101</f>
        <v>869.56521739130437</v>
      </c>
      <c r="P101" s="91">
        <f>K101/E101</f>
        <v>913.04347826086962</v>
      </c>
      <c r="Q101" s="79">
        <v>3</v>
      </c>
      <c r="R101" s="79">
        <v>1</v>
      </c>
      <c r="S101" s="79" t="s">
        <v>62</v>
      </c>
      <c r="T101" s="5" t="s">
        <v>111</v>
      </c>
      <c r="U101" s="9"/>
    </row>
    <row r="102" spans="1:21" s="37" customFormat="1" ht="12" x14ac:dyDescent="0.3">
      <c r="A102" s="74" t="s">
        <v>1654</v>
      </c>
      <c r="B102" s="75" t="s">
        <v>1436</v>
      </c>
      <c r="C102" s="85">
        <v>450</v>
      </c>
      <c r="D102" s="86">
        <v>91.2</v>
      </c>
      <c r="E102" s="87">
        <v>28</v>
      </c>
      <c r="F102" s="86">
        <v>73.099999999999994</v>
      </c>
      <c r="G102" s="17">
        <v>22</v>
      </c>
      <c r="H102" s="88">
        <v>75</v>
      </c>
      <c r="I102" s="89">
        <v>19800</v>
      </c>
      <c r="J102" s="89" t="s">
        <v>81</v>
      </c>
      <c r="K102" s="89"/>
      <c r="L102" s="89"/>
      <c r="M102" s="90">
        <f>I102-K102</f>
        <v>19800</v>
      </c>
      <c r="N102" s="4">
        <f>IF(ISERROR(K102/I102),"",K102/I102)</f>
        <v>0</v>
      </c>
      <c r="O102" s="91">
        <f>I102/E102</f>
        <v>707.14285714285711</v>
      </c>
      <c r="P102" s="91">
        <f>K102/E102</f>
        <v>0</v>
      </c>
      <c r="Q102" s="79">
        <v>3</v>
      </c>
      <c r="R102" s="79">
        <v>1</v>
      </c>
      <c r="S102" s="79" t="s">
        <v>62</v>
      </c>
      <c r="T102" s="5">
        <v>91</v>
      </c>
      <c r="U102" s="9"/>
    </row>
    <row r="103" spans="1:21" s="37" customFormat="1" ht="12" x14ac:dyDescent="0.3">
      <c r="A103" s="74" t="s">
        <v>1778</v>
      </c>
      <c r="B103" s="75" t="s">
        <v>1605</v>
      </c>
      <c r="C103" s="85">
        <v>556</v>
      </c>
      <c r="D103" s="86">
        <v>67.5</v>
      </c>
      <c r="E103" s="87">
        <v>20</v>
      </c>
      <c r="F103" s="86">
        <v>61.8</v>
      </c>
      <c r="G103" s="17">
        <v>19</v>
      </c>
      <c r="H103" s="88">
        <v>162</v>
      </c>
      <c r="I103" s="89">
        <v>19500</v>
      </c>
      <c r="J103" s="89" t="s">
        <v>89</v>
      </c>
      <c r="K103" s="89">
        <v>7000</v>
      </c>
      <c r="L103" s="89" t="s">
        <v>89</v>
      </c>
      <c r="M103" s="90">
        <f>I103-K103</f>
        <v>12500</v>
      </c>
      <c r="N103" s="4">
        <f>IF(ISERROR(K103/I103),"",K103/I103)</f>
        <v>0.35897435897435898</v>
      </c>
      <c r="O103" s="91">
        <f>I103/E103</f>
        <v>975</v>
      </c>
      <c r="P103" s="91">
        <f>K103/E103</f>
        <v>350</v>
      </c>
      <c r="Q103" s="79">
        <v>3</v>
      </c>
      <c r="R103" s="79">
        <v>1</v>
      </c>
      <c r="S103" s="79" t="s">
        <v>62</v>
      </c>
      <c r="T103" s="5">
        <v>67</v>
      </c>
      <c r="U103" s="9"/>
    </row>
    <row r="104" spans="1:21" s="37" customFormat="1" ht="12" x14ac:dyDescent="0.3">
      <c r="A104" s="74" t="s">
        <v>1580</v>
      </c>
      <c r="B104" s="75" t="s">
        <v>1581</v>
      </c>
      <c r="C104" s="85">
        <v>526</v>
      </c>
      <c r="D104" s="86">
        <v>76.3</v>
      </c>
      <c r="E104" s="87">
        <v>23</v>
      </c>
      <c r="F104" s="86">
        <v>60</v>
      </c>
      <c r="G104" s="17">
        <v>18</v>
      </c>
      <c r="H104" s="88">
        <v>380</v>
      </c>
      <c r="I104" s="89">
        <v>19500</v>
      </c>
      <c r="J104" s="89" t="s">
        <v>79</v>
      </c>
      <c r="K104" s="89">
        <v>19500</v>
      </c>
      <c r="L104" s="89" t="s">
        <v>79</v>
      </c>
      <c r="M104" s="90">
        <f>I104-K104</f>
        <v>0</v>
      </c>
      <c r="N104" s="4">
        <f>IF(ISERROR(K104/I104),"",K104/I104)</f>
        <v>1</v>
      </c>
      <c r="O104" s="91">
        <f>I104/E104</f>
        <v>847.82608695652175</v>
      </c>
      <c r="P104" s="91">
        <f>K104/E104</f>
        <v>847.82608695652175</v>
      </c>
      <c r="Q104" s="79">
        <v>3</v>
      </c>
      <c r="R104" s="79">
        <v>2</v>
      </c>
      <c r="S104" s="79" t="s">
        <v>62</v>
      </c>
      <c r="T104" s="5">
        <v>76</v>
      </c>
      <c r="U104" s="9"/>
    </row>
    <row r="105" spans="1:21" s="37" customFormat="1" ht="12" x14ac:dyDescent="0.3">
      <c r="A105" s="74" t="s">
        <v>1672</v>
      </c>
      <c r="B105" s="75" t="s">
        <v>1673</v>
      </c>
      <c r="C105" s="85">
        <v>386</v>
      </c>
      <c r="D105" s="86">
        <v>80.5</v>
      </c>
      <c r="E105" s="87">
        <v>24</v>
      </c>
      <c r="F105" s="86">
        <v>64.7</v>
      </c>
      <c r="G105" s="17">
        <v>20</v>
      </c>
      <c r="H105" s="88">
        <v>60</v>
      </c>
      <c r="I105" s="89">
        <v>19000</v>
      </c>
      <c r="J105" s="89" t="s">
        <v>71</v>
      </c>
      <c r="K105" s="89"/>
      <c r="L105" s="89"/>
      <c r="M105" s="90">
        <f>I105-K105</f>
        <v>19000</v>
      </c>
      <c r="N105" s="4">
        <f>IF(ISERROR(K105/I105),"",K105/I105)</f>
        <v>0</v>
      </c>
      <c r="O105" s="91">
        <f>I105/E105</f>
        <v>791.66666666666663</v>
      </c>
      <c r="P105" s="91">
        <f>K105/E105</f>
        <v>0</v>
      </c>
      <c r="Q105" s="79">
        <v>3</v>
      </c>
      <c r="R105" s="79">
        <v>1</v>
      </c>
      <c r="S105" s="79" t="s">
        <v>62</v>
      </c>
      <c r="T105" s="5">
        <v>80</v>
      </c>
      <c r="U105" s="9"/>
    </row>
    <row r="106" spans="1:21" s="37" customFormat="1" ht="12" x14ac:dyDescent="0.3">
      <c r="A106" s="74" t="s">
        <v>1678</v>
      </c>
      <c r="B106" s="75" t="s">
        <v>1679</v>
      </c>
      <c r="C106" s="85">
        <v>952</v>
      </c>
      <c r="D106" s="86">
        <v>75.599999999999994</v>
      </c>
      <c r="E106" s="87">
        <v>23</v>
      </c>
      <c r="F106" s="86">
        <v>59.8</v>
      </c>
      <c r="G106" s="17">
        <v>18</v>
      </c>
      <c r="H106" s="88">
        <v>826</v>
      </c>
      <c r="I106" s="89">
        <v>19000</v>
      </c>
      <c r="J106" s="89" t="s">
        <v>70</v>
      </c>
      <c r="K106" s="89">
        <v>17000</v>
      </c>
      <c r="L106" s="89" t="s">
        <v>97</v>
      </c>
      <c r="M106" s="90">
        <f>I106-K106</f>
        <v>2000</v>
      </c>
      <c r="N106" s="4">
        <f>IF(ISERROR(K106/I106),"",K106/I106)</f>
        <v>0.89473684210526316</v>
      </c>
      <c r="O106" s="91">
        <f>I106/E106</f>
        <v>826.08695652173913</v>
      </c>
      <c r="P106" s="91">
        <f>K106/E106</f>
        <v>739.13043478260875</v>
      </c>
      <c r="Q106" s="79">
        <v>3</v>
      </c>
      <c r="R106" s="79">
        <v>1</v>
      </c>
      <c r="S106" s="79" t="s">
        <v>62</v>
      </c>
      <c r="T106" s="5">
        <v>75</v>
      </c>
      <c r="U106" s="9"/>
    </row>
    <row r="107" spans="1:21" s="37" customFormat="1" ht="12" x14ac:dyDescent="0.3">
      <c r="A107" s="74" t="s">
        <v>1648</v>
      </c>
      <c r="B107" s="75" t="s">
        <v>1436</v>
      </c>
      <c r="C107" s="85">
        <v>940</v>
      </c>
      <c r="D107" s="86">
        <v>75.5</v>
      </c>
      <c r="E107" s="87">
        <v>23</v>
      </c>
      <c r="F107" s="86">
        <v>59.9</v>
      </c>
      <c r="G107" s="17">
        <v>18</v>
      </c>
      <c r="H107" s="88">
        <v>600</v>
      </c>
      <c r="I107" s="89">
        <v>19000</v>
      </c>
      <c r="J107" s="89" t="s">
        <v>92</v>
      </c>
      <c r="K107" s="89">
        <v>19000</v>
      </c>
      <c r="L107" s="89" t="s">
        <v>63</v>
      </c>
      <c r="M107" s="90">
        <f>I107-K107</f>
        <v>0</v>
      </c>
      <c r="N107" s="4">
        <f>IF(ISERROR(K107/I107),"",K107/I107)</f>
        <v>1</v>
      </c>
      <c r="O107" s="91">
        <f>I107/E107</f>
        <v>826.08695652173913</v>
      </c>
      <c r="P107" s="91">
        <f>K107/E107</f>
        <v>826.08695652173913</v>
      </c>
      <c r="Q107" s="79">
        <v>3</v>
      </c>
      <c r="R107" s="79">
        <v>1</v>
      </c>
      <c r="S107" s="79" t="s">
        <v>62</v>
      </c>
      <c r="T107" s="5" t="s">
        <v>80</v>
      </c>
      <c r="U107" s="9"/>
    </row>
    <row r="108" spans="1:21" s="37" customFormat="1" ht="12" x14ac:dyDescent="0.3">
      <c r="A108" s="74" t="s">
        <v>1641</v>
      </c>
      <c r="B108" s="75" t="s">
        <v>1419</v>
      </c>
      <c r="C108" s="85">
        <v>704</v>
      </c>
      <c r="D108" s="86">
        <v>67.900000000000006</v>
      </c>
      <c r="E108" s="87">
        <v>21</v>
      </c>
      <c r="F108" s="86">
        <v>49.8</v>
      </c>
      <c r="G108" s="17">
        <v>15</v>
      </c>
      <c r="H108" s="88">
        <v>82</v>
      </c>
      <c r="I108" s="89">
        <v>18500</v>
      </c>
      <c r="J108" s="89" t="s">
        <v>99</v>
      </c>
      <c r="K108" s="89"/>
      <c r="L108" s="89"/>
      <c r="M108" s="90">
        <f>I108-K108</f>
        <v>18500</v>
      </c>
      <c r="N108" s="4">
        <f>IF(ISERROR(K108/I108),"",K108/I108)</f>
        <v>0</v>
      </c>
      <c r="O108" s="91">
        <f>I108/E108</f>
        <v>880.95238095238096</v>
      </c>
      <c r="P108" s="91">
        <f>K108/E108</f>
        <v>0</v>
      </c>
      <c r="Q108" s="79">
        <v>2</v>
      </c>
      <c r="R108" s="79">
        <v>1</v>
      </c>
      <c r="S108" s="79" t="s">
        <v>62</v>
      </c>
      <c r="T108" s="5">
        <v>67</v>
      </c>
      <c r="U108" s="9"/>
    </row>
    <row r="109" spans="1:21" s="37" customFormat="1" ht="12" x14ac:dyDescent="0.3">
      <c r="A109" s="74" t="s">
        <v>1683</v>
      </c>
      <c r="B109" s="75" t="s">
        <v>1684</v>
      </c>
      <c r="C109" s="85">
        <v>520</v>
      </c>
      <c r="D109" s="86">
        <v>74.8</v>
      </c>
      <c r="E109" s="87">
        <v>23</v>
      </c>
      <c r="F109" s="86">
        <v>59.9</v>
      </c>
      <c r="G109" s="17">
        <v>18</v>
      </c>
      <c r="H109" s="88">
        <v>400</v>
      </c>
      <c r="I109" s="89">
        <v>18500</v>
      </c>
      <c r="J109" s="89" t="s">
        <v>70</v>
      </c>
      <c r="K109" s="89">
        <v>18000</v>
      </c>
      <c r="L109" s="89" t="s">
        <v>102</v>
      </c>
      <c r="M109" s="90">
        <f>I109-K109</f>
        <v>500</v>
      </c>
      <c r="N109" s="4">
        <f>IF(ISERROR(K109/I109),"",K109/I109)</f>
        <v>0.97297297297297303</v>
      </c>
      <c r="O109" s="91">
        <f>I109/E109</f>
        <v>804.3478260869565</v>
      </c>
      <c r="P109" s="91">
        <f>K109/E109</f>
        <v>782.60869565217388</v>
      </c>
      <c r="Q109" s="79">
        <v>3</v>
      </c>
      <c r="R109" s="79">
        <v>1</v>
      </c>
      <c r="S109" s="79" t="s">
        <v>62</v>
      </c>
      <c r="T109" s="5" t="s">
        <v>103</v>
      </c>
      <c r="U109" s="9"/>
    </row>
    <row r="110" spans="1:21" s="37" customFormat="1" ht="12" x14ac:dyDescent="0.3">
      <c r="A110" s="74" t="s">
        <v>1746</v>
      </c>
      <c r="B110" s="75" t="s">
        <v>1747</v>
      </c>
      <c r="C110" s="85">
        <v>812</v>
      </c>
      <c r="D110" s="86">
        <v>76.2</v>
      </c>
      <c r="E110" s="87">
        <v>23</v>
      </c>
      <c r="F110" s="86">
        <v>59.9</v>
      </c>
      <c r="G110" s="17">
        <v>18</v>
      </c>
      <c r="H110" s="88">
        <v>169</v>
      </c>
      <c r="I110" s="89">
        <v>18000</v>
      </c>
      <c r="J110" s="89" t="s">
        <v>63</v>
      </c>
      <c r="K110" s="89"/>
      <c r="L110" s="89"/>
      <c r="M110" s="90">
        <f>I110-K110</f>
        <v>18000</v>
      </c>
      <c r="N110" s="4">
        <f>IF(ISERROR(K110/I110),"",K110/I110)</f>
        <v>0</v>
      </c>
      <c r="O110" s="91">
        <f>I110/E110</f>
        <v>782.60869565217388</v>
      </c>
      <c r="P110" s="91">
        <f>K110/E110</f>
        <v>0</v>
      </c>
      <c r="Q110" s="79">
        <v>3</v>
      </c>
      <c r="R110" s="79">
        <v>2</v>
      </c>
      <c r="S110" s="79" t="s">
        <v>62</v>
      </c>
      <c r="T110" s="5" t="s">
        <v>111</v>
      </c>
      <c r="U110" s="9"/>
    </row>
    <row r="111" spans="1:21" s="37" customFormat="1" ht="12" x14ac:dyDescent="0.3">
      <c r="A111" s="74" t="s">
        <v>1742</v>
      </c>
      <c r="B111" s="75" t="s">
        <v>1557</v>
      </c>
      <c r="C111" s="85">
        <v>355</v>
      </c>
      <c r="D111" s="86">
        <v>99.4</v>
      </c>
      <c r="E111" s="87">
        <v>30</v>
      </c>
      <c r="F111" s="86">
        <v>84.9</v>
      </c>
      <c r="G111" s="17">
        <v>26</v>
      </c>
      <c r="H111" s="88">
        <v>80</v>
      </c>
      <c r="I111" s="89">
        <v>17500</v>
      </c>
      <c r="J111" s="89" t="s">
        <v>89</v>
      </c>
      <c r="K111" s="89"/>
      <c r="L111" s="89"/>
      <c r="M111" s="90">
        <f>I111-K111</f>
        <v>17500</v>
      </c>
      <c r="N111" s="4">
        <f>IF(ISERROR(K111/I111),"",K111/I111)</f>
        <v>0</v>
      </c>
      <c r="O111" s="91">
        <f>I111/E111</f>
        <v>583.33333333333337</v>
      </c>
      <c r="P111" s="91">
        <f>K111/E111</f>
        <v>0</v>
      </c>
      <c r="Q111" s="79">
        <v>3</v>
      </c>
      <c r="R111" s="79">
        <v>2</v>
      </c>
      <c r="S111" s="79" t="s">
        <v>62</v>
      </c>
      <c r="T111" s="5">
        <v>99</v>
      </c>
      <c r="U111" s="9"/>
    </row>
    <row r="112" spans="1:21" s="37" customFormat="1" ht="12" x14ac:dyDescent="0.3">
      <c r="A112" s="74" t="s">
        <v>1630</v>
      </c>
      <c r="B112" s="75" t="s">
        <v>1631</v>
      </c>
      <c r="C112" s="85">
        <v>1200</v>
      </c>
      <c r="D112" s="86">
        <v>58.9</v>
      </c>
      <c r="E112" s="87">
        <v>18</v>
      </c>
      <c r="F112" s="86">
        <v>53.9</v>
      </c>
      <c r="G112" s="17">
        <v>16</v>
      </c>
      <c r="H112" s="88">
        <v>306</v>
      </c>
      <c r="I112" s="89">
        <v>17500</v>
      </c>
      <c r="J112" s="89" t="s">
        <v>71</v>
      </c>
      <c r="K112" s="89">
        <v>8000</v>
      </c>
      <c r="L112" s="89" t="s">
        <v>89</v>
      </c>
      <c r="M112" s="90">
        <f>I112-K112</f>
        <v>9500</v>
      </c>
      <c r="N112" s="4">
        <f>IF(ISERROR(K112/I112),"",K112/I112)</f>
        <v>0.45714285714285713</v>
      </c>
      <c r="O112" s="91">
        <f>I112/E112</f>
        <v>972.22222222222217</v>
      </c>
      <c r="P112" s="91">
        <f>K112/E112</f>
        <v>444.44444444444446</v>
      </c>
      <c r="Q112" s="79">
        <v>2</v>
      </c>
      <c r="R112" s="79">
        <v>1</v>
      </c>
      <c r="S112" s="79" t="s">
        <v>62</v>
      </c>
      <c r="T112" s="5" t="s">
        <v>190</v>
      </c>
      <c r="U112" s="9"/>
    </row>
    <row r="113" spans="1:21" s="37" customFormat="1" ht="12" x14ac:dyDescent="0.3">
      <c r="A113" s="74" t="s">
        <v>1692</v>
      </c>
      <c r="B113" s="75" t="s">
        <v>1684</v>
      </c>
      <c r="C113" s="85">
        <v>448</v>
      </c>
      <c r="D113" s="86">
        <v>76.7</v>
      </c>
      <c r="E113" s="87">
        <v>23</v>
      </c>
      <c r="F113" s="86">
        <v>60</v>
      </c>
      <c r="G113" s="17">
        <v>18</v>
      </c>
      <c r="H113" s="88">
        <v>423</v>
      </c>
      <c r="I113" s="89">
        <v>17400</v>
      </c>
      <c r="J113" s="89" t="s">
        <v>79</v>
      </c>
      <c r="K113" s="89">
        <v>17000</v>
      </c>
      <c r="L113" s="89" t="s">
        <v>63</v>
      </c>
      <c r="M113" s="90">
        <f>I113-K113</f>
        <v>400</v>
      </c>
      <c r="N113" s="4">
        <f>IF(ISERROR(K113/I113),"",K113/I113)</f>
        <v>0.97701149425287359</v>
      </c>
      <c r="O113" s="91">
        <f>I113/E113</f>
        <v>756.52173913043475</v>
      </c>
      <c r="P113" s="91">
        <f>K113/E113</f>
        <v>739.13043478260875</v>
      </c>
      <c r="Q113" s="79">
        <v>3</v>
      </c>
      <c r="R113" s="79">
        <v>1</v>
      </c>
      <c r="S113" s="79" t="s">
        <v>62</v>
      </c>
      <c r="T113" s="5" t="s">
        <v>110</v>
      </c>
      <c r="U113" s="9"/>
    </row>
    <row r="114" spans="1:21" s="37" customFormat="1" ht="12" x14ac:dyDescent="0.3">
      <c r="A114" s="74" t="s">
        <v>1624</v>
      </c>
      <c r="B114" s="75" t="s">
        <v>1440</v>
      </c>
      <c r="C114" s="85">
        <v>570</v>
      </c>
      <c r="D114" s="86">
        <v>102.3</v>
      </c>
      <c r="E114" s="87">
        <v>31</v>
      </c>
      <c r="F114" s="86">
        <v>85</v>
      </c>
      <c r="G114" s="17">
        <v>26</v>
      </c>
      <c r="H114" s="88">
        <v>210</v>
      </c>
      <c r="I114" s="89">
        <v>17000</v>
      </c>
      <c r="J114" s="89" t="s">
        <v>70</v>
      </c>
      <c r="K114" s="89"/>
      <c r="L114" s="89"/>
      <c r="M114" s="90">
        <f>I114-K114</f>
        <v>17000</v>
      </c>
      <c r="N114" s="4">
        <f>IF(ISERROR(K114/I114),"",K114/I114)</f>
        <v>0</v>
      </c>
      <c r="O114" s="91">
        <f>I114/E114</f>
        <v>548.38709677419354</v>
      </c>
      <c r="P114" s="91">
        <f>K114/E114</f>
        <v>0</v>
      </c>
      <c r="Q114" s="79">
        <v>3</v>
      </c>
      <c r="R114" s="79">
        <v>2</v>
      </c>
      <c r="S114" s="79" t="s">
        <v>62</v>
      </c>
      <c r="T114" s="5" t="s">
        <v>186</v>
      </c>
      <c r="U114" s="9"/>
    </row>
    <row r="115" spans="1:21" s="37" customFormat="1" ht="12" x14ac:dyDescent="0.3">
      <c r="A115" s="74" t="s">
        <v>1604</v>
      </c>
      <c r="B115" s="75" t="s">
        <v>1605</v>
      </c>
      <c r="C115" s="85">
        <v>556</v>
      </c>
      <c r="D115" s="86">
        <v>58.9</v>
      </c>
      <c r="E115" s="87">
        <v>18</v>
      </c>
      <c r="F115" s="86">
        <v>53.9</v>
      </c>
      <c r="G115" s="17">
        <v>16</v>
      </c>
      <c r="H115" s="88">
        <v>198</v>
      </c>
      <c r="I115" s="89">
        <v>17000</v>
      </c>
      <c r="J115" s="89" t="s">
        <v>83</v>
      </c>
      <c r="K115" s="89">
        <v>6000</v>
      </c>
      <c r="L115" s="89" t="s">
        <v>89</v>
      </c>
      <c r="M115" s="90">
        <f>I115-K115</f>
        <v>11000</v>
      </c>
      <c r="N115" s="4">
        <f>IF(ISERROR(K115/I115),"",K115/I115)</f>
        <v>0.35294117647058826</v>
      </c>
      <c r="O115" s="91">
        <f>I115/E115</f>
        <v>944.44444444444446</v>
      </c>
      <c r="P115" s="91">
        <f>K115/E115</f>
        <v>333.33333333333331</v>
      </c>
      <c r="Q115" s="79">
        <v>2</v>
      </c>
      <c r="R115" s="79">
        <v>1</v>
      </c>
      <c r="S115" s="79" t="s">
        <v>62</v>
      </c>
      <c r="T115" s="5">
        <v>58</v>
      </c>
      <c r="U115" s="9"/>
    </row>
    <row r="116" spans="1:21" s="37" customFormat="1" ht="12" x14ac:dyDescent="0.3">
      <c r="A116" s="74" t="s">
        <v>1676</v>
      </c>
      <c r="B116" s="75" t="s">
        <v>1677</v>
      </c>
      <c r="C116" s="85">
        <v>370</v>
      </c>
      <c r="D116" s="86">
        <v>77.5</v>
      </c>
      <c r="E116" s="87">
        <v>23</v>
      </c>
      <c r="F116" s="86">
        <v>62.1</v>
      </c>
      <c r="G116" s="17">
        <v>19</v>
      </c>
      <c r="H116" s="88">
        <v>78</v>
      </c>
      <c r="I116" s="89">
        <v>16700</v>
      </c>
      <c r="J116" s="89" t="s">
        <v>83</v>
      </c>
      <c r="K116" s="89">
        <v>17000</v>
      </c>
      <c r="L116" s="89" t="s">
        <v>89</v>
      </c>
      <c r="M116" s="90">
        <f>I116-K116</f>
        <v>-300</v>
      </c>
      <c r="N116" s="4">
        <f>IF(ISERROR(K116/I116),"",K116/I116)</f>
        <v>1.0179640718562875</v>
      </c>
      <c r="O116" s="91">
        <f>I116/E116</f>
        <v>726.08695652173913</v>
      </c>
      <c r="P116" s="91">
        <f>K116/E116</f>
        <v>739.13043478260875</v>
      </c>
      <c r="Q116" s="79">
        <v>3</v>
      </c>
      <c r="R116" s="79">
        <v>1</v>
      </c>
      <c r="S116" s="79" t="s">
        <v>62</v>
      </c>
      <c r="T116" s="5">
        <v>77</v>
      </c>
      <c r="U116" s="9"/>
    </row>
    <row r="117" spans="1:21" s="37" customFormat="1" ht="12" x14ac:dyDescent="0.3">
      <c r="A117" s="74" t="s">
        <v>1685</v>
      </c>
      <c r="B117" s="75" t="s">
        <v>1686</v>
      </c>
      <c r="C117" s="85">
        <v>324</v>
      </c>
      <c r="D117" s="86">
        <v>83</v>
      </c>
      <c r="E117" s="87">
        <v>25</v>
      </c>
      <c r="F117" s="86">
        <v>64.900000000000006</v>
      </c>
      <c r="G117" s="17">
        <v>20</v>
      </c>
      <c r="H117" s="88">
        <v>48</v>
      </c>
      <c r="I117" s="89">
        <v>16500</v>
      </c>
      <c r="J117" s="89" t="s">
        <v>83</v>
      </c>
      <c r="K117" s="89">
        <v>15000</v>
      </c>
      <c r="L117" s="89" t="s">
        <v>88</v>
      </c>
      <c r="M117" s="90">
        <f>I117-K117</f>
        <v>1500</v>
      </c>
      <c r="N117" s="4">
        <f>IF(ISERROR(K117/I117),"",K117/I117)</f>
        <v>0.90909090909090906</v>
      </c>
      <c r="O117" s="91">
        <f>I117/E117</f>
        <v>660</v>
      </c>
      <c r="P117" s="91">
        <f>K117/E117</f>
        <v>600</v>
      </c>
      <c r="Q117" s="79">
        <v>2</v>
      </c>
      <c r="R117" s="79">
        <v>1</v>
      </c>
      <c r="S117" s="79" t="s">
        <v>62</v>
      </c>
      <c r="T117" s="5">
        <v>82</v>
      </c>
      <c r="U117" s="9"/>
    </row>
    <row r="118" spans="1:21" s="37" customFormat="1" ht="12" x14ac:dyDescent="0.3">
      <c r="A118" s="74" t="s">
        <v>1685</v>
      </c>
      <c r="B118" s="75" t="s">
        <v>1483</v>
      </c>
      <c r="C118" s="85">
        <v>324</v>
      </c>
      <c r="D118" s="86">
        <v>86.7</v>
      </c>
      <c r="E118" s="87">
        <v>26</v>
      </c>
      <c r="F118" s="86">
        <v>68.400000000000006</v>
      </c>
      <c r="G118" s="17">
        <v>21</v>
      </c>
      <c r="H118" s="88">
        <v>60</v>
      </c>
      <c r="I118" s="89">
        <v>16000</v>
      </c>
      <c r="J118" s="89" t="s">
        <v>79</v>
      </c>
      <c r="K118" s="89"/>
      <c r="L118" s="89"/>
      <c r="M118" s="90">
        <f>I118-K118</f>
        <v>16000</v>
      </c>
      <c r="N118" s="4">
        <f>IF(ISERROR(K118/I118),"",K118/I118)</f>
        <v>0</v>
      </c>
      <c r="O118" s="91">
        <f>I118/E118</f>
        <v>615.38461538461536</v>
      </c>
      <c r="P118" s="91">
        <f>K118/E118</f>
        <v>0</v>
      </c>
      <c r="Q118" s="79">
        <v>2</v>
      </c>
      <c r="R118" s="79">
        <v>1</v>
      </c>
      <c r="S118" s="79" t="s">
        <v>62</v>
      </c>
      <c r="T118" s="5" t="s">
        <v>105</v>
      </c>
      <c r="U118" s="9"/>
    </row>
    <row r="119" spans="1:21" s="37" customFormat="1" ht="12" x14ac:dyDescent="0.3">
      <c r="A119" s="74" t="s">
        <v>1613</v>
      </c>
      <c r="B119" s="75" t="s">
        <v>1789</v>
      </c>
      <c r="C119" s="85">
        <v>478</v>
      </c>
      <c r="D119" s="86">
        <v>80.3</v>
      </c>
      <c r="E119" s="87">
        <v>24</v>
      </c>
      <c r="F119" s="86">
        <v>59.9</v>
      </c>
      <c r="G119" s="17">
        <v>18</v>
      </c>
      <c r="H119" s="88">
        <v>313</v>
      </c>
      <c r="I119" s="89">
        <v>16000</v>
      </c>
      <c r="J119" s="89" t="s">
        <v>79</v>
      </c>
      <c r="K119" s="89">
        <v>15500</v>
      </c>
      <c r="L119" s="89" t="s">
        <v>81</v>
      </c>
      <c r="M119" s="90">
        <f>I119-K119</f>
        <v>500</v>
      </c>
      <c r="N119" s="4">
        <f>IF(ISERROR(K119/I119),"",K119/I119)</f>
        <v>0.96875</v>
      </c>
      <c r="O119" s="91">
        <f>I119/E119</f>
        <v>666.66666666666663</v>
      </c>
      <c r="P119" s="91">
        <f>K119/E119</f>
        <v>645.83333333333337</v>
      </c>
      <c r="Q119" s="79">
        <v>3</v>
      </c>
      <c r="R119" s="79">
        <v>1</v>
      </c>
      <c r="S119" s="79" t="s">
        <v>59</v>
      </c>
      <c r="T119" s="5">
        <v>80</v>
      </c>
      <c r="U119" s="9"/>
    </row>
    <row r="120" spans="1:21" s="37" customFormat="1" ht="12" x14ac:dyDescent="0.3">
      <c r="A120" s="74" t="s">
        <v>1680</v>
      </c>
      <c r="B120" s="75" t="s">
        <v>1681</v>
      </c>
      <c r="C120" s="85">
        <v>600</v>
      </c>
      <c r="D120" s="86">
        <v>80.599999999999994</v>
      </c>
      <c r="E120" s="87">
        <v>24</v>
      </c>
      <c r="F120" s="86">
        <v>59.3</v>
      </c>
      <c r="G120" s="17">
        <v>18</v>
      </c>
      <c r="H120" s="88">
        <v>300</v>
      </c>
      <c r="I120" s="89">
        <v>15700</v>
      </c>
      <c r="J120" s="89" t="s">
        <v>97</v>
      </c>
      <c r="K120" s="89">
        <v>15000</v>
      </c>
      <c r="L120" s="89" t="s">
        <v>88</v>
      </c>
      <c r="M120" s="90">
        <f>I120-K120</f>
        <v>700</v>
      </c>
      <c r="N120" s="4">
        <f>IF(ISERROR(K120/I120),"",K120/I120)</f>
        <v>0.95541401273885351</v>
      </c>
      <c r="O120" s="91">
        <f>I120/E120</f>
        <v>654.16666666666663</v>
      </c>
      <c r="P120" s="91">
        <f>K120/E120</f>
        <v>625</v>
      </c>
      <c r="Q120" s="79">
        <v>3</v>
      </c>
      <c r="R120" s="79">
        <v>1</v>
      </c>
      <c r="S120" s="79" t="s">
        <v>62</v>
      </c>
      <c r="T120" s="5">
        <v>80</v>
      </c>
      <c r="U120" s="9"/>
    </row>
    <row r="121" spans="1:21" s="37" customFormat="1" ht="12" x14ac:dyDescent="0.3">
      <c r="A121" s="74" t="s">
        <v>1616</v>
      </c>
      <c r="B121" s="75" t="s">
        <v>1617</v>
      </c>
      <c r="C121" s="85">
        <v>894</v>
      </c>
      <c r="D121" s="86">
        <v>81.2</v>
      </c>
      <c r="E121" s="87">
        <v>25</v>
      </c>
      <c r="F121" s="86">
        <v>59.9</v>
      </c>
      <c r="G121" s="17">
        <v>18</v>
      </c>
      <c r="H121" s="88">
        <v>434</v>
      </c>
      <c r="I121" s="89">
        <v>15500</v>
      </c>
      <c r="J121" s="89" t="s">
        <v>70</v>
      </c>
      <c r="K121" s="89">
        <v>14000</v>
      </c>
      <c r="L121" s="89" t="s">
        <v>88</v>
      </c>
      <c r="M121" s="90">
        <f>I121-K121</f>
        <v>1500</v>
      </c>
      <c r="N121" s="4">
        <f>IF(ISERROR(K121/I121),"",K121/I121)</f>
        <v>0.90322580645161288</v>
      </c>
      <c r="O121" s="91">
        <f>I121/E121</f>
        <v>620</v>
      </c>
      <c r="P121" s="91">
        <f>K121/E121</f>
        <v>560</v>
      </c>
      <c r="Q121" s="79">
        <v>3</v>
      </c>
      <c r="R121" s="79">
        <v>1</v>
      </c>
      <c r="S121" s="79" t="s">
        <v>59</v>
      </c>
      <c r="T121" s="5">
        <v>81</v>
      </c>
      <c r="U121" s="9"/>
    </row>
    <row r="122" spans="1:21" s="37" customFormat="1" ht="12" x14ac:dyDescent="0.3">
      <c r="A122" s="74" t="s">
        <v>1632</v>
      </c>
      <c r="B122" s="75" t="s">
        <v>1633</v>
      </c>
      <c r="C122" s="85">
        <v>564</v>
      </c>
      <c r="D122" s="86">
        <v>77.3</v>
      </c>
      <c r="E122" s="87">
        <v>23</v>
      </c>
      <c r="F122" s="86">
        <v>59.9</v>
      </c>
      <c r="G122" s="17">
        <v>18</v>
      </c>
      <c r="H122" s="88">
        <v>264</v>
      </c>
      <c r="I122" s="89">
        <v>15000</v>
      </c>
      <c r="J122" s="89" t="s">
        <v>71</v>
      </c>
      <c r="K122" s="89"/>
      <c r="L122" s="89"/>
      <c r="M122" s="90">
        <f>I122-K122</f>
        <v>15000</v>
      </c>
      <c r="N122" s="4">
        <f>IF(ISERROR(K122/I122),"",K122/I122)</f>
        <v>0</v>
      </c>
      <c r="O122" s="91">
        <f>I122/E122</f>
        <v>652.17391304347825</v>
      </c>
      <c r="P122" s="91">
        <f>K122/E122</f>
        <v>0</v>
      </c>
      <c r="Q122" s="79">
        <v>3</v>
      </c>
      <c r="R122" s="79">
        <v>1</v>
      </c>
      <c r="S122" s="79" t="s">
        <v>62</v>
      </c>
      <c r="T122" s="5">
        <v>77</v>
      </c>
      <c r="U122" s="9"/>
    </row>
    <row r="123" spans="1:21" s="37" customFormat="1" ht="12" x14ac:dyDescent="0.3">
      <c r="A123" s="74" t="s">
        <v>1650</v>
      </c>
      <c r="B123" s="75" t="s">
        <v>1651</v>
      </c>
      <c r="C123" s="85">
        <v>620</v>
      </c>
      <c r="D123" s="86">
        <v>78.5</v>
      </c>
      <c r="E123" s="87">
        <v>24</v>
      </c>
      <c r="F123" s="86">
        <v>59.9</v>
      </c>
      <c r="G123" s="17">
        <v>18</v>
      </c>
      <c r="H123" s="88">
        <v>420</v>
      </c>
      <c r="I123" s="89">
        <v>15000</v>
      </c>
      <c r="J123" s="89" t="s">
        <v>63</v>
      </c>
      <c r="K123" s="89">
        <v>14500</v>
      </c>
      <c r="L123" s="89" t="s">
        <v>81</v>
      </c>
      <c r="M123" s="90">
        <f>I123-K123</f>
        <v>500</v>
      </c>
      <c r="N123" s="4">
        <f>IF(ISERROR(K123/I123),"",K123/I123)</f>
        <v>0.96666666666666667</v>
      </c>
      <c r="O123" s="91">
        <f>I123/E123</f>
        <v>625</v>
      </c>
      <c r="P123" s="91">
        <f>K123/E123</f>
        <v>604.16666666666663</v>
      </c>
      <c r="Q123" s="79">
        <v>2</v>
      </c>
      <c r="R123" s="79">
        <v>1</v>
      </c>
      <c r="S123" s="79" t="s">
        <v>59</v>
      </c>
      <c r="T123" s="5">
        <v>78</v>
      </c>
      <c r="U123" s="9"/>
    </row>
    <row r="124" spans="1:21" s="37" customFormat="1" ht="12" x14ac:dyDescent="0.3">
      <c r="A124" s="74" t="s">
        <v>1611</v>
      </c>
      <c r="B124" s="75" t="s">
        <v>1786</v>
      </c>
      <c r="C124" s="85">
        <v>365</v>
      </c>
      <c r="D124" s="86">
        <v>96</v>
      </c>
      <c r="E124" s="87">
        <v>29</v>
      </c>
      <c r="F124" s="86">
        <v>69.599999999999994</v>
      </c>
      <c r="G124" s="17">
        <v>21</v>
      </c>
      <c r="H124" s="88">
        <v>102</v>
      </c>
      <c r="I124" s="89">
        <v>14500</v>
      </c>
      <c r="J124" s="89" t="s">
        <v>71</v>
      </c>
      <c r="K124" s="89">
        <v>14000</v>
      </c>
      <c r="L124" s="89" t="s">
        <v>89</v>
      </c>
      <c r="M124" s="90">
        <f>I124-K124</f>
        <v>500</v>
      </c>
      <c r="N124" s="4">
        <f>IF(ISERROR(K124/I124),"",K124/I124)</f>
        <v>0.96551724137931039</v>
      </c>
      <c r="O124" s="91">
        <f>I124/E124</f>
        <v>500</v>
      </c>
      <c r="P124" s="91">
        <f>K124/E124</f>
        <v>482.75862068965517</v>
      </c>
      <c r="Q124" s="79">
        <v>3</v>
      </c>
      <c r="R124" s="79">
        <v>1</v>
      </c>
      <c r="S124" s="79" t="s">
        <v>59</v>
      </c>
      <c r="T124" s="5">
        <v>96</v>
      </c>
      <c r="U124" s="9"/>
    </row>
    <row r="125" spans="1:21" s="37" customFormat="1" ht="12" x14ac:dyDescent="0.3">
      <c r="A125" s="74" t="s">
        <v>1678</v>
      </c>
      <c r="B125" s="75" t="s">
        <v>1474</v>
      </c>
      <c r="C125" s="85">
        <v>952</v>
      </c>
      <c r="D125" s="86">
        <v>61.6</v>
      </c>
      <c r="E125" s="87">
        <v>19</v>
      </c>
      <c r="F125" s="86">
        <v>41.9</v>
      </c>
      <c r="G125" s="17">
        <v>13</v>
      </c>
      <c r="H125" s="88">
        <v>126</v>
      </c>
      <c r="I125" s="89">
        <v>14000</v>
      </c>
      <c r="J125" s="89" t="s">
        <v>83</v>
      </c>
      <c r="K125" s="89">
        <v>12000</v>
      </c>
      <c r="L125" s="89" t="s">
        <v>92</v>
      </c>
      <c r="M125" s="90">
        <f>I125-K125</f>
        <v>2000</v>
      </c>
      <c r="N125" s="4">
        <f>IF(ISERROR(K125/I125),"",K125/I125)</f>
        <v>0.8571428571428571</v>
      </c>
      <c r="O125" s="91">
        <f>I125/E125</f>
        <v>736.84210526315792</v>
      </c>
      <c r="P125" s="91">
        <f>K125/E125</f>
        <v>631.57894736842104</v>
      </c>
      <c r="Q125" s="79">
        <v>2</v>
      </c>
      <c r="R125" s="79">
        <v>1</v>
      </c>
      <c r="S125" s="79" t="s">
        <v>59</v>
      </c>
      <c r="T125" s="5">
        <v>61</v>
      </c>
      <c r="U125" s="9"/>
    </row>
    <row r="126" spans="1:21" s="37" customFormat="1" ht="12" x14ac:dyDescent="0.3">
      <c r="A126" s="74" t="s">
        <v>1759</v>
      </c>
      <c r="B126" s="75" t="s">
        <v>1579</v>
      </c>
      <c r="C126" s="85">
        <v>350</v>
      </c>
      <c r="D126" s="86">
        <v>69</v>
      </c>
      <c r="E126" s="87">
        <v>21</v>
      </c>
      <c r="F126" s="86">
        <v>59.9</v>
      </c>
      <c r="G126" s="17">
        <v>18</v>
      </c>
      <c r="H126" s="88">
        <v>130</v>
      </c>
      <c r="I126" s="89">
        <v>13600</v>
      </c>
      <c r="J126" s="89" t="s">
        <v>83</v>
      </c>
      <c r="K126" s="89"/>
      <c r="L126" s="89"/>
      <c r="M126" s="90">
        <f>I126-K126</f>
        <v>13600</v>
      </c>
      <c r="N126" s="4">
        <f>IF(ISERROR(K126/I126),"",K126/I126)</f>
        <v>0</v>
      </c>
      <c r="O126" s="91">
        <f>I126/E126</f>
        <v>647.61904761904759</v>
      </c>
      <c r="P126" s="91">
        <f>K126/E126</f>
        <v>0</v>
      </c>
      <c r="Q126" s="79">
        <v>3</v>
      </c>
      <c r="R126" s="79">
        <v>1</v>
      </c>
      <c r="S126" s="79" t="s">
        <v>62</v>
      </c>
      <c r="T126" s="5">
        <v>69</v>
      </c>
      <c r="U126" s="9"/>
    </row>
    <row r="127" spans="1:21" s="37" customFormat="1" ht="12" x14ac:dyDescent="0.3">
      <c r="A127" s="74" t="s">
        <v>1742</v>
      </c>
      <c r="B127" s="75" t="s">
        <v>1743</v>
      </c>
      <c r="C127" s="85">
        <v>355</v>
      </c>
      <c r="D127" s="86">
        <v>73.099999999999994</v>
      </c>
      <c r="E127" s="87">
        <v>22</v>
      </c>
      <c r="F127" s="86">
        <v>59.9</v>
      </c>
      <c r="G127" s="17">
        <v>18</v>
      </c>
      <c r="H127" s="88">
        <v>80</v>
      </c>
      <c r="I127" s="89">
        <v>13500</v>
      </c>
      <c r="J127" s="89" t="s">
        <v>83</v>
      </c>
      <c r="K127" s="89"/>
      <c r="L127" s="89"/>
      <c r="M127" s="90">
        <f>I127-K127</f>
        <v>13500</v>
      </c>
      <c r="N127" s="4">
        <f>IF(ISERROR(K127/I127),"",K127/I127)</f>
        <v>0</v>
      </c>
      <c r="O127" s="91">
        <f>I127/E127</f>
        <v>613.63636363636363</v>
      </c>
      <c r="P127" s="91">
        <f>K127/E127</f>
        <v>0</v>
      </c>
      <c r="Q127" s="79">
        <v>3</v>
      </c>
      <c r="R127" s="79">
        <v>1</v>
      </c>
      <c r="S127" s="79" t="s">
        <v>62</v>
      </c>
      <c r="T127" s="5">
        <v>73</v>
      </c>
      <c r="U127" s="9"/>
    </row>
    <row r="128" spans="1:21" s="37" customFormat="1" ht="12" x14ac:dyDescent="0.3">
      <c r="A128" s="74" t="s">
        <v>1787</v>
      </c>
      <c r="B128" s="75" t="s">
        <v>1788</v>
      </c>
      <c r="C128" s="85">
        <v>478</v>
      </c>
      <c r="D128" s="86">
        <v>61.5</v>
      </c>
      <c r="E128" s="87">
        <v>19</v>
      </c>
      <c r="F128" s="86">
        <v>45.3</v>
      </c>
      <c r="G128" s="17">
        <v>14</v>
      </c>
      <c r="H128" s="88">
        <v>165</v>
      </c>
      <c r="I128" s="89">
        <v>12500</v>
      </c>
      <c r="J128" s="89" t="s">
        <v>64</v>
      </c>
      <c r="K128" s="89"/>
      <c r="L128" s="89"/>
      <c r="M128" s="90">
        <f>I128-K128</f>
        <v>12500</v>
      </c>
      <c r="N128" s="4">
        <f>IF(ISERROR(K128/I128),"",K128/I128)</f>
        <v>0</v>
      </c>
      <c r="O128" s="91">
        <f>I128/E128</f>
        <v>657.89473684210532</v>
      </c>
      <c r="P128" s="91">
        <f>K128/E128</f>
        <v>0</v>
      </c>
      <c r="Q128" s="79">
        <v>2</v>
      </c>
      <c r="R128" s="79">
        <v>1</v>
      </c>
      <c r="S128" s="79" t="s">
        <v>59</v>
      </c>
      <c r="T128" s="5">
        <v>61</v>
      </c>
      <c r="U128" s="9"/>
    </row>
    <row r="129" spans="1:21" s="37" customFormat="1" ht="12" x14ac:dyDescent="0.3">
      <c r="A129" s="74" t="s">
        <v>1742</v>
      </c>
      <c r="B129" s="75" t="s">
        <v>1743</v>
      </c>
      <c r="C129" s="85">
        <v>355</v>
      </c>
      <c r="D129" s="86">
        <v>50.9</v>
      </c>
      <c r="E129" s="87">
        <v>15</v>
      </c>
      <c r="F129" s="86">
        <v>39.799999999999997</v>
      </c>
      <c r="G129" s="17">
        <v>12</v>
      </c>
      <c r="H129" s="88">
        <v>100</v>
      </c>
      <c r="I129" s="89">
        <v>12000</v>
      </c>
      <c r="J129" s="89" t="s">
        <v>83</v>
      </c>
      <c r="K129" s="89"/>
      <c r="L129" s="89"/>
      <c r="M129" s="90">
        <f>I129-K129</f>
        <v>12000</v>
      </c>
      <c r="N129" s="4">
        <f>IF(ISERROR(K129/I129),"",K129/I129)</f>
        <v>0</v>
      </c>
      <c r="O129" s="91">
        <f>I129/E129</f>
        <v>800</v>
      </c>
      <c r="P129" s="91">
        <f>K129/E129</f>
        <v>0</v>
      </c>
      <c r="Q129" s="79">
        <v>2</v>
      </c>
      <c r="R129" s="79">
        <v>1</v>
      </c>
      <c r="S129" s="79" t="s">
        <v>62</v>
      </c>
      <c r="T129" s="5">
        <v>50</v>
      </c>
      <c r="U129" s="9"/>
    </row>
    <row r="130" spans="1:21" s="37" customFormat="1" ht="12" x14ac:dyDescent="0.3">
      <c r="A130" s="74" t="s">
        <v>1578</v>
      </c>
      <c r="B130" s="75" t="s">
        <v>1579</v>
      </c>
      <c r="C130" s="85">
        <v>350</v>
      </c>
      <c r="D130" s="86">
        <v>58.7</v>
      </c>
      <c r="E130" s="87">
        <v>18</v>
      </c>
      <c r="F130" s="86">
        <v>49.6</v>
      </c>
      <c r="G130" s="17">
        <v>15</v>
      </c>
      <c r="H130" s="88">
        <v>200</v>
      </c>
      <c r="I130" s="89">
        <v>12000</v>
      </c>
      <c r="J130" s="89" t="s">
        <v>83</v>
      </c>
      <c r="K130" s="89">
        <v>11000</v>
      </c>
      <c r="L130" s="89" t="s">
        <v>83</v>
      </c>
      <c r="M130" s="90">
        <f>I130-K130</f>
        <v>1000</v>
      </c>
      <c r="N130" s="4">
        <f>IF(ISERROR(K130/I130),"",K130/I130)</f>
        <v>0.91666666666666663</v>
      </c>
      <c r="O130" s="91">
        <f>I130/E130</f>
        <v>666.66666666666663</v>
      </c>
      <c r="P130" s="91">
        <f>K130/E130</f>
        <v>611.11111111111109</v>
      </c>
      <c r="Q130" s="79">
        <v>2</v>
      </c>
      <c r="R130" s="79">
        <v>1</v>
      </c>
      <c r="S130" s="79" t="s">
        <v>62</v>
      </c>
      <c r="T130" s="5">
        <v>58</v>
      </c>
      <c r="U130" s="9"/>
    </row>
    <row r="131" spans="1:21" s="37" customFormat="1" ht="12" x14ac:dyDescent="0.3">
      <c r="A131" s="74" t="s">
        <v>1785</v>
      </c>
      <c r="B131" s="75" t="s">
        <v>1786</v>
      </c>
      <c r="C131" s="85">
        <v>365</v>
      </c>
      <c r="D131" s="86">
        <v>82.5</v>
      </c>
      <c r="E131" s="87">
        <v>25</v>
      </c>
      <c r="F131" s="86">
        <v>59.9</v>
      </c>
      <c r="G131" s="17">
        <v>18</v>
      </c>
      <c r="H131" s="88">
        <v>128</v>
      </c>
      <c r="I131" s="89">
        <v>12000</v>
      </c>
      <c r="J131" s="89" t="s">
        <v>88</v>
      </c>
      <c r="K131" s="89">
        <v>11000</v>
      </c>
      <c r="L131" s="89" t="s">
        <v>71</v>
      </c>
      <c r="M131" s="90">
        <f>I131-K131</f>
        <v>1000</v>
      </c>
      <c r="N131" s="4">
        <f>IF(ISERROR(K131/I131),"",K131/I131)</f>
        <v>0.91666666666666663</v>
      </c>
      <c r="O131" s="91">
        <f>I131/E131</f>
        <v>480</v>
      </c>
      <c r="P131" s="91">
        <f>K131/E131</f>
        <v>440</v>
      </c>
      <c r="Q131" s="79">
        <v>3</v>
      </c>
      <c r="R131" s="79">
        <v>1</v>
      </c>
      <c r="S131" s="79" t="s">
        <v>59</v>
      </c>
      <c r="T131" s="5">
        <v>82</v>
      </c>
      <c r="U131" s="9"/>
    </row>
    <row r="132" spans="1:21" s="37" customFormat="1" ht="12" x14ac:dyDescent="0.3">
      <c r="A132" s="74" t="s">
        <v>1791</v>
      </c>
      <c r="B132" s="75" t="s">
        <v>1792</v>
      </c>
      <c r="C132" s="85">
        <v>894</v>
      </c>
      <c r="D132" s="86">
        <v>61.4</v>
      </c>
      <c r="E132" s="87">
        <v>19</v>
      </c>
      <c r="F132" s="86">
        <v>45.3</v>
      </c>
      <c r="G132" s="17">
        <v>14</v>
      </c>
      <c r="H132" s="88">
        <v>460</v>
      </c>
      <c r="I132" s="89">
        <v>12000</v>
      </c>
      <c r="J132" s="89" t="s">
        <v>75</v>
      </c>
      <c r="K132" s="89">
        <v>11500</v>
      </c>
      <c r="L132" s="89" t="s">
        <v>81</v>
      </c>
      <c r="M132" s="90">
        <f>I132-K132</f>
        <v>500</v>
      </c>
      <c r="N132" s="4">
        <f>IF(ISERROR(K132/I132),"",K132/I132)</f>
        <v>0.95833333333333337</v>
      </c>
      <c r="O132" s="91">
        <f>I132/E132</f>
        <v>631.57894736842104</v>
      </c>
      <c r="P132" s="91">
        <f>K132/E132</f>
        <v>605.26315789473688</v>
      </c>
      <c r="Q132" s="79">
        <v>2</v>
      </c>
      <c r="R132" s="79">
        <v>1</v>
      </c>
      <c r="S132" s="79" t="s">
        <v>59</v>
      </c>
      <c r="T132" s="5">
        <v>61</v>
      </c>
      <c r="U132" s="9"/>
    </row>
    <row r="133" spans="1:21" s="37" customFormat="1" ht="12" x14ac:dyDescent="0.3">
      <c r="A133" s="74" t="s">
        <v>1807</v>
      </c>
      <c r="B133" s="75" t="s">
        <v>1808</v>
      </c>
      <c r="C133" s="85">
        <v>1200</v>
      </c>
      <c r="D133" s="86">
        <v>52.5</v>
      </c>
      <c r="E133" s="87">
        <v>16</v>
      </c>
      <c r="F133" s="86">
        <v>47.1</v>
      </c>
      <c r="G133" s="17">
        <v>14</v>
      </c>
      <c r="H133" s="88">
        <v>151</v>
      </c>
      <c r="I133" s="89">
        <v>9800</v>
      </c>
      <c r="J133" s="89" t="s">
        <v>83</v>
      </c>
      <c r="K133" s="89"/>
      <c r="L133" s="89"/>
      <c r="M133" s="90">
        <f>I133-K133</f>
        <v>9800</v>
      </c>
      <c r="N133" s="4">
        <f>IF(ISERROR(K133/I133),"",K133/I133)</f>
        <v>0</v>
      </c>
      <c r="O133" s="91">
        <f>I133/E133</f>
        <v>612.5</v>
      </c>
      <c r="P133" s="91">
        <f>K133/E133</f>
        <v>0</v>
      </c>
      <c r="Q133" s="79">
        <v>2</v>
      </c>
      <c r="R133" s="79">
        <v>1</v>
      </c>
      <c r="S133" s="79" t="s">
        <v>62</v>
      </c>
      <c r="T133" s="5" t="s">
        <v>167</v>
      </c>
      <c r="U133" s="9"/>
    </row>
    <row r="134" spans="1:21" s="37" customFormat="1" ht="12" x14ac:dyDescent="0.3">
      <c r="A134" s="74" t="s">
        <v>1771</v>
      </c>
      <c r="B134" s="75" t="s">
        <v>1598</v>
      </c>
      <c r="C134" s="85">
        <v>603</v>
      </c>
      <c r="D134" s="86">
        <v>63.7</v>
      </c>
      <c r="E134" s="87">
        <v>19</v>
      </c>
      <c r="F134" s="86">
        <v>44.1</v>
      </c>
      <c r="G134" s="17">
        <v>13</v>
      </c>
      <c r="H134" s="88">
        <v>603</v>
      </c>
      <c r="I134" s="89">
        <v>9200</v>
      </c>
      <c r="J134" s="89" t="s">
        <v>89</v>
      </c>
      <c r="K134" s="89"/>
      <c r="L134" s="89"/>
      <c r="M134" s="90">
        <f>I134-K134</f>
        <v>9200</v>
      </c>
      <c r="N134" s="4">
        <f>IF(ISERROR(K134/I134),"",K134/I134)</f>
        <v>0</v>
      </c>
      <c r="O134" s="91">
        <f>I134/E134</f>
        <v>484.21052631578948</v>
      </c>
      <c r="P134" s="91">
        <f>K134/E134</f>
        <v>0</v>
      </c>
      <c r="Q134" s="79">
        <v>2</v>
      </c>
      <c r="R134" s="79">
        <v>1</v>
      </c>
      <c r="S134" s="79" t="s">
        <v>59</v>
      </c>
      <c r="T134" s="5">
        <v>63</v>
      </c>
      <c r="U134" s="9"/>
    </row>
    <row r="135" spans="1:21" s="37" customFormat="1" ht="12" x14ac:dyDescent="0.3">
      <c r="A135" s="74" t="s">
        <v>1742</v>
      </c>
      <c r="B135" s="75" t="s">
        <v>1743</v>
      </c>
      <c r="C135" s="85">
        <v>355</v>
      </c>
      <c r="D135" s="86">
        <v>35.4</v>
      </c>
      <c r="E135" s="87">
        <v>11</v>
      </c>
      <c r="F135" s="86">
        <v>22.7</v>
      </c>
      <c r="G135" s="17">
        <v>7</v>
      </c>
      <c r="H135" s="88">
        <v>95</v>
      </c>
      <c r="I135" s="89">
        <v>7000</v>
      </c>
      <c r="J135" s="89" t="s">
        <v>83</v>
      </c>
      <c r="K135" s="89"/>
      <c r="L135" s="89"/>
      <c r="M135" s="90">
        <f>I135-K135</f>
        <v>7000</v>
      </c>
      <c r="N135" s="4">
        <f>IF(ISERROR(K135/I135),"",K135/I135)</f>
        <v>0</v>
      </c>
      <c r="O135" s="91">
        <f>I135/E135</f>
        <v>636.36363636363637</v>
      </c>
      <c r="P135" s="91">
        <f>K135/E135</f>
        <v>0</v>
      </c>
      <c r="Q135" s="79">
        <v>1</v>
      </c>
      <c r="R135" s="79">
        <v>1</v>
      </c>
      <c r="S135" s="79" t="s">
        <v>62</v>
      </c>
      <c r="T135" s="5">
        <v>35</v>
      </c>
      <c r="U135" s="9"/>
    </row>
    <row r="136" spans="1:21" s="37" customFormat="1" ht="12" x14ac:dyDescent="0.3">
      <c r="A136" s="74" t="s">
        <v>1639</v>
      </c>
      <c r="B136" s="75" t="s">
        <v>1640</v>
      </c>
      <c r="C136" s="85">
        <v>256</v>
      </c>
      <c r="D136" s="86">
        <v>110</v>
      </c>
      <c r="E136" s="87">
        <v>33</v>
      </c>
      <c r="F136" s="86">
        <v>84.9</v>
      </c>
      <c r="G136" s="17">
        <v>26</v>
      </c>
      <c r="H136" s="88">
        <v>170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9">
        <v>3</v>
      </c>
      <c r="R136" s="79">
        <v>2</v>
      </c>
      <c r="S136" s="79" t="s">
        <v>59</v>
      </c>
      <c r="T136" s="5">
        <v>110</v>
      </c>
      <c r="U136" s="9"/>
    </row>
    <row r="137" spans="1:21" s="37" customFormat="1" ht="12" x14ac:dyDescent="0.3">
      <c r="A137" s="74" t="s">
        <v>1644</v>
      </c>
      <c r="B137" s="75" t="s">
        <v>1645</v>
      </c>
      <c r="C137" s="85">
        <v>201</v>
      </c>
      <c r="D137" s="86">
        <v>109.6</v>
      </c>
      <c r="E137" s="87">
        <v>33</v>
      </c>
      <c r="F137" s="86">
        <v>84.9</v>
      </c>
      <c r="G137" s="17">
        <v>26</v>
      </c>
      <c r="H137" s="88">
        <v>175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9">
        <v>3</v>
      </c>
      <c r="R137" s="79">
        <v>2</v>
      </c>
      <c r="S137" s="79" t="s">
        <v>62</v>
      </c>
      <c r="T137" s="5" t="s">
        <v>66</v>
      </c>
      <c r="U137" s="9"/>
    </row>
    <row r="138" spans="1:21" s="37" customFormat="1" ht="12" x14ac:dyDescent="0.3">
      <c r="A138" s="74" t="s">
        <v>1648</v>
      </c>
      <c r="B138" s="75" t="s">
        <v>1649</v>
      </c>
      <c r="C138" s="85">
        <v>940</v>
      </c>
      <c r="D138" s="86">
        <v>65.099999999999994</v>
      </c>
      <c r="E138" s="87">
        <v>20</v>
      </c>
      <c r="F138" s="86">
        <v>49.8</v>
      </c>
      <c r="G138" s="17">
        <v>15</v>
      </c>
      <c r="H138" s="88">
        <v>60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9">
        <v>2</v>
      </c>
      <c r="R138" s="79">
        <v>1</v>
      </c>
      <c r="S138" s="79" t="s">
        <v>62</v>
      </c>
      <c r="T138" s="5">
        <v>65</v>
      </c>
      <c r="U138" s="9"/>
    </row>
    <row r="139" spans="1:21" s="37" customFormat="1" ht="12" x14ac:dyDescent="0.3">
      <c r="A139" s="74" t="s">
        <v>1652</v>
      </c>
      <c r="B139" s="75" t="s">
        <v>1653</v>
      </c>
      <c r="C139" s="85">
        <v>575</v>
      </c>
      <c r="D139" s="86">
        <v>175.1</v>
      </c>
      <c r="E139" s="87">
        <v>53</v>
      </c>
      <c r="F139" s="86">
        <v>140.9</v>
      </c>
      <c r="G139" s="17">
        <v>43</v>
      </c>
      <c r="H139" s="88">
        <v>77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9">
        <v>4</v>
      </c>
      <c r="R139" s="79">
        <v>2</v>
      </c>
      <c r="S139" s="79" t="s">
        <v>62</v>
      </c>
      <c r="T139" s="5">
        <v>175</v>
      </c>
      <c r="U139" s="9"/>
    </row>
    <row r="140" spans="1:21" s="37" customFormat="1" ht="12" x14ac:dyDescent="0.3">
      <c r="A140" s="74" t="s">
        <v>1663</v>
      </c>
      <c r="B140" s="75" t="s">
        <v>1456</v>
      </c>
      <c r="C140" s="85">
        <v>664</v>
      </c>
      <c r="D140" s="86">
        <v>134</v>
      </c>
      <c r="E140" s="87">
        <v>41</v>
      </c>
      <c r="F140" s="86">
        <v>105.4</v>
      </c>
      <c r="G140" s="17">
        <v>32</v>
      </c>
      <c r="H140" s="88">
        <v>99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62</v>
      </c>
      <c r="T140" s="5" t="s">
        <v>95</v>
      </c>
      <c r="U140" s="9"/>
    </row>
    <row r="141" spans="1:21" s="37" customFormat="1" ht="12" x14ac:dyDescent="0.3">
      <c r="A141" s="74" t="s">
        <v>1667</v>
      </c>
      <c r="B141" s="75" t="s">
        <v>1668</v>
      </c>
      <c r="C141" s="85">
        <v>925</v>
      </c>
      <c r="D141" s="86">
        <v>109.4</v>
      </c>
      <c r="E141" s="87">
        <v>33</v>
      </c>
      <c r="F141" s="86">
        <v>84.9</v>
      </c>
      <c r="G141" s="17">
        <v>26</v>
      </c>
      <c r="H141" s="88">
        <v>206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9">
        <v>3</v>
      </c>
      <c r="R141" s="79">
        <v>2</v>
      </c>
      <c r="S141" s="79" t="s">
        <v>62</v>
      </c>
      <c r="T141" s="5" t="s">
        <v>67</v>
      </c>
      <c r="U141" s="9"/>
    </row>
    <row r="142" spans="1:21" s="37" customFormat="1" ht="12" x14ac:dyDescent="0.3">
      <c r="A142" s="74" t="s">
        <v>1669</v>
      </c>
      <c r="B142" s="75" t="s">
        <v>1670</v>
      </c>
      <c r="C142" s="85">
        <v>925</v>
      </c>
      <c r="D142" s="86">
        <v>130.4</v>
      </c>
      <c r="E142" s="87">
        <v>39</v>
      </c>
      <c r="F142" s="86">
        <v>101.6</v>
      </c>
      <c r="G142" s="17">
        <v>31</v>
      </c>
      <c r="H142" s="88">
        <v>237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9">
        <v>3</v>
      </c>
      <c r="R142" s="79">
        <v>2</v>
      </c>
      <c r="S142" s="79" t="s">
        <v>62</v>
      </c>
      <c r="T142" s="5">
        <v>130</v>
      </c>
      <c r="U142" s="9"/>
    </row>
    <row r="143" spans="1:21" s="37" customFormat="1" ht="12" x14ac:dyDescent="0.3">
      <c r="A143" s="74" t="s">
        <v>1669</v>
      </c>
      <c r="B143" s="75" t="s">
        <v>1671</v>
      </c>
      <c r="C143" s="85">
        <v>925</v>
      </c>
      <c r="D143" s="86">
        <v>148.9</v>
      </c>
      <c r="E143" s="87">
        <v>45</v>
      </c>
      <c r="F143" s="86">
        <v>117</v>
      </c>
      <c r="G143" s="17">
        <v>35</v>
      </c>
      <c r="H143" s="88">
        <v>106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9">
        <v>3</v>
      </c>
      <c r="R143" s="79">
        <v>2</v>
      </c>
      <c r="S143" s="79" t="s">
        <v>62</v>
      </c>
      <c r="T143" s="5">
        <v>148</v>
      </c>
      <c r="U143" s="9"/>
    </row>
    <row r="144" spans="1:21" s="37" customFormat="1" ht="12" x14ac:dyDescent="0.3">
      <c r="A144" s="74" t="s">
        <v>1672</v>
      </c>
      <c r="B144" s="75" t="s">
        <v>1673</v>
      </c>
      <c r="C144" s="85">
        <v>386</v>
      </c>
      <c r="D144" s="86">
        <v>106.2</v>
      </c>
      <c r="E144" s="87">
        <v>32</v>
      </c>
      <c r="F144" s="86">
        <v>84.8</v>
      </c>
      <c r="G144" s="17">
        <v>26</v>
      </c>
      <c r="H144" s="88">
        <v>84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9">
        <v>3</v>
      </c>
      <c r="R144" s="79">
        <v>2</v>
      </c>
      <c r="S144" s="79" t="s">
        <v>62</v>
      </c>
      <c r="T144" s="5">
        <v>106</v>
      </c>
      <c r="U144" s="9"/>
    </row>
    <row r="145" spans="1:21" s="37" customFormat="1" ht="12" x14ac:dyDescent="0.3">
      <c r="A145" s="74" t="s">
        <v>1469</v>
      </c>
      <c r="B145" s="75" t="s">
        <v>1470</v>
      </c>
      <c r="C145" s="85">
        <v>905</v>
      </c>
      <c r="D145" s="86">
        <v>110.3</v>
      </c>
      <c r="E145" s="87">
        <v>33</v>
      </c>
      <c r="F145" s="86">
        <v>84.7</v>
      </c>
      <c r="G145" s="17">
        <v>26</v>
      </c>
      <c r="H145" s="88">
        <v>413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9">
        <v>4</v>
      </c>
      <c r="R145" s="79">
        <v>2</v>
      </c>
      <c r="S145" s="79" t="s">
        <v>62</v>
      </c>
      <c r="T145" s="5">
        <v>110</v>
      </c>
      <c r="U145" s="9"/>
    </row>
    <row r="146" spans="1:21" s="37" customFormat="1" ht="12" x14ac:dyDescent="0.3">
      <c r="A146" s="74" t="s">
        <v>1676</v>
      </c>
      <c r="B146" s="75" t="s">
        <v>1677</v>
      </c>
      <c r="C146" s="85">
        <v>370</v>
      </c>
      <c r="D146" s="86">
        <v>102.2</v>
      </c>
      <c r="E146" s="87">
        <v>31</v>
      </c>
      <c r="F146" s="86">
        <v>83.3</v>
      </c>
      <c r="G146" s="17">
        <v>25</v>
      </c>
      <c r="H146" s="88">
        <v>292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9">
        <v>3</v>
      </c>
      <c r="R146" s="79">
        <v>2</v>
      </c>
      <c r="S146" s="79" t="s">
        <v>62</v>
      </c>
      <c r="T146" s="5">
        <v>102</v>
      </c>
      <c r="U146" s="9"/>
    </row>
    <row r="147" spans="1:21" s="37" customFormat="1" ht="12" x14ac:dyDescent="0.3">
      <c r="A147" s="74" t="s">
        <v>1680</v>
      </c>
      <c r="B147" s="75" t="s">
        <v>1476</v>
      </c>
      <c r="C147" s="85">
        <v>600</v>
      </c>
      <c r="D147" s="86">
        <v>87.8</v>
      </c>
      <c r="E147" s="87">
        <v>27</v>
      </c>
      <c r="F147" s="86">
        <v>72.599999999999994</v>
      </c>
      <c r="G147" s="17">
        <v>22</v>
      </c>
      <c r="H147" s="88">
        <v>300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9">
        <v>3</v>
      </c>
      <c r="R147" s="79">
        <v>1</v>
      </c>
      <c r="S147" s="79" t="s">
        <v>62</v>
      </c>
      <c r="T147" s="5">
        <v>87</v>
      </c>
      <c r="U147" s="9"/>
    </row>
    <row r="148" spans="1:21" s="37" customFormat="1" ht="12" x14ac:dyDescent="0.3">
      <c r="A148" s="74" t="s">
        <v>1682</v>
      </c>
      <c r="B148" s="75" t="s">
        <v>1681</v>
      </c>
      <c r="C148" s="85">
        <v>380</v>
      </c>
      <c r="D148" s="86">
        <v>114.2</v>
      </c>
      <c r="E148" s="87">
        <v>35</v>
      </c>
      <c r="F148" s="86">
        <v>95.6</v>
      </c>
      <c r="G148" s="17">
        <v>29</v>
      </c>
      <c r="H148" s="88">
        <v>240</v>
      </c>
      <c r="I148" s="89"/>
      <c r="J148" s="89"/>
      <c r="K148" s="89"/>
      <c r="L148" s="89"/>
      <c r="M148" s="90">
        <f>I148-K148</f>
        <v>0</v>
      </c>
      <c r="N148" s="4" t="str">
        <f>IF(ISERROR(K148/I148),"",K148/I148)</f>
        <v/>
      </c>
      <c r="O148" s="91">
        <f>I148/E148</f>
        <v>0</v>
      </c>
      <c r="P148" s="91">
        <f>K148/E148</f>
        <v>0</v>
      </c>
      <c r="Q148" s="79">
        <v>3</v>
      </c>
      <c r="R148" s="79">
        <v>2</v>
      </c>
      <c r="S148" s="79" t="s">
        <v>62</v>
      </c>
      <c r="T148" s="5">
        <v>114</v>
      </c>
      <c r="U148" s="9"/>
    </row>
    <row r="149" spans="1:21" s="37" customFormat="1" ht="12" x14ac:dyDescent="0.3">
      <c r="A149" s="74" t="s">
        <v>1693</v>
      </c>
      <c r="B149" s="75" t="s">
        <v>1694</v>
      </c>
      <c r="C149" s="85">
        <v>320</v>
      </c>
      <c r="D149" s="86">
        <v>174.6</v>
      </c>
      <c r="E149" s="87">
        <v>53</v>
      </c>
      <c r="F149" s="86">
        <v>144.6</v>
      </c>
      <c r="G149" s="17">
        <v>44</v>
      </c>
      <c r="H149" s="88">
        <v>30</v>
      </c>
      <c r="I149" s="89"/>
      <c r="J149" s="89"/>
      <c r="K149" s="89"/>
      <c r="L149" s="89"/>
      <c r="M149" s="90">
        <f>I149-K149</f>
        <v>0</v>
      </c>
      <c r="N149" s="4" t="str">
        <f>IF(ISERROR(K149/I149),"",K149/I149)</f>
        <v/>
      </c>
      <c r="O149" s="91">
        <f>I149/E149</f>
        <v>0</v>
      </c>
      <c r="P149" s="91">
        <f>K149/E149</f>
        <v>0</v>
      </c>
      <c r="Q149" s="79">
        <v>4</v>
      </c>
      <c r="R149" s="79">
        <v>3</v>
      </c>
      <c r="S149" s="79" t="s">
        <v>62</v>
      </c>
      <c r="T149" s="5">
        <v>174</v>
      </c>
      <c r="U149" s="9"/>
    </row>
    <row r="150" spans="1:21" s="37" customFormat="1" ht="12" x14ac:dyDescent="0.3">
      <c r="A150" s="74" t="s">
        <v>1696</v>
      </c>
      <c r="B150" s="75" t="s">
        <v>1497</v>
      </c>
      <c r="C150" s="85">
        <v>350</v>
      </c>
      <c r="D150" s="86">
        <v>40.799999999999997</v>
      </c>
      <c r="E150" s="87">
        <v>12</v>
      </c>
      <c r="F150" s="86">
        <v>31.6</v>
      </c>
      <c r="G150" s="17">
        <v>10</v>
      </c>
      <c r="H150" s="88">
        <v>148</v>
      </c>
      <c r="I150" s="89"/>
      <c r="J150" s="89"/>
      <c r="K150" s="89"/>
      <c r="L150" s="89"/>
      <c r="M150" s="90">
        <f>I150-K150</f>
        <v>0</v>
      </c>
      <c r="N150" s="4" t="str">
        <f>IF(ISERROR(K150/I150),"",K150/I150)</f>
        <v/>
      </c>
      <c r="O150" s="91">
        <f>I150/E150</f>
        <v>0</v>
      </c>
      <c r="P150" s="91">
        <f>K150/E150</f>
        <v>0</v>
      </c>
      <c r="Q150" s="79">
        <v>2</v>
      </c>
      <c r="R150" s="79">
        <v>1</v>
      </c>
      <c r="S150" s="79" t="s">
        <v>59</v>
      </c>
      <c r="T150" s="5">
        <v>40</v>
      </c>
      <c r="U150" s="9"/>
    </row>
    <row r="151" spans="1:21" s="37" customFormat="1" ht="12" x14ac:dyDescent="0.3">
      <c r="A151" s="74" t="s">
        <v>1696</v>
      </c>
      <c r="B151" s="75" t="s">
        <v>1697</v>
      </c>
      <c r="C151" s="85">
        <v>350</v>
      </c>
      <c r="D151" s="86">
        <v>71.599999999999994</v>
      </c>
      <c r="E151" s="87">
        <v>22</v>
      </c>
      <c r="F151" s="86">
        <v>59.8</v>
      </c>
      <c r="G151" s="17">
        <v>18</v>
      </c>
      <c r="H151" s="88">
        <v>96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9">
        <v>3</v>
      </c>
      <c r="R151" s="79">
        <v>1</v>
      </c>
      <c r="S151" s="79" t="s">
        <v>62</v>
      </c>
      <c r="T151" s="5">
        <v>71</v>
      </c>
      <c r="U151" s="9"/>
    </row>
    <row r="152" spans="1:21" s="37" customFormat="1" ht="12" x14ac:dyDescent="0.3">
      <c r="A152" s="74" t="s">
        <v>1696</v>
      </c>
      <c r="B152" s="75" t="s">
        <v>1697</v>
      </c>
      <c r="C152" s="85">
        <v>350</v>
      </c>
      <c r="D152" s="86">
        <v>97.8</v>
      </c>
      <c r="E152" s="87">
        <v>30</v>
      </c>
      <c r="F152" s="86">
        <v>85</v>
      </c>
      <c r="G152" s="17">
        <v>26</v>
      </c>
      <c r="H152" s="88">
        <v>91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3</v>
      </c>
      <c r="R152" s="79">
        <v>2</v>
      </c>
      <c r="S152" s="79" t="s">
        <v>62</v>
      </c>
      <c r="T152" s="5">
        <v>97</v>
      </c>
      <c r="U152" s="9"/>
    </row>
    <row r="153" spans="1:21" s="37" customFormat="1" ht="12" x14ac:dyDescent="0.3">
      <c r="A153" s="74" t="s">
        <v>1698</v>
      </c>
      <c r="B153" s="75" t="s">
        <v>1434</v>
      </c>
      <c r="C153" s="85">
        <v>372</v>
      </c>
      <c r="D153" s="86">
        <v>111</v>
      </c>
      <c r="E153" s="87">
        <v>34</v>
      </c>
      <c r="F153" s="86">
        <v>84.5</v>
      </c>
      <c r="G153" s="17">
        <v>26</v>
      </c>
      <c r="H153" s="88">
        <v>146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9">
        <v>3</v>
      </c>
      <c r="R153" s="79">
        <v>2</v>
      </c>
      <c r="S153" s="79" t="s">
        <v>62</v>
      </c>
      <c r="T153" s="5" t="s">
        <v>117</v>
      </c>
      <c r="U153" s="9"/>
    </row>
    <row r="154" spans="1:21" s="37" customFormat="1" ht="12" x14ac:dyDescent="0.3">
      <c r="A154" s="74" t="s">
        <v>1698</v>
      </c>
      <c r="B154" s="75" t="s">
        <v>1434</v>
      </c>
      <c r="C154" s="85">
        <v>372</v>
      </c>
      <c r="D154" s="86">
        <v>131.19999999999999</v>
      </c>
      <c r="E154" s="87">
        <v>40</v>
      </c>
      <c r="F154" s="86">
        <v>108.4</v>
      </c>
      <c r="G154" s="17">
        <v>33</v>
      </c>
      <c r="H154" s="88">
        <v>112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4</v>
      </c>
      <c r="R154" s="79">
        <v>2</v>
      </c>
      <c r="S154" s="79" t="s">
        <v>62</v>
      </c>
      <c r="T154" s="5">
        <v>131</v>
      </c>
      <c r="U154" s="9"/>
    </row>
    <row r="155" spans="1:21" s="37" customFormat="1" ht="12" x14ac:dyDescent="0.3">
      <c r="A155" s="74" t="s">
        <v>1698</v>
      </c>
      <c r="B155" s="75" t="s">
        <v>1434</v>
      </c>
      <c r="C155" s="85">
        <v>372</v>
      </c>
      <c r="D155" s="86">
        <v>149.9</v>
      </c>
      <c r="E155" s="87">
        <v>45</v>
      </c>
      <c r="F155" s="86">
        <v>118.1</v>
      </c>
      <c r="G155" s="17">
        <v>36</v>
      </c>
      <c r="H155" s="88">
        <v>56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4</v>
      </c>
      <c r="R155" s="79">
        <v>2</v>
      </c>
      <c r="S155" s="79" t="s">
        <v>62</v>
      </c>
      <c r="T155" s="5">
        <v>149</v>
      </c>
      <c r="U155" s="9"/>
    </row>
    <row r="156" spans="1:21" s="37" customFormat="1" ht="12" x14ac:dyDescent="0.3">
      <c r="A156" s="74" t="s">
        <v>1499</v>
      </c>
      <c r="B156" s="75" t="s">
        <v>1699</v>
      </c>
      <c r="C156" s="85">
        <v>231</v>
      </c>
      <c r="D156" s="86">
        <v>110.7</v>
      </c>
      <c r="E156" s="87">
        <v>33</v>
      </c>
      <c r="F156" s="86">
        <v>85</v>
      </c>
      <c r="G156" s="17">
        <v>26</v>
      </c>
      <c r="H156" s="88">
        <v>56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3</v>
      </c>
      <c r="R156" s="79">
        <v>2</v>
      </c>
      <c r="S156" s="79" t="s">
        <v>62</v>
      </c>
      <c r="T156" s="5">
        <v>110</v>
      </c>
      <c r="U156" s="9"/>
    </row>
    <row r="157" spans="1:21" s="37" customFormat="1" ht="12" x14ac:dyDescent="0.3">
      <c r="A157" s="74" t="s">
        <v>1700</v>
      </c>
      <c r="B157" s="75" t="s">
        <v>1500</v>
      </c>
      <c r="C157" s="85">
        <v>231</v>
      </c>
      <c r="D157" s="86">
        <v>145.6</v>
      </c>
      <c r="E157" s="87">
        <v>44</v>
      </c>
      <c r="F157" s="86">
        <v>117.3</v>
      </c>
      <c r="G157" s="17">
        <v>35</v>
      </c>
      <c r="H157" s="88">
        <v>175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9">
        <v>4</v>
      </c>
      <c r="R157" s="79">
        <v>2</v>
      </c>
      <c r="S157" s="79" t="s">
        <v>62</v>
      </c>
      <c r="T157" s="5">
        <v>145</v>
      </c>
      <c r="U157" s="9"/>
    </row>
    <row r="158" spans="1:21" s="37" customFormat="1" ht="12" x14ac:dyDescent="0.3">
      <c r="A158" s="74" t="s">
        <v>1701</v>
      </c>
      <c r="B158" s="75" t="s">
        <v>1702</v>
      </c>
      <c r="C158" s="85">
        <v>277</v>
      </c>
      <c r="D158" s="86">
        <v>43.5</v>
      </c>
      <c r="E158" s="87">
        <v>13</v>
      </c>
      <c r="F158" s="86">
        <v>31.4</v>
      </c>
      <c r="G158" s="17">
        <v>10</v>
      </c>
      <c r="H158" s="88">
        <v>220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9">
        <v>1</v>
      </c>
      <c r="R158" s="79">
        <v>1</v>
      </c>
      <c r="S158" s="79" t="s">
        <v>59</v>
      </c>
      <c r="T158" s="5">
        <v>43</v>
      </c>
      <c r="U158" s="9"/>
    </row>
    <row r="159" spans="1:21" s="37" customFormat="1" ht="12" x14ac:dyDescent="0.3">
      <c r="A159" s="74" t="s">
        <v>1701</v>
      </c>
      <c r="B159" s="75" t="s">
        <v>1702</v>
      </c>
      <c r="C159" s="85">
        <v>277</v>
      </c>
      <c r="D159" s="86">
        <v>51.9</v>
      </c>
      <c r="E159" s="87">
        <v>16</v>
      </c>
      <c r="F159" s="86">
        <v>39.200000000000003</v>
      </c>
      <c r="G159" s="17">
        <v>12</v>
      </c>
      <c r="H159" s="88">
        <v>57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9">
        <v>2</v>
      </c>
      <c r="R159" s="79">
        <v>1</v>
      </c>
      <c r="S159" s="79" t="s">
        <v>59</v>
      </c>
      <c r="T159" s="5">
        <v>51</v>
      </c>
      <c r="U159" s="9"/>
    </row>
    <row r="160" spans="1:21" s="37" customFormat="1" ht="12" x14ac:dyDescent="0.3">
      <c r="A160" s="74" t="s">
        <v>1703</v>
      </c>
      <c r="B160" s="75" t="s">
        <v>1704</v>
      </c>
      <c r="C160" s="85">
        <v>359</v>
      </c>
      <c r="D160" s="86">
        <v>90.1</v>
      </c>
      <c r="E160" s="87">
        <v>27</v>
      </c>
      <c r="F160" s="86">
        <v>65.7</v>
      </c>
      <c r="G160" s="17">
        <v>20</v>
      </c>
      <c r="H160" s="88">
        <v>359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9">
        <v>3</v>
      </c>
      <c r="R160" s="79">
        <v>2</v>
      </c>
      <c r="S160" s="79" t="s">
        <v>62</v>
      </c>
      <c r="T160" s="5">
        <v>90</v>
      </c>
      <c r="U160" s="9"/>
    </row>
    <row r="161" spans="1:21" s="37" customFormat="1" ht="12" x14ac:dyDescent="0.3">
      <c r="A161" s="74" t="s">
        <v>1705</v>
      </c>
      <c r="B161" s="75" t="s">
        <v>1694</v>
      </c>
      <c r="C161" s="85">
        <v>410</v>
      </c>
      <c r="D161" s="86">
        <v>42</v>
      </c>
      <c r="E161" s="87">
        <v>13</v>
      </c>
      <c r="F161" s="86">
        <v>34.700000000000003</v>
      </c>
      <c r="G161" s="17">
        <v>10</v>
      </c>
      <c r="H161" s="88">
        <v>130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9">
        <v>1</v>
      </c>
      <c r="R161" s="79">
        <v>1</v>
      </c>
      <c r="S161" s="79" t="s">
        <v>62</v>
      </c>
      <c r="T161" s="5">
        <v>41</v>
      </c>
      <c r="U161" s="9"/>
    </row>
    <row r="162" spans="1:21" s="37" customFormat="1" ht="12" x14ac:dyDescent="0.3">
      <c r="A162" s="74" t="s">
        <v>1705</v>
      </c>
      <c r="B162" s="75" t="s">
        <v>1494</v>
      </c>
      <c r="C162" s="85">
        <v>410</v>
      </c>
      <c r="D162" s="86">
        <v>51.7</v>
      </c>
      <c r="E162" s="87">
        <v>16</v>
      </c>
      <c r="F162" s="86">
        <v>42.7</v>
      </c>
      <c r="G162" s="17">
        <v>13</v>
      </c>
      <c r="H162" s="88">
        <v>134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9">
        <v>2</v>
      </c>
      <c r="R162" s="79">
        <v>1</v>
      </c>
      <c r="S162" s="79" t="s">
        <v>62</v>
      </c>
      <c r="T162" s="5">
        <v>51</v>
      </c>
      <c r="U162" s="9"/>
    </row>
    <row r="163" spans="1:21" s="37" customFormat="1" ht="12" x14ac:dyDescent="0.3">
      <c r="A163" s="74" t="s">
        <v>1705</v>
      </c>
      <c r="B163" s="75" t="s">
        <v>1694</v>
      </c>
      <c r="C163" s="85">
        <v>410</v>
      </c>
      <c r="D163" s="86">
        <v>78.5</v>
      </c>
      <c r="E163" s="87">
        <v>24</v>
      </c>
      <c r="F163" s="86">
        <v>59.7</v>
      </c>
      <c r="G163" s="17">
        <v>18</v>
      </c>
      <c r="H163" s="88">
        <v>50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9">
        <v>3</v>
      </c>
      <c r="R163" s="79">
        <v>1</v>
      </c>
      <c r="S163" s="79" t="s">
        <v>62</v>
      </c>
      <c r="T163" s="5" t="s">
        <v>119</v>
      </c>
      <c r="U163" s="9"/>
    </row>
    <row r="164" spans="1:21" s="37" customFormat="1" ht="12" x14ac:dyDescent="0.3">
      <c r="A164" s="74" t="s">
        <v>1706</v>
      </c>
      <c r="B164" s="75" t="s">
        <v>1707</v>
      </c>
      <c r="C164" s="85">
        <v>284</v>
      </c>
      <c r="D164" s="86">
        <v>85</v>
      </c>
      <c r="E164" s="87">
        <v>26</v>
      </c>
      <c r="F164" s="86">
        <v>58.6</v>
      </c>
      <c r="G164" s="17">
        <v>18</v>
      </c>
      <c r="H164" s="88">
        <v>134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9">
        <v>2</v>
      </c>
      <c r="R164" s="79">
        <v>1</v>
      </c>
      <c r="S164" s="79" t="s">
        <v>59</v>
      </c>
      <c r="T164" s="5">
        <v>85</v>
      </c>
      <c r="U164" s="9"/>
    </row>
    <row r="165" spans="1:21" s="37" customFormat="1" ht="12" x14ac:dyDescent="0.3">
      <c r="A165" s="74" t="s">
        <v>1706</v>
      </c>
      <c r="B165" s="75" t="s">
        <v>1707</v>
      </c>
      <c r="C165" s="85">
        <v>284</v>
      </c>
      <c r="D165" s="86">
        <v>105.4</v>
      </c>
      <c r="E165" s="87">
        <v>32</v>
      </c>
      <c r="F165" s="86">
        <v>84.9</v>
      </c>
      <c r="G165" s="17">
        <v>26</v>
      </c>
      <c r="H165" s="88">
        <v>150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9">
        <v>3</v>
      </c>
      <c r="R165" s="79">
        <v>2</v>
      </c>
      <c r="S165" s="79" t="s">
        <v>62</v>
      </c>
      <c r="T165" s="5">
        <v>105</v>
      </c>
      <c r="U165" s="9"/>
    </row>
    <row r="166" spans="1:21" s="37" customFormat="1" ht="12" x14ac:dyDescent="0.3">
      <c r="A166" s="74" t="s">
        <v>1708</v>
      </c>
      <c r="B166" s="75" t="s">
        <v>1515</v>
      </c>
      <c r="C166" s="85">
        <v>207</v>
      </c>
      <c r="D166" s="86">
        <v>71.099999999999994</v>
      </c>
      <c r="E166" s="87">
        <v>22</v>
      </c>
      <c r="F166" s="86">
        <v>59.9</v>
      </c>
      <c r="G166" s="17">
        <v>18</v>
      </c>
      <c r="H166" s="88">
        <v>207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9">
        <v>3</v>
      </c>
      <c r="R166" s="79">
        <v>1</v>
      </c>
      <c r="S166" s="79" t="s">
        <v>59</v>
      </c>
      <c r="T166" s="5">
        <v>71</v>
      </c>
      <c r="U166" s="9"/>
    </row>
    <row r="167" spans="1:21" s="37" customFormat="1" ht="12" x14ac:dyDescent="0.3">
      <c r="A167" s="74" t="s">
        <v>1709</v>
      </c>
      <c r="B167" s="75" t="s">
        <v>1710</v>
      </c>
      <c r="C167" s="85">
        <v>611</v>
      </c>
      <c r="D167" s="86">
        <v>44.5</v>
      </c>
      <c r="E167" s="87">
        <v>13</v>
      </c>
      <c r="F167" s="86">
        <v>22.1</v>
      </c>
      <c r="G167" s="17">
        <v>7</v>
      </c>
      <c r="H167" s="88">
        <v>497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9">
        <v>1</v>
      </c>
      <c r="R167" s="79">
        <v>1</v>
      </c>
      <c r="S167" s="79" t="s">
        <v>59</v>
      </c>
      <c r="T167" s="5" t="s">
        <v>121</v>
      </c>
      <c r="U167" s="9"/>
    </row>
    <row r="168" spans="1:21" s="37" customFormat="1" ht="12" x14ac:dyDescent="0.3">
      <c r="A168" s="74" t="s">
        <v>1709</v>
      </c>
      <c r="B168" s="75" t="s">
        <v>1517</v>
      </c>
      <c r="C168" s="85">
        <v>611</v>
      </c>
      <c r="D168" s="86">
        <v>84.5</v>
      </c>
      <c r="E168" s="87">
        <v>26</v>
      </c>
      <c r="F168" s="86">
        <v>41.9</v>
      </c>
      <c r="G168" s="17">
        <v>13</v>
      </c>
      <c r="H168" s="88">
        <v>32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9">
        <v>1</v>
      </c>
      <c r="R168" s="79">
        <v>1</v>
      </c>
      <c r="S168" s="79" t="s">
        <v>62</v>
      </c>
      <c r="T168" s="5" t="s">
        <v>124</v>
      </c>
      <c r="U168" s="9"/>
    </row>
    <row r="169" spans="1:21" s="37" customFormat="1" ht="12" x14ac:dyDescent="0.3">
      <c r="A169" s="74" t="s">
        <v>1709</v>
      </c>
      <c r="B169" s="75" t="s">
        <v>1710</v>
      </c>
      <c r="C169" s="85">
        <v>611</v>
      </c>
      <c r="D169" s="86">
        <v>94.4</v>
      </c>
      <c r="E169" s="87">
        <v>29</v>
      </c>
      <c r="F169" s="86">
        <v>46.8</v>
      </c>
      <c r="G169" s="17">
        <v>14</v>
      </c>
      <c r="H169" s="88">
        <v>49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9">
        <v>2</v>
      </c>
      <c r="R169" s="79">
        <v>1</v>
      </c>
      <c r="S169" s="79" t="s">
        <v>62</v>
      </c>
      <c r="T169" s="5" t="s">
        <v>125</v>
      </c>
      <c r="U169" s="9"/>
    </row>
    <row r="170" spans="1:21" s="37" customFormat="1" ht="12" x14ac:dyDescent="0.3">
      <c r="A170" s="74" t="s">
        <v>1711</v>
      </c>
      <c r="B170" s="75" t="s">
        <v>1712</v>
      </c>
      <c r="C170" s="85">
        <v>216</v>
      </c>
      <c r="D170" s="86">
        <v>55.9</v>
      </c>
      <c r="E170" s="87">
        <v>17</v>
      </c>
      <c r="F170" s="86">
        <v>23.4</v>
      </c>
      <c r="G170" s="17">
        <v>7</v>
      </c>
      <c r="H170" s="88">
        <v>180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9">
        <v>1</v>
      </c>
      <c r="R170" s="79">
        <v>1</v>
      </c>
      <c r="S170" s="79" t="s">
        <v>59</v>
      </c>
      <c r="T170" s="5" t="s">
        <v>128</v>
      </c>
      <c r="U170" s="9"/>
    </row>
    <row r="171" spans="1:21" s="37" customFormat="1" ht="12" x14ac:dyDescent="0.3">
      <c r="A171" s="74" t="s">
        <v>1713</v>
      </c>
      <c r="B171" s="75" t="s">
        <v>1525</v>
      </c>
      <c r="C171" s="85">
        <v>233</v>
      </c>
      <c r="D171" s="86">
        <v>34.6</v>
      </c>
      <c r="E171" s="87">
        <v>10</v>
      </c>
      <c r="F171" s="86">
        <v>22.6</v>
      </c>
      <c r="G171" s="17">
        <v>7</v>
      </c>
      <c r="H171" s="88">
        <v>233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9">
        <v>1</v>
      </c>
      <c r="R171" s="79">
        <v>1</v>
      </c>
      <c r="S171" s="79" t="s">
        <v>59</v>
      </c>
      <c r="T171" s="5">
        <v>34</v>
      </c>
      <c r="U171" s="9"/>
    </row>
    <row r="172" spans="1:21" s="37" customFormat="1" ht="12" x14ac:dyDescent="0.3">
      <c r="A172" s="74" t="s">
        <v>1714</v>
      </c>
      <c r="B172" s="75" t="s">
        <v>1715</v>
      </c>
      <c r="C172" s="85">
        <v>419</v>
      </c>
      <c r="D172" s="86">
        <v>36.799999999999997</v>
      </c>
      <c r="E172" s="87">
        <v>11</v>
      </c>
      <c r="F172" s="86">
        <v>20.5</v>
      </c>
      <c r="G172" s="17">
        <v>6</v>
      </c>
      <c r="H172" s="88">
        <v>284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9">
        <v>1</v>
      </c>
      <c r="R172" s="79">
        <v>1</v>
      </c>
      <c r="S172" s="79" t="s">
        <v>62</v>
      </c>
      <c r="T172" s="5" t="s">
        <v>130</v>
      </c>
      <c r="U172" s="9"/>
    </row>
    <row r="173" spans="1:21" s="37" customFormat="1" ht="12" x14ac:dyDescent="0.3">
      <c r="A173" s="74" t="s">
        <v>1526</v>
      </c>
      <c r="B173" s="75" t="s">
        <v>1715</v>
      </c>
      <c r="C173" s="85">
        <v>419</v>
      </c>
      <c r="D173" s="86">
        <v>49.2</v>
      </c>
      <c r="E173" s="87">
        <v>15</v>
      </c>
      <c r="F173" s="86">
        <v>27.4</v>
      </c>
      <c r="G173" s="17">
        <v>8</v>
      </c>
      <c r="H173" s="88">
        <v>30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9">
        <v>1</v>
      </c>
      <c r="R173" s="79">
        <v>1</v>
      </c>
      <c r="S173" s="79" t="s">
        <v>62</v>
      </c>
      <c r="T173" s="5" t="s">
        <v>131</v>
      </c>
      <c r="U173" s="9"/>
    </row>
    <row r="174" spans="1:21" s="37" customFormat="1" ht="12" x14ac:dyDescent="0.3">
      <c r="A174" s="74" t="s">
        <v>1714</v>
      </c>
      <c r="B174" s="75" t="s">
        <v>1715</v>
      </c>
      <c r="C174" s="85">
        <v>419</v>
      </c>
      <c r="D174" s="86">
        <v>67.599999999999994</v>
      </c>
      <c r="E174" s="87">
        <v>20</v>
      </c>
      <c r="F174" s="86">
        <v>37.6</v>
      </c>
      <c r="G174" s="17">
        <v>11</v>
      </c>
      <c r="H174" s="88">
        <v>105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9">
        <v>1</v>
      </c>
      <c r="R174" s="79">
        <v>1</v>
      </c>
      <c r="S174" s="79" t="s">
        <v>62</v>
      </c>
      <c r="T174" s="5" t="s">
        <v>132</v>
      </c>
      <c r="U174" s="9"/>
    </row>
    <row r="175" spans="1:21" s="37" customFormat="1" ht="12" x14ac:dyDescent="0.3">
      <c r="A175" s="74" t="s">
        <v>1716</v>
      </c>
      <c r="B175" s="75" t="s">
        <v>1531</v>
      </c>
      <c r="C175" s="85">
        <v>1148</v>
      </c>
      <c r="D175" s="86">
        <v>79.099999999999994</v>
      </c>
      <c r="E175" s="87">
        <v>24</v>
      </c>
      <c r="F175" s="86">
        <v>60</v>
      </c>
      <c r="G175" s="17">
        <v>18</v>
      </c>
      <c r="H175" s="88">
        <v>246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9">
        <v>3</v>
      </c>
      <c r="R175" s="79">
        <v>2</v>
      </c>
      <c r="S175" s="79" t="s">
        <v>62</v>
      </c>
      <c r="T175" s="5" t="s">
        <v>133</v>
      </c>
      <c r="U175" s="9"/>
    </row>
    <row r="176" spans="1:21" s="37" customFormat="1" ht="12" x14ac:dyDescent="0.3">
      <c r="A176" s="74" t="s">
        <v>1718</v>
      </c>
      <c r="B176" s="75" t="s">
        <v>1719</v>
      </c>
      <c r="C176" s="85">
        <v>270</v>
      </c>
      <c r="D176" s="86">
        <v>61.5</v>
      </c>
      <c r="E176" s="87">
        <v>19</v>
      </c>
      <c r="F176" s="86">
        <v>47.1</v>
      </c>
      <c r="G176" s="17">
        <v>14</v>
      </c>
      <c r="H176" s="88">
        <v>200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9">
        <v>2</v>
      </c>
      <c r="R176" s="79">
        <v>1</v>
      </c>
      <c r="S176" s="79" t="s">
        <v>62</v>
      </c>
      <c r="T176" s="5">
        <v>61</v>
      </c>
      <c r="U176" s="9"/>
    </row>
    <row r="177" spans="1:21" s="37" customFormat="1" ht="12" x14ac:dyDescent="0.3">
      <c r="A177" s="74" t="s">
        <v>1718</v>
      </c>
      <c r="B177" s="75" t="s">
        <v>1719</v>
      </c>
      <c r="C177" s="85">
        <v>270</v>
      </c>
      <c r="D177" s="86">
        <v>73</v>
      </c>
      <c r="E177" s="87">
        <v>22</v>
      </c>
      <c r="F177" s="86">
        <v>57.3</v>
      </c>
      <c r="G177" s="17">
        <v>17</v>
      </c>
      <c r="H177" s="88">
        <v>70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9">
        <v>3</v>
      </c>
      <c r="R177" s="79">
        <v>1</v>
      </c>
      <c r="S177" s="79" t="s">
        <v>62</v>
      </c>
      <c r="T177" s="5">
        <v>72</v>
      </c>
      <c r="U177" s="9"/>
    </row>
    <row r="178" spans="1:21" s="37" customFormat="1" ht="12" x14ac:dyDescent="0.3">
      <c r="A178" s="74" t="s">
        <v>1720</v>
      </c>
      <c r="B178" s="75" t="s">
        <v>1721</v>
      </c>
      <c r="C178" s="85">
        <v>230</v>
      </c>
      <c r="D178" s="86">
        <v>105.9</v>
      </c>
      <c r="E178" s="87">
        <v>32</v>
      </c>
      <c r="F178" s="86">
        <v>84.1</v>
      </c>
      <c r="G178" s="17">
        <v>25</v>
      </c>
      <c r="H178" s="88">
        <v>130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9">
        <v>3</v>
      </c>
      <c r="R178" s="79">
        <v>2</v>
      </c>
      <c r="S178" s="79" t="s">
        <v>62</v>
      </c>
      <c r="T178" s="5">
        <v>105</v>
      </c>
      <c r="U178" s="9"/>
    </row>
    <row r="179" spans="1:21" s="37" customFormat="1" ht="12" x14ac:dyDescent="0.3">
      <c r="A179" s="74" t="s">
        <v>1720</v>
      </c>
      <c r="B179" s="75" t="s">
        <v>1721</v>
      </c>
      <c r="C179" s="85">
        <v>230</v>
      </c>
      <c r="D179" s="86">
        <v>154</v>
      </c>
      <c r="E179" s="87">
        <v>47</v>
      </c>
      <c r="F179" s="86">
        <v>122.3</v>
      </c>
      <c r="G179" s="17">
        <v>37</v>
      </c>
      <c r="H179" s="88">
        <v>40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4</v>
      </c>
      <c r="R179" s="79">
        <v>2</v>
      </c>
      <c r="S179" s="79" t="s">
        <v>62</v>
      </c>
      <c r="T179" s="5">
        <v>153</v>
      </c>
      <c r="U179" s="9"/>
    </row>
    <row r="180" spans="1:21" s="37" customFormat="1" ht="12" x14ac:dyDescent="0.3">
      <c r="A180" s="74" t="s">
        <v>1722</v>
      </c>
      <c r="B180" s="75" t="s">
        <v>1723</v>
      </c>
      <c r="C180" s="85">
        <v>380</v>
      </c>
      <c r="D180" s="86">
        <v>209.3</v>
      </c>
      <c r="E180" s="87">
        <v>63</v>
      </c>
      <c r="F180" s="86">
        <v>181.1</v>
      </c>
      <c r="G180" s="17">
        <v>55</v>
      </c>
      <c r="H180" s="88">
        <v>30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9">
        <v>5</v>
      </c>
      <c r="R180" s="79">
        <v>2</v>
      </c>
      <c r="S180" s="79" t="s">
        <v>62</v>
      </c>
      <c r="T180" s="5">
        <v>209</v>
      </c>
      <c r="U180" s="9"/>
    </row>
    <row r="181" spans="1:21" s="37" customFormat="1" ht="12" x14ac:dyDescent="0.3">
      <c r="A181" s="74" t="s">
        <v>1541</v>
      </c>
      <c r="B181" s="75" t="s">
        <v>1727</v>
      </c>
      <c r="C181" s="85">
        <v>2164</v>
      </c>
      <c r="D181" s="86">
        <v>128.69999999999999</v>
      </c>
      <c r="E181" s="87">
        <v>39</v>
      </c>
      <c r="F181" s="86">
        <v>99.1</v>
      </c>
      <c r="G181" s="17">
        <v>30</v>
      </c>
      <c r="H181" s="88">
        <v>688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9">
        <v>3</v>
      </c>
      <c r="R181" s="79">
        <v>2</v>
      </c>
      <c r="S181" s="79" t="s">
        <v>62</v>
      </c>
      <c r="T181" s="5">
        <v>128</v>
      </c>
      <c r="U181" s="9"/>
    </row>
    <row r="182" spans="1:21" s="37" customFormat="1" ht="12" x14ac:dyDescent="0.3">
      <c r="A182" s="74" t="s">
        <v>1728</v>
      </c>
      <c r="B182" s="75" t="s">
        <v>1727</v>
      </c>
      <c r="C182" s="85">
        <v>2164</v>
      </c>
      <c r="D182" s="86">
        <v>162.1</v>
      </c>
      <c r="E182" s="87">
        <v>49</v>
      </c>
      <c r="F182" s="86">
        <v>124.8</v>
      </c>
      <c r="G182" s="17">
        <v>38</v>
      </c>
      <c r="H182" s="88">
        <v>688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9">
        <v>3</v>
      </c>
      <c r="R182" s="79">
        <v>2</v>
      </c>
      <c r="S182" s="79" t="s">
        <v>62</v>
      </c>
      <c r="T182" s="5">
        <v>162</v>
      </c>
      <c r="U182" s="9"/>
    </row>
    <row r="183" spans="1:21" s="37" customFormat="1" ht="12" x14ac:dyDescent="0.3">
      <c r="A183" s="74" t="s">
        <v>1728</v>
      </c>
      <c r="B183" s="75" t="s">
        <v>1542</v>
      </c>
      <c r="C183" s="85">
        <v>2164</v>
      </c>
      <c r="D183" s="86">
        <v>198.2</v>
      </c>
      <c r="E183" s="87">
        <v>60</v>
      </c>
      <c r="F183" s="86">
        <v>152.69999999999999</v>
      </c>
      <c r="G183" s="17">
        <v>46</v>
      </c>
      <c r="H183" s="88">
        <v>688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9">
        <v>4</v>
      </c>
      <c r="R183" s="79">
        <v>2</v>
      </c>
      <c r="S183" s="79" t="s">
        <v>62</v>
      </c>
      <c r="T183" s="5">
        <v>198</v>
      </c>
      <c r="U183" s="9"/>
    </row>
    <row r="184" spans="1:21" s="37" customFormat="1" ht="12" x14ac:dyDescent="0.3">
      <c r="A184" s="74" t="s">
        <v>1728</v>
      </c>
      <c r="B184" s="75" t="s">
        <v>1727</v>
      </c>
      <c r="C184" s="85">
        <v>2164</v>
      </c>
      <c r="D184" s="86">
        <v>211.2</v>
      </c>
      <c r="E184" s="87">
        <v>64</v>
      </c>
      <c r="F184" s="86">
        <v>162.6</v>
      </c>
      <c r="G184" s="17">
        <v>49</v>
      </c>
      <c r="H184" s="88">
        <v>50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9">
        <v>5</v>
      </c>
      <c r="R184" s="79">
        <v>3</v>
      </c>
      <c r="S184" s="79" t="s">
        <v>62</v>
      </c>
      <c r="T184" s="5">
        <v>211</v>
      </c>
      <c r="U184" s="9"/>
    </row>
    <row r="185" spans="1:21" s="37" customFormat="1" ht="12" x14ac:dyDescent="0.3">
      <c r="A185" s="74" t="s">
        <v>1728</v>
      </c>
      <c r="B185" s="75" t="s">
        <v>1727</v>
      </c>
      <c r="C185" s="85">
        <v>2164</v>
      </c>
      <c r="D185" s="86">
        <v>255.8</v>
      </c>
      <c r="E185" s="87">
        <v>77</v>
      </c>
      <c r="F185" s="86">
        <v>197</v>
      </c>
      <c r="G185" s="17">
        <v>60</v>
      </c>
      <c r="H185" s="88">
        <v>50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9">
        <v>5</v>
      </c>
      <c r="R185" s="79">
        <v>3</v>
      </c>
      <c r="S185" s="79" t="s">
        <v>62</v>
      </c>
      <c r="T185" s="5">
        <v>255</v>
      </c>
      <c r="U185" s="9"/>
    </row>
    <row r="186" spans="1:21" s="37" customFormat="1" ht="12" x14ac:dyDescent="0.3">
      <c r="A186" s="74" t="s">
        <v>1731</v>
      </c>
      <c r="B186" s="75" t="s">
        <v>1732</v>
      </c>
      <c r="C186" s="85">
        <v>986</v>
      </c>
      <c r="D186" s="86">
        <v>58.8</v>
      </c>
      <c r="E186" s="87">
        <v>18</v>
      </c>
      <c r="F186" s="86">
        <v>39.299999999999997</v>
      </c>
      <c r="G186" s="17">
        <v>12</v>
      </c>
      <c r="H186" s="88">
        <v>90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9">
        <v>2</v>
      </c>
      <c r="R186" s="79">
        <v>1</v>
      </c>
      <c r="S186" s="79" t="s">
        <v>62</v>
      </c>
      <c r="T186" s="5">
        <v>58</v>
      </c>
      <c r="U186" s="9"/>
    </row>
    <row r="187" spans="1:21" s="37" customFormat="1" ht="12" x14ac:dyDescent="0.3">
      <c r="A187" s="74" t="s">
        <v>1731</v>
      </c>
      <c r="B187" s="75" t="s">
        <v>1546</v>
      </c>
      <c r="C187" s="85">
        <v>986</v>
      </c>
      <c r="D187" s="86">
        <v>82.1</v>
      </c>
      <c r="E187" s="87">
        <v>25</v>
      </c>
      <c r="F187" s="86">
        <v>59.9</v>
      </c>
      <c r="G187" s="17">
        <v>18</v>
      </c>
      <c r="H187" s="88">
        <v>48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9">
        <v>3</v>
      </c>
      <c r="R187" s="79">
        <v>2</v>
      </c>
      <c r="S187" s="79" t="s">
        <v>62</v>
      </c>
      <c r="T187" s="5" t="s">
        <v>136</v>
      </c>
      <c r="U187" s="9"/>
    </row>
    <row r="188" spans="1:21" s="37" customFormat="1" ht="12" x14ac:dyDescent="0.3">
      <c r="A188" s="74" t="s">
        <v>1731</v>
      </c>
      <c r="B188" s="75" t="s">
        <v>1732</v>
      </c>
      <c r="C188" s="85">
        <v>986</v>
      </c>
      <c r="D188" s="86">
        <v>101.3</v>
      </c>
      <c r="E188" s="87">
        <v>31</v>
      </c>
      <c r="F188" s="86">
        <v>75</v>
      </c>
      <c r="G188" s="17">
        <v>23</v>
      </c>
      <c r="H188" s="88">
        <v>186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9">
        <v>3</v>
      </c>
      <c r="R188" s="79">
        <v>2</v>
      </c>
      <c r="S188" s="79" t="s">
        <v>62</v>
      </c>
      <c r="T188" s="5">
        <v>101</v>
      </c>
      <c r="U188" s="9"/>
    </row>
    <row r="189" spans="1:21" s="37" customFormat="1" ht="12" x14ac:dyDescent="0.3">
      <c r="A189" s="74" t="s">
        <v>1545</v>
      </c>
      <c r="B189" s="75" t="s">
        <v>1732</v>
      </c>
      <c r="C189" s="85">
        <v>986</v>
      </c>
      <c r="D189" s="86">
        <v>111.7</v>
      </c>
      <c r="E189" s="87">
        <v>34</v>
      </c>
      <c r="F189" s="86">
        <v>85</v>
      </c>
      <c r="G189" s="17">
        <v>26</v>
      </c>
      <c r="H189" s="88">
        <v>407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9">
        <v>3</v>
      </c>
      <c r="R189" s="79">
        <v>2</v>
      </c>
      <c r="S189" s="79" t="s">
        <v>62</v>
      </c>
      <c r="T189" s="5" t="s">
        <v>73</v>
      </c>
      <c r="U189" s="9"/>
    </row>
    <row r="190" spans="1:21" s="37" customFormat="1" ht="12" x14ac:dyDescent="0.3">
      <c r="A190" s="74" t="s">
        <v>1739</v>
      </c>
      <c r="B190" s="75" t="s">
        <v>1643</v>
      </c>
      <c r="C190" s="85">
        <v>220</v>
      </c>
      <c r="D190" s="86">
        <v>78</v>
      </c>
      <c r="E190" s="87">
        <v>24</v>
      </c>
      <c r="F190" s="86">
        <v>59.6</v>
      </c>
      <c r="G190" s="17">
        <v>18</v>
      </c>
      <c r="H190" s="88">
        <v>220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3</v>
      </c>
      <c r="R190" s="79">
        <v>1</v>
      </c>
      <c r="S190" s="79" t="s">
        <v>62</v>
      </c>
      <c r="T190" s="5">
        <v>78</v>
      </c>
      <c r="U190" s="9"/>
    </row>
    <row r="191" spans="1:21" s="37" customFormat="1" ht="12" x14ac:dyDescent="0.3">
      <c r="A191" s="74" t="s">
        <v>1554</v>
      </c>
      <c r="B191" s="75" t="s">
        <v>1555</v>
      </c>
      <c r="C191" s="85">
        <v>466</v>
      </c>
      <c r="D191" s="86">
        <v>107.3</v>
      </c>
      <c r="E191" s="87">
        <v>32</v>
      </c>
      <c r="F191" s="86">
        <v>70.900000000000006</v>
      </c>
      <c r="G191" s="17">
        <v>21</v>
      </c>
      <c r="H191" s="88">
        <v>47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2</v>
      </c>
      <c r="S191" s="79" t="s">
        <v>62</v>
      </c>
      <c r="T191" s="5" t="s">
        <v>93</v>
      </c>
      <c r="U191" s="9"/>
    </row>
    <row r="192" spans="1:21" s="37" customFormat="1" ht="12" x14ac:dyDescent="0.3">
      <c r="A192" s="74" t="s">
        <v>1740</v>
      </c>
      <c r="B192" s="75" t="s">
        <v>1741</v>
      </c>
      <c r="C192" s="85">
        <v>466</v>
      </c>
      <c r="D192" s="86">
        <v>126.4</v>
      </c>
      <c r="E192" s="87">
        <v>38</v>
      </c>
      <c r="F192" s="86">
        <v>84.7</v>
      </c>
      <c r="G192" s="17">
        <v>26</v>
      </c>
      <c r="H192" s="88">
        <v>94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3</v>
      </c>
      <c r="R192" s="79">
        <v>2</v>
      </c>
      <c r="S192" s="79" t="s">
        <v>62</v>
      </c>
      <c r="T192" s="5" t="s">
        <v>144</v>
      </c>
      <c r="U192" s="9"/>
    </row>
    <row r="193" spans="1:21" s="37" customFormat="1" ht="12" x14ac:dyDescent="0.3">
      <c r="A193" s="74" t="s">
        <v>1744</v>
      </c>
      <c r="B193" s="75" t="s">
        <v>1745</v>
      </c>
      <c r="C193" s="85">
        <v>274</v>
      </c>
      <c r="D193" s="86">
        <v>126.3</v>
      </c>
      <c r="E193" s="87">
        <v>38</v>
      </c>
      <c r="F193" s="86">
        <v>100.9</v>
      </c>
      <c r="G193" s="17">
        <v>31</v>
      </c>
      <c r="H193" s="88">
        <v>102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3</v>
      </c>
      <c r="R193" s="79">
        <v>2</v>
      </c>
      <c r="S193" s="79" t="s">
        <v>62</v>
      </c>
      <c r="T193" s="5">
        <v>126</v>
      </c>
      <c r="U193" s="9"/>
    </row>
    <row r="194" spans="1:21" s="37" customFormat="1" ht="12" x14ac:dyDescent="0.3">
      <c r="A194" s="74" t="s">
        <v>1558</v>
      </c>
      <c r="B194" s="75" t="s">
        <v>1745</v>
      </c>
      <c r="C194" s="85">
        <v>274</v>
      </c>
      <c r="D194" s="86">
        <v>159.1</v>
      </c>
      <c r="E194" s="87">
        <v>48</v>
      </c>
      <c r="F194" s="86">
        <v>134.19999999999999</v>
      </c>
      <c r="G194" s="17">
        <v>41</v>
      </c>
      <c r="H194" s="88">
        <v>116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4</v>
      </c>
      <c r="R194" s="79">
        <v>2</v>
      </c>
      <c r="S194" s="79" t="s">
        <v>62</v>
      </c>
      <c r="T194" s="5">
        <v>159</v>
      </c>
      <c r="U194" s="9"/>
    </row>
    <row r="195" spans="1:21" s="37" customFormat="1" ht="12" x14ac:dyDescent="0.3">
      <c r="A195" s="74" t="s">
        <v>1558</v>
      </c>
      <c r="B195" s="75" t="s">
        <v>1745</v>
      </c>
      <c r="C195" s="85">
        <v>274</v>
      </c>
      <c r="D195" s="86">
        <v>206.8</v>
      </c>
      <c r="E195" s="87">
        <v>63</v>
      </c>
      <c r="F195" s="86">
        <v>175.8</v>
      </c>
      <c r="G195" s="17">
        <v>53</v>
      </c>
      <c r="H195" s="88">
        <v>30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9">
        <v>5</v>
      </c>
      <c r="R195" s="79">
        <v>2</v>
      </c>
      <c r="S195" s="79" t="s">
        <v>62</v>
      </c>
      <c r="T195" s="5">
        <v>206</v>
      </c>
      <c r="U195" s="9"/>
    </row>
    <row r="196" spans="1:21" s="37" customFormat="1" ht="12" x14ac:dyDescent="0.3">
      <c r="A196" s="74" t="s">
        <v>1752</v>
      </c>
      <c r="B196" s="75" t="s">
        <v>1571</v>
      </c>
      <c r="C196" s="85">
        <v>293</v>
      </c>
      <c r="D196" s="86">
        <v>102</v>
      </c>
      <c r="E196" s="87">
        <v>31</v>
      </c>
      <c r="F196" s="86">
        <v>74.900000000000006</v>
      </c>
      <c r="G196" s="17">
        <v>23</v>
      </c>
      <c r="H196" s="88">
        <v>137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9">
        <v>3</v>
      </c>
      <c r="R196" s="79">
        <v>2</v>
      </c>
      <c r="S196" s="79" t="s">
        <v>62</v>
      </c>
      <c r="T196" s="5" t="s">
        <v>151</v>
      </c>
      <c r="U196" s="9"/>
    </row>
    <row r="197" spans="1:21" s="37" customFormat="1" ht="12" x14ac:dyDescent="0.3">
      <c r="A197" s="74" t="s">
        <v>1574</v>
      </c>
      <c r="B197" s="75" t="s">
        <v>1755</v>
      </c>
      <c r="C197" s="85">
        <v>498</v>
      </c>
      <c r="D197" s="86">
        <v>35.1</v>
      </c>
      <c r="E197" s="87">
        <v>11</v>
      </c>
      <c r="F197" s="86">
        <v>22.7</v>
      </c>
      <c r="G197" s="17">
        <v>7</v>
      </c>
      <c r="H197" s="88">
        <v>456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1</v>
      </c>
      <c r="R197" s="79">
        <v>1</v>
      </c>
      <c r="S197" s="79" t="s">
        <v>59</v>
      </c>
      <c r="T197" s="5">
        <v>35</v>
      </c>
      <c r="U197" s="9"/>
    </row>
    <row r="198" spans="1:21" s="37" customFormat="1" ht="12" x14ac:dyDescent="0.3">
      <c r="A198" s="74" t="s">
        <v>1756</v>
      </c>
      <c r="B198" s="75" t="s">
        <v>1575</v>
      </c>
      <c r="C198" s="85">
        <v>498</v>
      </c>
      <c r="D198" s="86">
        <v>80.5</v>
      </c>
      <c r="E198" s="87">
        <v>24</v>
      </c>
      <c r="F198" s="86">
        <v>52.1</v>
      </c>
      <c r="G198" s="17">
        <v>16</v>
      </c>
      <c r="H198" s="88">
        <v>42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9">
        <v>3</v>
      </c>
      <c r="R198" s="79">
        <v>2</v>
      </c>
      <c r="S198" s="79" t="s">
        <v>59</v>
      </c>
      <c r="T198" s="5">
        <v>80</v>
      </c>
      <c r="U198" s="9"/>
    </row>
    <row r="199" spans="1:21" s="37" customFormat="1" ht="12" x14ac:dyDescent="0.3">
      <c r="A199" s="74" t="s">
        <v>1757</v>
      </c>
      <c r="B199" s="75" t="s">
        <v>1758</v>
      </c>
      <c r="C199" s="85">
        <v>200</v>
      </c>
      <c r="D199" s="86">
        <v>72.900000000000006</v>
      </c>
      <c r="E199" s="87">
        <v>22</v>
      </c>
      <c r="F199" s="86">
        <v>59.4</v>
      </c>
      <c r="G199" s="17">
        <v>18</v>
      </c>
      <c r="H199" s="88">
        <v>75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9">
        <v>3</v>
      </c>
      <c r="R199" s="79">
        <v>1</v>
      </c>
      <c r="S199" s="79" t="s">
        <v>62</v>
      </c>
      <c r="T199" s="5">
        <v>72</v>
      </c>
      <c r="U199" s="9"/>
    </row>
    <row r="200" spans="1:21" s="37" customFormat="1" ht="24" customHeight="1" x14ac:dyDescent="0.3">
      <c r="A200" s="74" t="s">
        <v>1757</v>
      </c>
      <c r="B200" s="75" t="s">
        <v>1577</v>
      </c>
      <c r="C200" s="85">
        <v>200</v>
      </c>
      <c r="D200" s="86">
        <v>101.9</v>
      </c>
      <c r="E200" s="87">
        <v>31</v>
      </c>
      <c r="F200" s="86">
        <v>84.9</v>
      </c>
      <c r="G200" s="17">
        <v>26</v>
      </c>
      <c r="H200" s="88">
        <v>120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9">
        <v>3</v>
      </c>
      <c r="R200" s="79">
        <v>2</v>
      </c>
      <c r="S200" s="79" t="s">
        <v>62</v>
      </c>
      <c r="T200" s="5">
        <v>101</v>
      </c>
      <c r="U200" s="9"/>
    </row>
    <row r="201" spans="1:21" s="37" customFormat="1" ht="24" customHeight="1" x14ac:dyDescent="0.3">
      <c r="A201" s="74" t="s">
        <v>1762</v>
      </c>
      <c r="B201" s="75" t="s">
        <v>1476</v>
      </c>
      <c r="C201" s="85">
        <v>232</v>
      </c>
      <c r="D201" s="86">
        <v>71.5</v>
      </c>
      <c r="E201" s="87">
        <v>22</v>
      </c>
      <c r="F201" s="86">
        <v>49.9</v>
      </c>
      <c r="G201" s="17">
        <v>15</v>
      </c>
      <c r="H201" s="88">
        <v>232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9">
        <v>2</v>
      </c>
      <c r="R201" s="79">
        <v>1</v>
      </c>
      <c r="S201" s="79" t="s">
        <v>59</v>
      </c>
      <c r="T201" s="5">
        <v>71</v>
      </c>
      <c r="U201" s="9"/>
    </row>
    <row r="202" spans="1:21" s="37" customFormat="1" ht="24" customHeight="1" x14ac:dyDescent="0.3">
      <c r="A202" s="74" t="s">
        <v>1763</v>
      </c>
      <c r="B202" s="75" t="s">
        <v>1592</v>
      </c>
      <c r="C202" s="85">
        <v>204</v>
      </c>
      <c r="D202" s="86">
        <v>104.6</v>
      </c>
      <c r="E202" s="87">
        <v>32</v>
      </c>
      <c r="F202" s="86">
        <v>84.8</v>
      </c>
      <c r="G202" s="17">
        <v>26</v>
      </c>
      <c r="H202" s="88">
        <v>200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62</v>
      </c>
      <c r="T202" s="5">
        <v>104</v>
      </c>
      <c r="U202" s="9"/>
    </row>
    <row r="203" spans="1:21" s="37" customFormat="1" ht="24" customHeight="1" x14ac:dyDescent="0.3">
      <c r="A203" s="74" t="s">
        <v>1593</v>
      </c>
      <c r="B203" s="75" t="s">
        <v>1594</v>
      </c>
      <c r="C203" s="85">
        <v>276</v>
      </c>
      <c r="D203" s="86">
        <v>82.6</v>
      </c>
      <c r="E203" s="87">
        <v>25</v>
      </c>
      <c r="F203" s="86">
        <v>66.7</v>
      </c>
      <c r="G203" s="17">
        <v>20</v>
      </c>
      <c r="H203" s="88">
        <v>90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9">
        <v>3</v>
      </c>
      <c r="R203" s="79">
        <v>1</v>
      </c>
      <c r="S203" s="79" t="s">
        <v>62</v>
      </c>
      <c r="T203" s="5">
        <v>82</v>
      </c>
      <c r="U203" s="9"/>
    </row>
    <row r="204" spans="1:21" s="37" customFormat="1" ht="12" x14ac:dyDescent="0.3">
      <c r="A204" s="74" t="s">
        <v>1764</v>
      </c>
      <c r="B204" s="75" t="s">
        <v>1765</v>
      </c>
      <c r="C204" s="85">
        <v>276</v>
      </c>
      <c r="D204" s="86">
        <v>104.9</v>
      </c>
      <c r="E204" s="87">
        <v>32</v>
      </c>
      <c r="F204" s="86">
        <v>85</v>
      </c>
      <c r="G204" s="17">
        <v>26</v>
      </c>
      <c r="H204" s="88">
        <v>138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3</v>
      </c>
      <c r="R204" s="79">
        <v>2</v>
      </c>
      <c r="S204" s="79" t="s">
        <v>62</v>
      </c>
      <c r="T204" s="5">
        <v>104</v>
      </c>
      <c r="U204" s="9"/>
    </row>
    <row r="205" spans="1:21" s="37" customFormat="1" ht="12" x14ac:dyDescent="0.3">
      <c r="A205" s="74" t="s">
        <v>1766</v>
      </c>
      <c r="B205" s="75" t="s">
        <v>1594</v>
      </c>
      <c r="C205" s="85">
        <v>276</v>
      </c>
      <c r="D205" s="86">
        <v>144.69999999999999</v>
      </c>
      <c r="E205" s="87">
        <v>44</v>
      </c>
      <c r="F205" s="86">
        <v>124</v>
      </c>
      <c r="G205" s="17">
        <v>38</v>
      </c>
      <c r="H205" s="88">
        <v>48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9">
        <v>4</v>
      </c>
      <c r="R205" s="79">
        <v>2</v>
      </c>
      <c r="S205" s="79" t="s">
        <v>62</v>
      </c>
      <c r="T205" s="5">
        <v>144</v>
      </c>
      <c r="U205" s="9"/>
    </row>
    <row r="206" spans="1:21" s="37" customFormat="1" ht="12" x14ac:dyDescent="0.3">
      <c r="A206" s="74" t="s">
        <v>1599</v>
      </c>
      <c r="B206" s="75" t="s">
        <v>1600</v>
      </c>
      <c r="C206" s="85">
        <v>574</v>
      </c>
      <c r="D206" s="86">
        <v>40.299999999999997</v>
      </c>
      <c r="E206" s="87">
        <v>12</v>
      </c>
      <c r="F206" s="86">
        <v>40.299999999999997</v>
      </c>
      <c r="G206" s="17">
        <v>12</v>
      </c>
      <c r="H206" s="88">
        <v>86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9">
        <v>2</v>
      </c>
      <c r="R206" s="79">
        <v>1</v>
      </c>
      <c r="S206" s="79" t="s">
        <v>62</v>
      </c>
      <c r="T206" s="5">
        <v>40</v>
      </c>
      <c r="U206" s="9"/>
    </row>
    <row r="207" spans="1:21" s="37" customFormat="1" ht="12" x14ac:dyDescent="0.3">
      <c r="A207" s="74" t="s">
        <v>1599</v>
      </c>
      <c r="B207" s="75" t="s">
        <v>1600</v>
      </c>
      <c r="C207" s="85">
        <v>574</v>
      </c>
      <c r="D207" s="86">
        <v>49.9</v>
      </c>
      <c r="E207" s="87">
        <v>15</v>
      </c>
      <c r="F207" s="86">
        <v>46.8</v>
      </c>
      <c r="G207" s="17">
        <v>14</v>
      </c>
      <c r="H207" s="88">
        <v>44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9">
        <v>2</v>
      </c>
      <c r="R207" s="79">
        <v>1</v>
      </c>
      <c r="S207" s="79" t="s">
        <v>62</v>
      </c>
      <c r="T207" s="5" t="s">
        <v>163</v>
      </c>
      <c r="U207" s="9"/>
    </row>
    <row r="208" spans="1:21" s="37" customFormat="1" ht="12" x14ac:dyDescent="0.3">
      <c r="A208" s="74" t="s">
        <v>1599</v>
      </c>
      <c r="B208" s="75" t="s">
        <v>1600</v>
      </c>
      <c r="C208" s="85">
        <v>574</v>
      </c>
      <c r="D208" s="86">
        <v>52.7</v>
      </c>
      <c r="E208" s="87">
        <v>16</v>
      </c>
      <c r="F208" s="86">
        <v>47.3</v>
      </c>
      <c r="G208" s="17">
        <v>14</v>
      </c>
      <c r="H208" s="88">
        <v>90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9">
        <v>2</v>
      </c>
      <c r="R208" s="79">
        <v>1</v>
      </c>
      <c r="S208" s="79" t="s">
        <v>62</v>
      </c>
      <c r="T208" s="5" t="s">
        <v>167</v>
      </c>
      <c r="U208" s="9"/>
    </row>
    <row r="209" spans="1:21" s="37" customFormat="1" ht="12" x14ac:dyDescent="0.3">
      <c r="A209" s="74" t="s">
        <v>1599</v>
      </c>
      <c r="B209" s="75" t="s">
        <v>1772</v>
      </c>
      <c r="C209" s="85">
        <v>574</v>
      </c>
      <c r="D209" s="86">
        <v>59.5</v>
      </c>
      <c r="E209" s="87">
        <v>18</v>
      </c>
      <c r="F209" s="86">
        <v>54.1</v>
      </c>
      <c r="G209" s="17">
        <v>16</v>
      </c>
      <c r="H209" s="88">
        <v>80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9">
        <v>2</v>
      </c>
      <c r="R209" s="79">
        <v>1</v>
      </c>
      <c r="S209" s="79" t="s">
        <v>62</v>
      </c>
      <c r="T209" s="5" t="s">
        <v>169</v>
      </c>
      <c r="U209" s="9"/>
    </row>
    <row r="210" spans="1:21" s="37" customFormat="1" ht="12" x14ac:dyDescent="0.3">
      <c r="A210" s="74" t="s">
        <v>1601</v>
      </c>
      <c r="B210" s="75" t="s">
        <v>1773</v>
      </c>
      <c r="C210" s="85">
        <v>240</v>
      </c>
      <c r="D210" s="86">
        <v>54.7</v>
      </c>
      <c r="E210" s="87">
        <v>17</v>
      </c>
      <c r="F210" s="86">
        <v>48.5</v>
      </c>
      <c r="G210" s="17">
        <v>15</v>
      </c>
      <c r="H210" s="88">
        <v>240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2</v>
      </c>
      <c r="R210" s="79">
        <v>1</v>
      </c>
      <c r="S210" s="79" t="s">
        <v>62</v>
      </c>
      <c r="T210" s="5">
        <v>54</v>
      </c>
      <c r="U210" s="9"/>
    </row>
    <row r="211" spans="1:21" s="37" customFormat="1" ht="12" x14ac:dyDescent="0.3">
      <c r="A211" s="74" t="s">
        <v>1774</v>
      </c>
      <c r="B211" s="75" t="s">
        <v>1775</v>
      </c>
      <c r="C211" s="85">
        <v>277</v>
      </c>
      <c r="D211" s="86">
        <v>45.4</v>
      </c>
      <c r="E211" s="87">
        <v>14</v>
      </c>
      <c r="F211" s="86">
        <v>29.3</v>
      </c>
      <c r="G211" s="17">
        <v>9</v>
      </c>
      <c r="H211" s="88">
        <v>67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9">
        <v>2</v>
      </c>
      <c r="R211" s="79">
        <v>1</v>
      </c>
      <c r="S211" s="79" t="s">
        <v>62</v>
      </c>
      <c r="T211" s="5">
        <v>45</v>
      </c>
      <c r="U211" s="9"/>
    </row>
    <row r="212" spans="1:21" s="37" customFormat="1" ht="12" x14ac:dyDescent="0.3">
      <c r="A212" s="74" t="s">
        <v>1602</v>
      </c>
      <c r="B212" s="75" t="s">
        <v>1603</v>
      </c>
      <c r="C212" s="85">
        <v>277</v>
      </c>
      <c r="D212" s="86">
        <v>53.1</v>
      </c>
      <c r="E212" s="87">
        <v>16</v>
      </c>
      <c r="F212" s="86">
        <v>34.200000000000003</v>
      </c>
      <c r="G212" s="17">
        <v>10</v>
      </c>
      <c r="H212" s="88">
        <v>30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9">
        <v>2</v>
      </c>
      <c r="R212" s="79">
        <v>1</v>
      </c>
      <c r="S212" s="79" t="s">
        <v>62</v>
      </c>
      <c r="T212" s="5">
        <v>53</v>
      </c>
      <c r="U212" s="9"/>
    </row>
    <row r="213" spans="1:21" s="37" customFormat="1" ht="12" x14ac:dyDescent="0.3">
      <c r="A213" s="74" t="s">
        <v>1776</v>
      </c>
      <c r="B213" s="75" t="s">
        <v>1777</v>
      </c>
      <c r="C213" s="85">
        <v>277</v>
      </c>
      <c r="D213" s="86">
        <v>81.5</v>
      </c>
      <c r="E213" s="87">
        <v>25</v>
      </c>
      <c r="F213" s="86">
        <v>65.8</v>
      </c>
      <c r="G213" s="17">
        <v>20</v>
      </c>
      <c r="H213" s="88">
        <v>150</v>
      </c>
      <c r="I213" s="89"/>
      <c r="J213" s="89"/>
      <c r="K213" s="89"/>
      <c r="L213" s="89"/>
      <c r="M213" s="90">
        <f>I213-K213</f>
        <v>0</v>
      </c>
      <c r="N213" s="4" t="str">
        <f>IF(ISERROR(K213/I213),"",K213/I213)</f>
        <v/>
      </c>
      <c r="O213" s="91">
        <f>I213/E213</f>
        <v>0</v>
      </c>
      <c r="P213" s="91">
        <f>K213/E213</f>
        <v>0</v>
      </c>
      <c r="Q213" s="79">
        <v>3</v>
      </c>
      <c r="R213" s="79">
        <v>1</v>
      </c>
      <c r="S213" s="79" t="s">
        <v>62</v>
      </c>
      <c r="T213" s="5" t="s">
        <v>172</v>
      </c>
      <c r="U213" s="9"/>
    </row>
    <row r="214" spans="1:21" s="37" customFormat="1" ht="12" x14ac:dyDescent="0.3">
      <c r="A214" s="74" t="s">
        <v>1778</v>
      </c>
      <c r="B214" s="75" t="s">
        <v>1605</v>
      </c>
      <c r="C214" s="85">
        <v>556</v>
      </c>
      <c r="D214" s="86">
        <v>45.1</v>
      </c>
      <c r="E214" s="87">
        <v>14</v>
      </c>
      <c r="F214" s="86">
        <v>39.700000000000003</v>
      </c>
      <c r="G214" s="17">
        <v>12</v>
      </c>
      <c r="H214" s="88">
        <v>90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9">
        <v>2</v>
      </c>
      <c r="R214" s="79">
        <v>1</v>
      </c>
      <c r="S214" s="79" t="s">
        <v>62</v>
      </c>
      <c r="T214" s="5">
        <v>45</v>
      </c>
      <c r="U214" s="9"/>
    </row>
    <row r="215" spans="1:21" s="37" customFormat="1" ht="12" x14ac:dyDescent="0.3">
      <c r="A215" s="74" t="s">
        <v>1604</v>
      </c>
      <c r="B215" s="75" t="s">
        <v>1779</v>
      </c>
      <c r="C215" s="85">
        <v>556</v>
      </c>
      <c r="D215" s="86">
        <v>52.3</v>
      </c>
      <c r="E215" s="87">
        <v>16</v>
      </c>
      <c r="F215" s="86">
        <v>46.8</v>
      </c>
      <c r="G215" s="17">
        <v>14</v>
      </c>
      <c r="H215" s="88">
        <v>48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2</v>
      </c>
      <c r="R215" s="79">
        <v>1</v>
      </c>
      <c r="S215" s="79" t="s">
        <v>62</v>
      </c>
      <c r="T215" s="5" t="s">
        <v>167</v>
      </c>
      <c r="U215" s="9"/>
    </row>
    <row r="216" spans="1:21" s="37" customFormat="1" ht="12" x14ac:dyDescent="0.3">
      <c r="A216" s="74" t="s">
        <v>1611</v>
      </c>
      <c r="B216" s="75" t="s">
        <v>1786</v>
      </c>
      <c r="C216" s="85">
        <v>365</v>
      </c>
      <c r="D216" s="86">
        <v>105.6</v>
      </c>
      <c r="E216" s="87">
        <v>32</v>
      </c>
      <c r="F216" s="86">
        <v>84.9</v>
      </c>
      <c r="G216" s="17">
        <v>26</v>
      </c>
      <c r="H216" s="88">
        <v>128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2</v>
      </c>
      <c r="S216" s="79" t="s">
        <v>62</v>
      </c>
      <c r="T216" s="5">
        <v>105</v>
      </c>
      <c r="U216" s="9"/>
    </row>
    <row r="217" spans="1:21" s="37" customFormat="1" ht="12" x14ac:dyDescent="0.3">
      <c r="A217" s="74" t="s">
        <v>1624</v>
      </c>
      <c r="B217" s="75" t="s">
        <v>1440</v>
      </c>
      <c r="C217" s="85">
        <v>570</v>
      </c>
      <c r="D217" s="86">
        <v>92</v>
      </c>
      <c r="E217" s="87">
        <v>28</v>
      </c>
      <c r="F217" s="86">
        <v>74.099999999999994</v>
      </c>
      <c r="G217" s="17">
        <v>22</v>
      </c>
      <c r="H217" s="88">
        <v>72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3</v>
      </c>
      <c r="R217" s="79">
        <v>1</v>
      </c>
      <c r="S217" s="79" t="s">
        <v>62</v>
      </c>
      <c r="T217" s="5">
        <v>92</v>
      </c>
      <c r="U217" s="9"/>
    </row>
    <row r="218" spans="1:21" s="37" customFormat="1" ht="12" x14ac:dyDescent="0.3">
      <c r="A218" s="74" t="s">
        <v>1625</v>
      </c>
      <c r="B218" s="75" t="s">
        <v>1801</v>
      </c>
      <c r="C218" s="85">
        <v>244</v>
      </c>
      <c r="D218" s="86">
        <v>88.7</v>
      </c>
      <c r="E218" s="87">
        <v>27</v>
      </c>
      <c r="F218" s="86">
        <v>59.9</v>
      </c>
      <c r="G218" s="17">
        <v>18</v>
      </c>
      <c r="H218" s="88">
        <v>162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2</v>
      </c>
      <c r="R218" s="79">
        <v>1</v>
      </c>
      <c r="S218" s="79" t="s">
        <v>59</v>
      </c>
      <c r="T218" s="5">
        <v>88</v>
      </c>
      <c r="U218" s="9"/>
    </row>
    <row r="219" spans="1:21" s="37" customFormat="1" ht="12" x14ac:dyDescent="0.3">
      <c r="A219" s="74" t="s">
        <v>1802</v>
      </c>
      <c r="B219" s="75" t="s">
        <v>1472</v>
      </c>
      <c r="C219" s="85">
        <v>244</v>
      </c>
      <c r="D219" s="86">
        <v>103.5</v>
      </c>
      <c r="E219" s="87">
        <v>31</v>
      </c>
      <c r="F219" s="86">
        <v>70</v>
      </c>
      <c r="G219" s="17">
        <v>21</v>
      </c>
      <c r="H219" s="88">
        <v>30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3</v>
      </c>
      <c r="R219" s="79">
        <v>1</v>
      </c>
      <c r="S219" s="79" t="s">
        <v>59</v>
      </c>
      <c r="T219" s="5">
        <v>103</v>
      </c>
      <c r="U219" s="9"/>
    </row>
    <row r="220" spans="1:21" s="37" customFormat="1" ht="12" x14ac:dyDescent="0.3">
      <c r="A220" s="74" t="s">
        <v>1625</v>
      </c>
      <c r="B220" s="75" t="s">
        <v>1472</v>
      </c>
      <c r="C220" s="85">
        <v>244</v>
      </c>
      <c r="D220" s="86">
        <v>115.5</v>
      </c>
      <c r="E220" s="87">
        <v>35</v>
      </c>
      <c r="F220" s="86">
        <v>84.9</v>
      </c>
      <c r="G220" s="17">
        <v>26</v>
      </c>
      <c r="H220" s="88">
        <v>52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9">
        <v>3</v>
      </c>
      <c r="R220" s="79">
        <v>2</v>
      </c>
      <c r="S220" s="79" t="s">
        <v>59</v>
      </c>
      <c r="T220" s="5">
        <v>115</v>
      </c>
      <c r="U220" s="9"/>
    </row>
    <row r="221" spans="1:21" s="37" customFormat="1" ht="12" x14ac:dyDescent="0.3">
      <c r="A221" s="74" t="s">
        <v>1626</v>
      </c>
      <c r="B221" s="75" t="s">
        <v>1627</v>
      </c>
      <c r="C221" s="85">
        <v>427</v>
      </c>
      <c r="D221" s="86">
        <v>131.80000000000001</v>
      </c>
      <c r="E221" s="87">
        <v>40</v>
      </c>
      <c r="F221" s="86">
        <v>106.7</v>
      </c>
      <c r="G221" s="17">
        <v>32</v>
      </c>
      <c r="H221" s="88">
        <v>84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3</v>
      </c>
      <c r="R221" s="79">
        <v>2</v>
      </c>
      <c r="S221" s="79" t="s">
        <v>62</v>
      </c>
      <c r="T221" s="5">
        <v>131</v>
      </c>
      <c r="U221" s="9"/>
    </row>
    <row r="222" spans="1:21" s="37" customFormat="1" ht="12" x14ac:dyDescent="0.3">
      <c r="A222" s="74" t="s">
        <v>1628</v>
      </c>
      <c r="B222" s="75" t="s">
        <v>1805</v>
      </c>
      <c r="C222" s="85">
        <v>290</v>
      </c>
      <c r="D222" s="86">
        <v>56.3</v>
      </c>
      <c r="E222" s="87">
        <v>17</v>
      </c>
      <c r="F222" s="86">
        <v>50.9</v>
      </c>
      <c r="G222" s="17">
        <v>15</v>
      </c>
      <c r="H222" s="88">
        <v>100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2</v>
      </c>
      <c r="R222" s="79">
        <v>1</v>
      </c>
      <c r="S222" s="79" t="s">
        <v>62</v>
      </c>
      <c r="T222" s="5">
        <v>56</v>
      </c>
      <c r="U222" s="9"/>
    </row>
    <row r="223" spans="1:21" s="37" customFormat="1" ht="12" x14ac:dyDescent="0.3">
      <c r="A223" s="74" t="s">
        <v>1806</v>
      </c>
      <c r="B223" s="75" t="s">
        <v>1629</v>
      </c>
      <c r="C223" s="85">
        <v>290</v>
      </c>
      <c r="D223" s="86">
        <v>60</v>
      </c>
      <c r="E223" s="87">
        <v>18</v>
      </c>
      <c r="F223" s="86">
        <v>54.6</v>
      </c>
      <c r="G223" s="17">
        <v>17</v>
      </c>
      <c r="H223" s="88">
        <v>190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2</v>
      </c>
      <c r="R223" s="79">
        <v>1</v>
      </c>
      <c r="S223" s="79" t="s">
        <v>62</v>
      </c>
      <c r="T223" s="5">
        <v>60</v>
      </c>
      <c r="U223" s="9"/>
    </row>
    <row r="224" spans="1:21" s="37" customFormat="1" ht="12" x14ac:dyDescent="0.3">
      <c r="A224" s="74" t="s">
        <v>1813</v>
      </c>
      <c r="B224" s="75" t="s">
        <v>1814</v>
      </c>
      <c r="C224" s="85">
        <v>564</v>
      </c>
      <c r="D224" s="86">
        <v>159.5</v>
      </c>
      <c r="E224" s="87">
        <v>48</v>
      </c>
      <c r="F224" s="86">
        <v>128.80000000000001</v>
      </c>
      <c r="G224" s="17">
        <v>39</v>
      </c>
      <c r="H224" s="88">
        <v>40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9">
        <v>4</v>
      </c>
      <c r="R224" s="79">
        <v>2</v>
      </c>
      <c r="S224" s="79" t="s">
        <v>62</v>
      </c>
      <c r="T224" s="5">
        <v>159</v>
      </c>
      <c r="U224" s="9"/>
    </row>
    <row r="225" spans="1:22" s="37" customFormat="1" ht="12" x14ac:dyDescent="0.3">
      <c r="A225" s="74" t="s">
        <v>1634</v>
      </c>
      <c r="B225" s="75" t="s">
        <v>1635</v>
      </c>
      <c r="C225" s="85">
        <v>402</v>
      </c>
      <c r="D225" s="86">
        <v>212.6</v>
      </c>
      <c r="E225" s="87">
        <v>64</v>
      </c>
      <c r="F225" s="86">
        <v>174.8</v>
      </c>
      <c r="G225" s="17">
        <v>53</v>
      </c>
      <c r="H225" s="88">
        <v>54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9">
        <v>3</v>
      </c>
      <c r="R225" s="79">
        <v>3</v>
      </c>
      <c r="S225" s="79" t="s">
        <v>62</v>
      </c>
      <c r="T225" s="5">
        <v>212</v>
      </c>
      <c r="U225" s="9"/>
    </row>
    <row r="226" spans="1:22" s="37" customFormat="1" ht="12" x14ac:dyDescent="0.3">
      <c r="A226" s="74" t="s">
        <v>1638</v>
      </c>
      <c r="B226" s="75" t="s">
        <v>1635</v>
      </c>
      <c r="C226" s="85">
        <v>402</v>
      </c>
      <c r="D226" s="86">
        <v>145.1</v>
      </c>
      <c r="E226" s="87">
        <v>44</v>
      </c>
      <c r="F226" s="86">
        <v>109.5</v>
      </c>
      <c r="G226" s="17">
        <v>33</v>
      </c>
      <c r="H226" s="88">
        <v>132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9">
        <v>3</v>
      </c>
      <c r="R226" s="79">
        <v>2</v>
      </c>
      <c r="S226" s="79" t="s">
        <v>62</v>
      </c>
      <c r="T226" s="5">
        <v>145</v>
      </c>
      <c r="U226" s="9"/>
    </row>
    <row r="227" spans="1:22" s="37" customFormat="1" ht="12" x14ac:dyDescent="0.3">
      <c r="A227" s="74" t="s">
        <v>1530</v>
      </c>
      <c r="B227" s="75" t="s">
        <v>1531</v>
      </c>
      <c r="C227" s="85">
        <v>1148</v>
      </c>
      <c r="D227" s="86">
        <v>129.80000000000001</v>
      </c>
      <c r="E227" s="87">
        <v>39</v>
      </c>
      <c r="F227" s="86">
        <v>100</v>
      </c>
      <c r="G227" s="17">
        <v>30</v>
      </c>
      <c r="H227" s="88">
        <v>91</v>
      </c>
      <c r="I227" s="89"/>
      <c r="J227" s="89"/>
      <c r="K227" s="89">
        <v>34000</v>
      </c>
      <c r="L227" s="89" t="s">
        <v>92</v>
      </c>
      <c r="M227" s="90">
        <f>I227-K227</f>
        <v>-34000</v>
      </c>
      <c r="N227" s="4" t="str">
        <f>IF(ISERROR(K227/I227),"",K227/I227)</f>
        <v/>
      </c>
      <c r="O227" s="91">
        <f>I227/E227</f>
        <v>0</v>
      </c>
      <c r="P227" s="91">
        <f>K227/E227</f>
        <v>871.79487179487182</v>
      </c>
      <c r="Q227" s="79">
        <v>4</v>
      </c>
      <c r="R227" s="79">
        <v>2</v>
      </c>
      <c r="S227" s="79" t="s">
        <v>62</v>
      </c>
      <c r="T227" s="5">
        <v>129</v>
      </c>
      <c r="U227" s="9"/>
    </row>
    <row r="228" spans="1:22" s="37" customFormat="1" ht="16.5" customHeight="1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</row>
    <row r="229" spans="1:22" s="37" customFormat="1" ht="16.5" customHeight="1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</row>
    <row r="230" spans="1:22" s="37" customFormat="1" ht="16.5" customHeight="1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</row>
    <row r="231" spans="1:22" s="37" customFormat="1" ht="16.5" customHeight="1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</row>
    <row r="232" spans="1:22" s="37" customFormat="1" ht="16.5" customHeight="1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</row>
    <row r="233" spans="1:22" s="37" customFormat="1" ht="16.5" customHeight="1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</row>
    <row r="234" spans="1:22" s="37" customFormat="1" ht="16.5" customHeight="1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</row>
    <row r="235" spans="1:22" s="37" customFormat="1" ht="16.5" customHeight="1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</row>
    <row r="236" spans="1:22" s="37" customFormat="1" ht="16.5" customHeight="1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</row>
    <row r="237" spans="1:22" s="37" customFormat="1" ht="16.5" customHeight="1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</row>
    <row r="238" spans="1:22" s="37" customFormat="1" ht="16.5" customHeight="1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</row>
    <row r="239" spans="1:22" s="37" customFormat="1" ht="16.5" customHeight="1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</row>
    <row r="240" spans="1:22" s="37" customFormat="1" ht="16.5" customHeight="1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</row>
    <row r="241" spans="1:22" s="37" customFormat="1" ht="16.5" customHeight="1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</row>
    <row r="242" spans="1:22" s="37" customFormat="1" ht="16.5" customHeight="1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</row>
    <row r="243" spans="1:22" s="37" customFormat="1" ht="16.5" customHeight="1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</row>
    <row r="244" spans="1:22" s="37" customFormat="1" ht="16.5" customHeight="1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</row>
    <row r="245" spans="1:22" s="37" customFormat="1" ht="16.5" customHeight="1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27">
    <sortState ref="A4:U227">
      <sortCondition descending="1" ref="I3:I227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163" priority="60254" operator="greaterThan">
      <formula>0.9</formula>
    </cfRule>
    <cfRule type="cellIs" dxfId="7162" priority="60255" operator="greaterThan">
      <formula>0.85</formula>
    </cfRule>
  </conditionalFormatting>
  <conditionalFormatting sqref="N4">
    <cfRule type="cellIs" dxfId="7161" priority="4315" operator="greaterThan">
      <formula>0.9</formula>
    </cfRule>
    <cfRule type="cellIs" dxfId="7160" priority="4316" operator="greaterThan">
      <formula>0.85</formula>
    </cfRule>
  </conditionalFormatting>
  <conditionalFormatting sqref="N5">
    <cfRule type="cellIs" dxfId="7159" priority="4297" operator="greaterThan">
      <formula>0.9</formula>
    </cfRule>
    <cfRule type="cellIs" dxfId="7158" priority="4298" operator="greaterThan">
      <formula>0.85</formula>
    </cfRule>
  </conditionalFormatting>
  <conditionalFormatting sqref="N6">
    <cfRule type="cellIs" dxfId="7157" priority="4279" operator="greaterThan">
      <formula>0.9</formula>
    </cfRule>
    <cfRule type="cellIs" dxfId="7156" priority="4280" operator="greaterThan">
      <formula>0.85</formula>
    </cfRule>
  </conditionalFormatting>
  <conditionalFormatting sqref="N7">
    <cfRule type="cellIs" dxfId="7155" priority="4261" operator="greaterThan">
      <formula>0.9</formula>
    </cfRule>
    <cfRule type="cellIs" dxfId="7154" priority="4262" operator="greaterThan">
      <formula>0.85</formula>
    </cfRule>
  </conditionalFormatting>
  <conditionalFormatting sqref="N8">
    <cfRule type="cellIs" dxfId="7153" priority="4243" operator="greaterThan">
      <formula>0.9</formula>
    </cfRule>
    <cfRule type="cellIs" dxfId="7152" priority="4244" operator="greaterThan">
      <formula>0.85</formula>
    </cfRule>
  </conditionalFormatting>
  <conditionalFormatting sqref="N227">
    <cfRule type="cellIs" dxfId="7151" priority="13" operator="greaterThan">
      <formula>0.9</formula>
    </cfRule>
    <cfRule type="cellIs" dxfId="7150" priority="14" operator="greaterThan">
      <formula>0.85</formula>
    </cfRule>
  </conditionalFormatting>
  <conditionalFormatting sqref="N9">
    <cfRule type="cellIs" dxfId="7149" priority="4207" operator="greaterThan">
      <formula>0.9</formula>
    </cfRule>
    <cfRule type="cellIs" dxfId="7148" priority="4208" operator="greaterThan">
      <formula>0.85</formula>
    </cfRule>
  </conditionalFormatting>
  <conditionalFormatting sqref="N10">
    <cfRule type="cellIs" dxfId="7147" priority="4153" operator="greaterThan">
      <formula>0.9</formula>
    </cfRule>
    <cfRule type="cellIs" dxfId="7146" priority="4154" operator="greaterThan">
      <formula>0.85</formula>
    </cfRule>
  </conditionalFormatting>
  <conditionalFormatting sqref="N11">
    <cfRule type="cellIs" dxfId="7145" priority="4135" operator="greaterThan">
      <formula>0.9</formula>
    </cfRule>
    <cfRule type="cellIs" dxfId="7144" priority="4136" operator="greaterThan">
      <formula>0.85</formula>
    </cfRule>
  </conditionalFormatting>
  <conditionalFormatting sqref="N12">
    <cfRule type="cellIs" dxfId="7143" priority="4117" operator="greaterThan">
      <formula>0.9</formula>
    </cfRule>
    <cfRule type="cellIs" dxfId="7142" priority="4118" operator="greaterThan">
      <formula>0.85</formula>
    </cfRule>
  </conditionalFormatting>
  <conditionalFormatting sqref="N13">
    <cfRule type="cellIs" dxfId="7141" priority="4099" operator="greaterThan">
      <formula>0.9</formula>
    </cfRule>
    <cfRule type="cellIs" dxfId="7140" priority="4100" operator="greaterThan">
      <formula>0.85</formula>
    </cfRule>
  </conditionalFormatting>
  <conditionalFormatting sqref="N14">
    <cfRule type="cellIs" dxfId="7139" priority="4081" operator="greaterThan">
      <formula>0.9</formula>
    </cfRule>
    <cfRule type="cellIs" dxfId="7138" priority="4082" operator="greaterThan">
      <formula>0.85</formula>
    </cfRule>
  </conditionalFormatting>
  <conditionalFormatting sqref="N15">
    <cfRule type="cellIs" dxfId="7137" priority="4063" operator="greaterThan">
      <formula>0.9</formula>
    </cfRule>
    <cfRule type="cellIs" dxfId="7136" priority="4064" operator="greaterThan">
      <formula>0.85</formula>
    </cfRule>
  </conditionalFormatting>
  <conditionalFormatting sqref="N16">
    <cfRule type="cellIs" dxfId="7135" priority="4027" operator="greaterThan">
      <formula>0.9</formula>
    </cfRule>
    <cfRule type="cellIs" dxfId="7134" priority="4028" operator="greaterThan">
      <formula>0.85</formula>
    </cfRule>
  </conditionalFormatting>
  <conditionalFormatting sqref="N17">
    <cfRule type="cellIs" dxfId="7133" priority="4009" operator="greaterThan">
      <formula>0.9</formula>
    </cfRule>
    <cfRule type="cellIs" dxfId="7132" priority="4010" operator="greaterThan">
      <formula>0.85</formula>
    </cfRule>
  </conditionalFormatting>
  <conditionalFormatting sqref="N18">
    <cfRule type="cellIs" dxfId="7131" priority="3991" operator="greaterThan">
      <formula>0.9</formula>
    </cfRule>
    <cfRule type="cellIs" dxfId="7130" priority="3992" operator="greaterThan">
      <formula>0.85</formula>
    </cfRule>
  </conditionalFormatting>
  <conditionalFormatting sqref="N19">
    <cfRule type="cellIs" dxfId="7129" priority="3973" operator="greaterThan">
      <formula>0.9</formula>
    </cfRule>
    <cfRule type="cellIs" dxfId="7128" priority="3974" operator="greaterThan">
      <formula>0.85</formula>
    </cfRule>
  </conditionalFormatting>
  <conditionalFormatting sqref="N20">
    <cfRule type="cellIs" dxfId="7127" priority="3955" operator="greaterThan">
      <formula>0.9</formula>
    </cfRule>
    <cfRule type="cellIs" dxfId="7126" priority="3956" operator="greaterThan">
      <formula>0.85</formula>
    </cfRule>
  </conditionalFormatting>
  <conditionalFormatting sqref="N21">
    <cfRule type="cellIs" dxfId="7125" priority="3937" operator="greaterThan">
      <formula>0.9</formula>
    </cfRule>
    <cfRule type="cellIs" dxfId="7124" priority="3938" operator="greaterThan">
      <formula>0.85</formula>
    </cfRule>
  </conditionalFormatting>
  <conditionalFormatting sqref="N22">
    <cfRule type="cellIs" dxfId="7123" priority="3919" operator="greaterThan">
      <formula>0.9</formula>
    </cfRule>
    <cfRule type="cellIs" dxfId="7122" priority="3920" operator="greaterThan">
      <formula>0.85</formula>
    </cfRule>
  </conditionalFormatting>
  <conditionalFormatting sqref="N23">
    <cfRule type="cellIs" dxfId="7121" priority="3901" operator="greaterThan">
      <formula>0.9</formula>
    </cfRule>
    <cfRule type="cellIs" dxfId="7120" priority="3902" operator="greaterThan">
      <formula>0.85</formula>
    </cfRule>
  </conditionalFormatting>
  <conditionalFormatting sqref="N24">
    <cfRule type="cellIs" dxfId="7119" priority="3883" operator="greaterThan">
      <formula>0.9</formula>
    </cfRule>
    <cfRule type="cellIs" dxfId="7118" priority="3884" operator="greaterThan">
      <formula>0.85</formula>
    </cfRule>
  </conditionalFormatting>
  <conditionalFormatting sqref="N25">
    <cfRule type="cellIs" dxfId="7117" priority="3865" operator="greaterThan">
      <formula>0.9</formula>
    </cfRule>
    <cfRule type="cellIs" dxfId="7116" priority="3866" operator="greaterThan">
      <formula>0.85</formula>
    </cfRule>
  </conditionalFormatting>
  <conditionalFormatting sqref="N26">
    <cfRule type="cellIs" dxfId="7115" priority="3847" operator="greaterThan">
      <formula>0.9</formula>
    </cfRule>
    <cfRule type="cellIs" dxfId="7114" priority="3848" operator="greaterThan">
      <formula>0.85</formula>
    </cfRule>
  </conditionalFormatting>
  <conditionalFormatting sqref="N27">
    <cfRule type="cellIs" dxfId="7113" priority="3829" operator="greaterThan">
      <formula>0.9</formula>
    </cfRule>
    <cfRule type="cellIs" dxfId="7112" priority="3830" operator="greaterThan">
      <formula>0.85</formula>
    </cfRule>
  </conditionalFormatting>
  <conditionalFormatting sqref="N28">
    <cfRule type="cellIs" dxfId="7111" priority="3811" operator="greaterThan">
      <formula>0.9</formula>
    </cfRule>
    <cfRule type="cellIs" dxfId="7110" priority="3812" operator="greaterThan">
      <formula>0.85</formula>
    </cfRule>
  </conditionalFormatting>
  <conditionalFormatting sqref="N29">
    <cfRule type="cellIs" dxfId="7109" priority="3793" operator="greaterThan">
      <formula>0.9</formula>
    </cfRule>
    <cfRule type="cellIs" dxfId="7108" priority="3794" operator="greaterThan">
      <formula>0.85</formula>
    </cfRule>
  </conditionalFormatting>
  <conditionalFormatting sqref="N30">
    <cfRule type="cellIs" dxfId="7107" priority="3775" operator="greaterThan">
      <formula>0.9</formula>
    </cfRule>
    <cfRule type="cellIs" dxfId="7106" priority="3776" operator="greaterThan">
      <formula>0.85</formula>
    </cfRule>
  </conditionalFormatting>
  <conditionalFormatting sqref="N31">
    <cfRule type="cellIs" dxfId="7105" priority="3757" operator="greaterThan">
      <formula>0.9</formula>
    </cfRule>
    <cfRule type="cellIs" dxfId="7104" priority="3758" operator="greaterThan">
      <formula>0.85</formula>
    </cfRule>
  </conditionalFormatting>
  <conditionalFormatting sqref="N32">
    <cfRule type="cellIs" dxfId="7103" priority="3739" operator="greaterThan">
      <formula>0.9</formula>
    </cfRule>
    <cfRule type="cellIs" dxfId="7102" priority="3740" operator="greaterThan">
      <formula>0.85</formula>
    </cfRule>
  </conditionalFormatting>
  <conditionalFormatting sqref="N33">
    <cfRule type="cellIs" dxfId="7101" priority="3721" operator="greaterThan">
      <formula>0.9</formula>
    </cfRule>
    <cfRule type="cellIs" dxfId="7100" priority="3722" operator="greaterThan">
      <formula>0.85</formula>
    </cfRule>
  </conditionalFormatting>
  <conditionalFormatting sqref="N34">
    <cfRule type="cellIs" dxfId="7099" priority="3703" operator="greaterThan">
      <formula>0.9</formula>
    </cfRule>
    <cfRule type="cellIs" dxfId="7098" priority="3704" operator="greaterThan">
      <formula>0.85</formula>
    </cfRule>
  </conditionalFormatting>
  <conditionalFormatting sqref="N35">
    <cfRule type="cellIs" dxfId="7097" priority="3685" operator="greaterThan">
      <formula>0.9</formula>
    </cfRule>
    <cfRule type="cellIs" dxfId="7096" priority="3686" operator="greaterThan">
      <formula>0.85</formula>
    </cfRule>
  </conditionalFormatting>
  <conditionalFormatting sqref="N36">
    <cfRule type="cellIs" dxfId="7095" priority="3667" operator="greaterThan">
      <formula>0.9</formula>
    </cfRule>
    <cfRule type="cellIs" dxfId="7094" priority="3668" operator="greaterThan">
      <formula>0.85</formula>
    </cfRule>
  </conditionalFormatting>
  <conditionalFormatting sqref="N37">
    <cfRule type="cellIs" dxfId="7093" priority="3649" operator="greaterThan">
      <formula>0.9</formula>
    </cfRule>
    <cfRule type="cellIs" dxfId="7092" priority="3650" operator="greaterThan">
      <formula>0.85</formula>
    </cfRule>
  </conditionalFormatting>
  <conditionalFormatting sqref="N38">
    <cfRule type="cellIs" dxfId="7091" priority="3631" operator="greaterThan">
      <formula>0.9</formula>
    </cfRule>
    <cfRule type="cellIs" dxfId="7090" priority="3632" operator="greaterThan">
      <formula>0.85</formula>
    </cfRule>
  </conditionalFormatting>
  <conditionalFormatting sqref="N39">
    <cfRule type="cellIs" dxfId="7089" priority="3613" operator="greaterThan">
      <formula>0.9</formula>
    </cfRule>
    <cfRule type="cellIs" dxfId="7088" priority="3614" operator="greaterThan">
      <formula>0.85</formula>
    </cfRule>
  </conditionalFormatting>
  <conditionalFormatting sqref="N40">
    <cfRule type="cellIs" dxfId="7087" priority="3595" operator="greaterThan">
      <formula>0.9</formula>
    </cfRule>
    <cfRule type="cellIs" dxfId="7086" priority="3596" operator="greaterThan">
      <formula>0.85</formula>
    </cfRule>
  </conditionalFormatting>
  <conditionalFormatting sqref="N41">
    <cfRule type="cellIs" dxfId="7085" priority="3577" operator="greaterThan">
      <formula>0.9</formula>
    </cfRule>
    <cfRule type="cellIs" dxfId="7084" priority="3578" operator="greaterThan">
      <formula>0.85</formula>
    </cfRule>
  </conditionalFormatting>
  <conditionalFormatting sqref="N42">
    <cfRule type="cellIs" dxfId="7083" priority="3559" operator="greaterThan">
      <formula>0.9</formula>
    </cfRule>
    <cfRule type="cellIs" dxfId="7082" priority="3560" operator="greaterThan">
      <formula>0.85</formula>
    </cfRule>
  </conditionalFormatting>
  <conditionalFormatting sqref="N43">
    <cfRule type="cellIs" dxfId="7081" priority="3541" operator="greaterThan">
      <formula>0.9</formula>
    </cfRule>
    <cfRule type="cellIs" dxfId="7080" priority="3542" operator="greaterThan">
      <formula>0.85</formula>
    </cfRule>
  </conditionalFormatting>
  <conditionalFormatting sqref="N44">
    <cfRule type="cellIs" dxfId="7079" priority="3523" operator="greaterThan">
      <formula>0.9</formula>
    </cfRule>
    <cfRule type="cellIs" dxfId="7078" priority="3524" operator="greaterThan">
      <formula>0.85</formula>
    </cfRule>
  </conditionalFormatting>
  <conditionalFormatting sqref="N45">
    <cfRule type="cellIs" dxfId="7077" priority="3505" operator="greaterThan">
      <formula>0.9</formula>
    </cfRule>
    <cfRule type="cellIs" dxfId="7076" priority="3506" operator="greaterThan">
      <formula>0.85</formula>
    </cfRule>
  </conditionalFormatting>
  <conditionalFormatting sqref="N46">
    <cfRule type="cellIs" dxfId="7075" priority="3487" operator="greaterThan">
      <formula>0.9</formula>
    </cfRule>
    <cfRule type="cellIs" dxfId="7074" priority="3488" operator="greaterThan">
      <formula>0.85</formula>
    </cfRule>
  </conditionalFormatting>
  <conditionalFormatting sqref="N47">
    <cfRule type="cellIs" dxfId="7073" priority="3469" operator="greaterThan">
      <formula>0.9</formula>
    </cfRule>
    <cfRule type="cellIs" dxfId="7072" priority="3470" operator="greaterThan">
      <formula>0.85</formula>
    </cfRule>
  </conditionalFormatting>
  <conditionalFormatting sqref="N48">
    <cfRule type="cellIs" dxfId="7071" priority="3451" operator="greaterThan">
      <formula>0.9</formula>
    </cfRule>
    <cfRule type="cellIs" dxfId="7070" priority="3452" operator="greaterThan">
      <formula>0.85</formula>
    </cfRule>
  </conditionalFormatting>
  <conditionalFormatting sqref="N49">
    <cfRule type="cellIs" dxfId="7069" priority="3433" operator="greaterThan">
      <formula>0.9</formula>
    </cfRule>
    <cfRule type="cellIs" dxfId="7068" priority="3434" operator="greaterThan">
      <formula>0.85</formula>
    </cfRule>
  </conditionalFormatting>
  <conditionalFormatting sqref="N50">
    <cfRule type="cellIs" dxfId="7067" priority="3415" operator="greaterThan">
      <formula>0.9</formula>
    </cfRule>
    <cfRule type="cellIs" dxfId="7066" priority="3416" operator="greaterThan">
      <formula>0.85</formula>
    </cfRule>
  </conditionalFormatting>
  <conditionalFormatting sqref="N51">
    <cfRule type="cellIs" dxfId="7065" priority="3397" operator="greaterThan">
      <formula>0.9</formula>
    </cfRule>
    <cfRule type="cellIs" dxfId="7064" priority="3398" operator="greaterThan">
      <formula>0.85</formula>
    </cfRule>
  </conditionalFormatting>
  <conditionalFormatting sqref="N52">
    <cfRule type="cellIs" dxfId="7063" priority="3379" operator="greaterThan">
      <formula>0.9</formula>
    </cfRule>
    <cfRule type="cellIs" dxfId="7062" priority="3380" operator="greaterThan">
      <formula>0.85</formula>
    </cfRule>
  </conditionalFormatting>
  <conditionalFormatting sqref="N53">
    <cfRule type="cellIs" dxfId="7061" priority="3361" operator="greaterThan">
      <formula>0.9</formula>
    </cfRule>
    <cfRule type="cellIs" dxfId="7060" priority="3362" operator="greaterThan">
      <formula>0.85</formula>
    </cfRule>
  </conditionalFormatting>
  <conditionalFormatting sqref="N54">
    <cfRule type="cellIs" dxfId="7059" priority="3325" operator="greaterThan">
      <formula>0.9</formula>
    </cfRule>
    <cfRule type="cellIs" dxfId="7058" priority="3326" operator="greaterThan">
      <formula>0.85</formula>
    </cfRule>
  </conditionalFormatting>
  <conditionalFormatting sqref="N55">
    <cfRule type="cellIs" dxfId="7057" priority="3307" operator="greaterThan">
      <formula>0.9</formula>
    </cfRule>
    <cfRule type="cellIs" dxfId="7056" priority="3308" operator="greaterThan">
      <formula>0.85</formula>
    </cfRule>
  </conditionalFormatting>
  <conditionalFormatting sqref="N56">
    <cfRule type="cellIs" dxfId="7055" priority="3289" operator="greaterThan">
      <formula>0.9</formula>
    </cfRule>
    <cfRule type="cellIs" dxfId="7054" priority="3290" operator="greaterThan">
      <formula>0.85</formula>
    </cfRule>
  </conditionalFormatting>
  <conditionalFormatting sqref="N57">
    <cfRule type="cellIs" dxfId="7053" priority="3271" operator="greaterThan">
      <formula>0.9</formula>
    </cfRule>
    <cfRule type="cellIs" dxfId="7052" priority="3272" operator="greaterThan">
      <formula>0.85</formula>
    </cfRule>
  </conditionalFormatting>
  <conditionalFormatting sqref="N58">
    <cfRule type="cellIs" dxfId="7051" priority="3253" operator="greaterThan">
      <formula>0.9</formula>
    </cfRule>
    <cfRule type="cellIs" dxfId="7050" priority="3254" operator="greaterThan">
      <formula>0.85</formula>
    </cfRule>
  </conditionalFormatting>
  <conditionalFormatting sqref="N59">
    <cfRule type="cellIs" dxfId="7049" priority="3217" operator="greaterThan">
      <formula>0.9</formula>
    </cfRule>
    <cfRule type="cellIs" dxfId="7048" priority="3218" operator="greaterThan">
      <formula>0.85</formula>
    </cfRule>
  </conditionalFormatting>
  <conditionalFormatting sqref="N60">
    <cfRule type="cellIs" dxfId="7047" priority="3199" operator="greaterThan">
      <formula>0.9</formula>
    </cfRule>
    <cfRule type="cellIs" dxfId="7046" priority="3200" operator="greaterThan">
      <formula>0.85</formula>
    </cfRule>
  </conditionalFormatting>
  <conditionalFormatting sqref="N61">
    <cfRule type="cellIs" dxfId="7045" priority="3181" operator="greaterThan">
      <formula>0.9</formula>
    </cfRule>
    <cfRule type="cellIs" dxfId="7044" priority="3182" operator="greaterThan">
      <formula>0.85</formula>
    </cfRule>
  </conditionalFormatting>
  <conditionalFormatting sqref="N62">
    <cfRule type="cellIs" dxfId="7043" priority="3163" operator="greaterThan">
      <formula>0.9</formula>
    </cfRule>
    <cfRule type="cellIs" dxfId="7042" priority="3164" operator="greaterThan">
      <formula>0.85</formula>
    </cfRule>
  </conditionalFormatting>
  <conditionalFormatting sqref="N63">
    <cfRule type="cellIs" dxfId="7041" priority="3145" operator="greaterThan">
      <formula>0.9</formula>
    </cfRule>
    <cfRule type="cellIs" dxfId="7040" priority="3146" operator="greaterThan">
      <formula>0.85</formula>
    </cfRule>
  </conditionalFormatting>
  <conditionalFormatting sqref="N64">
    <cfRule type="cellIs" dxfId="7039" priority="3127" operator="greaterThan">
      <formula>0.9</formula>
    </cfRule>
    <cfRule type="cellIs" dxfId="7038" priority="3128" operator="greaterThan">
      <formula>0.85</formula>
    </cfRule>
  </conditionalFormatting>
  <conditionalFormatting sqref="N65">
    <cfRule type="cellIs" dxfId="7037" priority="3109" operator="greaterThan">
      <formula>0.9</formula>
    </cfRule>
    <cfRule type="cellIs" dxfId="7036" priority="3110" operator="greaterThan">
      <formula>0.85</formula>
    </cfRule>
  </conditionalFormatting>
  <conditionalFormatting sqref="N66">
    <cfRule type="cellIs" dxfId="7035" priority="3091" operator="greaterThan">
      <formula>0.9</formula>
    </cfRule>
    <cfRule type="cellIs" dxfId="7034" priority="3092" operator="greaterThan">
      <formula>0.85</formula>
    </cfRule>
  </conditionalFormatting>
  <conditionalFormatting sqref="N67">
    <cfRule type="cellIs" dxfId="7033" priority="3073" operator="greaterThan">
      <formula>0.9</formula>
    </cfRule>
    <cfRule type="cellIs" dxfId="7032" priority="3074" operator="greaterThan">
      <formula>0.85</formula>
    </cfRule>
  </conditionalFormatting>
  <conditionalFormatting sqref="N68">
    <cfRule type="cellIs" dxfId="7031" priority="3055" operator="greaterThan">
      <formula>0.9</formula>
    </cfRule>
    <cfRule type="cellIs" dxfId="7030" priority="3056" operator="greaterThan">
      <formula>0.85</formula>
    </cfRule>
  </conditionalFormatting>
  <conditionalFormatting sqref="N69">
    <cfRule type="cellIs" dxfId="7029" priority="3037" operator="greaterThan">
      <formula>0.9</formula>
    </cfRule>
    <cfRule type="cellIs" dxfId="7028" priority="3038" operator="greaterThan">
      <formula>0.85</formula>
    </cfRule>
  </conditionalFormatting>
  <conditionalFormatting sqref="N70">
    <cfRule type="cellIs" dxfId="7027" priority="3019" operator="greaterThan">
      <formula>0.9</formula>
    </cfRule>
    <cfRule type="cellIs" dxfId="7026" priority="3020" operator="greaterThan">
      <formula>0.85</formula>
    </cfRule>
  </conditionalFormatting>
  <conditionalFormatting sqref="N71">
    <cfRule type="cellIs" dxfId="7025" priority="3001" operator="greaterThan">
      <formula>0.9</formula>
    </cfRule>
    <cfRule type="cellIs" dxfId="7024" priority="3002" operator="greaterThan">
      <formula>0.85</formula>
    </cfRule>
  </conditionalFormatting>
  <conditionalFormatting sqref="N72">
    <cfRule type="cellIs" dxfId="7023" priority="2983" operator="greaterThan">
      <formula>0.9</formula>
    </cfRule>
    <cfRule type="cellIs" dxfId="7022" priority="2984" operator="greaterThan">
      <formula>0.85</formula>
    </cfRule>
  </conditionalFormatting>
  <conditionalFormatting sqref="N73">
    <cfRule type="cellIs" dxfId="7021" priority="2965" operator="greaterThan">
      <formula>0.9</formula>
    </cfRule>
    <cfRule type="cellIs" dxfId="7020" priority="2966" operator="greaterThan">
      <formula>0.85</formula>
    </cfRule>
  </conditionalFormatting>
  <conditionalFormatting sqref="N74">
    <cfRule type="cellIs" dxfId="7019" priority="2947" operator="greaterThan">
      <formula>0.9</formula>
    </cfRule>
    <cfRule type="cellIs" dxfId="7018" priority="2948" operator="greaterThan">
      <formula>0.85</formula>
    </cfRule>
  </conditionalFormatting>
  <conditionalFormatting sqref="N75">
    <cfRule type="cellIs" dxfId="7017" priority="2929" operator="greaterThan">
      <formula>0.9</formula>
    </cfRule>
    <cfRule type="cellIs" dxfId="7016" priority="2930" operator="greaterThan">
      <formula>0.85</formula>
    </cfRule>
  </conditionalFormatting>
  <conditionalFormatting sqref="N76">
    <cfRule type="cellIs" dxfId="7015" priority="2911" operator="greaterThan">
      <formula>0.9</formula>
    </cfRule>
    <cfRule type="cellIs" dxfId="7014" priority="2912" operator="greaterThan">
      <formula>0.85</formula>
    </cfRule>
  </conditionalFormatting>
  <conditionalFormatting sqref="N77">
    <cfRule type="cellIs" dxfId="7013" priority="2893" operator="greaterThan">
      <formula>0.9</formula>
    </cfRule>
    <cfRule type="cellIs" dxfId="7012" priority="2894" operator="greaterThan">
      <formula>0.85</formula>
    </cfRule>
  </conditionalFormatting>
  <conditionalFormatting sqref="N78">
    <cfRule type="cellIs" dxfId="7011" priority="2875" operator="greaterThan">
      <formula>0.9</formula>
    </cfRule>
    <cfRule type="cellIs" dxfId="7010" priority="2876" operator="greaterThan">
      <formula>0.85</formula>
    </cfRule>
  </conditionalFormatting>
  <conditionalFormatting sqref="N79">
    <cfRule type="cellIs" dxfId="7009" priority="2857" operator="greaterThan">
      <formula>0.9</formula>
    </cfRule>
    <cfRule type="cellIs" dxfId="7008" priority="2858" operator="greaterThan">
      <formula>0.85</formula>
    </cfRule>
  </conditionalFormatting>
  <conditionalFormatting sqref="N80">
    <cfRule type="cellIs" dxfId="7007" priority="2839" operator="greaterThan">
      <formula>0.9</formula>
    </cfRule>
    <cfRule type="cellIs" dxfId="7006" priority="2840" operator="greaterThan">
      <formula>0.85</formula>
    </cfRule>
  </conditionalFormatting>
  <conditionalFormatting sqref="N81">
    <cfRule type="cellIs" dxfId="7005" priority="2821" operator="greaterThan">
      <formula>0.9</formula>
    </cfRule>
    <cfRule type="cellIs" dxfId="7004" priority="2822" operator="greaterThan">
      <formula>0.85</formula>
    </cfRule>
  </conditionalFormatting>
  <conditionalFormatting sqref="N82">
    <cfRule type="cellIs" dxfId="7003" priority="2803" operator="greaterThan">
      <formula>0.9</formula>
    </cfRule>
    <cfRule type="cellIs" dxfId="7002" priority="2804" operator="greaterThan">
      <formula>0.85</formula>
    </cfRule>
  </conditionalFormatting>
  <conditionalFormatting sqref="N83">
    <cfRule type="cellIs" dxfId="7001" priority="2785" operator="greaterThan">
      <formula>0.9</formula>
    </cfRule>
    <cfRule type="cellIs" dxfId="7000" priority="2786" operator="greaterThan">
      <formula>0.85</formula>
    </cfRule>
  </conditionalFormatting>
  <conditionalFormatting sqref="N84">
    <cfRule type="cellIs" dxfId="6999" priority="2767" operator="greaterThan">
      <formula>0.9</formula>
    </cfRule>
    <cfRule type="cellIs" dxfId="6998" priority="2768" operator="greaterThan">
      <formula>0.85</formula>
    </cfRule>
  </conditionalFormatting>
  <conditionalFormatting sqref="N85">
    <cfRule type="cellIs" dxfId="6997" priority="2749" operator="greaterThan">
      <formula>0.9</formula>
    </cfRule>
    <cfRule type="cellIs" dxfId="6996" priority="2750" operator="greaterThan">
      <formula>0.85</formula>
    </cfRule>
  </conditionalFormatting>
  <conditionalFormatting sqref="N86">
    <cfRule type="cellIs" dxfId="6995" priority="2731" operator="greaterThan">
      <formula>0.9</formula>
    </cfRule>
    <cfRule type="cellIs" dxfId="6994" priority="2732" operator="greaterThan">
      <formula>0.85</formula>
    </cfRule>
  </conditionalFormatting>
  <conditionalFormatting sqref="N87">
    <cfRule type="cellIs" dxfId="6993" priority="2713" operator="greaterThan">
      <formula>0.9</formula>
    </cfRule>
    <cfRule type="cellIs" dxfId="6992" priority="2714" operator="greaterThan">
      <formula>0.85</formula>
    </cfRule>
  </conditionalFormatting>
  <conditionalFormatting sqref="N88">
    <cfRule type="cellIs" dxfId="6991" priority="2695" operator="greaterThan">
      <formula>0.9</formula>
    </cfRule>
    <cfRule type="cellIs" dxfId="6990" priority="2696" operator="greaterThan">
      <formula>0.85</formula>
    </cfRule>
  </conditionalFormatting>
  <conditionalFormatting sqref="N89">
    <cfRule type="cellIs" dxfId="6989" priority="2677" operator="greaterThan">
      <formula>0.9</formula>
    </cfRule>
    <cfRule type="cellIs" dxfId="6988" priority="2678" operator="greaterThan">
      <formula>0.85</formula>
    </cfRule>
  </conditionalFormatting>
  <conditionalFormatting sqref="N90">
    <cfRule type="cellIs" dxfId="6987" priority="2659" operator="greaterThan">
      <formula>0.9</formula>
    </cfRule>
    <cfRule type="cellIs" dxfId="6986" priority="2660" operator="greaterThan">
      <formula>0.85</formula>
    </cfRule>
  </conditionalFormatting>
  <conditionalFormatting sqref="N91">
    <cfRule type="cellIs" dxfId="6985" priority="2641" operator="greaterThan">
      <formula>0.9</formula>
    </cfRule>
    <cfRule type="cellIs" dxfId="6984" priority="2642" operator="greaterThan">
      <formula>0.85</formula>
    </cfRule>
  </conditionalFormatting>
  <conditionalFormatting sqref="N92">
    <cfRule type="cellIs" dxfId="6983" priority="2623" operator="greaterThan">
      <formula>0.9</formula>
    </cfRule>
    <cfRule type="cellIs" dxfId="6982" priority="2624" operator="greaterThan">
      <formula>0.85</formula>
    </cfRule>
  </conditionalFormatting>
  <conditionalFormatting sqref="N93">
    <cfRule type="cellIs" dxfId="6981" priority="2605" operator="greaterThan">
      <formula>0.9</formula>
    </cfRule>
    <cfRule type="cellIs" dxfId="6980" priority="2606" operator="greaterThan">
      <formula>0.85</formula>
    </cfRule>
  </conditionalFormatting>
  <conditionalFormatting sqref="N94">
    <cfRule type="cellIs" dxfId="6979" priority="2587" operator="greaterThan">
      <formula>0.9</formula>
    </cfRule>
    <cfRule type="cellIs" dxfId="6978" priority="2588" operator="greaterThan">
      <formula>0.85</formula>
    </cfRule>
  </conditionalFormatting>
  <conditionalFormatting sqref="N95">
    <cfRule type="cellIs" dxfId="6977" priority="2569" operator="greaterThan">
      <formula>0.9</formula>
    </cfRule>
    <cfRule type="cellIs" dxfId="6976" priority="2570" operator="greaterThan">
      <formula>0.85</formula>
    </cfRule>
  </conditionalFormatting>
  <conditionalFormatting sqref="N96">
    <cfRule type="cellIs" dxfId="6975" priority="2551" operator="greaterThan">
      <formula>0.9</formula>
    </cfRule>
    <cfRule type="cellIs" dxfId="6974" priority="2552" operator="greaterThan">
      <formula>0.85</formula>
    </cfRule>
  </conditionalFormatting>
  <conditionalFormatting sqref="N97">
    <cfRule type="cellIs" dxfId="6973" priority="2533" operator="greaterThan">
      <formula>0.9</formula>
    </cfRule>
    <cfRule type="cellIs" dxfId="6972" priority="2534" operator="greaterThan">
      <formula>0.85</formula>
    </cfRule>
  </conditionalFormatting>
  <conditionalFormatting sqref="N98">
    <cfRule type="cellIs" dxfId="6971" priority="2497" operator="greaterThan">
      <formula>0.9</formula>
    </cfRule>
    <cfRule type="cellIs" dxfId="6970" priority="2498" operator="greaterThan">
      <formula>0.85</formula>
    </cfRule>
  </conditionalFormatting>
  <conditionalFormatting sqref="N99">
    <cfRule type="cellIs" dxfId="6969" priority="2479" operator="greaterThan">
      <formula>0.9</formula>
    </cfRule>
    <cfRule type="cellIs" dxfId="6968" priority="2480" operator="greaterThan">
      <formula>0.85</formula>
    </cfRule>
  </conditionalFormatting>
  <conditionalFormatting sqref="N100">
    <cfRule type="cellIs" dxfId="6967" priority="2461" operator="greaterThan">
      <formula>0.9</formula>
    </cfRule>
    <cfRule type="cellIs" dxfId="6966" priority="2462" operator="greaterThan">
      <formula>0.85</formula>
    </cfRule>
  </conditionalFormatting>
  <conditionalFormatting sqref="N101">
    <cfRule type="cellIs" dxfId="6965" priority="2443" operator="greaterThan">
      <formula>0.9</formula>
    </cfRule>
    <cfRule type="cellIs" dxfId="6964" priority="2444" operator="greaterThan">
      <formula>0.85</formula>
    </cfRule>
  </conditionalFormatting>
  <conditionalFormatting sqref="N102">
    <cfRule type="cellIs" dxfId="6963" priority="2425" operator="greaterThan">
      <formula>0.9</formula>
    </cfRule>
    <cfRule type="cellIs" dxfId="6962" priority="2426" operator="greaterThan">
      <formula>0.85</formula>
    </cfRule>
  </conditionalFormatting>
  <conditionalFormatting sqref="N103">
    <cfRule type="cellIs" dxfId="6961" priority="2407" operator="greaterThan">
      <formula>0.9</formula>
    </cfRule>
    <cfRule type="cellIs" dxfId="6960" priority="2408" operator="greaterThan">
      <formula>0.85</formula>
    </cfRule>
  </conditionalFormatting>
  <conditionalFormatting sqref="N104">
    <cfRule type="cellIs" dxfId="6959" priority="2389" operator="greaterThan">
      <formula>0.9</formula>
    </cfRule>
    <cfRule type="cellIs" dxfId="6958" priority="2390" operator="greaterThan">
      <formula>0.85</formula>
    </cfRule>
  </conditionalFormatting>
  <conditionalFormatting sqref="N105">
    <cfRule type="cellIs" dxfId="6957" priority="2371" operator="greaterThan">
      <formula>0.9</formula>
    </cfRule>
    <cfRule type="cellIs" dxfId="6956" priority="2372" operator="greaterThan">
      <formula>0.85</formula>
    </cfRule>
  </conditionalFormatting>
  <conditionalFormatting sqref="N106">
    <cfRule type="cellIs" dxfId="6955" priority="2353" operator="greaterThan">
      <formula>0.9</formula>
    </cfRule>
    <cfRule type="cellIs" dxfId="6954" priority="2354" operator="greaterThan">
      <formula>0.85</formula>
    </cfRule>
  </conditionalFormatting>
  <conditionalFormatting sqref="N107">
    <cfRule type="cellIs" dxfId="6953" priority="2335" operator="greaterThan">
      <formula>0.9</formula>
    </cfRule>
    <cfRule type="cellIs" dxfId="6952" priority="2336" operator="greaterThan">
      <formula>0.85</formula>
    </cfRule>
  </conditionalFormatting>
  <conditionalFormatting sqref="N108">
    <cfRule type="cellIs" dxfId="6951" priority="2317" operator="greaterThan">
      <formula>0.9</formula>
    </cfRule>
    <cfRule type="cellIs" dxfId="6950" priority="2318" operator="greaterThan">
      <formula>0.85</formula>
    </cfRule>
  </conditionalFormatting>
  <conditionalFormatting sqref="N109">
    <cfRule type="cellIs" dxfId="6949" priority="2299" operator="greaterThan">
      <formula>0.9</formula>
    </cfRule>
    <cfRule type="cellIs" dxfId="6948" priority="2300" operator="greaterThan">
      <formula>0.85</formula>
    </cfRule>
  </conditionalFormatting>
  <conditionalFormatting sqref="N110">
    <cfRule type="cellIs" dxfId="6947" priority="2281" operator="greaterThan">
      <formula>0.9</formula>
    </cfRule>
    <cfRule type="cellIs" dxfId="6946" priority="2282" operator="greaterThan">
      <formula>0.85</formula>
    </cfRule>
  </conditionalFormatting>
  <conditionalFormatting sqref="N111">
    <cfRule type="cellIs" dxfId="6945" priority="2263" operator="greaterThan">
      <formula>0.9</formula>
    </cfRule>
    <cfRule type="cellIs" dxfId="6944" priority="2264" operator="greaterThan">
      <formula>0.85</formula>
    </cfRule>
  </conditionalFormatting>
  <conditionalFormatting sqref="N112">
    <cfRule type="cellIs" dxfId="6943" priority="2245" operator="greaterThan">
      <formula>0.9</formula>
    </cfRule>
    <cfRule type="cellIs" dxfId="6942" priority="2246" operator="greaterThan">
      <formula>0.85</formula>
    </cfRule>
  </conditionalFormatting>
  <conditionalFormatting sqref="N113">
    <cfRule type="cellIs" dxfId="6941" priority="2227" operator="greaterThan">
      <formula>0.9</formula>
    </cfRule>
    <cfRule type="cellIs" dxfId="6940" priority="2228" operator="greaterThan">
      <formula>0.85</formula>
    </cfRule>
  </conditionalFormatting>
  <conditionalFormatting sqref="N114">
    <cfRule type="cellIs" dxfId="6939" priority="2209" operator="greaterThan">
      <formula>0.9</formula>
    </cfRule>
    <cfRule type="cellIs" dxfId="6938" priority="2210" operator="greaterThan">
      <formula>0.85</formula>
    </cfRule>
  </conditionalFormatting>
  <conditionalFormatting sqref="N115">
    <cfRule type="cellIs" dxfId="6937" priority="2191" operator="greaterThan">
      <formula>0.9</formula>
    </cfRule>
    <cfRule type="cellIs" dxfId="6936" priority="2192" operator="greaterThan">
      <formula>0.85</formula>
    </cfRule>
  </conditionalFormatting>
  <conditionalFormatting sqref="N116">
    <cfRule type="cellIs" dxfId="6935" priority="2173" operator="greaterThan">
      <formula>0.9</formula>
    </cfRule>
    <cfRule type="cellIs" dxfId="6934" priority="2174" operator="greaterThan">
      <formula>0.85</formula>
    </cfRule>
  </conditionalFormatting>
  <conditionalFormatting sqref="N117">
    <cfRule type="cellIs" dxfId="6933" priority="2155" operator="greaterThan">
      <formula>0.9</formula>
    </cfRule>
    <cfRule type="cellIs" dxfId="6932" priority="2156" operator="greaterThan">
      <formula>0.85</formula>
    </cfRule>
  </conditionalFormatting>
  <conditionalFormatting sqref="N118">
    <cfRule type="cellIs" dxfId="6931" priority="2137" operator="greaterThan">
      <formula>0.9</formula>
    </cfRule>
    <cfRule type="cellIs" dxfId="6930" priority="2138" operator="greaterThan">
      <formula>0.85</formula>
    </cfRule>
  </conditionalFormatting>
  <conditionalFormatting sqref="N119">
    <cfRule type="cellIs" dxfId="6929" priority="2119" operator="greaterThan">
      <formula>0.9</formula>
    </cfRule>
    <cfRule type="cellIs" dxfId="6928" priority="2120" operator="greaterThan">
      <formula>0.85</formula>
    </cfRule>
  </conditionalFormatting>
  <conditionalFormatting sqref="N120">
    <cfRule type="cellIs" dxfId="6927" priority="2101" operator="greaterThan">
      <formula>0.9</formula>
    </cfRule>
    <cfRule type="cellIs" dxfId="6926" priority="2102" operator="greaterThan">
      <formula>0.85</formula>
    </cfRule>
  </conditionalFormatting>
  <conditionalFormatting sqref="N121">
    <cfRule type="cellIs" dxfId="6925" priority="2083" operator="greaterThan">
      <formula>0.9</formula>
    </cfRule>
    <cfRule type="cellIs" dxfId="6924" priority="2084" operator="greaterThan">
      <formula>0.85</formula>
    </cfRule>
  </conditionalFormatting>
  <conditionalFormatting sqref="N122">
    <cfRule type="cellIs" dxfId="6923" priority="2047" operator="greaterThan">
      <formula>0.9</formula>
    </cfRule>
    <cfRule type="cellIs" dxfId="6922" priority="2048" operator="greaterThan">
      <formula>0.85</formula>
    </cfRule>
  </conditionalFormatting>
  <conditionalFormatting sqref="N123">
    <cfRule type="cellIs" dxfId="6921" priority="2011" operator="greaterThan">
      <formula>0.9</formula>
    </cfRule>
    <cfRule type="cellIs" dxfId="6920" priority="2012" operator="greaterThan">
      <formula>0.85</formula>
    </cfRule>
  </conditionalFormatting>
  <conditionalFormatting sqref="N124">
    <cfRule type="cellIs" dxfId="6919" priority="1993" operator="greaterThan">
      <formula>0.9</formula>
    </cfRule>
    <cfRule type="cellIs" dxfId="6918" priority="1994" operator="greaterThan">
      <formula>0.85</formula>
    </cfRule>
  </conditionalFormatting>
  <conditionalFormatting sqref="N125">
    <cfRule type="cellIs" dxfId="6917" priority="1975" operator="greaterThan">
      <formula>0.9</formula>
    </cfRule>
    <cfRule type="cellIs" dxfId="6916" priority="1976" operator="greaterThan">
      <formula>0.85</formula>
    </cfRule>
  </conditionalFormatting>
  <conditionalFormatting sqref="N126">
    <cfRule type="cellIs" dxfId="6915" priority="1957" operator="greaterThan">
      <formula>0.9</formula>
    </cfRule>
    <cfRule type="cellIs" dxfId="6914" priority="1958" operator="greaterThan">
      <formula>0.85</formula>
    </cfRule>
  </conditionalFormatting>
  <conditionalFormatting sqref="N127">
    <cfRule type="cellIs" dxfId="6913" priority="1939" operator="greaterThan">
      <formula>0.9</formula>
    </cfRule>
    <cfRule type="cellIs" dxfId="6912" priority="1940" operator="greaterThan">
      <formula>0.85</formula>
    </cfRule>
  </conditionalFormatting>
  <conditionalFormatting sqref="N128">
    <cfRule type="cellIs" dxfId="6911" priority="1921" operator="greaterThan">
      <formula>0.9</formula>
    </cfRule>
    <cfRule type="cellIs" dxfId="6910" priority="1922" operator="greaterThan">
      <formula>0.85</formula>
    </cfRule>
  </conditionalFormatting>
  <conditionalFormatting sqref="N129">
    <cfRule type="cellIs" dxfId="6909" priority="1903" operator="greaterThan">
      <formula>0.9</formula>
    </cfRule>
    <cfRule type="cellIs" dxfId="6908" priority="1904" operator="greaterThan">
      <formula>0.85</formula>
    </cfRule>
  </conditionalFormatting>
  <conditionalFormatting sqref="N130">
    <cfRule type="cellIs" dxfId="6907" priority="1885" operator="greaterThan">
      <formula>0.9</formula>
    </cfRule>
    <cfRule type="cellIs" dxfId="6906" priority="1886" operator="greaterThan">
      <formula>0.85</formula>
    </cfRule>
  </conditionalFormatting>
  <conditionalFormatting sqref="N131">
    <cfRule type="cellIs" dxfId="6905" priority="1867" operator="greaterThan">
      <formula>0.9</formula>
    </cfRule>
    <cfRule type="cellIs" dxfId="6904" priority="1868" operator="greaterThan">
      <formula>0.85</formula>
    </cfRule>
  </conditionalFormatting>
  <conditionalFormatting sqref="N132">
    <cfRule type="cellIs" dxfId="6903" priority="1849" operator="greaterThan">
      <formula>0.9</formula>
    </cfRule>
    <cfRule type="cellIs" dxfId="6902" priority="1850" operator="greaterThan">
      <formula>0.85</formula>
    </cfRule>
  </conditionalFormatting>
  <conditionalFormatting sqref="N133">
    <cfRule type="cellIs" dxfId="6901" priority="1831" operator="greaterThan">
      <formula>0.9</formula>
    </cfRule>
    <cfRule type="cellIs" dxfId="6900" priority="1832" operator="greaterThan">
      <formula>0.85</formula>
    </cfRule>
  </conditionalFormatting>
  <conditionalFormatting sqref="N134">
    <cfRule type="cellIs" dxfId="6899" priority="1813" operator="greaterThan">
      <formula>0.9</formula>
    </cfRule>
    <cfRule type="cellIs" dxfId="6898" priority="1814" operator="greaterThan">
      <formula>0.85</formula>
    </cfRule>
  </conditionalFormatting>
  <conditionalFormatting sqref="N135">
    <cfRule type="cellIs" dxfId="6897" priority="1795" operator="greaterThan">
      <formula>0.9</formula>
    </cfRule>
    <cfRule type="cellIs" dxfId="6896" priority="1796" operator="greaterThan">
      <formula>0.85</formula>
    </cfRule>
  </conditionalFormatting>
  <conditionalFormatting sqref="N136">
    <cfRule type="cellIs" dxfId="6895" priority="1777" operator="greaterThan">
      <formula>0.9</formula>
    </cfRule>
    <cfRule type="cellIs" dxfId="6894" priority="1778" operator="greaterThan">
      <formula>0.85</formula>
    </cfRule>
  </conditionalFormatting>
  <conditionalFormatting sqref="N137">
    <cfRule type="cellIs" dxfId="6893" priority="1759" operator="greaterThan">
      <formula>0.9</formula>
    </cfRule>
    <cfRule type="cellIs" dxfId="6892" priority="1760" operator="greaterThan">
      <formula>0.85</formula>
    </cfRule>
  </conditionalFormatting>
  <conditionalFormatting sqref="N138">
    <cfRule type="cellIs" dxfId="6891" priority="1723" operator="greaterThan">
      <formula>0.9</formula>
    </cfRule>
    <cfRule type="cellIs" dxfId="6890" priority="1724" operator="greaterThan">
      <formula>0.85</formula>
    </cfRule>
  </conditionalFormatting>
  <conditionalFormatting sqref="N139">
    <cfRule type="cellIs" dxfId="6889" priority="1669" operator="greaterThan">
      <formula>0.9</formula>
    </cfRule>
    <cfRule type="cellIs" dxfId="6888" priority="1670" operator="greaterThan">
      <formula>0.85</formula>
    </cfRule>
  </conditionalFormatting>
  <conditionalFormatting sqref="N140">
    <cfRule type="cellIs" dxfId="6887" priority="1651" operator="greaterThan">
      <formula>0.9</formula>
    </cfRule>
    <cfRule type="cellIs" dxfId="6886" priority="1652" operator="greaterThan">
      <formula>0.85</formula>
    </cfRule>
  </conditionalFormatting>
  <conditionalFormatting sqref="N141">
    <cfRule type="cellIs" dxfId="6885" priority="1633" operator="greaterThan">
      <formula>0.9</formula>
    </cfRule>
    <cfRule type="cellIs" dxfId="6884" priority="1634" operator="greaterThan">
      <formula>0.85</formula>
    </cfRule>
  </conditionalFormatting>
  <conditionalFormatting sqref="N142">
    <cfRule type="cellIs" dxfId="6883" priority="1615" operator="greaterThan">
      <formula>0.9</formula>
    </cfRule>
    <cfRule type="cellIs" dxfId="6882" priority="1616" operator="greaterThan">
      <formula>0.85</formula>
    </cfRule>
  </conditionalFormatting>
  <conditionalFormatting sqref="N143">
    <cfRule type="cellIs" dxfId="6881" priority="1597" operator="greaterThan">
      <formula>0.9</formula>
    </cfRule>
    <cfRule type="cellIs" dxfId="6880" priority="1598" operator="greaterThan">
      <formula>0.85</formula>
    </cfRule>
  </conditionalFormatting>
  <conditionalFormatting sqref="N144">
    <cfRule type="cellIs" dxfId="6879" priority="1579" operator="greaterThan">
      <formula>0.9</formula>
    </cfRule>
    <cfRule type="cellIs" dxfId="6878" priority="1580" operator="greaterThan">
      <formula>0.85</formula>
    </cfRule>
  </conditionalFormatting>
  <conditionalFormatting sqref="N145">
    <cfRule type="cellIs" dxfId="6877" priority="1561" operator="greaterThan">
      <formula>0.9</formula>
    </cfRule>
    <cfRule type="cellIs" dxfId="6876" priority="1562" operator="greaterThan">
      <formula>0.85</formula>
    </cfRule>
  </conditionalFormatting>
  <conditionalFormatting sqref="N146">
    <cfRule type="cellIs" dxfId="6875" priority="1543" operator="greaterThan">
      <formula>0.9</formula>
    </cfRule>
    <cfRule type="cellIs" dxfId="6874" priority="1544" operator="greaterThan">
      <formula>0.85</formula>
    </cfRule>
  </conditionalFormatting>
  <conditionalFormatting sqref="N147">
    <cfRule type="cellIs" dxfId="6873" priority="1525" operator="greaterThan">
      <formula>0.9</formula>
    </cfRule>
    <cfRule type="cellIs" dxfId="6872" priority="1526" operator="greaterThan">
      <formula>0.85</formula>
    </cfRule>
  </conditionalFormatting>
  <conditionalFormatting sqref="N148">
    <cfRule type="cellIs" dxfId="6871" priority="1507" operator="greaterThan">
      <formula>0.9</formula>
    </cfRule>
    <cfRule type="cellIs" dxfId="6870" priority="1508" operator="greaterThan">
      <formula>0.85</formula>
    </cfRule>
  </conditionalFormatting>
  <conditionalFormatting sqref="N149">
    <cfRule type="cellIs" dxfId="6869" priority="1489" operator="greaterThan">
      <formula>0.9</formula>
    </cfRule>
    <cfRule type="cellIs" dxfId="6868" priority="1490" operator="greaterThan">
      <formula>0.85</formula>
    </cfRule>
  </conditionalFormatting>
  <conditionalFormatting sqref="N150">
    <cfRule type="cellIs" dxfId="6867" priority="1471" operator="greaterThan">
      <formula>0.9</formula>
    </cfRule>
    <cfRule type="cellIs" dxfId="6866" priority="1472" operator="greaterThan">
      <formula>0.85</formula>
    </cfRule>
  </conditionalFormatting>
  <conditionalFormatting sqref="N151">
    <cfRule type="cellIs" dxfId="6865" priority="1453" operator="greaterThan">
      <formula>0.9</formula>
    </cfRule>
    <cfRule type="cellIs" dxfId="6864" priority="1454" operator="greaterThan">
      <formula>0.85</formula>
    </cfRule>
  </conditionalFormatting>
  <conditionalFormatting sqref="N152">
    <cfRule type="cellIs" dxfId="6863" priority="1435" operator="greaterThan">
      <formula>0.9</formula>
    </cfRule>
    <cfRule type="cellIs" dxfId="6862" priority="1436" operator="greaterThan">
      <formula>0.85</formula>
    </cfRule>
  </conditionalFormatting>
  <conditionalFormatting sqref="N153">
    <cfRule type="cellIs" dxfId="6861" priority="1417" operator="greaterThan">
      <formula>0.9</formula>
    </cfRule>
    <cfRule type="cellIs" dxfId="6860" priority="1418" operator="greaterThan">
      <formula>0.85</formula>
    </cfRule>
  </conditionalFormatting>
  <conditionalFormatting sqref="N154">
    <cfRule type="cellIs" dxfId="6859" priority="1399" operator="greaterThan">
      <formula>0.9</formula>
    </cfRule>
    <cfRule type="cellIs" dxfId="6858" priority="1400" operator="greaterThan">
      <formula>0.85</formula>
    </cfRule>
  </conditionalFormatting>
  <conditionalFormatting sqref="N155">
    <cfRule type="cellIs" dxfId="6857" priority="1381" operator="greaterThan">
      <formula>0.9</formula>
    </cfRule>
    <cfRule type="cellIs" dxfId="6856" priority="1382" operator="greaterThan">
      <formula>0.85</formula>
    </cfRule>
  </conditionalFormatting>
  <conditionalFormatting sqref="N156">
    <cfRule type="cellIs" dxfId="6855" priority="1363" operator="greaterThan">
      <formula>0.9</formula>
    </cfRule>
    <cfRule type="cellIs" dxfId="6854" priority="1364" operator="greaterThan">
      <formula>0.85</formula>
    </cfRule>
  </conditionalFormatting>
  <conditionalFormatting sqref="N157">
    <cfRule type="cellIs" dxfId="6853" priority="1345" operator="greaterThan">
      <formula>0.9</formula>
    </cfRule>
    <cfRule type="cellIs" dxfId="6852" priority="1346" operator="greaterThan">
      <formula>0.85</formula>
    </cfRule>
  </conditionalFormatting>
  <conditionalFormatting sqref="N158">
    <cfRule type="cellIs" dxfId="6851" priority="1327" operator="greaterThan">
      <formula>0.9</formula>
    </cfRule>
    <cfRule type="cellIs" dxfId="6850" priority="1328" operator="greaterThan">
      <formula>0.85</formula>
    </cfRule>
  </conditionalFormatting>
  <conditionalFormatting sqref="N159">
    <cfRule type="cellIs" dxfId="6849" priority="1291" operator="greaterThan">
      <formula>0.9</formula>
    </cfRule>
    <cfRule type="cellIs" dxfId="6848" priority="1292" operator="greaterThan">
      <formula>0.85</formula>
    </cfRule>
  </conditionalFormatting>
  <conditionalFormatting sqref="N160">
    <cfRule type="cellIs" dxfId="6847" priority="1273" operator="greaterThan">
      <formula>0.9</formula>
    </cfRule>
    <cfRule type="cellIs" dxfId="6846" priority="1274" operator="greaterThan">
      <formula>0.85</formula>
    </cfRule>
  </conditionalFormatting>
  <conditionalFormatting sqref="N161">
    <cfRule type="cellIs" dxfId="6845" priority="1255" operator="greaterThan">
      <formula>0.9</formula>
    </cfRule>
    <cfRule type="cellIs" dxfId="6844" priority="1256" operator="greaterThan">
      <formula>0.85</formula>
    </cfRule>
  </conditionalFormatting>
  <conditionalFormatting sqref="N162">
    <cfRule type="cellIs" dxfId="6843" priority="1237" operator="greaterThan">
      <formula>0.9</formula>
    </cfRule>
    <cfRule type="cellIs" dxfId="6842" priority="1238" operator="greaterThan">
      <formula>0.85</formula>
    </cfRule>
  </conditionalFormatting>
  <conditionalFormatting sqref="N163">
    <cfRule type="cellIs" dxfId="6841" priority="1219" operator="greaterThan">
      <formula>0.9</formula>
    </cfRule>
    <cfRule type="cellIs" dxfId="6840" priority="1220" operator="greaterThan">
      <formula>0.85</formula>
    </cfRule>
  </conditionalFormatting>
  <conditionalFormatting sqref="N164">
    <cfRule type="cellIs" dxfId="6839" priority="1201" operator="greaterThan">
      <formula>0.9</formula>
    </cfRule>
    <cfRule type="cellIs" dxfId="6838" priority="1202" operator="greaterThan">
      <formula>0.85</formula>
    </cfRule>
  </conditionalFormatting>
  <conditionalFormatting sqref="N165">
    <cfRule type="cellIs" dxfId="6837" priority="1183" operator="greaterThan">
      <formula>0.9</formula>
    </cfRule>
    <cfRule type="cellIs" dxfId="6836" priority="1184" operator="greaterThan">
      <formula>0.85</formula>
    </cfRule>
  </conditionalFormatting>
  <conditionalFormatting sqref="N166">
    <cfRule type="cellIs" dxfId="6835" priority="1165" operator="greaterThan">
      <formula>0.9</formula>
    </cfRule>
    <cfRule type="cellIs" dxfId="6834" priority="1166" operator="greaterThan">
      <formula>0.85</formula>
    </cfRule>
  </conditionalFormatting>
  <conditionalFormatting sqref="N167">
    <cfRule type="cellIs" dxfId="6833" priority="1111" operator="greaterThan">
      <formula>0.9</formula>
    </cfRule>
    <cfRule type="cellIs" dxfId="6832" priority="1112" operator="greaterThan">
      <formula>0.85</formula>
    </cfRule>
  </conditionalFormatting>
  <conditionalFormatting sqref="N168">
    <cfRule type="cellIs" dxfId="6831" priority="1093" operator="greaterThan">
      <formula>0.9</formula>
    </cfRule>
    <cfRule type="cellIs" dxfId="6830" priority="1094" operator="greaterThan">
      <formula>0.85</formula>
    </cfRule>
  </conditionalFormatting>
  <conditionalFormatting sqref="N169">
    <cfRule type="cellIs" dxfId="6829" priority="1075" operator="greaterThan">
      <formula>0.9</formula>
    </cfRule>
    <cfRule type="cellIs" dxfId="6828" priority="1076" operator="greaterThan">
      <formula>0.85</formula>
    </cfRule>
  </conditionalFormatting>
  <conditionalFormatting sqref="N170">
    <cfRule type="cellIs" dxfId="6827" priority="1057" operator="greaterThan">
      <formula>0.9</formula>
    </cfRule>
    <cfRule type="cellIs" dxfId="6826" priority="1058" operator="greaterThan">
      <formula>0.85</formula>
    </cfRule>
  </conditionalFormatting>
  <conditionalFormatting sqref="N171">
    <cfRule type="cellIs" dxfId="6825" priority="1039" operator="greaterThan">
      <formula>0.9</formula>
    </cfRule>
    <cfRule type="cellIs" dxfId="6824" priority="1040" operator="greaterThan">
      <formula>0.85</formula>
    </cfRule>
  </conditionalFormatting>
  <conditionalFormatting sqref="N172">
    <cfRule type="cellIs" dxfId="6823" priority="1021" operator="greaterThan">
      <formula>0.9</formula>
    </cfRule>
    <cfRule type="cellIs" dxfId="6822" priority="1022" operator="greaterThan">
      <formula>0.85</formula>
    </cfRule>
  </conditionalFormatting>
  <conditionalFormatting sqref="N173">
    <cfRule type="cellIs" dxfId="6821" priority="1003" operator="greaterThan">
      <formula>0.9</formula>
    </cfRule>
    <cfRule type="cellIs" dxfId="6820" priority="1004" operator="greaterThan">
      <formula>0.85</formula>
    </cfRule>
  </conditionalFormatting>
  <conditionalFormatting sqref="N174">
    <cfRule type="cellIs" dxfId="6819" priority="985" operator="greaterThan">
      <formula>0.9</formula>
    </cfRule>
    <cfRule type="cellIs" dxfId="6818" priority="986" operator="greaterThan">
      <formula>0.85</formula>
    </cfRule>
  </conditionalFormatting>
  <conditionalFormatting sqref="N175">
    <cfRule type="cellIs" dxfId="6817" priority="967" operator="greaterThan">
      <formula>0.9</formula>
    </cfRule>
    <cfRule type="cellIs" dxfId="6816" priority="968" operator="greaterThan">
      <formula>0.85</formula>
    </cfRule>
  </conditionalFormatting>
  <conditionalFormatting sqref="N176">
    <cfRule type="cellIs" dxfId="6815" priority="949" operator="greaterThan">
      <formula>0.9</formula>
    </cfRule>
    <cfRule type="cellIs" dxfId="6814" priority="950" operator="greaterThan">
      <formula>0.85</formula>
    </cfRule>
  </conditionalFormatting>
  <conditionalFormatting sqref="N177">
    <cfRule type="cellIs" dxfId="6813" priority="931" operator="greaterThan">
      <formula>0.9</formula>
    </cfRule>
    <cfRule type="cellIs" dxfId="6812" priority="932" operator="greaterThan">
      <formula>0.85</formula>
    </cfRule>
  </conditionalFormatting>
  <conditionalFormatting sqref="N178">
    <cfRule type="cellIs" dxfId="6811" priority="913" operator="greaterThan">
      <formula>0.9</formula>
    </cfRule>
    <cfRule type="cellIs" dxfId="6810" priority="914" operator="greaterThan">
      <formula>0.85</formula>
    </cfRule>
  </conditionalFormatting>
  <conditionalFormatting sqref="N179">
    <cfRule type="cellIs" dxfId="6809" priority="895" operator="greaterThan">
      <formula>0.9</formula>
    </cfRule>
    <cfRule type="cellIs" dxfId="6808" priority="896" operator="greaterThan">
      <formula>0.85</formula>
    </cfRule>
  </conditionalFormatting>
  <conditionalFormatting sqref="N180">
    <cfRule type="cellIs" dxfId="6807" priority="877" operator="greaterThan">
      <formula>0.9</formula>
    </cfRule>
    <cfRule type="cellIs" dxfId="6806" priority="878" operator="greaterThan">
      <formula>0.85</formula>
    </cfRule>
  </conditionalFormatting>
  <conditionalFormatting sqref="N181">
    <cfRule type="cellIs" dxfId="6805" priority="859" operator="greaterThan">
      <formula>0.9</formula>
    </cfRule>
    <cfRule type="cellIs" dxfId="6804" priority="860" operator="greaterThan">
      <formula>0.85</formula>
    </cfRule>
  </conditionalFormatting>
  <conditionalFormatting sqref="N182">
    <cfRule type="cellIs" dxfId="6803" priority="841" operator="greaterThan">
      <formula>0.9</formula>
    </cfRule>
    <cfRule type="cellIs" dxfId="6802" priority="842" operator="greaterThan">
      <formula>0.85</formula>
    </cfRule>
  </conditionalFormatting>
  <conditionalFormatting sqref="N183">
    <cfRule type="cellIs" dxfId="6801" priority="823" operator="greaterThan">
      <formula>0.9</formula>
    </cfRule>
    <cfRule type="cellIs" dxfId="6800" priority="824" operator="greaterThan">
      <formula>0.85</formula>
    </cfRule>
  </conditionalFormatting>
  <conditionalFormatting sqref="N184">
    <cfRule type="cellIs" dxfId="6799" priority="805" operator="greaterThan">
      <formula>0.9</formula>
    </cfRule>
    <cfRule type="cellIs" dxfId="6798" priority="806" operator="greaterThan">
      <formula>0.85</formula>
    </cfRule>
  </conditionalFormatting>
  <conditionalFormatting sqref="N185">
    <cfRule type="cellIs" dxfId="6797" priority="787" operator="greaterThan">
      <formula>0.9</formula>
    </cfRule>
    <cfRule type="cellIs" dxfId="6796" priority="788" operator="greaterThan">
      <formula>0.85</formula>
    </cfRule>
  </conditionalFormatting>
  <conditionalFormatting sqref="N186">
    <cfRule type="cellIs" dxfId="6795" priority="769" operator="greaterThan">
      <formula>0.9</formula>
    </cfRule>
    <cfRule type="cellIs" dxfId="6794" priority="770" operator="greaterThan">
      <formula>0.85</formula>
    </cfRule>
  </conditionalFormatting>
  <conditionalFormatting sqref="N187">
    <cfRule type="cellIs" dxfId="6793" priority="751" operator="greaterThan">
      <formula>0.9</formula>
    </cfRule>
    <cfRule type="cellIs" dxfId="6792" priority="752" operator="greaterThan">
      <formula>0.85</formula>
    </cfRule>
  </conditionalFormatting>
  <conditionalFormatting sqref="N188">
    <cfRule type="cellIs" dxfId="6791" priority="733" operator="greaterThan">
      <formula>0.9</formula>
    </cfRule>
    <cfRule type="cellIs" dxfId="6790" priority="734" operator="greaterThan">
      <formula>0.85</formula>
    </cfRule>
  </conditionalFormatting>
  <conditionalFormatting sqref="N189">
    <cfRule type="cellIs" dxfId="6789" priority="715" operator="greaterThan">
      <formula>0.9</formula>
    </cfRule>
    <cfRule type="cellIs" dxfId="6788" priority="716" operator="greaterThan">
      <formula>0.85</formula>
    </cfRule>
  </conditionalFormatting>
  <conditionalFormatting sqref="N190">
    <cfRule type="cellIs" dxfId="6787" priority="697" operator="greaterThan">
      <formula>0.9</formula>
    </cfRule>
    <cfRule type="cellIs" dxfId="6786" priority="698" operator="greaterThan">
      <formula>0.85</formula>
    </cfRule>
  </conditionalFormatting>
  <conditionalFormatting sqref="N191">
    <cfRule type="cellIs" dxfId="6785" priority="679" operator="greaterThan">
      <formula>0.9</formula>
    </cfRule>
    <cfRule type="cellIs" dxfId="6784" priority="680" operator="greaterThan">
      <formula>0.85</formula>
    </cfRule>
  </conditionalFormatting>
  <conditionalFormatting sqref="N192">
    <cfRule type="cellIs" dxfId="6783" priority="661" operator="greaterThan">
      <formula>0.9</formula>
    </cfRule>
    <cfRule type="cellIs" dxfId="6782" priority="662" operator="greaterThan">
      <formula>0.85</formula>
    </cfRule>
  </conditionalFormatting>
  <conditionalFormatting sqref="N193">
    <cfRule type="cellIs" dxfId="6781" priority="643" operator="greaterThan">
      <formula>0.9</formula>
    </cfRule>
    <cfRule type="cellIs" dxfId="6780" priority="644" operator="greaterThan">
      <formula>0.85</formula>
    </cfRule>
  </conditionalFormatting>
  <conditionalFormatting sqref="N194">
    <cfRule type="cellIs" dxfId="6779" priority="625" operator="greaterThan">
      <formula>0.9</formula>
    </cfRule>
    <cfRule type="cellIs" dxfId="6778" priority="626" operator="greaterThan">
      <formula>0.85</formula>
    </cfRule>
  </conditionalFormatting>
  <conditionalFormatting sqref="N195">
    <cfRule type="cellIs" dxfId="6777" priority="607" operator="greaterThan">
      <formula>0.9</formula>
    </cfRule>
    <cfRule type="cellIs" dxfId="6776" priority="608" operator="greaterThan">
      <formula>0.85</formula>
    </cfRule>
  </conditionalFormatting>
  <conditionalFormatting sqref="N196">
    <cfRule type="cellIs" dxfId="6775" priority="589" operator="greaterThan">
      <formula>0.9</formula>
    </cfRule>
    <cfRule type="cellIs" dxfId="6774" priority="590" operator="greaterThan">
      <formula>0.85</formula>
    </cfRule>
  </conditionalFormatting>
  <conditionalFormatting sqref="N197">
    <cfRule type="cellIs" dxfId="6773" priority="571" operator="greaterThan">
      <formula>0.9</formula>
    </cfRule>
    <cfRule type="cellIs" dxfId="6772" priority="572" operator="greaterThan">
      <formula>0.85</formula>
    </cfRule>
  </conditionalFormatting>
  <conditionalFormatting sqref="N198">
    <cfRule type="cellIs" dxfId="6771" priority="553" operator="greaterThan">
      <formula>0.9</formula>
    </cfRule>
    <cfRule type="cellIs" dxfId="6770" priority="554" operator="greaterThan">
      <formula>0.85</formula>
    </cfRule>
  </conditionalFormatting>
  <conditionalFormatting sqref="N199">
    <cfRule type="cellIs" dxfId="6769" priority="535" operator="greaterThan">
      <formula>0.9</formula>
    </cfRule>
    <cfRule type="cellIs" dxfId="6768" priority="536" operator="greaterThan">
      <formula>0.85</formula>
    </cfRule>
  </conditionalFormatting>
  <conditionalFormatting sqref="N200">
    <cfRule type="cellIs" dxfId="6767" priority="517" operator="greaterThan">
      <formula>0.9</formula>
    </cfRule>
    <cfRule type="cellIs" dxfId="6766" priority="518" operator="greaterThan">
      <formula>0.85</formula>
    </cfRule>
  </conditionalFormatting>
  <conditionalFormatting sqref="N201">
    <cfRule type="cellIs" dxfId="6765" priority="499" operator="greaterThan">
      <formula>0.9</formula>
    </cfRule>
    <cfRule type="cellIs" dxfId="6764" priority="500" operator="greaterThan">
      <formula>0.85</formula>
    </cfRule>
  </conditionalFormatting>
  <conditionalFormatting sqref="N202">
    <cfRule type="cellIs" dxfId="6763" priority="481" operator="greaterThan">
      <formula>0.9</formula>
    </cfRule>
    <cfRule type="cellIs" dxfId="6762" priority="482" operator="greaterThan">
      <formula>0.85</formula>
    </cfRule>
  </conditionalFormatting>
  <conditionalFormatting sqref="N203">
    <cfRule type="cellIs" dxfId="6761" priority="463" operator="greaterThan">
      <formula>0.9</formula>
    </cfRule>
    <cfRule type="cellIs" dxfId="6760" priority="464" operator="greaterThan">
      <formula>0.85</formula>
    </cfRule>
  </conditionalFormatting>
  <conditionalFormatting sqref="N204">
    <cfRule type="cellIs" dxfId="6759" priority="427" operator="greaterThan">
      <formula>0.9</formula>
    </cfRule>
    <cfRule type="cellIs" dxfId="6758" priority="428" operator="greaterThan">
      <formula>0.85</formula>
    </cfRule>
  </conditionalFormatting>
  <conditionalFormatting sqref="N205">
    <cfRule type="cellIs" dxfId="6757" priority="409" operator="greaterThan">
      <formula>0.9</formula>
    </cfRule>
    <cfRule type="cellIs" dxfId="6756" priority="410" operator="greaterThan">
      <formula>0.85</formula>
    </cfRule>
  </conditionalFormatting>
  <conditionalFormatting sqref="N206">
    <cfRule type="cellIs" dxfId="6755" priority="391" operator="greaterThan">
      <formula>0.9</formula>
    </cfRule>
    <cfRule type="cellIs" dxfId="6754" priority="392" operator="greaterThan">
      <formula>0.85</formula>
    </cfRule>
  </conditionalFormatting>
  <conditionalFormatting sqref="N207">
    <cfRule type="cellIs" dxfId="6753" priority="373" operator="greaterThan">
      <formula>0.9</formula>
    </cfRule>
    <cfRule type="cellIs" dxfId="6752" priority="374" operator="greaterThan">
      <formula>0.85</formula>
    </cfRule>
  </conditionalFormatting>
  <conditionalFormatting sqref="N208">
    <cfRule type="cellIs" dxfId="6751" priority="355" operator="greaterThan">
      <formula>0.9</formula>
    </cfRule>
    <cfRule type="cellIs" dxfId="6750" priority="356" operator="greaterThan">
      <formula>0.85</formula>
    </cfRule>
  </conditionalFormatting>
  <conditionalFormatting sqref="N209">
    <cfRule type="cellIs" dxfId="6749" priority="337" operator="greaterThan">
      <formula>0.9</formula>
    </cfRule>
    <cfRule type="cellIs" dxfId="6748" priority="338" operator="greaterThan">
      <formula>0.85</formula>
    </cfRule>
  </conditionalFormatting>
  <conditionalFormatting sqref="N210">
    <cfRule type="cellIs" dxfId="6747" priority="319" operator="greaterThan">
      <formula>0.9</formula>
    </cfRule>
    <cfRule type="cellIs" dxfId="6746" priority="320" operator="greaterThan">
      <formula>0.85</formula>
    </cfRule>
  </conditionalFormatting>
  <conditionalFormatting sqref="N211">
    <cfRule type="cellIs" dxfId="6745" priority="301" operator="greaterThan">
      <formula>0.9</formula>
    </cfRule>
    <cfRule type="cellIs" dxfId="6744" priority="302" operator="greaterThan">
      <formula>0.85</formula>
    </cfRule>
  </conditionalFormatting>
  <conditionalFormatting sqref="N212">
    <cfRule type="cellIs" dxfId="6743" priority="283" operator="greaterThan">
      <formula>0.9</formula>
    </cfRule>
    <cfRule type="cellIs" dxfId="6742" priority="284" operator="greaterThan">
      <formula>0.85</formula>
    </cfRule>
  </conditionalFormatting>
  <conditionalFormatting sqref="N213">
    <cfRule type="cellIs" dxfId="6741" priority="265" operator="greaterThan">
      <formula>0.9</formula>
    </cfRule>
    <cfRule type="cellIs" dxfId="6740" priority="266" operator="greaterThan">
      <formula>0.85</formula>
    </cfRule>
  </conditionalFormatting>
  <conditionalFormatting sqref="N214">
    <cfRule type="cellIs" dxfId="6739" priority="247" operator="greaterThan">
      <formula>0.9</formula>
    </cfRule>
    <cfRule type="cellIs" dxfId="6738" priority="248" operator="greaterThan">
      <formula>0.85</formula>
    </cfRule>
  </conditionalFormatting>
  <conditionalFormatting sqref="N215">
    <cfRule type="cellIs" dxfId="6737" priority="229" operator="greaterThan">
      <formula>0.9</formula>
    </cfRule>
    <cfRule type="cellIs" dxfId="6736" priority="230" operator="greaterThan">
      <formula>0.85</formula>
    </cfRule>
  </conditionalFormatting>
  <conditionalFormatting sqref="N216">
    <cfRule type="cellIs" dxfId="6735" priority="211" operator="greaterThan">
      <formula>0.9</formula>
    </cfRule>
    <cfRule type="cellIs" dxfId="6734" priority="212" operator="greaterThan">
      <formula>0.85</formula>
    </cfRule>
  </conditionalFormatting>
  <conditionalFormatting sqref="N217">
    <cfRule type="cellIs" dxfId="6733" priority="193" operator="greaterThan">
      <formula>0.9</formula>
    </cfRule>
    <cfRule type="cellIs" dxfId="6732" priority="194" operator="greaterThan">
      <formula>0.85</formula>
    </cfRule>
  </conditionalFormatting>
  <conditionalFormatting sqref="N218">
    <cfRule type="cellIs" dxfId="6731" priority="175" operator="greaterThan">
      <formula>0.9</formula>
    </cfRule>
    <cfRule type="cellIs" dxfId="6730" priority="176" operator="greaterThan">
      <formula>0.85</formula>
    </cfRule>
  </conditionalFormatting>
  <conditionalFormatting sqref="N219">
    <cfRule type="cellIs" dxfId="6729" priority="157" operator="greaterThan">
      <formula>0.9</formula>
    </cfRule>
    <cfRule type="cellIs" dxfId="6728" priority="158" operator="greaterThan">
      <formula>0.85</formula>
    </cfRule>
  </conditionalFormatting>
  <conditionalFormatting sqref="N220">
    <cfRule type="cellIs" dxfId="6727" priority="139" operator="greaterThan">
      <formula>0.9</formula>
    </cfRule>
    <cfRule type="cellIs" dxfId="6726" priority="140" operator="greaterThan">
      <formula>0.85</formula>
    </cfRule>
  </conditionalFormatting>
  <conditionalFormatting sqref="N221">
    <cfRule type="cellIs" dxfId="6725" priority="121" operator="greaterThan">
      <formula>0.9</formula>
    </cfRule>
    <cfRule type="cellIs" dxfId="6724" priority="122" operator="greaterThan">
      <formula>0.85</formula>
    </cfRule>
  </conditionalFormatting>
  <conditionalFormatting sqref="N222">
    <cfRule type="cellIs" dxfId="6723" priority="103" operator="greaterThan">
      <formula>0.9</formula>
    </cfRule>
    <cfRule type="cellIs" dxfId="6722" priority="104" operator="greaterThan">
      <formula>0.85</formula>
    </cfRule>
  </conditionalFormatting>
  <conditionalFormatting sqref="N223">
    <cfRule type="cellIs" dxfId="6721" priority="85" operator="greaterThan">
      <formula>0.9</formula>
    </cfRule>
    <cfRule type="cellIs" dxfId="6720" priority="86" operator="greaterThan">
      <formula>0.85</formula>
    </cfRule>
  </conditionalFormatting>
  <conditionalFormatting sqref="N224">
    <cfRule type="cellIs" dxfId="6719" priority="67" operator="greaterThan">
      <formula>0.9</formula>
    </cfRule>
    <cfRule type="cellIs" dxfId="6718" priority="68" operator="greaterThan">
      <formula>0.85</formula>
    </cfRule>
  </conditionalFormatting>
  <conditionalFormatting sqref="N225">
    <cfRule type="cellIs" dxfId="6717" priority="49" operator="greaterThan">
      <formula>0.9</formula>
    </cfRule>
    <cfRule type="cellIs" dxfId="6716" priority="50" operator="greaterThan">
      <formula>0.85</formula>
    </cfRule>
  </conditionalFormatting>
  <conditionalFormatting sqref="N226">
    <cfRule type="cellIs" dxfId="6715" priority="31" operator="greaterThan">
      <formula>0.9</formula>
    </cfRule>
    <cfRule type="cellIs" dxfId="6714" priority="32" operator="greaterThan">
      <formula>0.85</formula>
    </cfRule>
  </conditionalFormatting>
  <conditionalFormatting sqref="E4:E227">
    <cfRule type="expression" dxfId="3" priority="134098">
      <formula>AND(IF(OR($Q4=1,$Q4=2),1,0),IF(#REF!&lt;=20,1,0))</formula>
    </cfRule>
    <cfRule type="expression" dxfId="2" priority="134099">
      <formula>AND(IF($Q4=2,1,0),IF(#REF!&lt;30,1,0))</formula>
    </cfRule>
    <cfRule type="expression" dxfId="1" priority="134100">
      <formula>AND(IF($Q4=3,1,0),IF(#REF!&lt;30,1,0))</formula>
    </cfRule>
    <cfRule type="expression" dxfId="0" priority="13410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D11" sqref="D11"/>
    </sheetView>
  </sheetViews>
  <sheetFormatPr defaultColWidth="17.5" defaultRowHeight="13.5" x14ac:dyDescent="0.3"/>
  <cols>
    <col min="1" max="1" width="4.625" style="78" bestFit="1" customWidth="1"/>
    <col min="2" max="2" width="3.375" style="78" customWidth="1"/>
    <col min="3" max="3" width="4.625" style="78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8" customWidth="1"/>
    <col min="54" max="16384" width="17.5" style="78"/>
  </cols>
  <sheetData>
    <row r="1" spans="1:48" x14ac:dyDescent="0.3"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</row>
    <row r="2" spans="1:48" x14ac:dyDescent="0.3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x14ac:dyDescent="0.3"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</row>
    <row r="4" spans="1:48" x14ac:dyDescent="0.3">
      <c r="A4" s="118" t="s">
        <v>204</v>
      </c>
      <c r="B4" s="119"/>
      <c r="C4" s="119"/>
      <c r="D4" s="78" t="s">
        <v>205</v>
      </c>
      <c r="E4" s="78" t="s">
        <v>206</v>
      </c>
      <c r="F4" s="78" t="s">
        <v>207</v>
      </c>
      <c r="G4" s="78" t="s">
        <v>208</v>
      </c>
      <c r="H4" s="78" t="s">
        <v>209</v>
      </c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118" t="s">
        <v>210</v>
      </c>
      <c r="B5" s="119"/>
      <c r="C5" s="119"/>
    </row>
    <row r="6" spans="1:48" x14ac:dyDescent="0.3">
      <c r="A6" s="118" t="s">
        <v>211</v>
      </c>
      <c r="B6" s="119"/>
      <c r="C6" s="119"/>
    </row>
    <row r="7" spans="1:48" x14ac:dyDescent="0.3">
      <c r="A7" s="51" t="s">
        <v>212</v>
      </c>
      <c r="B7" s="52"/>
      <c r="C7" s="53"/>
      <c r="D7" s="54" t="str">
        <f t="shared" ref="D7:W7" si="0">D4&amp;IF(D5="","",","&amp;D5)&amp;IF(D6="","",","&amp;D6)</f>
        <v>복대동</v>
      </c>
      <c r="E7" s="54" t="str">
        <f t="shared" si="0"/>
        <v>비하동</v>
      </c>
      <c r="F7" s="54" t="str">
        <f t="shared" si="0"/>
        <v>가경동</v>
      </c>
      <c r="G7" s="54" t="str">
        <f t="shared" si="0"/>
        <v>송절동</v>
      </c>
      <c r="H7" s="54" t="str">
        <f t="shared" si="0"/>
        <v>오송읍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213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24" x14ac:dyDescent="0.3">
      <c r="A9" s="100">
        <v>7</v>
      </c>
      <c r="B9" s="59" t="s">
        <v>213</v>
      </c>
      <c r="C9" s="101">
        <v>8</v>
      </c>
      <c r="D9" s="58"/>
      <c r="E9" s="58"/>
      <c r="F9" s="58" t="s">
        <v>1817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24" customHeight="1" x14ac:dyDescent="0.3">
      <c r="A10" s="102">
        <v>6</v>
      </c>
      <c r="B10" s="55" t="s">
        <v>213</v>
      </c>
      <c r="C10" s="103">
        <v>7</v>
      </c>
      <c r="D10" s="56" t="s">
        <v>214</v>
      </c>
      <c r="E10" s="56"/>
      <c r="F10" s="56" t="s">
        <v>1819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84" customHeight="1" x14ac:dyDescent="0.3">
      <c r="A11" s="102">
        <v>5</v>
      </c>
      <c r="B11" s="55" t="s">
        <v>213</v>
      </c>
      <c r="C11" s="103">
        <v>6</v>
      </c>
      <c r="D11" s="56" t="s">
        <v>1827</v>
      </c>
      <c r="E11" s="56" t="s">
        <v>1821</v>
      </c>
      <c r="F11" s="56" t="s">
        <v>1825</v>
      </c>
      <c r="G11" s="56" t="s">
        <v>1823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60" customHeight="1" x14ac:dyDescent="0.3">
      <c r="A12" s="102">
        <v>4</v>
      </c>
      <c r="B12" s="55" t="s">
        <v>213</v>
      </c>
      <c r="C12" s="103">
        <v>5</v>
      </c>
      <c r="D12" s="56" t="s">
        <v>1839</v>
      </c>
      <c r="E12" s="56" t="s">
        <v>1840</v>
      </c>
      <c r="F12" s="56" t="s">
        <v>1836</v>
      </c>
      <c r="G12" s="56" t="s">
        <v>1834</v>
      </c>
      <c r="H12" s="56" t="s">
        <v>1830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104">
        <v>3</v>
      </c>
      <c r="B13" s="60" t="s">
        <v>213</v>
      </c>
      <c r="C13" s="105">
        <v>4</v>
      </c>
      <c r="D13" s="61" t="s">
        <v>1846</v>
      </c>
      <c r="E13" s="61" t="s">
        <v>1842</v>
      </c>
      <c r="F13" s="61" t="s">
        <v>1844</v>
      </c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213</v>
      </c>
      <c r="C14" s="105">
        <v>3</v>
      </c>
      <c r="D14" s="61" t="s">
        <v>1848</v>
      </c>
      <c r="E14" s="61"/>
      <c r="F14" s="61" t="s">
        <v>215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104">
        <v>2</v>
      </c>
      <c r="B15" s="60" t="s">
        <v>213</v>
      </c>
      <c r="C15" s="105">
        <v>2.5</v>
      </c>
      <c r="D15" s="61" t="s">
        <v>1854</v>
      </c>
      <c r="E15" s="61"/>
      <c r="F15" s="61" t="s">
        <v>1852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08" customHeight="1" x14ac:dyDescent="0.3">
      <c r="A16" s="106">
        <v>1.5</v>
      </c>
      <c r="B16" s="62" t="s">
        <v>213</v>
      </c>
      <c r="C16" s="107">
        <v>2</v>
      </c>
      <c r="D16" s="63" t="s">
        <v>1857</v>
      </c>
      <c r="E16" s="63" t="s">
        <v>1860</v>
      </c>
      <c r="F16" s="63" t="s">
        <v>1862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48" customHeight="1" x14ac:dyDescent="0.3">
      <c r="A17" s="106">
        <v>1</v>
      </c>
      <c r="B17" s="62" t="s">
        <v>213</v>
      </c>
      <c r="C17" s="107">
        <v>1.5</v>
      </c>
      <c r="D17" s="63" t="s">
        <v>1867</v>
      </c>
      <c r="E17" s="63" t="s">
        <v>1870</v>
      </c>
      <c r="F17" s="63" t="s">
        <v>1864</v>
      </c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195</v>
      </c>
      <c r="B20" s="52"/>
      <c r="C20" s="53"/>
      <c r="D20" s="54" t="str">
        <f t="shared" ref="D20:W20" si="1">D7</f>
        <v>복대동</v>
      </c>
      <c r="E20" s="54" t="str">
        <f t="shared" si="1"/>
        <v>비하동</v>
      </c>
      <c r="F20" s="54" t="str">
        <f t="shared" si="1"/>
        <v>가경동</v>
      </c>
      <c r="G20" s="54" t="str">
        <f t="shared" si="1"/>
        <v>송절동</v>
      </c>
      <c r="H20" s="54" t="str">
        <f t="shared" si="1"/>
        <v>오송읍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 t="s">
        <v>1818</v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24" customHeight="1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 t="s">
        <v>216</v>
      </c>
      <c r="E23" s="56"/>
      <c r="F23" s="56" t="s">
        <v>1820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1828</v>
      </c>
      <c r="E24" s="56" t="s">
        <v>1822</v>
      </c>
      <c r="F24" s="56"/>
      <c r="G24" s="56" t="s">
        <v>1824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 t="s">
        <v>1829</v>
      </c>
      <c r="E25" s="56" t="s">
        <v>1838</v>
      </c>
      <c r="F25" s="56" t="s">
        <v>1837</v>
      </c>
      <c r="G25" s="56" t="s">
        <v>1832</v>
      </c>
      <c r="H25" s="56" t="s">
        <v>1831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 t="s">
        <v>1847</v>
      </c>
      <c r="E26" s="61" t="s">
        <v>1843</v>
      </c>
      <c r="F26" s="61" t="s">
        <v>1845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1849</v>
      </c>
      <c r="E27" s="61"/>
      <c r="F27" s="61" t="s">
        <v>217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 t="s">
        <v>1851</v>
      </c>
      <c r="E28" s="61"/>
      <c r="F28" s="61" t="s">
        <v>1853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 t="s">
        <v>1858</v>
      </c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218</v>
      </c>
      <c r="B33" s="52"/>
      <c r="C33" s="53"/>
      <c r="D33" s="54" t="str">
        <f t="shared" ref="D33:W33" si="3">D20</f>
        <v>복대동</v>
      </c>
      <c r="E33" s="54" t="str">
        <f t="shared" si="3"/>
        <v>비하동</v>
      </c>
      <c r="F33" s="54" t="str">
        <f t="shared" si="3"/>
        <v>가경동</v>
      </c>
      <c r="G33" s="54" t="str">
        <f t="shared" si="3"/>
        <v>송절동</v>
      </c>
      <c r="H33" s="54" t="str">
        <f t="shared" si="3"/>
        <v>오송읍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 t="s">
        <v>1826</v>
      </c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 t="s">
        <v>219</v>
      </c>
      <c r="E38" s="56" t="s">
        <v>1841</v>
      </c>
      <c r="F38" s="56" t="s">
        <v>1833</v>
      </c>
      <c r="G38" s="56" t="s">
        <v>1835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36" customHeight="1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 t="s">
        <v>1855</v>
      </c>
      <c r="E41" s="61"/>
      <c r="F41" s="61" t="s">
        <v>1850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84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 t="s">
        <v>1856</v>
      </c>
      <c r="E42" s="63" t="s">
        <v>1861</v>
      </c>
      <c r="F42" s="63" t="s">
        <v>1859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 t="s">
        <v>1866</v>
      </c>
      <c r="E43" s="63" t="s">
        <v>1869</v>
      </c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220</v>
      </c>
      <c r="B46" s="52"/>
      <c r="C46" s="53"/>
      <c r="D46" s="54" t="str">
        <f t="shared" ref="D46:W46" si="5">D33</f>
        <v>복대동</v>
      </c>
      <c r="E46" s="54" t="str">
        <f t="shared" si="5"/>
        <v>비하동</v>
      </c>
      <c r="F46" s="54" t="str">
        <f t="shared" si="5"/>
        <v>가경동</v>
      </c>
      <c r="G46" s="54" t="str">
        <f t="shared" si="5"/>
        <v>송절동</v>
      </c>
      <c r="H46" s="54" t="str">
        <f t="shared" si="5"/>
        <v>오송읍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24" customHeight="1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/>
      <c r="F55" s="63" t="s">
        <v>1863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202</v>
      </c>
      <c r="B59" s="52"/>
      <c r="C59" s="53"/>
      <c r="D59" s="54" t="str">
        <f t="shared" ref="D59:W59" si="7">D46</f>
        <v>복대동</v>
      </c>
      <c r="E59" s="54" t="str">
        <f t="shared" si="7"/>
        <v>비하동</v>
      </c>
      <c r="F59" s="54" t="str">
        <f t="shared" si="7"/>
        <v>가경동</v>
      </c>
      <c r="G59" s="54" t="str">
        <f t="shared" si="7"/>
        <v>송절동</v>
      </c>
      <c r="H59" s="54" t="str">
        <f t="shared" si="7"/>
        <v>오송읍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 t="s">
        <v>1868</v>
      </c>
      <c r="E69" s="63" t="s">
        <v>1871</v>
      </c>
      <c r="F69" s="63" t="s">
        <v>1865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221</v>
      </c>
      <c r="B1" s="71"/>
    </row>
    <row r="2" spans="1:2" x14ac:dyDescent="0.3">
      <c r="A2" t="s">
        <v>222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97"/>
  <sheetViews>
    <sheetView zoomScaleNormal="100" workbookViewId="0">
      <selection activeCell="N12" sqref="N12"/>
    </sheetView>
  </sheetViews>
  <sheetFormatPr defaultRowHeight="16.5" x14ac:dyDescent="0.3"/>
  <sheetData>
    <row r="1" spans="1:38" x14ac:dyDescent="0.3">
      <c r="A1" t="s">
        <v>223</v>
      </c>
      <c r="B1">
        <v>26882</v>
      </c>
      <c r="C1">
        <v>1</v>
      </c>
      <c r="D1" t="s">
        <v>224</v>
      </c>
      <c r="E1" t="s">
        <v>225</v>
      </c>
      <c r="F1">
        <v>256</v>
      </c>
      <c r="G1">
        <v>33.270000000000003</v>
      </c>
      <c r="H1">
        <v>110</v>
      </c>
      <c r="I1">
        <v>25.69</v>
      </c>
      <c r="J1">
        <v>84.94</v>
      </c>
      <c r="K1">
        <v>170</v>
      </c>
      <c r="T1">
        <v>3</v>
      </c>
      <c r="U1">
        <v>2</v>
      </c>
      <c r="V1" t="s">
        <v>226</v>
      </c>
      <c r="W1">
        <v>110</v>
      </c>
      <c r="X1">
        <v>15</v>
      </c>
      <c r="Y1">
        <v>13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207</v>
      </c>
      <c r="AG1" t="s">
        <v>232</v>
      </c>
      <c r="AH1">
        <v>0</v>
      </c>
      <c r="AI1">
        <v>211</v>
      </c>
      <c r="AJ1">
        <v>22</v>
      </c>
      <c r="AK1">
        <v>394</v>
      </c>
      <c r="AL1">
        <v>1.54</v>
      </c>
    </row>
    <row r="2" spans="1:38" x14ac:dyDescent="0.3">
      <c r="A2" t="s">
        <v>223</v>
      </c>
      <c r="B2">
        <v>26882</v>
      </c>
      <c r="C2">
        <v>2</v>
      </c>
      <c r="D2" t="s">
        <v>224</v>
      </c>
      <c r="E2" t="s">
        <v>225</v>
      </c>
      <c r="F2">
        <v>256</v>
      </c>
      <c r="G2">
        <v>34</v>
      </c>
      <c r="H2">
        <v>112.41</v>
      </c>
      <c r="I2">
        <v>25.7</v>
      </c>
      <c r="J2">
        <v>84.99</v>
      </c>
      <c r="K2">
        <v>86</v>
      </c>
      <c r="T2">
        <v>3</v>
      </c>
      <c r="U2">
        <v>2</v>
      </c>
      <c r="V2" t="s">
        <v>233</v>
      </c>
      <c r="W2">
        <v>112</v>
      </c>
      <c r="X2">
        <v>15</v>
      </c>
      <c r="Y2">
        <v>13</v>
      </c>
      <c r="Z2" t="s">
        <v>227</v>
      </c>
      <c r="AA2" t="s">
        <v>228</v>
      </c>
      <c r="AB2" t="s">
        <v>229</v>
      </c>
      <c r="AC2" t="s">
        <v>230</v>
      </c>
      <c r="AD2" t="s">
        <v>231</v>
      </c>
      <c r="AE2" t="s">
        <v>207</v>
      </c>
      <c r="AG2" t="s">
        <v>232</v>
      </c>
      <c r="AH2">
        <v>0</v>
      </c>
      <c r="AI2">
        <v>211</v>
      </c>
      <c r="AJ2">
        <v>22</v>
      </c>
      <c r="AK2">
        <v>394</v>
      </c>
      <c r="AL2">
        <v>1.54</v>
      </c>
    </row>
    <row r="3" spans="1:38" x14ac:dyDescent="0.3">
      <c r="A3" t="s">
        <v>223</v>
      </c>
      <c r="B3">
        <v>26052</v>
      </c>
      <c r="C3">
        <v>1</v>
      </c>
      <c r="D3" t="s">
        <v>234</v>
      </c>
      <c r="E3" t="s">
        <v>235</v>
      </c>
      <c r="F3">
        <v>704</v>
      </c>
      <c r="G3">
        <v>20.53</v>
      </c>
      <c r="H3">
        <v>67.88</v>
      </c>
      <c r="I3">
        <v>15.06</v>
      </c>
      <c r="J3">
        <v>49.8</v>
      </c>
      <c r="K3">
        <v>82</v>
      </c>
      <c r="T3">
        <v>2</v>
      </c>
      <c r="U3">
        <v>1</v>
      </c>
      <c r="V3" t="s">
        <v>233</v>
      </c>
      <c r="W3">
        <v>67</v>
      </c>
      <c r="X3">
        <v>23</v>
      </c>
      <c r="Y3">
        <v>15</v>
      </c>
      <c r="Z3" t="s">
        <v>236</v>
      </c>
      <c r="AA3" t="s">
        <v>237</v>
      </c>
      <c r="AB3" t="s">
        <v>229</v>
      </c>
      <c r="AC3" t="s">
        <v>230</v>
      </c>
      <c r="AD3" t="s">
        <v>231</v>
      </c>
      <c r="AE3" t="s">
        <v>207</v>
      </c>
      <c r="AG3" t="s">
        <v>238</v>
      </c>
      <c r="AH3">
        <v>0</v>
      </c>
      <c r="AI3">
        <v>216</v>
      </c>
      <c r="AJ3">
        <v>17</v>
      </c>
      <c r="AK3">
        <v>569</v>
      </c>
      <c r="AL3">
        <v>0.81</v>
      </c>
    </row>
    <row r="4" spans="1:38" x14ac:dyDescent="0.3">
      <c r="A4" t="s">
        <v>223</v>
      </c>
      <c r="B4">
        <v>26052</v>
      </c>
      <c r="C4">
        <v>2</v>
      </c>
      <c r="D4" t="s">
        <v>234</v>
      </c>
      <c r="E4" t="s">
        <v>235</v>
      </c>
      <c r="F4">
        <v>704</v>
      </c>
      <c r="G4">
        <v>24.7</v>
      </c>
      <c r="H4">
        <v>81.680000000000007</v>
      </c>
      <c r="I4">
        <v>18.12</v>
      </c>
      <c r="J4">
        <v>59.92</v>
      </c>
      <c r="K4">
        <v>622</v>
      </c>
      <c r="T4">
        <v>3</v>
      </c>
      <c r="U4">
        <v>2</v>
      </c>
      <c r="V4" t="s">
        <v>233</v>
      </c>
      <c r="W4">
        <v>81</v>
      </c>
      <c r="X4">
        <v>23</v>
      </c>
      <c r="Y4">
        <v>15</v>
      </c>
      <c r="Z4" t="s">
        <v>236</v>
      </c>
      <c r="AA4" t="s">
        <v>237</v>
      </c>
      <c r="AB4" t="s">
        <v>229</v>
      </c>
      <c r="AC4" t="s">
        <v>230</v>
      </c>
      <c r="AD4" t="s">
        <v>231</v>
      </c>
      <c r="AE4" t="s">
        <v>207</v>
      </c>
      <c r="AG4" t="s">
        <v>238</v>
      </c>
      <c r="AH4">
        <v>0</v>
      </c>
      <c r="AI4">
        <v>216</v>
      </c>
      <c r="AJ4">
        <v>17</v>
      </c>
      <c r="AK4">
        <v>569</v>
      </c>
      <c r="AL4">
        <v>0.81</v>
      </c>
    </row>
    <row r="5" spans="1:38" x14ac:dyDescent="0.3">
      <c r="A5" t="s">
        <v>223</v>
      </c>
      <c r="B5">
        <v>128334</v>
      </c>
      <c r="C5">
        <v>1</v>
      </c>
      <c r="D5" t="s">
        <v>239</v>
      </c>
      <c r="E5" t="s">
        <v>240</v>
      </c>
      <c r="F5">
        <v>201</v>
      </c>
      <c r="G5">
        <v>33.159999999999997</v>
      </c>
      <c r="H5">
        <v>109.62</v>
      </c>
      <c r="I5">
        <v>25.67</v>
      </c>
      <c r="J5">
        <v>84.87</v>
      </c>
      <c r="K5">
        <v>175</v>
      </c>
      <c r="T5">
        <v>3</v>
      </c>
      <c r="U5">
        <v>2</v>
      </c>
      <c r="V5" t="s">
        <v>233</v>
      </c>
      <c r="W5" t="s">
        <v>66</v>
      </c>
      <c r="X5">
        <v>27</v>
      </c>
      <c r="Y5">
        <v>19</v>
      </c>
      <c r="Z5" t="s">
        <v>241</v>
      </c>
      <c r="AA5" t="s">
        <v>242</v>
      </c>
      <c r="AB5" t="s">
        <v>229</v>
      </c>
      <c r="AC5" t="s">
        <v>230</v>
      </c>
      <c r="AD5" t="s">
        <v>231</v>
      </c>
      <c r="AE5" t="s">
        <v>207</v>
      </c>
      <c r="AG5" t="s">
        <v>243</v>
      </c>
      <c r="AH5">
        <v>0</v>
      </c>
      <c r="AI5">
        <v>0</v>
      </c>
      <c r="AJ5">
        <v>0</v>
      </c>
      <c r="AK5">
        <v>283</v>
      </c>
      <c r="AL5">
        <v>1.41</v>
      </c>
    </row>
    <row r="6" spans="1:38" x14ac:dyDescent="0.3">
      <c r="A6" t="s">
        <v>223</v>
      </c>
      <c r="B6">
        <v>128334</v>
      </c>
      <c r="C6">
        <v>2</v>
      </c>
      <c r="D6" t="s">
        <v>239</v>
      </c>
      <c r="E6" t="s">
        <v>240</v>
      </c>
      <c r="F6">
        <v>201</v>
      </c>
      <c r="G6">
        <v>33.090000000000003</v>
      </c>
      <c r="H6">
        <v>109.42</v>
      </c>
      <c r="I6">
        <v>25.53</v>
      </c>
      <c r="J6">
        <v>84.4</v>
      </c>
      <c r="K6">
        <v>26</v>
      </c>
      <c r="T6">
        <v>3</v>
      </c>
      <c r="U6">
        <v>2</v>
      </c>
      <c r="V6" t="s">
        <v>233</v>
      </c>
      <c r="W6" t="s">
        <v>67</v>
      </c>
      <c r="X6">
        <v>27</v>
      </c>
      <c r="Y6">
        <v>19</v>
      </c>
      <c r="Z6" t="s">
        <v>241</v>
      </c>
      <c r="AA6" t="s">
        <v>242</v>
      </c>
      <c r="AB6" t="s">
        <v>229</v>
      </c>
      <c r="AC6" t="s">
        <v>230</v>
      </c>
      <c r="AD6" t="s">
        <v>231</v>
      </c>
      <c r="AE6" t="s">
        <v>207</v>
      </c>
      <c r="AG6" t="s">
        <v>243</v>
      </c>
      <c r="AH6">
        <v>0</v>
      </c>
      <c r="AI6">
        <v>0</v>
      </c>
      <c r="AJ6">
        <v>0</v>
      </c>
      <c r="AK6">
        <v>283</v>
      </c>
      <c r="AL6">
        <v>1.41</v>
      </c>
    </row>
    <row r="7" spans="1:38" x14ac:dyDescent="0.3">
      <c r="A7" t="s">
        <v>223</v>
      </c>
      <c r="B7">
        <v>122589</v>
      </c>
      <c r="C7">
        <v>1</v>
      </c>
      <c r="D7" t="s">
        <v>244</v>
      </c>
      <c r="E7" t="s">
        <v>245</v>
      </c>
      <c r="F7">
        <v>992</v>
      </c>
      <c r="G7">
        <v>30.2</v>
      </c>
      <c r="H7">
        <v>99.86</v>
      </c>
      <c r="I7">
        <v>22.91</v>
      </c>
      <c r="J7">
        <v>75.760000000000005</v>
      </c>
      <c r="K7">
        <v>468</v>
      </c>
      <c r="T7">
        <v>4</v>
      </c>
      <c r="U7">
        <v>2</v>
      </c>
      <c r="V7" t="s">
        <v>233</v>
      </c>
      <c r="W7">
        <v>99</v>
      </c>
      <c r="X7">
        <v>29</v>
      </c>
      <c r="Y7">
        <v>15</v>
      </c>
      <c r="Z7" t="s">
        <v>246</v>
      </c>
      <c r="AA7" t="s">
        <v>247</v>
      </c>
      <c r="AB7" t="s">
        <v>229</v>
      </c>
      <c r="AC7" t="s">
        <v>230</v>
      </c>
      <c r="AD7" t="s">
        <v>231</v>
      </c>
      <c r="AE7" t="s">
        <v>207</v>
      </c>
      <c r="AG7" t="s">
        <v>248</v>
      </c>
      <c r="AH7">
        <v>0</v>
      </c>
      <c r="AI7">
        <v>220</v>
      </c>
      <c r="AJ7">
        <v>15</v>
      </c>
      <c r="AK7">
        <v>1290</v>
      </c>
      <c r="AL7">
        <v>1.3</v>
      </c>
    </row>
    <row r="8" spans="1:38" x14ac:dyDescent="0.3">
      <c r="A8" t="s">
        <v>223</v>
      </c>
      <c r="B8">
        <v>122589</v>
      </c>
      <c r="C8">
        <v>2</v>
      </c>
      <c r="D8" t="s">
        <v>244</v>
      </c>
      <c r="E8" t="s">
        <v>245</v>
      </c>
      <c r="F8">
        <v>992</v>
      </c>
      <c r="G8">
        <v>33.520000000000003</v>
      </c>
      <c r="H8">
        <v>110.81</v>
      </c>
      <c r="I8">
        <v>25.66</v>
      </c>
      <c r="J8">
        <v>84.83</v>
      </c>
      <c r="K8">
        <v>91</v>
      </c>
      <c r="T8">
        <v>4</v>
      </c>
      <c r="U8">
        <v>2</v>
      </c>
      <c r="V8" t="s">
        <v>233</v>
      </c>
      <c r="W8" t="s">
        <v>72</v>
      </c>
      <c r="X8">
        <v>29</v>
      </c>
      <c r="Y8">
        <v>15</v>
      </c>
      <c r="Z8" t="s">
        <v>246</v>
      </c>
      <c r="AA8" t="s">
        <v>247</v>
      </c>
      <c r="AB8" t="s">
        <v>229</v>
      </c>
      <c r="AC8" t="s">
        <v>230</v>
      </c>
      <c r="AD8" t="s">
        <v>231</v>
      </c>
      <c r="AE8" t="s">
        <v>207</v>
      </c>
      <c r="AG8" t="s">
        <v>248</v>
      </c>
      <c r="AH8">
        <v>0</v>
      </c>
      <c r="AI8">
        <v>220</v>
      </c>
      <c r="AJ8">
        <v>15</v>
      </c>
      <c r="AK8">
        <v>1290</v>
      </c>
      <c r="AL8">
        <v>1.3</v>
      </c>
    </row>
    <row r="9" spans="1:38" x14ac:dyDescent="0.3">
      <c r="A9" t="s">
        <v>223</v>
      </c>
      <c r="B9">
        <v>122589</v>
      </c>
      <c r="C9">
        <v>3</v>
      </c>
      <c r="D9" t="s">
        <v>244</v>
      </c>
      <c r="E9" t="s">
        <v>245</v>
      </c>
      <c r="F9">
        <v>992</v>
      </c>
      <c r="G9">
        <v>33.630000000000003</v>
      </c>
      <c r="H9">
        <v>111.2</v>
      </c>
      <c r="I9">
        <v>25.66</v>
      </c>
      <c r="J9">
        <v>84.83</v>
      </c>
      <c r="K9">
        <v>433</v>
      </c>
      <c r="T9">
        <v>4</v>
      </c>
      <c r="U9">
        <v>2</v>
      </c>
      <c r="V9" t="s">
        <v>233</v>
      </c>
      <c r="W9" t="s">
        <v>73</v>
      </c>
      <c r="X9">
        <v>29</v>
      </c>
      <c r="Y9">
        <v>15</v>
      </c>
      <c r="Z9" t="s">
        <v>246</v>
      </c>
      <c r="AA9" t="s">
        <v>247</v>
      </c>
      <c r="AB9" t="s">
        <v>229</v>
      </c>
      <c r="AC9" t="s">
        <v>230</v>
      </c>
      <c r="AD9" t="s">
        <v>231</v>
      </c>
      <c r="AE9" t="s">
        <v>207</v>
      </c>
      <c r="AG9" t="s">
        <v>248</v>
      </c>
      <c r="AH9">
        <v>0</v>
      </c>
      <c r="AI9">
        <v>220</v>
      </c>
      <c r="AJ9">
        <v>15</v>
      </c>
      <c r="AK9">
        <v>1290</v>
      </c>
      <c r="AL9">
        <v>1.3</v>
      </c>
    </row>
    <row r="10" spans="1:38" x14ac:dyDescent="0.3">
      <c r="A10" t="s">
        <v>223</v>
      </c>
      <c r="B10">
        <v>26158</v>
      </c>
      <c r="C10">
        <v>1</v>
      </c>
      <c r="D10" t="s">
        <v>249</v>
      </c>
      <c r="E10" t="s">
        <v>250</v>
      </c>
      <c r="F10">
        <v>385</v>
      </c>
      <c r="G10">
        <v>48.21</v>
      </c>
      <c r="H10">
        <v>159.38</v>
      </c>
      <c r="I10">
        <v>40.409999999999997</v>
      </c>
      <c r="J10">
        <v>133.59</v>
      </c>
      <c r="K10">
        <v>83</v>
      </c>
      <c r="T10">
        <v>4</v>
      </c>
      <c r="U10">
        <v>2</v>
      </c>
      <c r="V10" t="s">
        <v>233</v>
      </c>
      <c r="W10" t="s">
        <v>74</v>
      </c>
      <c r="X10">
        <v>15</v>
      </c>
      <c r="Y10">
        <v>12</v>
      </c>
      <c r="Z10" t="s">
        <v>251</v>
      </c>
      <c r="AA10" t="s">
        <v>252</v>
      </c>
      <c r="AB10" t="s">
        <v>229</v>
      </c>
      <c r="AC10" t="s">
        <v>230</v>
      </c>
      <c r="AD10" t="s">
        <v>231</v>
      </c>
      <c r="AE10" t="s">
        <v>207</v>
      </c>
      <c r="AG10" t="s">
        <v>253</v>
      </c>
      <c r="AH10">
        <v>0</v>
      </c>
      <c r="AI10">
        <v>216</v>
      </c>
      <c r="AJ10">
        <v>21</v>
      </c>
      <c r="AK10">
        <v>780</v>
      </c>
      <c r="AL10">
        <v>2.0299999999999998</v>
      </c>
    </row>
    <row r="11" spans="1:38" x14ac:dyDescent="0.3">
      <c r="A11" t="s">
        <v>223</v>
      </c>
      <c r="B11">
        <v>26158</v>
      </c>
      <c r="C11">
        <v>2</v>
      </c>
      <c r="D11" t="s">
        <v>249</v>
      </c>
      <c r="E11" t="s">
        <v>250</v>
      </c>
      <c r="F11">
        <v>385</v>
      </c>
      <c r="G11">
        <v>48.62</v>
      </c>
      <c r="H11">
        <v>160.75</v>
      </c>
      <c r="I11">
        <v>40.47</v>
      </c>
      <c r="J11">
        <v>133.81</v>
      </c>
      <c r="K11">
        <v>90</v>
      </c>
      <c r="T11">
        <v>4</v>
      </c>
      <c r="U11">
        <v>2</v>
      </c>
      <c r="V11" t="s">
        <v>233</v>
      </c>
      <c r="W11" t="s">
        <v>76</v>
      </c>
      <c r="X11">
        <v>15</v>
      </c>
      <c r="Y11">
        <v>12</v>
      </c>
      <c r="Z11" t="s">
        <v>251</v>
      </c>
      <c r="AA11" t="s">
        <v>252</v>
      </c>
      <c r="AB11" t="s">
        <v>229</v>
      </c>
      <c r="AC11" t="s">
        <v>230</v>
      </c>
      <c r="AD11" t="s">
        <v>231</v>
      </c>
      <c r="AE11" t="s">
        <v>207</v>
      </c>
      <c r="AG11" t="s">
        <v>253</v>
      </c>
      <c r="AH11">
        <v>0</v>
      </c>
      <c r="AI11">
        <v>216</v>
      </c>
      <c r="AJ11">
        <v>21</v>
      </c>
      <c r="AK11">
        <v>780</v>
      </c>
      <c r="AL11">
        <v>2.0299999999999998</v>
      </c>
    </row>
    <row r="12" spans="1:38" x14ac:dyDescent="0.3">
      <c r="A12" t="s">
        <v>223</v>
      </c>
      <c r="B12">
        <v>26158</v>
      </c>
      <c r="C12">
        <v>3</v>
      </c>
      <c r="D12" t="s">
        <v>249</v>
      </c>
      <c r="E12" t="s">
        <v>250</v>
      </c>
      <c r="F12">
        <v>385</v>
      </c>
      <c r="G12">
        <v>49.57</v>
      </c>
      <c r="H12">
        <v>163.89</v>
      </c>
      <c r="I12">
        <v>40.409999999999997</v>
      </c>
      <c r="J12">
        <v>133.59</v>
      </c>
      <c r="K12">
        <v>42</v>
      </c>
      <c r="T12">
        <v>4</v>
      </c>
      <c r="U12">
        <v>2</v>
      </c>
      <c r="V12" t="s">
        <v>233</v>
      </c>
      <c r="W12" t="s">
        <v>77</v>
      </c>
      <c r="X12">
        <v>15</v>
      </c>
      <c r="Y12">
        <v>12</v>
      </c>
      <c r="Z12" t="s">
        <v>251</v>
      </c>
      <c r="AA12" t="s">
        <v>252</v>
      </c>
      <c r="AB12" t="s">
        <v>229</v>
      </c>
      <c r="AC12" t="s">
        <v>230</v>
      </c>
      <c r="AD12" t="s">
        <v>231</v>
      </c>
      <c r="AE12" t="s">
        <v>207</v>
      </c>
      <c r="AG12" t="s">
        <v>253</v>
      </c>
      <c r="AH12">
        <v>0</v>
      </c>
      <c r="AI12">
        <v>216</v>
      </c>
      <c r="AJ12">
        <v>21</v>
      </c>
      <c r="AK12">
        <v>780</v>
      </c>
      <c r="AL12">
        <v>2.0299999999999998</v>
      </c>
    </row>
    <row r="13" spans="1:38" x14ac:dyDescent="0.3">
      <c r="A13" t="s">
        <v>223</v>
      </c>
      <c r="B13">
        <v>26158</v>
      </c>
      <c r="C13">
        <v>4</v>
      </c>
      <c r="D13" t="s">
        <v>249</v>
      </c>
      <c r="E13" t="s">
        <v>250</v>
      </c>
      <c r="F13">
        <v>385</v>
      </c>
      <c r="G13">
        <v>49.99</v>
      </c>
      <c r="H13">
        <v>165.27</v>
      </c>
      <c r="I13">
        <v>40.47</v>
      </c>
      <c r="J13">
        <v>133.81</v>
      </c>
      <c r="K13">
        <v>90</v>
      </c>
      <c r="T13">
        <v>4</v>
      </c>
      <c r="U13">
        <v>2</v>
      </c>
      <c r="V13" t="s">
        <v>233</v>
      </c>
      <c r="W13" t="s">
        <v>78</v>
      </c>
      <c r="X13">
        <v>15</v>
      </c>
      <c r="Y13">
        <v>12</v>
      </c>
      <c r="Z13" t="s">
        <v>251</v>
      </c>
      <c r="AA13" t="s">
        <v>252</v>
      </c>
      <c r="AB13" t="s">
        <v>229</v>
      </c>
      <c r="AC13" t="s">
        <v>230</v>
      </c>
      <c r="AD13" t="s">
        <v>231</v>
      </c>
      <c r="AE13" t="s">
        <v>207</v>
      </c>
      <c r="AG13" t="s">
        <v>253</v>
      </c>
      <c r="AH13">
        <v>0</v>
      </c>
      <c r="AI13">
        <v>216</v>
      </c>
      <c r="AJ13">
        <v>21</v>
      </c>
      <c r="AK13">
        <v>780</v>
      </c>
      <c r="AL13">
        <v>2.0299999999999998</v>
      </c>
    </row>
    <row r="14" spans="1:38" x14ac:dyDescent="0.3">
      <c r="A14" t="s">
        <v>223</v>
      </c>
      <c r="B14">
        <v>26158</v>
      </c>
      <c r="C14">
        <v>5</v>
      </c>
      <c r="D14" t="s">
        <v>249</v>
      </c>
      <c r="E14" t="s">
        <v>250</v>
      </c>
      <c r="F14">
        <v>385</v>
      </c>
      <c r="G14">
        <v>58.76</v>
      </c>
      <c r="H14">
        <v>194.26</v>
      </c>
      <c r="I14">
        <v>48.33</v>
      </c>
      <c r="J14">
        <v>159.78</v>
      </c>
      <c r="K14">
        <v>80</v>
      </c>
      <c r="T14">
        <v>4</v>
      </c>
      <c r="U14">
        <v>3</v>
      </c>
      <c r="V14" t="s">
        <v>233</v>
      </c>
      <c r="W14">
        <v>194</v>
      </c>
      <c r="X14">
        <v>15</v>
      </c>
      <c r="Y14">
        <v>12</v>
      </c>
      <c r="Z14" t="s">
        <v>251</v>
      </c>
      <c r="AA14" t="s">
        <v>252</v>
      </c>
      <c r="AB14" t="s">
        <v>229</v>
      </c>
      <c r="AC14" t="s">
        <v>230</v>
      </c>
      <c r="AD14" t="s">
        <v>231</v>
      </c>
      <c r="AE14" t="s">
        <v>207</v>
      </c>
      <c r="AG14" t="s">
        <v>253</v>
      </c>
      <c r="AH14">
        <v>0</v>
      </c>
      <c r="AI14">
        <v>216</v>
      </c>
      <c r="AJ14">
        <v>21</v>
      </c>
      <c r="AK14">
        <v>780</v>
      </c>
      <c r="AL14">
        <v>2.0299999999999998</v>
      </c>
    </row>
    <row r="15" spans="1:38" x14ac:dyDescent="0.3">
      <c r="A15" t="s">
        <v>223</v>
      </c>
      <c r="B15">
        <v>7254</v>
      </c>
      <c r="C15">
        <v>1</v>
      </c>
      <c r="D15" t="s">
        <v>254</v>
      </c>
      <c r="E15" t="s">
        <v>255</v>
      </c>
      <c r="F15">
        <v>940</v>
      </c>
      <c r="G15">
        <v>19.68</v>
      </c>
      <c r="H15">
        <v>65.08</v>
      </c>
      <c r="I15">
        <v>15.07</v>
      </c>
      <c r="J15">
        <v>49.83</v>
      </c>
      <c r="K15">
        <v>60</v>
      </c>
      <c r="T15">
        <v>2</v>
      </c>
      <c r="U15">
        <v>1</v>
      </c>
      <c r="V15" t="s">
        <v>233</v>
      </c>
      <c r="W15">
        <v>65</v>
      </c>
      <c r="X15">
        <v>15</v>
      </c>
      <c r="Y15">
        <v>14</v>
      </c>
      <c r="Z15" t="s">
        <v>256</v>
      </c>
      <c r="AA15" t="s">
        <v>257</v>
      </c>
      <c r="AB15" t="s">
        <v>229</v>
      </c>
      <c r="AC15" t="s">
        <v>230</v>
      </c>
      <c r="AD15" t="s">
        <v>231</v>
      </c>
      <c r="AE15" t="s">
        <v>207</v>
      </c>
      <c r="AG15" t="s">
        <v>258</v>
      </c>
      <c r="AH15">
        <v>0</v>
      </c>
      <c r="AI15">
        <v>219</v>
      </c>
      <c r="AJ15">
        <v>23</v>
      </c>
      <c r="AK15">
        <v>788</v>
      </c>
      <c r="AL15">
        <v>0.84</v>
      </c>
    </row>
    <row r="16" spans="1:38" x14ac:dyDescent="0.3">
      <c r="A16" t="s">
        <v>223</v>
      </c>
      <c r="B16">
        <v>7254</v>
      </c>
      <c r="C16">
        <v>2</v>
      </c>
      <c r="D16" t="s">
        <v>254</v>
      </c>
      <c r="E16" t="s">
        <v>255</v>
      </c>
      <c r="F16">
        <v>940</v>
      </c>
      <c r="G16">
        <v>22.82</v>
      </c>
      <c r="H16">
        <v>75.459999999999994</v>
      </c>
      <c r="I16">
        <v>18.13</v>
      </c>
      <c r="J16">
        <v>59.94</v>
      </c>
      <c r="K16">
        <v>600</v>
      </c>
      <c r="T16">
        <v>3</v>
      </c>
      <c r="U16">
        <v>1</v>
      </c>
      <c r="V16" t="s">
        <v>233</v>
      </c>
      <c r="W16" t="s">
        <v>80</v>
      </c>
      <c r="X16">
        <v>15</v>
      </c>
      <c r="Y16">
        <v>14</v>
      </c>
      <c r="Z16" t="s">
        <v>256</v>
      </c>
      <c r="AA16" t="s">
        <v>257</v>
      </c>
      <c r="AB16" t="s">
        <v>229</v>
      </c>
      <c r="AC16" t="s">
        <v>230</v>
      </c>
      <c r="AD16" t="s">
        <v>231</v>
      </c>
      <c r="AE16" t="s">
        <v>207</v>
      </c>
      <c r="AG16" t="s">
        <v>258</v>
      </c>
      <c r="AH16">
        <v>0</v>
      </c>
      <c r="AI16">
        <v>219</v>
      </c>
      <c r="AJ16">
        <v>23</v>
      </c>
      <c r="AK16">
        <v>788</v>
      </c>
      <c r="AL16">
        <v>0.84</v>
      </c>
    </row>
    <row r="17" spans="1:38" x14ac:dyDescent="0.3">
      <c r="A17" t="s">
        <v>223</v>
      </c>
      <c r="B17">
        <v>7254</v>
      </c>
      <c r="C17">
        <v>3</v>
      </c>
      <c r="D17" t="s">
        <v>254</v>
      </c>
      <c r="E17" t="s">
        <v>255</v>
      </c>
      <c r="F17">
        <v>940</v>
      </c>
      <c r="G17">
        <v>22.74</v>
      </c>
      <c r="H17">
        <v>75.2</v>
      </c>
      <c r="I17">
        <v>18.14</v>
      </c>
      <c r="J17">
        <v>59.97</v>
      </c>
      <c r="K17">
        <v>280</v>
      </c>
      <c r="T17">
        <v>3</v>
      </c>
      <c r="U17">
        <v>1</v>
      </c>
      <c r="V17" t="s">
        <v>233</v>
      </c>
      <c r="W17" t="s">
        <v>82</v>
      </c>
      <c r="X17">
        <v>15</v>
      </c>
      <c r="Y17">
        <v>14</v>
      </c>
      <c r="Z17" t="s">
        <v>256</v>
      </c>
      <c r="AA17" t="s">
        <v>257</v>
      </c>
      <c r="AB17" t="s">
        <v>229</v>
      </c>
      <c r="AC17" t="s">
        <v>230</v>
      </c>
      <c r="AD17" t="s">
        <v>231</v>
      </c>
      <c r="AE17" t="s">
        <v>207</v>
      </c>
      <c r="AG17" t="s">
        <v>258</v>
      </c>
      <c r="AH17">
        <v>0</v>
      </c>
      <c r="AI17">
        <v>219</v>
      </c>
      <c r="AJ17">
        <v>23</v>
      </c>
      <c r="AK17">
        <v>788</v>
      </c>
      <c r="AL17">
        <v>0.84</v>
      </c>
    </row>
    <row r="18" spans="1:38" x14ac:dyDescent="0.3">
      <c r="A18" t="s">
        <v>223</v>
      </c>
      <c r="B18">
        <v>7216</v>
      </c>
      <c r="C18">
        <v>1</v>
      </c>
      <c r="D18" t="s">
        <v>259</v>
      </c>
      <c r="E18" t="s">
        <v>260</v>
      </c>
      <c r="F18">
        <v>620</v>
      </c>
      <c r="G18">
        <v>23.74</v>
      </c>
      <c r="H18">
        <v>78.48</v>
      </c>
      <c r="I18">
        <v>18.13</v>
      </c>
      <c r="J18">
        <v>59.94</v>
      </c>
      <c r="K18">
        <v>420</v>
      </c>
      <c r="T18">
        <v>2</v>
      </c>
      <c r="U18">
        <v>1</v>
      </c>
      <c r="V18" t="s">
        <v>226</v>
      </c>
      <c r="W18">
        <v>78</v>
      </c>
      <c r="X18">
        <v>15</v>
      </c>
      <c r="Y18">
        <v>5</v>
      </c>
      <c r="Z18" t="s">
        <v>261</v>
      </c>
      <c r="AA18" t="s">
        <v>262</v>
      </c>
      <c r="AB18" t="s">
        <v>229</v>
      </c>
      <c r="AC18" t="s">
        <v>230</v>
      </c>
      <c r="AD18" t="s">
        <v>231</v>
      </c>
      <c r="AE18" t="s">
        <v>207</v>
      </c>
      <c r="AG18" t="s">
        <v>263</v>
      </c>
      <c r="AH18">
        <v>0</v>
      </c>
      <c r="AI18">
        <v>0</v>
      </c>
      <c r="AJ18">
        <v>0</v>
      </c>
      <c r="AK18">
        <v>496</v>
      </c>
      <c r="AL18">
        <v>0.8</v>
      </c>
    </row>
    <row r="19" spans="1:38" x14ac:dyDescent="0.3">
      <c r="A19" t="s">
        <v>223</v>
      </c>
      <c r="B19">
        <v>7216</v>
      </c>
      <c r="C19">
        <v>2</v>
      </c>
      <c r="D19" t="s">
        <v>259</v>
      </c>
      <c r="E19" t="s">
        <v>260</v>
      </c>
      <c r="F19">
        <v>620</v>
      </c>
      <c r="G19">
        <v>31.91</v>
      </c>
      <c r="H19">
        <v>105.52</v>
      </c>
      <c r="I19">
        <v>25.7</v>
      </c>
      <c r="J19">
        <v>84.99</v>
      </c>
      <c r="K19">
        <v>200</v>
      </c>
      <c r="T19">
        <v>3</v>
      </c>
      <c r="U19">
        <v>2</v>
      </c>
      <c r="V19" t="s">
        <v>233</v>
      </c>
      <c r="W19">
        <v>105</v>
      </c>
      <c r="X19">
        <v>15</v>
      </c>
      <c r="Y19">
        <v>5</v>
      </c>
      <c r="Z19" t="s">
        <v>261</v>
      </c>
      <c r="AA19" t="s">
        <v>262</v>
      </c>
      <c r="AB19" t="s">
        <v>229</v>
      </c>
      <c r="AC19" t="s">
        <v>230</v>
      </c>
      <c r="AD19" t="s">
        <v>231</v>
      </c>
      <c r="AE19" t="s">
        <v>207</v>
      </c>
      <c r="AG19" t="s">
        <v>263</v>
      </c>
      <c r="AH19">
        <v>0</v>
      </c>
      <c r="AI19">
        <v>0</v>
      </c>
      <c r="AJ19">
        <v>0</v>
      </c>
      <c r="AK19">
        <v>496</v>
      </c>
      <c r="AL19">
        <v>0.8</v>
      </c>
    </row>
    <row r="20" spans="1:38" x14ac:dyDescent="0.3">
      <c r="A20" t="s">
        <v>223</v>
      </c>
      <c r="B20">
        <v>17430</v>
      </c>
      <c r="C20">
        <v>1</v>
      </c>
      <c r="D20" t="s">
        <v>264</v>
      </c>
      <c r="E20" t="s">
        <v>265</v>
      </c>
      <c r="F20">
        <v>575</v>
      </c>
      <c r="G20">
        <v>39.56</v>
      </c>
      <c r="H20">
        <v>130.78</v>
      </c>
      <c r="I20">
        <v>31.45</v>
      </c>
      <c r="J20">
        <v>103.97</v>
      </c>
      <c r="K20">
        <v>80</v>
      </c>
      <c r="T20">
        <v>3</v>
      </c>
      <c r="U20">
        <v>2</v>
      </c>
      <c r="V20" t="s">
        <v>233</v>
      </c>
      <c r="W20" t="s">
        <v>84</v>
      </c>
      <c r="X20">
        <v>20</v>
      </c>
      <c r="Y20">
        <v>15</v>
      </c>
      <c r="Z20" t="s">
        <v>266</v>
      </c>
      <c r="AA20" t="s">
        <v>267</v>
      </c>
      <c r="AB20" t="s">
        <v>229</v>
      </c>
      <c r="AC20" t="s">
        <v>230</v>
      </c>
      <c r="AD20" t="s">
        <v>231</v>
      </c>
      <c r="AE20" t="s">
        <v>207</v>
      </c>
      <c r="AG20" t="s">
        <v>268</v>
      </c>
      <c r="AH20">
        <v>0</v>
      </c>
      <c r="AI20">
        <v>232</v>
      </c>
      <c r="AJ20">
        <v>16</v>
      </c>
      <c r="AK20">
        <v>898</v>
      </c>
      <c r="AL20">
        <v>1.56</v>
      </c>
    </row>
    <row r="21" spans="1:38" x14ac:dyDescent="0.3">
      <c r="A21" t="s">
        <v>223</v>
      </c>
      <c r="B21">
        <v>17430</v>
      </c>
      <c r="C21">
        <v>2</v>
      </c>
      <c r="D21" t="s">
        <v>264</v>
      </c>
      <c r="E21" t="s">
        <v>265</v>
      </c>
      <c r="F21">
        <v>575</v>
      </c>
      <c r="G21">
        <v>39.65</v>
      </c>
      <c r="H21">
        <v>131.1</v>
      </c>
      <c r="I21">
        <v>31.45</v>
      </c>
      <c r="J21">
        <v>103.97</v>
      </c>
      <c r="K21">
        <v>232</v>
      </c>
      <c r="T21">
        <v>3</v>
      </c>
      <c r="U21">
        <v>2</v>
      </c>
      <c r="V21" t="s">
        <v>233</v>
      </c>
      <c r="W21" t="s">
        <v>85</v>
      </c>
      <c r="X21">
        <v>20</v>
      </c>
      <c r="Y21">
        <v>15</v>
      </c>
      <c r="Z21" t="s">
        <v>266</v>
      </c>
      <c r="AA21" t="s">
        <v>267</v>
      </c>
      <c r="AB21" t="s">
        <v>229</v>
      </c>
      <c r="AC21" t="s">
        <v>230</v>
      </c>
      <c r="AD21" t="s">
        <v>231</v>
      </c>
      <c r="AE21" t="s">
        <v>207</v>
      </c>
      <c r="AG21" t="s">
        <v>268</v>
      </c>
      <c r="AH21">
        <v>0</v>
      </c>
      <c r="AI21">
        <v>232</v>
      </c>
      <c r="AJ21">
        <v>16</v>
      </c>
      <c r="AK21">
        <v>898</v>
      </c>
      <c r="AL21">
        <v>1.56</v>
      </c>
    </row>
    <row r="22" spans="1:38" x14ac:dyDescent="0.3">
      <c r="A22" t="s">
        <v>223</v>
      </c>
      <c r="B22">
        <v>17430</v>
      </c>
      <c r="C22">
        <v>3</v>
      </c>
      <c r="D22" t="s">
        <v>264</v>
      </c>
      <c r="E22" t="s">
        <v>265</v>
      </c>
      <c r="F22">
        <v>575</v>
      </c>
      <c r="G22">
        <v>47.37</v>
      </c>
      <c r="H22">
        <v>156.62</v>
      </c>
      <c r="I22">
        <v>37.85</v>
      </c>
      <c r="J22">
        <v>125.14</v>
      </c>
      <c r="K22">
        <v>150</v>
      </c>
      <c r="T22">
        <v>4</v>
      </c>
      <c r="U22">
        <v>2</v>
      </c>
      <c r="V22" t="s">
        <v>233</v>
      </c>
      <c r="W22">
        <v>156</v>
      </c>
      <c r="X22">
        <v>20</v>
      </c>
      <c r="Y22">
        <v>15</v>
      </c>
      <c r="Z22" t="s">
        <v>266</v>
      </c>
      <c r="AA22" t="s">
        <v>267</v>
      </c>
      <c r="AB22" t="s">
        <v>229</v>
      </c>
      <c r="AC22" t="s">
        <v>230</v>
      </c>
      <c r="AD22" t="s">
        <v>231</v>
      </c>
      <c r="AE22" t="s">
        <v>207</v>
      </c>
      <c r="AG22" t="s">
        <v>268</v>
      </c>
      <c r="AH22">
        <v>0</v>
      </c>
      <c r="AI22">
        <v>232</v>
      </c>
      <c r="AJ22">
        <v>16</v>
      </c>
      <c r="AK22">
        <v>898</v>
      </c>
      <c r="AL22">
        <v>1.56</v>
      </c>
    </row>
    <row r="23" spans="1:38" x14ac:dyDescent="0.3">
      <c r="A23" t="s">
        <v>223</v>
      </c>
      <c r="B23">
        <v>17430</v>
      </c>
      <c r="C23">
        <v>4</v>
      </c>
      <c r="D23" t="s">
        <v>264</v>
      </c>
      <c r="E23" t="s">
        <v>265</v>
      </c>
      <c r="F23">
        <v>575</v>
      </c>
      <c r="G23">
        <v>48.38</v>
      </c>
      <c r="H23">
        <v>159.94999999999999</v>
      </c>
      <c r="I23">
        <v>38.840000000000003</v>
      </c>
      <c r="J23">
        <v>128.41</v>
      </c>
      <c r="K23">
        <v>36</v>
      </c>
      <c r="T23">
        <v>4</v>
      </c>
      <c r="U23">
        <v>2</v>
      </c>
      <c r="V23" t="s">
        <v>233</v>
      </c>
      <c r="W23">
        <v>159</v>
      </c>
      <c r="X23">
        <v>20</v>
      </c>
      <c r="Y23">
        <v>15</v>
      </c>
      <c r="Z23" t="s">
        <v>266</v>
      </c>
      <c r="AA23" t="s">
        <v>267</v>
      </c>
      <c r="AB23" t="s">
        <v>229</v>
      </c>
      <c r="AC23" t="s">
        <v>230</v>
      </c>
      <c r="AD23" t="s">
        <v>231</v>
      </c>
      <c r="AE23" t="s">
        <v>207</v>
      </c>
      <c r="AG23" t="s">
        <v>268</v>
      </c>
      <c r="AH23">
        <v>0</v>
      </c>
      <c r="AI23">
        <v>232</v>
      </c>
      <c r="AJ23">
        <v>16</v>
      </c>
      <c r="AK23">
        <v>898</v>
      </c>
      <c r="AL23">
        <v>1.56</v>
      </c>
    </row>
    <row r="24" spans="1:38" x14ac:dyDescent="0.3">
      <c r="A24" t="s">
        <v>223</v>
      </c>
      <c r="B24">
        <v>17430</v>
      </c>
      <c r="C24">
        <v>5</v>
      </c>
      <c r="D24" t="s">
        <v>264</v>
      </c>
      <c r="E24" t="s">
        <v>265</v>
      </c>
      <c r="F24">
        <v>575</v>
      </c>
      <c r="G24">
        <v>52.95</v>
      </c>
      <c r="H24">
        <v>175.06</v>
      </c>
      <c r="I24">
        <v>42.6</v>
      </c>
      <c r="J24">
        <v>140.85</v>
      </c>
      <c r="K24">
        <v>77</v>
      </c>
      <c r="T24">
        <v>4</v>
      </c>
      <c r="U24">
        <v>2</v>
      </c>
      <c r="V24" t="s">
        <v>233</v>
      </c>
      <c r="W24">
        <v>175</v>
      </c>
      <c r="X24">
        <v>20</v>
      </c>
      <c r="Y24">
        <v>15</v>
      </c>
      <c r="Z24" t="s">
        <v>266</v>
      </c>
      <c r="AA24" t="s">
        <v>267</v>
      </c>
      <c r="AB24" t="s">
        <v>229</v>
      </c>
      <c r="AC24" t="s">
        <v>230</v>
      </c>
      <c r="AD24" t="s">
        <v>231</v>
      </c>
      <c r="AE24" t="s">
        <v>207</v>
      </c>
      <c r="AG24" t="s">
        <v>268</v>
      </c>
      <c r="AH24">
        <v>0</v>
      </c>
      <c r="AI24">
        <v>232</v>
      </c>
      <c r="AJ24">
        <v>16</v>
      </c>
      <c r="AK24">
        <v>898</v>
      </c>
      <c r="AL24">
        <v>1.56</v>
      </c>
    </row>
    <row r="25" spans="1:38" x14ac:dyDescent="0.3">
      <c r="A25" t="s">
        <v>223</v>
      </c>
      <c r="B25">
        <v>7225</v>
      </c>
      <c r="C25">
        <v>1</v>
      </c>
      <c r="D25" t="s">
        <v>269</v>
      </c>
      <c r="E25" t="s">
        <v>255</v>
      </c>
      <c r="F25">
        <v>450</v>
      </c>
      <c r="G25">
        <v>27.57</v>
      </c>
      <c r="H25">
        <v>91.17</v>
      </c>
      <c r="I25">
        <v>22.12</v>
      </c>
      <c r="J25">
        <v>73.13</v>
      </c>
      <c r="K25">
        <v>75</v>
      </c>
      <c r="T25">
        <v>3</v>
      </c>
      <c r="U25">
        <v>1</v>
      </c>
      <c r="V25" t="s">
        <v>233</v>
      </c>
      <c r="W25">
        <v>91</v>
      </c>
      <c r="X25">
        <v>15</v>
      </c>
      <c r="Y25">
        <v>15</v>
      </c>
      <c r="Z25" t="s">
        <v>270</v>
      </c>
      <c r="AA25" t="s">
        <v>271</v>
      </c>
      <c r="AB25" t="s">
        <v>229</v>
      </c>
      <c r="AC25" t="s">
        <v>230</v>
      </c>
      <c r="AD25" t="s">
        <v>231</v>
      </c>
      <c r="AE25" t="s">
        <v>207</v>
      </c>
      <c r="AG25" t="s">
        <v>272</v>
      </c>
      <c r="AH25">
        <v>0</v>
      </c>
      <c r="AI25">
        <v>260</v>
      </c>
      <c r="AJ25">
        <v>21</v>
      </c>
      <c r="AK25">
        <v>450</v>
      </c>
      <c r="AL25">
        <v>1</v>
      </c>
    </row>
    <row r="26" spans="1:38" x14ac:dyDescent="0.3">
      <c r="A26" t="s">
        <v>223</v>
      </c>
      <c r="B26">
        <v>7225</v>
      </c>
      <c r="C26">
        <v>2</v>
      </c>
      <c r="D26" t="s">
        <v>269</v>
      </c>
      <c r="E26" t="s">
        <v>255</v>
      </c>
      <c r="F26">
        <v>450</v>
      </c>
      <c r="G26">
        <v>31.21</v>
      </c>
      <c r="H26">
        <v>103.2</v>
      </c>
      <c r="I26">
        <v>25.67</v>
      </c>
      <c r="J26">
        <v>84.89</v>
      </c>
      <c r="K26">
        <v>360</v>
      </c>
      <c r="T26">
        <v>3</v>
      </c>
      <c r="U26">
        <v>2</v>
      </c>
      <c r="V26" t="s">
        <v>233</v>
      </c>
      <c r="W26" t="s">
        <v>86</v>
      </c>
      <c r="X26">
        <v>15</v>
      </c>
      <c r="Y26">
        <v>15</v>
      </c>
      <c r="Z26" t="s">
        <v>270</v>
      </c>
      <c r="AA26" t="s">
        <v>271</v>
      </c>
      <c r="AB26" t="s">
        <v>229</v>
      </c>
      <c r="AC26" t="s">
        <v>230</v>
      </c>
      <c r="AD26" t="s">
        <v>231</v>
      </c>
      <c r="AE26" t="s">
        <v>207</v>
      </c>
      <c r="AG26" t="s">
        <v>272</v>
      </c>
      <c r="AH26">
        <v>0</v>
      </c>
      <c r="AI26">
        <v>260</v>
      </c>
      <c r="AJ26">
        <v>21</v>
      </c>
      <c r="AK26">
        <v>450</v>
      </c>
      <c r="AL26">
        <v>1</v>
      </c>
    </row>
    <row r="27" spans="1:38" x14ac:dyDescent="0.3">
      <c r="A27" t="s">
        <v>223</v>
      </c>
      <c r="B27">
        <v>7225</v>
      </c>
      <c r="C27">
        <v>3</v>
      </c>
      <c r="D27" t="s">
        <v>269</v>
      </c>
      <c r="E27" t="s">
        <v>255</v>
      </c>
      <c r="F27">
        <v>450</v>
      </c>
      <c r="G27">
        <v>31.22</v>
      </c>
      <c r="H27">
        <v>103.22</v>
      </c>
      <c r="I27">
        <v>25.68</v>
      </c>
      <c r="J27">
        <v>84.91</v>
      </c>
      <c r="K27">
        <v>15</v>
      </c>
      <c r="T27">
        <v>3</v>
      </c>
      <c r="U27">
        <v>2</v>
      </c>
      <c r="V27" t="s">
        <v>233</v>
      </c>
      <c r="W27" t="s">
        <v>87</v>
      </c>
      <c r="X27">
        <v>15</v>
      </c>
      <c r="Y27">
        <v>15</v>
      </c>
      <c r="Z27" t="s">
        <v>270</v>
      </c>
      <c r="AA27" t="s">
        <v>271</v>
      </c>
      <c r="AB27" t="s">
        <v>229</v>
      </c>
      <c r="AC27" t="s">
        <v>230</v>
      </c>
      <c r="AD27" t="s">
        <v>231</v>
      </c>
      <c r="AE27" t="s">
        <v>207</v>
      </c>
      <c r="AG27" t="s">
        <v>272</v>
      </c>
      <c r="AH27">
        <v>0</v>
      </c>
      <c r="AI27">
        <v>260</v>
      </c>
      <c r="AJ27">
        <v>21</v>
      </c>
      <c r="AK27">
        <v>450</v>
      </c>
      <c r="AL27">
        <v>1</v>
      </c>
    </row>
    <row r="28" spans="1:38" x14ac:dyDescent="0.3">
      <c r="A28" t="s">
        <v>223</v>
      </c>
      <c r="B28">
        <v>7206</v>
      </c>
      <c r="C28">
        <v>1</v>
      </c>
      <c r="D28" t="s">
        <v>273</v>
      </c>
      <c r="E28" t="s">
        <v>274</v>
      </c>
      <c r="F28">
        <v>455</v>
      </c>
      <c r="G28">
        <v>28.27</v>
      </c>
      <c r="H28">
        <v>93.47</v>
      </c>
      <c r="I28">
        <v>21.97</v>
      </c>
      <c r="J28">
        <v>72.64</v>
      </c>
      <c r="K28">
        <v>227</v>
      </c>
      <c r="T28">
        <v>3</v>
      </c>
      <c r="U28">
        <v>1</v>
      </c>
      <c r="V28" t="s">
        <v>233</v>
      </c>
      <c r="W28">
        <v>93</v>
      </c>
      <c r="X28">
        <v>15</v>
      </c>
      <c r="Y28">
        <v>13</v>
      </c>
      <c r="Z28" t="s">
        <v>275</v>
      </c>
      <c r="AA28" t="s">
        <v>276</v>
      </c>
      <c r="AB28" t="s">
        <v>229</v>
      </c>
      <c r="AC28" t="s">
        <v>230</v>
      </c>
      <c r="AD28" t="s">
        <v>231</v>
      </c>
      <c r="AE28" t="s">
        <v>207</v>
      </c>
      <c r="AG28" t="s">
        <v>277</v>
      </c>
      <c r="AH28">
        <v>0</v>
      </c>
      <c r="AI28">
        <v>216</v>
      </c>
      <c r="AJ28">
        <v>23</v>
      </c>
      <c r="AK28">
        <v>505</v>
      </c>
      <c r="AL28">
        <v>1.1100000000000001</v>
      </c>
    </row>
    <row r="29" spans="1:38" x14ac:dyDescent="0.3">
      <c r="A29" t="s">
        <v>223</v>
      </c>
      <c r="B29">
        <v>7206</v>
      </c>
      <c r="C29">
        <v>2</v>
      </c>
      <c r="D29" t="s">
        <v>273</v>
      </c>
      <c r="E29" t="s">
        <v>274</v>
      </c>
      <c r="F29">
        <v>455</v>
      </c>
      <c r="G29">
        <v>33.19</v>
      </c>
      <c r="H29">
        <v>109.74</v>
      </c>
      <c r="I29">
        <v>25.69</v>
      </c>
      <c r="J29">
        <v>84.94</v>
      </c>
      <c r="K29">
        <v>228</v>
      </c>
      <c r="T29">
        <v>3</v>
      </c>
      <c r="U29">
        <v>2</v>
      </c>
      <c r="V29" t="s">
        <v>233</v>
      </c>
      <c r="W29">
        <v>109</v>
      </c>
      <c r="X29">
        <v>15</v>
      </c>
      <c r="Y29">
        <v>13</v>
      </c>
      <c r="Z29" t="s">
        <v>275</v>
      </c>
      <c r="AA29" t="s">
        <v>276</v>
      </c>
      <c r="AB29" t="s">
        <v>229</v>
      </c>
      <c r="AC29" t="s">
        <v>230</v>
      </c>
      <c r="AD29" t="s">
        <v>231</v>
      </c>
      <c r="AE29" t="s">
        <v>207</v>
      </c>
      <c r="AG29" t="s">
        <v>277</v>
      </c>
      <c r="AH29">
        <v>0</v>
      </c>
      <c r="AI29">
        <v>216</v>
      </c>
      <c r="AJ29">
        <v>23</v>
      </c>
      <c r="AK29">
        <v>505</v>
      </c>
      <c r="AL29">
        <v>1.1100000000000001</v>
      </c>
    </row>
    <row r="30" spans="1:38" x14ac:dyDescent="0.3">
      <c r="A30" t="s">
        <v>223</v>
      </c>
      <c r="B30">
        <v>18756</v>
      </c>
      <c r="C30">
        <v>1</v>
      </c>
      <c r="D30" t="s">
        <v>278</v>
      </c>
      <c r="E30" t="s">
        <v>279</v>
      </c>
      <c r="F30">
        <v>321</v>
      </c>
      <c r="G30">
        <v>33.21</v>
      </c>
      <c r="H30">
        <v>109.8</v>
      </c>
      <c r="I30">
        <v>25.69</v>
      </c>
      <c r="J30">
        <v>84.94</v>
      </c>
      <c r="K30">
        <v>321</v>
      </c>
      <c r="T30">
        <v>3</v>
      </c>
      <c r="U30">
        <v>2</v>
      </c>
      <c r="V30" t="s">
        <v>233</v>
      </c>
      <c r="W30">
        <v>109</v>
      </c>
      <c r="X30">
        <v>15</v>
      </c>
      <c r="Y30">
        <v>13</v>
      </c>
      <c r="Z30" t="s">
        <v>280</v>
      </c>
      <c r="AA30" t="s">
        <v>281</v>
      </c>
      <c r="AB30" t="s">
        <v>229</v>
      </c>
      <c r="AC30" t="s">
        <v>230</v>
      </c>
      <c r="AD30" t="s">
        <v>231</v>
      </c>
      <c r="AE30" t="s">
        <v>207</v>
      </c>
      <c r="AG30" t="s">
        <v>282</v>
      </c>
      <c r="AH30">
        <v>0</v>
      </c>
      <c r="AI30">
        <v>155</v>
      </c>
      <c r="AJ30">
        <v>14</v>
      </c>
      <c r="AK30">
        <v>424</v>
      </c>
      <c r="AL30">
        <v>1.32</v>
      </c>
    </row>
    <row r="31" spans="1:38" x14ac:dyDescent="0.3">
      <c r="A31" t="s">
        <v>223</v>
      </c>
      <c r="B31">
        <v>122444</v>
      </c>
      <c r="C31">
        <v>1</v>
      </c>
      <c r="D31" t="s">
        <v>283</v>
      </c>
      <c r="E31" t="s">
        <v>284</v>
      </c>
      <c r="F31">
        <v>983</v>
      </c>
      <c r="G31">
        <v>33.06</v>
      </c>
      <c r="H31">
        <v>109.32</v>
      </c>
      <c r="I31">
        <v>25.66</v>
      </c>
      <c r="J31">
        <v>84.84</v>
      </c>
      <c r="K31">
        <v>397</v>
      </c>
      <c r="T31">
        <v>3</v>
      </c>
      <c r="U31">
        <v>2</v>
      </c>
      <c r="V31" t="s">
        <v>233</v>
      </c>
      <c r="W31" t="s">
        <v>66</v>
      </c>
      <c r="X31">
        <v>29</v>
      </c>
      <c r="Y31">
        <v>17</v>
      </c>
      <c r="Z31" t="s">
        <v>285</v>
      </c>
      <c r="AA31" t="s">
        <v>286</v>
      </c>
      <c r="AB31" t="s">
        <v>229</v>
      </c>
      <c r="AC31" t="s">
        <v>230</v>
      </c>
      <c r="AD31" t="s">
        <v>231</v>
      </c>
      <c r="AE31" t="s">
        <v>207</v>
      </c>
      <c r="AG31" t="s">
        <v>287</v>
      </c>
      <c r="AH31">
        <v>0</v>
      </c>
      <c r="AI31">
        <v>229</v>
      </c>
      <c r="AJ31">
        <v>14</v>
      </c>
      <c r="AK31">
        <v>1381</v>
      </c>
      <c r="AL31">
        <v>1.4</v>
      </c>
    </row>
    <row r="32" spans="1:38" x14ac:dyDescent="0.3">
      <c r="A32" t="s">
        <v>223</v>
      </c>
      <c r="B32">
        <v>122444</v>
      </c>
      <c r="C32">
        <v>2</v>
      </c>
      <c r="D32" t="s">
        <v>283</v>
      </c>
      <c r="E32" t="s">
        <v>284</v>
      </c>
      <c r="F32">
        <v>983</v>
      </c>
      <c r="G32">
        <v>33.21</v>
      </c>
      <c r="H32">
        <v>109.79</v>
      </c>
      <c r="I32">
        <v>25.7</v>
      </c>
      <c r="J32">
        <v>84.99</v>
      </c>
      <c r="K32">
        <v>152</v>
      </c>
      <c r="T32">
        <v>3</v>
      </c>
      <c r="U32">
        <v>2</v>
      </c>
      <c r="V32" t="s">
        <v>233</v>
      </c>
      <c r="W32" t="s">
        <v>67</v>
      </c>
      <c r="X32">
        <v>29</v>
      </c>
      <c r="Y32">
        <v>17</v>
      </c>
      <c r="Z32" t="s">
        <v>285</v>
      </c>
      <c r="AA32" t="s">
        <v>286</v>
      </c>
      <c r="AB32" t="s">
        <v>229</v>
      </c>
      <c r="AC32" t="s">
        <v>230</v>
      </c>
      <c r="AD32" t="s">
        <v>231</v>
      </c>
      <c r="AE32" t="s">
        <v>207</v>
      </c>
      <c r="AG32" t="s">
        <v>287</v>
      </c>
      <c r="AH32">
        <v>0</v>
      </c>
      <c r="AI32">
        <v>229</v>
      </c>
      <c r="AJ32">
        <v>14</v>
      </c>
      <c r="AK32">
        <v>1381</v>
      </c>
      <c r="AL32">
        <v>1.4</v>
      </c>
    </row>
    <row r="33" spans="1:38" x14ac:dyDescent="0.3">
      <c r="A33" t="s">
        <v>223</v>
      </c>
      <c r="B33">
        <v>122444</v>
      </c>
      <c r="C33">
        <v>3</v>
      </c>
      <c r="D33" t="s">
        <v>283</v>
      </c>
      <c r="E33" t="s">
        <v>284</v>
      </c>
      <c r="F33">
        <v>983</v>
      </c>
      <c r="G33">
        <v>33.299999999999997</v>
      </c>
      <c r="H33">
        <v>110.11</v>
      </c>
      <c r="I33">
        <v>25.7</v>
      </c>
      <c r="J33">
        <v>84.97</v>
      </c>
      <c r="K33">
        <v>86</v>
      </c>
      <c r="T33">
        <v>3</v>
      </c>
      <c r="U33">
        <v>2</v>
      </c>
      <c r="V33" t="s">
        <v>233</v>
      </c>
      <c r="W33" t="s">
        <v>90</v>
      </c>
      <c r="X33">
        <v>29</v>
      </c>
      <c r="Y33">
        <v>17</v>
      </c>
      <c r="Z33" t="s">
        <v>285</v>
      </c>
      <c r="AA33" t="s">
        <v>286</v>
      </c>
      <c r="AB33" t="s">
        <v>229</v>
      </c>
      <c r="AC33" t="s">
        <v>230</v>
      </c>
      <c r="AD33" t="s">
        <v>231</v>
      </c>
      <c r="AE33" t="s">
        <v>207</v>
      </c>
      <c r="AG33" t="s">
        <v>287</v>
      </c>
      <c r="AH33">
        <v>0</v>
      </c>
      <c r="AI33">
        <v>229</v>
      </c>
      <c r="AJ33">
        <v>14</v>
      </c>
      <c r="AK33">
        <v>1381</v>
      </c>
      <c r="AL33">
        <v>1.4</v>
      </c>
    </row>
    <row r="34" spans="1:38" x14ac:dyDescent="0.3">
      <c r="A34" t="s">
        <v>223</v>
      </c>
      <c r="B34">
        <v>122444</v>
      </c>
      <c r="C34">
        <v>4</v>
      </c>
      <c r="D34" t="s">
        <v>283</v>
      </c>
      <c r="E34" t="s">
        <v>284</v>
      </c>
      <c r="F34">
        <v>983</v>
      </c>
      <c r="G34">
        <v>40.97</v>
      </c>
      <c r="H34">
        <v>135.44</v>
      </c>
      <c r="I34">
        <v>31.95</v>
      </c>
      <c r="J34">
        <v>105.64</v>
      </c>
      <c r="K34">
        <v>335</v>
      </c>
      <c r="T34">
        <v>3</v>
      </c>
      <c r="U34">
        <v>2</v>
      </c>
      <c r="V34" t="s">
        <v>233</v>
      </c>
      <c r="W34">
        <v>135</v>
      </c>
      <c r="X34">
        <v>29</v>
      </c>
      <c r="Y34">
        <v>17</v>
      </c>
      <c r="Z34" t="s">
        <v>285</v>
      </c>
      <c r="AA34" t="s">
        <v>286</v>
      </c>
      <c r="AB34" t="s">
        <v>229</v>
      </c>
      <c r="AC34" t="s">
        <v>230</v>
      </c>
      <c r="AD34" t="s">
        <v>231</v>
      </c>
      <c r="AE34" t="s">
        <v>207</v>
      </c>
      <c r="AG34" t="s">
        <v>287</v>
      </c>
      <c r="AH34">
        <v>0</v>
      </c>
      <c r="AI34">
        <v>229</v>
      </c>
      <c r="AJ34">
        <v>14</v>
      </c>
      <c r="AK34">
        <v>1381</v>
      </c>
      <c r="AL34">
        <v>1.4</v>
      </c>
    </row>
    <row r="35" spans="1:38" x14ac:dyDescent="0.3">
      <c r="A35" t="s">
        <v>223</v>
      </c>
      <c r="B35">
        <v>122444</v>
      </c>
      <c r="C35">
        <v>5</v>
      </c>
      <c r="D35" t="s">
        <v>283</v>
      </c>
      <c r="E35" t="s">
        <v>284</v>
      </c>
      <c r="F35">
        <v>983</v>
      </c>
      <c r="G35">
        <v>55.95</v>
      </c>
      <c r="H35">
        <v>184.96</v>
      </c>
      <c r="I35">
        <v>43.67</v>
      </c>
      <c r="J35">
        <v>144.37</v>
      </c>
      <c r="K35">
        <v>13</v>
      </c>
      <c r="T35">
        <v>4</v>
      </c>
      <c r="U35">
        <v>3</v>
      </c>
      <c r="V35" t="s">
        <v>233</v>
      </c>
      <c r="W35">
        <v>184</v>
      </c>
      <c r="X35">
        <v>29</v>
      </c>
      <c r="Y35">
        <v>17</v>
      </c>
      <c r="Z35" t="s">
        <v>285</v>
      </c>
      <c r="AA35" t="s">
        <v>286</v>
      </c>
      <c r="AB35" t="s">
        <v>229</v>
      </c>
      <c r="AC35" t="s">
        <v>230</v>
      </c>
      <c r="AD35" t="s">
        <v>231</v>
      </c>
      <c r="AE35" t="s">
        <v>207</v>
      </c>
      <c r="AG35" t="s">
        <v>287</v>
      </c>
      <c r="AH35">
        <v>0</v>
      </c>
      <c r="AI35">
        <v>229</v>
      </c>
      <c r="AJ35">
        <v>14</v>
      </c>
      <c r="AK35">
        <v>1381</v>
      </c>
      <c r="AL35">
        <v>1.4</v>
      </c>
    </row>
    <row r="36" spans="1:38" x14ac:dyDescent="0.3">
      <c r="A36" t="s">
        <v>223</v>
      </c>
      <c r="B36">
        <v>119848</v>
      </c>
      <c r="C36">
        <v>1</v>
      </c>
      <c r="D36" t="s">
        <v>288</v>
      </c>
      <c r="E36" t="s">
        <v>289</v>
      </c>
      <c r="F36">
        <v>664</v>
      </c>
      <c r="G36">
        <v>29.52</v>
      </c>
      <c r="H36">
        <v>97.61</v>
      </c>
      <c r="I36">
        <v>22.97</v>
      </c>
      <c r="J36">
        <v>75.95</v>
      </c>
      <c r="K36">
        <v>73</v>
      </c>
      <c r="T36">
        <v>3</v>
      </c>
      <c r="U36">
        <v>2</v>
      </c>
      <c r="V36" t="s">
        <v>233</v>
      </c>
      <c r="W36">
        <v>97</v>
      </c>
      <c r="X36">
        <v>29</v>
      </c>
      <c r="Y36">
        <v>19</v>
      </c>
      <c r="Z36" t="s">
        <v>290</v>
      </c>
      <c r="AA36" t="s">
        <v>291</v>
      </c>
      <c r="AB36" t="s">
        <v>229</v>
      </c>
      <c r="AC36" t="s">
        <v>230</v>
      </c>
      <c r="AD36" t="s">
        <v>231</v>
      </c>
      <c r="AE36" t="s">
        <v>207</v>
      </c>
      <c r="AG36" t="s">
        <v>292</v>
      </c>
      <c r="AH36">
        <v>0</v>
      </c>
      <c r="AI36">
        <v>0</v>
      </c>
      <c r="AJ36">
        <v>0</v>
      </c>
      <c r="AK36">
        <v>864</v>
      </c>
      <c r="AL36">
        <v>1.3</v>
      </c>
    </row>
    <row r="37" spans="1:38" x14ac:dyDescent="0.3">
      <c r="A37" t="s">
        <v>223</v>
      </c>
      <c r="B37">
        <v>119848</v>
      </c>
      <c r="C37">
        <v>2</v>
      </c>
      <c r="D37" t="s">
        <v>288</v>
      </c>
      <c r="E37" t="s">
        <v>289</v>
      </c>
      <c r="F37">
        <v>664</v>
      </c>
      <c r="G37">
        <v>32.659999999999997</v>
      </c>
      <c r="H37">
        <v>107.97</v>
      </c>
      <c r="I37">
        <v>25.69</v>
      </c>
      <c r="J37">
        <v>84.95</v>
      </c>
      <c r="K37">
        <v>346</v>
      </c>
      <c r="T37">
        <v>3</v>
      </c>
      <c r="U37">
        <v>2</v>
      </c>
      <c r="V37" t="s">
        <v>233</v>
      </c>
      <c r="W37" t="s">
        <v>93</v>
      </c>
      <c r="X37">
        <v>29</v>
      </c>
      <c r="Y37">
        <v>19</v>
      </c>
      <c r="Z37" t="s">
        <v>290</v>
      </c>
      <c r="AA37" t="s">
        <v>291</v>
      </c>
      <c r="AB37" t="s">
        <v>229</v>
      </c>
      <c r="AC37" t="s">
        <v>230</v>
      </c>
      <c r="AD37" t="s">
        <v>231</v>
      </c>
      <c r="AE37" t="s">
        <v>207</v>
      </c>
      <c r="AG37" t="s">
        <v>292</v>
      </c>
      <c r="AH37">
        <v>0</v>
      </c>
      <c r="AI37">
        <v>0</v>
      </c>
      <c r="AJ37">
        <v>0</v>
      </c>
      <c r="AK37">
        <v>864</v>
      </c>
      <c r="AL37">
        <v>1.3</v>
      </c>
    </row>
    <row r="38" spans="1:38" x14ac:dyDescent="0.3">
      <c r="A38" t="s">
        <v>223</v>
      </c>
      <c r="B38">
        <v>119848</v>
      </c>
      <c r="C38">
        <v>3</v>
      </c>
      <c r="D38" t="s">
        <v>288</v>
      </c>
      <c r="E38" t="s">
        <v>289</v>
      </c>
      <c r="F38">
        <v>664</v>
      </c>
      <c r="G38">
        <v>32.840000000000003</v>
      </c>
      <c r="H38">
        <v>108.59</v>
      </c>
      <c r="I38">
        <v>25.69</v>
      </c>
      <c r="J38">
        <v>84.95</v>
      </c>
      <c r="K38">
        <v>84</v>
      </c>
      <c r="T38">
        <v>3</v>
      </c>
      <c r="U38">
        <v>2</v>
      </c>
      <c r="V38" t="s">
        <v>233</v>
      </c>
      <c r="W38" t="s">
        <v>94</v>
      </c>
      <c r="X38">
        <v>29</v>
      </c>
      <c r="Y38">
        <v>19</v>
      </c>
      <c r="Z38" t="s">
        <v>290</v>
      </c>
      <c r="AA38" t="s">
        <v>291</v>
      </c>
      <c r="AB38" t="s">
        <v>229</v>
      </c>
      <c r="AC38" t="s">
        <v>230</v>
      </c>
      <c r="AD38" t="s">
        <v>231</v>
      </c>
      <c r="AE38" t="s">
        <v>207</v>
      </c>
      <c r="AG38" t="s">
        <v>292</v>
      </c>
      <c r="AH38">
        <v>0</v>
      </c>
      <c r="AI38">
        <v>0</v>
      </c>
      <c r="AJ38">
        <v>0</v>
      </c>
      <c r="AK38">
        <v>864</v>
      </c>
      <c r="AL38">
        <v>1.3</v>
      </c>
    </row>
    <row r="39" spans="1:38" x14ac:dyDescent="0.3">
      <c r="A39" t="s">
        <v>223</v>
      </c>
      <c r="B39">
        <v>119848</v>
      </c>
      <c r="C39">
        <v>4</v>
      </c>
      <c r="D39" t="s">
        <v>288</v>
      </c>
      <c r="E39" t="s">
        <v>289</v>
      </c>
      <c r="F39">
        <v>664</v>
      </c>
      <c r="G39">
        <v>40.51</v>
      </c>
      <c r="H39">
        <v>133.94999999999999</v>
      </c>
      <c r="I39">
        <v>31.87</v>
      </c>
      <c r="J39">
        <v>105.37</v>
      </c>
      <c r="K39">
        <v>99</v>
      </c>
      <c r="T39">
        <v>3</v>
      </c>
      <c r="U39">
        <v>2</v>
      </c>
      <c r="V39" t="s">
        <v>233</v>
      </c>
      <c r="W39" t="s">
        <v>95</v>
      </c>
      <c r="X39">
        <v>29</v>
      </c>
      <c r="Y39">
        <v>19</v>
      </c>
      <c r="Z39" t="s">
        <v>290</v>
      </c>
      <c r="AA39" t="s">
        <v>291</v>
      </c>
      <c r="AB39" t="s">
        <v>229</v>
      </c>
      <c r="AC39" t="s">
        <v>230</v>
      </c>
      <c r="AD39" t="s">
        <v>231</v>
      </c>
      <c r="AE39" t="s">
        <v>207</v>
      </c>
      <c r="AG39" t="s">
        <v>292</v>
      </c>
      <c r="AH39">
        <v>0</v>
      </c>
      <c r="AI39">
        <v>0</v>
      </c>
      <c r="AJ39">
        <v>0</v>
      </c>
      <c r="AK39">
        <v>864</v>
      </c>
      <c r="AL39">
        <v>1.3</v>
      </c>
    </row>
    <row r="40" spans="1:38" x14ac:dyDescent="0.3">
      <c r="A40" t="s">
        <v>223</v>
      </c>
      <c r="B40">
        <v>119848</v>
      </c>
      <c r="C40">
        <v>5</v>
      </c>
      <c r="D40" t="s">
        <v>288</v>
      </c>
      <c r="E40" t="s">
        <v>289</v>
      </c>
      <c r="F40">
        <v>664</v>
      </c>
      <c r="G40">
        <v>40.61</v>
      </c>
      <c r="H40">
        <v>134.27000000000001</v>
      </c>
      <c r="I40">
        <v>31.93</v>
      </c>
      <c r="J40">
        <v>105.58</v>
      </c>
      <c r="K40">
        <v>57</v>
      </c>
      <c r="T40">
        <v>3</v>
      </c>
      <c r="U40">
        <v>2</v>
      </c>
      <c r="V40" t="s">
        <v>233</v>
      </c>
      <c r="W40" t="s">
        <v>96</v>
      </c>
      <c r="X40">
        <v>29</v>
      </c>
      <c r="Y40">
        <v>19</v>
      </c>
      <c r="Z40" t="s">
        <v>290</v>
      </c>
      <c r="AA40" t="s">
        <v>291</v>
      </c>
      <c r="AB40" t="s">
        <v>229</v>
      </c>
      <c r="AC40" t="s">
        <v>230</v>
      </c>
      <c r="AD40" t="s">
        <v>231</v>
      </c>
      <c r="AE40" t="s">
        <v>207</v>
      </c>
      <c r="AG40" t="s">
        <v>292</v>
      </c>
      <c r="AH40">
        <v>0</v>
      </c>
      <c r="AI40">
        <v>0</v>
      </c>
      <c r="AJ40">
        <v>0</v>
      </c>
      <c r="AK40">
        <v>864</v>
      </c>
      <c r="AL40">
        <v>1.3</v>
      </c>
    </row>
    <row r="41" spans="1:38" x14ac:dyDescent="0.3">
      <c r="A41" t="s">
        <v>223</v>
      </c>
      <c r="B41">
        <v>119848</v>
      </c>
      <c r="C41">
        <v>6</v>
      </c>
      <c r="D41" t="s">
        <v>288</v>
      </c>
      <c r="E41" t="s">
        <v>289</v>
      </c>
      <c r="F41">
        <v>664</v>
      </c>
      <c r="G41">
        <v>46.6</v>
      </c>
      <c r="H41">
        <v>154.08000000000001</v>
      </c>
      <c r="I41">
        <v>36.24</v>
      </c>
      <c r="J41">
        <v>119.82</v>
      </c>
      <c r="K41">
        <v>5</v>
      </c>
      <c r="T41">
        <v>4</v>
      </c>
      <c r="U41">
        <v>3</v>
      </c>
      <c r="V41" t="s">
        <v>233</v>
      </c>
      <c r="W41">
        <v>154</v>
      </c>
      <c r="X41">
        <v>29</v>
      </c>
      <c r="Y41">
        <v>19</v>
      </c>
      <c r="Z41" t="s">
        <v>290</v>
      </c>
      <c r="AA41" t="s">
        <v>291</v>
      </c>
      <c r="AB41" t="s">
        <v>229</v>
      </c>
      <c r="AC41" t="s">
        <v>230</v>
      </c>
      <c r="AD41" t="s">
        <v>231</v>
      </c>
      <c r="AE41" t="s">
        <v>207</v>
      </c>
      <c r="AG41" t="s">
        <v>292</v>
      </c>
      <c r="AH41">
        <v>0</v>
      </c>
      <c r="AI41">
        <v>0</v>
      </c>
      <c r="AJ41">
        <v>0</v>
      </c>
      <c r="AK41">
        <v>864</v>
      </c>
      <c r="AL41">
        <v>1.3</v>
      </c>
    </row>
    <row r="42" spans="1:38" x14ac:dyDescent="0.3">
      <c r="A42" t="s">
        <v>223</v>
      </c>
      <c r="B42">
        <v>18757</v>
      </c>
      <c r="C42">
        <v>1</v>
      </c>
      <c r="D42" t="s">
        <v>293</v>
      </c>
      <c r="E42" t="s">
        <v>294</v>
      </c>
      <c r="F42">
        <v>370</v>
      </c>
      <c r="G42">
        <v>29.63</v>
      </c>
      <c r="H42">
        <v>97.97</v>
      </c>
      <c r="I42">
        <v>22.75</v>
      </c>
      <c r="J42">
        <v>75.22</v>
      </c>
      <c r="K42">
        <v>30</v>
      </c>
      <c r="T42">
        <v>3</v>
      </c>
      <c r="U42">
        <v>2</v>
      </c>
      <c r="V42" t="s">
        <v>233</v>
      </c>
      <c r="W42">
        <v>97</v>
      </c>
      <c r="X42">
        <v>15</v>
      </c>
      <c r="Y42">
        <v>13</v>
      </c>
      <c r="Z42" t="s">
        <v>295</v>
      </c>
      <c r="AA42" t="s">
        <v>296</v>
      </c>
      <c r="AB42" t="s">
        <v>229</v>
      </c>
      <c r="AC42" t="s">
        <v>230</v>
      </c>
      <c r="AD42" t="s">
        <v>231</v>
      </c>
      <c r="AE42" t="s">
        <v>207</v>
      </c>
      <c r="AG42" t="s">
        <v>297</v>
      </c>
      <c r="AH42">
        <v>0</v>
      </c>
      <c r="AI42">
        <v>164</v>
      </c>
      <c r="AJ42">
        <v>15</v>
      </c>
      <c r="AK42">
        <v>422</v>
      </c>
      <c r="AL42">
        <v>1.1399999999999999</v>
      </c>
    </row>
    <row r="43" spans="1:38" x14ac:dyDescent="0.3">
      <c r="A43" t="s">
        <v>223</v>
      </c>
      <c r="B43">
        <v>18757</v>
      </c>
      <c r="C43">
        <v>2</v>
      </c>
      <c r="D43" t="s">
        <v>293</v>
      </c>
      <c r="E43" t="s">
        <v>294</v>
      </c>
      <c r="F43">
        <v>370</v>
      </c>
      <c r="G43">
        <v>33.450000000000003</v>
      </c>
      <c r="H43">
        <v>110.59</v>
      </c>
      <c r="I43">
        <v>25.68</v>
      </c>
      <c r="J43">
        <v>84.91</v>
      </c>
      <c r="K43">
        <v>340</v>
      </c>
      <c r="T43">
        <v>3</v>
      </c>
      <c r="U43">
        <v>2</v>
      </c>
      <c r="V43" t="s">
        <v>233</v>
      </c>
      <c r="W43">
        <v>110</v>
      </c>
      <c r="X43">
        <v>15</v>
      </c>
      <c r="Y43">
        <v>13</v>
      </c>
      <c r="Z43" t="s">
        <v>295</v>
      </c>
      <c r="AA43" t="s">
        <v>296</v>
      </c>
      <c r="AB43" t="s">
        <v>229</v>
      </c>
      <c r="AC43" t="s">
        <v>230</v>
      </c>
      <c r="AD43" t="s">
        <v>231</v>
      </c>
      <c r="AE43" t="s">
        <v>207</v>
      </c>
      <c r="AG43" t="s">
        <v>297</v>
      </c>
      <c r="AH43">
        <v>0</v>
      </c>
      <c r="AI43">
        <v>164</v>
      </c>
      <c r="AJ43">
        <v>15</v>
      </c>
      <c r="AK43">
        <v>422</v>
      </c>
      <c r="AL43">
        <v>1.1399999999999999</v>
      </c>
    </row>
    <row r="44" spans="1:38" x14ac:dyDescent="0.3">
      <c r="A44" t="s">
        <v>223</v>
      </c>
      <c r="B44">
        <v>126068</v>
      </c>
      <c r="C44">
        <v>1</v>
      </c>
      <c r="D44" t="s">
        <v>298</v>
      </c>
      <c r="E44" t="s">
        <v>299</v>
      </c>
      <c r="F44">
        <v>21</v>
      </c>
      <c r="G44">
        <v>7.73</v>
      </c>
      <c r="H44">
        <v>25.58</v>
      </c>
      <c r="I44">
        <v>6.13</v>
      </c>
      <c r="J44">
        <v>20.28</v>
      </c>
      <c r="K44">
        <v>1</v>
      </c>
      <c r="T44">
        <v>1</v>
      </c>
      <c r="U44">
        <v>1</v>
      </c>
      <c r="V44" t="s">
        <v>233</v>
      </c>
      <c r="W44" t="s">
        <v>300</v>
      </c>
      <c r="X44">
        <v>8</v>
      </c>
      <c r="Y44">
        <v>8</v>
      </c>
      <c r="Z44" t="s">
        <v>301</v>
      </c>
      <c r="AA44" t="s">
        <v>302</v>
      </c>
      <c r="AB44" t="s">
        <v>229</v>
      </c>
      <c r="AC44" t="s">
        <v>230</v>
      </c>
      <c r="AD44" t="s">
        <v>231</v>
      </c>
      <c r="AE44" t="s">
        <v>207</v>
      </c>
      <c r="AG44" t="s">
        <v>303</v>
      </c>
      <c r="AH44">
        <v>21</v>
      </c>
      <c r="AI44">
        <v>560</v>
      </c>
      <c r="AJ44">
        <v>80</v>
      </c>
      <c r="AK44">
        <v>0</v>
      </c>
      <c r="AL44">
        <v>0</v>
      </c>
    </row>
    <row r="45" spans="1:38" x14ac:dyDescent="0.3">
      <c r="A45" t="s">
        <v>223</v>
      </c>
      <c r="B45">
        <v>126068</v>
      </c>
      <c r="C45">
        <v>2</v>
      </c>
      <c r="D45" t="s">
        <v>298</v>
      </c>
      <c r="E45" t="s">
        <v>299</v>
      </c>
      <c r="F45">
        <v>21</v>
      </c>
      <c r="G45">
        <v>7.88</v>
      </c>
      <c r="H45">
        <v>26.07</v>
      </c>
      <c r="I45">
        <v>6.25</v>
      </c>
      <c r="J45">
        <v>20.67</v>
      </c>
      <c r="K45">
        <v>1</v>
      </c>
      <c r="T45">
        <v>1</v>
      </c>
      <c r="U45">
        <v>1</v>
      </c>
      <c r="V45" t="s">
        <v>233</v>
      </c>
      <c r="W45" t="s">
        <v>304</v>
      </c>
      <c r="X45">
        <v>8</v>
      </c>
      <c r="Y45">
        <v>8</v>
      </c>
      <c r="Z45" t="s">
        <v>301</v>
      </c>
      <c r="AA45" t="s">
        <v>302</v>
      </c>
      <c r="AB45" t="s">
        <v>229</v>
      </c>
      <c r="AC45" t="s">
        <v>230</v>
      </c>
      <c r="AD45" t="s">
        <v>231</v>
      </c>
      <c r="AE45" t="s">
        <v>207</v>
      </c>
      <c r="AG45" t="s">
        <v>303</v>
      </c>
      <c r="AH45">
        <v>21</v>
      </c>
      <c r="AI45">
        <v>560</v>
      </c>
      <c r="AJ45">
        <v>80</v>
      </c>
      <c r="AK45">
        <v>0</v>
      </c>
      <c r="AL45">
        <v>0</v>
      </c>
    </row>
    <row r="46" spans="1:38" x14ac:dyDescent="0.3">
      <c r="A46" t="s">
        <v>223</v>
      </c>
      <c r="B46">
        <v>126068</v>
      </c>
      <c r="C46">
        <v>3</v>
      </c>
      <c r="D46" t="s">
        <v>298</v>
      </c>
      <c r="E46" t="s">
        <v>299</v>
      </c>
      <c r="F46">
        <v>21</v>
      </c>
      <c r="G46">
        <v>8.08</v>
      </c>
      <c r="H46">
        <v>26.74</v>
      </c>
      <c r="I46">
        <v>6.41</v>
      </c>
      <c r="J46">
        <v>21.2</v>
      </c>
      <c r="K46">
        <v>1</v>
      </c>
      <c r="T46">
        <v>1</v>
      </c>
      <c r="U46">
        <v>1</v>
      </c>
      <c r="V46" t="s">
        <v>233</v>
      </c>
      <c r="W46" t="s">
        <v>305</v>
      </c>
      <c r="X46">
        <v>8</v>
      </c>
      <c r="Y46">
        <v>8</v>
      </c>
      <c r="Z46" t="s">
        <v>301</v>
      </c>
      <c r="AA46" t="s">
        <v>302</v>
      </c>
      <c r="AB46" t="s">
        <v>229</v>
      </c>
      <c r="AC46" t="s">
        <v>230</v>
      </c>
      <c r="AD46" t="s">
        <v>231</v>
      </c>
      <c r="AE46" t="s">
        <v>207</v>
      </c>
      <c r="AG46" t="s">
        <v>303</v>
      </c>
      <c r="AH46">
        <v>21</v>
      </c>
      <c r="AI46">
        <v>560</v>
      </c>
      <c r="AJ46">
        <v>80</v>
      </c>
      <c r="AK46">
        <v>0</v>
      </c>
      <c r="AL46">
        <v>0</v>
      </c>
    </row>
    <row r="47" spans="1:38" x14ac:dyDescent="0.3">
      <c r="A47" t="s">
        <v>223</v>
      </c>
      <c r="B47">
        <v>126068</v>
      </c>
      <c r="C47">
        <v>4</v>
      </c>
      <c r="D47" t="s">
        <v>298</v>
      </c>
      <c r="E47" t="s">
        <v>299</v>
      </c>
      <c r="F47">
        <v>21</v>
      </c>
      <c r="G47">
        <v>8.1300000000000008</v>
      </c>
      <c r="H47">
        <v>26.9</v>
      </c>
      <c r="I47">
        <v>6.44</v>
      </c>
      <c r="J47">
        <v>21.32</v>
      </c>
      <c r="K47">
        <v>1</v>
      </c>
      <c r="T47">
        <v>1</v>
      </c>
      <c r="U47">
        <v>1</v>
      </c>
      <c r="V47" t="s">
        <v>233</v>
      </c>
      <c r="W47" t="s">
        <v>306</v>
      </c>
      <c r="X47">
        <v>8</v>
      </c>
      <c r="Y47">
        <v>8</v>
      </c>
      <c r="Z47" t="s">
        <v>301</v>
      </c>
      <c r="AA47" t="s">
        <v>302</v>
      </c>
      <c r="AB47" t="s">
        <v>229</v>
      </c>
      <c r="AC47" t="s">
        <v>230</v>
      </c>
      <c r="AD47" t="s">
        <v>231</v>
      </c>
      <c r="AE47" t="s">
        <v>207</v>
      </c>
      <c r="AG47" t="s">
        <v>303</v>
      </c>
      <c r="AH47">
        <v>21</v>
      </c>
      <c r="AI47">
        <v>560</v>
      </c>
      <c r="AJ47">
        <v>80</v>
      </c>
      <c r="AK47">
        <v>0</v>
      </c>
      <c r="AL47">
        <v>0</v>
      </c>
    </row>
    <row r="48" spans="1:38" x14ac:dyDescent="0.3">
      <c r="A48" t="s">
        <v>223</v>
      </c>
      <c r="B48">
        <v>126068</v>
      </c>
      <c r="C48">
        <v>5</v>
      </c>
      <c r="D48" t="s">
        <v>298</v>
      </c>
      <c r="E48" t="s">
        <v>299</v>
      </c>
      <c r="F48">
        <v>21</v>
      </c>
      <c r="G48">
        <v>10.83</v>
      </c>
      <c r="H48">
        <v>35.83</v>
      </c>
      <c r="I48">
        <v>8.59</v>
      </c>
      <c r="J48">
        <v>28.4</v>
      </c>
      <c r="K48">
        <v>3</v>
      </c>
      <c r="T48">
        <v>1</v>
      </c>
      <c r="U48">
        <v>1</v>
      </c>
      <c r="V48" t="s">
        <v>233</v>
      </c>
      <c r="W48" t="s">
        <v>307</v>
      </c>
      <c r="X48">
        <v>8</v>
      </c>
      <c r="Y48">
        <v>8</v>
      </c>
      <c r="Z48" t="s">
        <v>301</v>
      </c>
      <c r="AA48" t="s">
        <v>302</v>
      </c>
      <c r="AB48" t="s">
        <v>229</v>
      </c>
      <c r="AC48" t="s">
        <v>230</v>
      </c>
      <c r="AD48" t="s">
        <v>231</v>
      </c>
      <c r="AE48" t="s">
        <v>207</v>
      </c>
      <c r="AG48" t="s">
        <v>303</v>
      </c>
      <c r="AH48">
        <v>21</v>
      </c>
      <c r="AI48">
        <v>560</v>
      </c>
      <c r="AJ48">
        <v>80</v>
      </c>
      <c r="AK48">
        <v>0</v>
      </c>
      <c r="AL48">
        <v>0</v>
      </c>
    </row>
    <row r="49" spans="1:38" x14ac:dyDescent="0.3">
      <c r="A49" t="s">
        <v>223</v>
      </c>
      <c r="B49">
        <v>126068</v>
      </c>
      <c r="C49">
        <v>6</v>
      </c>
      <c r="D49" t="s">
        <v>298</v>
      </c>
      <c r="E49" t="s">
        <v>299</v>
      </c>
      <c r="F49">
        <v>21</v>
      </c>
      <c r="G49">
        <v>11.1</v>
      </c>
      <c r="H49">
        <v>36.72</v>
      </c>
      <c r="I49">
        <v>8.8000000000000007</v>
      </c>
      <c r="J49">
        <v>29.11</v>
      </c>
      <c r="K49">
        <v>2</v>
      </c>
      <c r="T49">
        <v>1</v>
      </c>
      <c r="U49">
        <v>1</v>
      </c>
      <c r="V49" t="s">
        <v>233</v>
      </c>
      <c r="W49" t="s">
        <v>308</v>
      </c>
      <c r="X49">
        <v>8</v>
      </c>
      <c r="Y49">
        <v>8</v>
      </c>
      <c r="Z49" t="s">
        <v>301</v>
      </c>
      <c r="AA49" t="s">
        <v>302</v>
      </c>
      <c r="AB49" t="s">
        <v>229</v>
      </c>
      <c r="AC49" t="s">
        <v>230</v>
      </c>
      <c r="AD49" t="s">
        <v>231</v>
      </c>
      <c r="AE49" t="s">
        <v>207</v>
      </c>
      <c r="AG49" t="s">
        <v>303</v>
      </c>
      <c r="AH49">
        <v>21</v>
      </c>
      <c r="AI49">
        <v>560</v>
      </c>
      <c r="AJ49">
        <v>80</v>
      </c>
      <c r="AK49">
        <v>0</v>
      </c>
      <c r="AL49">
        <v>0</v>
      </c>
    </row>
    <row r="50" spans="1:38" x14ac:dyDescent="0.3">
      <c r="A50" t="s">
        <v>223</v>
      </c>
      <c r="B50">
        <v>126068</v>
      </c>
      <c r="C50">
        <v>7</v>
      </c>
      <c r="D50" t="s">
        <v>298</v>
      </c>
      <c r="E50" t="s">
        <v>299</v>
      </c>
      <c r="F50">
        <v>21</v>
      </c>
      <c r="G50">
        <v>11.49</v>
      </c>
      <c r="H50">
        <v>38</v>
      </c>
      <c r="I50">
        <v>9.11</v>
      </c>
      <c r="J50">
        <v>30.13</v>
      </c>
      <c r="K50">
        <v>1</v>
      </c>
      <c r="T50">
        <v>1</v>
      </c>
      <c r="U50">
        <v>1</v>
      </c>
      <c r="V50" t="s">
        <v>233</v>
      </c>
      <c r="W50" t="s">
        <v>309</v>
      </c>
      <c r="X50">
        <v>8</v>
      </c>
      <c r="Y50">
        <v>8</v>
      </c>
      <c r="Z50" t="s">
        <v>301</v>
      </c>
      <c r="AA50" t="s">
        <v>302</v>
      </c>
      <c r="AB50" t="s">
        <v>229</v>
      </c>
      <c r="AC50" t="s">
        <v>230</v>
      </c>
      <c r="AD50" t="s">
        <v>231</v>
      </c>
      <c r="AE50" t="s">
        <v>207</v>
      </c>
      <c r="AG50" t="s">
        <v>303</v>
      </c>
      <c r="AH50">
        <v>21</v>
      </c>
      <c r="AI50">
        <v>560</v>
      </c>
      <c r="AJ50">
        <v>80</v>
      </c>
      <c r="AK50">
        <v>0</v>
      </c>
      <c r="AL50">
        <v>0</v>
      </c>
    </row>
    <row r="51" spans="1:38" x14ac:dyDescent="0.3">
      <c r="A51" t="s">
        <v>223</v>
      </c>
      <c r="B51">
        <v>126068</v>
      </c>
      <c r="C51">
        <v>8</v>
      </c>
      <c r="D51" t="s">
        <v>298</v>
      </c>
      <c r="E51" t="s">
        <v>299</v>
      </c>
      <c r="F51">
        <v>21</v>
      </c>
      <c r="G51">
        <v>11.78</v>
      </c>
      <c r="H51">
        <v>38.97</v>
      </c>
      <c r="I51">
        <v>9.34</v>
      </c>
      <c r="J51">
        <v>30.89</v>
      </c>
      <c r="K51">
        <v>1</v>
      </c>
      <c r="T51">
        <v>1</v>
      </c>
      <c r="U51">
        <v>1</v>
      </c>
      <c r="V51" t="s">
        <v>233</v>
      </c>
      <c r="W51" t="s">
        <v>310</v>
      </c>
      <c r="X51">
        <v>8</v>
      </c>
      <c r="Y51">
        <v>8</v>
      </c>
      <c r="Z51" t="s">
        <v>301</v>
      </c>
      <c r="AA51" t="s">
        <v>302</v>
      </c>
      <c r="AB51" t="s">
        <v>229</v>
      </c>
      <c r="AC51" t="s">
        <v>230</v>
      </c>
      <c r="AD51" t="s">
        <v>231</v>
      </c>
      <c r="AE51" t="s">
        <v>207</v>
      </c>
      <c r="AG51" t="s">
        <v>303</v>
      </c>
      <c r="AH51">
        <v>21</v>
      </c>
      <c r="AI51">
        <v>560</v>
      </c>
      <c r="AJ51">
        <v>80</v>
      </c>
      <c r="AK51">
        <v>0</v>
      </c>
      <c r="AL51">
        <v>0</v>
      </c>
    </row>
    <row r="52" spans="1:38" x14ac:dyDescent="0.3">
      <c r="A52" t="s">
        <v>223</v>
      </c>
      <c r="B52">
        <v>126068</v>
      </c>
      <c r="C52">
        <v>9</v>
      </c>
      <c r="D52" t="s">
        <v>298</v>
      </c>
      <c r="E52" t="s">
        <v>299</v>
      </c>
      <c r="F52">
        <v>21</v>
      </c>
      <c r="G52">
        <v>12.36</v>
      </c>
      <c r="H52">
        <v>40.869999999999997</v>
      </c>
      <c r="I52">
        <v>9.8000000000000007</v>
      </c>
      <c r="J52">
        <v>32.4</v>
      </c>
      <c r="K52">
        <v>1</v>
      </c>
      <c r="T52">
        <v>1</v>
      </c>
      <c r="U52">
        <v>1</v>
      </c>
      <c r="V52" t="s">
        <v>233</v>
      </c>
      <c r="W52" t="s">
        <v>311</v>
      </c>
      <c r="X52">
        <v>8</v>
      </c>
      <c r="Y52">
        <v>8</v>
      </c>
      <c r="Z52" t="s">
        <v>301</v>
      </c>
      <c r="AA52" t="s">
        <v>302</v>
      </c>
      <c r="AB52" t="s">
        <v>229</v>
      </c>
      <c r="AC52" t="s">
        <v>230</v>
      </c>
      <c r="AD52" t="s">
        <v>231</v>
      </c>
      <c r="AE52" t="s">
        <v>207</v>
      </c>
      <c r="AG52" t="s">
        <v>303</v>
      </c>
      <c r="AH52">
        <v>21</v>
      </c>
      <c r="AI52">
        <v>560</v>
      </c>
      <c r="AJ52">
        <v>80</v>
      </c>
      <c r="AK52">
        <v>0</v>
      </c>
      <c r="AL52">
        <v>0</v>
      </c>
    </row>
    <row r="53" spans="1:38" x14ac:dyDescent="0.3">
      <c r="A53" t="s">
        <v>223</v>
      </c>
      <c r="B53">
        <v>126068</v>
      </c>
      <c r="C53">
        <v>10</v>
      </c>
      <c r="D53" t="s">
        <v>298</v>
      </c>
      <c r="E53" t="s">
        <v>299</v>
      </c>
      <c r="F53">
        <v>21</v>
      </c>
      <c r="G53">
        <v>13.96</v>
      </c>
      <c r="H53">
        <v>46.17</v>
      </c>
      <c r="I53">
        <v>11.07</v>
      </c>
      <c r="J53">
        <v>36.6</v>
      </c>
      <c r="K53">
        <v>1</v>
      </c>
      <c r="T53">
        <v>1</v>
      </c>
      <c r="U53">
        <v>1</v>
      </c>
      <c r="V53" t="s">
        <v>233</v>
      </c>
      <c r="W53">
        <v>46</v>
      </c>
      <c r="X53">
        <v>8</v>
      </c>
      <c r="Y53">
        <v>8</v>
      </c>
      <c r="Z53" t="s">
        <v>301</v>
      </c>
      <c r="AA53" t="s">
        <v>302</v>
      </c>
      <c r="AB53" t="s">
        <v>229</v>
      </c>
      <c r="AC53" t="s">
        <v>230</v>
      </c>
      <c r="AD53" t="s">
        <v>231</v>
      </c>
      <c r="AE53" t="s">
        <v>207</v>
      </c>
      <c r="AG53" t="s">
        <v>303</v>
      </c>
      <c r="AH53">
        <v>21</v>
      </c>
      <c r="AI53">
        <v>560</v>
      </c>
      <c r="AJ53">
        <v>80</v>
      </c>
      <c r="AK53">
        <v>0</v>
      </c>
      <c r="AL53">
        <v>0</v>
      </c>
    </row>
    <row r="54" spans="1:38" x14ac:dyDescent="0.3">
      <c r="A54" t="s">
        <v>223</v>
      </c>
      <c r="B54">
        <v>126068</v>
      </c>
      <c r="C54">
        <v>11</v>
      </c>
      <c r="D54" t="s">
        <v>298</v>
      </c>
      <c r="E54" t="s">
        <v>299</v>
      </c>
      <c r="F54">
        <v>21</v>
      </c>
      <c r="G54">
        <v>14.97</v>
      </c>
      <c r="H54">
        <v>49.5</v>
      </c>
      <c r="I54">
        <v>11.87</v>
      </c>
      <c r="J54">
        <v>39.24</v>
      </c>
      <c r="K54">
        <v>1</v>
      </c>
      <c r="T54">
        <v>2</v>
      </c>
      <c r="U54">
        <v>1</v>
      </c>
      <c r="V54" t="s">
        <v>233</v>
      </c>
      <c r="W54">
        <v>49</v>
      </c>
      <c r="X54">
        <v>8</v>
      </c>
      <c r="Y54">
        <v>8</v>
      </c>
      <c r="Z54" t="s">
        <v>301</v>
      </c>
      <c r="AA54" t="s">
        <v>302</v>
      </c>
      <c r="AB54" t="s">
        <v>229</v>
      </c>
      <c r="AC54" t="s">
        <v>230</v>
      </c>
      <c r="AD54" t="s">
        <v>231</v>
      </c>
      <c r="AE54" t="s">
        <v>207</v>
      </c>
      <c r="AG54" t="s">
        <v>303</v>
      </c>
      <c r="AH54">
        <v>21</v>
      </c>
      <c r="AI54">
        <v>560</v>
      </c>
      <c r="AJ54">
        <v>80</v>
      </c>
      <c r="AK54">
        <v>0</v>
      </c>
      <c r="AL54">
        <v>0</v>
      </c>
    </row>
    <row r="55" spans="1:38" x14ac:dyDescent="0.3">
      <c r="A55" t="s">
        <v>223</v>
      </c>
      <c r="B55">
        <v>126068</v>
      </c>
      <c r="C55">
        <v>12</v>
      </c>
      <c r="D55" t="s">
        <v>298</v>
      </c>
      <c r="E55" t="s">
        <v>299</v>
      </c>
      <c r="F55">
        <v>21</v>
      </c>
      <c r="G55">
        <v>15.72</v>
      </c>
      <c r="H55">
        <v>51.99</v>
      </c>
      <c r="I55">
        <v>12.46</v>
      </c>
      <c r="J55">
        <v>41.21</v>
      </c>
      <c r="K55">
        <v>1</v>
      </c>
      <c r="T55">
        <v>2</v>
      </c>
      <c r="U55">
        <v>1</v>
      </c>
      <c r="V55" t="s">
        <v>233</v>
      </c>
      <c r="W55" t="s">
        <v>312</v>
      </c>
      <c r="X55">
        <v>8</v>
      </c>
      <c r="Y55">
        <v>8</v>
      </c>
      <c r="Z55" t="s">
        <v>301</v>
      </c>
      <c r="AA55" t="s">
        <v>302</v>
      </c>
      <c r="AB55" t="s">
        <v>229</v>
      </c>
      <c r="AC55" t="s">
        <v>230</v>
      </c>
      <c r="AD55" t="s">
        <v>231</v>
      </c>
      <c r="AE55" t="s">
        <v>207</v>
      </c>
      <c r="AG55" t="s">
        <v>303</v>
      </c>
      <c r="AH55">
        <v>21</v>
      </c>
      <c r="AI55">
        <v>560</v>
      </c>
      <c r="AJ55">
        <v>80</v>
      </c>
      <c r="AK55">
        <v>0</v>
      </c>
      <c r="AL55">
        <v>0</v>
      </c>
    </row>
    <row r="56" spans="1:38" x14ac:dyDescent="0.3">
      <c r="A56" t="s">
        <v>223</v>
      </c>
      <c r="B56">
        <v>126068</v>
      </c>
      <c r="C56">
        <v>13</v>
      </c>
      <c r="D56" t="s">
        <v>298</v>
      </c>
      <c r="E56" t="s">
        <v>299</v>
      </c>
      <c r="F56">
        <v>21</v>
      </c>
      <c r="G56">
        <v>15.87</v>
      </c>
      <c r="H56">
        <v>52.48</v>
      </c>
      <c r="I56">
        <v>12.58</v>
      </c>
      <c r="J56">
        <v>41.6</v>
      </c>
      <c r="K56">
        <v>1</v>
      </c>
      <c r="T56">
        <v>2</v>
      </c>
      <c r="U56">
        <v>1</v>
      </c>
      <c r="V56" t="s">
        <v>233</v>
      </c>
      <c r="W56" t="s">
        <v>167</v>
      </c>
      <c r="X56">
        <v>8</v>
      </c>
      <c r="Y56">
        <v>8</v>
      </c>
      <c r="Z56" t="s">
        <v>301</v>
      </c>
      <c r="AA56" t="s">
        <v>302</v>
      </c>
      <c r="AB56" t="s">
        <v>229</v>
      </c>
      <c r="AC56" t="s">
        <v>230</v>
      </c>
      <c r="AD56" t="s">
        <v>231</v>
      </c>
      <c r="AE56" t="s">
        <v>207</v>
      </c>
      <c r="AG56" t="s">
        <v>303</v>
      </c>
      <c r="AH56">
        <v>21</v>
      </c>
      <c r="AI56">
        <v>560</v>
      </c>
      <c r="AJ56">
        <v>80</v>
      </c>
      <c r="AK56">
        <v>0</v>
      </c>
      <c r="AL56">
        <v>0</v>
      </c>
    </row>
    <row r="57" spans="1:38" x14ac:dyDescent="0.3">
      <c r="A57" t="s">
        <v>223</v>
      </c>
      <c r="B57">
        <v>126068</v>
      </c>
      <c r="C57">
        <v>14</v>
      </c>
      <c r="D57" t="s">
        <v>298</v>
      </c>
      <c r="E57" t="s">
        <v>299</v>
      </c>
      <c r="F57">
        <v>21</v>
      </c>
      <c r="G57">
        <v>16.89</v>
      </c>
      <c r="H57">
        <v>55.85</v>
      </c>
      <c r="I57">
        <v>13.39</v>
      </c>
      <c r="J57">
        <v>44.28</v>
      </c>
      <c r="K57">
        <v>2</v>
      </c>
      <c r="T57">
        <v>2</v>
      </c>
      <c r="U57">
        <v>1</v>
      </c>
      <c r="V57" t="s">
        <v>233</v>
      </c>
      <c r="W57">
        <v>55</v>
      </c>
      <c r="X57">
        <v>8</v>
      </c>
      <c r="Y57">
        <v>8</v>
      </c>
      <c r="Z57" t="s">
        <v>301</v>
      </c>
      <c r="AA57" t="s">
        <v>302</v>
      </c>
      <c r="AB57" t="s">
        <v>229</v>
      </c>
      <c r="AC57" t="s">
        <v>230</v>
      </c>
      <c r="AD57" t="s">
        <v>231</v>
      </c>
      <c r="AE57" t="s">
        <v>207</v>
      </c>
      <c r="AG57" t="s">
        <v>303</v>
      </c>
      <c r="AH57">
        <v>21</v>
      </c>
      <c r="AI57">
        <v>560</v>
      </c>
      <c r="AJ57">
        <v>80</v>
      </c>
      <c r="AK57">
        <v>0</v>
      </c>
      <c r="AL57">
        <v>0</v>
      </c>
    </row>
    <row r="58" spans="1:38" x14ac:dyDescent="0.3">
      <c r="A58" t="s">
        <v>223</v>
      </c>
      <c r="B58">
        <v>126068</v>
      </c>
      <c r="C58">
        <v>15</v>
      </c>
      <c r="D58" t="s">
        <v>298</v>
      </c>
      <c r="E58" t="s">
        <v>299</v>
      </c>
      <c r="F58">
        <v>21</v>
      </c>
      <c r="G58">
        <v>17.829999999999998</v>
      </c>
      <c r="H58">
        <v>58.97</v>
      </c>
      <c r="I58">
        <v>14.14</v>
      </c>
      <c r="J58">
        <v>46.75</v>
      </c>
      <c r="K58">
        <v>1</v>
      </c>
      <c r="T58">
        <v>2</v>
      </c>
      <c r="U58">
        <v>1</v>
      </c>
      <c r="V58" t="s">
        <v>233</v>
      </c>
      <c r="W58" t="s">
        <v>190</v>
      </c>
      <c r="X58">
        <v>8</v>
      </c>
      <c r="Y58">
        <v>8</v>
      </c>
      <c r="Z58" t="s">
        <v>301</v>
      </c>
      <c r="AA58" t="s">
        <v>302</v>
      </c>
      <c r="AB58" t="s">
        <v>229</v>
      </c>
      <c r="AC58" t="s">
        <v>230</v>
      </c>
      <c r="AD58" t="s">
        <v>231</v>
      </c>
      <c r="AE58" t="s">
        <v>207</v>
      </c>
      <c r="AG58" t="s">
        <v>303</v>
      </c>
      <c r="AH58">
        <v>21</v>
      </c>
      <c r="AI58">
        <v>560</v>
      </c>
      <c r="AJ58">
        <v>80</v>
      </c>
      <c r="AK58">
        <v>0</v>
      </c>
      <c r="AL58">
        <v>0</v>
      </c>
    </row>
    <row r="59" spans="1:38" x14ac:dyDescent="0.3">
      <c r="A59" t="s">
        <v>223</v>
      </c>
      <c r="B59">
        <v>126068</v>
      </c>
      <c r="C59">
        <v>16</v>
      </c>
      <c r="D59" t="s">
        <v>298</v>
      </c>
      <c r="E59" t="s">
        <v>299</v>
      </c>
      <c r="F59">
        <v>21</v>
      </c>
      <c r="G59">
        <v>18.47</v>
      </c>
      <c r="H59">
        <v>61.06</v>
      </c>
      <c r="I59">
        <v>14.64</v>
      </c>
      <c r="J59">
        <v>48.4</v>
      </c>
      <c r="K59">
        <v>2</v>
      </c>
      <c r="T59">
        <v>2</v>
      </c>
      <c r="U59">
        <v>1</v>
      </c>
      <c r="V59" t="s">
        <v>233</v>
      </c>
      <c r="W59" t="s">
        <v>313</v>
      </c>
      <c r="X59">
        <v>8</v>
      </c>
      <c r="Y59">
        <v>8</v>
      </c>
      <c r="Z59" t="s">
        <v>301</v>
      </c>
      <c r="AA59" t="s">
        <v>302</v>
      </c>
      <c r="AB59" t="s">
        <v>229</v>
      </c>
      <c r="AC59" t="s">
        <v>230</v>
      </c>
      <c r="AD59" t="s">
        <v>231</v>
      </c>
      <c r="AE59" t="s">
        <v>207</v>
      </c>
      <c r="AG59" t="s">
        <v>303</v>
      </c>
      <c r="AH59">
        <v>21</v>
      </c>
      <c r="AI59">
        <v>560</v>
      </c>
      <c r="AJ59">
        <v>80</v>
      </c>
      <c r="AK59">
        <v>0</v>
      </c>
      <c r="AL59">
        <v>0</v>
      </c>
    </row>
    <row r="60" spans="1:38" x14ac:dyDescent="0.3">
      <c r="A60" t="s">
        <v>223</v>
      </c>
      <c r="B60">
        <v>138275</v>
      </c>
      <c r="C60">
        <v>1</v>
      </c>
      <c r="D60" t="s">
        <v>314</v>
      </c>
      <c r="E60" t="s">
        <v>315</v>
      </c>
      <c r="F60">
        <v>925</v>
      </c>
      <c r="G60">
        <v>33.090000000000003</v>
      </c>
      <c r="H60">
        <v>109.41</v>
      </c>
      <c r="I60">
        <v>25.67</v>
      </c>
      <c r="J60">
        <v>84.88</v>
      </c>
      <c r="K60">
        <v>206</v>
      </c>
      <c r="T60">
        <v>3</v>
      </c>
      <c r="U60">
        <v>2</v>
      </c>
      <c r="V60" t="s">
        <v>233</v>
      </c>
      <c r="W60" t="s">
        <v>67</v>
      </c>
      <c r="X60">
        <v>29</v>
      </c>
      <c r="Y60">
        <v>21</v>
      </c>
      <c r="Z60" t="s">
        <v>316</v>
      </c>
      <c r="AA60" t="s">
        <v>317</v>
      </c>
      <c r="AB60" t="s">
        <v>229</v>
      </c>
      <c r="AC60" t="s">
        <v>230</v>
      </c>
      <c r="AD60" t="s">
        <v>231</v>
      </c>
      <c r="AE60" t="s">
        <v>207</v>
      </c>
      <c r="AG60" t="s">
        <v>243</v>
      </c>
      <c r="AH60">
        <v>0</v>
      </c>
      <c r="AI60">
        <v>0</v>
      </c>
      <c r="AJ60">
        <v>0</v>
      </c>
      <c r="AK60">
        <v>1390</v>
      </c>
      <c r="AL60">
        <v>1.5</v>
      </c>
    </row>
    <row r="61" spans="1:38" x14ac:dyDescent="0.3">
      <c r="A61" t="s">
        <v>223</v>
      </c>
      <c r="B61">
        <v>138275</v>
      </c>
      <c r="C61">
        <v>2</v>
      </c>
      <c r="D61" t="s">
        <v>314</v>
      </c>
      <c r="E61" t="s">
        <v>315</v>
      </c>
      <c r="F61">
        <v>925</v>
      </c>
      <c r="G61">
        <v>33.07</v>
      </c>
      <c r="H61">
        <v>109.34</v>
      </c>
      <c r="I61">
        <v>25.64</v>
      </c>
      <c r="J61">
        <v>84.79</v>
      </c>
      <c r="K61">
        <v>199</v>
      </c>
      <c r="T61">
        <v>3</v>
      </c>
      <c r="U61">
        <v>2</v>
      </c>
      <c r="V61" t="s">
        <v>233</v>
      </c>
      <c r="W61" t="s">
        <v>98</v>
      </c>
      <c r="X61">
        <v>29</v>
      </c>
      <c r="Y61">
        <v>21</v>
      </c>
      <c r="Z61" t="s">
        <v>316</v>
      </c>
      <c r="AA61" t="s">
        <v>317</v>
      </c>
      <c r="AB61" t="s">
        <v>229</v>
      </c>
      <c r="AC61" t="s">
        <v>230</v>
      </c>
      <c r="AD61" t="s">
        <v>231</v>
      </c>
      <c r="AE61" t="s">
        <v>207</v>
      </c>
      <c r="AG61" t="s">
        <v>243</v>
      </c>
      <c r="AH61">
        <v>0</v>
      </c>
      <c r="AI61">
        <v>0</v>
      </c>
      <c r="AJ61">
        <v>0</v>
      </c>
      <c r="AK61">
        <v>1390</v>
      </c>
      <c r="AL61">
        <v>1.5</v>
      </c>
    </row>
    <row r="62" spans="1:38" x14ac:dyDescent="0.3">
      <c r="A62" t="s">
        <v>223</v>
      </c>
      <c r="B62">
        <v>138275</v>
      </c>
      <c r="C62">
        <v>3</v>
      </c>
      <c r="D62" t="s">
        <v>314</v>
      </c>
      <c r="E62" t="s">
        <v>315</v>
      </c>
      <c r="F62">
        <v>925</v>
      </c>
      <c r="G62">
        <v>33</v>
      </c>
      <c r="H62">
        <v>109.1</v>
      </c>
      <c r="I62">
        <v>25.67</v>
      </c>
      <c r="J62">
        <v>84.87</v>
      </c>
      <c r="K62">
        <v>177</v>
      </c>
      <c r="T62">
        <v>3</v>
      </c>
      <c r="U62">
        <v>2</v>
      </c>
      <c r="V62" t="s">
        <v>233</v>
      </c>
      <c r="W62" t="s">
        <v>66</v>
      </c>
      <c r="X62">
        <v>29</v>
      </c>
      <c r="Y62">
        <v>21</v>
      </c>
      <c r="Z62" t="s">
        <v>316</v>
      </c>
      <c r="AA62" t="s">
        <v>317</v>
      </c>
      <c r="AB62" t="s">
        <v>229</v>
      </c>
      <c r="AC62" t="s">
        <v>230</v>
      </c>
      <c r="AD62" t="s">
        <v>231</v>
      </c>
      <c r="AE62" t="s">
        <v>207</v>
      </c>
      <c r="AG62" t="s">
        <v>243</v>
      </c>
      <c r="AH62">
        <v>0</v>
      </c>
      <c r="AI62">
        <v>0</v>
      </c>
      <c r="AJ62">
        <v>0</v>
      </c>
      <c r="AK62">
        <v>1390</v>
      </c>
      <c r="AL62">
        <v>1.5</v>
      </c>
    </row>
    <row r="63" spans="1:38" x14ac:dyDescent="0.3">
      <c r="A63" t="s">
        <v>223</v>
      </c>
      <c r="B63">
        <v>138275</v>
      </c>
      <c r="C63">
        <v>4</v>
      </c>
      <c r="D63" t="s">
        <v>314</v>
      </c>
      <c r="E63" t="s">
        <v>315</v>
      </c>
      <c r="F63">
        <v>925</v>
      </c>
      <c r="G63">
        <v>39.43</v>
      </c>
      <c r="H63">
        <v>130.38</v>
      </c>
      <c r="I63">
        <v>30.71</v>
      </c>
      <c r="J63">
        <v>101.55</v>
      </c>
      <c r="K63">
        <v>237</v>
      </c>
      <c r="T63">
        <v>3</v>
      </c>
      <c r="U63">
        <v>2</v>
      </c>
      <c r="V63" t="s">
        <v>233</v>
      </c>
      <c r="W63">
        <v>130</v>
      </c>
      <c r="X63">
        <v>29</v>
      </c>
      <c r="Y63">
        <v>21</v>
      </c>
      <c r="Z63" t="s">
        <v>316</v>
      </c>
      <c r="AA63" t="s">
        <v>317</v>
      </c>
      <c r="AB63" t="s">
        <v>229</v>
      </c>
      <c r="AC63" t="s">
        <v>230</v>
      </c>
      <c r="AD63" t="s">
        <v>231</v>
      </c>
      <c r="AE63" t="s">
        <v>207</v>
      </c>
      <c r="AG63" t="s">
        <v>243</v>
      </c>
      <c r="AH63">
        <v>0</v>
      </c>
      <c r="AI63">
        <v>0</v>
      </c>
      <c r="AJ63">
        <v>0</v>
      </c>
      <c r="AK63">
        <v>1390</v>
      </c>
      <c r="AL63">
        <v>1.5</v>
      </c>
    </row>
    <row r="64" spans="1:38" x14ac:dyDescent="0.3">
      <c r="A64" t="s">
        <v>223</v>
      </c>
      <c r="B64">
        <v>138275</v>
      </c>
      <c r="C64">
        <v>5</v>
      </c>
      <c r="D64" t="s">
        <v>314</v>
      </c>
      <c r="E64" t="s">
        <v>315</v>
      </c>
      <c r="F64">
        <v>925</v>
      </c>
      <c r="G64">
        <v>45.04</v>
      </c>
      <c r="H64">
        <v>148.91999999999999</v>
      </c>
      <c r="I64">
        <v>35.380000000000003</v>
      </c>
      <c r="J64">
        <v>116.98</v>
      </c>
      <c r="K64">
        <v>106</v>
      </c>
      <c r="T64">
        <v>3</v>
      </c>
      <c r="U64">
        <v>2</v>
      </c>
      <c r="V64" t="s">
        <v>233</v>
      </c>
      <c r="W64">
        <v>148</v>
      </c>
      <c r="X64">
        <v>29</v>
      </c>
      <c r="Y64">
        <v>21</v>
      </c>
      <c r="Z64" t="s">
        <v>316</v>
      </c>
      <c r="AA64" t="s">
        <v>317</v>
      </c>
      <c r="AB64" t="s">
        <v>229</v>
      </c>
      <c r="AC64" t="s">
        <v>230</v>
      </c>
      <c r="AD64" t="s">
        <v>231</v>
      </c>
      <c r="AE64" t="s">
        <v>207</v>
      </c>
      <c r="AG64" t="s">
        <v>243</v>
      </c>
      <c r="AH64">
        <v>0</v>
      </c>
      <c r="AI64">
        <v>0</v>
      </c>
      <c r="AJ64">
        <v>0</v>
      </c>
      <c r="AK64">
        <v>1390</v>
      </c>
      <c r="AL64">
        <v>1.5</v>
      </c>
    </row>
    <row r="65" spans="1:38" x14ac:dyDescent="0.3">
      <c r="A65" t="s">
        <v>223</v>
      </c>
      <c r="B65">
        <v>7200</v>
      </c>
      <c r="C65">
        <v>1</v>
      </c>
      <c r="D65" t="s">
        <v>318</v>
      </c>
      <c r="E65" t="s">
        <v>319</v>
      </c>
      <c r="F65">
        <v>386</v>
      </c>
      <c r="G65">
        <v>24.36</v>
      </c>
      <c r="H65">
        <v>80.53</v>
      </c>
      <c r="I65">
        <v>19.579999999999998</v>
      </c>
      <c r="J65">
        <v>64.739999999999995</v>
      </c>
      <c r="K65">
        <v>60</v>
      </c>
      <c r="T65">
        <v>3</v>
      </c>
      <c r="U65">
        <v>1</v>
      </c>
      <c r="V65" t="s">
        <v>233</v>
      </c>
      <c r="W65">
        <v>80</v>
      </c>
      <c r="X65">
        <v>15</v>
      </c>
      <c r="Y65">
        <v>12</v>
      </c>
      <c r="Z65" t="s">
        <v>320</v>
      </c>
      <c r="AA65" t="s">
        <v>321</v>
      </c>
      <c r="AB65" t="s">
        <v>229</v>
      </c>
      <c r="AC65" t="s">
        <v>230</v>
      </c>
      <c r="AD65" t="s">
        <v>231</v>
      </c>
      <c r="AE65" t="s">
        <v>207</v>
      </c>
      <c r="AG65" t="s">
        <v>322</v>
      </c>
      <c r="AH65">
        <v>0</v>
      </c>
      <c r="AI65">
        <v>217</v>
      </c>
      <c r="AJ65">
        <v>19</v>
      </c>
      <c r="AK65">
        <v>321</v>
      </c>
      <c r="AL65">
        <v>0.83</v>
      </c>
    </row>
    <row r="66" spans="1:38" x14ac:dyDescent="0.3">
      <c r="A66" t="s">
        <v>223</v>
      </c>
      <c r="B66">
        <v>7200</v>
      </c>
      <c r="C66">
        <v>2</v>
      </c>
      <c r="D66" t="s">
        <v>318</v>
      </c>
      <c r="E66" t="s">
        <v>319</v>
      </c>
      <c r="F66">
        <v>386</v>
      </c>
      <c r="G66">
        <v>32.130000000000003</v>
      </c>
      <c r="H66">
        <v>106.23</v>
      </c>
      <c r="I66">
        <v>25.64</v>
      </c>
      <c r="J66">
        <v>84.79</v>
      </c>
      <c r="K66">
        <v>84</v>
      </c>
      <c r="T66">
        <v>3</v>
      </c>
      <c r="U66">
        <v>2</v>
      </c>
      <c r="V66" t="s">
        <v>233</v>
      </c>
      <c r="W66">
        <v>106</v>
      </c>
      <c r="X66">
        <v>15</v>
      </c>
      <c r="Y66">
        <v>12</v>
      </c>
      <c r="Z66" t="s">
        <v>320</v>
      </c>
      <c r="AA66" t="s">
        <v>321</v>
      </c>
      <c r="AB66" t="s">
        <v>229</v>
      </c>
      <c r="AC66" t="s">
        <v>230</v>
      </c>
      <c r="AD66" t="s">
        <v>231</v>
      </c>
      <c r="AE66" t="s">
        <v>207</v>
      </c>
      <c r="AG66" t="s">
        <v>322</v>
      </c>
      <c r="AH66">
        <v>0</v>
      </c>
      <c r="AI66">
        <v>217</v>
      </c>
      <c r="AJ66">
        <v>19</v>
      </c>
      <c r="AK66">
        <v>321</v>
      </c>
      <c r="AL66">
        <v>0.83</v>
      </c>
    </row>
    <row r="67" spans="1:38" x14ac:dyDescent="0.3">
      <c r="A67" t="s">
        <v>223</v>
      </c>
      <c r="B67">
        <v>7200</v>
      </c>
      <c r="C67">
        <v>3</v>
      </c>
      <c r="D67" t="s">
        <v>318</v>
      </c>
      <c r="E67" t="s">
        <v>319</v>
      </c>
      <c r="F67">
        <v>386</v>
      </c>
      <c r="G67">
        <v>36.9</v>
      </c>
      <c r="H67">
        <v>122</v>
      </c>
      <c r="I67">
        <v>30.78</v>
      </c>
      <c r="J67">
        <v>101.77</v>
      </c>
      <c r="K67">
        <v>242</v>
      </c>
      <c r="T67">
        <v>4</v>
      </c>
      <c r="U67">
        <v>2</v>
      </c>
      <c r="V67" t="s">
        <v>233</v>
      </c>
      <c r="W67">
        <v>122</v>
      </c>
      <c r="X67">
        <v>15</v>
      </c>
      <c r="Y67">
        <v>12</v>
      </c>
      <c r="Z67" t="s">
        <v>320</v>
      </c>
      <c r="AA67" t="s">
        <v>321</v>
      </c>
      <c r="AB67" t="s">
        <v>229</v>
      </c>
      <c r="AC67" t="s">
        <v>230</v>
      </c>
      <c r="AD67" t="s">
        <v>231</v>
      </c>
      <c r="AE67" t="s">
        <v>207</v>
      </c>
      <c r="AG67" t="s">
        <v>322</v>
      </c>
      <c r="AH67">
        <v>0</v>
      </c>
      <c r="AI67">
        <v>217</v>
      </c>
      <c r="AJ67">
        <v>19</v>
      </c>
      <c r="AK67">
        <v>321</v>
      </c>
      <c r="AL67">
        <v>0.83</v>
      </c>
    </row>
    <row r="68" spans="1:38" x14ac:dyDescent="0.3">
      <c r="A68" t="s">
        <v>223</v>
      </c>
      <c r="B68">
        <v>114461</v>
      </c>
      <c r="C68">
        <v>1</v>
      </c>
      <c r="D68" t="s">
        <v>323</v>
      </c>
      <c r="E68" t="s">
        <v>324</v>
      </c>
      <c r="F68">
        <v>905</v>
      </c>
      <c r="G68">
        <v>24</v>
      </c>
      <c r="H68">
        <v>79.34</v>
      </c>
      <c r="I68">
        <v>18.09</v>
      </c>
      <c r="J68">
        <v>59.81</v>
      </c>
      <c r="K68">
        <v>240</v>
      </c>
      <c r="T68">
        <v>3</v>
      </c>
      <c r="U68">
        <v>2</v>
      </c>
      <c r="V68" t="s">
        <v>233</v>
      </c>
      <c r="W68">
        <v>79</v>
      </c>
      <c r="X68">
        <v>29</v>
      </c>
      <c r="Y68">
        <v>19</v>
      </c>
      <c r="Z68" t="s">
        <v>325</v>
      </c>
      <c r="AA68" t="s">
        <v>326</v>
      </c>
      <c r="AB68" t="s">
        <v>229</v>
      </c>
      <c r="AC68" t="s">
        <v>230</v>
      </c>
      <c r="AD68" t="s">
        <v>231</v>
      </c>
      <c r="AE68" t="s">
        <v>207</v>
      </c>
      <c r="AG68" t="s">
        <v>327</v>
      </c>
      <c r="AH68">
        <v>0</v>
      </c>
      <c r="AI68">
        <v>229</v>
      </c>
      <c r="AJ68">
        <v>14</v>
      </c>
      <c r="AK68">
        <v>1188</v>
      </c>
      <c r="AL68">
        <v>1.31</v>
      </c>
    </row>
    <row r="69" spans="1:38" x14ac:dyDescent="0.3">
      <c r="A69" t="s">
        <v>223</v>
      </c>
      <c r="B69">
        <v>114461</v>
      </c>
      <c r="C69">
        <v>2</v>
      </c>
      <c r="D69" t="s">
        <v>323</v>
      </c>
      <c r="E69" t="s">
        <v>324</v>
      </c>
      <c r="F69">
        <v>905</v>
      </c>
      <c r="G69">
        <v>28.94</v>
      </c>
      <c r="H69">
        <v>95.69</v>
      </c>
      <c r="I69">
        <v>21.94</v>
      </c>
      <c r="J69">
        <v>72.53</v>
      </c>
      <c r="K69">
        <v>152</v>
      </c>
      <c r="T69">
        <v>3</v>
      </c>
      <c r="U69">
        <v>2</v>
      </c>
      <c r="V69" t="s">
        <v>233</v>
      </c>
      <c r="W69">
        <v>95</v>
      </c>
      <c r="X69">
        <v>29</v>
      </c>
      <c r="Y69">
        <v>19</v>
      </c>
      <c r="Z69" t="s">
        <v>325</v>
      </c>
      <c r="AA69" t="s">
        <v>326</v>
      </c>
      <c r="AB69" t="s">
        <v>229</v>
      </c>
      <c r="AC69" t="s">
        <v>230</v>
      </c>
      <c r="AD69" t="s">
        <v>231</v>
      </c>
      <c r="AE69" t="s">
        <v>207</v>
      </c>
      <c r="AG69" t="s">
        <v>327</v>
      </c>
      <c r="AH69">
        <v>0</v>
      </c>
      <c r="AI69">
        <v>229</v>
      </c>
      <c r="AJ69">
        <v>14</v>
      </c>
      <c r="AK69">
        <v>1188</v>
      </c>
      <c r="AL69">
        <v>1.31</v>
      </c>
    </row>
    <row r="70" spans="1:38" x14ac:dyDescent="0.3">
      <c r="A70" t="s">
        <v>223</v>
      </c>
      <c r="B70">
        <v>114461</v>
      </c>
      <c r="C70">
        <v>3</v>
      </c>
      <c r="D70" t="s">
        <v>323</v>
      </c>
      <c r="E70" t="s">
        <v>324</v>
      </c>
      <c r="F70">
        <v>905</v>
      </c>
      <c r="G70">
        <v>33.35</v>
      </c>
      <c r="H70">
        <v>110.25</v>
      </c>
      <c r="I70">
        <v>25.61</v>
      </c>
      <c r="J70">
        <v>84.69</v>
      </c>
      <c r="K70">
        <v>413</v>
      </c>
      <c r="T70">
        <v>4</v>
      </c>
      <c r="U70">
        <v>2</v>
      </c>
      <c r="V70" t="s">
        <v>233</v>
      </c>
      <c r="W70">
        <v>110</v>
      </c>
      <c r="X70">
        <v>29</v>
      </c>
      <c r="Y70">
        <v>19</v>
      </c>
      <c r="Z70" t="s">
        <v>325</v>
      </c>
      <c r="AA70" t="s">
        <v>326</v>
      </c>
      <c r="AB70" t="s">
        <v>229</v>
      </c>
      <c r="AC70" t="s">
        <v>230</v>
      </c>
      <c r="AD70" t="s">
        <v>231</v>
      </c>
      <c r="AE70" t="s">
        <v>207</v>
      </c>
      <c r="AG70" t="s">
        <v>327</v>
      </c>
      <c r="AH70">
        <v>0</v>
      </c>
      <c r="AI70">
        <v>229</v>
      </c>
      <c r="AJ70">
        <v>14</v>
      </c>
      <c r="AK70">
        <v>1188</v>
      </c>
      <c r="AL70">
        <v>1.31</v>
      </c>
    </row>
    <row r="71" spans="1:38" x14ac:dyDescent="0.3">
      <c r="A71" t="s">
        <v>223</v>
      </c>
      <c r="B71">
        <v>114461</v>
      </c>
      <c r="C71">
        <v>4</v>
      </c>
      <c r="D71" t="s">
        <v>323</v>
      </c>
      <c r="E71" t="s">
        <v>324</v>
      </c>
      <c r="F71">
        <v>905</v>
      </c>
      <c r="G71">
        <v>38.799999999999997</v>
      </c>
      <c r="H71">
        <v>128.28</v>
      </c>
      <c r="I71">
        <v>29.89</v>
      </c>
      <c r="J71">
        <v>98.81</v>
      </c>
      <c r="K71">
        <v>47</v>
      </c>
      <c r="T71">
        <v>4</v>
      </c>
      <c r="U71">
        <v>2</v>
      </c>
      <c r="V71" t="s">
        <v>233</v>
      </c>
      <c r="W71">
        <v>128</v>
      </c>
      <c r="X71">
        <v>29</v>
      </c>
      <c r="Y71">
        <v>19</v>
      </c>
      <c r="Z71" t="s">
        <v>325</v>
      </c>
      <c r="AA71" t="s">
        <v>326</v>
      </c>
      <c r="AB71" t="s">
        <v>229</v>
      </c>
      <c r="AC71" t="s">
        <v>230</v>
      </c>
      <c r="AD71" t="s">
        <v>231</v>
      </c>
      <c r="AE71" t="s">
        <v>207</v>
      </c>
      <c r="AG71" t="s">
        <v>327</v>
      </c>
      <c r="AH71">
        <v>0</v>
      </c>
      <c r="AI71">
        <v>229</v>
      </c>
      <c r="AJ71">
        <v>14</v>
      </c>
      <c r="AK71">
        <v>1188</v>
      </c>
      <c r="AL71">
        <v>1.31</v>
      </c>
    </row>
    <row r="72" spans="1:38" x14ac:dyDescent="0.3">
      <c r="A72" t="s">
        <v>223</v>
      </c>
      <c r="B72">
        <v>114461</v>
      </c>
      <c r="C72">
        <v>5</v>
      </c>
      <c r="D72" t="s">
        <v>323</v>
      </c>
      <c r="E72" t="s">
        <v>324</v>
      </c>
      <c r="F72">
        <v>905</v>
      </c>
      <c r="G72">
        <v>43.86</v>
      </c>
      <c r="H72">
        <v>145.02000000000001</v>
      </c>
      <c r="I72">
        <v>34.04</v>
      </c>
      <c r="J72">
        <v>112.54</v>
      </c>
      <c r="K72">
        <v>39</v>
      </c>
      <c r="T72">
        <v>4</v>
      </c>
      <c r="U72">
        <v>2</v>
      </c>
      <c r="V72" t="s">
        <v>233</v>
      </c>
      <c r="W72" t="s">
        <v>100</v>
      </c>
      <c r="X72">
        <v>29</v>
      </c>
      <c r="Y72">
        <v>19</v>
      </c>
      <c r="Z72" t="s">
        <v>325</v>
      </c>
      <c r="AA72" t="s">
        <v>326</v>
      </c>
      <c r="AB72" t="s">
        <v>229</v>
      </c>
      <c r="AC72" t="s">
        <v>230</v>
      </c>
      <c r="AD72" t="s">
        <v>231</v>
      </c>
      <c r="AE72" t="s">
        <v>207</v>
      </c>
      <c r="AG72" t="s">
        <v>327</v>
      </c>
      <c r="AH72">
        <v>0</v>
      </c>
      <c r="AI72">
        <v>229</v>
      </c>
      <c r="AJ72">
        <v>14</v>
      </c>
      <c r="AK72">
        <v>1188</v>
      </c>
      <c r="AL72">
        <v>1.31</v>
      </c>
    </row>
    <row r="73" spans="1:38" x14ac:dyDescent="0.3">
      <c r="A73" t="s">
        <v>223</v>
      </c>
      <c r="B73">
        <v>114461</v>
      </c>
      <c r="C73">
        <v>6</v>
      </c>
      <c r="D73" t="s">
        <v>323</v>
      </c>
      <c r="E73" t="s">
        <v>324</v>
      </c>
      <c r="F73">
        <v>905</v>
      </c>
      <c r="G73">
        <v>44.11</v>
      </c>
      <c r="H73">
        <v>145.83000000000001</v>
      </c>
      <c r="I73">
        <v>33.89</v>
      </c>
      <c r="J73">
        <v>112.04</v>
      </c>
      <c r="K73">
        <v>2</v>
      </c>
      <c r="T73">
        <v>5</v>
      </c>
      <c r="U73">
        <v>3</v>
      </c>
      <c r="V73" t="s">
        <v>233</v>
      </c>
      <c r="W73" t="s">
        <v>101</v>
      </c>
      <c r="X73">
        <v>29</v>
      </c>
      <c r="Y73">
        <v>19</v>
      </c>
      <c r="Z73" t="s">
        <v>325</v>
      </c>
      <c r="AA73" t="s">
        <v>326</v>
      </c>
      <c r="AB73" t="s">
        <v>229</v>
      </c>
      <c r="AC73" t="s">
        <v>230</v>
      </c>
      <c r="AD73" t="s">
        <v>231</v>
      </c>
      <c r="AE73" t="s">
        <v>207</v>
      </c>
      <c r="AG73" t="s">
        <v>327</v>
      </c>
      <c r="AH73">
        <v>0</v>
      </c>
      <c r="AI73">
        <v>229</v>
      </c>
      <c r="AJ73">
        <v>14</v>
      </c>
      <c r="AK73">
        <v>1188</v>
      </c>
      <c r="AL73">
        <v>1.31</v>
      </c>
    </row>
    <row r="74" spans="1:38" x14ac:dyDescent="0.3">
      <c r="A74" t="s">
        <v>223</v>
      </c>
      <c r="B74">
        <v>114461</v>
      </c>
      <c r="C74">
        <v>7</v>
      </c>
      <c r="D74" t="s">
        <v>323</v>
      </c>
      <c r="E74" t="s">
        <v>324</v>
      </c>
      <c r="F74">
        <v>905</v>
      </c>
      <c r="G74">
        <v>45.07</v>
      </c>
      <c r="H74">
        <v>149.01</v>
      </c>
      <c r="I74">
        <v>34.64</v>
      </c>
      <c r="J74">
        <v>114.52</v>
      </c>
      <c r="K74">
        <v>12</v>
      </c>
      <c r="T74">
        <v>5</v>
      </c>
      <c r="U74">
        <v>3</v>
      </c>
      <c r="V74" t="s">
        <v>233</v>
      </c>
      <c r="W74">
        <v>149</v>
      </c>
      <c r="X74">
        <v>29</v>
      </c>
      <c r="Y74">
        <v>19</v>
      </c>
      <c r="Z74" t="s">
        <v>325</v>
      </c>
      <c r="AA74" t="s">
        <v>326</v>
      </c>
      <c r="AB74" t="s">
        <v>229</v>
      </c>
      <c r="AC74" t="s">
        <v>230</v>
      </c>
      <c r="AD74" t="s">
        <v>231</v>
      </c>
      <c r="AE74" t="s">
        <v>207</v>
      </c>
      <c r="AG74" t="s">
        <v>327</v>
      </c>
      <c r="AH74">
        <v>0</v>
      </c>
      <c r="AI74">
        <v>229</v>
      </c>
      <c r="AJ74">
        <v>14</v>
      </c>
      <c r="AK74">
        <v>1188</v>
      </c>
      <c r="AL74">
        <v>1.31</v>
      </c>
    </row>
    <row r="75" spans="1:38" x14ac:dyDescent="0.3">
      <c r="A75" t="s">
        <v>223</v>
      </c>
      <c r="B75">
        <v>7234</v>
      </c>
      <c r="C75">
        <v>1</v>
      </c>
      <c r="D75" t="s">
        <v>328</v>
      </c>
      <c r="E75" t="s">
        <v>329</v>
      </c>
      <c r="F75">
        <v>370</v>
      </c>
      <c r="G75">
        <v>23.43</v>
      </c>
      <c r="H75">
        <v>77.47</v>
      </c>
      <c r="I75">
        <v>18.77</v>
      </c>
      <c r="J75">
        <v>62.07</v>
      </c>
      <c r="K75">
        <v>78</v>
      </c>
      <c r="T75">
        <v>3</v>
      </c>
      <c r="U75">
        <v>1</v>
      </c>
      <c r="V75" t="s">
        <v>233</v>
      </c>
      <c r="W75">
        <v>77</v>
      </c>
      <c r="X75">
        <v>14</v>
      </c>
      <c r="Y75">
        <v>12</v>
      </c>
      <c r="Z75" t="s">
        <v>330</v>
      </c>
      <c r="AA75" t="s">
        <v>331</v>
      </c>
      <c r="AB75" t="s">
        <v>229</v>
      </c>
      <c r="AC75" t="s">
        <v>230</v>
      </c>
      <c r="AD75" t="s">
        <v>231</v>
      </c>
      <c r="AE75" t="s">
        <v>207</v>
      </c>
      <c r="AG75" t="s">
        <v>332</v>
      </c>
      <c r="AH75">
        <v>0</v>
      </c>
      <c r="AI75">
        <v>211</v>
      </c>
      <c r="AJ75">
        <v>22</v>
      </c>
      <c r="AK75">
        <v>397</v>
      </c>
      <c r="AL75">
        <v>1.07</v>
      </c>
    </row>
    <row r="76" spans="1:38" x14ac:dyDescent="0.3">
      <c r="A76" t="s">
        <v>223</v>
      </c>
      <c r="B76">
        <v>7234</v>
      </c>
      <c r="C76">
        <v>2</v>
      </c>
      <c r="D76" t="s">
        <v>328</v>
      </c>
      <c r="E76" t="s">
        <v>329</v>
      </c>
      <c r="F76">
        <v>370</v>
      </c>
      <c r="G76">
        <v>30.92</v>
      </c>
      <c r="H76">
        <v>102.24</v>
      </c>
      <c r="I76">
        <v>25.18</v>
      </c>
      <c r="J76">
        <v>83.25</v>
      </c>
      <c r="K76">
        <v>292</v>
      </c>
      <c r="T76">
        <v>3</v>
      </c>
      <c r="U76">
        <v>2</v>
      </c>
      <c r="V76" t="s">
        <v>233</v>
      </c>
      <c r="W76">
        <v>102</v>
      </c>
      <c r="X76">
        <v>14</v>
      </c>
      <c r="Y76">
        <v>12</v>
      </c>
      <c r="Z76" t="s">
        <v>330</v>
      </c>
      <c r="AA76" t="s">
        <v>331</v>
      </c>
      <c r="AB76" t="s">
        <v>229</v>
      </c>
      <c r="AC76" t="s">
        <v>230</v>
      </c>
      <c r="AD76" t="s">
        <v>231</v>
      </c>
      <c r="AE76" t="s">
        <v>207</v>
      </c>
      <c r="AG76" t="s">
        <v>332</v>
      </c>
      <c r="AH76">
        <v>0</v>
      </c>
      <c r="AI76">
        <v>211</v>
      </c>
      <c r="AJ76">
        <v>22</v>
      </c>
      <c r="AK76">
        <v>397</v>
      </c>
      <c r="AL76">
        <v>1.07</v>
      </c>
    </row>
    <row r="77" spans="1:38" x14ac:dyDescent="0.3">
      <c r="A77" t="s">
        <v>223</v>
      </c>
      <c r="B77">
        <v>7220</v>
      </c>
      <c r="C77">
        <v>1</v>
      </c>
      <c r="D77" t="s">
        <v>333</v>
      </c>
      <c r="E77" t="s">
        <v>334</v>
      </c>
      <c r="F77">
        <v>952</v>
      </c>
      <c r="G77">
        <v>18.64</v>
      </c>
      <c r="H77">
        <v>61.62</v>
      </c>
      <c r="I77">
        <v>12.65</v>
      </c>
      <c r="J77">
        <v>41.85</v>
      </c>
      <c r="K77">
        <v>126</v>
      </c>
      <c r="T77">
        <v>2</v>
      </c>
      <c r="U77">
        <v>1</v>
      </c>
      <c r="V77" t="s">
        <v>226</v>
      </c>
      <c r="W77">
        <v>61</v>
      </c>
      <c r="X77">
        <v>15</v>
      </c>
      <c r="Y77">
        <v>14</v>
      </c>
      <c r="Z77" t="s">
        <v>335</v>
      </c>
      <c r="AA77" t="s">
        <v>336</v>
      </c>
      <c r="AB77" t="s">
        <v>229</v>
      </c>
      <c r="AC77" t="s">
        <v>230</v>
      </c>
      <c r="AD77" t="s">
        <v>231</v>
      </c>
      <c r="AE77" t="s">
        <v>207</v>
      </c>
      <c r="AG77" t="s">
        <v>337</v>
      </c>
      <c r="AH77">
        <v>0</v>
      </c>
      <c r="AI77">
        <v>209</v>
      </c>
      <c r="AJ77">
        <v>22</v>
      </c>
      <c r="AK77">
        <v>890</v>
      </c>
      <c r="AL77">
        <v>0.93</v>
      </c>
    </row>
    <row r="78" spans="1:38" x14ac:dyDescent="0.3">
      <c r="A78" t="s">
        <v>223</v>
      </c>
      <c r="B78">
        <v>7220</v>
      </c>
      <c r="C78">
        <v>2</v>
      </c>
      <c r="D78" t="s">
        <v>333</v>
      </c>
      <c r="E78" t="s">
        <v>334</v>
      </c>
      <c r="F78">
        <v>952</v>
      </c>
      <c r="G78">
        <v>22.86</v>
      </c>
      <c r="H78">
        <v>75.58</v>
      </c>
      <c r="I78">
        <v>18.07</v>
      </c>
      <c r="J78">
        <v>59.76</v>
      </c>
      <c r="K78">
        <v>826</v>
      </c>
      <c r="T78">
        <v>3</v>
      </c>
      <c r="U78">
        <v>1</v>
      </c>
      <c r="V78" t="s">
        <v>233</v>
      </c>
      <c r="W78">
        <v>75</v>
      </c>
      <c r="X78">
        <v>15</v>
      </c>
      <c r="Y78">
        <v>14</v>
      </c>
      <c r="Z78" t="s">
        <v>335</v>
      </c>
      <c r="AA78" t="s">
        <v>336</v>
      </c>
      <c r="AB78" t="s">
        <v>229</v>
      </c>
      <c r="AC78" t="s">
        <v>230</v>
      </c>
      <c r="AD78" t="s">
        <v>231</v>
      </c>
      <c r="AE78" t="s">
        <v>207</v>
      </c>
      <c r="AG78" t="s">
        <v>337</v>
      </c>
      <c r="AH78">
        <v>0</v>
      </c>
      <c r="AI78">
        <v>209</v>
      </c>
      <c r="AJ78">
        <v>22</v>
      </c>
      <c r="AK78">
        <v>890</v>
      </c>
      <c r="AL78">
        <v>0.93</v>
      </c>
    </row>
    <row r="79" spans="1:38" x14ac:dyDescent="0.3">
      <c r="A79" t="s">
        <v>223</v>
      </c>
      <c r="B79">
        <v>7230</v>
      </c>
      <c r="C79">
        <v>1</v>
      </c>
      <c r="D79" t="s">
        <v>338</v>
      </c>
      <c r="E79" t="s">
        <v>339</v>
      </c>
      <c r="F79">
        <v>600</v>
      </c>
      <c r="G79">
        <v>24.38</v>
      </c>
      <c r="H79">
        <v>80.62</v>
      </c>
      <c r="I79">
        <v>17.95</v>
      </c>
      <c r="J79">
        <v>59.34</v>
      </c>
      <c r="K79">
        <v>300</v>
      </c>
      <c r="T79">
        <v>3</v>
      </c>
      <c r="U79">
        <v>1</v>
      </c>
      <c r="V79" t="s">
        <v>233</v>
      </c>
      <c r="W79">
        <v>80</v>
      </c>
      <c r="X79">
        <v>15</v>
      </c>
      <c r="Y79">
        <v>15</v>
      </c>
      <c r="Z79" t="s">
        <v>340</v>
      </c>
      <c r="AA79" t="s">
        <v>341</v>
      </c>
      <c r="AB79" t="s">
        <v>229</v>
      </c>
      <c r="AC79" t="s">
        <v>230</v>
      </c>
      <c r="AD79" t="s">
        <v>231</v>
      </c>
      <c r="AE79" t="s">
        <v>207</v>
      </c>
      <c r="AG79" t="s">
        <v>342</v>
      </c>
      <c r="AH79">
        <v>0</v>
      </c>
      <c r="AI79">
        <v>240</v>
      </c>
      <c r="AJ79">
        <v>23</v>
      </c>
      <c r="AK79">
        <v>377</v>
      </c>
      <c r="AL79">
        <v>0.63</v>
      </c>
    </row>
    <row r="80" spans="1:38" x14ac:dyDescent="0.3">
      <c r="A80" t="s">
        <v>223</v>
      </c>
      <c r="B80">
        <v>7230</v>
      </c>
      <c r="C80">
        <v>2</v>
      </c>
      <c r="D80" t="s">
        <v>338</v>
      </c>
      <c r="E80" t="s">
        <v>339</v>
      </c>
      <c r="F80">
        <v>600</v>
      </c>
      <c r="G80">
        <v>26.55</v>
      </c>
      <c r="H80">
        <v>87.78</v>
      </c>
      <c r="I80">
        <v>21.96</v>
      </c>
      <c r="J80">
        <v>72.61</v>
      </c>
      <c r="K80">
        <v>300</v>
      </c>
      <c r="T80">
        <v>3</v>
      </c>
      <c r="U80">
        <v>1</v>
      </c>
      <c r="V80" t="s">
        <v>233</v>
      </c>
      <c r="W80">
        <v>87</v>
      </c>
      <c r="X80">
        <v>15</v>
      </c>
      <c r="Y80">
        <v>15</v>
      </c>
      <c r="Z80" t="s">
        <v>340</v>
      </c>
      <c r="AA80" t="s">
        <v>341</v>
      </c>
      <c r="AB80" t="s">
        <v>229</v>
      </c>
      <c r="AC80" t="s">
        <v>230</v>
      </c>
      <c r="AD80" t="s">
        <v>231</v>
      </c>
      <c r="AE80" t="s">
        <v>207</v>
      </c>
      <c r="AG80" t="s">
        <v>342</v>
      </c>
      <c r="AH80">
        <v>0</v>
      </c>
      <c r="AI80">
        <v>240</v>
      </c>
      <c r="AJ80">
        <v>23</v>
      </c>
      <c r="AK80">
        <v>377</v>
      </c>
      <c r="AL80">
        <v>0.63</v>
      </c>
    </row>
    <row r="81" spans="1:38" x14ac:dyDescent="0.3">
      <c r="A81" t="s">
        <v>223</v>
      </c>
      <c r="B81">
        <v>7208</v>
      </c>
      <c r="C81">
        <v>1</v>
      </c>
      <c r="D81" t="s">
        <v>343</v>
      </c>
      <c r="E81" t="s">
        <v>339</v>
      </c>
      <c r="F81">
        <v>380</v>
      </c>
      <c r="G81">
        <v>34.549999999999997</v>
      </c>
      <c r="H81">
        <v>114.24</v>
      </c>
      <c r="I81">
        <v>28.9</v>
      </c>
      <c r="J81">
        <v>95.55</v>
      </c>
      <c r="K81">
        <v>240</v>
      </c>
      <c r="T81">
        <v>3</v>
      </c>
      <c r="U81">
        <v>2</v>
      </c>
      <c r="V81" t="s">
        <v>233</v>
      </c>
      <c r="W81">
        <v>114</v>
      </c>
      <c r="X81">
        <v>14</v>
      </c>
      <c r="Y81">
        <v>13</v>
      </c>
      <c r="Z81" t="s">
        <v>344</v>
      </c>
      <c r="AA81" t="s">
        <v>345</v>
      </c>
      <c r="AB81" t="s">
        <v>229</v>
      </c>
      <c r="AC81" t="s">
        <v>230</v>
      </c>
      <c r="AD81" t="s">
        <v>231</v>
      </c>
      <c r="AE81" t="s">
        <v>207</v>
      </c>
      <c r="AG81" t="s">
        <v>346</v>
      </c>
      <c r="AH81">
        <v>0</v>
      </c>
      <c r="AI81">
        <v>219</v>
      </c>
      <c r="AJ81">
        <v>20</v>
      </c>
      <c r="AK81">
        <v>363</v>
      </c>
      <c r="AL81">
        <v>0.96</v>
      </c>
    </row>
    <row r="82" spans="1:38" x14ac:dyDescent="0.3">
      <c r="A82" t="s">
        <v>223</v>
      </c>
      <c r="B82">
        <v>7208</v>
      </c>
      <c r="C82">
        <v>2</v>
      </c>
      <c r="D82" t="s">
        <v>343</v>
      </c>
      <c r="E82" t="s">
        <v>339</v>
      </c>
      <c r="F82">
        <v>380</v>
      </c>
      <c r="G82">
        <v>44.01</v>
      </c>
      <c r="H82">
        <v>145.49</v>
      </c>
      <c r="I82">
        <v>37.700000000000003</v>
      </c>
      <c r="J82">
        <v>124.65</v>
      </c>
      <c r="K82">
        <v>140</v>
      </c>
      <c r="T82">
        <v>4</v>
      </c>
      <c r="U82">
        <v>2</v>
      </c>
      <c r="V82" t="s">
        <v>233</v>
      </c>
      <c r="W82">
        <v>145</v>
      </c>
      <c r="X82">
        <v>14</v>
      </c>
      <c r="Y82">
        <v>13</v>
      </c>
      <c r="Z82" t="s">
        <v>344</v>
      </c>
      <c r="AA82" t="s">
        <v>345</v>
      </c>
      <c r="AB82" t="s">
        <v>229</v>
      </c>
      <c r="AC82" t="s">
        <v>230</v>
      </c>
      <c r="AD82" t="s">
        <v>231</v>
      </c>
      <c r="AE82" t="s">
        <v>207</v>
      </c>
      <c r="AG82" t="s">
        <v>346</v>
      </c>
      <c r="AH82">
        <v>0</v>
      </c>
      <c r="AI82">
        <v>219</v>
      </c>
      <c r="AJ82">
        <v>20</v>
      </c>
      <c r="AK82">
        <v>363</v>
      </c>
      <c r="AL82">
        <v>0.96</v>
      </c>
    </row>
    <row r="83" spans="1:38" x14ac:dyDescent="0.3">
      <c r="A83" t="s">
        <v>223</v>
      </c>
      <c r="B83">
        <v>7212</v>
      </c>
      <c r="C83">
        <v>1</v>
      </c>
      <c r="D83" t="s">
        <v>347</v>
      </c>
      <c r="E83" t="s">
        <v>348</v>
      </c>
      <c r="F83">
        <v>520</v>
      </c>
      <c r="G83">
        <v>22.62</v>
      </c>
      <c r="H83">
        <v>74.8</v>
      </c>
      <c r="I83">
        <v>18.13</v>
      </c>
      <c r="J83">
        <v>59.94</v>
      </c>
      <c r="K83">
        <v>400</v>
      </c>
      <c r="T83">
        <v>3</v>
      </c>
      <c r="U83">
        <v>1</v>
      </c>
      <c r="V83" t="s">
        <v>233</v>
      </c>
      <c r="W83" t="s">
        <v>103</v>
      </c>
      <c r="X83">
        <v>15</v>
      </c>
      <c r="Y83">
        <v>14</v>
      </c>
      <c r="Z83" t="s">
        <v>349</v>
      </c>
      <c r="AA83" t="s">
        <v>350</v>
      </c>
      <c r="AB83" t="s">
        <v>229</v>
      </c>
      <c r="AC83" t="s">
        <v>230</v>
      </c>
      <c r="AD83" t="s">
        <v>231</v>
      </c>
      <c r="AE83" t="s">
        <v>207</v>
      </c>
      <c r="AG83" t="s">
        <v>351</v>
      </c>
      <c r="AH83">
        <v>0</v>
      </c>
      <c r="AI83">
        <v>217</v>
      </c>
      <c r="AJ83">
        <v>25</v>
      </c>
      <c r="AK83">
        <v>416</v>
      </c>
      <c r="AL83">
        <v>0.8</v>
      </c>
    </row>
    <row r="84" spans="1:38" x14ac:dyDescent="0.3">
      <c r="A84" t="s">
        <v>223</v>
      </c>
      <c r="B84">
        <v>7212</v>
      </c>
      <c r="C84">
        <v>2</v>
      </c>
      <c r="D84" t="s">
        <v>347</v>
      </c>
      <c r="E84" t="s">
        <v>348</v>
      </c>
      <c r="F84">
        <v>520</v>
      </c>
      <c r="G84">
        <v>22.66</v>
      </c>
      <c r="H84">
        <v>74.94</v>
      </c>
      <c r="I84">
        <v>18.100000000000001</v>
      </c>
      <c r="J84">
        <v>59.85</v>
      </c>
      <c r="K84">
        <v>120</v>
      </c>
      <c r="T84">
        <v>2</v>
      </c>
      <c r="U84">
        <v>2</v>
      </c>
      <c r="V84" t="s">
        <v>233</v>
      </c>
      <c r="W84" t="s">
        <v>104</v>
      </c>
      <c r="X84">
        <v>15</v>
      </c>
      <c r="Y84">
        <v>14</v>
      </c>
      <c r="Z84" t="s">
        <v>349</v>
      </c>
      <c r="AA84" t="s">
        <v>350</v>
      </c>
      <c r="AB84" t="s">
        <v>229</v>
      </c>
      <c r="AC84" t="s">
        <v>230</v>
      </c>
      <c r="AD84" t="s">
        <v>231</v>
      </c>
      <c r="AE84" t="s">
        <v>207</v>
      </c>
      <c r="AG84" t="s">
        <v>351</v>
      </c>
      <c r="AH84">
        <v>0</v>
      </c>
      <c r="AI84">
        <v>217</v>
      </c>
      <c r="AJ84">
        <v>25</v>
      </c>
      <c r="AK84">
        <v>416</v>
      </c>
      <c r="AL84">
        <v>0.8</v>
      </c>
    </row>
    <row r="85" spans="1:38" x14ac:dyDescent="0.3">
      <c r="A85" t="s">
        <v>223</v>
      </c>
      <c r="B85">
        <v>7222</v>
      </c>
      <c r="C85">
        <v>1</v>
      </c>
      <c r="D85" t="s">
        <v>352</v>
      </c>
      <c r="E85" t="s">
        <v>353</v>
      </c>
      <c r="F85">
        <v>324</v>
      </c>
      <c r="G85">
        <v>25.1</v>
      </c>
      <c r="H85">
        <v>82.99</v>
      </c>
      <c r="I85">
        <v>19.64</v>
      </c>
      <c r="J85">
        <v>64.94</v>
      </c>
      <c r="K85">
        <v>48</v>
      </c>
      <c r="T85">
        <v>2</v>
      </c>
      <c r="U85">
        <v>1</v>
      </c>
      <c r="V85" t="s">
        <v>233</v>
      </c>
      <c r="W85">
        <v>82</v>
      </c>
      <c r="X85">
        <v>15</v>
      </c>
      <c r="Y85">
        <v>12</v>
      </c>
      <c r="Z85" t="s">
        <v>354</v>
      </c>
      <c r="AA85" t="s">
        <v>355</v>
      </c>
      <c r="AB85" t="s">
        <v>229</v>
      </c>
      <c r="AC85" t="s">
        <v>230</v>
      </c>
      <c r="AD85" t="s">
        <v>231</v>
      </c>
      <c r="AE85" t="s">
        <v>207</v>
      </c>
      <c r="AG85" t="s">
        <v>356</v>
      </c>
      <c r="AH85">
        <v>0</v>
      </c>
      <c r="AI85">
        <v>203</v>
      </c>
      <c r="AJ85">
        <v>20</v>
      </c>
      <c r="AK85">
        <v>331</v>
      </c>
      <c r="AL85">
        <v>1.02</v>
      </c>
    </row>
    <row r="86" spans="1:38" x14ac:dyDescent="0.3">
      <c r="A86" t="s">
        <v>223</v>
      </c>
      <c r="B86">
        <v>7222</v>
      </c>
      <c r="C86">
        <v>2</v>
      </c>
      <c r="D86" t="s">
        <v>352</v>
      </c>
      <c r="E86" t="s">
        <v>353</v>
      </c>
      <c r="F86">
        <v>324</v>
      </c>
      <c r="G86">
        <v>26.22</v>
      </c>
      <c r="H86">
        <v>86.69</v>
      </c>
      <c r="I86">
        <v>20.69</v>
      </c>
      <c r="J86">
        <v>68.42</v>
      </c>
      <c r="K86">
        <v>60</v>
      </c>
      <c r="T86">
        <v>2</v>
      </c>
      <c r="U86">
        <v>1</v>
      </c>
      <c r="V86" t="s">
        <v>233</v>
      </c>
      <c r="W86" t="s">
        <v>105</v>
      </c>
      <c r="X86">
        <v>15</v>
      </c>
      <c r="Y86">
        <v>12</v>
      </c>
      <c r="Z86" t="s">
        <v>354</v>
      </c>
      <c r="AA86" t="s">
        <v>355</v>
      </c>
      <c r="AB86" t="s">
        <v>229</v>
      </c>
      <c r="AC86" t="s">
        <v>230</v>
      </c>
      <c r="AD86" t="s">
        <v>231</v>
      </c>
      <c r="AE86" t="s">
        <v>207</v>
      </c>
      <c r="AG86" t="s">
        <v>356</v>
      </c>
      <c r="AH86">
        <v>0</v>
      </c>
      <c r="AI86">
        <v>203</v>
      </c>
      <c r="AJ86">
        <v>20</v>
      </c>
      <c r="AK86">
        <v>331</v>
      </c>
      <c r="AL86">
        <v>1.02</v>
      </c>
    </row>
    <row r="87" spans="1:38" x14ac:dyDescent="0.3">
      <c r="A87" t="s">
        <v>223</v>
      </c>
      <c r="B87">
        <v>7222</v>
      </c>
      <c r="C87">
        <v>3</v>
      </c>
      <c r="D87" t="s">
        <v>352</v>
      </c>
      <c r="E87" t="s">
        <v>353</v>
      </c>
      <c r="F87">
        <v>324</v>
      </c>
      <c r="G87">
        <v>31.32</v>
      </c>
      <c r="H87">
        <v>103.57</v>
      </c>
      <c r="I87">
        <v>25.7</v>
      </c>
      <c r="J87">
        <v>84.99</v>
      </c>
      <c r="K87">
        <v>120</v>
      </c>
      <c r="T87">
        <v>3</v>
      </c>
      <c r="U87">
        <v>2</v>
      </c>
      <c r="V87" t="s">
        <v>233</v>
      </c>
      <c r="W87" t="s">
        <v>87</v>
      </c>
      <c r="X87">
        <v>15</v>
      </c>
      <c r="Y87">
        <v>12</v>
      </c>
      <c r="Z87" t="s">
        <v>354</v>
      </c>
      <c r="AA87" t="s">
        <v>355</v>
      </c>
      <c r="AB87" t="s">
        <v>229</v>
      </c>
      <c r="AC87" t="s">
        <v>230</v>
      </c>
      <c r="AD87" t="s">
        <v>231</v>
      </c>
      <c r="AE87" t="s">
        <v>207</v>
      </c>
      <c r="AG87" t="s">
        <v>356</v>
      </c>
      <c r="AH87">
        <v>0</v>
      </c>
      <c r="AI87">
        <v>203</v>
      </c>
      <c r="AJ87">
        <v>20</v>
      </c>
      <c r="AK87">
        <v>331</v>
      </c>
      <c r="AL87">
        <v>1.02</v>
      </c>
    </row>
    <row r="88" spans="1:38" x14ac:dyDescent="0.3">
      <c r="A88" t="s">
        <v>223</v>
      </c>
      <c r="B88">
        <v>7222</v>
      </c>
      <c r="C88">
        <v>4</v>
      </c>
      <c r="D88" t="s">
        <v>352</v>
      </c>
      <c r="E88" t="s">
        <v>353</v>
      </c>
      <c r="F88">
        <v>324</v>
      </c>
      <c r="G88">
        <v>31.23</v>
      </c>
      <c r="H88">
        <v>103.26</v>
      </c>
      <c r="I88">
        <v>25.67</v>
      </c>
      <c r="J88">
        <v>84.87</v>
      </c>
      <c r="K88">
        <v>96</v>
      </c>
      <c r="T88">
        <v>3</v>
      </c>
      <c r="U88">
        <v>2</v>
      </c>
      <c r="V88" t="s">
        <v>233</v>
      </c>
      <c r="W88" t="s">
        <v>86</v>
      </c>
      <c r="X88">
        <v>15</v>
      </c>
      <c r="Y88">
        <v>12</v>
      </c>
      <c r="Z88" t="s">
        <v>354</v>
      </c>
      <c r="AA88" t="s">
        <v>355</v>
      </c>
      <c r="AB88" t="s">
        <v>229</v>
      </c>
      <c r="AC88" t="s">
        <v>230</v>
      </c>
      <c r="AD88" t="s">
        <v>231</v>
      </c>
      <c r="AE88" t="s">
        <v>207</v>
      </c>
      <c r="AG88" t="s">
        <v>356</v>
      </c>
      <c r="AH88">
        <v>0</v>
      </c>
      <c r="AI88">
        <v>203</v>
      </c>
      <c r="AJ88">
        <v>20</v>
      </c>
      <c r="AK88">
        <v>331</v>
      </c>
      <c r="AL88">
        <v>1.02</v>
      </c>
    </row>
    <row r="89" spans="1:38" x14ac:dyDescent="0.3">
      <c r="A89" t="s">
        <v>223</v>
      </c>
      <c r="B89">
        <v>26163</v>
      </c>
      <c r="C89">
        <v>1</v>
      </c>
      <c r="D89" t="s">
        <v>357</v>
      </c>
      <c r="E89" t="s">
        <v>358</v>
      </c>
      <c r="F89">
        <v>459</v>
      </c>
      <c r="G89">
        <v>33.74</v>
      </c>
      <c r="H89">
        <v>111.55</v>
      </c>
      <c r="I89">
        <v>25.68</v>
      </c>
      <c r="J89">
        <v>84.92</v>
      </c>
      <c r="K89">
        <v>80</v>
      </c>
      <c r="T89">
        <v>3</v>
      </c>
      <c r="U89">
        <v>2</v>
      </c>
      <c r="V89" t="s">
        <v>233</v>
      </c>
      <c r="W89">
        <v>111</v>
      </c>
      <c r="X89">
        <v>15</v>
      </c>
      <c r="Y89">
        <v>11</v>
      </c>
      <c r="Z89" t="s">
        <v>359</v>
      </c>
      <c r="AA89" t="s">
        <v>360</v>
      </c>
      <c r="AB89" t="s">
        <v>229</v>
      </c>
      <c r="AC89" t="s">
        <v>230</v>
      </c>
      <c r="AD89" t="s">
        <v>231</v>
      </c>
      <c r="AE89" t="s">
        <v>207</v>
      </c>
      <c r="AG89" t="s">
        <v>361</v>
      </c>
      <c r="AH89">
        <v>0</v>
      </c>
      <c r="AI89">
        <v>209</v>
      </c>
      <c r="AJ89">
        <v>21</v>
      </c>
      <c r="AK89">
        <v>703</v>
      </c>
      <c r="AL89">
        <v>1.53</v>
      </c>
    </row>
    <row r="90" spans="1:38" x14ac:dyDescent="0.3">
      <c r="A90" t="s">
        <v>223</v>
      </c>
      <c r="B90">
        <v>26163</v>
      </c>
      <c r="C90">
        <v>2</v>
      </c>
      <c r="D90" t="s">
        <v>357</v>
      </c>
      <c r="E90" t="s">
        <v>358</v>
      </c>
      <c r="F90">
        <v>459</v>
      </c>
      <c r="G90">
        <v>34.08</v>
      </c>
      <c r="H90">
        <v>112.69</v>
      </c>
      <c r="I90">
        <v>25.7</v>
      </c>
      <c r="J90">
        <v>84.96</v>
      </c>
      <c r="K90">
        <v>259</v>
      </c>
      <c r="T90">
        <v>3</v>
      </c>
      <c r="U90">
        <v>2</v>
      </c>
      <c r="V90" t="s">
        <v>233</v>
      </c>
      <c r="W90" t="s">
        <v>106</v>
      </c>
      <c r="X90">
        <v>15</v>
      </c>
      <c r="Y90">
        <v>11</v>
      </c>
      <c r="Z90" t="s">
        <v>359</v>
      </c>
      <c r="AA90" t="s">
        <v>360</v>
      </c>
      <c r="AB90" t="s">
        <v>229</v>
      </c>
      <c r="AC90" t="s">
        <v>230</v>
      </c>
      <c r="AD90" t="s">
        <v>231</v>
      </c>
      <c r="AE90" t="s">
        <v>207</v>
      </c>
      <c r="AG90" t="s">
        <v>361</v>
      </c>
      <c r="AH90">
        <v>0</v>
      </c>
      <c r="AI90">
        <v>209</v>
      </c>
      <c r="AJ90">
        <v>21</v>
      </c>
      <c r="AK90">
        <v>703</v>
      </c>
      <c r="AL90">
        <v>1.53</v>
      </c>
    </row>
    <row r="91" spans="1:38" x14ac:dyDescent="0.3">
      <c r="A91" t="s">
        <v>223</v>
      </c>
      <c r="B91">
        <v>26163</v>
      </c>
      <c r="C91">
        <v>3</v>
      </c>
      <c r="D91" t="s">
        <v>357</v>
      </c>
      <c r="E91" t="s">
        <v>358</v>
      </c>
      <c r="F91">
        <v>459</v>
      </c>
      <c r="G91">
        <v>34.130000000000003</v>
      </c>
      <c r="H91">
        <v>112.84</v>
      </c>
      <c r="I91">
        <v>25.7</v>
      </c>
      <c r="J91">
        <v>84.98</v>
      </c>
      <c r="K91">
        <v>120</v>
      </c>
      <c r="T91">
        <v>3</v>
      </c>
      <c r="U91">
        <v>2</v>
      </c>
      <c r="V91" t="s">
        <v>233</v>
      </c>
      <c r="W91" t="s">
        <v>107</v>
      </c>
      <c r="X91">
        <v>15</v>
      </c>
      <c r="Y91">
        <v>11</v>
      </c>
      <c r="Z91" t="s">
        <v>359</v>
      </c>
      <c r="AA91" t="s">
        <v>360</v>
      </c>
      <c r="AB91" t="s">
        <v>229</v>
      </c>
      <c r="AC91" t="s">
        <v>230</v>
      </c>
      <c r="AD91" t="s">
        <v>231</v>
      </c>
      <c r="AE91" t="s">
        <v>207</v>
      </c>
      <c r="AG91" t="s">
        <v>361</v>
      </c>
      <c r="AH91">
        <v>0</v>
      </c>
      <c r="AI91">
        <v>209</v>
      </c>
      <c r="AJ91">
        <v>21</v>
      </c>
      <c r="AK91">
        <v>703</v>
      </c>
      <c r="AL91">
        <v>1.53</v>
      </c>
    </row>
    <row r="92" spans="1:38" x14ac:dyDescent="0.3">
      <c r="A92" t="s">
        <v>223</v>
      </c>
      <c r="B92">
        <v>7259</v>
      </c>
      <c r="C92">
        <v>1</v>
      </c>
      <c r="D92" t="s">
        <v>362</v>
      </c>
      <c r="E92" t="s">
        <v>363</v>
      </c>
      <c r="F92">
        <v>320</v>
      </c>
      <c r="G92">
        <v>36</v>
      </c>
      <c r="H92">
        <v>119.04</v>
      </c>
      <c r="I92">
        <v>30.19</v>
      </c>
      <c r="J92">
        <v>99.81</v>
      </c>
      <c r="K92">
        <v>148</v>
      </c>
      <c r="T92">
        <v>3</v>
      </c>
      <c r="U92">
        <v>2</v>
      </c>
      <c r="V92" t="s">
        <v>233</v>
      </c>
      <c r="W92">
        <v>119</v>
      </c>
      <c r="X92">
        <v>15</v>
      </c>
      <c r="Y92">
        <v>14</v>
      </c>
      <c r="Z92" t="s">
        <v>364</v>
      </c>
      <c r="AA92" t="s">
        <v>365</v>
      </c>
      <c r="AB92" t="s">
        <v>229</v>
      </c>
      <c r="AC92" t="s">
        <v>230</v>
      </c>
      <c r="AD92" t="s">
        <v>231</v>
      </c>
      <c r="AE92" t="s">
        <v>207</v>
      </c>
      <c r="AG92" t="s">
        <v>366</v>
      </c>
      <c r="AH92">
        <v>0</v>
      </c>
      <c r="AI92">
        <v>219</v>
      </c>
      <c r="AJ92">
        <v>21</v>
      </c>
      <c r="AK92">
        <v>524</v>
      </c>
      <c r="AL92">
        <v>1.64</v>
      </c>
    </row>
    <row r="93" spans="1:38" x14ac:dyDescent="0.3">
      <c r="A93" t="s">
        <v>223</v>
      </c>
      <c r="B93">
        <v>7259</v>
      </c>
      <c r="C93">
        <v>2</v>
      </c>
      <c r="D93" t="s">
        <v>362</v>
      </c>
      <c r="E93" t="s">
        <v>363</v>
      </c>
      <c r="F93">
        <v>320</v>
      </c>
      <c r="G93">
        <v>47.32</v>
      </c>
      <c r="H93">
        <v>156.46</v>
      </c>
      <c r="I93">
        <v>40.799999999999997</v>
      </c>
      <c r="J93">
        <v>134.88</v>
      </c>
      <c r="K93">
        <v>172</v>
      </c>
      <c r="T93">
        <v>4</v>
      </c>
      <c r="U93">
        <v>2</v>
      </c>
      <c r="V93" t="s">
        <v>233</v>
      </c>
      <c r="W93">
        <v>156</v>
      </c>
      <c r="X93">
        <v>15</v>
      </c>
      <c r="Y93">
        <v>14</v>
      </c>
      <c r="Z93" t="s">
        <v>364</v>
      </c>
      <c r="AA93" t="s">
        <v>365</v>
      </c>
      <c r="AB93" t="s">
        <v>229</v>
      </c>
      <c r="AC93" t="s">
        <v>230</v>
      </c>
      <c r="AD93" t="s">
        <v>231</v>
      </c>
      <c r="AE93" t="s">
        <v>207</v>
      </c>
      <c r="AG93" t="s">
        <v>366</v>
      </c>
      <c r="AH93">
        <v>0</v>
      </c>
      <c r="AI93">
        <v>219</v>
      </c>
      <c r="AJ93">
        <v>21</v>
      </c>
      <c r="AK93">
        <v>524</v>
      </c>
      <c r="AL93">
        <v>1.64</v>
      </c>
    </row>
    <row r="94" spans="1:38" x14ac:dyDescent="0.3">
      <c r="A94" t="s">
        <v>223</v>
      </c>
      <c r="B94">
        <v>132285</v>
      </c>
      <c r="C94">
        <v>1</v>
      </c>
      <c r="D94" t="s">
        <v>367</v>
      </c>
      <c r="E94" t="s">
        <v>368</v>
      </c>
      <c r="F94">
        <v>48</v>
      </c>
      <c r="G94">
        <v>9.65</v>
      </c>
      <c r="H94">
        <v>31.91</v>
      </c>
      <c r="I94">
        <v>7.31</v>
      </c>
      <c r="J94">
        <v>24.18</v>
      </c>
      <c r="K94">
        <v>17</v>
      </c>
      <c r="T94">
        <v>1</v>
      </c>
      <c r="U94">
        <v>1</v>
      </c>
      <c r="V94" t="s">
        <v>233</v>
      </c>
      <c r="W94" t="s">
        <v>369</v>
      </c>
      <c r="X94">
        <v>6</v>
      </c>
      <c r="Y94">
        <v>5</v>
      </c>
      <c r="Z94" t="s">
        <v>370</v>
      </c>
      <c r="AA94" t="s">
        <v>371</v>
      </c>
      <c r="AB94" t="s">
        <v>229</v>
      </c>
      <c r="AC94" t="s">
        <v>230</v>
      </c>
      <c r="AD94" t="s">
        <v>231</v>
      </c>
      <c r="AE94" t="s">
        <v>207</v>
      </c>
      <c r="AG94" t="s">
        <v>372</v>
      </c>
      <c r="AH94">
        <v>0</v>
      </c>
      <c r="AI94">
        <v>295</v>
      </c>
      <c r="AJ94">
        <v>63</v>
      </c>
      <c r="AK94">
        <v>16</v>
      </c>
      <c r="AL94">
        <v>0.33</v>
      </c>
    </row>
    <row r="95" spans="1:38" x14ac:dyDescent="0.3">
      <c r="A95" t="s">
        <v>223</v>
      </c>
      <c r="B95">
        <v>132285</v>
      </c>
      <c r="C95">
        <v>2</v>
      </c>
      <c r="D95" t="s">
        <v>367</v>
      </c>
      <c r="E95" t="s">
        <v>368</v>
      </c>
      <c r="F95">
        <v>48</v>
      </c>
      <c r="G95">
        <v>9.91</v>
      </c>
      <c r="H95">
        <v>32.770000000000003</v>
      </c>
      <c r="I95">
        <v>7.51</v>
      </c>
      <c r="J95">
        <v>24.83</v>
      </c>
      <c r="K95">
        <v>9</v>
      </c>
      <c r="T95">
        <v>1</v>
      </c>
      <c r="U95">
        <v>1</v>
      </c>
      <c r="V95" t="s">
        <v>233</v>
      </c>
      <c r="W95" t="s">
        <v>373</v>
      </c>
      <c r="X95">
        <v>6</v>
      </c>
      <c r="Y95">
        <v>5</v>
      </c>
      <c r="Z95" t="s">
        <v>370</v>
      </c>
      <c r="AA95" t="s">
        <v>371</v>
      </c>
      <c r="AB95" t="s">
        <v>229</v>
      </c>
      <c r="AC95" t="s">
        <v>230</v>
      </c>
      <c r="AD95" t="s">
        <v>231</v>
      </c>
      <c r="AE95" t="s">
        <v>207</v>
      </c>
      <c r="AG95" t="s">
        <v>372</v>
      </c>
      <c r="AH95">
        <v>0</v>
      </c>
      <c r="AI95">
        <v>295</v>
      </c>
      <c r="AJ95">
        <v>63</v>
      </c>
      <c r="AK95">
        <v>16</v>
      </c>
      <c r="AL95">
        <v>0.33</v>
      </c>
    </row>
    <row r="96" spans="1:38" x14ac:dyDescent="0.3">
      <c r="A96" t="s">
        <v>223</v>
      </c>
      <c r="B96">
        <v>132285</v>
      </c>
      <c r="C96">
        <v>3</v>
      </c>
      <c r="D96" t="s">
        <v>367</v>
      </c>
      <c r="E96" t="s">
        <v>368</v>
      </c>
      <c r="F96">
        <v>48</v>
      </c>
      <c r="G96">
        <v>10.31</v>
      </c>
      <c r="H96">
        <v>34.090000000000003</v>
      </c>
      <c r="I96">
        <v>7.81</v>
      </c>
      <c r="J96">
        <v>25.83</v>
      </c>
      <c r="K96">
        <v>20</v>
      </c>
      <c r="T96">
        <v>1</v>
      </c>
      <c r="U96">
        <v>1</v>
      </c>
      <c r="V96" t="s">
        <v>233</v>
      </c>
      <c r="W96" t="s">
        <v>374</v>
      </c>
      <c r="X96">
        <v>6</v>
      </c>
      <c r="Y96">
        <v>5</v>
      </c>
      <c r="Z96" t="s">
        <v>370</v>
      </c>
      <c r="AA96" t="s">
        <v>371</v>
      </c>
      <c r="AB96" t="s">
        <v>229</v>
      </c>
      <c r="AC96" t="s">
        <v>230</v>
      </c>
      <c r="AD96" t="s">
        <v>231</v>
      </c>
      <c r="AE96" t="s">
        <v>207</v>
      </c>
      <c r="AG96" t="s">
        <v>372</v>
      </c>
      <c r="AH96">
        <v>0</v>
      </c>
      <c r="AI96">
        <v>295</v>
      </c>
      <c r="AJ96">
        <v>63</v>
      </c>
      <c r="AK96">
        <v>16</v>
      </c>
      <c r="AL96">
        <v>0.33</v>
      </c>
    </row>
    <row r="97" spans="1:38" x14ac:dyDescent="0.3">
      <c r="A97" t="s">
        <v>223</v>
      </c>
      <c r="B97">
        <v>132285</v>
      </c>
      <c r="C97">
        <v>4</v>
      </c>
      <c r="D97" t="s">
        <v>367</v>
      </c>
      <c r="E97" t="s">
        <v>368</v>
      </c>
      <c r="F97">
        <v>48</v>
      </c>
      <c r="G97">
        <v>18.78</v>
      </c>
      <c r="H97">
        <v>62.11</v>
      </c>
      <c r="I97">
        <v>14.19</v>
      </c>
      <c r="J97">
        <v>46.93</v>
      </c>
      <c r="K97">
        <v>1</v>
      </c>
      <c r="T97">
        <v>2</v>
      </c>
      <c r="U97">
        <v>1</v>
      </c>
      <c r="V97" t="s">
        <v>233</v>
      </c>
      <c r="W97" t="s">
        <v>375</v>
      </c>
      <c r="X97">
        <v>6</v>
      </c>
      <c r="Y97">
        <v>5</v>
      </c>
      <c r="Z97" t="s">
        <v>370</v>
      </c>
      <c r="AA97" t="s">
        <v>371</v>
      </c>
      <c r="AB97" t="s">
        <v>229</v>
      </c>
      <c r="AC97" t="s">
        <v>230</v>
      </c>
      <c r="AD97" t="s">
        <v>231</v>
      </c>
      <c r="AE97" t="s">
        <v>207</v>
      </c>
      <c r="AG97" t="s">
        <v>372</v>
      </c>
      <c r="AH97">
        <v>0</v>
      </c>
      <c r="AI97">
        <v>295</v>
      </c>
      <c r="AJ97">
        <v>63</v>
      </c>
      <c r="AK97">
        <v>16</v>
      </c>
      <c r="AL97">
        <v>0.33</v>
      </c>
    </row>
    <row r="98" spans="1:38" x14ac:dyDescent="0.3">
      <c r="A98" t="s">
        <v>223</v>
      </c>
      <c r="B98">
        <v>132285</v>
      </c>
      <c r="C98">
        <v>5</v>
      </c>
      <c r="D98" t="s">
        <v>367</v>
      </c>
      <c r="E98" t="s">
        <v>368</v>
      </c>
      <c r="F98">
        <v>48</v>
      </c>
      <c r="G98">
        <v>19.04</v>
      </c>
      <c r="H98">
        <v>62.97</v>
      </c>
      <c r="I98">
        <v>14.39</v>
      </c>
      <c r="J98">
        <v>47.58</v>
      </c>
      <c r="K98">
        <v>1</v>
      </c>
      <c r="T98">
        <v>2</v>
      </c>
      <c r="U98">
        <v>1</v>
      </c>
      <c r="V98" t="s">
        <v>233</v>
      </c>
      <c r="W98" t="s">
        <v>376</v>
      </c>
      <c r="X98">
        <v>6</v>
      </c>
      <c r="Y98">
        <v>5</v>
      </c>
      <c r="Z98" t="s">
        <v>370</v>
      </c>
      <c r="AA98" t="s">
        <v>371</v>
      </c>
      <c r="AB98" t="s">
        <v>229</v>
      </c>
      <c r="AC98" t="s">
        <v>230</v>
      </c>
      <c r="AD98" t="s">
        <v>231</v>
      </c>
      <c r="AE98" t="s">
        <v>207</v>
      </c>
      <c r="AG98" t="s">
        <v>372</v>
      </c>
      <c r="AH98">
        <v>0</v>
      </c>
      <c r="AI98">
        <v>295</v>
      </c>
      <c r="AJ98">
        <v>63</v>
      </c>
      <c r="AK98">
        <v>16</v>
      </c>
      <c r="AL98">
        <v>0.33</v>
      </c>
    </row>
    <row r="99" spans="1:38" x14ac:dyDescent="0.3">
      <c r="A99" t="s">
        <v>223</v>
      </c>
      <c r="B99">
        <v>26051</v>
      </c>
      <c r="C99">
        <v>1</v>
      </c>
      <c r="D99" t="s">
        <v>377</v>
      </c>
      <c r="E99" t="s">
        <v>250</v>
      </c>
      <c r="F99">
        <v>310</v>
      </c>
      <c r="G99">
        <v>42.43</v>
      </c>
      <c r="H99">
        <v>140.29</v>
      </c>
      <c r="I99">
        <v>34.94</v>
      </c>
      <c r="J99">
        <v>115.51</v>
      </c>
      <c r="K99">
        <v>48</v>
      </c>
      <c r="T99">
        <v>3</v>
      </c>
      <c r="U99">
        <v>2</v>
      </c>
      <c r="V99" t="s">
        <v>233</v>
      </c>
      <c r="W99">
        <v>140</v>
      </c>
      <c r="X99">
        <v>15</v>
      </c>
      <c r="Y99">
        <v>11</v>
      </c>
      <c r="Z99" t="s">
        <v>378</v>
      </c>
      <c r="AA99" t="s">
        <v>379</v>
      </c>
      <c r="AB99" t="s">
        <v>229</v>
      </c>
      <c r="AC99" t="s">
        <v>230</v>
      </c>
      <c r="AD99" t="s">
        <v>231</v>
      </c>
      <c r="AE99" t="s">
        <v>207</v>
      </c>
      <c r="AG99" t="s">
        <v>380</v>
      </c>
      <c r="AH99">
        <v>0</v>
      </c>
      <c r="AI99">
        <v>219</v>
      </c>
      <c r="AJ99">
        <v>23</v>
      </c>
      <c r="AK99">
        <v>622</v>
      </c>
      <c r="AL99">
        <v>2.0099999999999998</v>
      </c>
    </row>
    <row r="100" spans="1:38" x14ac:dyDescent="0.3">
      <c r="A100" t="s">
        <v>223</v>
      </c>
      <c r="B100">
        <v>26051</v>
      </c>
      <c r="C100">
        <v>2</v>
      </c>
      <c r="D100" t="s">
        <v>377</v>
      </c>
      <c r="E100" t="s">
        <v>250</v>
      </c>
      <c r="F100">
        <v>310</v>
      </c>
      <c r="G100">
        <v>49.51</v>
      </c>
      <c r="H100">
        <v>163.69</v>
      </c>
      <c r="I100">
        <v>42.02</v>
      </c>
      <c r="J100">
        <v>138.93</v>
      </c>
      <c r="K100">
        <v>142</v>
      </c>
      <c r="T100">
        <v>4</v>
      </c>
      <c r="U100">
        <v>2</v>
      </c>
      <c r="V100" t="s">
        <v>233</v>
      </c>
      <c r="W100">
        <v>163</v>
      </c>
      <c r="X100">
        <v>15</v>
      </c>
      <c r="Y100">
        <v>11</v>
      </c>
      <c r="Z100" t="s">
        <v>378</v>
      </c>
      <c r="AA100" t="s">
        <v>379</v>
      </c>
      <c r="AB100" t="s">
        <v>229</v>
      </c>
      <c r="AC100" t="s">
        <v>230</v>
      </c>
      <c r="AD100" t="s">
        <v>231</v>
      </c>
      <c r="AE100" t="s">
        <v>207</v>
      </c>
      <c r="AG100" t="s">
        <v>380</v>
      </c>
      <c r="AH100">
        <v>0</v>
      </c>
      <c r="AI100">
        <v>219</v>
      </c>
      <c r="AJ100">
        <v>23</v>
      </c>
      <c r="AK100">
        <v>622</v>
      </c>
      <c r="AL100">
        <v>2.0099999999999998</v>
      </c>
    </row>
    <row r="101" spans="1:38" x14ac:dyDescent="0.3">
      <c r="A101" t="s">
        <v>223</v>
      </c>
      <c r="B101">
        <v>26051</v>
      </c>
      <c r="C101">
        <v>3</v>
      </c>
      <c r="D101" t="s">
        <v>377</v>
      </c>
      <c r="E101" t="s">
        <v>250</v>
      </c>
      <c r="F101">
        <v>310</v>
      </c>
      <c r="G101">
        <v>52.86</v>
      </c>
      <c r="H101">
        <v>174.76</v>
      </c>
      <c r="I101">
        <v>44.73</v>
      </c>
      <c r="J101">
        <v>147.88</v>
      </c>
      <c r="K101">
        <v>60</v>
      </c>
      <c r="T101">
        <v>4</v>
      </c>
      <c r="U101">
        <v>2</v>
      </c>
      <c r="V101" t="s">
        <v>233</v>
      </c>
      <c r="W101" t="s">
        <v>108</v>
      </c>
      <c r="X101">
        <v>15</v>
      </c>
      <c r="Y101">
        <v>11</v>
      </c>
      <c r="Z101" t="s">
        <v>378</v>
      </c>
      <c r="AA101" t="s">
        <v>379</v>
      </c>
      <c r="AB101" t="s">
        <v>229</v>
      </c>
      <c r="AC101" t="s">
        <v>230</v>
      </c>
      <c r="AD101" t="s">
        <v>231</v>
      </c>
      <c r="AE101" t="s">
        <v>207</v>
      </c>
      <c r="AG101" t="s">
        <v>380</v>
      </c>
      <c r="AH101">
        <v>0</v>
      </c>
      <c r="AI101">
        <v>219</v>
      </c>
      <c r="AJ101">
        <v>23</v>
      </c>
      <c r="AK101">
        <v>622</v>
      </c>
      <c r="AL101">
        <v>2.0099999999999998</v>
      </c>
    </row>
    <row r="102" spans="1:38" x14ac:dyDescent="0.3">
      <c r="A102" t="s">
        <v>223</v>
      </c>
      <c r="B102">
        <v>26051</v>
      </c>
      <c r="C102">
        <v>4</v>
      </c>
      <c r="D102" t="s">
        <v>377</v>
      </c>
      <c r="E102" t="s">
        <v>250</v>
      </c>
      <c r="F102">
        <v>310</v>
      </c>
      <c r="G102">
        <v>53.23</v>
      </c>
      <c r="H102">
        <v>175.97</v>
      </c>
      <c r="I102">
        <v>45.45</v>
      </c>
      <c r="J102">
        <v>150.28</v>
      </c>
      <c r="K102">
        <v>60</v>
      </c>
      <c r="T102">
        <v>4</v>
      </c>
      <c r="U102">
        <v>2</v>
      </c>
      <c r="V102" t="s">
        <v>233</v>
      </c>
      <c r="W102" t="s">
        <v>109</v>
      </c>
      <c r="X102">
        <v>15</v>
      </c>
      <c r="Y102">
        <v>11</v>
      </c>
      <c r="Z102" t="s">
        <v>378</v>
      </c>
      <c r="AA102" t="s">
        <v>379</v>
      </c>
      <c r="AB102" t="s">
        <v>229</v>
      </c>
      <c r="AC102" t="s">
        <v>230</v>
      </c>
      <c r="AD102" t="s">
        <v>231</v>
      </c>
      <c r="AE102" t="s">
        <v>207</v>
      </c>
      <c r="AG102" t="s">
        <v>380</v>
      </c>
      <c r="AH102">
        <v>0</v>
      </c>
      <c r="AI102">
        <v>219</v>
      </c>
      <c r="AJ102">
        <v>23</v>
      </c>
      <c r="AK102">
        <v>622</v>
      </c>
      <c r="AL102">
        <v>2.0099999999999998</v>
      </c>
    </row>
    <row r="103" spans="1:38" x14ac:dyDescent="0.3">
      <c r="A103" t="s">
        <v>223</v>
      </c>
      <c r="B103">
        <v>7203</v>
      </c>
      <c r="C103">
        <v>1</v>
      </c>
      <c r="D103" t="s">
        <v>381</v>
      </c>
      <c r="E103" t="s">
        <v>348</v>
      </c>
      <c r="F103">
        <v>448</v>
      </c>
      <c r="G103">
        <v>23.2</v>
      </c>
      <c r="H103">
        <v>76.7</v>
      </c>
      <c r="I103">
        <v>18.14</v>
      </c>
      <c r="J103">
        <v>59.98</v>
      </c>
      <c r="K103">
        <v>423</v>
      </c>
      <c r="T103">
        <v>3</v>
      </c>
      <c r="U103">
        <v>1</v>
      </c>
      <c r="V103" t="s">
        <v>233</v>
      </c>
      <c r="W103" t="s">
        <v>110</v>
      </c>
      <c r="X103">
        <v>15</v>
      </c>
      <c r="Y103">
        <v>13</v>
      </c>
      <c r="Z103" t="s">
        <v>382</v>
      </c>
      <c r="AA103" t="s">
        <v>383</v>
      </c>
      <c r="AB103" t="s">
        <v>229</v>
      </c>
      <c r="AC103" t="s">
        <v>230</v>
      </c>
      <c r="AD103" t="s">
        <v>231</v>
      </c>
      <c r="AE103" t="s">
        <v>207</v>
      </c>
      <c r="AG103" t="s">
        <v>384</v>
      </c>
      <c r="AH103">
        <v>0</v>
      </c>
      <c r="AI103">
        <v>213</v>
      </c>
      <c r="AJ103">
        <v>25</v>
      </c>
      <c r="AK103">
        <v>411</v>
      </c>
      <c r="AL103">
        <v>0.92</v>
      </c>
    </row>
    <row r="104" spans="1:38" x14ac:dyDescent="0.3">
      <c r="A104" t="s">
        <v>223</v>
      </c>
      <c r="B104">
        <v>7203</v>
      </c>
      <c r="C104">
        <v>2</v>
      </c>
      <c r="D104" t="s">
        <v>381</v>
      </c>
      <c r="E104" t="s">
        <v>348</v>
      </c>
      <c r="F104">
        <v>448</v>
      </c>
      <c r="G104">
        <v>23.19</v>
      </c>
      <c r="H104">
        <v>76.680000000000007</v>
      </c>
      <c r="I104">
        <v>18.13</v>
      </c>
      <c r="J104">
        <v>59.96</v>
      </c>
      <c r="K104">
        <v>25</v>
      </c>
      <c r="T104">
        <v>3</v>
      </c>
      <c r="U104">
        <v>1</v>
      </c>
      <c r="V104" t="s">
        <v>233</v>
      </c>
      <c r="W104" t="s">
        <v>111</v>
      </c>
      <c r="X104">
        <v>15</v>
      </c>
      <c r="Y104">
        <v>13</v>
      </c>
      <c r="Z104" t="s">
        <v>382</v>
      </c>
      <c r="AA104" t="s">
        <v>383</v>
      </c>
      <c r="AB104" t="s">
        <v>229</v>
      </c>
      <c r="AC104" t="s">
        <v>230</v>
      </c>
      <c r="AD104" t="s">
        <v>231</v>
      </c>
      <c r="AE104" t="s">
        <v>207</v>
      </c>
      <c r="AG104" t="s">
        <v>384</v>
      </c>
      <c r="AH104">
        <v>0</v>
      </c>
      <c r="AI104">
        <v>213</v>
      </c>
      <c r="AJ104">
        <v>25</v>
      </c>
      <c r="AK104">
        <v>411</v>
      </c>
      <c r="AL104">
        <v>0.92</v>
      </c>
    </row>
    <row r="105" spans="1:38" x14ac:dyDescent="0.3">
      <c r="A105" t="s">
        <v>223</v>
      </c>
      <c r="B105">
        <v>7249</v>
      </c>
      <c r="C105">
        <v>1</v>
      </c>
      <c r="D105" t="s">
        <v>385</v>
      </c>
      <c r="E105" t="s">
        <v>386</v>
      </c>
      <c r="F105">
        <v>320</v>
      </c>
      <c r="G105">
        <v>37.94</v>
      </c>
      <c r="H105">
        <v>125.44</v>
      </c>
      <c r="I105">
        <v>30.24</v>
      </c>
      <c r="J105">
        <v>99.98</v>
      </c>
      <c r="K105">
        <v>170</v>
      </c>
      <c r="T105">
        <v>3</v>
      </c>
      <c r="U105">
        <v>2</v>
      </c>
      <c r="V105" t="s">
        <v>233</v>
      </c>
      <c r="W105">
        <v>125</v>
      </c>
      <c r="X105">
        <v>15</v>
      </c>
      <c r="Y105">
        <v>12</v>
      </c>
      <c r="Z105" t="s">
        <v>387</v>
      </c>
      <c r="AA105" t="s">
        <v>388</v>
      </c>
      <c r="AB105" t="s">
        <v>229</v>
      </c>
      <c r="AC105" t="s">
        <v>230</v>
      </c>
      <c r="AD105" t="s">
        <v>231</v>
      </c>
      <c r="AE105" t="s">
        <v>207</v>
      </c>
      <c r="AG105" t="s">
        <v>389</v>
      </c>
      <c r="AH105">
        <v>0</v>
      </c>
      <c r="AI105">
        <v>218</v>
      </c>
      <c r="AJ105">
        <v>20</v>
      </c>
      <c r="AK105">
        <v>475</v>
      </c>
      <c r="AL105">
        <v>1.48</v>
      </c>
    </row>
    <row r="106" spans="1:38" x14ac:dyDescent="0.3">
      <c r="A106" t="s">
        <v>223</v>
      </c>
      <c r="B106">
        <v>7249</v>
      </c>
      <c r="C106">
        <v>2</v>
      </c>
      <c r="D106" t="s">
        <v>385</v>
      </c>
      <c r="E106" t="s">
        <v>386</v>
      </c>
      <c r="F106">
        <v>320</v>
      </c>
      <c r="G106">
        <v>43.86</v>
      </c>
      <c r="H106">
        <v>145.01</v>
      </c>
      <c r="I106">
        <v>35.51</v>
      </c>
      <c r="J106">
        <v>117.42</v>
      </c>
      <c r="K106">
        <v>120</v>
      </c>
      <c r="T106">
        <v>4</v>
      </c>
      <c r="U106">
        <v>3</v>
      </c>
      <c r="V106" t="s">
        <v>233</v>
      </c>
      <c r="W106">
        <v>145</v>
      </c>
      <c r="X106">
        <v>15</v>
      </c>
      <c r="Y106">
        <v>12</v>
      </c>
      <c r="Z106" t="s">
        <v>387</v>
      </c>
      <c r="AA106" t="s">
        <v>388</v>
      </c>
      <c r="AB106" t="s">
        <v>229</v>
      </c>
      <c r="AC106" t="s">
        <v>230</v>
      </c>
      <c r="AD106" t="s">
        <v>231</v>
      </c>
      <c r="AE106" t="s">
        <v>207</v>
      </c>
      <c r="AG106" t="s">
        <v>389</v>
      </c>
      <c r="AH106">
        <v>0</v>
      </c>
      <c r="AI106">
        <v>218</v>
      </c>
      <c r="AJ106">
        <v>20</v>
      </c>
      <c r="AK106">
        <v>475</v>
      </c>
      <c r="AL106">
        <v>1.48</v>
      </c>
    </row>
    <row r="107" spans="1:38" x14ac:dyDescent="0.3">
      <c r="A107" t="s">
        <v>223</v>
      </c>
      <c r="B107">
        <v>7249</v>
      </c>
      <c r="C107">
        <v>3</v>
      </c>
      <c r="D107" t="s">
        <v>385</v>
      </c>
      <c r="E107" t="s">
        <v>386</v>
      </c>
      <c r="F107">
        <v>320</v>
      </c>
      <c r="G107">
        <v>52.81</v>
      </c>
      <c r="H107">
        <v>174.58</v>
      </c>
      <c r="I107">
        <v>43.73</v>
      </c>
      <c r="J107">
        <v>144.59</v>
      </c>
      <c r="K107">
        <v>30</v>
      </c>
      <c r="T107">
        <v>4</v>
      </c>
      <c r="U107">
        <v>3</v>
      </c>
      <c r="V107" t="s">
        <v>233</v>
      </c>
      <c r="W107">
        <v>174</v>
      </c>
      <c r="X107">
        <v>15</v>
      </c>
      <c r="Y107">
        <v>12</v>
      </c>
      <c r="Z107" t="s">
        <v>387</v>
      </c>
      <c r="AA107" t="s">
        <v>388</v>
      </c>
      <c r="AB107" t="s">
        <v>229</v>
      </c>
      <c r="AC107" t="s">
        <v>230</v>
      </c>
      <c r="AD107" t="s">
        <v>231</v>
      </c>
      <c r="AE107" t="s">
        <v>207</v>
      </c>
      <c r="AG107" t="s">
        <v>389</v>
      </c>
      <c r="AH107">
        <v>0</v>
      </c>
      <c r="AI107">
        <v>218</v>
      </c>
      <c r="AJ107">
        <v>20</v>
      </c>
      <c r="AK107">
        <v>475</v>
      </c>
      <c r="AL107">
        <v>1.48</v>
      </c>
    </row>
    <row r="108" spans="1:38" x14ac:dyDescent="0.3">
      <c r="A108" t="s">
        <v>223</v>
      </c>
      <c r="B108">
        <v>26151</v>
      </c>
      <c r="C108">
        <v>1</v>
      </c>
      <c r="D108" t="s">
        <v>390</v>
      </c>
      <c r="E108" t="s">
        <v>358</v>
      </c>
      <c r="F108">
        <v>416</v>
      </c>
      <c r="G108">
        <v>34.049999999999997</v>
      </c>
      <c r="H108">
        <v>112.58</v>
      </c>
      <c r="I108">
        <v>25.7</v>
      </c>
      <c r="J108">
        <v>84.96</v>
      </c>
      <c r="K108">
        <v>193</v>
      </c>
      <c r="T108">
        <v>3</v>
      </c>
      <c r="U108">
        <v>2</v>
      </c>
      <c r="V108" t="s">
        <v>233</v>
      </c>
      <c r="W108" t="s">
        <v>106</v>
      </c>
      <c r="X108">
        <v>15</v>
      </c>
      <c r="Y108">
        <v>11</v>
      </c>
      <c r="Z108" t="s">
        <v>391</v>
      </c>
      <c r="AA108" t="s">
        <v>392</v>
      </c>
      <c r="AB108" t="s">
        <v>229</v>
      </c>
      <c r="AC108" t="s">
        <v>230</v>
      </c>
      <c r="AD108" t="s">
        <v>231</v>
      </c>
      <c r="AE108" t="s">
        <v>207</v>
      </c>
      <c r="AG108" t="s">
        <v>393</v>
      </c>
      <c r="AH108">
        <v>0</v>
      </c>
      <c r="AI108">
        <v>210</v>
      </c>
      <c r="AJ108">
        <v>21</v>
      </c>
      <c r="AK108">
        <v>633</v>
      </c>
      <c r="AL108">
        <v>1.52</v>
      </c>
    </row>
    <row r="109" spans="1:38" x14ac:dyDescent="0.3">
      <c r="A109" t="s">
        <v>223</v>
      </c>
      <c r="B109">
        <v>26151</v>
      </c>
      <c r="C109">
        <v>2</v>
      </c>
      <c r="D109" t="s">
        <v>390</v>
      </c>
      <c r="E109" t="s">
        <v>358</v>
      </c>
      <c r="F109">
        <v>416</v>
      </c>
      <c r="G109">
        <v>34.130000000000003</v>
      </c>
      <c r="H109">
        <v>112.85</v>
      </c>
      <c r="I109">
        <v>25.7</v>
      </c>
      <c r="J109">
        <v>84.96</v>
      </c>
      <c r="K109">
        <v>60</v>
      </c>
      <c r="T109">
        <v>3</v>
      </c>
      <c r="U109">
        <v>2</v>
      </c>
      <c r="V109" t="s">
        <v>233</v>
      </c>
      <c r="W109" t="s">
        <v>112</v>
      </c>
      <c r="X109">
        <v>15</v>
      </c>
      <c r="Y109">
        <v>11</v>
      </c>
      <c r="Z109" t="s">
        <v>391</v>
      </c>
      <c r="AA109" t="s">
        <v>392</v>
      </c>
      <c r="AB109" t="s">
        <v>229</v>
      </c>
      <c r="AC109" t="s">
        <v>230</v>
      </c>
      <c r="AD109" t="s">
        <v>231</v>
      </c>
      <c r="AE109" t="s">
        <v>207</v>
      </c>
      <c r="AG109" t="s">
        <v>393</v>
      </c>
      <c r="AH109">
        <v>0</v>
      </c>
      <c r="AI109">
        <v>210</v>
      </c>
      <c r="AJ109">
        <v>21</v>
      </c>
      <c r="AK109">
        <v>633</v>
      </c>
      <c r="AL109">
        <v>1.52</v>
      </c>
    </row>
    <row r="110" spans="1:38" x14ac:dyDescent="0.3">
      <c r="A110" t="s">
        <v>223</v>
      </c>
      <c r="B110">
        <v>26151</v>
      </c>
      <c r="C110">
        <v>3</v>
      </c>
      <c r="D110" t="s">
        <v>390</v>
      </c>
      <c r="E110" t="s">
        <v>358</v>
      </c>
      <c r="F110">
        <v>416</v>
      </c>
      <c r="G110">
        <v>34.14</v>
      </c>
      <c r="H110">
        <v>112.89</v>
      </c>
      <c r="I110">
        <v>25.7</v>
      </c>
      <c r="J110">
        <v>84.97</v>
      </c>
      <c r="K110">
        <v>59</v>
      </c>
      <c r="T110">
        <v>3</v>
      </c>
      <c r="U110">
        <v>2</v>
      </c>
      <c r="V110" t="s">
        <v>233</v>
      </c>
      <c r="W110" t="s">
        <v>113</v>
      </c>
      <c r="X110">
        <v>15</v>
      </c>
      <c r="Y110">
        <v>11</v>
      </c>
      <c r="Z110" t="s">
        <v>391</v>
      </c>
      <c r="AA110" t="s">
        <v>392</v>
      </c>
      <c r="AB110" t="s">
        <v>229</v>
      </c>
      <c r="AC110" t="s">
        <v>230</v>
      </c>
      <c r="AD110" t="s">
        <v>231</v>
      </c>
      <c r="AE110" t="s">
        <v>207</v>
      </c>
      <c r="AG110" t="s">
        <v>393</v>
      </c>
      <c r="AH110">
        <v>0</v>
      </c>
      <c r="AI110">
        <v>210</v>
      </c>
      <c r="AJ110">
        <v>21</v>
      </c>
      <c r="AK110">
        <v>633</v>
      </c>
      <c r="AL110">
        <v>1.52</v>
      </c>
    </row>
    <row r="111" spans="1:38" x14ac:dyDescent="0.3">
      <c r="A111" t="s">
        <v>223</v>
      </c>
      <c r="B111">
        <v>26151</v>
      </c>
      <c r="C111">
        <v>4</v>
      </c>
      <c r="D111" t="s">
        <v>390</v>
      </c>
      <c r="E111" t="s">
        <v>358</v>
      </c>
      <c r="F111">
        <v>416</v>
      </c>
      <c r="G111">
        <v>34.53</v>
      </c>
      <c r="H111">
        <v>114.15</v>
      </c>
      <c r="I111">
        <v>25.7</v>
      </c>
      <c r="J111">
        <v>84.96</v>
      </c>
      <c r="K111">
        <v>59</v>
      </c>
      <c r="T111">
        <v>3</v>
      </c>
      <c r="U111">
        <v>2</v>
      </c>
      <c r="V111" t="s">
        <v>233</v>
      </c>
      <c r="W111" t="s">
        <v>114</v>
      </c>
      <c r="X111">
        <v>15</v>
      </c>
      <c r="Y111">
        <v>11</v>
      </c>
      <c r="Z111" t="s">
        <v>391</v>
      </c>
      <c r="AA111" t="s">
        <v>392</v>
      </c>
      <c r="AB111" t="s">
        <v>229</v>
      </c>
      <c r="AC111" t="s">
        <v>230</v>
      </c>
      <c r="AD111" t="s">
        <v>231</v>
      </c>
      <c r="AE111" t="s">
        <v>207</v>
      </c>
      <c r="AG111" t="s">
        <v>393</v>
      </c>
      <c r="AH111">
        <v>0</v>
      </c>
      <c r="AI111">
        <v>210</v>
      </c>
      <c r="AJ111">
        <v>21</v>
      </c>
      <c r="AK111">
        <v>633</v>
      </c>
      <c r="AL111">
        <v>1.52</v>
      </c>
    </row>
    <row r="112" spans="1:38" x14ac:dyDescent="0.3">
      <c r="A112" t="s">
        <v>223</v>
      </c>
      <c r="B112">
        <v>26151</v>
      </c>
      <c r="C112">
        <v>5</v>
      </c>
      <c r="D112" t="s">
        <v>390</v>
      </c>
      <c r="E112" t="s">
        <v>358</v>
      </c>
      <c r="F112">
        <v>416</v>
      </c>
      <c r="G112">
        <v>35.17</v>
      </c>
      <c r="H112">
        <v>116.27</v>
      </c>
      <c r="I112">
        <v>25.7</v>
      </c>
      <c r="J112">
        <v>84.97</v>
      </c>
      <c r="K112">
        <v>15</v>
      </c>
      <c r="T112">
        <v>3</v>
      </c>
      <c r="U112">
        <v>2</v>
      </c>
      <c r="V112" t="s">
        <v>233</v>
      </c>
      <c r="W112" t="s">
        <v>115</v>
      </c>
      <c r="X112">
        <v>15</v>
      </c>
      <c r="Y112">
        <v>11</v>
      </c>
      <c r="Z112" t="s">
        <v>391</v>
      </c>
      <c r="AA112" t="s">
        <v>392</v>
      </c>
      <c r="AB112" t="s">
        <v>229</v>
      </c>
      <c r="AC112" t="s">
        <v>230</v>
      </c>
      <c r="AD112" t="s">
        <v>231</v>
      </c>
      <c r="AE112" t="s">
        <v>207</v>
      </c>
      <c r="AG112" t="s">
        <v>393</v>
      </c>
      <c r="AH112">
        <v>0</v>
      </c>
      <c r="AI112">
        <v>210</v>
      </c>
      <c r="AJ112">
        <v>21</v>
      </c>
      <c r="AK112">
        <v>633</v>
      </c>
      <c r="AL112">
        <v>1.52</v>
      </c>
    </row>
    <row r="113" spans="1:38" x14ac:dyDescent="0.3">
      <c r="A113" t="s">
        <v>223</v>
      </c>
      <c r="B113">
        <v>26151</v>
      </c>
      <c r="C113">
        <v>6</v>
      </c>
      <c r="D113" t="s">
        <v>390</v>
      </c>
      <c r="E113" t="s">
        <v>358</v>
      </c>
      <c r="F113">
        <v>416</v>
      </c>
      <c r="G113">
        <v>35.54</v>
      </c>
      <c r="H113">
        <v>117.52</v>
      </c>
      <c r="I113">
        <v>25.7</v>
      </c>
      <c r="J113">
        <v>84.96</v>
      </c>
      <c r="K113">
        <v>30</v>
      </c>
      <c r="T113">
        <v>3</v>
      </c>
      <c r="U113">
        <v>2</v>
      </c>
      <c r="V113" t="s">
        <v>233</v>
      </c>
      <c r="W113" t="s">
        <v>116</v>
      </c>
      <c r="X113">
        <v>15</v>
      </c>
      <c r="Y113">
        <v>11</v>
      </c>
      <c r="Z113" t="s">
        <v>391</v>
      </c>
      <c r="AA113" t="s">
        <v>392</v>
      </c>
      <c r="AB113" t="s">
        <v>229</v>
      </c>
      <c r="AC113" t="s">
        <v>230</v>
      </c>
      <c r="AD113" t="s">
        <v>231</v>
      </c>
      <c r="AE113" t="s">
        <v>207</v>
      </c>
      <c r="AG113" t="s">
        <v>393</v>
      </c>
      <c r="AH113">
        <v>0</v>
      </c>
      <c r="AI113">
        <v>210</v>
      </c>
      <c r="AJ113">
        <v>21</v>
      </c>
      <c r="AK113">
        <v>633</v>
      </c>
      <c r="AL113">
        <v>1.52</v>
      </c>
    </row>
    <row r="114" spans="1:38" x14ac:dyDescent="0.3">
      <c r="A114" t="s">
        <v>394</v>
      </c>
      <c r="B114">
        <v>17222</v>
      </c>
      <c r="C114">
        <v>1</v>
      </c>
      <c r="D114" t="s">
        <v>395</v>
      </c>
      <c r="E114" t="s">
        <v>396</v>
      </c>
      <c r="F114">
        <v>150</v>
      </c>
      <c r="G114">
        <v>17.329999999999998</v>
      </c>
      <c r="H114">
        <v>57.32</v>
      </c>
      <c r="I114">
        <v>15.11</v>
      </c>
      <c r="J114">
        <v>49.97</v>
      </c>
      <c r="K114">
        <v>40</v>
      </c>
      <c r="T114">
        <v>2</v>
      </c>
      <c r="U114">
        <v>1</v>
      </c>
      <c r="V114" t="s">
        <v>233</v>
      </c>
      <c r="W114">
        <v>57</v>
      </c>
      <c r="X114">
        <v>5</v>
      </c>
      <c r="Y114">
        <v>5</v>
      </c>
      <c r="Z114" t="s">
        <v>397</v>
      </c>
      <c r="AA114" t="s">
        <v>398</v>
      </c>
      <c r="AB114" t="s">
        <v>229</v>
      </c>
      <c r="AC114" t="s">
        <v>230</v>
      </c>
      <c r="AD114" t="s">
        <v>231</v>
      </c>
      <c r="AE114" t="s">
        <v>399</v>
      </c>
      <c r="AG114" t="s">
        <v>400</v>
      </c>
      <c r="AH114">
        <v>0</v>
      </c>
      <c r="AI114">
        <v>137</v>
      </c>
      <c r="AJ114">
        <v>28</v>
      </c>
      <c r="AK114">
        <v>0</v>
      </c>
      <c r="AL114">
        <v>0</v>
      </c>
    </row>
    <row r="115" spans="1:38" x14ac:dyDescent="0.3">
      <c r="A115" t="s">
        <v>394</v>
      </c>
      <c r="B115">
        <v>17222</v>
      </c>
      <c r="C115">
        <v>2</v>
      </c>
      <c r="D115" t="s">
        <v>395</v>
      </c>
      <c r="E115" t="s">
        <v>396</v>
      </c>
      <c r="F115">
        <v>150</v>
      </c>
      <c r="G115">
        <v>20.18</v>
      </c>
      <c r="H115">
        <v>66.72</v>
      </c>
      <c r="I115">
        <v>18.11</v>
      </c>
      <c r="J115">
        <v>59.88</v>
      </c>
      <c r="K115">
        <v>40</v>
      </c>
      <c r="T115">
        <v>3</v>
      </c>
      <c r="U115">
        <v>1</v>
      </c>
      <c r="V115" t="s">
        <v>233</v>
      </c>
      <c r="W115" t="s">
        <v>401</v>
      </c>
      <c r="X115">
        <v>5</v>
      </c>
      <c r="Y115">
        <v>5</v>
      </c>
      <c r="Z115" t="s">
        <v>397</v>
      </c>
      <c r="AA115" t="s">
        <v>398</v>
      </c>
      <c r="AB115" t="s">
        <v>229</v>
      </c>
      <c r="AC115" t="s">
        <v>230</v>
      </c>
      <c r="AD115" t="s">
        <v>231</v>
      </c>
      <c r="AE115" t="s">
        <v>399</v>
      </c>
      <c r="AG115" t="s">
        <v>400</v>
      </c>
      <c r="AH115">
        <v>0</v>
      </c>
      <c r="AI115">
        <v>137</v>
      </c>
      <c r="AJ115">
        <v>28</v>
      </c>
      <c r="AK115">
        <v>0</v>
      </c>
      <c r="AL115">
        <v>0</v>
      </c>
    </row>
    <row r="116" spans="1:38" x14ac:dyDescent="0.3">
      <c r="A116" t="s">
        <v>394</v>
      </c>
      <c r="B116">
        <v>17222</v>
      </c>
      <c r="C116">
        <v>3</v>
      </c>
      <c r="D116" t="s">
        <v>395</v>
      </c>
      <c r="E116" t="s">
        <v>396</v>
      </c>
      <c r="F116">
        <v>150</v>
      </c>
      <c r="G116">
        <v>20.2</v>
      </c>
      <c r="H116">
        <v>66.790000000000006</v>
      </c>
      <c r="I116">
        <v>18.13</v>
      </c>
      <c r="J116">
        <v>59.94</v>
      </c>
      <c r="K116">
        <v>40</v>
      </c>
      <c r="T116">
        <v>3</v>
      </c>
      <c r="U116">
        <v>1</v>
      </c>
      <c r="V116" t="s">
        <v>233</v>
      </c>
      <c r="W116" t="s">
        <v>402</v>
      </c>
      <c r="X116">
        <v>5</v>
      </c>
      <c r="Y116">
        <v>5</v>
      </c>
      <c r="Z116" t="s">
        <v>397</v>
      </c>
      <c r="AA116" t="s">
        <v>398</v>
      </c>
      <c r="AB116" t="s">
        <v>229</v>
      </c>
      <c r="AC116" t="s">
        <v>230</v>
      </c>
      <c r="AD116" t="s">
        <v>231</v>
      </c>
      <c r="AE116" t="s">
        <v>399</v>
      </c>
      <c r="AG116" t="s">
        <v>400</v>
      </c>
      <c r="AH116">
        <v>0</v>
      </c>
      <c r="AI116">
        <v>137</v>
      </c>
      <c r="AJ116">
        <v>28</v>
      </c>
      <c r="AK116">
        <v>0</v>
      </c>
      <c r="AL116">
        <v>0</v>
      </c>
    </row>
    <row r="117" spans="1:38" x14ac:dyDescent="0.3">
      <c r="A117" t="s">
        <v>394</v>
      </c>
      <c r="B117">
        <v>17222</v>
      </c>
      <c r="C117">
        <v>4</v>
      </c>
      <c r="D117" t="s">
        <v>395</v>
      </c>
      <c r="E117" t="s">
        <v>396</v>
      </c>
      <c r="F117">
        <v>150</v>
      </c>
      <c r="G117">
        <v>20.18</v>
      </c>
      <c r="H117">
        <v>66.72</v>
      </c>
      <c r="I117">
        <v>18.11</v>
      </c>
      <c r="J117">
        <v>59.9</v>
      </c>
      <c r="K117">
        <v>30</v>
      </c>
      <c r="T117">
        <v>3</v>
      </c>
      <c r="U117">
        <v>1</v>
      </c>
      <c r="V117" t="s">
        <v>233</v>
      </c>
      <c r="W117" t="s">
        <v>403</v>
      </c>
      <c r="X117">
        <v>5</v>
      </c>
      <c r="Y117">
        <v>5</v>
      </c>
      <c r="Z117" t="s">
        <v>397</v>
      </c>
      <c r="AA117" t="s">
        <v>398</v>
      </c>
      <c r="AB117" t="s">
        <v>229</v>
      </c>
      <c r="AC117" t="s">
        <v>230</v>
      </c>
      <c r="AD117" t="s">
        <v>231</v>
      </c>
      <c r="AE117" t="s">
        <v>399</v>
      </c>
      <c r="AG117" t="s">
        <v>400</v>
      </c>
      <c r="AH117">
        <v>0</v>
      </c>
      <c r="AI117">
        <v>137</v>
      </c>
      <c r="AJ117">
        <v>28</v>
      </c>
      <c r="AK117">
        <v>0</v>
      </c>
      <c r="AL117">
        <v>0</v>
      </c>
    </row>
    <row r="118" spans="1:38" x14ac:dyDescent="0.3">
      <c r="A118" t="s">
        <v>394</v>
      </c>
      <c r="B118">
        <v>105782</v>
      </c>
      <c r="C118">
        <v>1</v>
      </c>
      <c r="D118" t="s">
        <v>404</v>
      </c>
      <c r="E118" t="s">
        <v>405</v>
      </c>
      <c r="F118">
        <v>118</v>
      </c>
      <c r="G118">
        <v>25.69</v>
      </c>
      <c r="H118">
        <v>84.93</v>
      </c>
      <c r="I118">
        <v>17.77</v>
      </c>
      <c r="J118">
        <v>58.77</v>
      </c>
      <c r="K118">
        <v>78</v>
      </c>
      <c r="T118">
        <v>3</v>
      </c>
      <c r="U118">
        <v>1</v>
      </c>
      <c r="V118" t="s">
        <v>226</v>
      </c>
      <c r="W118">
        <v>84</v>
      </c>
      <c r="X118">
        <v>6</v>
      </c>
      <c r="Y118">
        <v>5</v>
      </c>
      <c r="Z118" t="s">
        <v>406</v>
      </c>
      <c r="AA118" t="s">
        <v>407</v>
      </c>
      <c r="AB118" t="s">
        <v>229</v>
      </c>
      <c r="AC118" t="s">
        <v>230</v>
      </c>
      <c r="AD118" t="s">
        <v>231</v>
      </c>
      <c r="AE118" t="s">
        <v>399</v>
      </c>
      <c r="AG118" t="s">
        <v>408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394</v>
      </c>
      <c r="B119">
        <v>105782</v>
      </c>
      <c r="C119">
        <v>2</v>
      </c>
      <c r="D119" t="s">
        <v>404</v>
      </c>
      <c r="E119" t="s">
        <v>405</v>
      </c>
      <c r="F119">
        <v>118</v>
      </c>
      <c r="G119">
        <v>29.98</v>
      </c>
      <c r="H119">
        <v>99.11</v>
      </c>
      <c r="I119">
        <v>20.74</v>
      </c>
      <c r="J119">
        <v>68.58</v>
      </c>
      <c r="K119">
        <v>11</v>
      </c>
      <c r="T119">
        <v>3</v>
      </c>
      <c r="U119">
        <v>1</v>
      </c>
      <c r="V119" t="s">
        <v>226</v>
      </c>
      <c r="W119">
        <v>99</v>
      </c>
      <c r="X119">
        <v>6</v>
      </c>
      <c r="Y119">
        <v>5</v>
      </c>
      <c r="Z119" t="s">
        <v>406</v>
      </c>
      <c r="AA119" t="s">
        <v>407</v>
      </c>
      <c r="AB119" t="s">
        <v>229</v>
      </c>
      <c r="AC119" t="s">
        <v>230</v>
      </c>
      <c r="AD119" t="s">
        <v>231</v>
      </c>
      <c r="AE119" t="s">
        <v>399</v>
      </c>
      <c r="AG119" t="s">
        <v>408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394</v>
      </c>
      <c r="B120">
        <v>105782</v>
      </c>
      <c r="C120">
        <v>3</v>
      </c>
      <c r="D120" t="s">
        <v>404</v>
      </c>
      <c r="E120" t="s">
        <v>405</v>
      </c>
      <c r="F120">
        <v>118</v>
      </c>
      <c r="G120">
        <v>33.44</v>
      </c>
      <c r="H120">
        <v>110.56</v>
      </c>
      <c r="I120">
        <v>25.67</v>
      </c>
      <c r="J120">
        <v>84.89</v>
      </c>
      <c r="K120">
        <v>24</v>
      </c>
      <c r="T120">
        <v>3</v>
      </c>
      <c r="U120">
        <v>2</v>
      </c>
      <c r="V120" t="s">
        <v>233</v>
      </c>
      <c r="W120">
        <v>110</v>
      </c>
      <c r="X120">
        <v>6</v>
      </c>
      <c r="Y120">
        <v>5</v>
      </c>
      <c r="Z120" t="s">
        <v>406</v>
      </c>
      <c r="AA120" t="s">
        <v>407</v>
      </c>
      <c r="AB120" t="s">
        <v>229</v>
      </c>
      <c r="AC120" t="s">
        <v>230</v>
      </c>
      <c r="AD120" t="s">
        <v>231</v>
      </c>
      <c r="AE120" t="s">
        <v>399</v>
      </c>
      <c r="AG120" t="s">
        <v>408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394</v>
      </c>
      <c r="B121">
        <v>105782</v>
      </c>
      <c r="C121">
        <v>4</v>
      </c>
      <c r="D121" t="s">
        <v>404</v>
      </c>
      <c r="E121" t="s">
        <v>405</v>
      </c>
      <c r="F121">
        <v>118</v>
      </c>
      <c r="G121">
        <v>35.28</v>
      </c>
      <c r="H121">
        <v>116.65</v>
      </c>
      <c r="I121">
        <v>25.61</v>
      </c>
      <c r="J121">
        <v>84.67</v>
      </c>
      <c r="K121">
        <v>5</v>
      </c>
      <c r="T121">
        <v>3</v>
      </c>
      <c r="U121">
        <v>2</v>
      </c>
      <c r="V121" t="s">
        <v>226</v>
      </c>
      <c r="W121">
        <v>116</v>
      </c>
      <c r="X121">
        <v>6</v>
      </c>
      <c r="Y121">
        <v>5</v>
      </c>
      <c r="Z121" t="s">
        <v>406</v>
      </c>
      <c r="AA121" t="s">
        <v>407</v>
      </c>
      <c r="AB121" t="s">
        <v>229</v>
      </c>
      <c r="AC121" t="s">
        <v>230</v>
      </c>
      <c r="AD121" t="s">
        <v>231</v>
      </c>
      <c r="AE121" t="s">
        <v>399</v>
      </c>
      <c r="AG121" t="s">
        <v>408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394</v>
      </c>
      <c r="B122">
        <v>107131</v>
      </c>
      <c r="C122">
        <v>1</v>
      </c>
      <c r="D122" t="s">
        <v>409</v>
      </c>
      <c r="E122" t="s">
        <v>410</v>
      </c>
      <c r="F122">
        <v>76</v>
      </c>
      <c r="G122">
        <v>28.4</v>
      </c>
      <c r="H122">
        <v>93.89</v>
      </c>
      <c r="I122">
        <v>18.09</v>
      </c>
      <c r="J122">
        <v>59.83</v>
      </c>
      <c r="K122">
        <v>59</v>
      </c>
      <c r="T122">
        <v>3</v>
      </c>
      <c r="U122">
        <v>2</v>
      </c>
      <c r="V122" t="s">
        <v>226</v>
      </c>
      <c r="W122">
        <v>93</v>
      </c>
      <c r="X122">
        <v>10</v>
      </c>
      <c r="Y122">
        <v>7</v>
      </c>
      <c r="Z122" t="s">
        <v>411</v>
      </c>
      <c r="AA122" t="s">
        <v>412</v>
      </c>
      <c r="AB122" t="s">
        <v>229</v>
      </c>
      <c r="AC122" t="s">
        <v>230</v>
      </c>
      <c r="AD122" t="s">
        <v>231</v>
      </c>
      <c r="AE122" t="s">
        <v>399</v>
      </c>
      <c r="AG122" t="s">
        <v>413</v>
      </c>
      <c r="AH122">
        <v>0</v>
      </c>
      <c r="AI122">
        <v>243</v>
      </c>
      <c r="AJ122">
        <v>32</v>
      </c>
      <c r="AK122">
        <v>43</v>
      </c>
      <c r="AL122">
        <v>0.56999999999999995</v>
      </c>
    </row>
    <row r="123" spans="1:38" x14ac:dyDescent="0.3">
      <c r="A123" t="s">
        <v>394</v>
      </c>
      <c r="B123">
        <v>107131</v>
      </c>
      <c r="C123">
        <v>2</v>
      </c>
      <c r="D123" t="s">
        <v>409</v>
      </c>
      <c r="E123" t="s">
        <v>410</v>
      </c>
      <c r="F123">
        <v>76</v>
      </c>
      <c r="G123">
        <v>38.26</v>
      </c>
      <c r="H123">
        <v>126.49</v>
      </c>
      <c r="I123">
        <v>24.38</v>
      </c>
      <c r="J123">
        <v>80.599999999999994</v>
      </c>
      <c r="K123">
        <v>17</v>
      </c>
      <c r="T123">
        <v>3</v>
      </c>
      <c r="U123">
        <v>2</v>
      </c>
      <c r="V123" t="s">
        <v>226</v>
      </c>
      <c r="W123">
        <v>126</v>
      </c>
      <c r="X123">
        <v>10</v>
      </c>
      <c r="Y123">
        <v>7</v>
      </c>
      <c r="Z123" t="s">
        <v>411</v>
      </c>
      <c r="AA123" t="s">
        <v>412</v>
      </c>
      <c r="AB123" t="s">
        <v>229</v>
      </c>
      <c r="AC123" t="s">
        <v>230</v>
      </c>
      <c r="AD123" t="s">
        <v>231</v>
      </c>
      <c r="AE123" t="s">
        <v>399</v>
      </c>
      <c r="AG123" t="s">
        <v>413</v>
      </c>
      <c r="AH123">
        <v>0</v>
      </c>
      <c r="AI123">
        <v>243</v>
      </c>
      <c r="AJ123">
        <v>32</v>
      </c>
      <c r="AK123">
        <v>43</v>
      </c>
      <c r="AL123">
        <v>0.56999999999999995</v>
      </c>
    </row>
    <row r="124" spans="1:38" x14ac:dyDescent="0.3">
      <c r="A124" t="s">
        <v>394</v>
      </c>
      <c r="B124">
        <v>23596</v>
      </c>
      <c r="C124">
        <v>1</v>
      </c>
      <c r="D124" t="s">
        <v>414</v>
      </c>
      <c r="E124" t="s">
        <v>415</v>
      </c>
      <c r="F124">
        <v>196</v>
      </c>
      <c r="G124">
        <v>33.25</v>
      </c>
      <c r="H124">
        <v>109.92</v>
      </c>
      <c r="I124">
        <v>25.69</v>
      </c>
      <c r="J124">
        <v>84.95</v>
      </c>
      <c r="K124">
        <v>14</v>
      </c>
      <c r="T124">
        <v>3</v>
      </c>
      <c r="U124">
        <v>2</v>
      </c>
      <c r="V124" t="s">
        <v>233</v>
      </c>
      <c r="W124" t="s">
        <v>139</v>
      </c>
      <c r="X124">
        <v>15</v>
      </c>
      <c r="Y124">
        <v>8</v>
      </c>
      <c r="Z124" t="s">
        <v>416</v>
      </c>
      <c r="AA124" t="s">
        <v>417</v>
      </c>
      <c r="AB124" t="s">
        <v>229</v>
      </c>
      <c r="AC124" t="s">
        <v>230</v>
      </c>
      <c r="AD124" t="s">
        <v>231</v>
      </c>
      <c r="AE124" t="s">
        <v>399</v>
      </c>
      <c r="AG124" t="s">
        <v>418</v>
      </c>
      <c r="AH124">
        <v>0</v>
      </c>
      <c r="AI124">
        <v>223</v>
      </c>
      <c r="AJ124">
        <v>21</v>
      </c>
      <c r="AK124">
        <v>294</v>
      </c>
      <c r="AL124">
        <v>1.5</v>
      </c>
    </row>
    <row r="125" spans="1:38" x14ac:dyDescent="0.3">
      <c r="A125" t="s">
        <v>394</v>
      </c>
      <c r="B125">
        <v>23596</v>
      </c>
      <c r="C125">
        <v>2</v>
      </c>
      <c r="D125" t="s">
        <v>414</v>
      </c>
      <c r="E125" t="s">
        <v>415</v>
      </c>
      <c r="F125">
        <v>196</v>
      </c>
      <c r="G125">
        <v>33.32</v>
      </c>
      <c r="H125">
        <v>110.15</v>
      </c>
      <c r="I125">
        <v>25.7</v>
      </c>
      <c r="J125">
        <v>84.97</v>
      </c>
      <c r="K125">
        <v>27</v>
      </c>
      <c r="T125">
        <v>3</v>
      </c>
      <c r="U125">
        <v>2</v>
      </c>
      <c r="V125" t="s">
        <v>233</v>
      </c>
      <c r="W125" t="s">
        <v>419</v>
      </c>
      <c r="X125">
        <v>15</v>
      </c>
      <c r="Y125">
        <v>8</v>
      </c>
      <c r="Z125" t="s">
        <v>416</v>
      </c>
      <c r="AA125" t="s">
        <v>417</v>
      </c>
      <c r="AB125" t="s">
        <v>229</v>
      </c>
      <c r="AC125" t="s">
        <v>230</v>
      </c>
      <c r="AD125" t="s">
        <v>231</v>
      </c>
      <c r="AE125" t="s">
        <v>399</v>
      </c>
      <c r="AG125" t="s">
        <v>418</v>
      </c>
      <c r="AH125">
        <v>0</v>
      </c>
      <c r="AI125">
        <v>223</v>
      </c>
      <c r="AJ125">
        <v>21</v>
      </c>
      <c r="AK125">
        <v>294</v>
      </c>
      <c r="AL125">
        <v>1.5</v>
      </c>
    </row>
    <row r="126" spans="1:38" x14ac:dyDescent="0.3">
      <c r="A126" t="s">
        <v>394</v>
      </c>
      <c r="B126">
        <v>23596</v>
      </c>
      <c r="C126">
        <v>3</v>
      </c>
      <c r="D126" t="s">
        <v>414</v>
      </c>
      <c r="E126" t="s">
        <v>415</v>
      </c>
      <c r="F126">
        <v>196</v>
      </c>
      <c r="G126">
        <v>33.869999999999997</v>
      </c>
      <c r="H126">
        <v>111.99</v>
      </c>
      <c r="I126">
        <v>25.7</v>
      </c>
      <c r="J126">
        <v>84.97</v>
      </c>
      <c r="K126">
        <v>70</v>
      </c>
      <c r="T126">
        <v>3</v>
      </c>
      <c r="U126">
        <v>2</v>
      </c>
      <c r="V126" t="s">
        <v>233</v>
      </c>
      <c r="W126" t="s">
        <v>73</v>
      </c>
      <c r="X126">
        <v>15</v>
      </c>
      <c r="Y126">
        <v>8</v>
      </c>
      <c r="Z126" t="s">
        <v>416</v>
      </c>
      <c r="AA126" t="s">
        <v>417</v>
      </c>
      <c r="AB126" t="s">
        <v>229</v>
      </c>
      <c r="AC126" t="s">
        <v>230</v>
      </c>
      <c r="AD126" t="s">
        <v>231</v>
      </c>
      <c r="AE126" t="s">
        <v>399</v>
      </c>
      <c r="AG126" t="s">
        <v>418</v>
      </c>
      <c r="AH126">
        <v>0</v>
      </c>
      <c r="AI126">
        <v>223</v>
      </c>
      <c r="AJ126">
        <v>21</v>
      </c>
      <c r="AK126">
        <v>294</v>
      </c>
      <c r="AL126">
        <v>1.5</v>
      </c>
    </row>
    <row r="127" spans="1:38" x14ac:dyDescent="0.3">
      <c r="A127" t="s">
        <v>394</v>
      </c>
      <c r="B127">
        <v>23596</v>
      </c>
      <c r="C127">
        <v>4</v>
      </c>
      <c r="D127" t="s">
        <v>414</v>
      </c>
      <c r="E127" t="s">
        <v>415</v>
      </c>
      <c r="F127">
        <v>196</v>
      </c>
      <c r="G127">
        <v>33.619999999999997</v>
      </c>
      <c r="H127">
        <v>111.17</v>
      </c>
      <c r="I127">
        <v>25.7</v>
      </c>
      <c r="J127">
        <v>84.97</v>
      </c>
      <c r="K127">
        <v>29</v>
      </c>
      <c r="T127">
        <v>3</v>
      </c>
      <c r="U127">
        <v>2</v>
      </c>
      <c r="V127" t="s">
        <v>233</v>
      </c>
      <c r="W127" t="s">
        <v>180</v>
      </c>
      <c r="X127">
        <v>15</v>
      </c>
      <c r="Y127">
        <v>8</v>
      </c>
      <c r="Z127" t="s">
        <v>416</v>
      </c>
      <c r="AA127" t="s">
        <v>417</v>
      </c>
      <c r="AB127" t="s">
        <v>229</v>
      </c>
      <c r="AC127" t="s">
        <v>230</v>
      </c>
      <c r="AD127" t="s">
        <v>231</v>
      </c>
      <c r="AE127" t="s">
        <v>399</v>
      </c>
      <c r="AG127" t="s">
        <v>418</v>
      </c>
      <c r="AH127">
        <v>0</v>
      </c>
      <c r="AI127">
        <v>223</v>
      </c>
      <c r="AJ127">
        <v>21</v>
      </c>
      <c r="AK127">
        <v>294</v>
      </c>
      <c r="AL127">
        <v>1.5</v>
      </c>
    </row>
    <row r="128" spans="1:38" x14ac:dyDescent="0.3">
      <c r="A128" t="s">
        <v>394</v>
      </c>
      <c r="B128">
        <v>23596</v>
      </c>
      <c r="C128">
        <v>5</v>
      </c>
      <c r="D128" t="s">
        <v>414</v>
      </c>
      <c r="E128" t="s">
        <v>415</v>
      </c>
      <c r="F128">
        <v>196</v>
      </c>
      <c r="G128">
        <v>44.36</v>
      </c>
      <c r="H128">
        <v>146.66999999999999</v>
      </c>
      <c r="I128">
        <v>35.479999999999997</v>
      </c>
      <c r="J128">
        <v>117.32</v>
      </c>
      <c r="K128">
        <v>56</v>
      </c>
      <c r="T128">
        <v>4</v>
      </c>
      <c r="U128">
        <v>2</v>
      </c>
      <c r="V128" t="s">
        <v>233</v>
      </c>
      <c r="W128">
        <v>146</v>
      </c>
      <c r="X128">
        <v>15</v>
      </c>
      <c r="Y128">
        <v>8</v>
      </c>
      <c r="Z128" t="s">
        <v>416</v>
      </c>
      <c r="AA128" t="s">
        <v>417</v>
      </c>
      <c r="AB128" t="s">
        <v>229</v>
      </c>
      <c r="AC128" t="s">
        <v>230</v>
      </c>
      <c r="AD128" t="s">
        <v>231</v>
      </c>
      <c r="AE128" t="s">
        <v>399</v>
      </c>
      <c r="AG128" t="s">
        <v>418</v>
      </c>
      <c r="AH128">
        <v>0</v>
      </c>
      <c r="AI128">
        <v>223</v>
      </c>
      <c r="AJ128">
        <v>21</v>
      </c>
      <c r="AK128">
        <v>294</v>
      </c>
      <c r="AL128">
        <v>1.5</v>
      </c>
    </row>
    <row r="129" spans="1:38" x14ac:dyDescent="0.3">
      <c r="A129" t="s">
        <v>394</v>
      </c>
      <c r="B129">
        <v>15368</v>
      </c>
      <c r="C129">
        <v>1</v>
      </c>
      <c r="D129" t="s">
        <v>420</v>
      </c>
      <c r="E129" t="s">
        <v>421</v>
      </c>
      <c r="F129">
        <v>350</v>
      </c>
      <c r="G129">
        <v>12.33</v>
      </c>
      <c r="H129">
        <v>40.770000000000003</v>
      </c>
      <c r="I129">
        <v>9.57</v>
      </c>
      <c r="J129">
        <v>31.64</v>
      </c>
      <c r="K129">
        <v>148</v>
      </c>
      <c r="T129">
        <v>2</v>
      </c>
      <c r="U129">
        <v>1</v>
      </c>
      <c r="V129" t="s">
        <v>226</v>
      </c>
      <c r="W129">
        <v>40</v>
      </c>
      <c r="X129">
        <v>14</v>
      </c>
      <c r="Y129">
        <v>7</v>
      </c>
      <c r="Z129" t="s">
        <v>422</v>
      </c>
      <c r="AA129" t="s">
        <v>423</v>
      </c>
      <c r="AB129" t="s">
        <v>229</v>
      </c>
      <c r="AC129" t="s">
        <v>230</v>
      </c>
      <c r="AD129" t="s">
        <v>231</v>
      </c>
      <c r="AE129" t="s">
        <v>399</v>
      </c>
      <c r="AG129" t="s">
        <v>424</v>
      </c>
      <c r="AH129">
        <v>0</v>
      </c>
      <c r="AI129">
        <v>187</v>
      </c>
      <c r="AJ129">
        <v>17</v>
      </c>
      <c r="AK129">
        <v>227</v>
      </c>
      <c r="AL129">
        <v>0.65</v>
      </c>
    </row>
    <row r="130" spans="1:38" x14ac:dyDescent="0.3">
      <c r="A130" t="s">
        <v>394</v>
      </c>
      <c r="B130">
        <v>15368</v>
      </c>
      <c r="C130">
        <v>2</v>
      </c>
      <c r="D130" t="s">
        <v>420</v>
      </c>
      <c r="E130" t="s">
        <v>421</v>
      </c>
      <c r="F130">
        <v>350</v>
      </c>
      <c r="G130">
        <v>21.65</v>
      </c>
      <c r="H130">
        <v>71.58</v>
      </c>
      <c r="I130">
        <v>18.079999999999998</v>
      </c>
      <c r="J130">
        <v>59.78</v>
      </c>
      <c r="K130">
        <v>96</v>
      </c>
      <c r="T130">
        <v>3</v>
      </c>
      <c r="U130">
        <v>1</v>
      </c>
      <c r="V130" t="s">
        <v>233</v>
      </c>
      <c r="W130">
        <v>71</v>
      </c>
      <c r="X130">
        <v>14</v>
      </c>
      <c r="Y130">
        <v>7</v>
      </c>
      <c r="Z130" t="s">
        <v>422</v>
      </c>
      <c r="AA130" t="s">
        <v>423</v>
      </c>
      <c r="AB130" t="s">
        <v>229</v>
      </c>
      <c r="AC130" t="s">
        <v>230</v>
      </c>
      <c r="AD130" t="s">
        <v>231</v>
      </c>
      <c r="AE130" t="s">
        <v>399</v>
      </c>
      <c r="AG130" t="s">
        <v>424</v>
      </c>
      <c r="AH130">
        <v>0</v>
      </c>
      <c r="AI130">
        <v>187</v>
      </c>
      <c r="AJ130">
        <v>17</v>
      </c>
      <c r="AK130">
        <v>227</v>
      </c>
      <c r="AL130">
        <v>0.65</v>
      </c>
    </row>
    <row r="131" spans="1:38" x14ac:dyDescent="0.3">
      <c r="A131" t="s">
        <v>394</v>
      </c>
      <c r="B131">
        <v>15368</v>
      </c>
      <c r="C131">
        <v>3</v>
      </c>
      <c r="D131" t="s">
        <v>420</v>
      </c>
      <c r="E131" t="s">
        <v>421</v>
      </c>
      <c r="F131">
        <v>350</v>
      </c>
      <c r="G131">
        <v>29.59</v>
      </c>
      <c r="H131">
        <v>97.82</v>
      </c>
      <c r="I131">
        <v>25.7</v>
      </c>
      <c r="J131">
        <v>84.98</v>
      </c>
      <c r="K131">
        <v>91</v>
      </c>
      <c r="T131">
        <v>3</v>
      </c>
      <c r="U131">
        <v>2</v>
      </c>
      <c r="V131" t="s">
        <v>233</v>
      </c>
      <c r="W131">
        <v>97</v>
      </c>
      <c r="X131">
        <v>14</v>
      </c>
      <c r="Y131">
        <v>7</v>
      </c>
      <c r="Z131" t="s">
        <v>422</v>
      </c>
      <c r="AA131" t="s">
        <v>423</v>
      </c>
      <c r="AB131" t="s">
        <v>229</v>
      </c>
      <c r="AC131" t="s">
        <v>230</v>
      </c>
      <c r="AD131" t="s">
        <v>231</v>
      </c>
      <c r="AE131" t="s">
        <v>399</v>
      </c>
      <c r="AG131" t="s">
        <v>424</v>
      </c>
      <c r="AH131">
        <v>0</v>
      </c>
      <c r="AI131">
        <v>187</v>
      </c>
      <c r="AJ131">
        <v>17</v>
      </c>
      <c r="AK131">
        <v>227</v>
      </c>
      <c r="AL131">
        <v>0.65</v>
      </c>
    </row>
    <row r="132" spans="1:38" x14ac:dyDescent="0.3">
      <c r="A132" t="s">
        <v>394</v>
      </c>
      <c r="B132">
        <v>15368</v>
      </c>
      <c r="C132">
        <v>4</v>
      </c>
      <c r="D132" t="s">
        <v>420</v>
      </c>
      <c r="E132" t="s">
        <v>421</v>
      </c>
      <c r="F132">
        <v>350</v>
      </c>
      <c r="G132">
        <v>29.56</v>
      </c>
      <c r="H132">
        <v>97.73</v>
      </c>
      <c r="I132">
        <v>25.67</v>
      </c>
      <c r="J132">
        <v>84.89</v>
      </c>
      <c r="K132">
        <v>7</v>
      </c>
      <c r="T132">
        <v>3</v>
      </c>
      <c r="U132">
        <v>2</v>
      </c>
      <c r="V132" t="s">
        <v>226</v>
      </c>
      <c r="W132">
        <v>97</v>
      </c>
      <c r="X132">
        <v>14</v>
      </c>
      <c r="Y132">
        <v>7</v>
      </c>
      <c r="Z132" t="s">
        <v>422</v>
      </c>
      <c r="AA132" t="s">
        <v>423</v>
      </c>
      <c r="AB132" t="s">
        <v>229</v>
      </c>
      <c r="AC132" t="s">
        <v>230</v>
      </c>
      <c r="AD132" t="s">
        <v>231</v>
      </c>
      <c r="AE132" t="s">
        <v>399</v>
      </c>
      <c r="AG132" t="s">
        <v>424</v>
      </c>
      <c r="AH132">
        <v>0</v>
      </c>
      <c r="AI132">
        <v>187</v>
      </c>
      <c r="AJ132">
        <v>17</v>
      </c>
      <c r="AK132">
        <v>227</v>
      </c>
      <c r="AL132">
        <v>0.65</v>
      </c>
    </row>
    <row r="133" spans="1:38" x14ac:dyDescent="0.3">
      <c r="A133" t="s">
        <v>394</v>
      </c>
      <c r="B133">
        <v>15368</v>
      </c>
      <c r="C133">
        <v>5</v>
      </c>
      <c r="D133" t="s">
        <v>420</v>
      </c>
      <c r="E133" t="s">
        <v>421</v>
      </c>
      <c r="F133">
        <v>350</v>
      </c>
      <c r="G133">
        <v>46.82</v>
      </c>
      <c r="H133">
        <v>154.79</v>
      </c>
      <c r="I133">
        <v>40.67</v>
      </c>
      <c r="J133">
        <v>134.47</v>
      </c>
      <c r="K133">
        <v>8</v>
      </c>
      <c r="T133">
        <v>4</v>
      </c>
      <c r="U133">
        <v>2</v>
      </c>
      <c r="V133" t="s">
        <v>233</v>
      </c>
      <c r="W133">
        <v>154</v>
      </c>
      <c r="X133">
        <v>14</v>
      </c>
      <c r="Y133">
        <v>7</v>
      </c>
      <c r="Z133" t="s">
        <v>422</v>
      </c>
      <c r="AA133" t="s">
        <v>423</v>
      </c>
      <c r="AB133" t="s">
        <v>229</v>
      </c>
      <c r="AC133" t="s">
        <v>230</v>
      </c>
      <c r="AD133" t="s">
        <v>231</v>
      </c>
      <c r="AE133" t="s">
        <v>399</v>
      </c>
      <c r="AG133" t="s">
        <v>424</v>
      </c>
      <c r="AH133">
        <v>0</v>
      </c>
      <c r="AI133">
        <v>187</v>
      </c>
      <c r="AJ133">
        <v>17</v>
      </c>
      <c r="AK133">
        <v>227</v>
      </c>
      <c r="AL133">
        <v>0.65</v>
      </c>
    </row>
    <row r="134" spans="1:38" x14ac:dyDescent="0.3">
      <c r="A134" t="s">
        <v>394</v>
      </c>
      <c r="B134">
        <v>23212</v>
      </c>
      <c r="C134">
        <v>1</v>
      </c>
      <c r="D134" t="s">
        <v>425</v>
      </c>
      <c r="E134" t="s">
        <v>426</v>
      </c>
      <c r="F134">
        <v>146</v>
      </c>
      <c r="G134">
        <v>35.020000000000003</v>
      </c>
      <c r="H134">
        <v>115.77</v>
      </c>
      <c r="I134">
        <v>25.7</v>
      </c>
      <c r="J134">
        <v>84.98</v>
      </c>
      <c r="K134">
        <v>146</v>
      </c>
      <c r="T134">
        <v>3</v>
      </c>
      <c r="U134">
        <v>2</v>
      </c>
      <c r="V134" t="s">
        <v>233</v>
      </c>
      <c r="W134">
        <v>115</v>
      </c>
      <c r="X134">
        <v>11</v>
      </c>
      <c r="Y134">
        <v>10</v>
      </c>
      <c r="Z134" t="s">
        <v>427</v>
      </c>
      <c r="AA134" t="s">
        <v>428</v>
      </c>
      <c r="AB134" t="s">
        <v>229</v>
      </c>
      <c r="AC134" t="s">
        <v>230</v>
      </c>
      <c r="AD134" t="s">
        <v>231</v>
      </c>
      <c r="AE134" t="s">
        <v>399</v>
      </c>
      <c r="AG134" t="s">
        <v>429</v>
      </c>
      <c r="AH134">
        <v>0</v>
      </c>
      <c r="AI134">
        <v>99</v>
      </c>
      <c r="AJ134">
        <v>13</v>
      </c>
      <c r="AK134">
        <v>150</v>
      </c>
      <c r="AL134">
        <v>1.03</v>
      </c>
    </row>
    <row r="135" spans="1:38" x14ac:dyDescent="0.3">
      <c r="A135" t="s">
        <v>394</v>
      </c>
      <c r="B135">
        <v>27058</v>
      </c>
      <c r="C135">
        <v>1</v>
      </c>
      <c r="D135" t="s">
        <v>430</v>
      </c>
      <c r="E135" t="s">
        <v>250</v>
      </c>
      <c r="F135">
        <v>372</v>
      </c>
      <c r="G135">
        <v>33.56</v>
      </c>
      <c r="H135">
        <v>110.97</v>
      </c>
      <c r="I135">
        <v>25.55</v>
      </c>
      <c r="J135">
        <v>84.47</v>
      </c>
      <c r="K135">
        <v>146</v>
      </c>
      <c r="T135">
        <v>3</v>
      </c>
      <c r="U135">
        <v>2</v>
      </c>
      <c r="V135" t="s">
        <v>233</v>
      </c>
      <c r="W135" t="s">
        <v>117</v>
      </c>
      <c r="X135">
        <v>15</v>
      </c>
      <c r="Y135">
        <v>12</v>
      </c>
      <c r="Z135" t="s">
        <v>431</v>
      </c>
      <c r="AA135" t="s">
        <v>432</v>
      </c>
      <c r="AB135" t="s">
        <v>229</v>
      </c>
      <c r="AC135" t="s">
        <v>230</v>
      </c>
      <c r="AD135" t="s">
        <v>231</v>
      </c>
      <c r="AE135" t="s">
        <v>399</v>
      </c>
      <c r="AG135" t="s">
        <v>433</v>
      </c>
      <c r="AH135">
        <v>0</v>
      </c>
      <c r="AI135">
        <v>224</v>
      </c>
      <c r="AJ135">
        <v>22</v>
      </c>
      <c r="AK135">
        <v>562</v>
      </c>
      <c r="AL135">
        <v>1.51</v>
      </c>
    </row>
    <row r="136" spans="1:38" x14ac:dyDescent="0.3">
      <c r="A136" t="s">
        <v>394</v>
      </c>
      <c r="B136">
        <v>27058</v>
      </c>
      <c r="C136">
        <v>2</v>
      </c>
      <c r="D136" t="s">
        <v>430</v>
      </c>
      <c r="E136" t="s">
        <v>250</v>
      </c>
      <c r="F136">
        <v>372</v>
      </c>
      <c r="G136">
        <v>33.56</v>
      </c>
      <c r="H136">
        <v>110.97</v>
      </c>
      <c r="I136">
        <v>25.55</v>
      </c>
      <c r="J136">
        <v>84.47</v>
      </c>
      <c r="K136">
        <v>58</v>
      </c>
      <c r="T136">
        <v>3</v>
      </c>
      <c r="U136">
        <v>2</v>
      </c>
      <c r="V136" t="s">
        <v>233</v>
      </c>
      <c r="W136" t="s">
        <v>118</v>
      </c>
      <c r="X136">
        <v>15</v>
      </c>
      <c r="Y136">
        <v>12</v>
      </c>
      <c r="Z136" t="s">
        <v>431</v>
      </c>
      <c r="AA136" t="s">
        <v>432</v>
      </c>
      <c r="AB136" t="s">
        <v>229</v>
      </c>
      <c r="AC136" t="s">
        <v>230</v>
      </c>
      <c r="AD136" t="s">
        <v>231</v>
      </c>
      <c r="AE136" t="s">
        <v>399</v>
      </c>
      <c r="AG136" t="s">
        <v>433</v>
      </c>
      <c r="AH136">
        <v>0</v>
      </c>
      <c r="AI136">
        <v>224</v>
      </c>
      <c r="AJ136">
        <v>22</v>
      </c>
      <c r="AK136">
        <v>562</v>
      </c>
      <c r="AL136">
        <v>1.51</v>
      </c>
    </row>
    <row r="137" spans="1:38" x14ac:dyDescent="0.3">
      <c r="A137" t="s">
        <v>394</v>
      </c>
      <c r="B137">
        <v>27058</v>
      </c>
      <c r="C137">
        <v>3</v>
      </c>
      <c r="D137" t="s">
        <v>430</v>
      </c>
      <c r="E137" t="s">
        <v>250</v>
      </c>
      <c r="F137">
        <v>372</v>
      </c>
      <c r="G137">
        <v>39.68</v>
      </c>
      <c r="H137">
        <v>131.18</v>
      </c>
      <c r="I137">
        <v>32.799999999999997</v>
      </c>
      <c r="J137">
        <v>108.43</v>
      </c>
      <c r="K137">
        <v>112</v>
      </c>
      <c r="T137">
        <v>4</v>
      </c>
      <c r="U137">
        <v>2</v>
      </c>
      <c r="V137" t="s">
        <v>233</v>
      </c>
      <c r="W137">
        <v>131</v>
      </c>
      <c r="X137">
        <v>15</v>
      </c>
      <c r="Y137">
        <v>12</v>
      </c>
      <c r="Z137" t="s">
        <v>431</v>
      </c>
      <c r="AA137" t="s">
        <v>432</v>
      </c>
      <c r="AB137" t="s">
        <v>229</v>
      </c>
      <c r="AC137" t="s">
        <v>230</v>
      </c>
      <c r="AD137" t="s">
        <v>231</v>
      </c>
      <c r="AE137" t="s">
        <v>399</v>
      </c>
      <c r="AG137" t="s">
        <v>433</v>
      </c>
      <c r="AH137">
        <v>0</v>
      </c>
      <c r="AI137">
        <v>224</v>
      </c>
      <c r="AJ137">
        <v>22</v>
      </c>
      <c r="AK137">
        <v>562</v>
      </c>
      <c r="AL137">
        <v>1.51</v>
      </c>
    </row>
    <row r="138" spans="1:38" x14ac:dyDescent="0.3">
      <c r="A138" t="s">
        <v>394</v>
      </c>
      <c r="B138">
        <v>27058</v>
      </c>
      <c r="C138">
        <v>4</v>
      </c>
      <c r="D138" t="s">
        <v>430</v>
      </c>
      <c r="E138" t="s">
        <v>250</v>
      </c>
      <c r="F138">
        <v>372</v>
      </c>
      <c r="G138">
        <v>45.35</v>
      </c>
      <c r="H138">
        <v>149.91999999999999</v>
      </c>
      <c r="I138">
        <v>35.71</v>
      </c>
      <c r="J138">
        <v>118.05</v>
      </c>
      <c r="K138">
        <v>56</v>
      </c>
      <c r="T138">
        <v>4</v>
      </c>
      <c r="U138">
        <v>2</v>
      </c>
      <c r="V138" t="s">
        <v>233</v>
      </c>
      <c r="W138">
        <v>149</v>
      </c>
      <c r="X138">
        <v>15</v>
      </c>
      <c r="Y138">
        <v>12</v>
      </c>
      <c r="Z138" t="s">
        <v>431</v>
      </c>
      <c r="AA138" t="s">
        <v>432</v>
      </c>
      <c r="AB138" t="s">
        <v>229</v>
      </c>
      <c r="AC138" t="s">
        <v>230</v>
      </c>
      <c r="AD138" t="s">
        <v>231</v>
      </c>
      <c r="AE138" t="s">
        <v>399</v>
      </c>
      <c r="AG138" t="s">
        <v>433</v>
      </c>
      <c r="AH138">
        <v>0</v>
      </c>
      <c r="AI138">
        <v>224</v>
      </c>
      <c r="AJ138">
        <v>22</v>
      </c>
      <c r="AK138">
        <v>562</v>
      </c>
      <c r="AL138">
        <v>1.51</v>
      </c>
    </row>
    <row r="139" spans="1:38" x14ac:dyDescent="0.3">
      <c r="A139" t="s">
        <v>394</v>
      </c>
      <c r="B139">
        <v>23597</v>
      </c>
      <c r="C139">
        <v>1</v>
      </c>
      <c r="D139" t="s">
        <v>434</v>
      </c>
      <c r="E139" t="s">
        <v>415</v>
      </c>
      <c r="F139">
        <v>231</v>
      </c>
      <c r="G139">
        <v>33.49</v>
      </c>
      <c r="H139">
        <v>110.74</v>
      </c>
      <c r="I139">
        <v>25.7</v>
      </c>
      <c r="J139">
        <v>84.97</v>
      </c>
      <c r="K139">
        <v>56</v>
      </c>
      <c r="T139">
        <v>3</v>
      </c>
      <c r="U139">
        <v>2</v>
      </c>
      <c r="V139" t="s">
        <v>233</v>
      </c>
      <c r="W139">
        <v>110</v>
      </c>
      <c r="X139">
        <v>15</v>
      </c>
      <c r="Y139">
        <v>13</v>
      </c>
      <c r="Z139" t="s">
        <v>435</v>
      </c>
      <c r="AA139" t="s">
        <v>436</v>
      </c>
      <c r="AB139" t="s">
        <v>229</v>
      </c>
      <c r="AC139" t="s">
        <v>230</v>
      </c>
      <c r="AD139" t="s">
        <v>231</v>
      </c>
      <c r="AE139" t="s">
        <v>399</v>
      </c>
      <c r="AG139" t="s">
        <v>437</v>
      </c>
      <c r="AH139">
        <v>0</v>
      </c>
      <c r="AI139">
        <v>221</v>
      </c>
      <c r="AJ139">
        <v>20</v>
      </c>
      <c r="AK139">
        <v>350</v>
      </c>
      <c r="AL139">
        <v>1.52</v>
      </c>
    </row>
    <row r="140" spans="1:38" x14ac:dyDescent="0.3">
      <c r="A140" t="s">
        <v>394</v>
      </c>
      <c r="B140">
        <v>23597</v>
      </c>
      <c r="C140">
        <v>2</v>
      </c>
      <c r="D140" t="s">
        <v>434</v>
      </c>
      <c r="E140" t="s">
        <v>415</v>
      </c>
      <c r="F140">
        <v>231</v>
      </c>
      <c r="G140">
        <v>44.05</v>
      </c>
      <c r="H140">
        <v>145.63999999999999</v>
      </c>
      <c r="I140">
        <v>35.479999999999997</v>
      </c>
      <c r="J140">
        <v>117.32</v>
      </c>
      <c r="K140">
        <v>175</v>
      </c>
      <c r="T140">
        <v>4</v>
      </c>
      <c r="U140">
        <v>2</v>
      </c>
      <c r="V140" t="s">
        <v>233</v>
      </c>
      <c r="W140">
        <v>145</v>
      </c>
      <c r="X140">
        <v>15</v>
      </c>
      <c r="Y140">
        <v>13</v>
      </c>
      <c r="Z140" t="s">
        <v>435</v>
      </c>
      <c r="AA140" t="s">
        <v>436</v>
      </c>
      <c r="AB140" t="s">
        <v>229</v>
      </c>
      <c r="AC140" t="s">
        <v>230</v>
      </c>
      <c r="AD140" t="s">
        <v>231</v>
      </c>
      <c r="AE140" t="s">
        <v>399</v>
      </c>
      <c r="AG140" t="s">
        <v>437</v>
      </c>
      <c r="AH140">
        <v>0</v>
      </c>
      <c r="AI140">
        <v>221</v>
      </c>
      <c r="AJ140">
        <v>20</v>
      </c>
      <c r="AK140">
        <v>350</v>
      </c>
      <c r="AL140">
        <v>1.52</v>
      </c>
    </row>
    <row r="141" spans="1:38" x14ac:dyDescent="0.3">
      <c r="A141" t="s">
        <v>394</v>
      </c>
      <c r="B141">
        <v>15366</v>
      </c>
      <c r="C141">
        <v>1</v>
      </c>
      <c r="D141" t="s">
        <v>438</v>
      </c>
      <c r="E141" t="s">
        <v>439</v>
      </c>
      <c r="F141">
        <v>277</v>
      </c>
      <c r="G141">
        <v>13.17</v>
      </c>
      <c r="H141">
        <v>43.54</v>
      </c>
      <c r="I141">
        <v>9.5</v>
      </c>
      <c r="J141">
        <v>31.41</v>
      </c>
      <c r="K141">
        <v>220</v>
      </c>
      <c r="T141">
        <v>1</v>
      </c>
      <c r="U141">
        <v>1</v>
      </c>
      <c r="V141" t="s">
        <v>226</v>
      </c>
      <c r="W141">
        <v>43</v>
      </c>
      <c r="X141">
        <v>10</v>
      </c>
      <c r="Y141">
        <v>9</v>
      </c>
      <c r="Z141" t="s">
        <v>440</v>
      </c>
      <c r="AA141" t="s">
        <v>441</v>
      </c>
      <c r="AB141" t="s">
        <v>229</v>
      </c>
      <c r="AC141" t="s">
        <v>230</v>
      </c>
      <c r="AD141" t="s">
        <v>231</v>
      </c>
      <c r="AE141" t="s">
        <v>399</v>
      </c>
      <c r="AG141" t="s">
        <v>442</v>
      </c>
      <c r="AH141">
        <v>0</v>
      </c>
      <c r="AI141">
        <v>191</v>
      </c>
      <c r="AJ141">
        <v>25</v>
      </c>
      <c r="AK141">
        <v>136</v>
      </c>
      <c r="AL141">
        <v>0.49</v>
      </c>
    </row>
    <row r="142" spans="1:38" x14ac:dyDescent="0.3">
      <c r="A142" t="s">
        <v>394</v>
      </c>
      <c r="B142">
        <v>15366</v>
      </c>
      <c r="C142">
        <v>2</v>
      </c>
      <c r="D142" t="s">
        <v>438</v>
      </c>
      <c r="E142" t="s">
        <v>439</v>
      </c>
      <c r="F142">
        <v>277</v>
      </c>
      <c r="G142">
        <v>15.7</v>
      </c>
      <c r="H142">
        <v>51.93</v>
      </c>
      <c r="I142">
        <v>11.84</v>
      </c>
      <c r="J142">
        <v>39.15</v>
      </c>
      <c r="K142">
        <v>57</v>
      </c>
      <c r="T142">
        <v>2</v>
      </c>
      <c r="U142">
        <v>1</v>
      </c>
      <c r="V142" t="s">
        <v>226</v>
      </c>
      <c r="W142">
        <v>51</v>
      </c>
      <c r="X142">
        <v>10</v>
      </c>
      <c r="Y142">
        <v>9</v>
      </c>
      <c r="Z142" t="s">
        <v>440</v>
      </c>
      <c r="AA142" t="s">
        <v>441</v>
      </c>
      <c r="AB142" t="s">
        <v>229</v>
      </c>
      <c r="AC142" t="s">
        <v>230</v>
      </c>
      <c r="AD142" t="s">
        <v>231</v>
      </c>
      <c r="AE142" t="s">
        <v>399</v>
      </c>
      <c r="AG142" t="s">
        <v>442</v>
      </c>
      <c r="AH142">
        <v>0</v>
      </c>
      <c r="AI142">
        <v>191</v>
      </c>
      <c r="AJ142">
        <v>25</v>
      </c>
      <c r="AK142">
        <v>136</v>
      </c>
      <c r="AL142">
        <v>0.49</v>
      </c>
    </row>
    <row r="143" spans="1:38" x14ac:dyDescent="0.3">
      <c r="A143" t="s">
        <v>394</v>
      </c>
      <c r="B143">
        <v>118823</v>
      </c>
      <c r="C143">
        <v>1</v>
      </c>
      <c r="D143" t="s">
        <v>443</v>
      </c>
      <c r="E143" t="s">
        <v>444</v>
      </c>
      <c r="F143">
        <v>359</v>
      </c>
      <c r="G143">
        <v>27.24</v>
      </c>
      <c r="H143">
        <v>90.05</v>
      </c>
      <c r="I143">
        <v>19.88</v>
      </c>
      <c r="J143">
        <v>65.72</v>
      </c>
      <c r="K143">
        <v>359</v>
      </c>
      <c r="T143">
        <v>3</v>
      </c>
      <c r="U143">
        <v>2</v>
      </c>
      <c r="V143" t="s">
        <v>233</v>
      </c>
      <c r="W143">
        <v>90</v>
      </c>
      <c r="X143">
        <v>25</v>
      </c>
      <c r="Y143">
        <v>25</v>
      </c>
      <c r="Z143" t="s">
        <v>445</v>
      </c>
      <c r="AA143" t="s">
        <v>446</v>
      </c>
      <c r="AB143" t="s">
        <v>229</v>
      </c>
      <c r="AC143" t="s">
        <v>230</v>
      </c>
      <c r="AD143" t="s">
        <v>231</v>
      </c>
      <c r="AE143" t="s">
        <v>399</v>
      </c>
      <c r="AG143" t="s">
        <v>447</v>
      </c>
      <c r="AH143">
        <v>0</v>
      </c>
      <c r="AI143">
        <v>216</v>
      </c>
      <c r="AJ143">
        <v>48</v>
      </c>
      <c r="AK143">
        <v>466</v>
      </c>
      <c r="AL143">
        <v>1.3</v>
      </c>
    </row>
    <row r="144" spans="1:38" x14ac:dyDescent="0.3">
      <c r="A144" t="s">
        <v>394</v>
      </c>
      <c r="B144">
        <v>7747</v>
      </c>
      <c r="C144">
        <v>1</v>
      </c>
      <c r="D144" t="s">
        <v>448</v>
      </c>
      <c r="E144" t="s">
        <v>449</v>
      </c>
      <c r="F144">
        <v>125</v>
      </c>
      <c r="G144">
        <v>14.69</v>
      </c>
      <c r="H144">
        <v>48.58</v>
      </c>
      <c r="I144">
        <v>12.67</v>
      </c>
      <c r="J144">
        <v>41.89</v>
      </c>
      <c r="K144">
        <v>5</v>
      </c>
      <c r="T144">
        <v>2</v>
      </c>
      <c r="U144">
        <v>1</v>
      </c>
      <c r="V144" t="s">
        <v>233</v>
      </c>
      <c r="W144">
        <v>48</v>
      </c>
      <c r="X144">
        <v>5</v>
      </c>
      <c r="Y144">
        <v>5</v>
      </c>
      <c r="Z144" t="s">
        <v>450</v>
      </c>
      <c r="AA144" t="s">
        <v>451</v>
      </c>
      <c r="AB144" t="s">
        <v>229</v>
      </c>
      <c r="AC144" t="s">
        <v>230</v>
      </c>
      <c r="AD144" t="s">
        <v>231</v>
      </c>
      <c r="AE144" t="s">
        <v>399</v>
      </c>
      <c r="AG144" t="s">
        <v>452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394</v>
      </c>
      <c r="B145">
        <v>7747</v>
      </c>
      <c r="C145">
        <v>2</v>
      </c>
      <c r="D145" t="s">
        <v>448</v>
      </c>
      <c r="E145" t="s">
        <v>449</v>
      </c>
      <c r="F145">
        <v>125</v>
      </c>
      <c r="G145">
        <v>17.18</v>
      </c>
      <c r="H145">
        <v>56.81</v>
      </c>
      <c r="I145">
        <v>15.08</v>
      </c>
      <c r="J145">
        <v>49.88</v>
      </c>
      <c r="K145">
        <v>60</v>
      </c>
      <c r="T145">
        <v>2</v>
      </c>
      <c r="U145">
        <v>1</v>
      </c>
      <c r="V145" t="s">
        <v>233</v>
      </c>
      <c r="W145" t="s">
        <v>453</v>
      </c>
      <c r="X145">
        <v>5</v>
      </c>
      <c r="Y145">
        <v>5</v>
      </c>
      <c r="Z145" t="s">
        <v>450</v>
      </c>
      <c r="AA145" t="s">
        <v>451</v>
      </c>
      <c r="AB145" t="s">
        <v>229</v>
      </c>
      <c r="AC145" t="s">
        <v>230</v>
      </c>
      <c r="AD145" t="s">
        <v>231</v>
      </c>
      <c r="AE145" t="s">
        <v>399</v>
      </c>
      <c r="AG145" t="s">
        <v>452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394</v>
      </c>
      <c r="B146">
        <v>7747</v>
      </c>
      <c r="C146">
        <v>3</v>
      </c>
      <c r="D146" t="s">
        <v>448</v>
      </c>
      <c r="E146" t="s">
        <v>449</v>
      </c>
      <c r="F146">
        <v>125</v>
      </c>
      <c r="G146">
        <v>17.18</v>
      </c>
      <c r="H146">
        <v>56.82</v>
      </c>
      <c r="I146">
        <v>15.11</v>
      </c>
      <c r="J146">
        <v>49.96</v>
      </c>
      <c r="K146">
        <v>55</v>
      </c>
      <c r="T146">
        <v>2</v>
      </c>
      <c r="U146">
        <v>1</v>
      </c>
      <c r="V146" t="s">
        <v>233</v>
      </c>
      <c r="W146" t="s">
        <v>454</v>
      </c>
      <c r="X146">
        <v>5</v>
      </c>
      <c r="Y146">
        <v>5</v>
      </c>
      <c r="Z146" t="s">
        <v>450</v>
      </c>
      <c r="AA146" t="s">
        <v>451</v>
      </c>
      <c r="AB146" t="s">
        <v>229</v>
      </c>
      <c r="AC146" t="s">
        <v>230</v>
      </c>
      <c r="AD146" t="s">
        <v>231</v>
      </c>
      <c r="AE146" t="s">
        <v>399</v>
      </c>
      <c r="AG146" t="s">
        <v>452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394</v>
      </c>
      <c r="B147">
        <v>7747</v>
      </c>
      <c r="C147">
        <v>4</v>
      </c>
      <c r="D147" t="s">
        <v>448</v>
      </c>
      <c r="E147" t="s">
        <v>449</v>
      </c>
      <c r="F147">
        <v>125</v>
      </c>
      <c r="G147">
        <v>16.95</v>
      </c>
      <c r="H147">
        <v>56.05</v>
      </c>
      <c r="I147">
        <v>15.01</v>
      </c>
      <c r="J147">
        <v>49.63</v>
      </c>
      <c r="K147">
        <v>5</v>
      </c>
      <c r="T147">
        <v>2</v>
      </c>
      <c r="U147">
        <v>1</v>
      </c>
      <c r="V147" t="s">
        <v>233</v>
      </c>
      <c r="W147" t="s">
        <v>455</v>
      </c>
      <c r="X147">
        <v>5</v>
      </c>
      <c r="Y147">
        <v>5</v>
      </c>
      <c r="Z147" t="s">
        <v>450</v>
      </c>
      <c r="AA147" t="s">
        <v>451</v>
      </c>
      <c r="AB147" t="s">
        <v>229</v>
      </c>
      <c r="AC147" t="s">
        <v>230</v>
      </c>
      <c r="AD147" t="s">
        <v>231</v>
      </c>
      <c r="AE147" t="s">
        <v>399</v>
      </c>
      <c r="AG147" t="s">
        <v>452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">
      <c r="A148" t="s">
        <v>394</v>
      </c>
      <c r="B148">
        <v>15370</v>
      </c>
      <c r="C148">
        <v>1</v>
      </c>
      <c r="D148" t="s">
        <v>456</v>
      </c>
      <c r="E148" t="s">
        <v>386</v>
      </c>
      <c r="F148">
        <v>410</v>
      </c>
      <c r="G148">
        <v>12.69</v>
      </c>
      <c r="H148">
        <v>41.98</v>
      </c>
      <c r="I148">
        <v>10.49</v>
      </c>
      <c r="J148">
        <v>34.71</v>
      </c>
      <c r="K148">
        <v>130</v>
      </c>
      <c r="T148">
        <v>1</v>
      </c>
      <c r="U148">
        <v>1</v>
      </c>
      <c r="V148" t="s">
        <v>233</v>
      </c>
      <c r="W148">
        <v>41</v>
      </c>
      <c r="X148">
        <v>10</v>
      </c>
      <c r="Y148">
        <v>4</v>
      </c>
      <c r="Z148" t="s">
        <v>457</v>
      </c>
      <c r="AA148" t="s">
        <v>458</v>
      </c>
      <c r="AB148" t="s">
        <v>229</v>
      </c>
      <c r="AC148" t="s">
        <v>230</v>
      </c>
      <c r="AD148" t="s">
        <v>231</v>
      </c>
      <c r="AE148" t="s">
        <v>399</v>
      </c>
      <c r="AG148" t="s">
        <v>459</v>
      </c>
      <c r="AH148">
        <v>0</v>
      </c>
      <c r="AI148">
        <v>187</v>
      </c>
      <c r="AJ148">
        <v>25</v>
      </c>
      <c r="AK148">
        <v>247</v>
      </c>
      <c r="AL148">
        <v>0.6</v>
      </c>
    </row>
    <row r="149" spans="1:38" x14ac:dyDescent="0.3">
      <c r="A149" t="s">
        <v>394</v>
      </c>
      <c r="B149">
        <v>15370</v>
      </c>
      <c r="C149">
        <v>2</v>
      </c>
      <c r="D149" t="s">
        <v>456</v>
      </c>
      <c r="E149" t="s">
        <v>386</v>
      </c>
      <c r="F149">
        <v>410</v>
      </c>
      <c r="G149">
        <v>15.62</v>
      </c>
      <c r="H149">
        <v>51.66</v>
      </c>
      <c r="I149">
        <v>12.92</v>
      </c>
      <c r="J149">
        <v>42.72</v>
      </c>
      <c r="K149">
        <v>134</v>
      </c>
      <c r="T149">
        <v>2</v>
      </c>
      <c r="U149">
        <v>1</v>
      </c>
      <c r="V149" t="s">
        <v>233</v>
      </c>
      <c r="W149">
        <v>51</v>
      </c>
      <c r="X149">
        <v>10</v>
      </c>
      <c r="Y149">
        <v>4</v>
      </c>
      <c r="Z149" t="s">
        <v>457</v>
      </c>
      <c r="AA149" t="s">
        <v>458</v>
      </c>
      <c r="AB149" t="s">
        <v>229</v>
      </c>
      <c r="AC149" t="s">
        <v>230</v>
      </c>
      <c r="AD149" t="s">
        <v>231</v>
      </c>
      <c r="AE149" t="s">
        <v>399</v>
      </c>
      <c r="AG149" t="s">
        <v>459</v>
      </c>
      <c r="AH149">
        <v>0</v>
      </c>
      <c r="AI149">
        <v>187</v>
      </c>
      <c r="AJ149">
        <v>25</v>
      </c>
      <c r="AK149">
        <v>247</v>
      </c>
      <c r="AL149">
        <v>0.6</v>
      </c>
    </row>
    <row r="150" spans="1:38" x14ac:dyDescent="0.3">
      <c r="A150" t="s">
        <v>394</v>
      </c>
      <c r="B150">
        <v>15370</v>
      </c>
      <c r="C150">
        <v>3</v>
      </c>
      <c r="D150" t="s">
        <v>456</v>
      </c>
      <c r="E150" t="s">
        <v>386</v>
      </c>
      <c r="F150">
        <v>410</v>
      </c>
      <c r="G150">
        <v>17.059999999999999</v>
      </c>
      <c r="H150">
        <v>56.41</v>
      </c>
      <c r="I150">
        <v>12.92</v>
      </c>
      <c r="J150">
        <v>42.72</v>
      </c>
      <c r="K150">
        <v>29</v>
      </c>
      <c r="T150">
        <v>2</v>
      </c>
      <c r="U150">
        <v>1</v>
      </c>
      <c r="V150" t="s">
        <v>233</v>
      </c>
      <c r="W150">
        <v>56</v>
      </c>
      <c r="X150">
        <v>10</v>
      </c>
      <c r="Y150">
        <v>4</v>
      </c>
      <c r="Z150" t="s">
        <v>457</v>
      </c>
      <c r="AA150" t="s">
        <v>458</v>
      </c>
      <c r="AB150" t="s">
        <v>229</v>
      </c>
      <c r="AC150" t="s">
        <v>230</v>
      </c>
      <c r="AD150" t="s">
        <v>231</v>
      </c>
      <c r="AE150" t="s">
        <v>399</v>
      </c>
      <c r="AG150" t="s">
        <v>459</v>
      </c>
      <c r="AH150">
        <v>0</v>
      </c>
      <c r="AI150">
        <v>187</v>
      </c>
      <c r="AJ150">
        <v>25</v>
      </c>
      <c r="AK150">
        <v>247</v>
      </c>
      <c r="AL150">
        <v>0.6</v>
      </c>
    </row>
    <row r="151" spans="1:38" x14ac:dyDescent="0.3">
      <c r="A151" t="s">
        <v>394</v>
      </c>
      <c r="B151">
        <v>15370</v>
      </c>
      <c r="C151">
        <v>4</v>
      </c>
      <c r="D151" t="s">
        <v>456</v>
      </c>
      <c r="E151" t="s">
        <v>386</v>
      </c>
      <c r="F151">
        <v>410</v>
      </c>
      <c r="G151">
        <v>20.09</v>
      </c>
      <c r="H151">
        <v>66.42</v>
      </c>
      <c r="I151">
        <v>16.61</v>
      </c>
      <c r="J151">
        <v>54.92</v>
      </c>
      <c r="K151">
        <v>20</v>
      </c>
      <c r="T151">
        <v>2</v>
      </c>
      <c r="U151">
        <v>1</v>
      </c>
      <c r="V151" t="s">
        <v>233</v>
      </c>
      <c r="W151">
        <v>66</v>
      </c>
      <c r="X151">
        <v>10</v>
      </c>
      <c r="Y151">
        <v>4</v>
      </c>
      <c r="Z151" t="s">
        <v>457</v>
      </c>
      <c r="AA151" t="s">
        <v>458</v>
      </c>
      <c r="AB151" t="s">
        <v>229</v>
      </c>
      <c r="AC151" t="s">
        <v>230</v>
      </c>
      <c r="AD151" t="s">
        <v>231</v>
      </c>
      <c r="AE151" t="s">
        <v>399</v>
      </c>
      <c r="AG151" t="s">
        <v>459</v>
      </c>
      <c r="AH151">
        <v>0</v>
      </c>
      <c r="AI151">
        <v>187</v>
      </c>
      <c r="AJ151">
        <v>25</v>
      </c>
      <c r="AK151">
        <v>247</v>
      </c>
      <c r="AL151">
        <v>0.6</v>
      </c>
    </row>
    <row r="152" spans="1:38" x14ac:dyDescent="0.3">
      <c r="A152" t="s">
        <v>394</v>
      </c>
      <c r="B152">
        <v>15370</v>
      </c>
      <c r="C152">
        <v>5</v>
      </c>
      <c r="D152" t="s">
        <v>456</v>
      </c>
      <c r="E152" t="s">
        <v>386</v>
      </c>
      <c r="F152">
        <v>410</v>
      </c>
      <c r="G152">
        <v>23.73</v>
      </c>
      <c r="H152">
        <v>78.47</v>
      </c>
      <c r="I152">
        <v>18.04</v>
      </c>
      <c r="J152">
        <v>59.66</v>
      </c>
      <c r="K152">
        <v>50</v>
      </c>
      <c r="T152">
        <v>3</v>
      </c>
      <c r="U152">
        <v>1</v>
      </c>
      <c r="V152" t="s">
        <v>233</v>
      </c>
      <c r="W152" t="s">
        <v>119</v>
      </c>
      <c r="X152">
        <v>10</v>
      </c>
      <c r="Y152">
        <v>4</v>
      </c>
      <c r="Z152" t="s">
        <v>457</v>
      </c>
      <c r="AA152" t="s">
        <v>458</v>
      </c>
      <c r="AB152" t="s">
        <v>229</v>
      </c>
      <c r="AC152" t="s">
        <v>230</v>
      </c>
      <c r="AD152" t="s">
        <v>231</v>
      </c>
      <c r="AE152" t="s">
        <v>399</v>
      </c>
      <c r="AG152" t="s">
        <v>459</v>
      </c>
      <c r="AH152">
        <v>0</v>
      </c>
      <c r="AI152">
        <v>187</v>
      </c>
      <c r="AJ152">
        <v>25</v>
      </c>
      <c r="AK152">
        <v>247</v>
      </c>
      <c r="AL152">
        <v>0.6</v>
      </c>
    </row>
    <row r="153" spans="1:38" x14ac:dyDescent="0.3">
      <c r="A153" t="s">
        <v>394</v>
      </c>
      <c r="B153">
        <v>15370</v>
      </c>
      <c r="C153">
        <v>6</v>
      </c>
      <c r="D153" t="s">
        <v>456</v>
      </c>
      <c r="E153" t="s">
        <v>386</v>
      </c>
      <c r="F153">
        <v>410</v>
      </c>
      <c r="G153">
        <v>23.83</v>
      </c>
      <c r="H153">
        <v>78.78</v>
      </c>
      <c r="I153">
        <v>18.04</v>
      </c>
      <c r="J153">
        <v>59.66</v>
      </c>
      <c r="K153">
        <v>47</v>
      </c>
      <c r="T153">
        <v>3</v>
      </c>
      <c r="U153">
        <v>1</v>
      </c>
      <c r="V153" t="s">
        <v>233</v>
      </c>
      <c r="W153" t="s">
        <v>120</v>
      </c>
      <c r="X153">
        <v>10</v>
      </c>
      <c r="Y153">
        <v>4</v>
      </c>
      <c r="Z153" t="s">
        <v>457</v>
      </c>
      <c r="AA153" t="s">
        <v>458</v>
      </c>
      <c r="AB153" t="s">
        <v>229</v>
      </c>
      <c r="AC153" t="s">
        <v>230</v>
      </c>
      <c r="AD153" t="s">
        <v>231</v>
      </c>
      <c r="AE153" t="s">
        <v>399</v>
      </c>
      <c r="AG153" t="s">
        <v>459</v>
      </c>
      <c r="AH153">
        <v>0</v>
      </c>
      <c r="AI153">
        <v>187</v>
      </c>
      <c r="AJ153">
        <v>25</v>
      </c>
      <c r="AK153">
        <v>247</v>
      </c>
      <c r="AL153">
        <v>0.6</v>
      </c>
    </row>
    <row r="154" spans="1:38" x14ac:dyDescent="0.3">
      <c r="A154" t="s">
        <v>394</v>
      </c>
      <c r="B154">
        <v>15369</v>
      </c>
      <c r="C154">
        <v>1</v>
      </c>
      <c r="D154" t="s">
        <v>460</v>
      </c>
      <c r="E154" t="s">
        <v>461</v>
      </c>
      <c r="F154">
        <v>65</v>
      </c>
      <c r="G154">
        <v>17.29</v>
      </c>
      <c r="H154">
        <v>57.17</v>
      </c>
      <c r="I154">
        <v>13.94</v>
      </c>
      <c r="J154">
        <v>46.11</v>
      </c>
      <c r="K154">
        <v>5</v>
      </c>
      <c r="T154">
        <v>2</v>
      </c>
      <c r="U154">
        <v>1</v>
      </c>
      <c r="V154" t="s">
        <v>233</v>
      </c>
      <c r="W154">
        <v>57</v>
      </c>
      <c r="X154">
        <v>5</v>
      </c>
      <c r="Y154">
        <v>5</v>
      </c>
      <c r="Z154" t="s">
        <v>462</v>
      </c>
      <c r="AA154" t="s">
        <v>463</v>
      </c>
      <c r="AB154" t="s">
        <v>229</v>
      </c>
      <c r="AC154" t="s">
        <v>230</v>
      </c>
      <c r="AD154" t="s">
        <v>231</v>
      </c>
      <c r="AE154" t="s">
        <v>399</v>
      </c>
      <c r="AG154" t="s">
        <v>464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394</v>
      </c>
      <c r="B155">
        <v>15369</v>
      </c>
      <c r="C155">
        <v>2</v>
      </c>
      <c r="D155" t="s">
        <v>460</v>
      </c>
      <c r="E155" t="s">
        <v>461</v>
      </c>
      <c r="F155">
        <v>65</v>
      </c>
      <c r="G155">
        <v>17.739999999999998</v>
      </c>
      <c r="H155">
        <v>58.67</v>
      </c>
      <c r="I155">
        <v>16.03</v>
      </c>
      <c r="J155">
        <v>53.01</v>
      </c>
      <c r="K155">
        <v>20</v>
      </c>
      <c r="T155">
        <v>3</v>
      </c>
      <c r="U155">
        <v>1</v>
      </c>
      <c r="V155" t="s">
        <v>233</v>
      </c>
      <c r="W155">
        <v>58</v>
      </c>
      <c r="X155">
        <v>5</v>
      </c>
      <c r="Y155">
        <v>5</v>
      </c>
      <c r="Z155" t="s">
        <v>462</v>
      </c>
      <c r="AA155" t="s">
        <v>463</v>
      </c>
      <c r="AB155" t="s">
        <v>229</v>
      </c>
      <c r="AC155" t="s">
        <v>230</v>
      </c>
      <c r="AD155" t="s">
        <v>231</v>
      </c>
      <c r="AE155" t="s">
        <v>399</v>
      </c>
      <c r="AG155" t="s">
        <v>464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394</v>
      </c>
      <c r="B156">
        <v>15369</v>
      </c>
      <c r="C156">
        <v>3</v>
      </c>
      <c r="D156" t="s">
        <v>460</v>
      </c>
      <c r="E156" t="s">
        <v>461</v>
      </c>
      <c r="F156">
        <v>65</v>
      </c>
      <c r="G156">
        <v>19.78</v>
      </c>
      <c r="H156">
        <v>65.42</v>
      </c>
      <c r="I156">
        <v>18.07</v>
      </c>
      <c r="J156">
        <v>59.76</v>
      </c>
      <c r="K156">
        <v>20</v>
      </c>
      <c r="T156">
        <v>3</v>
      </c>
      <c r="U156">
        <v>1</v>
      </c>
      <c r="V156" t="s">
        <v>233</v>
      </c>
      <c r="W156">
        <v>65</v>
      </c>
      <c r="X156">
        <v>5</v>
      </c>
      <c r="Y156">
        <v>5</v>
      </c>
      <c r="Z156" t="s">
        <v>462</v>
      </c>
      <c r="AA156" t="s">
        <v>463</v>
      </c>
      <c r="AB156" t="s">
        <v>229</v>
      </c>
      <c r="AC156" t="s">
        <v>230</v>
      </c>
      <c r="AD156" t="s">
        <v>231</v>
      </c>
      <c r="AE156" t="s">
        <v>399</v>
      </c>
      <c r="AG156" t="s">
        <v>464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394</v>
      </c>
      <c r="B157">
        <v>15369</v>
      </c>
      <c r="C157">
        <v>4</v>
      </c>
      <c r="D157" t="s">
        <v>460</v>
      </c>
      <c r="E157" t="s">
        <v>461</v>
      </c>
      <c r="F157">
        <v>65</v>
      </c>
      <c r="G157">
        <v>20.71</v>
      </c>
      <c r="H157">
        <v>68.48</v>
      </c>
      <c r="I157">
        <v>19</v>
      </c>
      <c r="J157">
        <v>62.82</v>
      </c>
      <c r="K157">
        <v>20</v>
      </c>
      <c r="T157">
        <v>3</v>
      </c>
      <c r="U157">
        <v>1</v>
      </c>
      <c r="V157" t="s">
        <v>233</v>
      </c>
      <c r="W157">
        <v>68</v>
      </c>
      <c r="X157">
        <v>5</v>
      </c>
      <c r="Y157">
        <v>5</v>
      </c>
      <c r="Z157" t="s">
        <v>462</v>
      </c>
      <c r="AA157" t="s">
        <v>463</v>
      </c>
      <c r="AB157" t="s">
        <v>229</v>
      </c>
      <c r="AC157" t="s">
        <v>230</v>
      </c>
      <c r="AD157" t="s">
        <v>231</v>
      </c>
      <c r="AE157" t="s">
        <v>399</v>
      </c>
      <c r="AG157" t="s">
        <v>464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465</v>
      </c>
      <c r="B158">
        <v>107198</v>
      </c>
      <c r="C158">
        <v>1</v>
      </c>
      <c r="D158" t="s">
        <v>466</v>
      </c>
      <c r="E158" t="s">
        <v>467</v>
      </c>
      <c r="F158">
        <v>120</v>
      </c>
      <c r="G158">
        <v>15.37</v>
      </c>
      <c r="H158">
        <v>50.84</v>
      </c>
      <c r="I158">
        <v>9.08</v>
      </c>
      <c r="J158">
        <v>30.04</v>
      </c>
      <c r="K158">
        <v>32</v>
      </c>
      <c r="T158">
        <v>2</v>
      </c>
      <c r="U158">
        <v>1</v>
      </c>
      <c r="V158" t="s">
        <v>226</v>
      </c>
      <c r="W158">
        <v>50</v>
      </c>
      <c r="X158">
        <v>10</v>
      </c>
      <c r="Y158">
        <v>10</v>
      </c>
      <c r="Z158" t="s">
        <v>468</v>
      </c>
      <c r="AA158" t="s">
        <v>469</v>
      </c>
      <c r="AB158" t="s">
        <v>229</v>
      </c>
      <c r="AC158" t="s">
        <v>230</v>
      </c>
      <c r="AD158" t="s">
        <v>231</v>
      </c>
      <c r="AE158" t="s">
        <v>470</v>
      </c>
      <c r="AG158" t="s">
        <v>471</v>
      </c>
      <c r="AH158">
        <v>0</v>
      </c>
      <c r="AI158">
        <v>584</v>
      </c>
      <c r="AJ158">
        <v>69</v>
      </c>
      <c r="AK158">
        <v>49</v>
      </c>
      <c r="AL158">
        <v>0.41</v>
      </c>
    </row>
    <row r="159" spans="1:38" x14ac:dyDescent="0.3">
      <c r="A159" t="s">
        <v>465</v>
      </c>
      <c r="B159">
        <v>107198</v>
      </c>
      <c r="C159">
        <v>2</v>
      </c>
      <c r="D159" t="s">
        <v>466</v>
      </c>
      <c r="E159" t="s">
        <v>467</v>
      </c>
      <c r="F159">
        <v>120</v>
      </c>
      <c r="G159">
        <v>15.61</v>
      </c>
      <c r="H159">
        <v>51.62</v>
      </c>
      <c r="I159">
        <v>9.2200000000000006</v>
      </c>
      <c r="J159">
        <v>30.51</v>
      </c>
      <c r="K159">
        <v>16</v>
      </c>
      <c r="T159">
        <v>2</v>
      </c>
      <c r="U159">
        <v>1</v>
      </c>
      <c r="V159" t="s">
        <v>226</v>
      </c>
      <c r="W159" t="s">
        <v>312</v>
      </c>
      <c r="X159">
        <v>10</v>
      </c>
      <c r="Y159">
        <v>10</v>
      </c>
      <c r="Z159" t="s">
        <v>468</v>
      </c>
      <c r="AA159" t="s">
        <v>469</v>
      </c>
      <c r="AB159" t="s">
        <v>229</v>
      </c>
      <c r="AC159" t="s">
        <v>230</v>
      </c>
      <c r="AD159" t="s">
        <v>231</v>
      </c>
      <c r="AE159" t="s">
        <v>470</v>
      </c>
      <c r="AG159" t="s">
        <v>471</v>
      </c>
      <c r="AH159">
        <v>0</v>
      </c>
      <c r="AI159">
        <v>584</v>
      </c>
      <c r="AJ159">
        <v>69</v>
      </c>
      <c r="AK159">
        <v>49</v>
      </c>
      <c r="AL159">
        <v>0.41</v>
      </c>
    </row>
    <row r="160" spans="1:38" x14ac:dyDescent="0.3">
      <c r="A160" t="s">
        <v>465</v>
      </c>
      <c r="B160">
        <v>107198</v>
      </c>
      <c r="C160">
        <v>3</v>
      </c>
      <c r="D160" t="s">
        <v>466</v>
      </c>
      <c r="E160" t="s">
        <v>467</v>
      </c>
      <c r="F160">
        <v>120</v>
      </c>
      <c r="G160">
        <v>16.100000000000001</v>
      </c>
      <c r="H160">
        <v>53.25</v>
      </c>
      <c r="I160">
        <v>9.51</v>
      </c>
      <c r="J160">
        <v>31.47</v>
      </c>
      <c r="K160">
        <v>8</v>
      </c>
      <c r="T160">
        <v>2</v>
      </c>
      <c r="U160">
        <v>1</v>
      </c>
      <c r="V160" t="s">
        <v>226</v>
      </c>
      <c r="W160" t="s">
        <v>472</v>
      </c>
      <c r="X160">
        <v>10</v>
      </c>
      <c r="Y160">
        <v>10</v>
      </c>
      <c r="Z160" t="s">
        <v>468</v>
      </c>
      <c r="AA160" t="s">
        <v>469</v>
      </c>
      <c r="AB160" t="s">
        <v>229</v>
      </c>
      <c r="AC160" t="s">
        <v>230</v>
      </c>
      <c r="AD160" t="s">
        <v>231</v>
      </c>
      <c r="AE160" t="s">
        <v>470</v>
      </c>
      <c r="AG160" t="s">
        <v>471</v>
      </c>
      <c r="AH160">
        <v>0</v>
      </c>
      <c r="AI160">
        <v>584</v>
      </c>
      <c r="AJ160">
        <v>69</v>
      </c>
      <c r="AK160">
        <v>49</v>
      </c>
      <c r="AL160">
        <v>0.41</v>
      </c>
    </row>
    <row r="161" spans="1:38" x14ac:dyDescent="0.3">
      <c r="A161" t="s">
        <v>465</v>
      </c>
      <c r="B161">
        <v>107198</v>
      </c>
      <c r="C161">
        <v>4</v>
      </c>
      <c r="D161" t="s">
        <v>466</v>
      </c>
      <c r="E161" t="s">
        <v>467</v>
      </c>
      <c r="F161">
        <v>120</v>
      </c>
      <c r="G161">
        <v>17.100000000000001</v>
      </c>
      <c r="H161">
        <v>56.55</v>
      </c>
      <c r="I161">
        <v>10.1</v>
      </c>
      <c r="J161">
        <v>33.42</v>
      </c>
      <c r="K161">
        <v>32</v>
      </c>
      <c r="T161">
        <v>2</v>
      </c>
      <c r="U161">
        <v>1</v>
      </c>
      <c r="V161" t="s">
        <v>226</v>
      </c>
      <c r="W161" t="s">
        <v>455</v>
      </c>
      <c r="X161">
        <v>10</v>
      </c>
      <c r="Y161">
        <v>10</v>
      </c>
      <c r="Z161" t="s">
        <v>468</v>
      </c>
      <c r="AA161" t="s">
        <v>469</v>
      </c>
      <c r="AB161" t="s">
        <v>229</v>
      </c>
      <c r="AC161" t="s">
        <v>230</v>
      </c>
      <c r="AD161" t="s">
        <v>231</v>
      </c>
      <c r="AE161" t="s">
        <v>470</v>
      </c>
      <c r="AG161" t="s">
        <v>471</v>
      </c>
      <c r="AH161">
        <v>0</v>
      </c>
      <c r="AI161">
        <v>584</v>
      </c>
      <c r="AJ161">
        <v>69</v>
      </c>
      <c r="AK161">
        <v>49</v>
      </c>
      <c r="AL161">
        <v>0.41</v>
      </c>
    </row>
    <row r="162" spans="1:38" x14ac:dyDescent="0.3">
      <c r="A162" t="s">
        <v>465</v>
      </c>
      <c r="B162">
        <v>107198</v>
      </c>
      <c r="C162">
        <v>5</v>
      </c>
      <c r="D162" t="s">
        <v>466</v>
      </c>
      <c r="E162" t="s">
        <v>467</v>
      </c>
      <c r="F162">
        <v>120</v>
      </c>
      <c r="G162">
        <v>17.45</v>
      </c>
      <c r="H162">
        <v>57.71</v>
      </c>
      <c r="I162">
        <v>10.31</v>
      </c>
      <c r="J162">
        <v>34.1</v>
      </c>
      <c r="K162">
        <v>16</v>
      </c>
      <c r="T162">
        <v>2</v>
      </c>
      <c r="U162">
        <v>1</v>
      </c>
      <c r="V162" t="s">
        <v>226</v>
      </c>
      <c r="W162" t="s">
        <v>473</v>
      </c>
      <c r="X162">
        <v>10</v>
      </c>
      <c r="Y162">
        <v>10</v>
      </c>
      <c r="Z162" t="s">
        <v>468</v>
      </c>
      <c r="AA162" t="s">
        <v>469</v>
      </c>
      <c r="AB162" t="s">
        <v>229</v>
      </c>
      <c r="AC162" t="s">
        <v>230</v>
      </c>
      <c r="AD162" t="s">
        <v>231</v>
      </c>
      <c r="AE162" t="s">
        <v>470</v>
      </c>
      <c r="AG162" t="s">
        <v>471</v>
      </c>
      <c r="AH162">
        <v>0</v>
      </c>
      <c r="AI162">
        <v>584</v>
      </c>
      <c r="AJ162">
        <v>69</v>
      </c>
      <c r="AK162">
        <v>49</v>
      </c>
      <c r="AL162">
        <v>0.41</v>
      </c>
    </row>
    <row r="163" spans="1:38" x14ac:dyDescent="0.3">
      <c r="A163" t="s">
        <v>465</v>
      </c>
      <c r="B163">
        <v>107198</v>
      </c>
      <c r="C163">
        <v>6</v>
      </c>
      <c r="D163" t="s">
        <v>466</v>
      </c>
      <c r="E163" t="s">
        <v>467</v>
      </c>
      <c r="F163">
        <v>120</v>
      </c>
      <c r="G163">
        <v>17.649999999999999</v>
      </c>
      <c r="H163">
        <v>58.37</v>
      </c>
      <c r="I163">
        <v>10.43</v>
      </c>
      <c r="J163">
        <v>34.49</v>
      </c>
      <c r="K163">
        <v>7</v>
      </c>
      <c r="T163">
        <v>2</v>
      </c>
      <c r="U163">
        <v>1</v>
      </c>
      <c r="V163" t="s">
        <v>226</v>
      </c>
      <c r="W163" t="s">
        <v>474</v>
      </c>
      <c r="X163">
        <v>10</v>
      </c>
      <c r="Y163">
        <v>10</v>
      </c>
      <c r="Z163" t="s">
        <v>468</v>
      </c>
      <c r="AA163" t="s">
        <v>469</v>
      </c>
      <c r="AB163" t="s">
        <v>229</v>
      </c>
      <c r="AC163" t="s">
        <v>230</v>
      </c>
      <c r="AD163" t="s">
        <v>231</v>
      </c>
      <c r="AE163" t="s">
        <v>470</v>
      </c>
      <c r="AG163" t="s">
        <v>471</v>
      </c>
      <c r="AH163">
        <v>0</v>
      </c>
      <c r="AI163">
        <v>584</v>
      </c>
      <c r="AJ163">
        <v>69</v>
      </c>
      <c r="AK163">
        <v>49</v>
      </c>
      <c r="AL163">
        <v>0.41</v>
      </c>
    </row>
    <row r="164" spans="1:38" x14ac:dyDescent="0.3">
      <c r="A164" t="s">
        <v>465</v>
      </c>
      <c r="B164">
        <v>107198</v>
      </c>
      <c r="C164">
        <v>7</v>
      </c>
      <c r="D164" t="s">
        <v>466</v>
      </c>
      <c r="E164" t="s">
        <v>467</v>
      </c>
      <c r="F164">
        <v>120</v>
      </c>
      <c r="G164">
        <v>17.61</v>
      </c>
      <c r="H164">
        <v>58.23</v>
      </c>
      <c r="I164">
        <v>10.4</v>
      </c>
      <c r="J164">
        <v>34.409999999999997</v>
      </c>
      <c r="K164">
        <v>1</v>
      </c>
      <c r="T164">
        <v>2</v>
      </c>
      <c r="U164">
        <v>1</v>
      </c>
      <c r="V164" t="s">
        <v>226</v>
      </c>
      <c r="W164" t="s">
        <v>190</v>
      </c>
      <c r="X164">
        <v>10</v>
      </c>
      <c r="Y164">
        <v>10</v>
      </c>
      <c r="Z164" t="s">
        <v>468</v>
      </c>
      <c r="AA164" t="s">
        <v>469</v>
      </c>
      <c r="AB164" t="s">
        <v>229</v>
      </c>
      <c r="AC164" t="s">
        <v>230</v>
      </c>
      <c r="AD164" t="s">
        <v>231</v>
      </c>
      <c r="AE164" t="s">
        <v>470</v>
      </c>
      <c r="AG164" t="s">
        <v>471</v>
      </c>
      <c r="AH164">
        <v>0</v>
      </c>
      <c r="AI164">
        <v>584</v>
      </c>
      <c r="AJ164">
        <v>69</v>
      </c>
      <c r="AK164">
        <v>49</v>
      </c>
      <c r="AL164">
        <v>0.41</v>
      </c>
    </row>
    <row r="165" spans="1:38" x14ac:dyDescent="0.3">
      <c r="A165" t="s">
        <v>465</v>
      </c>
      <c r="B165">
        <v>107198</v>
      </c>
      <c r="C165">
        <v>8</v>
      </c>
      <c r="D165" t="s">
        <v>466</v>
      </c>
      <c r="E165" t="s">
        <v>467</v>
      </c>
      <c r="F165">
        <v>120</v>
      </c>
      <c r="G165">
        <v>19.91</v>
      </c>
      <c r="H165">
        <v>65.84</v>
      </c>
      <c r="I165">
        <v>11.77</v>
      </c>
      <c r="J165">
        <v>38.909999999999997</v>
      </c>
      <c r="K165">
        <v>8</v>
      </c>
      <c r="T165">
        <v>2</v>
      </c>
      <c r="U165">
        <v>1</v>
      </c>
      <c r="V165" t="s">
        <v>226</v>
      </c>
      <c r="W165">
        <v>65</v>
      </c>
      <c r="X165">
        <v>10</v>
      </c>
      <c r="Y165">
        <v>10</v>
      </c>
      <c r="Z165" t="s">
        <v>468</v>
      </c>
      <c r="AA165" t="s">
        <v>469</v>
      </c>
      <c r="AB165" t="s">
        <v>229</v>
      </c>
      <c r="AC165" t="s">
        <v>230</v>
      </c>
      <c r="AD165" t="s">
        <v>231</v>
      </c>
      <c r="AE165" t="s">
        <v>470</v>
      </c>
      <c r="AG165" t="s">
        <v>471</v>
      </c>
      <c r="AH165">
        <v>0</v>
      </c>
      <c r="AI165">
        <v>584</v>
      </c>
      <c r="AJ165">
        <v>69</v>
      </c>
      <c r="AK165">
        <v>49</v>
      </c>
      <c r="AL165">
        <v>0.41</v>
      </c>
    </row>
    <row r="166" spans="1:38" x14ac:dyDescent="0.3">
      <c r="A166" t="s">
        <v>465</v>
      </c>
      <c r="B166">
        <v>111248</v>
      </c>
      <c r="C166">
        <v>1</v>
      </c>
      <c r="D166" t="s">
        <v>475</v>
      </c>
      <c r="E166" t="s">
        <v>476</v>
      </c>
      <c r="F166">
        <v>22</v>
      </c>
      <c r="G166">
        <v>28.17</v>
      </c>
      <c r="H166">
        <v>93.13</v>
      </c>
      <c r="I166">
        <v>17.100000000000001</v>
      </c>
      <c r="J166">
        <v>56.53</v>
      </c>
      <c r="K166">
        <v>6</v>
      </c>
      <c r="T166">
        <v>2</v>
      </c>
      <c r="U166">
        <v>1</v>
      </c>
      <c r="V166" t="s">
        <v>226</v>
      </c>
      <c r="W166" t="s">
        <v>477</v>
      </c>
      <c r="X166">
        <v>3</v>
      </c>
      <c r="Y166">
        <v>3</v>
      </c>
      <c r="Z166" t="s">
        <v>478</v>
      </c>
      <c r="AA166" t="s">
        <v>479</v>
      </c>
      <c r="AB166" t="s">
        <v>229</v>
      </c>
      <c r="AC166" t="s">
        <v>230</v>
      </c>
      <c r="AD166" t="s">
        <v>231</v>
      </c>
      <c r="AE166" t="s">
        <v>470</v>
      </c>
      <c r="AG166" t="s">
        <v>480</v>
      </c>
      <c r="AH166">
        <v>0</v>
      </c>
      <c r="AI166">
        <v>883</v>
      </c>
      <c r="AJ166">
        <v>69</v>
      </c>
      <c r="AK166">
        <v>16</v>
      </c>
      <c r="AL166">
        <v>0.73</v>
      </c>
    </row>
    <row r="167" spans="1:38" x14ac:dyDescent="0.3">
      <c r="A167" t="s">
        <v>465</v>
      </c>
      <c r="B167">
        <v>111248</v>
      </c>
      <c r="C167">
        <v>2</v>
      </c>
      <c r="D167" t="s">
        <v>475</v>
      </c>
      <c r="E167" t="s">
        <v>476</v>
      </c>
      <c r="F167">
        <v>22</v>
      </c>
      <c r="G167">
        <v>29.21</v>
      </c>
      <c r="H167">
        <v>96.57</v>
      </c>
      <c r="I167">
        <v>17.73</v>
      </c>
      <c r="J167">
        <v>58.62</v>
      </c>
      <c r="K167">
        <v>4</v>
      </c>
      <c r="T167">
        <v>2</v>
      </c>
      <c r="U167">
        <v>1</v>
      </c>
      <c r="V167" t="s">
        <v>226</v>
      </c>
      <c r="W167" t="s">
        <v>481</v>
      </c>
      <c r="X167">
        <v>3</v>
      </c>
      <c r="Y167">
        <v>3</v>
      </c>
      <c r="Z167" t="s">
        <v>478</v>
      </c>
      <c r="AA167" t="s">
        <v>479</v>
      </c>
      <c r="AB167" t="s">
        <v>229</v>
      </c>
      <c r="AC167" t="s">
        <v>230</v>
      </c>
      <c r="AD167" t="s">
        <v>231</v>
      </c>
      <c r="AE167" t="s">
        <v>470</v>
      </c>
      <c r="AG167" t="s">
        <v>480</v>
      </c>
      <c r="AH167">
        <v>0</v>
      </c>
      <c r="AI167">
        <v>883</v>
      </c>
      <c r="AJ167">
        <v>69</v>
      </c>
      <c r="AK167">
        <v>16</v>
      </c>
      <c r="AL167">
        <v>0.73</v>
      </c>
    </row>
    <row r="168" spans="1:38" x14ac:dyDescent="0.3">
      <c r="A168" t="s">
        <v>465</v>
      </c>
      <c r="B168">
        <v>111248</v>
      </c>
      <c r="C168">
        <v>3</v>
      </c>
      <c r="D168" t="s">
        <v>475</v>
      </c>
      <c r="E168" t="s">
        <v>476</v>
      </c>
      <c r="F168">
        <v>22</v>
      </c>
      <c r="G168">
        <v>29.21</v>
      </c>
      <c r="H168">
        <v>96.57</v>
      </c>
      <c r="I168">
        <v>17.73</v>
      </c>
      <c r="J168">
        <v>58.62</v>
      </c>
      <c r="K168">
        <v>4</v>
      </c>
      <c r="T168">
        <v>2</v>
      </c>
      <c r="U168">
        <v>1</v>
      </c>
      <c r="V168" t="s">
        <v>226</v>
      </c>
      <c r="W168" t="s">
        <v>482</v>
      </c>
      <c r="X168">
        <v>3</v>
      </c>
      <c r="Y168">
        <v>3</v>
      </c>
      <c r="Z168" t="s">
        <v>478</v>
      </c>
      <c r="AA168" t="s">
        <v>479</v>
      </c>
      <c r="AB168" t="s">
        <v>229</v>
      </c>
      <c r="AC168" t="s">
        <v>230</v>
      </c>
      <c r="AD168" t="s">
        <v>231</v>
      </c>
      <c r="AE168" t="s">
        <v>470</v>
      </c>
      <c r="AG168" t="s">
        <v>480</v>
      </c>
      <c r="AH168">
        <v>0</v>
      </c>
      <c r="AI168">
        <v>883</v>
      </c>
      <c r="AJ168">
        <v>69</v>
      </c>
      <c r="AK168">
        <v>16</v>
      </c>
      <c r="AL168">
        <v>0.73</v>
      </c>
    </row>
    <row r="169" spans="1:38" x14ac:dyDescent="0.3">
      <c r="A169" t="s">
        <v>465</v>
      </c>
      <c r="B169">
        <v>111248</v>
      </c>
      <c r="C169">
        <v>4</v>
      </c>
      <c r="D169" t="s">
        <v>475</v>
      </c>
      <c r="E169" t="s">
        <v>476</v>
      </c>
      <c r="F169">
        <v>22</v>
      </c>
      <c r="G169">
        <v>29.52</v>
      </c>
      <c r="H169">
        <v>97.61</v>
      </c>
      <c r="I169">
        <v>17.920000000000002</v>
      </c>
      <c r="J169">
        <v>59.25</v>
      </c>
      <c r="K169">
        <v>8</v>
      </c>
      <c r="T169">
        <v>2</v>
      </c>
      <c r="U169">
        <v>1</v>
      </c>
      <c r="V169" t="s">
        <v>226</v>
      </c>
      <c r="W169" t="s">
        <v>483</v>
      </c>
      <c r="X169">
        <v>3</v>
      </c>
      <c r="Y169">
        <v>3</v>
      </c>
      <c r="Z169" t="s">
        <v>478</v>
      </c>
      <c r="AA169" t="s">
        <v>479</v>
      </c>
      <c r="AB169" t="s">
        <v>229</v>
      </c>
      <c r="AC169" t="s">
        <v>230</v>
      </c>
      <c r="AD169" t="s">
        <v>231</v>
      </c>
      <c r="AE169" t="s">
        <v>470</v>
      </c>
      <c r="AG169" t="s">
        <v>480</v>
      </c>
      <c r="AH169">
        <v>0</v>
      </c>
      <c r="AI169">
        <v>883</v>
      </c>
      <c r="AJ169">
        <v>69</v>
      </c>
      <c r="AK169">
        <v>16</v>
      </c>
      <c r="AL169">
        <v>0.73</v>
      </c>
    </row>
    <row r="170" spans="1:38" x14ac:dyDescent="0.3">
      <c r="A170" t="s">
        <v>465</v>
      </c>
      <c r="B170">
        <v>10437</v>
      </c>
      <c r="C170">
        <v>1</v>
      </c>
      <c r="D170" t="s">
        <v>484</v>
      </c>
      <c r="E170" t="s">
        <v>485</v>
      </c>
      <c r="F170">
        <v>284</v>
      </c>
      <c r="G170">
        <v>25.71</v>
      </c>
      <c r="H170">
        <v>85.02</v>
      </c>
      <c r="I170">
        <v>17.73</v>
      </c>
      <c r="J170">
        <v>58.62</v>
      </c>
      <c r="K170">
        <v>134</v>
      </c>
      <c r="T170">
        <v>2</v>
      </c>
      <c r="U170">
        <v>1</v>
      </c>
      <c r="V170" t="s">
        <v>226</v>
      </c>
      <c r="W170">
        <v>85</v>
      </c>
      <c r="X170">
        <v>15</v>
      </c>
      <c r="Y170">
        <v>9</v>
      </c>
      <c r="Z170" t="s">
        <v>486</v>
      </c>
      <c r="AA170" t="s">
        <v>487</v>
      </c>
      <c r="AB170" t="s">
        <v>229</v>
      </c>
      <c r="AC170" t="s">
        <v>230</v>
      </c>
      <c r="AD170" t="s">
        <v>231</v>
      </c>
      <c r="AE170" t="s">
        <v>470</v>
      </c>
      <c r="AG170" t="s">
        <v>488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465</v>
      </c>
      <c r="B171">
        <v>10437</v>
      </c>
      <c r="C171">
        <v>2</v>
      </c>
      <c r="D171" t="s">
        <v>484</v>
      </c>
      <c r="E171" t="s">
        <v>485</v>
      </c>
      <c r="F171">
        <v>284</v>
      </c>
      <c r="G171">
        <v>31.87</v>
      </c>
      <c r="H171">
        <v>105.36</v>
      </c>
      <c r="I171">
        <v>25.67</v>
      </c>
      <c r="J171">
        <v>84.86</v>
      </c>
      <c r="K171">
        <v>150</v>
      </c>
      <c r="T171">
        <v>3</v>
      </c>
      <c r="U171">
        <v>2</v>
      </c>
      <c r="V171" t="s">
        <v>233</v>
      </c>
      <c r="W171">
        <v>105</v>
      </c>
      <c r="X171">
        <v>15</v>
      </c>
      <c r="Y171">
        <v>9</v>
      </c>
      <c r="Z171" t="s">
        <v>486</v>
      </c>
      <c r="AA171" t="s">
        <v>487</v>
      </c>
      <c r="AB171" t="s">
        <v>229</v>
      </c>
      <c r="AC171" t="s">
        <v>230</v>
      </c>
      <c r="AD171" t="s">
        <v>231</v>
      </c>
      <c r="AE171" t="s">
        <v>470</v>
      </c>
      <c r="AG171" t="s">
        <v>488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465</v>
      </c>
      <c r="B172">
        <v>15426</v>
      </c>
      <c r="C172">
        <v>1</v>
      </c>
      <c r="D172" t="s">
        <v>489</v>
      </c>
      <c r="E172" t="s">
        <v>490</v>
      </c>
      <c r="F172">
        <v>207</v>
      </c>
      <c r="G172">
        <v>21.51</v>
      </c>
      <c r="H172">
        <v>71.13</v>
      </c>
      <c r="I172">
        <v>18.11</v>
      </c>
      <c r="J172">
        <v>59.88</v>
      </c>
      <c r="K172">
        <v>207</v>
      </c>
      <c r="T172">
        <v>3</v>
      </c>
      <c r="U172">
        <v>1</v>
      </c>
      <c r="V172" t="s">
        <v>226</v>
      </c>
      <c r="W172">
        <v>71</v>
      </c>
      <c r="X172">
        <v>15</v>
      </c>
      <c r="Y172">
        <v>7</v>
      </c>
      <c r="Z172" t="s">
        <v>491</v>
      </c>
      <c r="AA172" t="s">
        <v>492</v>
      </c>
      <c r="AB172" t="s">
        <v>229</v>
      </c>
      <c r="AC172" t="s">
        <v>230</v>
      </c>
      <c r="AD172" t="s">
        <v>231</v>
      </c>
      <c r="AE172" t="s">
        <v>470</v>
      </c>
      <c r="AG172" t="s">
        <v>493</v>
      </c>
      <c r="AH172">
        <v>0</v>
      </c>
      <c r="AI172">
        <v>190</v>
      </c>
      <c r="AJ172">
        <v>25</v>
      </c>
      <c r="AK172">
        <v>181</v>
      </c>
      <c r="AL172">
        <v>0.87</v>
      </c>
    </row>
    <row r="173" spans="1:38" x14ac:dyDescent="0.3">
      <c r="A173" t="s">
        <v>465</v>
      </c>
      <c r="B173">
        <v>110424</v>
      </c>
      <c r="C173">
        <v>1</v>
      </c>
      <c r="D173" t="s">
        <v>494</v>
      </c>
      <c r="E173" t="s">
        <v>495</v>
      </c>
      <c r="F173">
        <v>13</v>
      </c>
      <c r="G173">
        <v>9.73</v>
      </c>
      <c r="H173">
        <v>32.18</v>
      </c>
      <c r="I173">
        <v>6.87</v>
      </c>
      <c r="J173">
        <v>22.74</v>
      </c>
      <c r="K173">
        <v>9</v>
      </c>
      <c r="T173">
        <v>1</v>
      </c>
      <c r="U173">
        <v>1</v>
      </c>
      <c r="V173" t="s">
        <v>226</v>
      </c>
      <c r="W173">
        <v>32</v>
      </c>
      <c r="X173">
        <v>4</v>
      </c>
      <c r="Y173">
        <v>2</v>
      </c>
      <c r="Z173" t="s">
        <v>496</v>
      </c>
      <c r="AA173" t="s">
        <v>497</v>
      </c>
      <c r="AB173" t="s">
        <v>229</v>
      </c>
      <c r="AC173" t="s">
        <v>230</v>
      </c>
      <c r="AD173" t="s">
        <v>231</v>
      </c>
      <c r="AE173" t="s">
        <v>470</v>
      </c>
      <c r="AG173" t="s">
        <v>498</v>
      </c>
      <c r="AH173">
        <v>0</v>
      </c>
      <c r="AI173">
        <v>327</v>
      </c>
      <c r="AJ173">
        <v>47</v>
      </c>
      <c r="AK173">
        <v>7</v>
      </c>
      <c r="AL173">
        <v>0.54</v>
      </c>
    </row>
    <row r="174" spans="1:38" x14ac:dyDescent="0.3">
      <c r="A174" t="s">
        <v>465</v>
      </c>
      <c r="B174">
        <v>110424</v>
      </c>
      <c r="C174">
        <v>2</v>
      </c>
      <c r="D174" t="s">
        <v>494</v>
      </c>
      <c r="E174" t="s">
        <v>495</v>
      </c>
      <c r="F174">
        <v>13</v>
      </c>
      <c r="G174">
        <v>19.78</v>
      </c>
      <c r="H174">
        <v>65.39</v>
      </c>
      <c r="I174">
        <v>13.97</v>
      </c>
      <c r="J174">
        <v>46.2</v>
      </c>
      <c r="K174">
        <v>2</v>
      </c>
      <c r="T174">
        <v>1</v>
      </c>
      <c r="U174">
        <v>1</v>
      </c>
      <c r="V174" t="s">
        <v>226</v>
      </c>
      <c r="W174">
        <v>65</v>
      </c>
      <c r="X174">
        <v>4</v>
      </c>
      <c r="Y174">
        <v>2</v>
      </c>
      <c r="Z174" t="s">
        <v>496</v>
      </c>
      <c r="AA174" t="s">
        <v>497</v>
      </c>
      <c r="AB174" t="s">
        <v>229</v>
      </c>
      <c r="AC174" t="s">
        <v>230</v>
      </c>
      <c r="AD174" t="s">
        <v>231</v>
      </c>
      <c r="AE174" t="s">
        <v>470</v>
      </c>
      <c r="AG174" t="s">
        <v>498</v>
      </c>
      <c r="AH174">
        <v>0</v>
      </c>
      <c r="AI174">
        <v>327</v>
      </c>
      <c r="AJ174">
        <v>47</v>
      </c>
      <c r="AK174">
        <v>7</v>
      </c>
      <c r="AL174">
        <v>0.54</v>
      </c>
    </row>
    <row r="175" spans="1:38" x14ac:dyDescent="0.3">
      <c r="A175" t="s">
        <v>465</v>
      </c>
      <c r="B175">
        <v>110424</v>
      </c>
      <c r="C175">
        <v>3</v>
      </c>
      <c r="D175" t="s">
        <v>494</v>
      </c>
      <c r="E175" t="s">
        <v>495</v>
      </c>
      <c r="F175">
        <v>13</v>
      </c>
      <c r="G175">
        <v>24.14</v>
      </c>
      <c r="H175">
        <v>79.81</v>
      </c>
      <c r="I175">
        <v>17.059999999999999</v>
      </c>
      <c r="J175">
        <v>56.4</v>
      </c>
      <c r="K175">
        <v>2</v>
      </c>
      <c r="T175">
        <v>2</v>
      </c>
      <c r="U175">
        <v>1</v>
      </c>
      <c r="V175" t="s">
        <v>226</v>
      </c>
      <c r="W175">
        <v>79</v>
      </c>
      <c r="X175">
        <v>4</v>
      </c>
      <c r="Y175">
        <v>2</v>
      </c>
      <c r="Z175" t="s">
        <v>496</v>
      </c>
      <c r="AA175" t="s">
        <v>497</v>
      </c>
      <c r="AB175" t="s">
        <v>229</v>
      </c>
      <c r="AC175" t="s">
        <v>230</v>
      </c>
      <c r="AD175" t="s">
        <v>231</v>
      </c>
      <c r="AE175" t="s">
        <v>470</v>
      </c>
      <c r="AG175" t="s">
        <v>498</v>
      </c>
      <c r="AH175">
        <v>0</v>
      </c>
      <c r="AI175">
        <v>327</v>
      </c>
      <c r="AJ175">
        <v>47</v>
      </c>
      <c r="AK175">
        <v>7</v>
      </c>
      <c r="AL175">
        <v>0.54</v>
      </c>
    </row>
    <row r="176" spans="1:38" x14ac:dyDescent="0.3">
      <c r="A176" t="s">
        <v>465</v>
      </c>
      <c r="B176">
        <v>106997</v>
      </c>
      <c r="C176">
        <v>1</v>
      </c>
      <c r="D176" t="s">
        <v>499</v>
      </c>
      <c r="E176" t="s">
        <v>500</v>
      </c>
      <c r="F176">
        <v>160</v>
      </c>
      <c r="G176">
        <v>8.17</v>
      </c>
      <c r="H176">
        <v>27.03</v>
      </c>
      <c r="I176">
        <v>5.28</v>
      </c>
      <c r="J176">
        <v>17.48</v>
      </c>
      <c r="K176">
        <v>2</v>
      </c>
      <c r="T176">
        <v>1</v>
      </c>
      <c r="U176">
        <v>1</v>
      </c>
      <c r="V176" t="s">
        <v>226</v>
      </c>
      <c r="W176">
        <v>27</v>
      </c>
      <c r="X176">
        <v>11</v>
      </c>
      <c r="Y176">
        <v>10</v>
      </c>
      <c r="Z176" t="s">
        <v>501</v>
      </c>
      <c r="AA176" t="s">
        <v>502</v>
      </c>
      <c r="AB176" t="s">
        <v>229</v>
      </c>
      <c r="AC176" t="s">
        <v>230</v>
      </c>
      <c r="AD176" t="s">
        <v>231</v>
      </c>
      <c r="AE176" t="s">
        <v>470</v>
      </c>
      <c r="AG176" t="s">
        <v>503</v>
      </c>
      <c r="AH176">
        <v>0</v>
      </c>
      <c r="AI176">
        <v>679</v>
      </c>
      <c r="AJ176">
        <v>68</v>
      </c>
      <c r="AK176">
        <v>60</v>
      </c>
      <c r="AL176">
        <v>0.38</v>
      </c>
    </row>
    <row r="177" spans="1:38" x14ac:dyDescent="0.3">
      <c r="A177" t="s">
        <v>465</v>
      </c>
      <c r="B177">
        <v>106997</v>
      </c>
      <c r="C177">
        <v>2</v>
      </c>
      <c r="D177" t="s">
        <v>499</v>
      </c>
      <c r="E177" t="s">
        <v>500</v>
      </c>
      <c r="F177">
        <v>160</v>
      </c>
      <c r="G177">
        <v>8.65</v>
      </c>
      <c r="H177">
        <v>28.61</v>
      </c>
      <c r="I177">
        <v>5.59</v>
      </c>
      <c r="J177">
        <v>18.5</v>
      </c>
      <c r="K177">
        <v>2</v>
      </c>
      <c r="T177">
        <v>1</v>
      </c>
      <c r="U177">
        <v>1</v>
      </c>
      <c r="V177" t="s">
        <v>226</v>
      </c>
      <c r="W177" t="s">
        <v>504</v>
      </c>
      <c r="X177">
        <v>11</v>
      </c>
      <c r="Y177">
        <v>10</v>
      </c>
      <c r="Z177" t="s">
        <v>501</v>
      </c>
      <c r="AA177" t="s">
        <v>502</v>
      </c>
      <c r="AB177" t="s">
        <v>229</v>
      </c>
      <c r="AC177" t="s">
        <v>230</v>
      </c>
      <c r="AD177" t="s">
        <v>231</v>
      </c>
      <c r="AE177" t="s">
        <v>470</v>
      </c>
      <c r="AG177" t="s">
        <v>503</v>
      </c>
      <c r="AH177">
        <v>0</v>
      </c>
      <c r="AI177">
        <v>679</v>
      </c>
      <c r="AJ177">
        <v>68</v>
      </c>
      <c r="AK177">
        <v>60</v>
      </c>
      <c r="AL177">
        <v>0.38</v>
      </c>
    </row>
    <row r="178" spans="1:38" x14ac:dyDescent="0.3">
      <c r="A178" t="s">
        <v>465</v>
      </c>
      <c r="B178">
        <v>106997</v>
      </c>
      <c r="C178">
        <v>3</v>
      </c>
      <c r="D178" t="s">
        <v>499</v>
      </c>
      <c r="E178" t="s">
        <v>500</v>
      </c>
      <c r="F178">
        <v>160</v>
      </c>
      <c r="G178">
        <v>8.57</v>
      </c>
      <c r="H178">
        <v>28.35</v>
      </c>
      <c r="I178">
        <v>5.54</v>
      </c>
      <c r="J178">
        <v>18.329999999999998</v>
      </c>
      <c r="K178">
        <v>1</v>
      </c>
      <c r="T178">
        <v>1</v>
      </c>
      <c r="U178">
        <v>1</v>
      </c>
      <c r="V178" t="s">
        <v>226</v>
      </c>
      <c r="W178" t="s">
        <v>505</v>
      </c>
      <c r="X178">
        <v>11</v>
      </c>
      <c r="Y178">
        <v>10</v>
      </c>
      <c r="Z178" t="s">
        <v>501</v>
      </c>
      <c r="AA178" t="s">
        <v>502</v>
      </c>
      <c r="AB178" t="s">
        <v>229</v>
      </c>
      <c r="AC178" t="s">
        <v>230</v>
      </c>
      <c r="AD178" t="s">
        <v>231</v>
      </c>
      <c r="AE178" t="s">
        <v>470</v>
      </c>
      <c r="AG178" t="s">
        <v>503</v>
      </c>
      <c r="AH178">
        <v>0</v>
      </c>
      <c r="AI178">
        <v>679</v>
      </c>
      <c r="AJ178">
        <v>68</v>
      </c>
      <c r="AK178">
        <v>60</v>
      </c>
      <c r="AL178">
        <v>0.38</v>
      </c>
    </row>
    <row r="179" spans="1:38" x14ac:dyDescent="0.3">
      <c r="A179" t="s">
        <v>465</v>
      </c>
      <c r="B179">
        <v>106997</v>
      </c>
      <c r="C179">
        <v>4</v>
      </c>
      <c r="D179" t="s">
        <v>499</v>
      </c>
      <c r="E179" t="s">
        <v>500</v>
      </c>
      <c r="F179">
        <v>160</v>
      </c>
      <c r="G179">
        <v>8.93</v>
      </c>
      <c r="H179">
        <v>29.55</v>
      </c>
      <c r="I179">
        <v>5.78</v>
      </c>
      <c r="J179">
        <v>19.11</v>
      </c>
      <c r="K179">
        <v>1</v>
      </c>
      <c r="T179">
        <v>1</v>
      </c>
      <c r="U179">
        <v>1</v>
      </c>
      <c r="V179" t="s">
        <v>226</v>
      </c>
      <c r="W179" t="s">
        <v>506</v>
      </c>
      <c r="X179">
        <v>11</v>
      </c>
      <c r="Y179">
        <v>10</v>
      </c>
      <c r="Z179" t="s">
        <v>501</v>
      </c>
      <c r="AA179" t="s">
        <v>502</v>
      </c>
      <c r="AB179" t="s">
        <v>229</v>
      </c>
      <c r="AC179" t="s">
        <v>230</v>
      </c>
      <c r="AD179" t="s">
        <v>231</v>
      </c>
      <c r="AE179" t="s">
        <v>470</v>
      </c>
      <c r="AG179" t="s">
        <v>503</v>
      </c>
      <c r="AH179">
        <v>0</v>
      </c>
      <c r="AI179">
        <v>679</v>
      </c>
      <c r="AJ179">
        <v>68</v>
      </c>
      <c r="AK179">
        <v>60</v>
      </c>
      <c r="AL179">
        <v>0.38</v>
      </c>
    </row>
    <row r="180" spans="1:38" x14ac:dyDescent="0.3">
      <c r="A180" t="s">
        <v>465</v>
      </c>
      <c r="B180">
        <v>106997</v>
      </c>
      <c r="C180">
        <v>5</v>
      </c>
      <c r="D180" t="s">
        <v>499</v>
      </c>
      <c r="E180" t="s">
        <v>500</v>
      </c>
      <c r="F180">
        <v>160</v>
      </c>
      <c r="G180">
        <v>9.1300000000000008</v>
      </c>
      <c r="H180">
        <v>30.19</v>
      </c>
      <c r="I180">
        <v>5.9</v>
      </c>
      <c r="J180">
        <v>19.52</v>
      </c>
      <c r="K180">
        <v>2</v>
      </c>
      <c r="T180">
        <v>1</v>
      </c>
      <c r="U180">
        <v>1</v>
      </c>
      <c r="V180" t="s">
        <v>226</v>
      </c>
      <c r="W180" t="s">
        <v>507</v>
      </c>
      <c r="X180">
        <v>11</v>
      </c>
      <c r="Y180">
        <v>10</v>
      </c>
      <c r="Z180" t="s">
        <v>501</v>
      </c>
      <c r="AA180" t="s">
        <v>502</v>
      </c>
      <c r="AB180" t="s">
        <v>229</v>
      </c>
      <c r="AC180" t="s">
        <v>230</v>
      </c>
      <c r="AD180" t="s">
        <v>231</v>
      </c>
      <c r="AE180" t="s">
        <v>470</v>
      </c>
      <c r="AG180" t="s">
        <v>503</v>
      </c>
      <c r="AH180">
        <v>0</v>
      </c>
      <c r="AI180">
        <v>679</v>
      </c>
      <c r="AJ180">
        <v>68</v>
      </c>
      <c r="AK180">
        <v>60</v>
      </c>
      <c r="AL180">
        <v>0.38</v>
      </c>
    </row>
    <row r="181" spans="1:38" x14ac:dyDescent="0.3">
      <c r="A181" t="s">
        <v>465</v>
      </c>
      <c r="B181">
        <v>106997</v>
      </c>
      <c r="C181">
        <v>6</v>
      </c>
      <c r="D181" t="s">
        <v>499</v>
      </c>
      <c r="E181" t="s">
        <v>500</v>
      </c>
      <c r="F181">
        <v>160</v>
      </c>
      <c r="G181">
        <v>9.3699999999999992</v>
      </c>
      <c r="H181">
        <v>30.98</v>
      </c>
      <c r="I181">
        <v>6.05</v>
      </c>
      <c r="J181">
        <v>20.03</v>
      </c>
      <c r="K181">
        <v>1</v>
      </c>
      <c r="T181">
        <v>1</v>
      </c>
      <c r="U181">
        <v>1</v>
      </c>
      <c r="V181" t="s">
        <v>226</v>
      </c>
      <c r="W181" t="s">
        <v>508</v>
      </c>
      <c r="X181">
        <v>11</v>
      </c>
      <c r="Y181">
        <v>10</v>
      </c>
      <c r="Z181" t="s">
        <v>501</v>
      </c>
      <c r="AA181" t="s">
        <v>502</v>
      </c>
      <c r="AB181" t="s">
        <v>229</v>
      </c>
      <c r="AC181" t="s">
        <v>230</v>
      </c>
      <c r="AD181" t="s">
        <v>231</v>
      </c>
      <c r="AE181" t="s">
        <v>470</v>
      </c>
      <c r="AG181" t="s">
        <v>503</v>
      </c>
      <c r="AH181">
        <v>0</v>
      </c>
      <c r="AI181">
        <v>679</v>
      </c>
      <c r="AJ181">
        <v>68</v>
      </c>
      <c r="AK181">
        <v>60</v>
      </c>
      <c r="AL181">
        <v>0.38</v>
      </c>
    </row>
    <row r="182" spans="1:38" x14ac:dyDescent="0.3">
      <c r="A182" t="s">
        <v>465</v>
      </c>
      <c r="B182">
        <v>106997</v>
      </c>
      <c r="C182">
        <v>7</v>
      </c>
      <c r="D182" t="s">
        <v>499</v>
      </c>
      <c r="E182" t="s">
        <v>500</v>
      </c>
      <c r="F182">
        <v>160</v>
      </c>
      <c r="G182">
        <v>10.16</v>
      </c>
      <c r="H182">
        <v>33.61</v>
      </c>
      <c r="I182">
        <v>6.57</v>
      </c>
      <c r="J182">
        <v>21.73</v>
      </c>
      <c r="K182">
        <v>1</v>
      </c>
      <c r="T182">
        <v>1</v>
      </c>
      <c r="U182">
        <v>1</v>
      </c>
      <c r="V182" t="s">
        <v>226</v>
      </c>
      <c r="W182">
        <v>33</v>
      </c>
      <c r="X182">
        <v>11</v>
      </c>
      <c r="Y182">
        <v>10</v>
      </c>
      <c r="Z182" t="s">
        <v>501</v>
      </c>
      <c r="AA182" t="s">
        <v>502</v>
      </c>
      <c r="AB182" t="s">
        <v>229</v>
      </c>
      <c r="AC182" t="s">
        <v>230</v>
      </c>
      <c r="AD182" t="s">
        <v>231</v>
      </c>
      <c r="AE182" t="s">
        <v>470</v>
      </c>
      <c r="AG182" t="s">
        <v>503</v>
      </c>
      <c r="AH182">
        <v>0</v>
      </c>
      <c r="AI182">
        <v>679</v>
      </c>
      <c r="AJ182">
        <v>68</v>
      </c>
      <c r="AK182">
        <v>60</v>
      </c>
      <c r="AL182">
        <v>0.38</v>
      </c>
    </row>
    <row r="183" spans="1:38" x14ac:dyDescent="0.3">
      <c r="A183" t="s">
        <v>465</v>
      </c>
      <c r="B183">
        <v>106997</v>
      </c>
      <c r="C183">
        <v>8</v>
      </c>
      <c r="D183" t="s">
        <v>499</v>
      </c>
      <c r="E183" t="s">
        <v>500</v>
      </c>
      <c r="F183">
        <v>160</v>
      </c>
      <c r="G183">
        <v>10.88</v>
      </c>
      <c r="H183">
        <v>35.97</v>
      </c>
      <c r="I183">
        <v>7.03</v>
      </c>
      <c r="J183">
        <v>23.26</v>
      </c>
      <c r="K183">
        <v>64</v>
      </c>
      <c r="T183">
        <v>1</v>
      </c>
      <c r="U183">
        <v>1</v>
      </c>
      <c r="V183" t="s">
        <v>226</v>
      </c>
      <c r="W183" t="s">
        <v>307</v>
      </c>
      <c r="X183">
        <v>11</v>
      </c>
      <c r="Y183">
        <v>10</v>
      </c>
      <c r="Z183" t="s">
        <v>501</v>
      </c>
      <c r="AA183" t="s">
        <v>502</v>
      </c>
      <c r="AB183" t="s">
        <v>229</v>
      </c>
      <c r="AC183" t="s">
        <v>230</v>
      </c>
      <c r="AD183" t="s">
        <v>231</v>
      </c>
      <c r="AE183" t="s">
        <v>470</v>
      </c>
      <c r="AG183" t="s">
        <v>503</v>
      </c>
      <c r="AH183">
        <v>0</v>
      </c>
      <c r="AI183">
        <v>679</v>
      </c>
      <c r="AJ183">
        <v>68</v>
      </c>
      <c r="AK183">
        <v>60</v>
      </c>
      <c r="AL183">
        <v>0.38</v>
      </c>
    </row>
    <row r="184" spans="1:38" x14ac:dyDescent="0.3">
      <c r="A184" t="s">
        <v>465</v>
      </c>
      <c r="B184">
        <v>106997</v>
      </c>
      <c r="C184">
        <v>9</v>
      </c>
      <c r="D184" t="s">
        <v>499</v>
      </c>
      <c r="E184" t="s">
        <v>500</v>
      </c>
      <c r="F184">
        <v>160</v>
      </c>
      <c r="G184">
        <v>11.04</v>
      </c>
      <c r="H184">
        <v>36.5</v>
      </c>
      <c r="I184">
        <v>7.13</v>
      </c>
      <c r="J184">
        <v>23.6</v>
      </c>
      <c r="K184">
        <v>4</v>
      </c>
      <c r="T184">
        <v>1</v>
      </c>
      <c r="U184">
        <v>1</v>
      </c>
      <c r="V184" t="s">
        <v>226</v>
      </c>
      <c r="W184" t="s">
        <v>308</v>
      </c>
      <c r="X184">
        <v>11</v>
      </c>
      <c r="Y184">
        <v>10</v>
      </c>
      <c r="Z184" t="s">
        <v>501</v>
      </c>
      <c r="AA184" t="s">
        <v>502</v>
      </c>
      <c r="AB184" t="s">
        <v>229</v>
      </c>
      <c r="AC184" t="s">
        <v>230</v>
      </c>
      <c r="AD184" t="s">
        <v>231</v>
      </c>
      <c r="AE184" t="s">
        <v>470</v>
      </c>
      <c r="AG184" t="s">
        <v>503</v>
      </c>
      <c r="AH184">
        <v>0</v>
      </c>
      <c r="AI184">
        <v>679</v>
      </c>
      <c r="AJ184">
        <v>68</v>
      </c>
      <c r="AK184">
        <v>60</v>
      </c>
      <c r="AL184">
        <v>0.38</v>
      </c>
    </row>
    <row r="185" spans="1:38" x14ac:dyDescent="0.3">
      <c r="A185" t="s">
        <v>465</v>
      </c>
      <c r="B185">
        <v>106997</v>
      </c>
      <c r="C185">
        <v>10</v>
      </c>
      <c r="D185" t="s">
        <v>499</v>
      </c>
      <c r="E185" t="s">
        <v>500</v>
      </c>
      <c r="F185">
        <v>160</v>
      </c>
      <c r="G185">
        <v>11.91</v>
      </c>
      <c r="H185">
        <v>39.39</v>
      </c>
      <c r="I185">
        <v>7.7</v>
      </c>
      <c r="J185">
        <v>25.47</v>
      </c>
      <c r="K185">
        <v>24</v>
      </c>
      <c r="T185">
        <v>1</v>
      </c>
      <c r="U185">
        <v>1</v>
      </c>
      <c r="V185" t="s">
        <v>226</v>
      </c>
      <c r="W185" t="s">
        <v>509</v>
      </c>
      <c r="X185">
        <v>11</v>
      </c>
      <c r="Y185">
        <v>10</v>
      </c>
      <c r="Z185" t="s">
        <v>501</v>
      </c>
      <c r="AA185" t="s">
        <v>502</v>
      </c>
      <c r="AB185" t="s">
        <v>229</v>
      </c>
      <c r="AC185" t="s">
        <v>230</v>
      </c>
      <c r="AD185" t="s">
        <v>231</v>
      </c>
      <c r="AE185" t="s">
        <v>470</v>
      </c>
      <c r="AG185" t="s">
        <v>503</v>
      </c>
      <c r="AH185">
        <v>0</v>
      </c>
      <c r="AI185">
        <v>679</v>
      </c>
      <c r="AJ185">
        <v>68</v>
      </c>
      <c r="AK185">
        <v>60</v>
      </c>
      <c r="AL185">
        <v>0.38</v>
      </c>
    </row>
    <row r="186" spans="1:38" x14ac:dyDescent="0.3">
      <c r="A186" t="s">
        <v>465</v>
      </c>
      <c r="B186">
        <v>106997</v>
      </c>
      <c r="C186">
        <v>11</v>
      </c>
      <c r="D186" t="s">
        <v>499</v>
      </c>
      <c r="E186" t="s">
        <v>500</v>
      </c>
      <c r="F186">
        <v>160</v>
      </c>
      <c r="G186">
        <v>12.14</v>
      </c>
      <c r="H186">
        <v>40.15</v>
      </c>
      <c r="I186">
        <v>7.85</v>
      </c>
      <c r="J186">
        <v>25.96</v>
      </c>
      <c r="K186">
        <v>8</v>
      </c>
      <c r="T186">
        <v>1</v>
      </c>
      <c r="U186">
        <v>1</v>
      </c>
      <c r="V186" t="s">
        <v>226</v>
      </c>
      <c r="W186" t="s">
        <v>510</v>
      </c>
      <c r="X186">
        <v>11</v>
      </c>
      <c r="Y186">
        <v>10</v>
      </c>
      <c r="Z186" t="s">
        <v>501</v>
      </c>
      <c r="AA186" t="s">
        <v>502</v>
      </c>
      <c r="AB186" t="s">
        <v>229</v>
      </c>
      <c r="AC186" t="s">
        <v>230</v>
      </c>
      <c r="AD186" t="s">
        <v>231</v>
      </c>
      <c r="AE186" t="s">
        <v>470</v>
      </c>
      <c r="AG186" t="s">
        <v>503</v>
      </c>
      <c r="AH186">
        <v>0</v>
      </c>
      <c r="AI186">
        <v>679</v>
      </c>
      <c r="AJ186">
        <v>68</v>
      </c>
      <c r="AK186">
        <v>60</v>
      </c>
      <c r="AL186">
        <v>0.38</v>
      </c>
    </row>
    <row r="187" spans="1:38" x14ac:dyDescent="0.3">
      <c r="A187" t="s">
        <v>465</v>
      </c>
      <c r="B187">
        <v>106997</v>
      </c>
      <c r="C187">
        <v>12</v>
      </c>
      <c r="D187" t="s">
        <v>499</v>
      </c>
      <c r="E187" t="s">
        <v>500</v>
      </c>
      <c r="F187">
        <v>160</v>
      </c>
      <c r="G187">
        <v>12.59</v>
      </c>
      <c r="H187">
        <v>41.65</v>
      </c>
      <c r="I187">
        <v>8.14</v>
      </c>
      <c r="J187">
        <v>26.93</v>
      </c>
      <c r="K187">
        <v>8</v>
      </c>
      <c r="T187">
        <v>1</v>
      </c>
      <c r="U187">
        <v>1</v>
      </c>
      <c r="V187" t="s">
        <v>226</v>
      </c>
      <c r="W187">
        <v>41</v>
      </c>
      <c r="X187">
        <v>11</v>
      </c>
      <c r="Y187">
        <v>10</v>
      </c>
      <c r="Z187" t="s">
        <v>501</v>
      </c>
      <c r="AA187" t="s">
        <v>502</v>
      </c>
      <c r="AB187" t="s">
        <v>229</v>
      </c>
      <c r="AC187" t="s">
        <v>230</v>
      </c>
      <c r="AD187" t="s">
        <v>231</v>
      </c>
      <c r="AE187" t="s">
        <v>470</v>
      </c>
      <c r="AG187" t="s">
        <v>503</v>
      </c>
      <c r="AH187">
        <v>0</v>
      </c>
      <c r="AI187">
        <v>679</v>
      </c>
      <c r="AJ187">
        <v>68</v>
      </c>
      <c r="AK187">
        <v>60</v>
      </c>
      <c r="AL187">
        <v>0.38</v>
      </c>
    </row>
    <row r="188" spans="1:38" x14ac:dyDescent="0.3">
      <c r="A188" t="s">
        <v>465</v>
      </c>
      <c r="B188">
        <v>106997</v>
      </c>
      <c r="C188">
        <v>13</v>
      </c>
      <c r="D188" t="s">
        <v>499</v>
      </c>
      <c r="E188" t="s">
        <v>500</v>
      </c>
      <c r="F188">
        <v>160</v>
      </c>
      <c r="G188">
        <v>14.25</v>
      </c>
      <c r="H188">
        <v>47.13</v>
      </c>
      <c r="I188">
        <v>9.2100000000000009</v>
      </c>
      <c r="J188">
        <v>30.47</v>
      </c>
      <c r="K188">
        <v>32</v>
      </c>
      <c r="T188">
        <v>1</v>
      </c>
      <c r="U188">
        <v>1</v>
      </c>
      <c r="V188" t="s">
        <v>226</v>
      </c>
      <c r="W188">
        <v>47</v>
      </c>
      <c r="X188">
        <v>11</v>
      </c>
      <c r="Y188">
        <v>10</v>
      </c>
      <c r="Z188" t="s">
        <v>501</v>
      </c>
      <c r="AA188" t="s">
        <v>502</v>
      </c>
      <c r="AB188" t="s">
        <v>229</v>
      </c>
      <c r="AC188" t="s">
        <v>230</v>
      </c>
      <c r="AD188" t="s">
        <v>231</v>
      </c>
      <c r="AE188" t="s">
        <v>470</v>
      </c>
      <c r="AG188" t="s">
        <v>503</v>
      </c>
      <c r="AH188">
        <v>0</v>
      </c>
      <c r="AI188">
        <v>679</v>
      </c>
      <c r="AJ188">
        <v>68</v>
      </c>
      <c r="AK188">
        <v>60</v>
      </c>
      <c r="AL188">
        <v>0.38</v>
      </c>
    </row>
    <row r="189" spans="1:38" x14ac:dyDescent="0.3">
      <c r="A189" t="s">
        <v>465</v>
      </c>
      <c r="B189">
        <v>106997</v>
      </c>
      <c r="C189">
        <v>14</v>
      </c>
      <c r="D189" t="s">
        <v>499</v>
      </c>
      <c r="E189" t="s">
        <v>500</v>
      </c>
      <c r="F189">
        <v>160</v>
      </c>
      <c r="G189">
        <v>14.73</v>
      </c>
      <c r="H189">
        <v>48.71</v>
      </c>
      <c r="I189">
        <v>9.52</v>
      </c>
      <c r="J189">
        <v>31.49</v>
      </c>
      <c r="K189">
        <v>1</v>
      </c>
      <c r="T189">
        <v>1</v>
      </c>
      <c r="U189">
        <v>1</v>
      </c>
      <c r="V189" t="s">
        <v>226</v>
      </c>
      <c r="W189">
        <v>48</v>
      </c>
      <c r="X189">
        <v>11</v>
      </c>
      <c r="Y189">
        <v>10</v>
      </c>
      <c r="Z189" t="s">
        <v>501</v>
      </c>
      <c r="AA189" t="s">
        <v>502</v>
      </c>
      <c r="AB189" t="s">
        <v>229</v>
      </c>
      <c r="AC189" t="s">
        <v>230</v>
      </c>
      <c r="AD189" t="s">
        <v>231</v>
      </c>
      <c r="AE189" t="s">
        <v>470</v>
      </c>
      <c r="AG189" t="s">
        <v>503</v>
      </c>
      <c r="AH189">
        <v>0</v>
      </c>
      <c r="AI189">
        <v>679</v>
      </c>
      <c r="AJ189">
        <v>68</v>
      </c>
      <c r="AK189">
        <v>60</v>
      </c>
      <c r="AL189">
        <v>0.38</v>
      </c>
    </row>
    <row r="190" spans="1:38" x14ac:dyDescent="0.3">
      <c r="A190" t="s">
        <v>465</v>
      </c>
      <c r="B190">
        <v>106997</v>
      </c>
      <c r="C190">
        <v>15</v>
      </c>
      <c r="D190" t="s">
        <v>499</v>
      </c>
      <c r="E190" t="s">
        <v>500</v>
      </c>
      <c r="F190">
        <v>160</v>
      </c>
      <c r="G190">
        <v>15.89</v>
      </c>
      <c r="H190">
        <v>52.54</v>
      </c>
      <c r="I190">
        <v>10.27</v>
      </c>
      <c r="J190">
        <v>33.97</v>
      </c>
      <c r="K190">
        <v>8</v>
      </c>
      <c r="T190">
        <v>1</v>
      </c>
      <c r="U190">
        <v>1</v>
      </c>
      <c r="V190" t="s">
        <v>226</v>
      </c>
      <c r="W190">
        <v>52</v>
      </c>
      <c r="X190">
        <v>11</v>
      </c>
      <c r="Y190">
        <v>10</v>
      </c>
      <c r="Z190" t="s">
        <v>501</v>
      </c>
      <c r="AA190" t="s">
        <v>502</v>
      </c>
      <c r="AB190" t="s">
        <v>229</v>
      </c>
      <c r="AC190" t="s">
        <v>230</v>
      </c>
      <c r="AD190" t="s">
        <v>231</v>
      </c>
      <c r="AE190" t="s">
        <v>470</v>
      </c>
      <c r="AG190" t="s">
        <v>503</v>
      </c>
      <c r="AH190">
        <v>0</v>
      </c>
      <c r="AI190">
        <v>679</v>
      </c>
      <c r="AJ190">
        <v>68</v>
      </c>
      <c r="AK190">
        <v>60</v>
      </c>
      <c r="AL190">
        <v>0.38</v>
      </c>
    </row>
    <row r="191" spans="1:38" x14ac:dyDescent="0.3">
      <c r="A191" t="s">
        <v>465</v>
      </c>
      <c r="B191">
        <v>106997</v>
      </c>
      <c r="C191">
        <v>16</v>
      </c>
      <c r="D191" t="s">
        <v>499</v>
      </c>
      <c r="E191" t="s">
        <v>500</v>
      </c>
      <c r="F191">
        <v>160</v>
      </c>
      <c r="G191">
        <v>16.52</v>
      </c>
      <c r="H191">
        <v>54.62</v>
      </c>
      <c r="I191">
        <v>10.68</v>
      </c>
      <c r="J191">
        <v>35.31</v>
      </c>
      <c r="K191">
        <v>1</v>
      </c>
      <c r="T191">
        <v>1</v>
      </c>
      <c r="U191">
        <v>1</v>
      </c>
      <c r="V191" t="s">
        <v>226</v>
      </c>
      <c r="W191">
        <v>54</v>
      </c>
      <c r="X191">
        <v>11</v>
      </c>
      <c r="Y191">
        <v>10</v>
      </c>
      <c r="Z191" t="s">
        <v>501</v>
      </c>
      <c r="AA191" t="s">
        <v>502</v>
      </c>
      <c r="AB191" t="s">
        <v>229</v>
      </c>
      <c r="AC191" t="s">
        <v>230</v>
      </c>
      <c r="AD191" t="s">
        <v>231</v>
      </c>
      <c r="AE191" t="s">
        <v>470</v>
      </c>
      <c r="AG191" t="s">
        <v>503</v>
      </c>
      <c r="AH191">
        <v>0</v>
      </c>
      <c r="AI191">
        <v>679</v>
      </c>
      <c r="AJ191">
        <v>68</v>
      </c>
      <c r="AK191">
        <v>60</v>
      </c>
      <c r="AL191">
        <v>0.38</v>
      </c>
    </row>
    <row r="192" spans="1:38" x14ac:dyDescent="0.3">
      <c r="A192" t="s">
        <v>465</v>
      </c>
      <c r="B192">
        <v>110423</v>
      </c>
      <c r="C192">
        <v>1</v>
      </c>
      <c r="D192" t="s">
        <v>511</v>
      </c>
      <c r="E192" t="s">
        <v>495</v>
      </c>
      <c r="F192">
        <v>24</v>
      </c>
      <c r="G192">
        <v>9.41</v>
      </c>
      <c r="H192">
        <v>31.13</v>
      </c>
      <c r="I192">
        <v>6.87</v>
      </c>
      <c r="J192">
        <v>22.74</v>
      </c>
      <c r="K192">
        <v>24</v>
      </c>
      <c r="T192">
        <v>1</v>
      </c>
      <c r="U192">
        <v>1</v>
      </c>
      <c r="V192" t="s">
        <v>233</v>
      </c>
      <c r="W192">
        <v>31</v>
      </c>
      <c r="X192">
        <v>8</v>
      </c>
      <c r="Y192">
        <v>8</v>
      </c>
      <c r="Z192" t="s">
        <v>512</v>
      </c>
      <c r="AA192" t="s">
        <v>497</v>
      </c>
      <c r="AB192" t="s">
        <v>229</v>
      </c>
      <c r="AC192" t="s">
        <v>230</v>
      </c>
      <c r="AD192" t="s">
        <v>231</v>
      </c>
      <c r="AE192" t="s">
        <v>470</v>
      </c>
      <c r="AG192" t="s">
        <v>498</v>
      </c>
      <c r="AH192">
        <v>0</v>
      </c>
      <c r="AI192">
        <v>327</v>
      </c>
      <c r="AJ192">
        <v>47</v>
      </c>
      <c r="AK192">
        <v>7</v>
      </c>
      <c r="AL192">
        <v>0.28999999999999998</v>
      </c>
    </row>
    <row r="193" spans="1:38" x14ac:dyDescent="0.3">
      <c r="A193" t="s">
        <v>465</v>
      </c>
      <c r="B193">
        <v>121081</v>
      </c>
      <c r="C193">
        <v>1</v>
      </c>
      <c r="D193" t="s">
        <v>513</v>
      </c>
      <c r="E193" t="s">
        <v>514</v>
      </c>
      <c r="F193">
        <v>264</v>
      </c>
      <c r="G193">
        <v>10.130000000000001</v>
      </c>
      <c r="H193">
        <v>33.51</v>
      </c>
      <c r="I193">
        <v>6.49</v>
      </c>
      <c r="J193">
        <v>21.46</v>
      </c>
      <c r="K193">
        <v>24</v>
      </c>
      <c r="T193">
        <v>1</v>
      </c>
      <c r="U193">
        <v>1</v>
      </c>
      <c r="V193" t="s">
        <v>233</v>
      </c>
      <c r="W193" t="s">
        <v>515</v>
      </c>
      <c r="X193">
        <v>26</v>
      </c>
      <c r="Y193">
        <v>26</v>
      </c>
      <c r="Z193" t="s">
        <v>516</v>
      </c>
      <c r="AA193" t="s">
        <v>517</v>
      </c>
      <c r="AB193" t="s">
        <v>229</v>
      </c>
      <c r="AC193" t="s">
        <v>230</v>
      </c>
      <c r="AD193" t="s">
        <v>231</v>
      </c>
      <c r="AE193" t="s">
        <v>470</v>
      </c>
      <c r="AG193" t="s">
        <v>518</v>
      </c>
      <c r="AH193">
        <v>0</v>
      </c>
      <c r="AI193">
        <v>899</v>
      </c>
      <c r="AJ193">
        <v>67</v>
      </c>
      <c r="AK193">
        <v>196</v>
      </c>
      <c r="AL193">
        <v>0.74</v>
      </c>
    </row>
    <row r="194" spans="1:38" x14ac:dyDescent="0.3">
      <c r="A194" t="s">
        <v>465</v>
      </c>
      <c r="B194">
        <v>121081</v>
      </c>
      <c r="C194">
        <v>2</v>
      </c>
      <c r="D194" t="s">
        <v>513</v>
      </c>
      <c r="E194" t="s">
        <v>514</v>
      </c>
      <c r="F194">
        <v>264</v>
      </c>
      <c r="G194">
        <v>12.87</v>
      </c>
      <c r="H194">
        <v>42.55</v>
      </c>
      <c r="I194">
        <v>8.24</v>
      </c>
      <c r="J194">
        <v>27.25</v>
      </c>
      <c r="K194">
        <v>96</v>
      </c>
      <c r="T194">
        <v>1</v>
      </c>
      <c r="U194">
        <v>1</v>
      </c>
      <c r="V194" t="s">
        <v>233</v>
      </c>
      <c r="W194" t="s">
        <v>519</v>
      </c>
      <c r="X194">
        <v>26</v>
      </c>
      <c r="Y194">
        <v>26</v>
      </c>
      <c r="Z194" t="s">
        <v>516</v>
      </c>
      <c r="AA194" t="s">
        <v>517</v>
      </c>
      <c r="AB194" t="s">
        <v>229</v>
      </c>
      <c r="AC194" t="s">
        <v>230</v>
      </c>
      <c r="AD194" t="s">
        <v>231</v>
      </c>
      <c r="AE194" t="s">
        <v>470</v>
      </c>
      <c r="AG194" t="s">
        <v>518</v>
      </c>
      <c r="AH194">
        <v>0</v>
      </c>
      <c r="AI194">
        <v>899</v>
      </c>
      <c r="AJ194">
        <v>67</v>
      </c>
      <c r="AK194">
        <v>196</v>
      </c>
      <c r="AL194">
        <v>0.74</v>
      </c>
    </row>
    <row r="195" spans="1:38" x14ac:dyDescent="0.3">
      <c r="A195" t="s">
        <v>465</v>
      </c>
      <c r="B195">
        <v>121081</v>
      </c>
      <c r="C195">
        <v>3</v>
      </c>
      <c r="D195" t="s">
        <v>513</v>
      </c>
      <c r="E195" t="s">
        <v>514</v>
      </c>
      <c r="F195">
        <v>264</v>
      </c>
      <c r="G195">
        <v>13.54</v>
      </c>
      <c r="H195">
        <v>44.77</v>
      </c>
      <c r="I195">
        <v>8.67</v>
      </c>
      <c r="J195">
        <v>28.67</v>
      </c>
      <c r="K195">
        <v>48</v>
      </c>
      <c r="T195">
        <v>1</v>
      </c>
      <c r="U195">
        <v>1</v>
      </c>
      <c r="V195" t="s">
        <v>233</v>
      </c>
      <c r="W195" t="s">
        <v>520</v>
      </c>
      <c r="X195">
        <v>26</v>
      </c>
      <c r="Y195">
        <v>26</v>
      </c>
      <c r="Z195" t="s">
        <v>516</v>
      </c>
      <c r="AA195" t="s">
        <v>517</v>
      </c>
      <c r="AB195" t="s">
        <v>229</v>
      </c>
      <c r="AC195" t="s">
        <v>230</v>
      </c>
      <c r="AD195" t="s">
        <v>231</v>
      </c>
      <c r="AE195" t="s">
        <v>470</v>
      </c>
      <c r="AG195" t="s">
        <v>518</v>
      </c>
      <c r="AH195">
        <v>0</v>
      </c>
      <c r="AI195">
        <v>899</v>
      </c>
      <c r="AJ195">
        <v>67</v>
      </c>
      <c r="AK195">
        <v>196</v>
      </c>
      <c r="AL195">
        <v>0.74</v>
      </c>
    </row>
    <row r="196" spans="1:38" x14ac:dyDescent="0.3">
      <c r="A196" t="s">
        <v>465</v>
      </c>
      <c r="B196">
        <v>121081</v>
      </c>
      <c r="C196">
        <v>4</v>
      </c>
      <c r="D196" t="s">
        <v>513</v>
      </c>
      <c r="E196" t="s">
        <v>514</v>
      </c>
      <c r="F196">
        <v>264</v>
      </c>
      <c r="G196">
        <v>14.1</v>
      </c>
      <c r="H196">
        <v>46.63</v>
      </c>
      <c r="I196">
        <v>9.0299999999999994</v>
      </c>
      <c r="J196">
        <v>29.86</v>
      </c>
      <c r="K196">
        <v>96</v>
      </c>
      <c r="T196">
        <v>1</v>
      </c>
      <c r="U196">
        <v>1</v>
      </c>
      <c r="V196" t="s">
        <v>233</v>
      </c>
      <c r="W196" t="s">
        <v>521</v>
      </c>
      <c r="X196">
        <v>26</v>
      </c>
      <c r="Y196">
        <v>26</v>
      </c>
      <c r="Z196" t="s">
        <v>516</v>
      </c>
      <c r="AA196" t="s">
        <v>517</v>
      </c>
      <c r="AB196" t="s">
        <v>229</v>
      </c>
      <c r="AC196" t="s">
        <v>230</v>
      </c>
      <c r="AD196" t="s">
        <v>231</v>
      </c>
      <c r="AE196" t="s">
        <v>470</v>
      </c>
      <c r="AG196" t="s">
        <v>518</v>
      </c>
      <c r="AH196">
        <v>0</v>
      </c>
      <c r="AI196">
        <v>899</v>
      </c>
      <c r="AJ196">
        <v>67</v>
      </c>
      <c r="AK196">
        <v>196</v>
      </c>
      <c r="AL196">
        <v>0.74</v>
      </c>
    </row>
    <row r="197" spans="1:38" x14ac:dyDescent="0.3">
      <c r="A197" t="s">
        <v>465</v>
      </c>
      <c r="B197">
        <v>112882</v>
      </c>
      <c r="C197">
        <v>1</v>
      </c>
      <c r="D197" t="s">
        <v>522</v>
      </c>
      <c r="E197" t="s">
        <v>523</v>
      </c>
      <c r="F197">
        <v>7</v>
      </c>
      <c r="G197">
        <v>16.87</v>
      </c>
      <c r="H197">
        <v>55.78</v>
      </c>
      <c r="I197">
        <v>12.57</v>
      </c>
      <c r="J197">
        <v>41.56</v>
      </c>
      <c r="K197">
        <v>1</v>
      </c>
      <c r="T197">
        <v>1</v>
      </c>
      <c r="U197">
        <v>1</v>
      </c>
      <c r="V197" t="s">
        <v>226</v>
      </c>
      <c r="W197" t="s">
        <v>524</v>
      </c>
      <c r="X197">
        <v>3</v>
      </c>
      <c r="Y197">
        <v>3</v>
      </c>
      <c r="Z197" t="s">
        <v>525</v>
      </c>
      <c r="AA197" t="s">
        <v>526</v>
      </c>
      <c r="AB197" t="s">
        <v>229</v>
      </c>
      <c r="AC197" t="s">
        <v>230</v>
      </c>
      <c r="AD197" t="s">
        <v>231</v>
      </c>
      <c r="AE197" t="s">
        <v>470</v>
      </c>
      <c r="AG197" t="s">
        <v>527</v>
      </c>
      <c r="AH197">
        <v>0</v>
      </c>
      <c r="AI197">
        <v>499</v>
      </c>
      <c r="AJ197">
        <v>69</v>
      </c>
      <c r="AK197">
        <v>0</v>
      </c>
      <c r="AL197">
        <v>0</v>
      </c>
    </row>
    <row r="198" spans="1:38" x14ac:dyDescent="0.3">
      <c r="A198" t="s">
        <v>465</v>
      </c>
      <c r="B198">
        <v>112882</v>
      </c>
      <c r="C198">
        <v>2</v>
      </c>
      <c r="D198" t="s">
        <v>522</v>
      </c>
      <c r="E198" t="s">
        <v>523</v>
      </c>
      <c r="F198">
        <v>7</v>
      </c>
      <c r="G198">
        <v>17.12</v>
      </c>
      <c r="H198">
        <v>56.62</v>
      </c>
      <c r="I198">
        <v>12.76</v>
      </c>
      <c r="J198">
        <v>42.2</v>
      </c>
      <c r="K198">
        <v>1</v>
      </c>
      <c r="T198">
        <v>1</v>
      </c>
      <c r="U198">
        <v>1</v>
      </c>
      <c r="V198" t="s">
        <v>226</v>
      </c>
      <c r="W198" t="s">
        <v>453</v>
      </c>
      <c r="X198">
        <v>3</v>
      </c>
      <c r="Y198">
        <v>3</v>
      </c>
      <c r="Z198" t="s">
        <v>525</v>
      </c>
      <c r="AA198" t="s">
        <v>526</v>
      </c>
      <c r="AB198" t="s">
        <v>229</v>
      </c>
      <c r="AC198" t="s">
        <v>230</v>
      </c>
      <c r="AD198" t="s">
        <v>231</v>
      </c>
      <c r="AE198" t="s">
        <v>470</v>
      </c>
      <c r="AG198" t="s">
        <v>527</v>
      </c>
      <c r="AH198">
        <v>0</v>
      </c>
      <c r="AI198">
        <v>499</v>
      </c>
      <c r="AJ198">
        <v>69</v>
      </c>
      <c r="AK198">
        <v>0</v>
      </c>
      <c r="AL198">
        <v>0</v>
      </c>
    </row>
    <row r="199" spans="1:38" x14ac:dyDescent="0.3">
      <c r="A199" t="s">
        <v>465</v>
      </c>
      <c r="B199">
        <v>112882</v>
      </c>
      <c r="C199">
        <v>3</v>
      </c>
      <c r="D199" t="s">
        <v>522</v>
      </c>
      <c r="E199" t="s">
        <v>523</v>
      </c>
      <c r="F199">
        <v>7</v>
      </c>
      <c r="G199">
        <v>19.91</v>
      </c>
      <c r="H199">
        <v>65.849999999999994</v>
      </c>
      <c r="I199">
        <v>14.84</v>
      </c>
      <c r="J199">
        <v>49.07</v>
      </c>
      <c r="K199">
        <v>4</v>
      </c>
      <c r="T199">
        <v>1</v>
      </c>
      <c r="U199">
        <v>1</v>
      </c>
      <c r="V199" t="s">
        <v>226</v>
      </c>
      <c r="W199">
        <v>65</v>
      </c>
      <c r="X199">
        <v>3</v>
      </c>
      <c r="Y199">
        <v>3</v>
      </c>
      <c r="Z199" t="s">
        <v>525</v>
      </c>
      <c r="AA199" t="s">
        <v>526</v>
      </c>
      <c r="AB199" t="s">
        <v>229</v>
      </c>
      <c r="AC199" t="s">
        <v>230</v>
      </c>
      <c r="AD199" t="s">
        <v>231</v>
      </c>
      <c r="AE199" t="s">
        <v>470</v>
      </c>
      <c r="AG199" t="s">
        <v>527</v>
      </c>
      <c r="AH199">
        <v>0</v>
      </c>
      <c r="AI199">
        <v>499</v>
      </c>
      <c r="AJ199">
        <v>69</v>
      </c>
      <c r="AK199">
        <v>0</v>
      </c>
      <c r="AL199">
        <v>0</v>
      </c>
    </row>
    <row r="200" spans="1:38" x14ac:dyDescent="0.3">
      <c r="A200" t="s">
        <v>465</v>
      </c>
      <c r="B200">
        <v>112882</v>
      </c>
      <c r="C200">
        <v>4</v>
      </c>
      <c r="D200" t="s">
        <v>522</v>
      </c>
      <c r="E200" t="s">
        <v>523</v>
      </c>
      <c r="F200">
        <v>7</v>
      </c>
      <c r="G200">
        <v>24.13</v>
      </c>
      <c r="H200">
        <v>79.78</v>
      </c>
      <c r="I200">
        <v>17.98</v>
      </c>
      <c r="J200">
        <v>59.45</v>
      </c>
      <c r="K200">
        <v>1</v>
      </c>
      <c r="T200">
        <v>2</v>
      </c>
      <c r="U200">
        <v>1</v>
      </c>
      <c r="V200" t="s">
        <v>226</v>
      </c>
      <c r="W200">
        <v>79</v>
      </c>
      <c r="X200">
        <v>3</v>
      </c>
      <c r="Y200">
        <v>3</v>
      </c>
      <c r="Z200" t="s">
        <v>525</v>
      </c>
      <c r="AA200" t="s">
        <v>526</v>
      </c>
      <c r="AB200" t="s">
        <v>229</v>
      </c>
      <c r="AC200" t="s">
        <v>230</v>
      </c>
      <c r="AD200" t="s">
        <v>231</v>
      </c>
      <c r="AE200" t="s">
        <v>470</v>
      </c>
      <c r="AG200" t="s">
        <v>527</v>
      </c>
      <c r="AH200">
        <v>0</v>
      </c>
      <c r="AI200">
        <v>499</v>
      </c>
      <c r="AJ200">
        <v>69</v>
      </c>
      <c r="AK200">
        <v>0</v>
      </c>
      <c r="AL200">
        <v>0</v>
      </c>
    </row>
    <row r="201" spans="1:38" x14ac:dyDescent="0.3">
      <c r="A201" t="s">
        <v>465</v>
      </c>
      <c r="B201">
        <v>112791</v>
      </c>
      <c r="C201">
        <v>1</v>
      </c>
      <c r="D201" t="s">
        <v>528</v>
      </c>
      <c r="E201" t="s">
        <v>529</v>
      </c>
      <c r="F201">
        <v>104</v>
      </c>
      <c r="G201">
        <v>7.65</v>
      </c>
      <c r="H201">
        <v>25.31</v>
      </c>
      <c r="I201">
        <v>4.97</v>
      </c>
      <c r="J201">
        <v>16.45</v>
      </c>
      <c r="K201">
        <v>1</v>
      </c>
      <c r="T201">
        <v>1</v>
      </c>
      <c r="U201">
        <v>1</v>
      </c>
      <c r="V201" t="s">
        <v>233</v>
      </c>
      <c r="W201" t="s">
        <v>300</v>
      </c>
      <c r="X201">
        <v>15</v>
      </c>
      <c r="Y201">
        <v>15</v>
      </c>
      <c r="Z201" t="s">
        <v>530</v>
      </c>
      <c r="AA201" t="s">
        <v>531</v>
      </c>
      <c r="AB201" t="s">
        <v>229</v>
      </c>
      <c r="AC201" t="s">
        <v>230</v>
      </c>
      <c r="AD201" t="s">
        <v>231</v>
      </c>
      <c r="AE201" t="s">
        <v>470</v>
      </c>
      <c r="AG201" t="s">
        <v>532</v>
      </c>
      <c r="AH201">
        <v>0</v>
      </c>
      <c r="AI201">
        <v>719</v>
      </c>
      <c r="AJ201">
        <v>69</v>
      </c>
      <c r="AK201">
        <v>52</v>
      </c>
      <c r="AL201">
        <v>0.5</v>
      </c>
    </row>
    <row r="202" spans="1:38" x14ac:dyDescent="0.3">
      <c r="A202" t="s">
        <v>465</v>
      </c>
      <c r="B202">
        <v>112791</v>
      </c>
      <c r="C202">
        <v>2</v>
      </c>
      <c r="D202" t="s">
        <v>528</v>
      </c>
      <c r="E202" t="s">
        <v>529</v>
      </c>
      <c r="F202">
        <v>104</v>
      </c>
      <c r="G202">
        <v>8.09</v>
      </c>
      <c r="H202">
        <v>26.77</v>
      </c>
      <c r="I202">
        <v>5.26</v>
      </c>
      <c r="J202">
        <v>17.399999999999999</v>
      </c>
      <c r="K202">
        <v>1</v>
      </c>
      <c r="T202">
        <v>1</v>
      </c>
      <c r="U202">
        <v>1</v>
      </c>
      <c r="V202" t="s">
        <v>233</v>
      </c>
      <c r="W202" t="s">
        <v>304</v>
      </c>
      <c r="X202">
        <v>15</v>
      </c>
      <c r="Y202">
        <v>15</v>
      </c>
      <c r="Z202" t="s">
        <v>530</v>
      </c>
      <c r="AA202" t="s">
        <v>531</v>
      </c>
      <c r="AB202" t="s">
        <v>229</v>
      </c>
      <c r="AC202" t="s">
        <v>230</v>
      </c>
      <c r="AD202" t="s">
        <v>231</v>
      </c>
      <c r="AE202" t="s">
        <v>470</v>
      </c>
      <c r="AG202" t="s">
        <v>532</v>
      </c>
      <c r="AH202">
        <v>0</v>
      </c>
      <c r="AI202">
        <v>719</v>
      </c>
      <c r="AJ202">
        <v>69</v>
      </c>
      <c r="AK202">
        <v>52</v>
      </c>
      <c r="AL202">
        <v>0.5</v>
      </c>
    </row>
    <row r="203" spans="1:38" x14ac:dyDescent="0.3">
      <c r="A203" t="s">
        <v>465</v>
      </c>
      <c r="B203">
        <v>112791</v>
      </c>
      <c r="C203">
        <v>3</v>
      </c>
      <c r="D203" t="s">
        <v>528</v>
      </c>
      <c r="E203" t="s">
        <v>529</v>
      </c>
      <c r="F203">
        <v>104</v>
      </c>
      <c r="G203">
        <v>10.34</v>
      </c>
      <c r="H203">
        <v>34.21</v>
      </c>
      <c r="I203">
        <v>6.72</v>
      </c>
      <c r="J203">
        <v>22.23</v>
      </c>
      <c r="K203">
        <v>20</v>
      </c>
      <c r="T203">
        <v>1</v>
      </c>
      <c r="U203">
        <v>1</v>
      </c>
      <c r="V203" t="s">
        <v>233</v>
      </c>
      <c r="W203">
        <v>34</v>
      </c>
      <c r="X203">
        <v>15</v>
      </c>
      <c r="Y203">
        <v>15</v>
      </c>
      <c r="Z203" t="s">
        <v>530</v>
      </c>
      <c r="AA203" t="s">
        <v>531</v>
      </c>
      <c r="AB203" t="s">
        <v>229</v>
      </c>
      <c r="AC203" t="s">
        <v>230</v>
      </c>
      <c r="AD203" t="s">
        <v>231</v>
      </c>
      <c r="AE203" t="s">
        <v>470</v>
      </c>
      <c r="AG203" t="s">
        <v>532</v>
      </c>
      <c r="AH203">
        <v>0</v>
      </c>
      <c r="AI203">
        <v>719</v>
      </c>
      <c r="AJ203">
        <v>69</v>
      </c>
      <c r="AK203">
        <v>52</v>
      </c>
      <c r="AL203">
        <v>0.5</v>
      </c>
    </row>
    <row r="204" spans="1:38" x14ac:dyDescent="0.3">
      <c r="A204" t="s">
        <v>465</v>
      </c>
      <c r="B204">
        <v>112791</v>
      </c>
      <c r="C204">
        <v>4</v>
      </c>
      <c r="D204" t="s">
        <v>528</v>
      </c>
      <c r="E204" t="s">
        <v>529</v>
      </c>
      <c r="F204">
        <v>104</v>
      </c>
      <c r="G204">
        <v>10.64</v>
      </c>
      <c r="H204">
        <v>35.18</v>
      </c>
      <c r="I204">
        <v>6.91</v>
      </c>
      <c r="J204">
        <v>22.86</v>
      </c>
      <c r="K204">
        <v>6</v>
      </c>
      <c r="T204">
        <v>1</v>
      </c>
      <c r="U204">
        <v>1</v>
      </c>
      <c r="V204" t="s">
        <v>233</v>
      </c>
      <c r="W204" t="s">
        <v>307</v>
      </c>
      <c r="X204">
        <v>15</v>
      </c>
      <c r="Y204">
        <v>15</v>
      </c>
      <c r="Z204" t="s">
        <v>530</v>
      </c>
      <c r="AA204" t="s">
        <v>531</v>
      </c>
      <c r="AB204" t="s">
        <v>229</v>
      </c>
      <c r="AC204" t="s">
        <v>230</v>
      </c>
      <c r="AD204" t="s">
        <v>231</v>
      </c>
      <c r="AE204" t="s">
        <v>470</v>
      </c>
      <c r="AG204" t="s">
        <v>532</v>
      </c>
      <c r="AH204">
        <v>0</v>
      </c>
      <c r="AI204">
        <v>719</v>
      </c>
      <c r="AJ204">
        <v>69</v>
      </c>
      <c r="AK204">
        <v>52</v>
      </c>
      <c r="AL204">
        <v>0.5</v>
      </c>
    </row>
    <row r="205" spans="1:38" x14ac:dyDescent="0.3">
      <c r="A205" t="s">
        <v>465</v>
      </c>
      <c r="B205">
        <v>112791</v>
      </c>
      <c r="C205">
        <v>5</v>
      </c>
      <c r="D205" t="s">
        <v>528</v>
      </c>
      <c r="E205" t="s">
        <v>529</v>
      </c>
      <c r="F205">
        <v>104</v>
      </c>
      <c r="G205">
        <v>10.93</v>
      </c>
      <c r="H205">
        <v>36.15</v>
      </c>
      <c r="I205">
        <v>7.1</v>
      </c>
      <c r="J205">
        <v>23.49</v>
      </c>
      <c r="K205">
        <v>1</v>
      </c>
      <c r="T205">
        <v>1</v>
      </c>
      <c r="U205">
        <v>1</v>
      </c>
      <c r="V205" t="s">
        <v>233</v>
      </c>
      <c r="W205" t="s">
        <v>308</v>
      </c>
      <c r="X205">
        <v>15</v>
      </c>
      <c r="Y205">
        <v>15</v>
      </c>
      <c r="Z205" t="s">
        <v>530</v>
      </c>
      <c r="AA205" t="s">
        <v>531</v>
      </c>
      <c r="AB205" t="s">
        <v>229</v>
      </c>
      <c r="AC205" t="s">
        <v>230</v>
      </c>
      <c r="AD205" t="s">
        <v>231</v>
      </c>
      <c r="AE205" t="s">
        <v>470</v>
      </c>
      <c r="AG205" t="s">
        <v>532</v>
      </c>
      <c r="AH205">
        <v>0</v>
      </c>
      <c r="AI205">
        <v>719</v>
      </c>
      <c r="AJ205">
        <v>69</v>
      </c>
      <c r="AK205">
        <v>52</v>
      </c>
      <c r="AL205">
        <v>0.5</v>
      </c>
    </row>
    <row r="206" spans="1:38" x14ac:dyDescent="0.3">
      <c r="A206" t="s">
        <v>465</v>
      </c>
      <c r="B206">
        <v>112791</v>
      </c>
      <c r="C206">
        <v>6</v>
      </c>
      <c r="D206" t="s">
        <v>528</v>
      </c>
      <c r="E206" t="s">
        <v>529</v>
      </c>
      <c r="F206">
        <v>104</v>
      </c>
      <c r="G206">
        <v>12.81</v>
      </c>
      <c r="H206">
        <v>42.38</v>
      </c>
      <c r="I206">
        <v>8.33</v>
      </c>
      <c r="J206">
        <v>27.54</v>
      </c>
      <c r="K206">
        <v>4</v>
      </c>
      <c r="T206">
        <v>1</v>
      </c>
      <c r="U206">
        <v>1</v>
      </c>
      <c r="V206" t="s">
        <v>233</v>
      </c>
      <c r="W206">
        <v>42</v>
      </c>
      <c r="X206">
        <v>15</v>
      </c>
      <c r="Y206">
        <v>15</v>
      </c>
      <c r="Z206" t="s">
        <v>530</v>
      </c>
      <c r="AA206" t="s">
        <v>531</v>
      </c>
      <c r="AB206" t="s">
        <v>229</v>
      </c>
      <c r="AC206" t="s">
        <v>230</v>
      </c>
      <c r="AD206" t="s">
        <v>231</v>
      </c>
      <c r="AE206" t="s">
        <v>470</v>
      </c>
      <c r="AG206" t="s">
        <v>532</v>
      </c>
      <c r="AH206">
        <v>0</v>
      </c>
      <c r="AI206">
        <v>719</v>
      </c>
      <c r="AJ206">
        <v>69</v>
      </c>
      <c r="AK206">
        <v>52</v>
      </c>
      <c r="AL206">
        <v>0.5</v>
      </c>
    </row>
    <row r="207" spans="1:38" x14ac:dyDescent="0.3">
      <c r="A207" t="s">
        <v>465</v>
      </c>
      <c r="B207">
        <v>112791</v>
      </c>
      <c r="C207">
        <v>7</v>
      </c>
      <c r="D207" t="s">
        <v>528</v>
      </c>
      <c r="E207" t="s">
        <v>529</v>
      </c>
      <c r="F207">
        <v>104</v>
      </c>
      <c r="G207">
        <v>14.22</v>
      </c>
      <c r="H207">
        <v>47.01</v>
      </c>
      <c r="I207">
        <v>9.24</v>
      </c>
      <c r="J207">
        <v>30.55</v>
      </c>
      <c r="K207">
        <v>5</v>
      </c>
      <c r="T207">
        <v>1</v>
      </c>
      <c r="U207">
        <v>1</v>
      </c>
      <c r="V207" t="s">
        <v>233</v>
      </c>
      <c r="W207">
        <v>47</v>
      </c>
      <c r="X207">
        <v>15</v>
      </c>
      <c r="Y207">
        <v>15</v>
      </c>
      <c r="Z207" t="s">
        <v>530</v>
      </c>
      <c r="AA207" t="s">
        <v>531</v>
      </c>
      <c r="AB207" t="s">
        <v>229</v>
      </c>
      <c r="AC207" t="s">
        <v>230</v>
      </c>
      <c r="AD207" t="s">
        <v>231</v>
      </c>
      <c r="AE207" t="s">
        <v>470</v>
      </c>
      <c r="AG207" t="s">
        <v>532</v>
      </c>
      <c r="AH207">
        <v>0</v>
      </c>
      <c r="AI207">
        <v>719</v>
      </c>
      <c r="AJ207">
        <v>69</v>
      </c>
      <c r="AK207">
        <v>52</v>
      </c>
      <c r="AL207">
        <v>0.5</v>
      </c>
    </row>
    <row r="208" spans="1:38" x14ac:dyDescent="0.3">
      <c r="A208" t="s">
        <v>465</v>
      </c>
      <c r="B208">
        <v>112791</v>
      </c>
      <c r="C208">
        <v>8</v>
      </c>
      <c r="D208" t="s">
        <v>528</v>
      </c>
      <c r="E208" t="s">
        <v>529</v>
      </c>
      <c r="F208">
        <v>104</v>
      </c>
      <c r="G208">
        <v>18.34</v>
      </c>
      <c r="H208">
        <v>60.66</v>
      </c>
      <c r="I208">
        <v>11.92</v>
      </c>
      <c r="J208">
        <v>39.42</v>
      </c>
      <c r="K208">
        <v>26</v>
      </c>
      <c r="T208">
        <v>1</v>
      </c>
      <c r="U208">
        <v>1</v>
      </c>
      <c r="V208" t="s">
        <v>233</v>
      </c>
      <c r="W208">
        <v>60</v>
      </c>
      <c r="X208">
        <v>15</v>
      </c>
      <c r="Y208">
        <v>15</v>
      </c>
      <c r="Z208" t="s">
        <v>530</v>
      </c>
      <c r="AA208" t="s">
        <v>531</v>
      </c>
      <c r="AB208" t="s">
        <v>229</v>
      </c>
      <c r="AC208" t="s">
        <v>230</v>
      </c>
      <c r="AD208" t="s">
        <v>231</v>
      </c>
      <c r="AE208" t="s">
        <v>470</v>
      </c>
      <c r="AG208" t="s">
        <v>532</v>
      </c>
      <c r="AH208">
        <v>0</v>
      </c>
      <c r="AI208">
        <v>719</v>
      </c>
      <c r="AJ208">
        <v>69</v>
      </c>
      <c r="AK208">
        <v>52</v>
      </c>
      <c r="AL208">
        <v>0.5</v>
      </c>
    </row>
    <row r="209" spans="1:38" x14ac:dyDescent="0.3">
      <c r="A209" t="s">
        <v>465</v>
      </c>
      <c r="B209">
        <v>112791</v>
      </c>
      <c r="C209">
        <v>9</v>
      </c>
      <c r="D209" t="s">
        <v>528</v>
      </c>
      <c r="E209" t="s">
        <v>529</v>
      </c>
      <c r="F209">
        <v>104</v>
      </c>
      <c r="G209">
        <v>18.87</v>
      </c>
      <c r="H209">
        <v>62.39</v>
      </c>
      <c r="I209">
        <v>12.26</v>
      </c>
      <c r="J209">
        <v>40.54</v>
      </c>
      <c r="K209">
        <v>30</v>
      </c>
      <c r="T209">
        <v>1</v>
      </c>
      <c r="U209">
        <v>1</v>
      </c>
      <c r="V209" t="s">
        <v>233</v>
      </c>
      <c r="W209">
        <v>62</v>
      </c>
      <c r="X209">
        <v>15</v>
      </c>
      <c r="Y209">
        <v>15</v>
      </c>
      <c r="Z209" t="s">
        <v>530</v>
      </c>
      <c r="AA209" t="s">
        <v>531</v>
      </c>
      <c r="AB209" t="s">
        <v>229</v>
      </c>
      <c r="AC209" t="s">
        <v>230</v>
      </c>
      <c r="AD209" t="s">
        <v>231</v>
      </c>
      <c r="AE209" t="s">
        <v>470</v>
      </c>
      <c r="AG209" t="s">
        <v>532</v>
      </c>
      <c r="AH209">
        <v>0</v>
      </c>
      <c r="AI209">
        <v>719</v>
      </c>
      <c r="AJ209">
        <v>69</v>
      </c>
      <c r="AK209">
        <v>52</v>
      </c>
      <c r="AL209">
        <v>0.5</v>
      </c>
    </row>
    <row r="210" spans="1:38" x14ac:dyDescent="0.3">
      <c r="A210" t="s">
        <v>465</v>
      </c>
      <c r="B210">
        <v>112791</v>
      </c>
      <c r="C210">
        <v>10</v>
      </c>
      <c r="D210" t="s">
        <v>528</v>
      </c>
      <c r="E210" t="s">
        <v>529</v>
      </c>
      <c r="F210">
        <v>104</v>
      </c>
      <c r="G210">
        <v>20.69</v>
      </c>
      <c r="H210">
        <v>68.42</v>
      </c>
      <c r="I210">
        <v>13.44</v>
      </c>
      <c r="J210">
        <v>44.46</v>
      </c>
      <c r="K210">
        <v>10</v>
      </c>
      <c r="T210">
        <v>1</v>
      </c>
      <c r="U210">
        <v>1</v>
      </c>
      <c r="V210" t="s">
        <v>233</v>
      </c>
      <c r="W210">
        <v>68</v>
      </c>
      <c r="X210">
        <v>15</v>
      </c>
      <c r="Y210">
        <v>15</v>
      </c>
      <c r="Z210" t="s">
        <v>530</v>
      </c>
      <c r="AA210" t="s">
        <v>531</v>
      </c>
      <c r="AB210" t="s">
        <v>229</v>
      </c>
      <c r="AC210" t="s">
        <v>230</v>
      </c>
      <c r="AD210" t="s">
        <v>231</v>
      </c>
      <c r="AE210" t="s">
        <v>470</v>
      </c>
      <c r="AG210" t="s">
        <v>532</v>
      </c>
      <c r="AH210">
        <v>0</v>
      </c>
      <c r="AI210">
        <v>719</v>
      </c>
      <c r="AJ210">
        <v>69</v>
      </c>
      <c r="AK210">
        <v>52</v>
      </c>
      <c r="AL210">
        <v>0.5</v>
      </c>
    </row>
    <row r="211" spans="1:38" x14ac:dyDescent="0.3">
      <c r="A211" t="s">
        <v>465</v>
      </c>
      <c r="B211">
        <v>113157</v>
      </c>
      <c r="C211">
        <v>1</v>
      </c>
      <c r="D211" t="s">
        <v>533</v>
      </c>
      <c r="E211" t="s">
        <v>534</v>
      </c>
      <c r="F211">
        <v>72</v>
      </c>
      <c r="G211">
        <v>10.51</v>
      </c>
      <c r="H211">
        <v>34.75</v>
      </c>
      <c r="I211">
        <v>8.01</v>
      </c>
      <c r="J211">
        <v>26.5</v>
      </c>
      <c r="K211">
        <v>9</v>
      </c>
      <c r="T211">
        <v>1</v>
      </c>
      <c r="U211">
        <v>1</v>
      </c>
      <c r="V211" t="s">
        <v>226</v>
      </c>
      <c r="W211">
        <v>34</v>
      </c>
      <c r="X211">
        <v>12</v>
      </c>
      <c r="Y211">
        <v>12</v>
      </c>
      <c r="Z211" t="s">
        <v>535</v>
      </c>
      <c r="AA211" t="s">
        <v>536</v>
      </c>
      <c r="AB211" t="s">
        <v>229</v>
      </c>
      <c r="AC211" t="s">
        <v>230</v>
      </c>
      <c r="AD211" t="s">
        <v>231</v>
      </c>
      <c r="AE211" t="s">
        <v>470</v>
      </c>
      <c r="AG211" t="s">
        <v>537</v>
      </c>
      <c r="AH211">
        <v>0</v>
      </c>
      <c r="AI211">
        <v>567</v>
      </c>
      <c r="AJ211">
        <v>69</v>
      </c>
      <c r="AK211">
        <v>35</v>
      </c>
      <c r="AL211">
        <v>0.49</v>
      </c>
    </row>
    <row r="212" spans="1:38" x14ac:dyDescent="0.3">
      <c r="A212" t="s">
        <v>465</v>
      </c>
      <c r="B212">
        <v>113157</v>
      </c>
      <c r="C212">
        <v>2</v>
      </c>
      <c r="D212" t="s">
        <v>533</v>
      </c>
      <c r="E212" t="s">
        <v>534</v>
      </c>
      <c r="F212">
        <v>72</v>
      </c>
      <c r="G212">
        <v>10.46</v>
      </c>
      <c r="H212">
        <v>34.58</v>
      </c>
      <c r="I212">
        <v>7.97</v>
      </c>
      <c r="J212">
        <v>26.37</v>
      </c>
      <c r="K212">
        <v>9</v>
      </c>
      <c r="T212">
        <v>1</v>
      </c>
      <c r="U212">
        <v>1</v>
      </c>
      <c r="V212" t="s">
        <v>226</v>
      </c>
      <c r="W212" t="s">
        <v>538</v>
      </c>
      <c r="X212">
        <v>12</v>
      </c>
      <c r="Y212">
        <v>12</v>
      </c>
      <c r="Z212" t="s">
        <v>535</v>
      </c>
      <c r="AA212" t="s">
        <v>536</v>
      </c>
      <c r="AB212" t="s">
        <v>229</v>
      </c>
      <c r="AC212" t="s">
        <v>230</v>
      </c>
      <c r="AD212" t="s">
        <v>231</v>
      </c>
      <c r="AE212" t="s">
        <v>470</v>
      </c>
      <c r="AG212" t="s">
        <v>537</v>
      </c>
      <c r="AH212">
        <v>0</v>
      </c>
      <c r="AI212">
        <v>567</v>
      </c>
      <c r="AJ212">
        <v>69</v>
      </c>
      <c r="AK212">
        <v>35</v>
      </c>
      <c r="AL212">
        <v>0.49</v>
      </c>
    </row>
    <row r="213" spans="1:38" x14ac:dyDescent="0.3">
      <c r="A213" t="s">
        <v>465</v>
      </c>
      <c r="B213">
        <v>113157</v>
      </c>
      <c r="C213">
        <v>3</v>
      </c>
      <c r="D213" t="s">
        <v>533</v>
      </c>
      <c r="E213" t="s">
        <v>534</v>
      </c>
      <c r="F213">
        <v>72</v>
      </c>
      <c r="G213">
        <v>10.47</v>
      </c>
      <c r="H213">
        <v>34.64</v>
      </c>
      <c r="I213">
        <v>7.98</v>
      </c>
      <c r="J213">
        <v>26.41</v>
      </c>
      <c r="K213">
        <v>1</v>
      </c>
      <c r="T213">
        <v>1</v>
      </c>
      <c r="U213">
        <v>1</v>
      </c>
      <c r="V213" t="s">
        <v>226</v>
      </c>
      <c r="W213" t="s">
        <v>539</v>
      </c>
      <c r="X213">
        <v>12</v>
      </c>
      <c r="Y213">
        <v>12</v>
      </c>
      <c r="Z213" t="s">
        <v>535</v>
      </c>
      <c r="AA213" t="s">
        <v>536</v>
      </c>
      <c r="AB213" t="s">
        <v>229</v>
      </c>
      <c r="AC213" t="s">
        <v>230</v>
      </c>
      <c r="AD213" t="s">
        <v>231</v>
      </c>
      <c r="AE213" t="s">
        <v>470</v>
      </c>
      <c r="AG213" t="s">
        <v>537</v>
      </c>
      <c r="AH213">
        <v>0</v>
      </c>
      <c r="AI213">
        <v>567</v>
      </c>
      <c r="AJ213">
        <v>69</v>
      </c>
      <c r="AK213">
        <v>35</v>
      </c>
      <c r="AL213">
        <v>0.49</v>
      </c>
    </row>
    <row r="214" spans="1:38" x14ac:dyDescent="0.3">
      <c r="A214" t="s">
        <v>465</v>
      </c>
      <c r="B214">
        <v>113157</v>
      </c>
      <c r="C214">
        <v>4</v>
      </c>
      <c r="D214" t="s">
        <v>533</v>
      </c>
      <c r="E214" t="s">
        <v>534</v>
      </c>
      <c r="F214">
        <v>72</v>
      </c>
      <c r="G214">
        <v>13.5</v>
      </c>
      <c r="H214">
        <v>44.63</v>
      </c>
      <c r="I214">
        <v>10.29</v>
      </c>
      <c r="J214">
        <v>34.04</v>
      </c>
      <c r="K214">
        <v>8</v>
      </c>
      <c r="T214">
        <v>1</v>
      </c>
      <c r="U214">
        <v>1</v>
      </c>
      <c r="V214" t="s">
        <v>226</v>
      </c>
      <c r="W214">
        <v>44</v>
      </c>
      <c r="X214">
        <v>12</v>
      </c>
      <c r="Y214">
        <v>12</v>
      </c>
      <c r="Z214" t="s">
        <v>535</v>
      </c>
      <c r="AA214" t="s">
        <v>536</v>
      </c>
      <c r="AB214" t="s">
        <v>229</v>
      </c>
      <c r="AC214" t="s">
        <v>230</v>
      </c>
      <c r="AD214" t="s">
        <v>231</v>
      </c>
      <c r="AE214" t="s">
        <v>470</v>
      </c>
      <c r="AG214" t="s">
        <v>537</v>
      </c>
      <c r="AH214">
        <v>0</v>
      </c>
      <c r="AI214">
        <v>567</v>
      </c>
      <c r="AJ214">
        <v>69</v>
      </c>
      <c r="AK214">
        <v>35</v>
      </c>
      <c r="AL214">
        <v>0.49</v>
      </c>
    </row>
    <row r="215" spans="1:38" x14ac:dyDescent="0.3">
      <c r="A215" t="s">
        <v>465</v>
      </c>
      <c r="B215">
        <v>113157</v>
      </c>
      <c r="C215">
        <v>5</v>
      </c>
      <c r="D215" t="s">
        <v>533</v>
      </c>
      <c r="E215" t="s">
        <v>534</v>
      </c>
      <c r="F215">
        <v>72</v>
      </c>
      <c r="G215">
        <v>15.97</v>
      </c>
      <c r="H215">
        <v>52.81</v>
      </c>
      <c r="I215">
        <v>12.18</v>
      </c>
      <c r="J215">
        <v>40.270000000000003</v>
      </c>
      <c r="K215">
        <v>36</v>
      </c>
      <c r="T215">
        <v>1</v>
      </c>
      <c r="U215">
        <v>1</v>
      </c>
      <c r="V215" t="s">
        <v>226</v>
      </c>
      <c r="W215" t="s">
        <v>189</v>
      </c>
      <c r="X215">
        <v>12</v>
      </c>
      <c r="Y215">
        <v>12</v>
      </c>
      <c r="Z215" t="s">
        <v>535</v>
      </c>
      <c r="AA215" t="s">
        <v>536</v>
      </c>
      <c r="AB215" t="s">
        <v>229</v>
      </c>
      <c r="AC215" t="s">
        <v>230</v>
      </c>
      <c r="AD215" t="s">
        <v>231</v>
      </c>
      <c r="AE215" t="s">
        <v>470</v>
      </c>
      <c r="AG215" t="s">
        <v>537</v>
      </c>
      <c r="AH215">
        <v>0</v>
      </c>
      <c r="AI215">
        <v>567</v>
      </c>
      <c r="AJ215">
        <v>69</v>
      </c>
      <c r="AK215">
        <v>35</v>
      </c>
      <c r="AL215">
        <v>0.49</v>
      </c>
    </row>
    <row r="216" spans="1:38" x14ac:dyDescent="0.3">
      <c r="A216" t="s">
        <v>465</v>
      </c>
      <c r="B216">
        <v>113157</v>
      </c>
      <c r="C216">
        <v>6</v>
      </c>
      <c r="D216" t="s">
        <v>533</v>
      </c>
      <c r="E216" t="s">
        <v>534</v>
      </c>
      <c r="F216">
        <v>72</v>
      </c>
      <c r="G216">
        <v>19.57</v>
      </c>
      <c r="H216">
        <v>64.72</v>
      </c>
      <c r="I216">
        <v>14.93</v>
      </c>
      <c r="J216">
        <v>49.36</v>
      </c>
      <c r="K216">
        <v>9</v>
      </c>
      <c r="T216">
        <v>1</v>
      </c>
      <c r="U216">
        <v>1</v>
      </c>
      <c r="V216" t="s">
        <v>226</v>
      </c>
      <c r="W216" t="s">
        <v>540</v>
      </c>
      <c r="X216">
        <v>12</v>
      </c>
      <c r="Y216">
        <v>12</v>
      </c>
      <c r="Z216" t="s">
        <v>535</v>
      </c>
      <c r="AA216" t="s">
        <v>536</v>
      </c>
      <c r="AB216" t="s">
        <v>229</v>
      </c>
      <c r="AC216" t="s">
        <v>230</v>
      </c>
      <c r="AD216" t="s">
        <v>231</v>
      </c>
      <c r="AE216" t="s">
        <v>470</v>
      </c>
      <c r="AG216" t="s">
        <v>537</v>
      </c>
      <c r="AH216">
        <v>0</v>
      </c>
      <c r="AI216">
        <v>567</v>
      </c>
      <c r="AJ216">
        <v>69</v>
      </c>
      <c r="AK216">
        <v>35</v>
      </c>
      <c r="AL216">
        <v>0.49</v>
      </c>
    </row>
    <row r="217" spans="1:38" x14ac:dyDescent="0.3">
      <c r="A217" t="s">
        <v>465</v>
      </c>
      <c r="B217">
        <v>15425</v>
      </c>
      <c r="C217">
        <v>1</v>
      </c>
      <c r="D217" t="s">
        <v>541</v>
      </c>
      <c r="E217" t="s">
        <v>260</v>
      </c>
      <c r="F217">
        <v>48</v>
      </c>
      <c r="G217">
        <v>23.48</v>
      </c>
      <c r="H217">
        <v>77.650000000000006</v>
      </c>
      <c r="I217">
        <v>18.11</v>
      </c>
      <c r="J217">
        <v>59.89</v>
      </c>
      <c r="K217">
        <v>18</v>
      </c>
      <c r="T217">
        <v>3</v>
      </c>
      <c r="U217">
        <v>2</v>
      </c>
      <c r="V217" t="s">
        <v>233</v>
      </c>
      <c r="W217">
        <v>77</v>
      </c>
      <c r="X217">
        <v>9</v>
      </c>
      <c r="Y217">
        <v>5</v>
      </c>
      <c r="Z217" t="s">
        <v>542</v>
      </c>
      <c r="AA217" t="s">
        <v>543</v>
      </c>
      <c r="AB217" t="s">
        <v>229</v>
      </c>
      <c r="AC217" t="s">
        <v>230</v>
      </c>
      <c r="AD217" t="s">
        <v>231</v>
      </c>
      <c r="AE217" t="s">
        <v>470</v>
      </c>
      <c r="AG217" t="s">
        <v>544</v>
      </c>
      <c r="AH217">
        <v>0</v>
      </c>
      <c r="AI217">
        <v>165</v>
      </c>
      <c r="AJ217">
        <v>22</v>
      </c>
      <c r="AK217">
        <v>26</v>
      </c>
      <c r="AL217">
        <v>0.54</v>
      </c>
    </row>
    <row r="218" spans="1:38" x14ac:dyDescent="0.3">
      <c r="A218" t="s">
        <v>465</v>
      </c>
      <c r="B218">
        <v>15425</v>
      </c>
      <c r="C218">
        <v>2</v>
      </c>
      <c r="D218" t="s">
        <v>541</v>
      </c>
      <c r="E218" t="s">
        <v>260</v>
      </c>
      <c r="F218">
        <v>48</v>
      </c>
      <c r="G218">
        <v>24.41</v>
      </c>
      <c r="H218">
        <v>80.7</v>
      </c>
      <c r="I218">
        <v>18.11</v>
      </c>
      <c r="J218">
        <v>59.89</v>
      </c>
      <c r="K218">
        <v>14</v>
      </c>
      <c r="T218">
        <v>3</v>
      </c>
      <c r="U218">
        <v>1</v>
      </c>
      <c r="V218" t="s">
        <v>233</v>
      </c>
      <c r="W218">
        <v>80</v>
      </c>
      <c r="X218">
        <v>9</v>
      </c>
      <c r="Y218">
        <v>5</v>
      </c>
      <c r="Z218" t="s">
        <v>542</v>
      </c>
      <c r="AA218" t="s">
        <v>543</v>
      </c>
      <c r="AB218" t="s">
        <v>229</v>
      </c>
      <c r="AC218" t="s">
        <v>230</v>
      </c>
      <c r="AD218" t="s">
        <v>231</v>
      </c>
      <c r="AE218" t="s">
        <v>470</v>
      </c>
      <c r="AG218" t="s">
        <v>544</v>
      </c>
      <c r="AH218">
        <v>0</v>
      </c>
      <c r="AI218">
        <v>165</v>
      </c>
      <c r="AJ218">
        <v>22</v>
      </c>
      <c r="AK218">
        <v>26</v>
      </c>
      <c r="AL218">
        <v>0.54</v>
      </c>
    </row>
    <row r="219" spans="1:38" x14ac:dyDescent="0.3">
      <c r="A219" t="s">
        <v>465</v>
      </c>
      <c r="B219">
        <v>15425</v>
      </c>
      <c r="C219">
        <v>3</v>
      </c>
      <c r="D219" t="s">
        <v>541</v>
      </c>
      <c r="E219" t="s">
        <v>260</v>
      </c>
      <c r="F219">
        <v>48</v>
      </c>
      <c r="G219">
        <v>31.91</v>
      </c>
      <c r="H219">
        <v>105.52</v>
      </c>
      <c r="I219">
        <v>25.7</v>
      </c>
      <c r="J219">
        <v>84.96</v>
      </c>
      <c r="K219">
        <v>16</v>
      </c>
      <c r="T219">
        <v>3</v>
      </c>
      <c r="U219">
        <v>2</v>
      </c>
      <c r="V219" t="s">
        <v>233</v>
      </c>
      <c r="W219">
        <v>105</v>
      </c>
      <c r="X219">
        <v>9</v>
      </c>
      <c r="Y219">
        <v>5</v>
      </c>
      <c r="Z219" t="s">
        <v>542</v>
      </c>
      <c r="AA219" t="s">
        <v>543</v>
      </c>
      <c r="AB219" t="s">
        <v>229</v>
      </c>
      <c r="AC219" t="s">
        <v>230</v>
      </c>
      <c r="AD219" t="s">
        <v>231</v>
      </c>
      <c r="AE219" t="s">
        <v>470</v>
      </c>
      <c r="AG219" t="s">
        <v>544</v>
      </c>
      <c r="AH219">
        <v>0</v>
      </c>
      <c r="AI219">
        <v>165</v>
      </c>
      <c r="AJ219">
        <v>22</v>
      </c>
      <c r="AK219">
        <v>26</v>
      </c>
      <c r="AL219">
        <v>0.54</v>
      </c>
    </row>
    <row r="220" spans="1:38" x14ac:dyDescent="0.3">
      <c r="A220" t="s">
        <v>465</v>
      </c>
      <c r="B220">
        <v>116600</v>
      </c>
      <c r="C220">
        <v>1</v>
      </c>
      <c r="D220" t="s">
        <v>545</v>
      </c>
      <c r="E220" t="s">
        <v>546</v>
      </c>
      <c r="F220">
        <v>288</v>
      </c>
      <c r="G220">
        <v>9.1</v>
      </c>
      <c r="H220">
        <v>30.1</v>
      </c>
      <c r="I220">
        <v>6.03</v>
      </c>
      <c r="J220">
        <v>19.96</v>
      </c>
      <c r="K220">
        <v>178</v>
      </c>
      <c r="T220">
        <v>1</v>
      </c>
      <c r="U220">
        <v>1</v>
      </c>
      <c r="V220" t="s">
        <v>226</v>
      </c>
      <c r="W220" t="s">
        <v>547</v>
      </c>
      <c r="X220">
        <v>20</v>
      </c>
      <c r="Y220">
        <v>20</v>
      </c>
      <c r="Z220" t="s">
        <v>548</v>
      </c>
      <c r="AA220" t="s">
        <v>549</v>
      </c>
      <c r="AB220" t="s">
        <v>229</v>
      </c>
      <c r="AC220" t="s">
        <v>230</v>
      </c>
      <c r="AD220" t="s">
        <v>231</v>
      </c>
      <c r="AE220" t="s">
        <v>470</v>
      </c>
      <c r="AG220" t="s">
        <v>550</v>
      </c>
      <c r="AH220">
        <v>0</v>
      </c>
      <c r="AI220">
        <v>898</v>
      </c>
      <c r="AJ220">
        <v>69</v>
      </c>
      <c r="AK220">
        <v>202</v>
      </c>
      <c r="AL220">
        <v>0.7</v>
      </c>
    </row>
    <row r="221" spans="1:38" x14ac:dyDescent="0.3">
      <c r="A221" t="s">
        <v>465</v>
      </c>
      <c r="B221">
        <v>116600</v>
      </c>
      <c r="C221">
        <v>2</v>
      </c>
      <c r="D221" t="s">
        <v>545</v>
      </c>
      <c r="E221" t="s">
        <v>546</v>
      </c>
      <c r="F221">
        <v>288</v>
      </c>
      <c r="G221">
        <v>9.24</v>
      </c>
      <c r="H221">
        <v>30.55</v>
      </c>
      <c r="I221">
        <v>6.03</v>
      </c>
      <c r="J221">
        <v>19.96</v>
      </c>
      <c r="K221">
        <v>53</v>
      </c>
      <c r="T221">
        <v>1</v>
      </c>
      <c r="U221">
        <v>1</v>
      </c>
      <c r="V221" t="s">
        <v>226</v>
      </c>
      <c r="W221" t="s">
        <v>551</v>
      </c>
      <c r="X221">
        <v>20</v>
      </c>
      <c r="Y221">
        <v>20</v>
      </c>
      <c r="Z221" t="s">
        <v>548</v>
      </c>
      <c r="AA221" t="s">
        <v>549</v>
      </c>
      <c r="AB221" t="s">
        <v>229</v>
      </c>
      <c r="AC221" t="s">
        <v>230</v>
      </c>
      <c r="AD221" t="s">
        <v>231</v>
      </c>
      <c r="AE221" t="s">
        <v>470</v>
      </c>
      <c r="AG221" t="s">
        <v>550</v>
      </c>
      <c r="AH221">
        <v>0</v>
      </c>
      <c r="AI221">
        <v>898</v>
      </c>
      <c r="AJ221">
        <v>69</v>
      </c>
      <c r="AK221">
        <v>202</v>
      </c>
      <c r="AL221">
        <v>0.7</v>
      </c>
    </row>
    <row r="222" spans="1:38" x14ac:dyDescent="0.3">
      <c r="A222" t="s">
        <v>465</v>
      </c>
      <c r="B222">
        <v>116600</v>
      </c>
      <c r="C222">
        <v>3</v>
      </c>
      <c r="D222" t="s">
        <v>545</v>
      </c>
      <c r="E222" t="s">
        <v>546</v>
      </c>
      <c r="F222">
        <v>288</v>
      </c>
      <c r="G222">
        <v>9.24</v>
      </c>
      <c r="H222">
        <v>30.57</v>
      </c>
      <c r="I222">
        <v>6.03</v>
      </c>
      <c r="J222">
        <v>19.96</v>
      </c>
      <c r="K222">
        <v>35</v>
      </c>
      <c r="T222">
        <v>1</v>
      </c>
      <c r="U222">
        <v>1</v>
      </c>
      <c r="V222" t="s">
        <v>226</v>
      </c>
      <c r="W222" t="s">
        <v>552</v>
      </c>
      <c r="X222">
        <v>20</v>
      </c>
      <c r="Y222">
        <v>20</v>
      </c>
      <c r="Z222" t="s">
        <v>548</v>
      </c>
      <c r="AA222" t="s">
        <v>549</v>
      </c>
      <c r="AB222" t="s">
        <v>229</v>
      </c>
      <c r="AC222" t="s">
        <v>230</v>
      </c>
      <c r="AD222" t="s">
        <v>231</v>
      </c>
      <c r="AE222" t="s">
        <v>470</v>
      </c>
      <c r="AG222" t="s">
        <v>550</v>
      </c>
      <c r="AH222">
        <v>0</v>
      </c>
      <c r="AI222">
        <v>898</v>
      </c>
      <c r="AJ222">
        <v>69</v>
      </c>
      <c r="AK222">
        <v>202</v>
      </c>
      <c r="AL222">
        <v>0.7</v>
      </c>
    </row>
    <row r="223" spans="1:38" x14ac:dyDescent="0.3">
      <c r="A223" t="s">
        <v>465</v>
      </c>
      <c r="B223">
        <v>116600</v>
      </c>
      <c r="C223">
        <v>4</v>
      </c>
      <c r="D223" t="s">
        <v>545</v>
      </c>
      <c r="E223" t="s">
        <v>546</v>
      </c>
      <c r="F223">
        <v>288</v>
      </c>
      <c r="G223">
        <v>9.25</v>
      </c>
      <c r="H223">
        <v>30.59</v>
      </c>
      <c r="I223">
        <v>6.03</v>
      </c>
      <c r="J223">
        <v>19.96</v>
      </c>
      <c r="K223">
        <v>18</v>
      </c>
      <c r="T223">
        <v>1</v>
      </c>
      <c r="U223">
        <v>1</v>
      </c>
      <c r="V223" t="s">
        <v>226</v>
      </c>
      <c r="W223" t="s">
        <v>553</v>
      </c>
      <c r="X223">
        <v>20</v>
      </c>
      <c r="Y223">
        <v>20</v>
      </c>
      <c r="Z223" t="s">
        <v>548</v>
      </c>
      <c r="AA223" t="s">
        <v>549</v>
      </c>
      <c r="AB223" t="s">
        <v>229</v>
      </c>
      <c r="AC223" t="s">
        <v>230</v>
      </c>
      <c r="AD223" t="s">
        <v>231</v>
      </c>
      <c r="AE223" t="s">
        <v>470</v>
      </c>
      <c r="AG223" t="s">
        <v>550</v>
      </c>
      <c r="AH223">
        <v>0</v>
      </c>
      <c r="AI223">
        <v>898</v>
      </c>
      <c r="AJ223">
        <v>69</v>
      </c>
      <c r="AK223">
        <v>202</v>
      </c>
      <c r="AL223">
        <v>0.7</v>
      </c>
    </row>
    <row r="224" spans="1:38" x14ac:dyDescent="0.3">
      <c r="A224" t="s">
        <v>465</v>
      </c>
      <c r="B224">
        <v>116600</v>
      </c>
      <c r="C224">
        <v>5</v>
      </c>
      <c r="D224" t="s">
        <v>545</v>
      </c>
      <c r="E224" t="s">
        <v>546</v>
      </c>
      <c r="F224">
        <v>288</v>
      </c>
      <c r="G224">
        <v>9.14</v>
      </c>
      <c r="H224">
        <v>30.24</v>
      </c>
      <c r="I224">
        <v>6.03</v>
      </c>
      <c r="J224">
        <v>19.96</v>
      </c>
      <c r="K224">
        <v>2</v>
      </c>
      <c r="T224">
        <v>1</v>
      </c>
      <c r="U224">
        <v>1</v>
      </c>
      <c r="V224" t="s">
        <v>226</v>
      </c>
      <c r="W224" t="s">
        <v>554</v>
      </c>
      <c r="X224">
        <v>20</v>
      </c>
      <c r="Y224">
        <v>20</v>
      </c>
      <c r="Z224" t="s">
        <v>548</v>
      </c>
      <c r="AA224" t="s">
        <v>549</v>
      </c>
      <c r="AB224" t="s">
        <v>229</v>
      </c>
      <c r="AC224" t="s">
        <v>230</v>
      </c>
      <c r="AD224" t="s">
        <v>231</v>
      </c>
      <c r="AE224" t="s">
        <v>470</v>
      </c>
      <c r="AG224" t="s">
        <v>550</v>
      </c>
      <c r="AH224">
        <v>0</v>
      </c>
      <c r="AI224">
        <v>898</v>
      </c>
      <c r="AJ224">
        <v>69</v>
      </c>
      <c r="AK224">
        <v>202</v>
      </c>
      <c r="AL224">
        <v>0.7</v>
      </c>
    </row>
    <row r="225" spans="1:38" x14ac:dyDescent="0.3">
      <c r="A225" t="s">
        <v>465</v>
      </c>
      <c r="B225">
        <v>116600</v>
      </c>
      <c r="C225">
        <v>6</v>
      </c>
      <c r="D225" t="s">
        <v>545</v>
      </c>
      <c r="E225" t="s">
        <v>546</v>
      </c>
      <c r="F225">
        <v>288</v>
      </c>
      <c r="G225">
        <v>9.24</v>
      </c>
      <c r="H225">
        <v>30.57</v>
      </c>
      <c r="I225">
        <v>6.03</v>
      </c>
      <c r="J225">
        <v>19.96</v>
      </c>
      <c r="K225">
        <v>1</v>
      </c>
      <c r="T225">
        <v>1</v>
      </c>
      <c r="U225">
        <v>1</v>
      </c>
      <c r="V225" t="s">
        <v>226</v>
      </c>
      <c r="W225" t="s">
        <v>555</v>
      </c>
      <c r="X225">
        <v>20</v>
      </c>
      <c r="Y225">
        <v>20</v>
      </c>
      <c r="Z225" t="s">
        <v>548</v>
      </c>
      <c r="AA225" t="s">
        <v>549</v>
      </c>
      <c r="AB225" t="s">
        <v>229</v>
      </c>
      <c r="AC225" t="s">
        <v>230</v>
      </c>
      <c r="AD225" t="s">
        <v>231</v>
      </c>
      <c r="AE225" t="s">
        <v>470</v>
      </c>
      <c r="AG225" t="s">
        <v>550</v>
      </c>
      <c r="AH225">
        <v>0</v>
      </c>
      <c r="AI225">
        <v>898</v>
      </c>
      <c r="AJ225">
        <v>69</v>
      </c>
      <c r="AK225">
        <v>202</v>
      </c>
      <c r="AL225">
        <v>0.7</v>
      </c>
    </row>
    <row r="226" spans="1:38" x14ac:dyDescent="0.3">
      <c r="A226" t="s">
        <v>465</v>
      </c>
      <c r="B226">
        <v>116600</v>
      </c>
      <c r="C226">
        <v>7</v>
      </c>
      <c r="D226" t="s">
        <v>545</v>
      </c>
      <c r="E226" t="s">
        <v>546</v>
      </c>
      <c r="F226">
        <v>288</v>
      </c>
      <c r="G226">
        <v>9.24</v>
      </c>
      <c r="H226">
        <v>30.55</v>
      </c>
      <c r="I226">
        <v>6.03</v>
      </c>
      <c r="J226">
        <v>19.96</v>
      </c>
      <c r="K226">
        <v>1</v>
      </c>
      <c r="T226">
        <v>1</v>
      </c>
      <c r="U226">
        <v>1</v>
      </c>
      <c r="V226" t="s">
        <v>226</v>
      </c>
      <c r="W226" t="s">
        <v>556</v>
      </c>
      <c r="X226">
        <v>20</v>
      </c>
      <c r="Y226">
        <v>20</v>
      </c>
      <c r="Z226" t="s">
        <v>548</v>
      </c>
      <c r="AA226" t="s">
        <v>549</v>
      </c>
      <c r="AB226" t="s">
        <v>229</v>
      </c>
      <c r="AC226" t="s">
        <v>230</v>
      </c>
      <c r="AD226" t="s">
        <v>231</v>
      </c>
      <c r="AE226" t="s">
        <v>470</v>
      </c>
      <c r="AG226" t="s">
        <v>550</v>
      </c>
      <c r="AH226">
        <v>0</v>
      </c>
      <c r="AI226">
        <v>898</v>
      </c>
      <c r="AJ226">
        <v>69</v>
      </c>
      <c r="AK226">
        <v>202</v>
      </c>
      <c r="AL226">
        <v>0.7</v>
      </c>
    </row>
    <row r="227" spans="1:38" x14ac:dyDescent="0.3">
      <c r="A227" t="s">
        <v>465</v>
      </c>
      <c r="B227">
        <v>109824</v>
      </c>
      <c r="C227">
        <v>1</v>
      </c>
      <c r="D227" t="s">
        <v>557</v>
      </c>
      <c r="E227" t="s">
        <v>558</v>
      </c>
      <c r="F227">
        <v>611</v>
      </c>
      <c r="G227">
        <v>13.46</v>
      </c>
      <c r="H227">
        <v>44.5</v>
      </c>
      <c r="I227">
        <v>6.67</v>
      </c>
      <c r="J227">
        <v>22.08</v>
      </c>
      <c r="K227">
        <v>497</v>
      </c>
      <c r="T227">
        <v>1</v>
      </c>
      <c r="U227">
        <v>1</v>
      </c>
      <c r="V227" t="s">
        <v>226</v>
      </c>
      <c r="W227" t="s">
        <v>121</v>
      </c>
      <c r="X227">
        <v>18</v>
      </c>
      <c r="Y227">
        <v>2</v>
      </c>
      <c r="Z227" t="s">
        <v>559</v>
      </c>
      <c r="AA227" t="s">
        <v>560</v>
      </c>
      <c r="AB227" t="s">
        <v>229</v>
      </c>
      <c r="AC227" t="s">
        <v>230</v>
      </c>
      <c r="AD227" t="s">
        <v>231</v>
      </c>
      <c r="AE227" t="s">
        <v>470</v>
      </c>
      <c r="AG227" t="s">
        <v>561</v>
      </c>
      <c r="AH227">
        <v>0</v>
      </c>
      <c r="AI227">
        <v>888</v>
      </c>
      <c r="AJ227">
        <v>67</v>
      </c>
      <c r="AK227">
        <v>427</v>
      </c>
      <c r="AL227">
        <v>0.7</v>
      </c>
    </row>
    <row r="228" spans="1:38" x14ac:dyDescent="0.3">
      <c r="A228" t="s">
        <v>465</v>
      </c>
      <c r="B228">
        <v>109824</v>
      </c>
      <c r="C228">
        <v>2</v>
      </c>
      <c r="D228" t="s">
        <v>557</v>
      </c>
      <c r="E228" t="s">
        <v>558</v>
      </c>
      <c r="F228">
        <v>611</v>
      </c>
      <c r="G228">
        <v>15.53</v>
      </c>
      <c r="H228">
        <v>51.35</v>
      </c>
      <c r="I228">
        <v>7.7</v>
      </c>
      <c r="J228">
        <v>25.48</v>
      </c>
      <c r="K228">
        <v>12</v>
      </c>
      <c r="T228">
        <v>1</v>
      </c>
      <c r="U228">
        <v>1</v>
      </c>
      <c r="V228" t="s">
        <v>233</v>
      </c>
      <c r="W228" t="s">
        <v>122</v>
      </c>
      <c r="X228">
        <v>18</v>
      </c>
      <c r="Y228">
        <v>2</v>
      </c>
      <c r="Z228" t="s">
        <v>559</v>
      </c>
      <c r="AA228" t="s">
        <v>560</v>
      </c>
      <c r="AB228" t="s">
        <v>229</v>
      </c>
      <c r="AC228" t="s">
        <v>230</v>
      </c>
      <c r="AD228" t="s">
        <v>231</v>
      </c>
      <c r="AE228" t="s">
        <v>470</v>
      </c>
      <c r="AG228" t="s">
        <v>561</v>
      </c>
      <c r="AH228">
        <v>0</v>
      </c>
      <c r="AI228">
        <v>888</v>
      </c>
      <c r="AJ228">
        <v>67</v>
      </c>
      <c r="AK228">
        <v>427</v>
      </c>
      <c r="AL228">
        <v>0.7</v>
      </c>
    </row>
    <row r="229" spans="1:38" x14ac:dyDescent="0.3">
      <c r="A229" t="s">
        <v>465</v>
      </c>
      <c r="B229">
        <v>109824</v>
      </c>
      <c r="C229">
        <v>3</v>
      </c>
      <c r="D229" t="s">
        <v>557</v>
      </c>
      <c r="E229" t="s">
        <v>558</v>
      </c>
      <c r="F229">
        <v>611</v>
      </c>
      <c r="G229">
        <v>15.73</v>
      </c>
      <c r="H229">
        <v>52.03</v>
      </c>
      <c r="I229">
        <v>7.83</v>
      </c>
      <c r="J229">
        <v>25.89</v>
      </c>
      <c r="K229">
        <v>17</v>
      </c>
      <c r="T229">
        <v>1</v>
      </c>
      <c r="U229">
        <v>1</v>
      </c>
      <c r="V229" t="s">
        <v>233</v>
      </c>
      <c r="W229" t="s">
        <v>123</v>
      </c>
      <c r="X229">
        <v>18</v>
      </c>
      <c r="Y229">
        <v>2</v>
      </c>
      <c r="Z229" t="s">
        <v>559</v>
      </c>
      <c r="AA229" t="s">
        <v>560</v>
      </c>
      <c r="AB229" t="s">
        <v>229</v>
      </c>
      <c r="AC229" t="s">
        <v>230</v>
      </c>
      <c r="AD229" t="s">
        <v>231</v>
      </c>
      <c r="AE229" t="s">
        <v>470</v>
      </c>
      <c r="AG229" t="s">
        <v>561</v>
      </c>
      <c r="AH229">
        <v>0</v>
      </c>
      <c r="AI229">
        <v>888</v>
      </c>
      <c r="AJ229">
        <v>67</v>
      </c>
      <c r="AK229">
        <v>427</v>
      </c>
      <c r="AL229">
        <v>0.7</v>
      </c>
    </row>
    <row r="230" spans="1:38" x14ac:dyDescent="0.3">
      <c r="A230" t="s">
        <v>465</v>
      </c>
      <c r="B230">
        <v>109824</v>
      </c>
      <c r="C230">
        <v>4</v>
      </c>
      <c r="D230" t="s">
        <v>557</v>
      </c>
      <c r="E230" t="s">
        <v>558</v>
      </c>
      <c r="F230">
        <v>611</v>
      </c>
      <c r="G230">
        <v>25.54</v>
      </c>
      <c r="H230">
        <v>84.45</v>
      </c>
      <c r="I230">
        <v>12.67</v>
      </c>
      <c r="J230">
        <v>41.9</v>
      </c>
      <c r="K230">
        <v>32</v>
      </c>
      <c r="T230">
        <v>1</v>
      </c>
      <c r="U230">
        <v>1</v>
      </c>
      <c r="V230" t="s">
        <v>233</v>
      </c>
      <c r="W230" t="s">
        <v>124</v>
      </c>
      <c r="X230">
        <v>18</v>
      </c>
      <c r="Y230">
        <v>2</v>
      </c>
      <c r="Z230" t="s">
        <v>559</v>
      </c>
      <c r="AA230" t="s">
        <v>560</v>
      </c>
      <c r="AB230" t="s">
        <v>229</v>
      </c>
      <c r="AC230" t="s">
        <v>230</v>
      </c>
      <c r="AD230" t="s">
        <v>231</v>
      </c>
      <c r="AE230" t="s">
        <v>470</v>
      </c>
      <c r="AG230" t="s">
        <v>561</v>
      </c>
      <c r="AH230">
        <v>0</v>
      </c>
      <c r="AI230">
        <v>888</v>
      </c>
      <c r="AJ230">
        <v>67</v>
      </c>
      <c r="AK230">
        <v>427</v>
      </c>
      <c r="AL230">
        <v>0.7</v>
      </c>
    </row>
    <row r="231" spans="1:38" x14ac:dyDescent="0.3">
      <c r="A231" t="s">
        <v>465</v>
      </c>
      <c r="B231">
        <v>109824</v>
      </c>
      <c r="C231">
        <v>5</v>
      </c>
      <c r="D231" t="s">
        <v>557</v>
      </c>
      <c r="E231" t="s">
        <v>558</v>
      </c>
      <c r="F231">
        <v>611</v>
      </c>
      <c r="G231">
        <v>28.55</v>
      </c>
      <c r="H231">
        <v>94.39</v>
      </c>
      <c r="I231">
        <v>14.16</v>
      </c>
      <c r="J231">
        <v>46.83</v>
      </c>
      <c r="K231">
        <v>49</v>
      </c>
      <c r="T231">
        <v>2</v>
      </c>
      <c r="U231">
        <v>1</v>
      </c>
      <c r="V231" t="s">
        <v>233</v>
      </c>
      <c r="W231" t="s">
        <v>125</v>
      </c>
      <c r="X231">
        <v>18</v>
      </c>
      <c r="Y231">
        <v>2</v>
      </c>
      <c r="Z231" t="s">
        <v>559</v>
      </c>
      <c r="AA231" t="s">
        <v>560</v>
      </c>
      <c r="AB231" t="s">
        <v>229</v>
      </c>
      <c r="AC231" t="s">
        <v>230</v>
      </c>
      <c r="AD231" t="s">
        <v>231</v>
      </c>
      <c r="AE231" t="s">
        <v>470</v>
      </c>
      <c r="AG231" t="s">
        <v>561</v>
      </c>
      <c r="AH231">
        <v>0</v>
      </c>
      <c r="AI231">
        <v>888</v>
      </c>
      <c r="AJ231">
        <v>67</v>
      </c>
      <c r="AK231">
        <v>427</v>
      </c>
      <c r="AL231">
        <v>0.7</v>
      </c>
    </row>
    <row r="232" spans="1:38" x14ac:dyDescent="0.3">
      <c r="A232" t="s">
        <v>465</v>
      </c>
      <c r="B232">
        <v>109824</v>
      </c>
      <c r="C232">
        <v>6</v>
      </c>
      <c r="D232" t="s">
        <v>557</v>
      </c>
      <c r="E232" t="s">
        <v>558</v>
      </c>
      <c r="F232">
        <v>611</v>
      </c>
      <c r="G232">
        <v>28.65</v>
      </c>
      <c r="H232">
        <v>94.73</v>
      </c>
      <c r="I232">
        <v>14.21</v>
      </c>
      <c r="J232">
        <v>47</v>
      </c>
      <c r="K232">
        <v>2</v>
      </c>
      <c r="T232">
        <v>1</v>
      </c>
      <c r="U232">
        <v>1</v>
      </c>
      <c r="V232" t="s">
        <v>233</v>
      </c>
      <c r="W232" t="s">
        <v>126</v>
      </c>
      <c r="X232">
        <v>18</v>
      </c>
      <c r="Y232">
        <v>2</v>
      </c>
      <c r="Z232" t="s">
        <v>559</v>
      </c>
      <c r="AA232" t="s">
        <v>560</v>
      </c>
      <c r="AB232" t="s">
        <v>229</v>
      </c>
      <c r="AC232" t="s">
        <v>230</v>
      </c>
      <c r="AD232" t="s">
        <v>231</v>
      </c>
      <c r="AE232" t="s">
        <v>470</v>
      </c>
      <c r="AG232" t="s">
        <v>561</v>
      </c>
      <c r="AH232">
        <v>0</v>
      </c>
      <c r="AI232">
        <v>888</v>
      </c>
      <c r="AJ232">
        <v>67</v>
      </c>
      <c r="AK232">
        <v>427</v>
      </c>
      <c r="AL232">
        <v>0.7</v>
      </c>
    </row>
    <row r="233" spans="1:38" x14ac:dyDescent="0.3">
      <c r="A233" t="s">
        <v>465</v>
      </c>
      <c r="B233">
        <v>109824</v>
      </c>
      <c r="C233">
        <v>7</v>
      </c>
      <c r="D233" t="s">
        <v>557</v>
      </c>
      <c r="E233" t="s">
        <v>558</v>
      </c>
      <c r="F233">
        <v>611</v>
      </c>
      <c r="G233">
        <v>30.56</v>
      </c>
      <c r="H233">
        <v>101.04</v>
      </c>
      <c r="I233">
        <v>15.16</v>
      </c>
      <c r="J233">
        <v>50.13</v>
      </c>
      <c r="K233">
        <v>2</v>
      </c>
      <c r="T233">
        <v>2</v>
      </c>
      <c r="U233">
        <v>1</v>
      </c>
      <c r="V233" t="s">
        <v>233</v>
      </c>
      <c r="W233" t="s">
        <v>127</v>
      </c>
      <c r="X233">
        <v>18</v>
      </c>
      <c r="Y233">
        <v>2</v>
      </c>
      <c r="Z233" t="s">
        <v>559</v>
      </c>
      <c r="AA233" t="s">
        <v>560</v>
      </c>
      <c r="AB233" t="s">
        <v>229</v>
      </c>
      <c r="AC233" t="s">
        <v>230</v>
      </c>
      <c r="AD233" t="s">
        <v>231</v>
      </c>
      <c r="AE233" t="s">
        <v>470</v>
      </c>
      <c r="AG233" t="s">
        <v>561</v>
      </c>
      <c r="AH233">
        <v>0</v>
      </c>
      <c r="AI233">
        <v>888</v>
      </c>
      <c r="AJ233">
        <v>67</v>
      </c>
      <c r="AK233">
        <v>427</v>
      </c>
      <c r="AL233">
        <v>0.7</v>
      </c>
    </row>
    <row r="234" spans="1:38" x14ac:dyDescent="0.3">
      <c r="A234" t="s">
        <v>465</v>
      </c>
      <c r="B234">
        <v>113953</v>
      </c>
      <c r="C234">
        <v>1</v>
      </c>
      <c r="D234" t="s">
        <v>562</v>
      </c>
      <c r="E234" t="s">
        <v>563</v>
      </c>
      <c r="F234">
        <v>216</v>
      </c>
      <c r="G234">
        <v>9.36</v>
      </c>
      <c r="H234">
        <v>30.96</v>
      </c>
      <c r="I234">
        <v>6.69</v>
      </c>
      <c r="J234">
        <v>22.14</v>
      </c>
      <c r="K234">
        <v>24</v>
      </c>
      <c r="T234">
        <v>1</v>
      </c>
      <c r="U234">
        <v>1</v>
      </c>
      <c r="V234" t="s">
        <v>226</v>
      </c>
      <c r="W234" t="s">
        <v>564</v>
      </c>
      <c r="X234">
        <v>26</v>
      </c>
      <c r="Y234">
        <v>26</v>
      </c>
      <c r="Z234" t="s">
        <v>565</v>
      </c>
      <c r="AA234" t="s">
        <v>566</v>
      </c>
      <c r="AB234" t="s">
        <v>229</v>
      </c>
      <c r="AC234" t="s">
        <v>230</v>
      </c>
      <c r="AD234" t="s">
        <v>231</v>
      </c>
      <c r="AE234" t="s">
        <v>470</v>
      </c>
      <c r="AG234" t="s">
        <v>567</v>
      </c>
      <c r="AH234">
        <v>0</v>
      </c>
      <c r="AI234">
        <v>862</v>
      </c>
      <c r="AJ234">
        <v>59</v>
      </c>
      <c r="AK234">
        <v>152</v>
      </c>
      <c r="AL234">
        <v>0.7</v>
      </c>
    </row>
    <row r="235" spans="1:38" x14ac:dyDescent="0.3">
      <c r="A235" t="s">
        <v>465</v>
      </c>
      <c r="B235">
        <v>113953</v>
      </c>
      <c r="C235">
        <v>2</v>
      </c>
      <c r="D235" t="s">
        <v>562</v>
      </c>
      <c r="E235" t="s">
        <v>563</v>
      </c>
      <c r="F235">
        <v>216</v>
      </c>
      <c r="G235">
        <v>9.49</v>
      </c>
      <c r="H235">
        <v>31.4</v>
      </c>
      <c r="I235">
        <v>6.79</v>
      </c>
      <c r="J235">
        <v>22.46</v>
      </c>
      <c r="K235">
        <v>120</v>
      </c>
      <c r="T235">
        <v>1</v>
      </c>
      <c r="U235">
        <v>1</v>
      </c>
      <c r="V235" t="s">
        <v>226</v>
      </c>
      <c r="W235" t="s">
        <v>568</v>
      </c>
      <c r="X235">
        <v>26</v>
      </c>
      <c r="Y235">
        <v>26</v>
      </c>
      <c r="Z235" t="s">
        <v>565</v>
      </c>
      <c r="AA235" t="s">
        <v>566</v>
      </c>
      <c r="AB235" t="s">
        <v>229</v>
      </c>
      <c r="AC235" t="s">
        <v>230</v>
      </c>
      <c r="AD235" t="s">
        <v>231</v>
      </c>
      <c r="AE235" t="s">
        <v>470</v>
      </c>
      <c r="AG235" t="s">
        <v>567</v>
      </c>
      <c r="AH235">
        <v>0</v>
      </c>
      <c r="AI235">
        <v>862</v>
      </c>
      <c r="AJ235">
        <v>59</v>
      </c>
      <c r="AK235">
        <v>152</v>
      </c>
      <c r="AL235">
        <v>0.7</v>
      </c>
    </row>
    <row r="236" spans="1:38" x14ac:dyDescent="0.3">
      <c r="A236" t="s">
        <v>465</v>
      </c>
      <c r="B236">
        <v>113953</v>
      </c>
      <c r="C236">
        <v>3</v>
      </c>
      <c r="D236" t="s">
        <v>562</v>
      </c>
      <c r="E236" t="s">
        <v>563</v>
      </c>
      <c r="F236">
        <v>216</v>
      </c>
      <c r="G236">
        <v>10.41</v>
      </c>
      <c r="H236">
        <v>34.44</v>
      </c>
      <c r="I236">
        <v>7.45</v>
      </c>
      <c r="J236">
        <v>24.64</v>
      </c>
      <c r="K236">
        <v>24</v>
      </c>
      <c r="T236">
        <v>1</v>
      </c>
      <c r="U236">
        <v>1</v>
      </c>
      <c r="V236" t="s">
        <v>226</v>
      </c>
      <c r="W236" t="s">
        <v>374</v>
      </c>
      <c r="X236">
        <v>26</v>
      </c>
      <c r="Y236">
        <v>26</v>
      </c>
      <c r="Z236" t="s">
        <v>565</v>
      </c>
      <c r="AA236" t="s">
        <v>566</v>
      </c>
      <c r="AB236" t="s">
        <v>229</v>
      </c>
      <c r="AC236" t="s">
        <v>230</v>
      </c>
      <c r="AD236" t="s">
        <v>231</v>
      </c>
      <c r="AE236" t="s">
        <v>470</v>
      </c>
      <c r="AG236" t="s">
        <v>567</v>
      </c>
      <c r="AH236">
        <v>0</v>
      </c>
      <c r="AI236">
        <v>862</v>
      </c>
      <c r="AJ236">
        <v>59</v>
      </c>
      <c r="AK236">
        <v>152</v>
      </c>
      <c r="AL236">
        <v>0.7</v>
      </c>
    </row>
    <row r="237" spans="1:38" x14ac:dyDescent="0.3">
      <c r="A237" t="s">
        <v>465</v>
      </c>
      <c r="B237">
        <v>113953</v>
      </c>
      <c r="C237">
        <v>4</v>
      </c>
      <c r="D237" t="s">
        <v>562</v>
      </c>
      <c r="E237" t="s">
        <v>563</v>
      </c>
      <c r="F237">
        <v>216</v>
      </c>
      <c r="G237">
        <v>12.2</v>
      </c>
      <c r="H237">
        <v>40.36</v>
      </c>
      <c r="I237">
        <v>8.73</v>
      </c>
      <c r="J237">
        <v>28.86</v>
      </c>
      <c r="K237">
        <v>24</v>
      </c>
      <c r="T237">
        <v>1</v>
      </c>
      <c r="U237">
        <v>1</v>
      </c>
      <c r="V237" t="s">
        <v>226</v>
      </c>
      <c r="W237" t="s">
        <v>569</v>
      </c>
      <c r="X237">
        <v>26</v>
      </c>
      <c r="Y237">
        <v>26</v>
      </c>
      <c r="Z237" t="s">
        <v>565</v>
      </c>
      <c r="AA237" t="s">
        <v>566</v>
      </c>
      <c r="AB237" t="s">
        <v>229</v>
      </c>
      <c r="AC237" t="s">
        <v>230</v>
      </c>
      <c r="AD237" t="s">
        <v>231</v>
      </c>
      <c r="AE237" t="s">
        <v>470</v>
      </c>
      <c r="AG237" t="s">
        <v>567</v>
      </c>
      <c r="AH237">
        <v>0</v>
      </c>
      <c r="AI237">
        <v>862</v>
      </c>
      <c r="AJ237">
        <v>59</v>
      </c>
      <c r="AK237">
        <v>152</v>
      </c>
      <c r="AL237">
        <v>0.7</v>
      </c>
    </row>
    <row r="238" spans="1:38" x14ac:dyDescent="0.3">
      <c r="A238" t="s">
        <v>465</v>
      </c>
      <c r="B238">
        <v>113953</v>
      </c>
      <c r="C238">
        <v>5</v>
      </c>
      <c r="D238" t="s">
        <v>562</v>
      </c>
      <c r="E238" t="s">
        <v>563</v>
      </c>
      <c r="F238">
        <v>216</v>
      </c>
      <c r="G238">
        <v>12.66</v>
      </c>
      <c r="H238">
        <v>41.88</v>
      </c>
      <c r="I238">
        <v>9.0500000000000007</v>
      </c>
      <c r="J238">
        <v>29.95</v>
      </c>
      <c r="K238">
        <v>24</v>
      </c>
      <c r="T238">
        <v>1</v>
      </c>
      <c r="U238">
        <v>1</v>
      </c>
      <c r="V238" t="s">
        <v>226</v>
      </c>
      <c r="W238" t="s">
        <v>570</v>
      </c>
      <c r="X238">
        <v>26</v>
      </c>
      <c r="Y238">
        <v>26</v>
      </c>
      <c r="Z238" t="s">
        <v>565</v>
      </c>
      <c r="AA238" t="s">
        <v>566</v>
      </c>
      <c r="AB238" t="s">
        <v>229</v>
      </c>
      <c r="AC238" t="s">
        <v>230</v>
      </c>
      <c r="AD238" t="s">
        <v>231</v>
      </c>
      <c r="AE238" t="s">
        <v>470</v>
      </c>
      <c r="AG238" t="s">
        <v>567</v>
      </c>
      <c r="AH238">
        <v>0</v>
      </c>
      <c r="AI238">
        <v>862</v>
      </c>
      <c r="AJ238">
        <v>59</v>
      </c>
      <c r="AK238">
        <v>152</v>
      </c>
      <c r="AL238">
        <v>0.7</v>
      </c>
    </row>
    <row r="239" spans="1:38" x14ac:dyDescent="0.3">
      <c r="A239" t="s">
        <v>465</v>
      </c>
      <c r="B239">
        <v>112790</v>
      </c>
      <c r="C239">
        <v>1</v>
      </c>
      <c r="D239" t="s">
        <v>571</v>
      </c>
      <c r="E239" t="s">
        <v>529</v>
      </c>
      <c r="F239">
        <v>34</v>
      </c>
      <c r="G239">
        <v>8.8800000000000008</v>
      </c>
      <c r="H239">
        <v>29.38</v>
      </c>
      <c r="I239">
        <v>5.19</v>
      </c>
      <c r="J239">
        <v>17.190000000000001</v>
      </c>
      <c r="K239">
        <v>1</v>
      </c>
      <c r="T239">
        <v>1</v>
      </c>
      <c r="U239">
        <v>1</v>
      </c>
      <c r="V239" t="s">
        <v>226</v>
      </c>
      <c r="W239">
        <v>29</v>
      </c>
      <c r="X239">
        <v>14</v>
      </c>
      <c r="Y239">
        <v>14</v>
      </c>
      <c r="Z239" t="s">
        <v>572</v>
      </c>
      <c r="AA239" t="s">
        <v>531</v>
      </c>
      <c r="AB239" t="s">
        <v>229</v>
      </c>
      <c r="AC239" t="s">
        <v>230</v>
      </c>
      <c r="AD239" t="s">
        <v>231</v>
      </c>
      <c r="AE239" t="s">
        <v>470</v>
      </c>
      <c r="AG239" t="s">
        <v>532</v>
      </c>
      <c r="AH239">
        <v>0</v>
      </c>
      <c r="AI239">
        <v>719</v>
      </c>
      <c r="AJ239">
        <v>69</v>
      </c>
      <c r="AK239">
        <v>17</v>
      </c>
      <c r="AL239">
        <v>0.5</v>
      </c>
    </row>
    <row r="240" spans="1:38" x14ac:dyDescent="0.3">
      <c r="A240" t="s">
        <v>465</v>
      </c>
      <c r="B240">
        <v>112790</v>
      </c>
      <c r="C240">
        <v>2</v>
      </c>
      <c r="D240" t="s">
        <v>571</v>
      </c>
      <c r="E240" t="s">
        <v>529</v>
      </c>
      <c r="F240">
        <v>34</v>
      </c>
      <c r="G240">
        <v>9.5299999999999994</v>
      </c>
      <c r="H240">
        <v>31.53</v>
      </c>
      <c r="I240">
        <v>5.58</v>
      </c>
      <c r="J240">
        <v>18.45</v>
      </c>
      <c r="K240">
        <v>1</v>
      </c>
      <c r="T240">
        <v>1</v>
      </c>
      <c r="U240">
        <v>1</v>
      </c>
      <c r="V240" t="s">
        <v>226</v>
      </c>
      <c r="W240" t="s">
        <v>369</v>
      </c>
      <c r="X240">
        <v>14</v>
      </c>
      <c r="Y240">
        <v>14</v>
      </c>
      <c r="Z240" t="s">
        <v>572</v>
      </c>
      <c r="AA240" t="s">
        <v>531</v>
      </c>
      <c r="AB240" t="s">
        <v>229</v>
      </c>
      <c r="AC240" t="s">
        <v>230</v>
      </c>
      <c r="AD240" t="s">
        <v>231</v>
      </c>
      <c r="AE240" t="s">
        <v>470</v>
      </c>
      <c r="AG240" t="s">
        <v>532</v>
      </c>
      <c r="AH240">
        <v>0</v>
      </c>
      <c r="AI240">
        <v>719</v>
      </c>
      <c r="AJ240">
        <v>69</v>
      </c>
      <c r="AK240">
        <v>17</v>
      </c>
      <c r="AL240">
        <v>0.5</v>
      </c>
    </row>
    <row r="241" spans="1:38" x14ac:dyDescent="0.3">
      <c r="A241" t="s">
        <v>465</v>
      </c>
      <c r="B241">
        <v>112790</v>
      </c>
      <c r="C241">
        <v>3</v>
      </c>
      <c r="D241" t="s">
        <v>571</v>
      </c>
      <c r="E241" t="s">
        <v>529</v>
      </c>
      <c r="F241">
        <v>34</v>
      </c>
      <c r="G241">
        <v>9.74</v>
      </c>
      <c r="H241">
        <v>32.229999999999997</v>
      </c>
      <c r="I241">
        <v>5.7</v>
      </c>
      <c r="J241">
        <v>18.86</v>
      </c>
      <c r="K241">
        <v>1</v>
      </c>
      <c r="T241">
        <v>1</v>
      </c>
      <c r="U241">
        <v>1</v>
      </c>
      <c r="V241" t="s">
        <v>226</v>
      </c>
      <c r="W241" t="s">
        <v>373</v>
      </c>
      <c r="X241">
        <v>14</v>
      </c>
      <c r="Y241">
        <v>14</v>
      </c>
      <c r="Z241" t="s">
        <v>572</v>
      </c>
      <c r="AA241" t="s">
        <v>531</v>
      </c>
      <c r="AB241" t="s">
        <v>229</v>
      </c>
      <c r="AC241" t="s">
        <v>230</v>
      </c>
      <c r="AD241" t="s">
        <v>231</v>
      </c>
      <c r="AE241" t="s">
        <v>470</v>
      </c>
      <c r="AG241" t="s">
        <v>532</v>
      </c>
      <c r="AH241">
        <v>0</v>
      </c>
      <c r="AI241">
        <v>719</v>
      </c>
      <c r="AJ241">
        <v>69</v>
      </c>
      <c r="AK241">
        <v>17</v>
      </c>
      <c r="AL241">
        <v>0.5</v>
      </c>
    </row>
    <row r="242" spans="1:38" x14ac:dyDescent="0.3">
      <c r="A242" t="s">
        <v>465</v>
      </c>
      <c r="B242">
        <v>112790</v>
      </c>
      <c r="C242">
        <v>4</v>
      </c>
      <c r="D242" t="s">
        <v>571</v>
      </c>
      <c r="E242" t="s">
        <v>529</v>
      </c>
      <c r="F242">
        <v>34</v>
      </c>
      <c r="G242">
        <v>11.49</v>
      </c>
      <c r="H242">
        <v>37.99</v>
      </c>
      <c r="I242">
        <v>6.72</v>
      </c>
      <c r="J242">
        <v>22.23</v>
      </c>
      <c r="K242">
        <v>2</v>
      </c>
      <c r="T242">
        <v>1</v>
      </c>
      <c r="U242">
        <v>1</v>
      </c>
      <c r="V242" t="s">
        <v>226</v>
      </c>
      <c r="W242" t="s">
        <v>573</v>
      </c>
      <c r="X242">
        <v>14</v>
      </c>
      <c r="Y242">
        <v>14</v>
      </c>
      <c r="Z242" t="s">
        <v>572</v>
      </c>
      <c r="AA242" t="s">
        <v>531</v>
      </c>
      <c r="AB242" t="s">
        <v>229</v>
      </c>
      <c r="AC242" t="s">
        <v>230</v>
      </c>
      <c r="AD242" t="s">
        <v>231</v>
      </c>
      <c r="AE242" t="s">
        <v>470</v>
      </c>
      <c r="AG242" t="s">
        <v>532</v>
      </c>
      <c r="AH242">
        <v>0</v>
      </c>
      <c r="AI242">
        <v>719</v>
      </c>
      <c r="AJ242">
        <v>69</v>
      </c>
      <c r="AK242">
        <v>17</v>
      </c>
      <c r="AL242">
        <v>0.5</v>
      </c>
    </row>
    <row r="243" spans="1:38" x14ac:dyDescent="0.3">
      <c r="A243" t="s">
        <v>465</v>
      </c>
      <c r="B243">
        <v>112790</v>
      </c>
      <c r="C243">
        <v>5</v>
      </c>
      <c r="D243" t="s">
        <v>571</v>
      </c>
      <c r="E243" t="s">
        <v>529</v>
      </c>
      <c r="F243">
        <v>34</v>
      </c>
      <c r="G243">
        <v>11.64</v>
      </c>
      <c r="H243">
        <v>38.5</v>
      </c>
      <c r="I243">
        <v>6.81</v>
      </c>
      <c r="J243">
        <v>22.53</v>
      </c>
      <c r="K243">
        <v>1</v>
      </c>
      <c r="T243">
        <v>1</v>
      </c>
      <c r="U243">
        <v>1</v>
      </c>
      <c r="V243" t="s">
        <v>226</v>
      </c>
      <c r="W243" t="s">
        <v>310</v>
      </c>
      <c r="X243">
        <v>14</v>
      </c>
      <c r="Y243">
        <v>14</v>
      </c>
      <c r="Z243" t="s">
        <v>572</v>
      </c>
      <c r="AA243" t="s">
        <v>531</v>
      </c>
      <c r="AB243" t="s">
        <v>229</v>
      </c>
      <c r="AC243" t="s">
        <v>230</v>
      </c>
      <c r="AD243" t="s">
        <v>231</v>
      </c>
      <c r="AE243" t="s">
        <v>470</v>
      </c>
      <c r="AG243" t="s">
        <v>532</v>
      </c>
      <c r="AH243">
        <v>0</v>
      </c>
      <c r="AI243">
        <v>719</v>
      </c>
      <c r="AJ243">
        <v>69</v>
      </c>
      <c r="AK243">
        <v>17</v>
      </c>
      <c r="AL243">
        <v>0.5</v>
      </c>
    </row>
    <row r="244" spans="1:38" x14ac:dyDescent="0.3">
      <c r="A244" t="s">
        <v>465</v>
      </c>
      <c r="B244">
        <v>112790</v>
      </c>
      <c r="C244">
        <v>6</v>
      </c>
      <c r="D244" t="s">
        <v>571</v>
      </c>
      <c r="E244" t="s">
        <v>529</v>
      </c>
      <c r="F244">
        <v>34</v>
      </c>
      <c r="G244">
        <v>11</v>
      </c>
      <c r="H244">
        <v>36.369999999999997</v>
      </c>
      <c r="I244">
        <v>6.88</v>
      </c>
      <c r="J244">
        <v>22.76</v>
      </c>
      <c r="K244">
        <v>1</v>
      </c>
      <c r="T244">
        <v>1</v>
      </c>
      <c r="U244">
        <v>1</v>
      </c>
      <c r="V244" t="s">
        <v>226</v>
      </c>
      <c r="W244">
        <v>36</v>
      </c>
      <c r="X244">
        <v>14</v>
      </c>
      <c r="Y244">
        <v>14</v>
      </c>
      <c r="Z244" t="s">
        <v>572</v>
      </c>
      <c r="AA244" t="s">
        <v>531</v>
      </c>
      <c r="AB244" t="s">
        <v>229</v>
      </c>
      <c r="AC244" t="s">
        <v>230</v>
      </c>
      <c r="AD244" t="s">
        <v>231</v>
      </c>
      <c r="AE244" t="s">
        <v>470</v>
      </c>
      <c r="AG244" t="s">
        <v>532</v>
      </c>
      <c r="AH244">
        <v>0</v>
      </c>
      <c r="AI244">
        <v>719</v>
      </c>
      <c r="AJ244">
        <v>69</v>
      </c>
      <c r="AK244">
        <v>17</v>
      </c>
      <c r="AL244">
        <v>0.5</v>
      </c>
    </row>
    <row r="245" spans="1:38" x14ac:dyDescent="0.3">
      <c r="A245" t="s">
        <v>465</v>
      </c>
      <c r="B245">
        <v>112790</v>
      </c>
      <c r="C245">
        <v>7</v>
      </c>
      <c r="D245" t="s">
        <v>571</v>
      </c>
      <c r="E245" t="s">
        <v>529</v>
      </c>
      <c r="F245">
        <v>34</v>
      </c>
      <c r="G245">
        <v>14.89</v>
      </c>
      <c r="H245">
        <v>49.24</v>
      </c>
      <c r="I245">
        <v>8.7100000000000009</v>
      </c>
      <c r="J245">
        <v>28.81</v>
      </c>
      <c r="K245">
        <v>9</v>
      </c>
      <c r="T245">
        <v>1</v>
      </c>
      <c r="U245">
        <v>1</v>
      </c>
      <c r="V245" t="s">
        <v>226</v>
      </c>
      <c r="W245">
        <v>49</v>
      </c>
      <c r="X245">
        <v>14</v>
      </c>
      <c r="Y245">
        <v>14</v>
      </c>
      <c r="Z245" t="s">
        <v>572</v>
      </c>
      <c r="AA245" t="s">
        <v>531</v>
      </c>
      <c r="AB245" t="s">
        <v>229</v>
      </c>
      <c r="AC245" t="s">
        <v>230</v>
      </c>
      <c r="AD245" t="s">
        <v>231</v>
      </c>
      <c r="AE245" t="s">
        <v>470</v>
      </c>
      <c r="AG245" t="s">
        <v>532</v>
      </c>
      <c r="AH245">
        <v>0</v>
      </c>
      <c r="AI245">
        <v>719</v>
      </c>
      <c r="AJ245">
        <v>69</v>
      </c>
      <c r="AK245">
        <v>17</v>
      </c>
      <c r="AL245">
        <v>0.5</v>
      </c>
    </row>
    <row r="246" spans="1:38" x14ac:dyDescent="0.3">
      <c r="A246" t="s">
        <v>465</v>
      </c>
      <c r="B246">
        <v>112790</v>
      </c>
      <c r="C246">
        <v>8</v>
      </c>
      <c r="D246" t="s">
        <v>571</v>
      </c>
      <c r="E246" t="s">
        <v>529</v>
      </c>
      <c r="F246">
        <v>34</v>
      </c>
      <c r="G246">
        <v>15.2</v>
      </c>
      <c r="H246">
        <v>50.25</v>
      </c>
      <c r="I246">
        <v>8.89</v>
      </c>
      <c r="J246">
        <v>29.4</v>
      </c>
      <c r="K246">
        <v>1</v>
      </c>
      <c r="T246">
        <v>1</v>
      </c>
      <c r="U246">
        <v>1</v>
      </c>
      <c r="V246" t="s">
        <v>226</v>
      </c>
      <c r="W246">
        <v>50</v>
      </c>
      <c r="X246">
        <v>14</v>
      </c>
      <c r="Y246">
        <v>14</v>
      </c>
      <c r="Z246" t="s">
        <v>572</v>
      </c>
      <c r="AA246" t="s">
        <v>531</v>
      </c>
      <c r="AB246" t="s">
        <v>229</v>
      </c>
      <c r="AC246" t="s">
        <v>230</v>
      </c>
      <c r="AD246" t="s">
        <v>231</v>
      </c>
      <c r="AE246" t="s">
        <v>470</v>
      </c>
      <c r="AG246" t="s">
        <v>532</v>
      </c>
      <c r="AH246">
        <v>0</v>
      </c>
      <c r="AI246">
        <v>719</v>
      </c>
      <c r="AJ246">
        <v>69</v>
      </c>
      <c r="AK246">
        <v>17</v>
      </c>
      <c r="AL246">
        <v>0.5</v>
      </c>
    </row>
    <row r="247" spans="1:38" x14ac:dyDescent="0.3">
      <c r="A247" t="s">
        <v>465</v>
      </c>
      <c r="B247">
        <v>112790</v>
      </c>
      <c r="C247">
        <v>9</v>
      </c>
      <c r="D247" t="s">
        <v>571</v>
      </c>
      <c r="E247" t="s">
        <v>529</v>
      </c>
      <c r="F247">
        <v>34</v>
      </c>
      <c r="G247">
        <v>17.18</v>
      </c>
      <c r="H247">
        <v>56.81</v>
      </c>
      <c r="I247">
        <v>10.050000000000001</v>
      </c>
      <c r="J247">
        <v>33.24</v>
      </c>
      <c r="K247">
        <v>9</v>
      </c>
      <c r="T247">
        <v>1</v>
      </c>
      <c r="U247">
        <v>1</v>
      </c>
      <c r="V247" t="s">
        <v>226</v>
      </c>
      <c r="W247">
        <v>56</v>
      </c>
      <c r="X247">
        <v>14</v>
      </c>
      <c r="Y247">
        <v>14</v>
      </c>
      <c r="Z247" t="s">
        <v>572</v>
      </c>
      <c r="AA247" t="s">
        <v>531</v>
      </c>
      <c r="AB247" t="s">
        <v>229</v>
      </c>
      <c r="AC247" t="s">
        <v>230</v>
      </c>
      <c r="AD247" t="s">
        <v>231</v>
      </c>
      <c r="AE247" t="s">
        <v>470</v>
      </c>
      <c r="AG247" t="s">
        <v>532</v>
      </c>
      <c r="AH247">
        <v>0</v>
      </c>
      <c r="AI247">
        <v>719</v>
      </c>
      <c r="AJ247">
        <v>69</v>
      </c>
      <c r="AK247">
        <v>17</v>
      </c>
      <c r="AL247">
        <v>0.5</v>
      </c>
    </row>
    <row r="248" spans="1:38" x14ac:dyDescent="0.3">
      <c r="A248" t="s">
        <v>465</v>
      </c>
      <c r="B248">
        <v>112790</v>
      </c>
      <c r="C248">
        <v>10</v>
      </c>
      <c r="D248" t="s">
        <v>571</v>
      </c>
      <c r="E248" t="s">
        <v>529</v>
      </c>
      <c r="F248">
        <v>34</v>
      </c>
      <c r="G248">
        <v>22.98</v>
      </c>
      <c r="H248">
        <v>75.989999999999995</v>
      </c>
      <c r="I248">
        <v>13.44</v>
      </c>
      <c r="J248">
        <v>44.46</v>
      </c>
      <c r="K248">
        <v>8</v>
      </c>
      <c r="T248">
        <v>1</v>
      </c>
      <c r="U248">
        <v>1</v>
      </c>
      <c r="V248" t="s">
        <v>226</v>
      </c>
      <c r="W248">
        <v>75</v>
      </c>
      <c r="X248">
        <v>14</v>
      </c>
      <c r="Y248">
        <v>14</v>
      </c>
      <c r="Z248" t="s">
        <v>572</v>
      </c>
      <c r="AA248" t="s">
        <v>531</v>
      </c>
      <c r="AB248" t="s">
        <v>229</v>
      </c>
      <c r="AC248" t="s">
        <v>230</v>
      </c>
      <c r="AD248" t="s">
        <v>231</v>
      </c>
      <c r="AE248" t="s">
        <v>470</v>
      </c>
      <c r="AG248" t="s">
        <v>532</v>
      </c>
      <c r="AH248">
        <v>0</v>
      </c>
      <c r="AI248">
        <v>719</v>
      </c>
      <c r="AJ248">
        <v>69</v>
      </c>
      <c r="AK248">
        <v>17</v>
      </c>
      <c r="AL248">
        <v>0.5</v>
      </c>
    </row>
    <row r="249" spans="1:38" x14ac:dyDescent="0.3">
      <c r="A249" t="s">
        <v>465</v>
      </c>
      <c r="B249">
        <v>13426</v>
      </c>
      <c r="C249">
        <v>1</v>
      </c>
      <c r="D249" t="s">
        <v>574</v>
      </c>
      <c r="E249" t="s">
        <v>575</v>
      </c>
      <c r="F249">
        <v>132</v>
      </c>
      <c r="G249">
        <v>17.579999999999998</v>
      </c>
      <c r="H249">
        <v>58.14</v>
      </c>
      <c r="I249">
        <v>16.66</v>
      </c>
      <c r="J249">
        <v>55.08</v>
      </c>
      <c r="K249">
        <v>131</v>
      </c>
      <c r="T249">
        <v>2</v>
      </c>
      <c r="U249">
        <v>1</v>
      </c>
      <c r="V249" t="s">
        <v>226</v>
      </c>
      <c r="W249">
        <v>58</v>
      </c>
      <c r="X249">
        <v>8</v>
      </c>
      <c r="Y249">
        <v>7</v>
      </c>
      <c r="Z249" t="s">
        <v>576</v>
      </c>
      <c r="AA249" t="s">
        <v>577</v>
      </c>
      <c r="AB249" t="s">
        <v>229</v>
      </c>
      <c r="AC249" t="s">
        <v>230</v>
      </c>
      <c r="AD249" t="s">
        <v>231</v>
      </c>
      <c r="AE249" t="s">
        <v>470</v>
      </c>
      <c r="AG249" t="s">
        <v>578</v>
      </c>
      <c r="AH249">
        <v>0</v>
      </c>
      <c r="AI249">
        <v>0</v>
      </c>
      <c r="AJ249">
        <v>0</v>
      </c>
      <c r="AK249">
        <v>22</v>
      </c>
      <c r="AL249">
        <v>0.17</v>
      </c>
    </row>
    <row r="250" spans="1:38" x14ac:dyDescent="0.3">
      <c r="A250" t="s">
        <v>465</v>
      </c>
      <c r="B250">
        <v>13426</v>
      </c>
      <c r="C250">
        <v>2</v>
      </c>
      <c r="D250" t="s">
        <v>574</v>
      </c>
      <c r="E250" t="s">
        <v>575</v>
      </c>
      <c r="F250">
        <v>132</v>
      </c>
      <c r="G250">
        <v>35.17</v>
      </c>
      <c r="H250">
        <v>116.28</v>
      </c>
      <c r="I250">
        <v>33.32</v>
      </c>
      <c r="J250">
        <v>110.16</v>
      </c>
      <c r="K250">
        <v>1</v>
      </c>
      <c r="T250">
        <v>4</v>
      </c>
      <c r="U250">
        <v>2</v>
      </c>
      <c r="V250" t="s">
        <v>226</v>
      </c>
      <c r="W250">
        <v>116</v>
      </c>
      <c r="X250">
        <v>8</v>
      </c>
      <c r="Y250">
        <v>7</v>
      </c>
      <c r="Z250" t="s">
        <v>576</v>
      </c>
      <c r="AA250" t="s">
        <v>577</v>
      </c>
      <c r="AB250" t="s">
        <v>229</v>
      </c>
      <c r="AC250" t="s">
        <v>230</v>
      </c>
      <c r="AD250" t="s">
        <v>231</v>
      </c>
      <c r="AE250" t="s">
        <v>470</v>
      </c>
      <c r="AG250" t="s">
        <v>578</v>
      </c>
      <c r="AH250">
        <v>0</v>
      </c>
      <c r="AI250">
        <v>0</v>
      </c>
      <c r="AJ250">
        <v>0</v>
      </c>
      <c r="AK250">
        <v>22</v>
      </c>
      <c r="AL250">
        <v>0.17</v>
      </c>
    </row>
    <row r="251" spans="1:38" x14ac:dyDescent="0.3">
      <c r="A251" t="s">
        <v>465</v>
      </c>
      <c r="B251">
        <v>117443</v>
      </c>
      <c r="C251">
        <v>1</v>
      </c>
      <c r="D251" t="s">
        <v>579</v>
      </c>
      <c r="E251" t="s">
        <v>546</v>
      </c>
      <c r="F251">
        <v>216</v>
      </c>
      <c r="G251">
        <v>16.920000000000002</v>
      </c>
      <c r="H251">
        <v>55.94</v>
      </c>
      <c r="I251">
        <v>7.08</v>
      </c>
      <c r="J251">
        <v>23.43</v>
      </c>
      <c r="K251">
        <v>180</v>
      </c>
      <c r="T251">
        <v>1</v>
      </c>
      <c r="U251">
        <v>1</v>
      </c>
      <c r="V251" t="s">
        <v>226</v>
      </c>
      <c r="W251" t="s">
        <v>128</v>
      </c>
      <c r="X251">
        <v>20</v>
      </c>
      <c r="Y251">
        <v>20</v>
      </c>
      <c r="Z251" t="s">
        <v>580</v>
      </c>
      <c r="AA251" t="s">
        <v>549</v>
      </c>
      <c r="AB251" t="s">
        <v>229</v>
      </c>
      <c r="AC251" t="s">
        <v>230</v>
      </c>
      <c r="AD251" t="s">
        <v>231</v>
      </c>
      <c r="AE251" t="s">
        <v>470</v>
      </c>
      <c r="AG251" t="s">
        <v>550</v>
      </c>
      <c r="AH251">
        <v>0</v>
      </c>
      <c r="AI251">
        <v>898</v>
      </c>
      <c r="AJ251">
        <v>69</v>
      </c>
      <c r="AK251">
        <v>152</v>
      </c>
      <c r="AL251">
        <v>0.7</v>
      </c>
    </row>
    <row r="252" spans="1:38" x14ac:dyDescent="0.3">
      <c r="A252" t="s">
        <v>465</v>
      </c>
      <c r="B252">
        <v>117443</v>
      </c>
      <c r="C252">
        <v>2</v>
      </c>
      <c r="D252" t="s">
        <v>579</v>
      </c>
      <c r="E252" t="s">
        <v>546</v>
      </c>
      <c r="F252">
        <v>216</v>
      </c>
      <c r="G252">
        <v>17.100000000000001</v>
      </c>
      <c r="H252">
        <v>56.55</v>
      </c>
      <c r="I252">
        <v>7.08</v>
      </c>
      <c r="J252">
        <v>23.43</v>
      </c>
      <c r="K252">
        <v>36</v>
      </c>
      <c r="T252">
        <v>1</v>
      </c>
      <c r="U252">
        <v>1</v>
      </c>
      <c r="V252" t="s">
        <v>226</v>
      </c>
      <c r="W252" t="s">
        <v>129</v>
      </c>
      <c r="X252">
        <v>20</v>
      </c>
      <c r="Y252">
        <v>20</v>
      </c>
      <c r="Z252" t="s">
        <v>580</v>
      </c>
      <c r="AA252" t="s">
        <v>549</v>
      </c>
      <c r="AB252" t="s">
        <v>229</v>
      </c>
      <c r="AC252" t="s">
        <v>230</v>
      </c>
      <c r="AD252" t="s">
        <v>231</v>
      </c>
      <c r="AE252" t="s">
        <v>470</v>
      </c>
      <c r="AG252" t="s">
        <v>550</v>
      </c>
      <c r="AH252">
        <v>0</v>
      </c>
      <c r="AI252">
        <v>898</v>
      </c>
      <c r="AJ252">
        <v>69</v>
      </c>
      <c r="AK252">
        <v>152</v>
      </c>
      <c r="AL252">
        <v>0.7</v>
      </c>
    </row>
    <row r="253" spans="1:38" x14ac:dyDescent="0.3">
      <c r="A253" t="s">
        <v>465</v>
      </c>
      <c r="B253">
        <v>13344</v>
      </c>
      <c r="C253">
        <v>1</v>
      </c>
      <c r="D253" t="s">
        <v>581</v>
      </c>
      <c r="E253" t="s">
        <v>582</v>
      </c>
      <c r="F253">
        <v>233</v>
      </c>
      <c r="G253">
        <v>10.46</v>
      </c>
      <c r="H253">
        <v>34.590000000000003</v>
      </c>
      <c r="I253">
        <v>6.84</v>
      </c>
      <c r="J253">
        <v>22.64</v>
      </c>
      <c r="K253">
        <v>233</v>
      </c>
      <c r="T253">
        <v>1</v>
      </c>
      <c r="U253">
        <v>1</v>
      </c>
      <c r="V253" t="s">
        <v>226</v>
      </c>
      <c r="W253">
        <v>34</v>
      </c>
      <c r="X253">
        <v>13</v>
      </c>
      <c r="Y253">
        <v>13</v>
      </c>
      <c r="Z253" t="s">
        <v>583</v>
      </c>
      <c r="AA253" t="s">
        <v>584</v>
      </c>
      <c r="AB253" t="s">
        <v>229</v>
      </c>
      <c r="AC253" t="s">
        <v>230</v>
      </c>
      <c r="AD253" t="s">
        <v>231</v>
      </c>
      <c r="AE253" t="s">
        <v>470</v>
      </c>
      <c r="AG253" t="s">
        <v>585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465</v>
      </c>
      <c r="B254">
        <v>111247</v>
      </c>
      <c r="C254">
        <v>1</v>
      </c>
      <c r="D254" t="s">
        <v>586</v>
      </c>
      <c r="E254" t="s">
        <v>476</v>
      </c>
      <c r="F254">
        <v>154</v>
      </c>
      <c r="G254">
        <v>22</v>
      </c>
      <c r="H254">
        <v>72.760000000000005</v>
      </c>
      <c r="I254">
        <v>14.9</v>
      </c>
      <c r="J254">
        <v>49.26</v>
      </c>
      <c r="K254">
        <v>42</v>
      </c>
      <c r="T254">
        <v>1</v>
      </c>
      <c r="U254">
        <v>1</v>
      </c>
      <c r="V254" t="s">
        <v>226</v>
      </c>
      <c r="W254" t="s">
        <v>587</v>
      </c>
      <c r="X254">
        <v>17</v>
      </c>
      <c r="Y254">
        <v>17</v>
      </c>
      <c r="Z254" t="s">
        <v>588</v>
      </c>
      <c r="AA254" t="s">
        <v>479</v>
      </c>
      <c r="AB254" t="s">
        <v>229</v>
      </c>
      <c r="AC254" t="s">
        <v>230</v>
      </c>
      <c r="AD254" t="s">
        <v>231</v>
      </c>
      <c r="AE254" t="s">
        <v>470</v>
      </c>
      <c r="AG254" t="s">
        <v>480</v>
      </c>
      <c r="AH254">
        <v>0</v>
      </c>
      <c r="AI254">
        <v>883</v>
      </c>
      <c r="AJ254">
        <v>69</v>
      </c>
      <c r="AK254">
        <v>112</v>
      </c>
      <c r="AL254">
        <v>0.73</v>
      </c>
    </row>
    <row r="255" spans="1:38" x14ac:dyDescent="0.3">
      <c r="A255" t="s">
        <v>465</v>
      </c>
      <c r="B255">
        <v>111247</v>
      </c>
      <c r="C255">
        <v>2</v>
      </c>
      <c r="D255" t="s">
        <v>586</v>
      </c>
      <c r="E255" t="s">
        <v>476</v>
      </c>
      <c r="F255">
        <v>154</v>
      </c>
      <c r="G255">
        <v>22.3</v>
      </c>
      <c r="H255">
        <v>73.75</v>
      </c>
      <c r="I255">
        <v>15.1</v>
      </c>
      <c r="J255">
        <v>49.93</v>
      </c>
      <c r="K255">
        <v>56</v>
      </c>
      <c r="T255">
        <v>1</v>
      </c>
      <c r="U255">
        <v>1</v>
      </c>
      <c r="V255" t="s">
        <v>226</v>
      </c>
      <c r="W255" t="s">
        <v>589</v>
      </c>
      <c r="X255">
        <v>17</v>
      </c>
      <c r="Y255">
        <v>17</v>
      </c>
      <c r="Z255" t="s">
        <v>588</v>
      </c>
      <c r="AA255" t="s">
        <v>479</v>
      </c>
      <c r="AB255" t="s">
        <v>229</v>
      </c>
      <c r="AC255" t="s">
        <v>230</v>
      </c>
      <c r="AD255" t="s">
        <v>231</v>
      </c>
      <c r="AE255" t="s">
        <v>470</v>
      </c>
      <c r="AG255" t="s">
        <v>480</v>
      </c>
      <c r="AH255">
        <v>0</v>
      </c>
      <c r="AI255">
        <v>883</v>
      </c>
      <c r="AJ255">
        <v>69</v>
      </c>
      <c r="AK255">
        <v>112</v>
      </c>
      <c r="AL255">
        <v>0.73</v>
      </c>
    </row>
    <row r="256" spans="1:38" x14ac:dyDescent="0.3">
      <c r="A256" t="s">
        <v>465</v>
      </c>
      <c r="B256">
        <v>111247</v>
      </c>
      <c r="C256">
        <v>3</v>
      </c>
      <c r="D256" t="s">
        <v>586</v>
      </c>
      <c r="E256" t="s">
        <v>476</v>
      </c>
      <c r="F256">
        <v>154</v>
      </c>
      <c r="G256">
        <v>22.22</v>
      </c>
      <c r="H256">
        <v>73.47</v>
      </c>
      <c r="I256">
        <v>15.04</v>
      </c>
      <c r="J256">
        <v>49.74</v>
      </c>
      <c r="K256">
        <v>28</v>
      </c>
      <c r="T256">
        <v>1</v>
      </c>
      <c r="U256">
        <v>1</v>
      </c>
      <c r="V256" t="s">
        <v>226</v>
      </c>
      <c r="W256" t="s">
        <v>590</v>
      </c>
      <c r="X256">
        <v>17</v>
      </c>
      <c r="Y256">
        <v>17</v>
      </c>
      <c r="Z256" t="s">
        <v>588</v>
      </c>
      <c r="AA256" t="s">
        <v>479</v>
      </c>
      <c r="AB256" t="s">
        <v>229</v>
      </c>
      <c r="AC256" t="s">
        <v>230</v>
      </c>
      <c r="AD256" t="s">
        <v>231</v>
      </c>
      <c r="AE256" t="s">
        <v>470</v>
      </c>
      <c r="AG256" t="s">
        <v>480</v>
      </c>
      <c r="AH256">
        <v>0</v>
      </c>
      <c r="AI256">
        <v>883</v>
      </c>
      <c r="AJ256">
        <v>69</v>
      </c>
      <c r="AK256">
        <v>112</v>
      </c>
      <c r="AL256">
        <v>0.73</v>
      </c>
    </row>
    <row r="257" spans="1:38" x14ac:dyDescent="0.3">
      <c r="A257" t="s">
        <v>465</v>
      </c>
      <c r="B257">
        <v>111247</v>
      </c>
      <c r="C257">
        <v>4</v>
      </c>
      <c r="D257" t="s">
        <v>586</v>
      </c>
      <c r="E257" t="s">
        <v>476</v>
      </c>
      <c r="F257">
        <v>154</v>
      </c>
      <c r="G257">
        <v>22.26</v>
      </c>
      <c r="H257">
        <v>73.59</v>
      </c>
      <c r="I257">
        <v>15.07</v>
      </c>
      <c r="J257">
        <v>49.82</v>
      </c>
      <c r="K257">
        <v>28</v>
      </c>
      <c r="T257">
        <v>1</v>
      </c>
      <c r="U257">
        <v>1</v>
      </c>
      <c r="V257" t="s">
        <v>226</v>
      </c>
      <c r="W257" t="s">
        <v>591</v>
      </c>
      <c r="X257">
        <v>17</v>
      </c>
      <c r="Y257">
        <v>17</v>
      </c>
      <c r="Z257" t="s">
        <v>588</v>
      </c>
      <c r="AA257" t="s">
        <v>479</v>
      </c>
      <c r="AB257" t="s">
        <v>229</v>
      </c>
      <c r="AC257" t="s">
        <v>230</v>
      </c>
      <c r="AD257" t="s">
        <v>231</v>
      </c>
      <c r="AE257" t="s">
        <v>470</v>
      </c>
      <c r="AG257" t="s">
        <v>480</v>
      </c>
      <c r="AH257">
        <v>0</v>
      </c>
      <c r="AI257">
        <v>883</v>
      </c>
      <c r="AJ257">
        <v>69</v>
      </c>
      <c r="AK257">
        <v>112</v>
      </c>
      <c r="AL257">
        <v>0.73</v>
      </c>
    </row>
    <row r="258" spans="1:38" x14ac:dyDescent="0.3">
      <c r="A258" t="s">
        <v>465</v>
      </c>
      <c r="B258">
        <v>111587</v>
      </c>
      <c r="C258">
        <v>1</v>
      </c>
      <c r="D258" t="s">
        <v>592</v>
      </c>
      <c r="E258" t="s">
        <v>593</v>
      </c>
      <c r="F258">
        <v>168</v>
      </c>
      <c r="G258">
        <v>7.44</v>
      </c>
      <c r="H258">
        <v>24.6</v>
      </c>
      <c r="I258">
        <v>5.68</v>
      </c>
      <c r="J258">
        <v>18.8</v>
      </c>
      <c r="K258">
        <v>48</v>
      </c>
      <c r="T258">
        <v>1</v>
      </c>
      <c r="U258">
        <v>1</v>
      </c>
      <c r="V258" t="s">
        <v>233</v>
      </c>
      <c r="W258">
        <v>24</v>
      </c>
      <c r="X258">
        <v>14</v>
      </c>
      <c r="Y258">
        <v>14</v>
      </c>
      <c r="Z258" t="s">
        <v>594</v>
      </c>
      <c r="AA258" t="s">
        <v>595</v>
      </c>
      <c r="AB258" t="s">
        <v>229</v>
      </c>
      <c r="AC258" t="s">
        <v>230</v>
      </c>
      <c r="AD258" t="s">
        <v>231</v>
      </c>
      <c r="AE258" t="s">
        <v>470</v>
      </c>
      <c r="AG258" t="s">
        <v>596</v>
      </c>
      <c r="AH258">
        <v>0</v>
      </c>
      <c r="AI258">
        <v>749</v>
      </c>
      <c r="AJ258">
        <v>69</v>
      </c>
      <c r="AK258">
        <v>58</v>
      </c>
      <c r="AL258">
        <v>0.35</v>
      </c>
    </row>
    <row r="259" spans="1:38" x14ac:dyDescent="0.3">
      <c r="A259" t="s">
        <v>465</v>
      </c>
      <c r="B259">
        <v>111587</v>
      </c>
      <c r="C259">
        <v>2</v>
      </c>
      <c r="D259" t="s">
        <v>592</v>
      </c>
      <c r="E259" t="s">
        <v>593</v>
      </c>
      <c r="F259">
        <v>168</v>
      </c>
      <c r="G259">
        <v>13.52</v>
      </c>
      <c r="H259">
        <v>44.71</v>
      </c>
      <c r="I259">
        <v>10.33</v>
      </c>
      <c r="J259">
        <v>34.17</v>
      </c>
      <c r="K259">
        <v>72</v>
      </c>
      <c r="T259">
        <v>1</v>
      </c>
      <c r="U259">
        <v>1</v>
      </c>
      <c r="V259" t="s">
        <v>233</v>
      </c>
      <c r="W259">
        <v>44</v>
      </c>
      <c r="X259">
        <v>14</v>
      </c>
      <c r="Y259">
        <v>14</v>
      </c>
      <c r="Z259" t="s">
        <v>594</v>
      </c>
      <c r="AA259" t="s">
        <v>595</v>
      </c>
      <c r="AB259" t="s">
        <v>229</v>
      </c>
      <c r="AC259" t="s">
        <v>230</v>
      </c>
      <c r="AD259" t="s">
        <v>231</v>
      </c>
      <c r="AE259" t="s">
        <v>470</v>
      </c>
      <c r="AG259" t="s">
        <v>596</v>
      </c>
      <c r="AH259">
        <v>0</v>
      </c>
      <c r="AI259">
        <v>749</v>
      </c>
      <c r="AJ259">
        <v>69</v>
      </c>
      <c r="AK259">
        <v>58</v>
      </c>
      <c r="AL259">
        <v>0.35</v>
      </c>
    </row>
    <row r="260" spans="1:38" x14ac:dyDescent="0.3">
      <c r="A260" t="s">
        <v>465</v>
      </c>
      <c r="B260">
        <v>111587</v>
      </c>
      <c r="C260">
        <v>3</v>
      </c>
      <c r="D260" t="s">
        <v>592</v>
      </c>
      <c r="E260" t="s">
        <v>593</v>
      </c>
      <c r="F260">
        <v>168</v>
      </c>
      <c r="G260">
        <v>16.55</v>
      </c>
      <c r="H260">
        <v>54.74</v>
      </c>
      <c r="I260">
        <v>12.65</v>
      </c>
      <c r="J260">
        <v>41.83</v>
      </c>
      <c r="K260">
        <v>24</v>
      </c>
      <c r="T260">
        <v>1</v>
      </c>
      <c r="U260">
        <v>1</v>
      </c>
      <c r="V260" t="s">
        <v>233</v>
      </c>
      <c r="W260" t="s">
        <v>597</v>
      </c>
      <c r="X260">
        <v>14</v>
      </c>
      <c r="Y260">
        <v>14</v>
      </c>
      <c r="Z260" t="s">
        <v>594</v>
      </c>
      <c r="AA260" t="s">
        <v>595</v>
      </c>
      <c r="AB260" t="s">
        <v>229</v>
      </c>
      <c r="AC260" t="s">
        <v>230</v>
      </c>
      <c r="AD260" t="s">
        <v>231</v>
      </c>
      <c r="AE260" t="s">
        <v>470</v>
      </c>
      <c r="AG260" t="s">
        <v>596</v>
      </c>
      <c r="AH260">
        <v>0</v>
      </c>
      <c r="AI260">
        <v>749</v>
      </c>
      <c r="AJ260">
        <v>69</v>
      </c>
      <c r="AK260">
        <v>58</v>
      </c>
      <c r="AL260">
        <v>0.35</v>
      </c>
    </row>
    <row r="261" spans="1:38" x14ac:dyDescent="0.3">
      <c r="A261" t="s">
        <v>465</v>
      </c>
      <c r="B261">
        <v>111587</v>
      </c>
      <c r="C261">
        <v>4</v>
      </c>
      <c r="D261" t="s">
        <v>592</v>
      </c>
      <c r="E261" t="s">
        <v>593</v>
      </c>
      <c r="F261">
        <v>168</v>
      </c>
      <c r="G261">
        <v>16.600000000000001</v>
      </c>
      <c r="H261">
        <v>54.89</v>
      </c>
      <c r="I261">
        <v>12.68</v>
      </c>
      <c r="J261">
        <v>41.94</v>
      </c>
      <c r="K261">
        <v>24</v>
      </c>
      <c r="T261">
        <v>1</v>
      </c>
      <c r="U261">
        <v>1</v>
      </c>
      <c r="V261" t="s">
        <v>233</v>
      </c>
      <c r="W261" t="s">
        <v>598</v>
      </c>
      <c r="X261">
        <v>14</v>
      </c>
      <c r="Y261">
        <v>14</v>
      </c>
      <c r="Z261" t="s">
        <v>594</v>
      </c>
      <c r="AA261" t="s">
        <v>595</v>
      </c>
      <c r="AB261" t="s">
        <v>229</v>
      </c>
      <c r="AC261" t="s">
        <v>230</v>
      </c>
      <c r="AD261" t="s">
        <v>231</v>
      </c>
      <c r="AE261" t="s">
        <v>470</v>
      </c>
      <c r="AG261" t="s">
        <v>596</v>
      </c>
      <c r="AH261">
        <v>0</v>
      </c>
      <c r="AI261">
        <v>749</v>
      </c>
      <c r="AJ261">
        <v>69</v>
      </c>
      <c r="AK261">
        <v>58</v>
      </c>
      <c r="AL261">
        <v>0.35</v>
      </c>
    </row>
    <row r="262" spans="1:38" x14ac:dyDescent="0.3">
      <c r="A262" t="s">
        <v>465</v>
      </c>
      <c r="B262">
        <v>109825</v>
      </c>
      <c r="C262">
        <v>1</v>
      </c>
      <c r="D262" t="s">
        <v>599</v>
      </c>
      <c r="E262" t="s">
        <v>558</v>
      </c>
      <c r="F262">
        <v>298</v>
      </c>
      <c r="G262">
        <v>7.57</v>
      </c>
      <c r="H262">
        <v>25.03</v>
      </c>
      <c r="I262">
        <v>5.52</v>
      </c>
      <c r="J262">
        <v>18.28</v>
      </c>
      <c r="K262">
        <v>253</v>
      </c>
      <c r="T262">
        <v>1</v>
      </c>
      <c r="U262">
        <v>1</v>
      </c>
      <c r="V262" t="s">
        <v>226</v>
      </c>
      <c r="W262" t="s">
        <v>600</v>
      </c>
      <c r="X262">
        <v>26</v>
      </c>
      <c r="Y262">
        <v>25</v>
      </c>
      <c r="Z262" t="s">
        <v>601</v>
      </c>
      <c r="AA262" t="s">
        <v>560</v>
      </c>
      <c r="AB262" t="s">
        <v>229</v>
      </c>
      <c r="AC262" t="s">
        <v>230</v>
      </c>
      <c r="AD262" t="s">
        <v>231</v>
      </c>
      <c r="AE262" t="s">
        <v>470</v>
      </c>
      <c r="AG262" t="s">
        <v>561</v>
      </c>
      <c r="AH262">
        <v>0</v>
      </c>
      <c r="AI262">
        <v>888</v>
      </c>
      <c r="AJ262">
        <v>67</v>
      </c>
      <c r="AK262">
        <v>444</v>
      </c>
      <c r="AL262">
        <v>1.49</v>
      </c>
    </row>
    <row r="263" spans="1:38" x14ac:dyDescent="0.3">
      <c r="A263" t="s">
        <v>465</v>
      </c>
      <c r="B263">
        <v>109825</v>
      </c>
      <c r="C263">
        <v>2</v>
      </c>
      <c r="D263" t="s">
        <v>599</v>
      </c>
      <c r="E263" t="s">
        <v>558</v>
      </c>
      <c r="F263">
        <v>298</v>
      </c>
      <c r="G263">
        <v>8.86</v>
      </c>
      <c r="H263">
        <v>29.29</v>
      </c>
      <c r="I263">
        <v>6.47</v>
      </c>
      <c r="J263">
        <v>21.39</v>
      </c>
      <c r="K263">
        <v>7</v>
      </c>
      <c r="T263">
        <v>1</v>
      </c>
      <c r="U263">
        <v>1</v>
      </c>
      <c r="V263" t="s">
        <v>233</v>
      </c>
      <c r="W263" t="s">
        <v>602</v>
      </c>
      <c r="X263">
        <v>26</v>
      </c>
      <c r="Y263">
        <v>25</v>
      </c>
      <c r="Z263" t="s">
        <v>601</v>
      </c>
      <c r="AA263" t="s">
        <v>560</v>
      </c>
      <c r="AB263" t="s">
        <v>229</v>
      </c>
      <c r="AC263" t="s">
        <v>230</v>
      </c>
      <c r="AD263" t="s">
        <v>231</v>
      </c>
      <c r="AE263" t="s">
        <v>470</v>
      </c>
      <c r="AG263" t="s">
        <v>561</v>
      </c>
      <c r="AH263">
        <v>0</v>
      </c>
      <c r="AI263">
        <v>888</v>
      </c>
      <c r="AJ263">
        <v>67</v>
      </c>
      <c r="AK263">
        <v>444</v>
      </c>
      <c r="AL263">
        <v>1.49</v>
      </c>
    </row>
    <row r="264" spans="1:38" x14ac:dyDescent="0.3">
      <c r="A264" t="s">
        <v>465</v>
      </c>
      <c r="B264">
        <v>109825</v>
      </c>
      <c r="C264">
        <v>3</v>
      </c>
      <c r="D264" t="s">
        <v>599</v>
      </c>
      <c r="E264" t="s">
        <v>558</v>
      </c>
      <c r="F264">
        <v>298</v>
      </c>
      <c r="G264">
        <v>11.07</v>
      </c>
      <c r="H264">
        <v>36.61</v>
      </c>
      <c r="I264">
        <v>8.08</v>
      </c>
      <c r="J264">
        <v>26.74</v>
      </c>
      <c r="K264">
        <v>14</v>
      </c>
      <c r="T264">
        <v>1</v>
      </c>
      <c r="U264">
        <v>1</v>
      </c>
      <c r="V264" t="s">
        <v>233</v>
      </c>
      <c r="W264" t="s">
        <v>603</v>
      </c>
      <c r="X264">
        <v>26</v>
      </c>
      <c r="Y264">
        <v>25</v>
      </c>
      <c r="Z264" t="s">
        <v>601</v>
      </c>
      <c r="AA264" t="s">
        <v>560</v>
      </c>
      <c r="AB264" t="s">
        <v>229</v>
      </c>
      <c r="AC264" t="s">
        <v>230</v>
      </c>
      <c r="AD264" t="s">
        <v>231</v>
      </c>
      <c r="AE264" t="s">
        <v>470</v>
      </c>
      <c r="AG264" t="s">
        <v>561</v>
      </c>
      <c r="AH264">
        <v>0</v>
      </c>
      <c r="AI264">
        <v>888</v>
      </c>
      <c r="AJ264">
        <v>67</v>
      </c>
      <c r="AK264">
        <v>444</v>
      </c>
      <c r="AL264">
        <v>1.49</v>
      </c>
    </row>
    <row r="265" spans="1:38" x14ac:dyDescent="0.3">
      <c r="A265" t="s">
        <v>465</v>
      </c>
      <c r="B265">
        <v>109825</v>
      </c>
      <c r="C265">
        <v>4</v>
      </c>
      <c r="D265" t="s">
        <v>599</v>
      </c>
      <c r="E265" t="s">
        <v>558</v>
      </c>
      <c r="F265">
        <v>298</v>
      </c>
      <c r="G265">
        <v>11.49</v>
      </c>
      <c r="H265">
        <v>37.99</v>
      </c>
      <c r="I265">
        <v>8.39</v>
      </c>
      <c r="J265">
        <v>27.75</v>
      </c>
      <c r="K265">
        <v>24</v>
      </c>
      <c r="T265">
        <v>1</v>
      </c>
      <c r="U265">
        <v>1</v>
      </c>
      <c r="V265" t="s">
        <v>233</v>
      </c>
      <c r="W265" t="s">
        <v>604</v>
      </c>
      <c r="X265">
        <v>26</v>
      </c>
      <c r="Y265">
        <v>25</v>
      </c>
      <c r="Z265" t="s">
        <v>601</v>
      </c>
      <c r="AA265" t="s">
        <v>560</v>
      </c>
      <c r="AB265" t="s">
        <v>229</v>
      </c>
      <c r="AC265" t="s">
        <v>230</v>
      </c>
      <c r="AD265" t="s">
        <v>231</v>
      </c>
      <c r="AE265" t="s">
        <v>470</v>
      </c>
      <c r="AG265" t="s">
        <v>561</v>
      </c>
      <c r="AH265">
        <v>0</v>
      </c>
      <c r="AI265">
        <v>888</v>
      </c>
      <c r="AJ265">
        <v>67</v>
      </c>
      <c r="AK265">
        <v>444</v>
      </c>
      <c r="AL265">
        <v>1.49</v>
      </c>
    </row>
    <row r="266" spans="1:38" x14ac:dyDescent="0.3">
      <c r="A266" t="s">
        <v>465</v>
      </c>
      <c r="B266">
        <v>112525</v>
      </c>
      <c r="C266">
        <v>1</v>
      </c>
      <c r="D266" t="s">
        <v>605</v>
      </c>
      <c r="E266" t="s">
        <v>606</v>
      </c>
      <c r="F266">
        <v>298</v>
      </c>
      <c r="G266">
        <v>6.77</v>
      </c>
      <c r="H266">
        <v>22.41</v>
      </c>
      <c r="I266">
        <v>4.53</v>
      </c>
      <c r="J266">
        <v>14.98</v>
      </c>
      <c r="K266">
        <v>210</v>
      </c>
      <c r="T266">
        <v>1</v>
      </c>
      <c r="U266">
        <v>1</v>
      </c>
      <c r="V266" t="s">
        <v>233</v>
      </c>
      <c r="W266" t="s">
        <v>607</v>
      </c>
      <c r="X266">
        <v>26</v>
      </c>
      <c r="Y266">
        <v>26</v>
      </c>
      <c r="Z266" t="s">
        <v>608</v>
      </c>
      <c r="AA266" t="s">
        <v>609</v>
      </c>
      <c r="AB266" t="s">
        <v>229</v>
      </c>
      <c r="AC266" t="s">
        <v>230</v>
      </c>
      <c r="AD266" t="s">
        <v>231</v>
      </c>
      <c r="AE266" t="s">
        <v>470</v>
      </c>
      <c r="AG266" t="s">
        <v>610</v>
      </c>
      <c r="AH266">
        <v>0</v>
      </c>
      <c r="AI266">
        <v>828</v>
      </c>
      <c r="AJ266">
        <v>54</v>
      </c>
      <c r="AK266">
        <v>205</v>
      </c>
      <c r="AL266">
        <v>0.69</v>
      </c>
    </row>
    <row r="267" spans="1:38" x14ac:dyDescent="0.3">
      <c r="A267" t="s">
        <v>465</v>
      </c>
      <c r="B267">
        <v>112525</v>
      </c>
      <c r="C267">
        <v>2</v>
      </c>
      <c r="D267" t="s">
        <v>605</v>
      </c>
      <c r="E267" t="s">
        <v>606</v>
      </c>
      <c r="F267">
        <v>298</v>
      </c>
      <c r="G267">
        <v>9.0500000000000007</v>
      </c>
      <c r="H267">
        <v>29.92</v>
      </c>
      <c r="I267">
        <v>6.05</v>
      </c>
      <c r="J267">
        <v>20</v>
      </c>
      <c r="K267">
        <v>18</v>
      </c>
      <c r="T267">
        <v>1</v>
      </c>
      <c r="U267">
        <v>1</v>
      </c>
      <c r="V267" t="s">
        <v>233</v>
      </c>
      <c r="W267" t="s">
        <v>506</v>
      </c>
      <c r="X267">
        <v>26</v>
      </c>
      <c r="Y267">
        <v>26</v>
      </c>
      <c r="Z267" t="s">
        <v>608</v>
      </c>
      <c r="AA267" t="s">
        <v>609</v>
      </c>
      <c r="AB267" t="s">
        <v>229</v>
      </c>
      <c r="AC267" t="s">
        <v>230</v>
      </c>
      <c r="AD267" t="s">
        <v>231</v>
      </c>
      <c r="AE267" t="s">
        <v>470</v>
      </c>
      <c r="AG267" t="s">
        <v>610</v>
      </c>
      <c r="AH267">
        <v>0</v>
      </c>
      <c r="AI267">
        <v>828</v>
      </c>
      <c r="AJ267">
        <v>54</v>
      </c>
      <c r="AK267">
        <v>205</v>
      </c>
      <c r="AL267">
        <v>0.69</v>
      </c>
    </row>
    <row r="268" spans="1:38" x14ac:dyDescent="0.3">
      <c r="A268" t="s">
        <v>465</v>
      </c>
      <c r="B268">
        <v>112525</v>
      </c>
      <c r="C268">
        <v>3</v>
      </c>
      <c r="D268" t="s">
        <v>605</v>
      </c>
      <c r="E268" t="s">
        <v>606</v>
      </c>
      <c r="F268">
        <v>298</v>
      </c>
      <c r="G268">
        <v>12.5</v>
      </c>
      <c r="H268">
        <v>41.34</v>
      </c>
      <c r="I268">
        <v>8.35</v>
      </c>
      <c r="J268">
        <v>27.63</v>
      </c>
      <c r="K268">
        <v>70</v>
      </c>
      <c r="T268">
        <v>1</v>
      </c>
      <c r="U268">
        <v>1</v>
      </c>
      <c r="V268" t="s">
        <v>233</v>
      </c>
      <c r="W268" t="s">
        <v>611</v>
      </c>
      <c r="X268">
        <v>26</v>
      </c>
      <c r="Y268">
        <v>26</v>
      </c>
      <c r="Z268" t="s">
        <v>608</v>
      </c>
      <c r="AA268" t="s">
        <v>609</v>
      </c>
      <c r="AB268" t="s">
        <v>229</v>
      </c>
      <c r="AC268" t="s">
        <v>230</v>
      </c>
      <c r="AD268" t="s">
        <v>231</v>
      </c>
      <c r="AE268" t="s">
        <v>470</v>
      </c>
      <c r="AG268" t="s">
        <v>610</v>
      </c>
      <c r="AH268">
        <v>0</v>
      </c>
      <c r="AI268">
        <v>828</v>
      </c>
      <c r="AJ268">
        <v>54</v>
      </c>
      <c r="AK268">
        <v>205</v>
      </c>
      <c r="AL268">
        <v>0.69</v>
      </c>
    </row>
    <row r="269" spans="1:38" x14ac:dyDescent="0.3">
      <c r="A269" t="s">
        <v>465</v>
      </c>
      <c r="B269">
        <v>112981</v>
      </c>
      <c r="C269">
        <v>1</v>
      </c>
      <c r="D269" t="s">
        <v>612</v>
      </c>
      <c r="E269" t="s">
        <v>613</v>
      </c>
      <c r="F269">
        <v>285</v>
      </c>
      <c r="G269">
        <v>9.9</v>
      </c>
      <c r="H269">
        <v>32.76</v>
      </c>
      <c r="I269">
        <v>6.32</v>
      </c>
      <c r="J269">
        <v>20.91</v>
      </c>
      <c r="K269">
        <v>60</v>
      </c>
      <c r="T269">
        <v>1</v>
      </c>
      <c r="U269">
        <v>1</v>
      </c>
      <c r="V269" t="s">
        <v>226</v>
      </c>
      <c r="W269" t="s">
        <v>614</v>
      </c>
      <c r="X269">
        <v>17</v>
      </c>
      <c r="Y269">
        <v>17</v>
      </c>
      <c r="Z269" t="s">
        <v>615</v>
      </c>
      <c r="AA269" t="s">
        <v>616</v>
      </c>
      <c r="AB269" t="s">
        <v>229</v>
      </c>
      <c r="AC269" t="s">
        <v>230</v>
      </c>
      <c r="AD269" t="s">
        <v>231</v>
      </c>
      <c r="AE269" t="s">
        <v>470</v>
      </c>
      <c r="AG269" t="s">
        <v>617</v>
      </c>
      <c r="AH269">
        <v>0</v>
      </c>
      <c r="AI269">
        <v>873</v>
      </c>
      <c r="AJ269">
        <v>69</v>
      </c>
      <c r="AK269">
        <v>199</v>
      </c>
      <c r="AL269">
        <v>0.7</v>
      </c>
    </row>
    <row r="270" spans="1:38" x14ac:dyDescent="0.3">
      <c r="A270" t="s">
        <v>465</v>
      </c>
      <c r="B270">
        <v>112981</v>
      </c>
      <c r="C270">
        <v>2</v>
      </c>
      <c r="D270" t="s">
        <v>612</v>
      </c>
      <c r="E270" t="s">
        <v>613</v>
      </c>
      <c r="F270">
        <v>285</v>
      </c>
      <c r="G270">
        <v>11.19</v>
      </c>
      <c r="H270">
        <v>37</v>
      </c>
      <c r="I270">
        <v>7.14</v>
      </c>
      <c r="J270">
        <v>23.62</v>
      </c>
      <c r="K270">
        <v>75</v>
      </c>
      <c r="T270">
        <v>1</v>
      </c>
      <c r="U270">
        <v>1</v>
      </c>
      <c r="V270" t="s">
        <v>226</v>
      </c>
      <c r="W270" t="s">
        <v>618</v>
      </c>
      <c r="X270">
        <v>17</v>
      </c>
      <c r="Y270">
        <v>17</v>
      </c>
      <c r="Z270" t="s">
        <v>615</v>
      </c>
      <c r="AA270" t="s">
        <v>616</v>
      </c>
      <c r="AB270" t="s">
        <v>229</v>
      </c>
      <c r="AC270" t="s">
        <v>230</v>
      </c>
      <c r="AD270" t="s">
        <v>231</v>
      </c>
      <c r="AE270" t="s">
        <v>470</v>
      </c>
      <c r="AG270" t="s">
        <v>617</v>
      </c>
      <c r="AH270">
        <v>0</v>
      </c>
      <c r="AI270">
        <v>873</v>
      </c>
      <c r="AJ270">
        <v>69</v>
      </c>
      <c r="AK270">
        <v>199</v>
      </c>
      <c r="AL270">
        <v>0.7</v>
      </c>
    </row>
    <row r="271" spans="1:38" x14ac:dyDescent="0.3">
      <c r="A271" t="s">
        <v>465</v>
      </c>
      <c r="B271">
        <v>112981</v>
      </c>
      <c r="C271">
        <v>3</v>
      </c>
      <c r="D271" t="s">
        <v>612</v>
      </c>
      <c r="E271" t="s">
        <v>613</v>
      </c>
      <c r="F271">
        <v>285</v>
      </c>
      <c r="G271">
        <v>11.51</v>
      </c>
      <c r="H271">
        <v>38.049999999999997</v>
      </c>
      <c r="I271">
        <v>7.34</v>
      </c>
      <c r="J271">
        <v>24.29</v>
      </c>
      <c r="K271">
        <v>15</v>
      </c>
      <c r="T271">
        <v>1</v>
      </c>
      <c r="U271">
        <v>1</v>
      </c>
      <c r="V271" t="s">
        <v>226</v>
      </c>
      <c r="W271" t="s">
        <v>619</v>
      </c>
      <c r="X271">
        <v>17</v>
      </c>
      <c r="Y271">
        <v>17</v>
      </c>
      <c r="Z271" t="s">
        <v>615</v>
      </c>
      <c r="AA271" t="s">
        <v>616</v>
      </c>
      <c r="AB271" t="s">
        <v>229</v>
      </c>
      <c r="AC271" t="s">
        <v>230</v>
      </c>
      <c r="AD271" t="s">
        <v>231</v>
      </c>
      <c r="AE271" t="s">
        <v>470</v>
      </c>
      <c r="AG271" t="s">
        <v>617</v>
      </c>
      <c r="AH271">
        <v>0</v>
      </c>
      <c r="AI271">
        <v>873</v>
      </c>
      <c r="AJ271">
        <v>69</v>
      </c>
      <c r="AK271">
        <v>199</v>
      </c>
      <c r="AL271">
        <v>0.7</v>
      </c>
    </row>
    <row r="272" spans="1:38" x14ac:dyDescent="0.3">
      <c r="A272" t="s">
        <v>465</v>
      </c>
      <c r="B272">
        <v>112981</v>
      </c>
      <c r="C272">
        <v>4</v>
      </c>
      <c r="D272" t="s">
        <v>612</v>
      </c>
      <c r="E272" t="s">
        <v>613</v>
      </c>
      <c r="F272">
        <v>285</v>
      </c>
      <c r="G272">
        <v>11.7</v>
      </c>
      <c r="H272">
        <v>38.71</v>
      </c>
      <c r="I272">
        <v>7.47</v>
      </c>
      <c r="J272">
        <v>24.71</v>
      </c>
      <c r="K272">
        <v>15</v>
      </c>
      <c r="T272">
        <v>1</v>
      </c>
      <c r="U272">
        <v>1</v>
      </c>
      <c r="V272" t="s">
        <v>226</v>
      </c>
      <c r="W272" t="s">
        <v>620</v>
      </c>
      <c r="X272">
        <v>17</v>
      </c>
      <c r="Y272">
        <v>17</v>
      </c>
      <c r="Z272" t="s">
        <v>615</v>
      </c>
      <c r="AA272" t="s">
        <v>616</v>
      </c>
      <c r="AB272" t="s">
        <v>229</v>
      </c>
      <c r="AC272" t="s">
        <v>230</v>
      </c>
      <c r="AD272" t="s">
        <v>231</v>
      </c>
      <c r="AE272" t="s">
        <v>470</v>
      </c>
      <c r="AG272" t="s">
        <v>617</v>
      </c>
      <c r="AH272">
        <v>0</v>
      </c>
      <c r="AI272">
        <v>873</v>
      </c>
      <c r="AJ272">
        <v>69</v>
      </c>
      <c r="AK272">
        <v>199</v>
      </c>
      <c r="AL272">
        <v>0.7</v>
      </c>
    </row>
    <row r="273" spans="1:38" x14ac:dyDescent="0.3">
      <c r="A273" t="s">
        <v>465</v>
      </c>
      <c r="B273">
        <v>112981</v>
      </c>
      <c r="C273">
        <v>5</v>
      </c>
      <c r="D273" t="s">
        <v>612</v>
      </c>
      <c r="E273" t="s">
        <v>613</v>
      </c>
      <c r="F273">
        <v>285</v>
      </c>
      <c r="G273">
        <v>12.46</v>
      </c>
      <c r="H273">
        <v>41.2</v>
      </c>
      <c r="I273">
        <v>7.95</v>
      </c>
      <c r="J273">
        <v>26.3</v>
      </c>
      <c r="K273">
        <v>90</v>
      </c>
      <c r="T273">
        <v>1</v>
      </c>
      <c r="U273">
        <v>1</v>
      </c>
      <c r="V273" t="s">
        <v>226</v>
      </c>
      <c r="W273" t="s">
        <v>611</v>
      </c>
      <c r="X273">
        <v>17</v>
      </c>
      <c r="Y273">
        <v>17</v>
      </c>
      <c r="Z273" t="s">
        <v>615</v>
      </c>
      <c r="AA273" t="s">
        <v>616</v>
      </c>
      <c r="AB273" t="s">
        <v>229</v>
      </c>
      <c r="AC273" t="s">
        <v>230</v>
      </c>
      <c r="AD273" t="s">
        <v>231</v>
      </c>
      <c r="AE273" t="s">
        <v>470</v>
      </c>
      <c r="AG273" t="s">
        <v>617</v>
      </c>
      <c r="AH273">
        <v>0</v>
      </c>
      <c r="AI273">
        <v>873</v>
      </c>
      <c r="AJ273">
        <v>69</v>
      </c>
      <c r="AK273">
        <v>199</v>
      </c>
      <c r="AL273">
        <v>0.7</v>
      </c>
    </row>
    <row r="274" spans="1:38" x14ac:dyDescent="0.3">
      <c r="A274" t="s">
        <v>465</v>
      </c>
      <c r="B274">
        <v>112981</v>
      </c>
      <c r="C274">
        <v>6</v>
      </c>
      <c r="D274" t="s">
        <v>612</v>
      </c>
      <c r="E274" t="s">
        <v>613</v>
      </c>
      <c r="F274">
        <v>285</v>
      </c>
      <c r="G274">
        <v>12.7</v>
      </c>
      <c r="H274">
        <v>42</v>
      </c>
      <c r="I274">
        <v>8.11</v>
      </c>
      <c r="J274">
        <v>26.82</v>
      </c>
      <c r="K274">
        <v>30</v>
      </c>
      <c r="T274">
        <v>1</v>
      </c>
      <c r="U274">
        <v>1</v>
      </c>
      <c r="V274" t="s">
        <v>226</v>
      </c>
      <c r="W274" t="s">
        <v>621</v>
      </c>
      <c r="X274">
        <v>17</v>
      </c>
      <c r="Y274">
        <v>17</v>
      </c>
      <c r="Z274" t="s">
        <v>615</v>
      </c>
      <c r="AA274" t="s">
        <v>616</v>
      </c>
      <c r="AB274" t="s">
        <v>229</v>
      </c>
      <c r="AC274" t="s">
        <v>230</v>
      </c>
      <c r="AD274" t="s">
        <v>231</v>
      </c>
      <c r="AE274" t="s">
        <v>470</v>
      </c>
      <c r="AG274" t="s">
        <v>617</v>
      </c>
      <c r="AH274">
        <v>0</v>
      </c>
      <c r="AI274">
        <v>873</v>
      </c>
      <c r="AJ274">
        <v>69</v>
      </c>
      <c r="AK274">
        <v>199</v>
      </c>
      <c r="AL274">
        <v>0.7</v>
      </c>
    </row>
    <row r="275" spans="1:38" x14ac:dyDescent="0.3">
      <c r="A275" t="s">
        <v>465</v>
      </c>
      <c r="B275">
        <v>119425</v>
      </c>
      <c r="C275">
        <v>1</v>
      </c>
      <c r="D275" t="s">
        <v>622</v>
      </c>
      <c r="E275" t="s">
        <v>623</v>
      </c>
      <c r="F275">
        <v>8</v>
      </c>
      <c r="G275">
        <v>9.65</v>
      </c>
      <c r="H275">
        <v>31.92</v>
      </c>
      <c r="I275">
        <v>7.11</v>
      </c>
      <c r="J275">
        <v>23.52</v>
      </c>
      <c r="K275">
        <v>2</v>
      </c>
      <c r="T275">
        <v>1</v>
      </c>
      <c r="U275">
        <v>1</v>
      </c>
      <c r="V275" t="s">
        <v>233</v>
      </c>
      <c r="W275">
        <v>31</v>
      </c>
      <c r="X275">
        <v>3</v>
      </c>
      <c r="Y275">
        <v>3</v>
      </c>
      <c r="Z275" t="s">
        <v>624</v>
      </c>
      <c r="AA275" t="s">
        <v>625</v>
      </c>
      <c r="AB275" t="s">
        <v>229</v>
      </c>
      <c r="AC275" t="s">
        <v>230</v>
      </c>
      <c r="AD275" t="s">
        <v>231</v>
      </c>
      <c r="AE275" t="s">
        <v>470</v>
      </c>
      <c r="AG275" t="s">
        <v>626</v>
      </c>
      <c r="AH275">
        <v>0</v>
      </c>
      <c r="AI275">
        <v>450</v>
      </c>
      <c r="AJ275">
        <v>55</v>
      </c>
      <c r="AK275">
        <v>4</v>
      </c>
      <c r="AL275">
        <v>0.5</v>
      </c>
    </row>
    <row r="276" spans="1:38" x14ac:dyDescent="0.3">
      <c r="A276" t="s">
        <v>465</v>
      </c>
      <c r="B276">
        <v>119425</v>
      </c>
      <c r="C276">
        <v>2</v>
      </c>
      <c r="D276" t="s">
        <v>622</v>
      </c>
      <c r="E276" t="s">
        <v>623</v>
      </c>
      <c r="F276">
        <v>8</v>
      </c>
      <c r="G276">
        <v>20.12</v>
      </c>
      <c r="H276">
        <v>66.52</v>
      </c>
      <c r="I276">
        <v>14.83</v>
      </c>
      <c r="J276">
        <v>49.04</v>
      </c>
      <c r="K276">
        <v>2</v>
      </c>
      <c r="T276">
        <v>2</v>
      </c>
      <c r="U276">
        <v>1</v>
      </c>
      <c r="V276" t="s">
        <v>233</v>
      </c>
      <c r="W276">
        <v>66</v>
      </c>
      <c r="X276">
        <v>3</v>
      </c>
      <c r="Y276">
        <v>3</v>
      </c>
      <c r="Z276" t="s">
        <v>624</v>
      </c>
      <c r="AA276" t="s">
        <v>625</v>
      </c>
      <c r="AB276" t="s">
        <v>229</v>
      </c>
      <c r="AC276" t="s">
        <v>230</v>
      </c>
      <c r="AD276" t="s">
        <v>231</v>
      </c>
      <c r="AE276" t="s">
        <v>470</v>
      </c>
      <c r="AG276" t="s">
        <v>626</v>
      </c>
      <c r="AH276">
        <v>0</v>
      </c>
      <c r="AI276">
        <v>450</v>
      </c>
      <c r="AJ276">
        <v>55</v>
      </c>
      <c r="AK276">
        <v>4</v>
      </c>
      <c r="AL276">
        <v>0.5</v>
      </c>
    </row>
    <row r="277" spans="1:38" x14ac:dyDescent="0.3">
      <c r="A277" t="s">
        <v>465</v>
      </c>
      <c r="B277">
        <v>119425</v>
      </c>
      <c r="C277">
        <v>3</v>
      </c>
      <c r="D277" t="s">
        <v>622</v>
      </c>
      <c r="E277" t="s">
        <v>623</v>
      </c>
      <c r="F277">
        <v>8</v>
      </c>
      <c r="G277">
        <v>20.45</v>
      </c>
      <c r="H277">
        <v>67.62</v>
      </c>
      <c r="I277">
        <v>15.07</v>
      </c>
      <c r="J277">
        <v>49.84</v>
      </c>
      <c r="K277">
        <v>2</v>
      </c>
      <c r="T277">
        <v>3</v>
      </c>
      <c r="U277">
        <v>1</v>
      </c>
      <c r="V277" t="s">
        <v>233</v>
      </c>
      <c r="W277" t="s">
        <v>192</v>
      </c>
      <c r="X277">
        <v>3</v>
      </c>
      <c r="Y277">
        <v>3</v>
      </c>
      <c r="Z277" t="s">
        <v>624</v>
      </c>
      <c r="AA277" t="s">
        <v>625</v>
      </c>
      <c r="AB277" t="s">
        <v>229</v>
      </c>
      <c r="AC277" t="s">
        <v>230</v>
      </c>
      <c r="AD277" t="s">
        <v>231</v>
      </c>
      <c r="AE277" t="s">
        <v>470</v>
      </c>
      <c r="AG277" t="s">
        <v>626</v>
      </c>
      <c r="AH277">
        <v>0</v>
      </c>
      <c r="AI277">
        <v>450</v>
      </c>
      <c r="AJ277">
        <v>55</v>
      </c>
      <c r="AK277">
        <v>4</v>
      </c>
      <c r="AL277">
        <v>0.5</v>
      </c>
    </row>
    <row r="278" spans="1:38" x14ac:dyDescent="0.3">
      <c r="A278" t="s">
        <v>465</v>
      </c>
      <c r="B278">
        <v>119425</v>
      </c>
      <c r="C278">
        <v>4</v>
      </c>
      <c r="D278" t="s">
        <v>622</v>
      </c>
      <c r="E278" t="s">
        <v>623</v>
      </c>
      <c r="F278">
        <v>8</v>
      </c>
      <c r="G278">
        <v>20.38</v>
      </c>
      <c r="H278">
        <v>67.38</v>
      </c>
      <c r="I278">
        <v>15.02</v>
      </c>
      <c r="J278">
        <v>49.66</v>
      </c>
      <c r="K278">
        <v>2</v>
      </c>
      <c r="T278">
        <v>3</v>
      </c>
      <c r="U278">
        <v>1</v>
      </c>
      <c r="V278" t="s">
        <v>233</v>
      </c>
      <c r="W278" t="s">
        <v>191</v>
      </c>
      <c r="X278">
        <v>3</v>
      </c>
      <c r="Y278">
        <v>3</v>
      </c>
      <c r="Z278" t="s">
        <v>624</v>
      </c>
      <c r="AA278" t="s">
        <v>625</v>
      </c>
      <c r="AB278" t="s">
        <v>229</v>
      </c>
      <c r="AC278" t="s">
        <v>230</v>
      </c>
      <c r="AD278" t="s">
        <v>231</v>
      </c>
      <c r="AE278" t="s">
        <v>470</v>
      </c>
      <c r="AG278" t="s">
        <v>626</v>
      </c>
      <c r="AH278">
        <v>0</v>
      </c>
      <c r="AI278">
        <v>450</v>
      </c>
      <c r="AJ278">
        <v>55</v>
      </c>
      <c r="AK278">
        <v>4</v>
      </c>
      <c r="AL278">
        <v>0.5</v>
      </c>
    </row>
    <row r="279" spans="1:38" x14ac:dyDescent="0.3">
      <c r="A279" t="s">
        <v>465</v>
      </c>
      <c r="B279">
        <v>112883</v>
      </c>
      <c r="C279">
        <v>1</v>
      </c>
      <c r="D279" t="s">
        <v>627</v>
      </c>
      <c r="E279" t="s">
        <v>523</v>
      </c>
      <c r="F279">
        <v>29</v>
      </c>
      <c r="G279">
        <v>8.1</v>
      </c>
      <c r="H279">
        <v>26.79</v>
      </c>
      <c r="I279">
        <v>6.28</v>
      </c>
      <c r="J279">
        <v>20.78</v>
      </c>
      <c r="K279">
        <v>4</v>
      </c>
      <c r="T279">
        <v>1</v>
      </c>
      <c r="U279">
        <v>1</v>
      </c>
      <c r="V279" t="s">
        <v>226</v>
      </c>
      <c r="W279">
        <v>26</v>
      </c>
      <c r="X279">
        <v>10</v>
      </c>
      <c r="Y279">
        <v>5</v>
      </c>
      <c r="Z279" t="s">
        <v>628</v>
      </c>
      <c r="AA279" t="s">
        <v>526</v>
      </c>
      <c r="AB279" t="s">
        <v>229</v>
      </c>
      <c r="AC279" t="s">
        <v>230</v>
      </c>
      <c r="AD279" t="s">
        <v>231</v>
      </c>
      <c r="AE279" t="s">
        <v>470</v>
      </c>
      <c r="AG279" t="s">
        <v>527</v>
      </c>
      <c r="AH279">
        <v>0</v>
      </c>
      <c r="AI279">
        <v>499</v>
      </c>
      <c r="AJ279">
        <v>69</v>
      </c>
      <c r="AK279">
        <v>0</v>
      </c>
      <c r="AL279">
        <v>0</v>
      </c>
    </row>
    <row r="280" spans="1:38" x14ac:dyDescent="0.3">
      <c r="A280" t="s">
        <v>465</v>
      </c>
      <c r="B280">
        <v>112883</v>
      </c>
      <c r="C280">
        <v>2</v>
      </c>
      <c r="D280" t="s">
        <v>627</v>
      </c>
      <c r="E280" t="s">
        <v>523</v>
      </c>
      <c r="F280">
        <v>29</v>
      </c>
      <c r="G280">
        <v>12.2</v>
      </c>
      <c r="H280">
        <v>40.36</v>
      </c>
      <c r="I280">
        <v>9.4700000000000006</v>
      </c>
      <c r="J280">
        <v>31.32</v>
      </c>
      <c r="K280">
        <v>1</v>
      </c>
      <c r="T280">
        <v>1</v>
      </c>
      <c r="U280">
        <v>1</v>
      </c>
      <c r="V280" t="s">
        <v>226</v>
      </c>
      <c r="W280" t="s">
        <v>629</v>
      </c>
      <c r="X280">
        <v>10</v>
      </c>
      <c r="Y280">
        <v>5</v>
      </c>
      <c r="Z280" t="s">
        <v>628</v>
      </c>
      <c r="AA280" t="s">
        <v>526</v>
      </c>
      <c r="AB280" t="s">
        <v>229</v>
      </c>
      <c r="AC280" t="s">
        <v>230</v>
      </c>
      <c r="AD280" t="s">
        <v>231</v>
      </c>
      <c r="AE280" t="s">
        <v>470</v>
      </c>
      <c r="AG280" t="s">
        <v>527</v>
      </c>
      <c r="AH280">
        <v>0</v>
      </c>
      <c r="AI280">
        <v>499</v>
      </c>
      <c r="AJ280">
        <v>69</v>
      </c>
      <c r="AK280">
        <v>0</v>
      </c>
      <c r="AL280">
        <v>0</v>
      </c>
    </row>
    <row r="281" spans="1:38" x14ac:dyDescent="0.3">
      <c r="A281" t="s">
        <v>465</v>
      </c>
      <c r="B281">
        <v>112883</v>
      </c>
      <c r="C281">
        <v>3</v>
      </c>
      <c r="D281" t="s">
        <v>627</v>
      </c>
      <c r="E281" t="s">
        <v>523</v>
      </c>
      <c r="F281">
        <v>29</v>
      </c>
      <c r="G281">
        <v>12.49</v>
      </c>
      <c r="H281">
        <v>41.29</v>
      </c>
      <c r="I281">
        <v>9.69</v>
      </c>
      <c r="J281">
        <v>32.04</v>
      </c>
      <c r="K281">
        <v>1</v>
      </c>
      <c r="T281">
        <v>1</v>
      </c>
      <c r="U281">
        <v>1</v>
      </c>
      <c r="V281" t="s">
        <v>226</v>
      </c>
      <c r="W281" t="s">
        <v>611</v>
      </c>
      <c r="X281">
        <v>10</v>
      </c>
      <c r="Y281">
        <v>5</v>
      </c>
      <c r="Z281" t="s">
        <v>628</v>
      </c>
      <c r="AA281" t="s">
        <v>526</v>
      </c>
      <c r="AB281" t="s">
        <v>229</v>
      </c>
      <c r="AC281" t="s">
        <v>230</v>
      </c>
      <c r="AD281" t="s">
        <v>231</v>
      </c>
      <c r="AE281" t="s">
        <v>470</v>
      </c>
      <c r="AG281" t="s">
        <v>527</v>
      </c>
      <c r="AH281">
        <v>0</v>
      </c>
      <c r="AI281">
        <v>499</v>
      </c>
      <c r="AJ281">
        <v>69</v>
      </c>
      <c r="AK281">
        <v>0</v>
      </c>
      <c r="AL281">
        <v>0</v>
      </c>
    </row>
    <row r="282" spans="1:38" x14ac:dyDescent="0.3">
      <c r="A282" t="s">
        <v>465</v>
      </c>
      <c r="B282">
        <v>112883</v>
      </c>
      <c r="C282">
        <v>4</v>
      </c>
      <c r="D282" t="s">
        <v>627</v>
      </c>
      <c r="E282" t="s">
        <v>523</v>
      </c>
      <c r="F282">
        <v>29</v>
      </c>
      <c r="G282">
        <v>15.14</v>
      </c>
      <c r="H282">
        <v>50.06</v>
      </c>
      <c r="I282">
        <v>11.74</v>
      </c>
      <c r="J282">
        <v>38.840000000000003</v>
      </c>
      <c r="K282">
        <v>1</v>
      </c>
      <c r="T282">
        <v>1</v>
      </c>
      <c r="U282">
        <v>1</v>
      </c>
      <c r="V282" t="s">
        <v>226</v>
      </c>
      <c r="W282">
        <v>50</v>
      </c>
      <c r="X282">
        <v>10</v>
      </c>
      <c r="Y282">
        <v>5</v>
      </c>
      <c r="Z282" t="s">
        <v>628</v>
      </c>
      <c r="AA282" t="s">
        <v>526</v>
      </c>
      <c r="AB282" t="s">
        <v>229</v>
      </c>
      <c r="AC282" t="s">
        <v>230</v>
      </c>
      <c r="AD282" t="s">
        <v>231</v>
      </c>
      <c r="AE282" t="s">
        <v>470</v>
      </c>
      <c r="AG282" t="s">
        <v>527</v>
      </c>
      <c r="AH282">
        <v>0</v>
      </c>
      <c r="AI282">
        <v>499</v>
      </c>
      <c r="AJ282">
        <v>69</v>
      </c>
      <c r="AK282">
        <v>0</v>
      </c>
      <c r="AL282">
        <v>0</v>
      </c>
    </row>
    <row r="283" spans="1:38" x14ac:dyDescent="0.3">
      <c r="A283" t="s">
        <v>465</v>
      </c>
      <c r="B283">
        <v>112883</v>
      </c>
      <c r="C283">
        <v>5</v>
      </c>
      <c r="D283" t="s">
        <v>627</v>
      </c>
      <c r="E283" t="s">
        <v>523</v>
      </c>
      <c r="F283">
        <v>29</v>
      </c>
      <c r="G283">
        <v>16.2</v>
      </c>
      <c r="H283">
        <v>53.58</v>
      </c>
      <c r="I283">
        <v>12.57</v>
      </c>
      <c r="J283">
        <v>41.56</v>
      </c>
      <c r="K283">
        <v>4</v>
      </c>
      <c r="T283">
        <v>1</v>
      </c>
      <c r="U283">
        <v>1</v>
      </c>
      <c r="V283" t="s">
        <v>226</v>
      </c>
      <c r="W283" t="s">
        <v>177</v>
      </c>
      <c r="X283">
        <v>10</v>
      </c>
      <c r="Y283">
        <v>5</v>
      </c>
      <c r="Z283" t="s">
        <v>628</v>
      </c>
      <c r="AA283" t="s">
        <v>526</v>
      </c>
      <c r="AB283" t="s">
        <v>229</v>
      </c>
      <c r="AC283" t="s">
        <v>230</v>
      </c>
      <c r="AD283" t="s">
        <v>231</v>
      </c>
      <c r="AE283" t="s">
        <v>470</v>
      </c>
      <c r="AG283" t="s">
        <v>527</v>
      </c>
      <c r="AH283">
        <v>0</v>
      </c>
      <c r="AI283">
        <v>499</v>
      </c>
      <c r="AJ283">
        <v>69</v>
      </c>
      <c r="AK283">
        <v>0</v>
      </c>
      <c r="AL283">
        <v>0</v>
      </c>
    </row>
    <row r="284" spans="1:38" x14ac:dyDescent="0.3">
      <c r="A284" t="s">
        <v>465</v>
      </c>
      <c r="B284">
        <v>112883</v>
      </c>
      <c r="C284">
        <v>6</v>
      </c>
      <c r="D284" t="s">
        <v>627</v>
      </c>
      <c r="E284" t="s">
        <v>523</v>
      </c>
      <c r="F284">
        <v>29</v>
      </c>
      <c r="G284">
        <v>16.45</v>
      </c>
      <c r="H284">
        <v>54.4</v>
      </c>
      <c r="I284">
        <v>12.76</v>
      </c>
      <c r="J284">
        <v>42.2</v>
      </c>
      <c r="K284">
        <v>6</v>
      </c>
      <c r="T284">
        <v>1</v>
      </c>
      <c r="U284">
        <v>1</v>
      </c>
      <c r="V284" t="s">
        <v>226</v>
      </c>
      <c r="W284" t="s">
        <v>598</v>
      </c>
      <c r="X284">
        <v>10</v>
      </c>
      <c r="Y284">
        <v>5</v>
      </c>
      <c r="Z284" t="s">
        <v>628</v>
      </c>
      <c r="AA284" t="s">
        <v>526</v>
      </c>
      <c r="AB284" t="s">
        <v>229</v>
      </c>
      <c r="AC284" t="s">
        <v>230</v>
      </c>
      <c r="AD284" t="s">
        <v>231</v>
      </c>
      <c r="AE284" t="s">
        <v>470</v>
      </c>
      <c r="AG284" t="s">
        <v>527</v>
      </c>
      <c r="AH284">
        <v>0</v>
      </c>
      <c r="AI284">
        <v>499</v>
      </c>
      <c r="AJ284">
        <v>69</v>
      </c>
      <c r="AK284">
        <v>0</v>
      </c>
      <c r="AL284">
        <v>0</v>
      </c>
    </row>
    <row r="285" spans="1:38" x14ac:dyDescent="0.3">
      <c r="A285" t="s">
        <v>465</v>
      </c>
      <c r="B285">
        <v>112883</v>
      </c>
      <c r="C285">
        <v>7</v>
      </c>
      <c r="D285" t="s">
        <v>627</v>
      </c>
      <c r="E285" t="s">
        <v>523</v>
      </c>
      <c r="F285">
        <v>29</v>
      </c>
      <c r="G285">
        <v>19.13</v>
      </c>
      <c r="H285">
        <v>63.26</v>
      </c>
      <c r="I285">
        <v>14.84</v>
      </c>
      <c r="J285">
        <v>49.07</v>
      </c>
      <c r="K285">
        <v>12</v>
      </c>
      <c r="T285">
        <v>1</v>
      </c>
      <c r="U285">
        <v>1</v>
      </c>
      <c r="V285" t="s">
        <v>226</v>
      </c>
      <c r="W285">
        <v>63</v>
      </c>
      <c r="X285">
        <v>10</v>
      </c>
      <c r="Y285">
        <v>5</v>
      </c>
      <c r="Z285" t="s">
        <v>628</v>
      </c>
      <c r="AA285" t="s">
        <v>526</v>
      </c>
      <c r="AB285" t="s">
        <v>229</v>
      </c>
      <c r="AC285" t="s">
        <v>230</v>
      </c>
      <c r="AD285" t="s">
        <v>231</v>
      </c>
      <c r="AE285" t="s">
        <v>470</v>
      </c>
      <c r="AG285" t="s">
        <v>527</v>
      </c>
      <c r="AH285">
        <v>0</v>
      </c>
      <c r="AI285">
        <v>499</v>
      </c>
      <c r="AJ285">
        <v>69</v>
      </c>
      <c r="AK285">
        <v>0</v>
      </c>
      <c r="AL285">
        <v>0</v>
      </c>
    </row>
    <row r="286" spans="1:38" x14ac:dyDescent="0.3">
      <c r="A286" t="s">
        <v>465</v>
      </c>
      <c r="B286">
        <v>112526</v>
      </c>
      <c r="C286">
        <v>1</v>
      </c>
      <c r="D286" t="s">
        <v>630</v>
      </c>
      <c r="E286" t="s">
        <v>606</v>
      </c>
      <c r="F286">
        <v>419</v>
      </c>
      <c r="G286">
        <v>11.12</v>
      </c>
      <c r="H286">
        <v>36.78</v>
      </c>
      <c r="I286">
        <v>6.19</v>
      </c>
      <c r="J286">
        <v>20.47</v>
      </c>
      <c r="K286">
        <v>284</v>
      </c>
      <c r="T286">
        <v>1</v>
      </c>
      <c r="U286">
        <v>1</v>
      </c>
      <c r="V286" t="s">
        <v>233</v>
      </c>
      <c r="W286" t="s">
        <v>130</v>
      </c>
      <c r="X286">
        <v>16</v>
      </c>
      <c r="Y286">
        <v>16</v>
      </c>
      <c r="Z286" t="s">
        <v>631</v>
      </c>
      <c r="AA286" t="s">
        <v>609</v>
      </c>
      <c r="AB286" t="s">
        <v>229</v>
      </c>
      <c r="AC286" t="s">
        <v>230</v>
      </c>
      <c r="AD286" t="s">
        <v>231</v>
      </c>
      <c r="AE286" t="s">
        <v>470</v>
      </c>
      <c r="AG286" t="s">
        <v>610</v>
      </c>
      <c r="AH286">
        <v>0</v>
      </c>
      <c r="AI286">
        <v>828</v>
      </c>
      <c r="AJ286">
        <v>54</v>
      </c>
      <c r="AK286">
        <v>142</v>
      </c>
      <c r="AL286">
        <v>0.34</v>
      </c>
    </row>
    <row r="287" spans="1:38" x14ac:dyDescent="0.3">
      <c r="A287" t="s">
        <v>465</v>
      </c>
      <c r="B287">
        <v>112526</v>
      </c>
      <c r="C287">
        <v>2</v>
      </c>
      <c r="D287" t="s">
        <v>630</v>
      </c>
      <c r="E287" t="s">
        <v>606</v>
      </c>
      <c r="F287">
        <v>419</v>
      </c>
      <c r="G287">
        <v>14.88</v>
      </c>
      <c r="H287">
        <v>49.22</v>
      </c>
      <c r="I287">
        <v>8.2799999999999994</v>
      </c>
      <c r="J287">
        <v>27.39</v>
      </c>
      <c r="K287">
        <v>30</v>
      </c>
      <c r="T287">
        <v>1</v>
      </c>
      <c r="U287">
        <v>1</v>
      </c>
      <c r="V287" t="s">
        <v>233</v>
      </c>
      <c r="W287" t="s">
        <v>131</v>
      </c>
      <c r="X287">
        <v>16</v>
      </c>
      <c r="Y287">
        <v>16</v>
      </c>
      <c r="Z287" t="s">
        <v>631</v>
      </c>
      <c r="AA287" t="s">
        <v>609</v>
      </c>
      <c r="AB287" t="s">
        <v>229</v>
      </c>
      <c r="AC287" t="s">
        <v>230</v>
      </c>
      <c r="AD287" t="s">
        <v>231</v>
      </c>
      <c r="AE287" t="s">
        <v>470</v>
      </c>
      <c r="AG287" t="s">
        <v>610</v>
      </c>
      <c r="AH287">
        <v>0</v>
      </c>
      <c r="AI287">
        <v>828</v>
      </c>
      <c r="AJ287">
        <v>54</v>
      </c>
      <c r="AK287">
        <v>142</v>
      </c>
      <c r="AL287">
        <v>0.34</v>
      </c>
    </row>
    <row r="288" spans="1:38" x14ac:dyDescent="0.3">
      <c r="A288" t="s">
        <v>465</v>
      </c>
      <c r="B288">
        <v>112526</v>
      </c>
      <c r="C288">
        <v>3</v>
      </c>
      <c r="D288" t="s">
        <v>630</v>
      </c>
      <c r="E288" t="s">
        <v>606</v>
      </c>
      <c r="F288">
        <v>419</v>
      </c>
      <c r="G288">
        <v>20.440000000000001</v>
      </c>
      <c r="H288">
        <v>67.59</v>
      </c>
      <c r="I288">
        <v>11.37</v>
      </c>
      <c r="J288">
        <v>37.61</v>
      </c>
      <c r="K288">
        <v>105</v>
      </c>
      <c r="T288">
        <v>1</v>
      </c>
      <c r="U288">
        <v>1</v>
      </c>
      <c r="V288" t="s">
        <v>233</v>
      </c>
      <c r="W288" t="s">
        <v>132</v>
      </c>
      <c r="X288">
        <v>16</v>
      </c>
      <c r="Y288">
        <v>16</v>
      </c>
      <c r="Z288" t="s">
        <v>631</v>
      </c>
      <c r="AA288" t="s">
        <v>609</v>
      </c>
      <c r="AB288" t="s">
        <v>229</v>
      </c>
      <c r="AC288" t="s">
        <v>230</v>
      </c>
      <c r="AD288" t="s">
        <v>231</v>
      </c>
      <c r="AE288" t="s">
        <v>470</v>
      </c>
      <c r="AG288" t="s">
        <v>610</v>
      </c>
      <c r="AH288">
        <v>0</v>
      </c>
      <c r="AI288">
        <v>828</v>
      </c>
      <c r="AJ288">
        <v>54</v>
      </c>
      <c r="AK288">
        <v>142</v>
      </c>
      <c r="AL288">
        <v>0.34</v>
      </c>
    </row>
    <row r="289" spans="1:38" x14ac:dyDescent="0.3">
      <c r="A289" t="s">
        <v>465</v>
      </c>
      <c r="B289">
        <v>100655</v>
      </c>
      <c r="C289">
        <v>1</v>
      </c>
      <c r="D289" t="s">
        <v>632</v>
      </c>
      <c r="E289" t="s">
        <v>633</v>
      </c>
      <c r="F289">
        <v>79</v>
      </c>
      <c r="G289">
        <v>11.21</v>
      </c>
      <c r="H289">
        <v>37.090000000000003</v>
      </c>
      <c r="I289">
        <v>8</v>
      </c>
      <c r="J289">
        <v>26.46</v>
      </c>
      <c r="K289">
        <v>79</v>
      </c>
      <c r="T289">
        <v>2</v>
      </c>
      <c r="U289">
        <v>1</v>
      </c>
      <c r="V289" t="s">
        <v>233</v>
      </c>
      <c r="W289">
        <v>37</v>
      </c>
      <c r="X289">
        <v>6</v>
      </c>
      <c r="Y289">
        <v>4</v>
      </c>
      <c r="Z289" t="s">
        <v>634</v>
      </c>
      <c r="AA289" t="s">
        <v>635</v>
      </c>
      <c r="AB289" t="s">
        <v>229</v>
      </c>
      <c r="AC289" t="s">
        <v>230</v>
      </c>
      <c r="AD289" t="s">
        <v>231</v>
      </c>
      <c r="AE289" t="s">
        <v>470</v>
      </c>
      <c r="AG289" t="s">
        <v>636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 x14ac:dyDescent="0.3">
      <c r="A290" t="s">
        <v>465</v>
      </c>
      <c r="B290">
        <v>112892</v>
      </c>
      <c r="C290">
        <v>1</v>
      </c>
      <c r="D290" t="s">
        <v>637</v>
      </c>
      <c r="E290" t="s">
        <v>623</v>
      </c>
      <c r="F290">
        <v>29</v>
      </c>
      <c r="G290">
        <v>8.17</v>
      </c>
      <c r="H290">
        <v>27.02</v>
      </c>
      <c r="I290">
        <v>6.28</v>
      </c>
      <c r="J290">
        <v>20.78</v>
      </c>
      <c r="K290">
        <v>5</v>
      </c>
      <c r="T290">
        <v>1</v>
      </c>
      <c r="U290">
        <v>1</v>
      </c>
      <c r="V290" t="s">
        <v>233</v>
      </c>
      <c r="W290">
        <v>27</v>
      </c>
      <c r="X290">
        <v>10</v>
      </c>
      <c r="Y290">
        <v>8</v>
      </c>
      <c r="Z290" t="s">
        <v>638</v>
      </c>
      <c r="AA290" t="s">
        <v>625</v>
      </c>
      <c r="AB290" t="s">
        <v>229</v>
      </c>
      <c r="AC290" t="s">
        <v>230</v>
      </c>
      <c r="AD290" t="s">
        <v>231</v>
      </c>
      <c r="AE290" t="s">
        <v>470</v>
      </c>
      <c r="AG290" t="s">
        <v>626</v>
      </c>
      <c r="AH290">
        <v>0</v>
      </c>
      <c r="AI290">
        <v>450</v>
      </c>
      <c r="AJ290">
        <v>55</v>
      </c>
      <c r="AK290">
        <v>0</v>
      </c>
      <c r="AL290">
        <v>0</v>
      </c>
    </row>
    <row r="291" spans="1:38" x14ac:dyDescent="0.3">
      <c r="A291" t="s">
        <v>465</v>
      </c>
      <c r="B291">
        <v>112892</v>
      </c>
      <c r="C291">
        <v>2</v>
      </c>
      <c r="D291" t="s">
        <v>637</v>
      </c>
      <c r="E291" t="s">
        <v>623</v>
      </c>
      <c r="F291">
        <v>29</v>
      </c>
      <c r="G291">
        <v>9.25</v>
      </c>
      <c r="H291">
        <v>30.58</v>
      </c>
      <c r="I291">
        <v>7.11</v>
      </c>
      <c r="J291">
        <v>23.52</v>
      </c>
      <c r="K291">
        <v>4</v>
      </c>
      <c r="T291">
        <v>1</v>
      </c>
      <c r="U291">
        <v>1</v>
      </c>
      <c r="V291" t="s">
        <v>233</v>
      </c>
      <c r="W291">
        <v>30</v>
      </c>
      <c r="X291">
        <v>10</v>
      </c>
      <c r="Y291">
        <v>8</v>
      </c>
      <c r="Z291" t="s">
        <v>638</v>
      </c>
      <c r="AA291" t="s">
        <v>625</v>
      </c>
      <c r="AB291" t="s">
        <v>229</v>
      </c>
      <c r="AC291" t="s">
        <v>230</v>
      </c>
      <c r="AD291" t="s">
        <v>231</v>
      </c>
      <c r="AE291" t="s">
        <v>470</v>
      </c>
      <c r="AG291" t="s">
        <v>626</v>
      </c>
      <c r="AH291">
        <v>0</v>
      </c>
      <c r="AI291">
        <v>450</v>
      </c>
      <c r="AJ291">
        <v>55</v>
      </c>
      <c r="AK291">
        <v>0</v>
      </c>
      <c r="AL291">
        <v>0</v>
      </c>
    </row>
    <row r="292" spans="1:38" x14ac:dyDescent="0.3">
      <c r="A292" t="s">
        <v>465</v>
      </c>
      <c r="B292">
        <v>112892</v>
      </c>
      <c r="C292">
        <v>3</v>
      </c>
      <c r="D292" t="s">
        <v>637</v>
      </c>
      <c r="E292" t="s">
        <v>623</v>
      </c>
      <c r="F292">
        <v>29</v>
      </c>
      <c r="G292">
        <v>11.82</v>
      </c>
      <c r="H292">
        <v>39.1</v>
      </c>
      <c r="I292">
        <v>9.09</v>
      </c>
      <c r="J292">
        <v>30.08</v>
      </c>
      <c r="K292">
        <v>1</v>
      </c>
      <c r="T292">
        <v>1</v>
      </c>
      <c r="U292">
        <v>1</v>
      </c>
      <c r="V292" t="s">
        <v>233</v>
      </c>
      <c r="W292">
        <v>39</v>
      </c>
      <c r="X292">
        <v>10</v>
      </c>
      <c r="Y292">
        <v>8</v>
      </c>
      <c r="Z292" t="s">
        <v>638</v>
      </c>
      <c r="AA292" t="s">
        <v>625</v>
      </c>
      <c r="AB292" t="s">
        <v>229</v>
      </c>
      <c r="AC292" t="s">
        <v>230</v>
      </c>
      <c r="AD292" t="s">
        <v>231</v>
      </c>
      <c r="AE292" t="s">
        <v>470</v>
      </c>
      <c r="AG292" t="s">
        <v>626</v>
      </c>
      <c r="AH292">
        <v>0</v>
      </c>
      <c r="AI292">
        <v>450</v>
      </c>
      <c r="AJ292">
        <v>55</v>
      </c>
      <c r="AK292">
        <v>0</v>
      </c>
      <c r="AL292">
        <v>0</v>
      </c>
    </row>
    <row r="293" spans="1:38" x14ac:dyDescent="0.3">
      <c r="A293" t="s">
        <v>465</v>
      </c>
      <c r="B293">
        <v>112892</v>
      </c>
      <c r="C293">
        <v>4</v>
      </c>
      <c r="D293" t="s">
        <v>637</v>
      </c>
      <c r="E293" t="s">
        <v>623</v>
      </c>
      <c r="F293">
        <v>29</v>
      </c>
      <c r="G293">
        <v>13.16</v>
      </c>
      <c r="H293">
        <v>43.52</v>
      </c>
      <c r="I293">
        <v>10.119999999999999</v>
      </c>
      <c r="J293">
        <v>33.479999999999997</v>
      </c>
      <c r="K293">
        <v>1</v>
      </c>
      <c r="T293">
        <v>1</v>
      </c>
      <c r="U293">
        <v>1</v>
      </c>
      <c r="V293" t="s">
        <v>233</v>
      </c>
      <c r="W293">
        <v>43</v>
      </c>
      <c r="X293">
        <v>10</v>
      </c>
      <c r="Y293">
        <v>8</v>
      </c>
      <c r="Z293" t="s">
        <v>638</v>
      </c>
      <c r="AA293" t="s">
        <v>625</v>
      </c>
      <c r="AB293" t="s">
        <v>229</v>
      </c>
      <c r="AC293" t="s">
        <v>230</v>
      </c>
      <c r="AD293" t="s">
        <v>231</v>
      </c>
      <c r="AE293" t="s">
        <v>470</v>
      </c>
      <c r="AG293" t="s">
        <v>626</v>
      </c>
      <c r="AH293">
        <v>0</v>
      </c>
      <c r="AI293">
        <v>450</v>
      </c>
      <c r="AJ293">
        <v>55</v>
      </c>
      <c r="AK293">
        <v>0</v>
      </c>
      <c r="AL293">
        <v>0</v>
      </c>
    </row>
    <row r="294" spans="1:38" x14ac:dyDescent="0.3">
      <c r="A294" t="s">
        <v>465</v>
      </c>
      <c r="B294">
        <v>112892</v>
      </c>
      <c r="C294">
        <v>5</v>
      </c>
      <c r="D294" t="s">
        <v>637</v>
      </c>
      <c r="E294" t="s">
        <v>623</v>
      </c>
      <c r="F294">
        <v>29</v>
      </c>
      <c r="G294">
        <v>13.64</v>
      </c>
      <c r="H294">
        <v>45.1</v>
      </c>
      <c r="I294">
        <v>10.49</v>
      </c>
      <c r="J294">
        <v>34.700000000000003</v>
      </c>
      <c r="K294">
        <v>1</v>
      </c>
      <c r="T294">
        <v>1</v>
      </c>
      <c r="U294">
        <v>1</v>
      </c>
      <c r="V294" t="s">
        <v>233</v>
      </c>
      <c r="W294" t="s">
        <v>639</v>
      </c>
      <c r="X294">
        <v>10</v>
      </c>
      <c r="Y294">
        <v>8</v>
      </c>
      <c r="Z294" t="s">
        <v>638</v>
      </c>
      <c r="AA294" t="s">
        <v>625</v>
      </c>
      <c r="AB294" t="s">
        <v>229</v>
      </c>
      <c r="AC294" t="s">
        <v>230</v>
      </c>
      <c r="AD294" t="s">
        <v>231</v>
      </c>
      <c r="AE294" t="s">
        <v>470</v>
      </c>
      <c r="AG294" t="s">
        <v>626</v>
      </c>
      <c r="AH294">
        <v>0</v>
      </c>
      <c r="AI294">
        <v>450</v>
      </c>
      <c r="AJ294">
        <v>55</v>
      </c>
      <c r="AK294">
        <v>0</v>
      </c>
      <c r="AL294">
        <v>0</v>
      </c>
    </row>
    <row r="295" spans="1:38" x14ac:dyDescent="0.3">
      <c r="A295" t="s">
        <v>465</v>
      </c>
      <c r="B295">
        <v>112892</v>
      </c>
      <c r="C295">
        <v>6</v>
      </c>
      <c r="D295" t="s">
        <v>637</v>
      </c>
      <c r="E295" t="s">
        <v>623</v>
      </c>
      <c r="F295">
        <v>29</v>
      </c>
      <c r="G295">
        <v>14.11</v>
      </c>
      <c r="H295">
        <v>46.67</v>
      </c>
      <c r="I295">
        <v>10.85</v>
      </c>
      <c r="J295">
        <v>35.9</v>
      </c>
      <c r="K295">
        <v>5</v>
      </c>
      <c r="T295">
        <v>1</v>
      </c>
      <c r="U295">
        <v>1</v>
      </c>
      <c r="V295" t="s">
        <v>233</v>
      </c>
      <c r="W295" t="s">
        <v>640</v>
      </c>
      <c r="X295">
        <v>10</v>
      </c>
      <c r="Y295">
        <v>8</v>
      </c>
      <c r="Z295" t="s">
        <v>638</v>
      </c>
      <c r="AA295" t="s">
        <v>625</v>
      </c>
      <c r="AB295" t="s">
        <v>229</v>
      </c>
      <c r="AC295" t="s">
        <v>230</v>
      </c>
      <c r="AD295" t="s">
        <v>231</v>
      </c>
      <c r="AE295" t="s">
        <v>470</v>
      </c>
      <c r="AG295" t="s">
        <v>626</v>
      </c>
      <c r="AH295">
        <v>0</v>
      </c>
      <c r="AI295">
        <v>450</v>
      </c>
      <c r="AJ295">
        <v>55</v>
      </c>
      <c r="AK295">
        <v>0</v>
      </c>
      <c r="AL295">
        <v>0</v>
      </c>
    </row>
    <row r="296" spans="1:38" x14ac:dyDescent="0.3">
      <c r="A296" t="s">
        <v>465</v>
      </c>
      <c r="B296">
        <v>112892</v>
      </c>
      <c r="C296">
        <v>7</v>
      </c>
      <c r="D296" t="s">
        <v>637</v>
      </c>
      <c r="E296" t="s">
        <v>623</v>
      </c>
      <c r="F296">
        <v>29</v>
      </c>
      <c r="G296">
        <v>16.59</v>
      </c>
      <c r="H296">
        <v>54.86</v>
      </c>
      <c r="I296">
        <v>12.76</v>
      </c>
      <c r="J296">
        <v>42.2</v>
      </c>
      <c r="K296">
        <v>5</v>
      </c>
      <c r="T296">
        <v>1</v>
      </c>
      <c r="U296">
        <v>1</v>
      </c>
      <c r="V296" t="s">
        <v>233</v>
      </c>
      <c r="W296">
        <v>54</v>
      </c>
      <c r="X296">
        <v>10</v>
      </c>
      <c r="Y296">
        <v>8</v>
      </c>
      <c r="Z296" t="s">
        <v>638</v>
      </c>
      <c r="AA296" t="s">
        <v>625</v>
      </c>
      <c r="AB296" t="s">
        <v>229</v>
      </c>
      <c r="AC296" t="s">
        <v>230</v>
      </c>
      <c r="AD296" t="s">
        <v>231</v>
      </c>
      <c r="AE296" t="s">
        <v>470</v>
      </c>
      <c r="AG296" t="s">
        <v>626</v>
      </c>
      <c r="AH296">
        <v>0</v>
      </c>
      <c r="AI296">
        <v>450</v>
      </c>
      <c r="AJ296">
        <v>55</v>
      </c>
      <c r="AK296">
        <v>0</v>
      </c>
      <c r="AL296">
        <v>0</v>
      </c>
    </row>
    <row r="297" spans="1:38" x14ac:dyDescent="0.3">
      <c r="A297" t="s">
        <v>465</v>
      </c>
      <c r="B297">
        <v>112892</v>
      </c>
      <c r="C297">
        <v>8</v>
      </c>
      <c r="D297" t="s">
        <v>637</v>
      </c>
      <c r="E297" t="s">
        <v>623</v>
      </c>
      <c r="F297">
        <v>29</v>
      </c>
      <c r="G297">
        <v>18.5</v>
      </c>
      <c r="H297">
        <v>61.16</v>
      </c>
      <c r="I297">
        <v>14.22</v>
      </c>
      <c r="J297">
        <v>47.04</v>
      </c>
      <c r="K297">
        <v>1</v>
      </c>
      <c r="T297">
        <v>1</v>
      </c>
      <c r="U297">
        <v>1</v>
      </c>
      <c r="V297" t="s">
        <v>233</v>
      </c>
      <c r="W297">
        <v>61</v>
      </c>
      <c r="X297">
        <v>10</v>
      </c>
      <c r="Y297">
        <v>8</v>
      </c>
      <c r="Z297" t="s">
        <v>638</v>
      </c>
      <c r="AA297" t="s">
        <v>625</v>
      </c>
      <c r="AB297" t="s">
        <v>229</v>
      </c>
      <c r="AC297" t="s">
        <v>230</v>
      </c>
      <c r="AD297" t="s">
        <v>231</v>
      </c>
      <c r="AE297" t="s">
        <v>470</v>
      </c>
      <c r="AG297" t="s">
        <v>626</v>
      </c>
      <c r="AH297">
        <v>0</v>
      </c>
      <c r="AI297">
        <v>450</v>
      </c>
      <c r="AJ297">
        <v>55</v>
      </c>
      <c r="AK297">
        <v>0</v>
      </c>
      <c r="AL297">
        <v>0</v>
      </c>
    </row>
    <row r="298" spans="1:38" x14ac:dyDescent="0.3">
      <c r="A298" t="s">
        <v>465</v>
      </c>
      <c r="B298">
        <v>112892</v>
      </c>
      <c r="C298">
        <v>9</v>
      </c>
      <c r="D298" t="s">
        <v>637</v>
      </c>
      <c r="E298" t="s">
        <v>623</v>
      </c>
      <c r="F298">
        <v>29</v>
      </c>
      <c r="G298">
        <v>19.52</v>
      </c>
      <c r="H298">
        <v>64.56</v>
      </c>
      <c r="I298">
        <v>15.02</v>
      </c>
      <c r="J298">
        <v>49.66</v>
      </c>
      <c r="K298">
        <v>5</v>
      </c>
      <c r="T298">
        <v>1</v>
      </c>
      <c r="U298">
        <v>1</v>
      </c>
      <c r="V298" t="s">
        <v>233</v>
      </c>
      <c r="W298">
        <v>64</v>
      </c>
      <c r="X298">
        <v>10</v>
      </c>
      <c r="Y298">
        <v>8</v>
      </c>
      <c r="Z298" t="s">
        <v>638</v>
      </c>
      <c r="AA298" t="s">
        <v>625</v>
      </c>
      <c r="AB298" t="s">
        <v>229</v>
      </c>
      <c r="AC298" t="s">
        <v>230</v>
      </c>
      <c r="AD298" t="s">
        <v>231</v>
      </c>
      <c r="AE298" t="s">
        <v>470</v>
      </c>
      <c r="AG298" t="s">
        <v>626</v>
      </c>
      <c r="AH298">
        <v>0</v>
      </c>
      <c r="AI298">
        <v>450</v>
      </c>
      <c r="AJ298">
        <v>55</v>
      </c>
      <c r="AK298">
        <v>0</v>
      </c>
      <c r="AL298">
        <v>0</v>
      </c>
    </row>
    <row r="299" spans="1:38" x14ac:dyDescent="0.3">
      <c r="A299" t="s">
        <v>465</v>
      </c>
      <c r="B299">
        <v>112892</v>
      </c>
      <c r="C299">
        <v>10</v>
      </c>
      <c r="D299" t="s">
        <v>637</v>
      </c>
      <c r="E299" t="s">
        <v>623</v>
      </c>
      <c r="F299">
        <v>29</v>
      </c>
      <c r="G299">
        <v>33.19</v>
      </c>
      <c r="H299">
        <v>109.72</v>
      </c>
      <c r="I299">
        <v>25.53</v>
      </c>
      <c r="J299">
        <v>84.4</v>
      </c>
      <c r="K299">
        <v>1</v>
      </c>
      <c r="T299">
        <v>3</v>
      </c>
      <c r="U299">
        <v>1</v>
      </c>
      <c r="V299" t="s">
        <v>233</v>
      </c>
      <c r="W299">
        <v>109</v>
      </c>
      <c r="X299">
        <v>10</v>
      </c>
      <c r="Y299">
        <v>8</v>
      </c>
      <c r="Z299" t="s">
        <v>638</v>
      </c>
      <c r="AA299" t="s">
        <v>625</v>
      </c>
      <c r="AB299" t="s">
        <v>229</v>
      </c>
      <c r="AC299" t="s">
        <v>230</v>
      </c>
      <c r="AD299" t="s">
        <v>231</v>
      </c>
      <c r="AE299" t="s">
        <v>470</v>
      </c>
      <c r="AG299" t="s">
        <v>626</v>
      </c>
      <c r="AH299">
        <v>0</v>
      </c>
      <c r="AI299">
        <v>450</v>
      </c>
      <c r="AJ299">
        <v>55</v>
      </c>
      <c r="AK299">
        <v>0</v>
      </c>
      <c r="AL299">
        <v>0</v>
      </c>
    </row>
    <row r="300" spans="1:38" x14ac:dyDescent="0.3">
      <c r="A300" t="s">
        <v>465</v>
      </c>
      <c r="B300">
        <v>113036</v>
      </c>
      <c r="C300">
        <v>1</v>
      </c>
      <c r="D300" t="s">
        <v>641</v>
      </c>
      <c r="E300" t="s">
        <v>642</v>
      </c>
      <c r="F300">
        <v>24</v>
      </c>
      <c r="G300">
        <v>29.03</v>
      </c>
      <c r="H300">
        <v>95.99</v>
      </c>
      <c r="I300">
        <v>15.13</v>
      </c>
      <c r="J300">
        <v>50.03</v>
      </c>
      <c r="K300">
        <v>8</v>
      </c>
      <c r="T300">
        <v>1</v>
      </c>
      <c r="U300">
        <v>1</v>
      </c>
      <c r="V300" t="s">
        <v>226</v>
      </c>
      <c r="W300" t="s">
        <v>643</v>
      </c>
      <c r="X300">
        <v>4</v>
      </c>
      <c r="Y300">
        <v>4</v>
      </c>
      <c r="Z300" t="s">
        <v>644</v>
      </c>
      <c r="AA300" t="s">
        <v>645</v>
      </c>
      <c r="AB300" t="s">
        <v>229</v>
      </c>
      <c r="AC300" t="s">
        <v>230</v>
      </c>
      <c r="AD300" t="s">
        <v>231</v>
      </c>
      <c r="AE300" t="s">
        <v>470</v>
      </c>
      <c r="AG300" t="s">
        <v>646</v>
      </c>
      <c r="AH300">
        <v>0</v>
      </c>
      <c r="AI300">
        <v>873</v>
      </c>
      <c r="AJ300">
        <v>69</v>
      </c>
      <c r="AK300">
        <v>16</v>
      </c>
      <c r="AL300">
        <v>0.67</v>
      </c>
    </row>
    <row r="301" spans="1:38" x14ac:dyDescent="0.3">
      <c r="A301" t="s">
        <v>465</v>
      </c>
      <c r="B301">
        <v>113036</v>
      </c>
      <c r="C301">
        <v>2</v>
      </c>
      <c r="D301" t="s">
        <v>641</v>
      </c>
      <c r="E301" t="s">
        <v>642</v>
      </c>
      <c r="F301">
        <v>24</v>
      </c>
      <c r="G301">
        <v>29.15</v>
      </c>
      <c r="H301">
        <v>96.38</v>
      </c>
      <c r="I301">
        <v>15.19</v>
      </c>
      <c r="J301">
        <v>50.23</v>
      </c>
      <c r="K301">
        <v>8</v>
      </c>
      <c r="T301">
        <v>1</v>
      </c>
      <c r="U301">
        <v>1</v>
      </c>
      <c r="V301" t="s">
        <v>226</v>
      </c>
      <c r="W301" t="s">
        <v>647</v>
      </c>
      <c r="X301">
        <v>4</v>
      </c>
      <c r="Y301">
        <v>4</v>
      </c>
      <c r="Z301" t="s">
        <v>644</v>
      </c>
      <c r="AA301" t="s">
        <v>645</v>
      </c>
      <c r="AB301" t="s">
        <v>229</v>
      </c>
      <c r="AC301" t="s">
        <v>230</v>
      </c>
      <c r="AD301" t="s">
        <v>231</v>
      </c>
      <c r="AE301" t="s">
        <v>470</v>
      </c>
      <c r="AG301" t="s">
        <v>646</v>
      </c>
      <c r="AH301">
        <v>0</v>
      </c>
      <c r="AI301">
        <v>873</v>
      </c>
      <c r="AJ301">
        <v>69</v>
      </c>
      <c r="AK301">
        <v>16</v>
      </c>
      <c r="AL301">
        <v>0.67</v>
      </c>
    </row>
    <row r="302" spans="1:38" x14ac:dyDescent="0.3">
      <c r="A302" t="s">
        <v>465</v>
      </c>
      <c r="B302">
        <v>113036</v>
      </c>
      <c r="C302">
        <v>3</v>
      </c>
      <c r="D302" t="s">
        <v>641</v>
      </c>
      <c r="E302" t="s">
        <v>642</v>
      </c>
      <c r="F302">
        <v>24</v>
      </c>
      <c r="G302">
        <v>29.36</v>
      </c>
      <c r="H302">
        <v>97.06</v>
      </c>
      <c r="I302">
        <v>15.3</v>
      </c>
      <c r="J302">
        <v>50.59</v>
      </c>
      <c r="K302">
        <v>8</v>
      </c>
      <c r="T302">
        <v>1</v>
      </c>
      <c r="U302">
        <v>1</v>
      </c>
      <c r="V302" t="s">
        <v>226</v>
      </c>
      <c r="W302" t="s">
        <v>648</v>
      </c>
      <c r="X302">
        <v>4</v>
      </c>
      <c r="Y302">
        <v>4</v>
      </c>
      <c r="Z302" t="s">
        <v>644</v>
      </c>
      <c r="AA302" t="s">
        <v>645</v>
      </c>
      <c r="AB302" t="s">
        <v>229</v>
      </c>
      <c r="AC302" t="s">
        <v>230</v>
      </c>
      <c r="AD302" t="s">
        <v>231</v>
      </c>
      <c r="AE302" t="s">
        <v>470</v>
      </c>
      <c r="AG302" t="s">
        <v>646</v>
      </c>
      <c r="AH302">
        <v>0</v>
      </c>
      <c r="AI302">
        <v>873</v>
      </c>
      <c r="AJ302">
        <v>69</v>
      </c>
      <c r="AK302">
        <v>16</v>
      </c>
      <c r="AL302">
        <v>0.67</v>
      </c>
    </row>
    <row r="303" spans="1:38" x14ac:dyDescent="0.3">
      <c r="A303" t="s">
        <v>465</v>
      </c>
      <c r="B303">
        <v>127523</v>
      </c>
      <c r="C303">
        <v>1</v>
      </c>
      <c r="D303" t="s">
        <v>649</v>
      </c>
      <c r="E303" t="s">
        <v>593</v>
      </c>
      <c r="F303">
        <v>13</v>
      </c>
      <c r="G303">
        <v>11.83</v>
      </c>
      <c r="H303">
        <v>39.14</v>
      </c>
      <c r="I303">
        <v>7.21</v>
      </c>
      <c r="J303">
        <v>23.84</v>
      </c>
      <c r="K303">
        <v>2</v>
      </c>
      <c r="T303">
        <v>1</v>
      </c>
      <c r="U303">
        <v>1</v>
      </c>
      <c r="V303" t="s">
        <v>233</v>
      </c>
      <c r="W303">
        <v>39</v>
      </c>
      <c r="X303">
        <v>2</v>
      </c>
      <c r="Y303">
        <v>2</v>
      </c>
      <c r="Z303" t="s">
        <v>650</v>
      </c>
      <c r="AA303" t="s">
        <v>595</v>
      </c>
      <c r="AB303" t="s">
        <v>229</v>
      </c>
      <c r="AC303" t="s">
        <v>230</v>
      </c>
      <c r="AD303" t="s">
        <v>231</v>
      </c>
      <c r="AE303" t="s">
        <v>470</v>
      </c>
      <c r="AG303" t="s">
        <v>596</v>
      </c>
      <c r="AH303">
        <v>0</v>
      </c>
      <c r="AI303">
        <v>749</v>
      </c>
      <c r="AJ303">
        <v>69</v>
      </c>
      <c r="AK303">
        <v>4</v>
      </c>
      <c r="AL303">
        <v>0.31</v>
      </c>
    </row>
    <row r="304" spans="1:38" x14ac:dyDescent="0.3">
      <c r="A304" t="s">
        <v>465</v>
      </c>
      <c r="B304">
        <v>127523</v>
      </c>
      <c r="C304">
        <v>2</v>
      </c>
      <c r="D304" t="s">
        <v>649</v>
      </c>
      <c r="E304" t="s">
        <v>593</v>
      </c>
      <c r="F304">
        <v>13</v>
      </c>
      <c r="G304">
        <v>19.940000000000001</v>
      </c>
      <c r="H304">
        <v>65.930000000000007</v>
      </c>
      <c r="I304">
        <v>12.14</v>
      </c>
      <c r="J304">
        <v>40.159999999999997</v>
      </c>
      <c r="K304">
        <v>1</v>
      </c>
      <c r="T304">
        <v>1</v>
      </c>
      <c r="U304">
        <v>1</v>
      </c>
      <c r="V304" t="s">
        <v>233</v>
      </c>
      <c r="W304">
        <v>65</v>
      </c>
      <c r="X304">
        <v>2</v>
      </c>
      <c r="Y304">
        <v>2</v>
      </c>
      <c r="Z304" t="s">
        <v>650</v>
      </c>
      <c r="AA304" t="s">
        <v>595</v>
      </c>
      <c r="AB304" t="s">
        <v>229</v>
      </c>
      <c r="AC304" t="s">
        <v>230</v>
      </c>
      <c r="AD304" t="s">
        <v>231</v>
      </c>
      <c r="AE304" t="s">
        <v>470</v>
      </c>
      <c r="AG304" t="s">
        <v>596</v>
      </c>
      <c r="AH304">
        <v>0</v>
      </c>
      <c r="AI304">
        <v>749</v>
      </c>
      <c r="AJ304">
        <v>69</v>
      </c>
      <c r="AK304">
        <v>4</v>
      </c>
      <c r="AL304">
        <v>0.31</v>
      </c>
    </row>
    <row r="305" spans="1:38" x14ac:dyDescent="0.3">
      <c r="A305" t="s">
        <v>465</v>
      </c>
      <c r="B305">
        <v>127523</v>
      </c>
      <c r="C305">
        <v>3</v>
      </c>
      <c r="D305" t="s">
        <v>649</v>
      </c>
      <c r="E305" t="s">
        <v>593</v>
      </c>
      <c r="F305">
        <v>13</v>
      </c>
      <c r="G305">
        <v>21.48</v>
      </c>
      <c r="H305">
        <v>71.040000000000006</v>
      </c>
      <c r="I305">
        <v>13.08</v>
      </c>
      <c r="J305">
        <v>43.27</v>
      </c>
      <c r="K305">
        <v>6</v>
      </c>
      <c r="T305">
        <v>1</v>
      </c>
      <c r="U305">
        <v>1</v>
      </c>
      <c r="V305" t="s">
        <v>233</v>
      </c>
      <c r="W305">
        <v>71</v>
      </c>
      <c r="X305">
        <v>2</v>
      </c>
      <c r="Y305">
        <v>2</v>
      </c>
      <c r="Z305" t="s">
        <v>650</v>
      </c>
      <c r="AA305" t="s">
        <v>595</v>
      </c>
      <c r="AB305" t="s">
        <v>229</v>
      </c>
      <c r="AC305" t="s">
        <v>230</v>
      </c>
      <c r="AD305" t="s">
        <v>231</v>
      </c>
      <c r="AE305" t="s">
        <v>470</v>
      </c>
      <c r="AG305" t="s">
        <v>596</v>
      </c>
      <c r="AH305">
        <v>0</v>
      </c>
      <c r="AI305">
        <v>749</v>
      </c>
      <c r="AJ305">
        <v>69</v>
      </c>
      <c r="AK305">
        <v>4</v>
      </c>
      <c r="AL305">
        <v>0.31</v>
      </c>
    </row>
    <row r="306" spans="1:38" x14ac:dyDescent="0.3">
      <c r="A306" t="s">
        <v>465</v>
      </c>
      <c r="B306">
        <v>127523</v>
      </c>
      <c r="C306">
        <v>4</v>
      </c>
      <c r="D306" t="s">
        <v>649</v>
      </c>
      <c r="E306" t="s">
        <v>593</v>
      </c>
      <c r="F306">
        <v>13</v>
      </c>
      <c r="G306">
        <v>28.12</v>
      </c>
      <c r="H306">
        <v>92.98</v>
      </c>
      <c r="I306">
        <v>17.13</v>
      </c>
      <c r="J306">
        <v>56.63</v>
      </c>
      <c r="K306">
        <v>2</v>
      </c>
      <c r="T306">
        <v>1</v>
      </c>
      <c r="U306">
        <v>1</v>
      </c>
      <c r="V306" t="s">
        <v>233</v>
      </c>
      <c r="W306" t="s">
        <v>651</v>
      </c>
      <c r="X306">
        <v>2</v>
      </c>
      <c r="Y306">
        <v>2</v>
      </c>
      <c r="Z306" t="s">
        <v>650</v>
      </c>
      <c r="AA306" t="s">
        <v>595</v>
      </c>
      <c r="AB306" t="s">
        <v>229</v>
      </c>
      <c r="AC306" t="s">
        <v>230</v>
      </c>
      <c r="AD306" t="s">
        <v>231</v>
      </c>
      <c r="AE306" t="s">
        <v>470</v>
      </c>
      <c r="AG306" t="s">
        <v>596</v>
      </c>
      <c r="AH306">
        <v>0</v>
      </c>
      <c r="AI306">
        <v>749</v>
      </c>
      <c r="AJ306">
        <v>69</v>
      </c>
      <c r="AK306">
        <v>4</v>
      </c>
      <c r="AL306">
        <v>0.31</v>
      </c>
    </row>
    <row r="307" spans="1:38" x14ac:dyDescent="0.3">
      <c r="A307" t="s">
        <v>465</v>
      </c>
      <c r="B307">
        <v>127523</v>
      </c>
      <c r="C307">
        <v>5</v>
      </c>
      <c r="D307" t="s">
        <v>649</v>
      </c>
      <c r="E307" t="s">
        <v>593</v>
      </c>
      <c r="F307">
        <v>13</v>
      </c>
      <c r="G307">
        <v>28.14</v>
      </c>
      <c r="H307">
        <v>93.03</v>
      </c>
      <c r="I307">
        <v>17.14</v>
      </c>
      <c r="J307">
        <v>56.67</v>
      </c>
      <c r="K307">
        <v>2</v>
      </c>
      <c r="T307">
        <v>1</v>
      </c>
      <c r="U307">
        <v>1</v>
      </c>
      <c r="V307" t="s">
        <v>233</v>
      </c>
      <c r="W307" t="s">
        <v>477</v>
      </c>
      <c r="X307">
        <v>2</v>
      </c>
      <c r="Y307">
        <v>2</v>
      </c>
      <c r="Z307" t="s">
        <v>650</v>
      </c>
      <c r="AA307" t="s">
        <v>595</v>
      </c>
      <c r="AB307" t="s">
        <v>229</v>
      </c>
      <c r="AC307" t="s">
        <v>230</v>
      </c>
      <c r="AD307" t="s">
        <v>231</v>
      </c>
      <c r="AE307" t="s">
        <v>470</v>
      </c>
      <c r="AG307" t="s">
        <v>596</v>
      </c>
      <c r="AH307">
        <v>0</v>
      </c>
      <c r="AI307">
        <v>749</v>
      </c>
      <c r="AJ307">
        <v>69</v>
      </c>
      <c r="AK307">
        <v>4</v>
      </c>
      <c r="AL307">
        <v>0.31</v>
      </c>
    </row>
    <row r="308" spans="1:38" x14ac:dyDescent="0.3">
      <c r="A308" t="s">
        <v>465</v>
      </c>
      <c r="B308">
        <v>113038</v>
      </c>
      <c r="C308">
        <v>1</v>
      </c>
      <c r="D308" t="s">
        <v>652</v>
      </c>
      <c r="E308" t="s">
        <v>642</v>
      </c>
      <c r="F308">
        <v>144</v>
      </c>
      <c r="G308">
        <v>21.93</v>
      </c>
      <c r="H308">
        <v>72.52</v>
      </c>
      <c r="I308">
        <v>14.41</v>
      </c>
      <c r="J308">
        <v>47.66</v>
      </c>
      <c r="K308">
        <v>48</v>
      </c>
      <c r="T308">
        <v>2</v>
      </c>
      <c r="U308">
        <v>1</v>
      </c>
      <c r="V308" t="s">
        <v>226</v>
      </c>
      <c r="W308" t="s">
        <v>653</v>
      </c>
      <c r="X308">
        <v>16</v>
      </c>
      <c r="Y308">
        <v>16</v>
      </c>
      <c r="Z308" t="s">
        <v>654</v>
      </c>
      <c r="AA308" t="s">
        <v>645</v>
      </c>
      <c r="AB308" t="s">
        <v>229</v>
      </c>
      <c r="AC308" t="s">
        <v>230</v>
      </c>
      <c r="AD308" t="s">
        <v>231</v>
      </c>
      <c r="AE308" t="s">
        <v>470</v>
      </c>
      <c r="AG308" t="s">
        <v>646</v>
      </c>
      <c r="AH308">
        <v>0</v>
      </c>
      <c r="AI308">
        <v>898</v>
      </c>
      <c r="AJ308">
        <v>69</v>
      </c>
      <c r="AK308">
        <v>98</v>
      </c>
      <c r="AL308">
        <v>0.68</v>
      </c>
    </row>
    <row r="309" spans="1:38" x14ac:dyDescent="0.3">
      <c r="A309" t="s">
        <v>465</v>
      </c>
      <c r="B309">
        <v>113038</v>
      </c>
      <c r="C309">
        <v>2</v>
      </c>
      <c r="D309" t="s">
        <v>652</v>
      </c>
      <c r="E309" t="s">
        <v>642</v>
      </c>
      <c r="F309">
        <v>144</v>
      </c>
      <c r="G309">
        <v>21.93</v>
      </c>
      <c r="H309">
        <v>72.52</v>
      </c>
      <c r="I309">
        <v>14.41</v>
      </c>
      <c r="J309">
        <v>47.66</v>
      </c>
      <c r="K309">
        <v>48</v>
      </c>
      <c r="T309">
        <v>2</v>
      </c>
      <c r="U309">
        <v>1</v>
      </c>
      <c r="V309" t="s">
        <v>226</v>
      </c>
      <c r="W309" t="s">
        <v>655</v>
      </c>
      <c r="X309">
        <v>16</v>
      </c>
      <c r="Y309">
        <v>16</v>
      </c>
      <c r="Z309" t="s">
        <v>654</v>
      </c>
      <c r="AA309" t="s">
        <v>645</v>
      </c>
      <c r="AB309" t="s">
        <v>229</v>
      </c>
      <c r="AC309" t="s">
        <v>230</v>
      </c>
      <c r="AD309" t="s">
        <v>231</v>
      </c>
      <c r="AE309" t="s">
        <v>470</v>
      </c>
      <c r="AG309" t="s">
        <v>646</v>
      </c>
      <c r="AH309">
        <v>0</v>
      </c>
      <c r="AI309">
        <v>898</v>
      </c>
      <c r="AJ309">
        <v>69</v>
      </c>
      <c r="AK309">
        <v>98</v>
      </c>
      <c r="AL309">
        <v>0.68</v>
      </c>
    </row>
    <row r="310" spans="1:38" x14ac:dyDescent="0.3">
      <c r="A310" t="s">
        <v>465</v>
      </c>
      <c r="B310">
        <v>113038</v>
      </c>
      <c r="C310">
        <v>3</v>
      </c>
      <c r="D310" t="s">
        <v>652</v>
      </c>
      <c r="E310" t="s">
        <v>642</v>
      </c>
      <c r="F310">
        <v>144</v>
      </c>
      <c r="G310">
        <v>22.06</v>
      </c>
      <c r="H310">
        <v>72.94</v>
      </c>
      <c r="I310">
        <v>14.49</v>
      </c>
      <c r="J310">
        <v>47.93</v>
      </c>
      <c r="K310">
        <v>48</v>
      </c>
      <c r="T310">
        <v>2</v>
      </c>
      <c r="U310">
        <v>1</v>
      </c>
      <c r="V310" t="s">
        <v>226</v>
      </c>
      <c r="W310" t="s">
        <v>656</v>
      </c>
      <c r="X310">
        <v>16</v>
      </c>
      <c r="Y310">
        <v>16</v>
      </c>
      <c r="Z310" t="s">
        <v>654</v>
      </c>
      <c r="AA310" t="s">
        <v>645</v>
      </c>
      <c r="AB310" t="s">
        <v>229</v>
      </c>
      <c r="AC310" t="s">
        <v>230</v>
      </c>
      <c r="AD310" t="s">
        <v>231</v>
      </c>
      <c r="AE310" t="s">
        <v>470</v>
      </c>
      <c r="AG310" t="s">
        <v>646</v>
      </c>
      <c r="AH310">
        <v>0</v>
      </c>
      <c r="AI310">
        <v>898</v>
      </c>
      <c r="AJ310">
        <v>69</v>
      </c>
      <c r="AK310">
        <v>98</v>
      </c>
      <c r="AL310">
        <v>0.68</v>
      </c>
    </row>
    <row r="311" spans="1:38" x14ac:dyDescent="0.3">
      <c r="A311" t="s">
        <v>465</v>
      </c>
      <c r="B311">
        <v>111589</v>
      </c>
      <c r="C311">
        <v>1</v>
      </c>
      <c r="D311" t="s">
        <v>657</v>
      </c>
      <c r="E311" t="s">
        <v>658</v>
      </c>
      <c r="F311">
        <v>112</v>
      </c>
      <c r="G311">
        <v>7.15</v>
      </c>
      <c r="H311">
        <v>23.66</v>
      </c>
      <c r="I311">
        <v>5.27</v>
      </c>
      <c r="J311">
        <v>17.43</v>
      </c>
      <c r="K311">
        <v>8</v>
      </c>
      <c r="T311">
        <v>1</v>
      </c>
      <c r="U311">
        <v>1</v>
      </c>
      <c r="V311" t="s">
        <v>233</v>
      </c>
      <c r="W311">
        <v>23</v>
      </c>
      <c r="X311">
        <v>13</v>
      </c>
      <c r="Y311">
        <v>11</v>
      </c>
      <c r="Z311" t="s">
        <v>659</v>
      </c>
      <c r="AA311" t="s">
        <v>660</v>
      </c>
      <c r="AB311" t="s">
        <v>229</v>
      </c>
      <c r="AC311" t="s">
        <v>230</v>
      </c>
      <c r="AD311" t="s">
        <v>231</v>
      </c>
      <c r="AE311" t="s">
        <v>470</v>
      </c>
      <c r="AG311" t="s">
        <v>661</v>
      </c>
      <c r="AH311">
        <v>0</v>
      </c>
      <c r="AI311">
        <v>571</v>
      </c>
      <c r="AJ311">
        <v>69</v>
      </c>
      <c r="AK311">
        <v>64</v>
      </c>
      <c r="AL311">
        <v>0.56999999999999995</v>
      </c>
    </row>
    <row r="312" spans="1:38" x14ac:dyDescent="0.3">
      <c r="A312" t="s">
        <v>465</v>
      </c>
      <c r="B312">
        <v>111589</v>
      </c>
      <c r="C312">
        <v>2</v>
      </c>
      <c r="D312" t="s">
        <v>657</v>
      </c>
      <c r="E312" t="s">
        <v>658</v>
      </c>
      <c r="F312">
        <v>112</v>
      </c>
      <c r="G312">
        <v>7.5</v>
      </c>
      <c r="H312">
        <v>24.82</v>
      </c>
      <c r="I312">
        <v>5.53</v>
      </c>
      <c r="J312">
        <v>18.29</v>
      </c>
      <c r="K312">
        <v>1</v>
      </c>
      <c r="T312">
        <v>1</v>
      </c>
      <c r="U312">
        <v>1</v>
      </c>
      <c r="V312" t="s">
        <v>233</v>
      </c>
      <c r="W312" t="s">
        <v>662</v>
      </c>
      <c r="X312">
        <v>13</v>
      </c>
      <c r="Y312">
        <v>11</v>
      </c>
      <c r="Z312" t="s">
        <v>659</v>
      </c>
      <c r="AA312" t="s">
        <v>660</v>
      </c>
      <c r="AB312" t="s">
        <v>229</v>
      </c>
      <c r="AC312" t="s">
        <v>230</v>
      </c>
      <c r="AD312" t="s">
        <v>231</v>
      </c>
      <c r="AE312" t="s">
        <v>470</v>
      </c>
      <c r="AG312" t="s">
        <v>661</v>
      </c>
      <c r="AH312">
        <v>0</v>
      </c>
      <c r="AI312">
        <v>571</v>
      </c>
      <c r="AJ312">
        <v>69</v>
      </c>
      <c r="AK312">
        <v>64</v>
      </c>
      <c r="AL312">
        <v>0.56999999999999995</v>
      </c>
    </row>
    <row r="313" spans="1:38" x14ac:dyDescent="0.3">
      <c r="A313" t="s">
        <v>465</v>
      </c>
      <c r="B313">
        <v>111589</v>
      </c>
      <c r="C313">
        <v>3</v>
      </c>
      <c r="D313" t="s">
        <v>657</v>
      </c>
      <c r="E313" t="s">
        <v>658</v>
      </c>
      <c r="F313">
        <v>112</v>
      </c>
      <c r="G313">
        <v>7.56</v>
      </c>
      <c r="H313">
        <v>25.01</v>
      </c>
      <c r="I313">
        <v>5.57</v>
      </c>
      <c r="J313">
        <v>18.420000000000002</v>
      </c>
      <c r="K313">
        <v>8</v>
      </c>
      <c r="T313">
        <v>1</v>
      </c>
      <c r="U313">
        <v>1</v>
      </c>
      <c r="V313" t="s">
        <v>233</v>
      </c>
      <c r="W313" t="s">
        <v>663</v>
      </c>
      <c r="X313">
        <v>13</v>
      </c>
      <c r="Y313">
        <v>11</v>
      </c>
      <c r="Z313" t="s">
        <v>659</v>
      </c>
      <c r="AA313" t="s">
        <v>660</v>
      </c>
      <c r="AB313" t="s">
        <v>229</v>
      </c>
      <c r="AC313" t="s">
        <v>230</v>
      </c>
      <c r="AD313" t="s">
        <v>231</v>
      </c>
      <c r="AE313" t="s">
        <v>470</v>
      </c>
      <c r="AG313" t="s">
        <v>661</v>
      </c>
      <c r="AH313">
        <v>0</v>
      </c>
      <c r="AI313">
        <v>571</v>
      </c>
      <c r="AJ313">
        <v>69</v>
      </c>
      <c r="AK313">
        <v>64</v>
      </c>
      <c r="AL313">
        <v>0.56999999999999995</v>
      </c>
    </row>
    <row r="314" spans="1:38" x14ac:dyDescent="0.3">
      <c r="A314" t="s">
        <v>465</v>
      </c>
      <c r="B314">
        <v>111589</v>
      </c>
      <c r="C314">
        <v>4</v>
      </c>
      <c r="D314" t="s">
        <v>657</v>
      </c>
      <c r="E314" t="s">
        <v>658</v>
      </c>
      <c r="F314">
        <v>112</v>
      </c>
      <c r="G314">
        <v>7.94</v>
      </c>
      <c r="H314">
        <v>26.26</v>
      </c>
      <c r="I314">
        <v>5.85</v>
      </c>
      <c r="J314">
        <v>19.350000000000001</v>
      </c>
      <c r="K314">
        <v>20</v>
      </c>
      <c r="T314">
        <v>1</v>
      </c>
      <c r="U314">
        <v>1</v>
      </c>
      <c r="V314" t="s">
        <v>233</v>
      </c>
      <c r="W314" t="s">
        <v>306</v>
      </c>
      <c r="X314">
        <v>13</v>
      </c>
      <c r="Y314">
        <v>11</v>
      </c>
      <c r="Z314" t="s">
        <v>659</v>
      </c>
      <c r="AA314" t="s">
        <v>660</v>
      </c>
      <c r="AB314" t="s">
        <v>229</v>
      </c>
      <c r="AC314" t="s">
        <v>230</v>
      </c>
      <c r="AD314" t="s">
        <v>231</v>
      </c>
      <c r="AE314" t="s">
        <v>470</v>
      </c>
      <c r="AG314" t="s">
        <v>661</v>
      </c>
      <c r="AH314">
        <v>0</v>
      </c>
      <c r="AI314">
        <v>571</v>
      </c>
      <c r="AJ314">
        <v>69</v>
      </c>
      <c r="AK314">
        <v>64</v>
      </c>
      <c r="AL314">
        <v>0.56999999999999995</v>
      </c>
    </row>
    <row r="315" spans="1:38" x14ac:dyDescent="0.3">
      <c r="A315" t="s">
        <v>465</v>
      </c>
      <c r="B315">
        <v>111589</v>
      </c>
      <c r="C315">
        <v>5</v>
      </c>
      <c r="D315" t="s">
        <v>657</v>
      </c>
      <c r="E315" t="s">
        <v>658</v>
      </c>
      <c r="F315">
        <v>112</v>
      </c>
      <c r="G315">
        <v>7.91</v>
      </c>
      <c r="H315">
        <v>26.17</v>
      </c>
      <c r="I315">
        <v>5.83</v>
      </c>
      <c r="J315">
        <v>19.28</v>
      </c>
      <c r="K315">
        <v>1</v>
      </c>
      <c r="T315">
        <v>1</v>
      </c>
      <c r="U315">
        <v>1</v>
      </c>
      <c r="V315" t="s">
        <v>233</v>
      </c>
      <c r="W315" t="s">
        <v>305</v>
      </c>
      <c r="X315">
        <v>13</v>
      </c>
      <c r="Y315">
        <v>11</v>
      </c>
      <c r="Z315" t="s">
        <v>659</v>
      </c>
      <c r="AA315" t="s">
        <v>660</v>
      </c>
      <c r="AB315" t="s">
        <v>229</v>
      </c>
      <c r="AC315" t="s">
        <v>230</v>
      </c>
      <c r="AD315" t="s">
        <v>231</v>
      </c>
      <c r="AE315" t="s">
        <v>470</v>
      </c>
      <c r="AG315" t="s">
        <v>661</v>
      </c>
      <c r="AH315">
        <v>0</v>
      </c>
      <c r="AI315">
        <v>571</v>
      </c>
      <c r="AJ315">
        <v>69</v>
      </c>
      <c r="AK315">
        <v>64</v>
      </c>
      <c r="AL315">
        <v>0.56999999999999995</v>
      </c>
    </row>
    <row r="316" spans="1:38" x14ac:dyDescent="0.3">
      <c r="A316" t="s">
        <v>465</v>
      </c>
      <c r="B316">
        <v>111589</v>
      </c>
      <c r="C316">
        <v>6</v>
      </c>
      <c r="D316" t="s">
        <v>657</v>
      </c>
      <c r="E316" t="s">
        <v>658</v>
      </c>
      <c r="F316">
        <v>112</v>
      </c>
      <c r="G316">
        <v>12.13</v>
      </c>
      <c r="H316">
        <v>40.1</v>
      </c>
      <c r="I316">
        <v>8.93</v>
      </c>
      <c r="J316">
        <v>29.54</v>
      </c>
      <c r="K316">
        <v>2</v>
      </c>
      <c r="T316">
        <v>1</v>
      </c>
      <c r="U316">
        <v>1</v>
      </c>
      <c r="V316" t="s">
        <v>233</v>
      </c>
      <c r="W316">
        <v>40</v>
      </c>
      <c r="X316">
        <v>13</v>
      </c>
      <c r="Y316">
        <v>11</v>
      </c>
      <c r="Z316" t="s">
        <v>659</v>
      </c>
      <c r="AA316" t="s">
        <v>660</v>
      </c>
      <c r="AB316" t="s">
        <v>229</v>
      </c>
      <c r="AC316" t="s">
        <v>230</v>
      </c>
      <c r="AD316" t="s">
        <v>231</v>
      </c>
      <c r="AE316" t="s">
        <v>470</v>
      </c>
      <c r="AG316" t="s">
        <v>661</v>
      </c>
      <c r="AH316">
        <v>0</v>
      </c>
      <c r="AI316">
        <v>571</v>
      </c>
      <c r="AJ316">
        <v>69</v>
      </c>
      <c r="AK316">
        <v>64</v>
      </c>
      <c r="AL316">
        <v>0.56999999999999995</v>
      </c>
    </row>
    <row r="317" spans="1:38" x14ac:dyDescent="0.3">
      <c r="A317" t="s">
        <v>465</v>
      </c>
      <c r="B317">
        <v>111589</v>
      </c>
      <c r="C317">
        <v>7</v>
      </c>
      <c r="D317" t="s">
        <v>657</v>
      </c>
      <c r="E317" t="s">
        <v>658</v>
      </c>
      <c r="F317">
        <v>112</v>
      </c>
      <c r="G317">
        <v>13.48</v>
      </c>
      <c r="H317">
        <v>44.59</v>
      </c>
      <c r="I317">
        <v>9.93</v>
      </c>
      <c r="J317">
        <v>32.85</v>
      </c>
      <c r="K317">
        <v>10</v>
      </c>
      <c r="T317">
        <v>1</v>
      </c>
      <c r="U317">
        <v>1</v>
      </c>
      <c r="V317" t="s">
        <v>233</v>
      </c>
      <c r="W317" t="s">
        <v>664</v>
      </c>
      <c r="X317">
        <v>13</v>
      </c>
      <c r="Y317">
        <v>11</v>
      </c>
      <c r="Z317" t="s">
        <v>659</v>
      </c>
      <c r="AA317" t="s">
        <v>660</v>
      </c>
      <c r="AB317" t="s">
        <v>229</v>
      </c>
      <c r="AC317" t="s">
        <v>230</v>
      </c>
      <c r="AD317" t="s">
        <v>231</v>
      </c>
      <c r="AE317" t="s">
        <v>470</v>
      </c>
      <c r="AG317" t="s">
        <v>661</v>
      </c>
      <c r="AH317">
        <v>0</v>
      </c>
      <c r="AI317">
        <v>571</v>
      </c>
      <c r="AJ317">
        <v>69</v>
      </c>
      <c r="AK317">
        <v>64</v>
      </c>
      <c r="AL317">
        <v>0.56999999999999995</v>
      </c>
    </row>
    <row r="318" spans="1:38" x14ac:dyDescent="0.3">
      <c r="A318" t="s">
        <v>465</v>
      </c>
      <c r="B318">
        <v>111589</v>
      </c>
      <c r="C318">
        <v>8</v>
      </c>
      <c r="D318" t="s">
        <v>657</v>
      </c>
      <c r="E318" t="s">
        <v>658</v>
      </c>
      <c r="F318">
        <v>112</v>
      </c>
      <c r="G318">
        <v>13.41</v>
      </c>
      <c r="H318">
        <v>44.35</v>
      </c>
      <c r="I318">
        <v>9.8800000000000008</v>
      </c>
      <c r="J318">
        <v>32.68</v>
      </c>
      <c r="K318">
        <v>2</v>
      </c>
      <c r="T318">
        <v>1</v>
      </c>
      <c r="U318">
        <v>1</v>
      </c>
      <c r="V318" t="s">
        <v>233</v>
      </c>
      <c r="W318" t="s">
        <v>187</v>
      </c>
      <c r="X318">
        <v>13</v>
      </c>
      <c r="Y318">
        <v>11</v>
      </c>
      <c r="Z318" t="s">
        <v>659</v>
      </c>
      <c r="AA318" t="s">
        <v>660</v>
      </c>
      <c r="AB318" t="s">
        <v>229</v>
      </c>
      <c r="AC318" t="s">
        <v>230</v>
      </c>
      <c r="AD318" t="s">
        <v>231</v>
      </c>
      <c r="AE318" t="s">
        <v>470</v>
      </c>
      <c r="AG318" t="s">
        <v>661</v>
      </c>
      <c r="AH318">
        <v>0</v>
      </c>
      <c r="AI318">
        <v>571</v>
      </c>
      <c r="AJ318">
        <v>69</v>
      </c>
      <c r="AK318">
        <v>64</v>
      </c>
      <c r="AL318">
        <v>0.56999999999999995</v>
      </c>
    </row>
    <row r="319" spans="1:38" x14ac:dyDescent="0.3">
      <c r="A319" t="s">
        <v>465</v>
      </c>
      <c r="B319">
        <v>111589</v>
      </c>
      <c r="C319">
        <v>9</v>
      </c>
      <c r="D319" t="s">
        <v>657</v>
      </c>
      <c r="E319" t="s">
        <v>658</v>
      </c>
      <c r="F319">
        <v>112</v>
      </c>
      <c r="G319">
        <v>16.399999999999999</v>
      </c>
      <c r="H319">
        <v>54.23</v>
      </c>
      <c r="I319">
        <v>12.08</v>
      </c>
      <c r="J319">
        <v>39.96</v>
      </c>
      <c r="K319">
        <v>9</v>
      </c>
      <c r="T319">
        <v>1</v>
      </c>
      <c r="U319">
        <v>1</v>
      </c>
      <c r="V319" t="s">
        <v>233</v>
      </c>
      <c r="W319">
        <v>54</v>
      </c>
      <c r="X319">
        <v>13</v>
      </c>
      <c r="Y319">
        <v>11</v>
      </c>
      <c r="Z319" t="s">
        <v>659</v>
      </c>
      <c r="AA319" t="s">
        <v>660</v>
      </c>
      <c r="AB319" t="s">
        <v>229</v>
      </c>
      <c r="AC319" t="s">
        <v>230</v>
      </c>
      <c r="AD319" t="s">
        <v>231</v>
      </c>
      <c r="AE319" t="s">
        <v>470</v>
      </c>
      <c r="AG319" t="s">
        <v>661</v>
      </c>
      <c r="AH319">
        <v>0</v>
      </c>
      <c r="AI319">
        <v>571</v>
      </c>
      <c r="AJ319">
        <v>69</v>
      </c>
      <c r="AK319">
        <v>64</v>
      </c>
      <c r="AL319">
        <v>0.56999999999999995</v>
      </c>
    </row>
    <row r="320" spans="1:38" x14ac:dyDescent="0.3">
      <c r="A320" t="s">
        <v>465</v>
      </c>
      <c r="B320">
        <v>111589</v>
      </c>
      <c r="C320">
        <v>10</v>
      </c>
      <c r="D320" t="s">
        <v>657</v>
      </c>
      <c r="E320" t="s">
        <v>658</v>
      </c>
      <c r="F320">
        <v>112</v>
      </c>
      <c r="G320">
        <v>17.7</v>
      </c>
      <c r="H320">
        <v>58.54</v>
      </c>
      <c r="I320">
        <v>13.04</v>
      </c>
      <c r="J320">
        <v>43.13</v>
      </c>
      <c r="K320">
        <v>1</v>
      </c>
      <c r="T320">
        <v>1</v>
      </c>
      <c r="U320">
        <v>1</v>
      </c>
      <c r="V320" t="s">
        <v>233</v>
      </c>
      <c r="W320">
        <v>58</v>
      </c>
      <c r="X320">
        <v>13</v>
      </c>
      <c r="Y320">
        <v>11</v>
      </c>
      <c r="Z320" t="s">
        <v>659</v>
      </c>
      <c r="AA320" t="s">
        <v>660</v>
      </c>
      <c r="AB320" t="s">
        <v>229</v>
      </c>
      <c r="AC320" t="s">
        <v>230</v>
      </c>
      <c r="AD320" t="s">
        <v>231</v>
      </c>
      <c r="AE320" t="s">
        <v>470</v>
      </c>
      <c r="AG320" t="s">
        <v>661</v>
      </c>
      <c r="AH320">
        <v>0</v>
      </c>
      <c r="AI320">
        <v>571</v>
      </c>
      <c r="AJ320">
        <v>69</v>
      </c>
      <c r="AK320">
        <v>64</v>
      </c>
      <c r="AL320">
        <v>0.56999999999999995</v>
      </c>
    </row>
    <row r="321" spans="1:38" x14ac:dyDescent="0.3">
      <c r="A321" t="s">
        <v>465</v>
      </c>
      <c r="B321">
        <v>111589</v>
      </c>
      <c r="C321">
        <v>11</v>
      </c>
      <c r="D321" t="s">
        <v>657</v>
      </c>
      <c r="E321" t="s">
        <v>658</v>
      </c>
      <c r="F321">
        <v>112</v>
      </c>
      <c r="G321">
        <v>19.350000000000001</v>
      </c>
      <c r="H321">
        <v>63.97</v>
      </c>
      <c r="I321">
        <v>14.25</v>
      </c>
      <c r="J321">
        <v>47.13</v>
      </c>
      <c r="K321">
        <v>16</v>
      </c>
      <c r="T321">
        <v>1</v>
      </c>
      <c r="U321">
        <v>1</v>
      </c>
      <c r="V321" t="s">
        <v>233</v>
      </c>
      <c r="W321" t="s">
        <v>665</v>
      </c>
      <c r="X321">
        <v>13</v>
      </c>
      <c r="Y321">
        <v>11</v>
      </c>
      <c r="Z321" t="s">
        <v>659</v>
      </c>
      <c r="AA321" t="s">
        <v>660</v>
      </c>
      <c r="AB321" t="s">
        <v>229</v>
      </c>
      <c r="AC321" t="s">
        <v>230</v>
      </c>
      <c r="AD321" t="s">
        <v>231</v>
      </c>
      <c r="AE321" t="s">
        <v>470</v>
      </c>
      <c r="AG321" t="s">
        <v>661</v>
      </c>
      <c r="AH321">
        <v>0</v>
      </c>
      <c r="AI321">
        <v>571</v>
      </c>
      <c r="AJ321">
        <v>69</v>
      </c>
      <c r="AK321">
        <v>64</v>
      </c>
      <c r="AL321">
        <v>0.56999999999999995</v>
      </c>
    </row>
    <row r="322" spans="1:38" x14ac:dyDescent="0.3">
      <c r="A322" t="s">
        <v>465</v>
      </c>
      <c r="B322">
        <v>111589</v>
      </c>
      <c r="C322">
        <v>12</v>
      </c>
      <c r="D322" t="s">
        <v>657</v>
      </c>
      <c r="E322" t="s">
        <v>658</v>
      </c>
      <c r="F322">
        <v>112</v>
      </c>
      <c r="G322">
        <v>19.27</v>
      </c>
      <c r="H322">
        <v>63.72</v>
      </c>
      <c r="I322">
        <v>14.2</v>
      </c>
      <c r="J322">
        <v>46.95</v>
      </c>
      <c r="K322">
        <v>9</v>
      </c>
      <c r="T322">
        <v>1</v>
      </c>
      <c r="U322">
        <v>1</v>
      </c>
      <c r="V322" t="s">
        <v>233</v>
      </c>
      <c r="W322" t="s">
        <v>666</v>
      </c>
      <c r="X322">
        <v>13</v>
      </c>
      <c r="Y322">
        <v>11</v>
      </c>
      <c r="Z322" t="s">
        <v>659</v>
      </c>
      <c r="AA322" t="s">
        <v>660</v>
      </c>
      <c r="AB322" t="s">
        <v>229</v>
      </c>
      <c r="AC322" t="s">
        <v>230</v>
      </c>
      <c r="AD322" t="s">
        <v>231</v>
      </c>
      <c r="AE322" t="s">
        <v>470</v>
      </c>
      <c r="AG322" t="s">
        <v>661</v>
      </c>
      <c r="AH322">
        <v>0</v>
      </c>
      <c r="AI322">
        <v>571</v>
      </c>
      <c r="AJ322">
        <v>69</v>
      </c>
      <c r="AK322">
        <v>64</v>
      </c>
      <c r="AL322">
        <v>0.56999999999999995</v>
      </c>
    </row>
    <row r="323" spans="1:38" x14ac:dyDescent="0.3">
      <c r="A323" t="s">
        <v>465</v>
      </c>
      <c r="B323">
        <v>111589</v>
      </c>
      <c r="C323">
        <v>13</v>
      </c>
      <c r="D323" t="s">
        <v>657</v>
      </c>
      <c r="E323" t="s">
        <v>658</v>
      </c>
      <c r="F323">
        <v>112</v>
      </c>
      <c r="G323">
        <v>19.670000000000002</v>
      </c>
      <c r="H323">
        <v>65.05</v>
      </c>
      <c r="I323">
        <v>14.49</v>
      </c>
      <c r="J323">
        <v>47.93</v>
      </c>
      <c r="K323">
        <v>2</v>
      </c>
      <c r="T323">
        <v>1</v>
      </c>
      <c r="U323">
        <v>1</v>
      </c>
      <c r="V323" t="s">
        <v>233</v>
      </c>
      <c r="W323" t="s">
        <v>667</v>
      </c>
      <c r="X323">
        <v>13</v>
      </c>
      <c r="Y323">
        <v>11</v>
      </c>
      <c r="Z323" t="s">
        <v>659</v>
      </c>
      <c r="AA323" t="s">
        <v>660</v>
      </c>
      <c r="AB323" t="s">
        <v>229</v>
      </c>
      <c r="AC323" t="s">
        <v>230</v>
      </c>
      <c r="AD323" t="s">
        <v>231</v>
      </c>
      <c r="AE323" t="s">
        <v>470</v>
      </c>
      <c r="AG323" t="s">
        <v>661</v>
      </c>
      <c r="AH323">
        <v>0</v>
      </c>
      <c r="AI323">
        <v>571</v>
      </c>
      <c r="AJ323">
        <v>69</v>
      </c>
      <c r="AK323">
        <v>64</v>
      </c>
      <c r="AL323">
        <v>0.56999999999999995</v>
      </c>
    </row>
    <row r="324" spans="1:38" x14ac:dyDescent="0.3">
      <c r="A324" t="s">
        <v>465</v>
      </c>
      <c r="B324">
        <v>111589</v>
      </c>
      <c r="C324">
        <v>14</v>
      </c>
      <c r="D324" t="s">
        <v>657</v>
      </c>
      <c r="E324" t="s">
        <v>658</v>
      </c>
      <c r="F324">
        <v>112</v>
      </c>
      <c r="G324">
        <v>19.7</v>
      </c>
      <c r="H324">
        <v>65.13</v>
      </c>
      <c r="I324">
        <v>14.51</v>
      </c>
      <c r="J324">
        <v>47.99</v>
      </c>
      <c r="K324">
        <v>2</v>
      </c>
      <c r="T324">
        <v>1</v>
      </c>
      <c r="U324">
        <v>1</v>
      </c>
      <c r="V324" t="s">
        <v>233</v>
      </c>
      <c r="W324" t="s">
        <v>668</v>
      </c>
      <c r="X324">
        <v>13</v>
      </c>
      <c r="Y324">
        <v>11</v>
      </c>
      <c r="Z324" t="s">
        <v>659</v>
      </c>
      <c r="AA324" t="s">
        <v>660</v>
      </c>
      <c r="AB324" t="s">
        <v>229</v>
      </c>
      <c r="AC324" t="s">
        <v>230</v>
      </c>
      <c r="AD324" t="s">
        <v>231</v>
      </c>
      <c r="AE324" t="s">
        <v>470</v>
      </c>
      <c r="AG324" t="s">
        <v>661</v>
      </c>
      <c r="AH324">
        <v>0</v>
      </c>
      <c r="AI324">
        <v>571</v>
      </c>
      <c r="AJ324">
        <v>69</v>
      </c>
      <c r="AK324">
        <v>64</v>
      </c>
      <c r="AL324">
        <v>0.56999999999999995</v>
      </c>
    </row>
    <row r="325" spans="1:38" x14ac:dyDescent="0.3">
      <c r="A325" t="s">
        <v>465</v>
      </c>
      <c r="B325">
        <v>111589</v>
      </c>
      <c r="C325">
        <v>15</v>
      </c>
      <c r="D325" t="s">
        <v>657</v>
      </c>
      <c r="E325" t="s">
        <v>658</v>
      </c>
      <c r="F325">
        <v>112</v>
      </c>
      <c r="G325">
        <v>19.899999999999999</v>
      </c>
      <c r="H325">
        <v>65.81</v>
      </c>
      <c r="I325">
        <v>14.66</v>
      </c>
      <c r="J325">
        <v>48.49</v>
      </c>
      <c r="K325">
        <v>1</v>
      </c>
      <c r="T325">
        <v>1</v>
      </c>
      <c r="U325">
        <v>1</v>
      </c>
      <c r="V325" t="s">
        <v>233</v>
      </c>
      <c r="W325" t="s">
        <v>669</v>
      </c>
      <c r="X325">
        <v>13</v>
      </c>
      <c r="Y325">
        <v>11</v>
      </c>
      <c r="Z325" t="s">
        <v>659</v>
      </c>
      <c r="AA325" t="s">
        <v>660</v>
      </c>
      <c r="AB325" t="s">
        <v>229</v>
      </c>
      <c r="AC325" t="s">
        <v>230</v>
      </c>
      <c r="AD325" t="s">
        <v>231</v>
      </c>
      <c r="AE325" t="s">
        <v>470</v>
      </c>
      <c r="AG325" t="s">
        <v>661</v>
      </c>
      <c r="AH325">
        <v>0</v>
      </c>
      <c r="AI325">
        <v>571</v>
      </c>
      <c r="AJ325">
        <v>69</v>
      </c>
      <c r="AK325">
        <v>64</v>
      </c>
      <c r="AL325">
        <v>0.56999999999999995</v>
      </c>
    </row>
    <row r="326" spans="1:38" x14ac:dyDescent="0.3">
      <c r="A326" t="s">
        <v>465</v>
      </c>
      <c r="B326">
        <v>111589</v>
      </c>
      <c r="C326">
        <v>16</v>
      </c>
      <c r="D326" t="s">
        <v>657</v>
      </c>
      <c r="E326" t="s">
        <v>658</v>
      </c>
      <c r="F326">
        <v>112</v>
      </c>
      <c r="G326">
        <v>20.059999999999999</v>
      </c>
      <c r="H326">
        <v>66.319999999999993</v>
      </c>
      <c r="I326">
        <v>14.77</v>
      </c>
      <c r="J326">
        <v>48.85</v>
      </c>
      <c r="K326">
        <v>1</v>
      </c>
      <c r="T326">
        <v>1</v>
      </c>
      <c r="U326">
        <v>1</v>
      </c>
      <c r="V326" t="s">
        <v>233</v>
      </c>
      <c r="W326" t="s">
        <v>670</v>
      </c>
      <c r="X326">
        <v>13</v>
      </c>
      <c r="Y326">
        <v>11</v>
      </c>
      <c r="Z326" t="s">
        <v>659</v>
      </c>
      <c r="AA326" t="s">
        <v>660</v>
      </c>
      <c r="AB326" t="s">
        <v>229</v>
      </c>
      <c r="AC326" t="s">
        <v>230</v>
      </c>
      <c r="AD326" t="s">
        <v>231</v>
      </c>
      <c r="AE326" t="s">
        <v>470</v>
      </c>
      <c r="AG326" t="s">
        <v>661</v>
      </c>
      <c r="AH326">
        <v>0</v>
      </c>
      <c r="AI326">
        <v>571</v>
      </c>
      <c r="AJ326">
        <v>69</v>
      </c>
      <c r="AK326">
        <v>64</v>
      </c>
      <c r="AL326">
        <v>0.56999999999999995</v>
      </c>
    </row>
    <row r="327" spans="1:38" x14ac:dyDescent="0.3">
      <c r="A327" t="s">
        <v>465</v>
      </c>
      <c r="B327">
        <v>111589</v>
      </c>
      <c r="C327">
        <v>17</v>
      </c>
      <c r="D327" t="s">
        <v>657</v>
      </c>
      <c r="E327" t="s">
        <v>658</v>
      </c>
      <c r="F327">
        <v>112</v>
      </c>
      <c r="G327">
        <v>20.43</v>
      </c>
      <c r="H327">
        <v>67.55</v>
      </c>
      <c r="I327">
        <v>15.05</v>
      </c>
      <c r="J327">
        <v>49.77</v>
      </c>
      <c r="K327">
        <v>16</v>
      </c>
      <c r="T327">
        <v>1</v>
      </c>
      <c r="U327">
        <v>1</v>
      </c>
      <c r="V327" t="s">
        <v>233</v>
      </c>
      <c r="W327" t="s">
        <v>671</v>
      </c>
      <c r="X327">
        <v>13</v>
      </c>
      <c r="Y327">
        <v>11</v>
      </c>
      <c r="Z327" t="s">
        <v>659</v>
      </c>
      <c r="AA327" t="s">
        <v>660</v>
      </c>
      <c r="AB327" t="s">
        <v>229</v>
      </c>
      <c r="AC327" t="s">
        <v>230</v>
      </c>
      <c r="AD327" t="s">
        <v>231</v>
      </c>
      <c r="AE327" t="s">
        <v>470</v>
      </c>
      <c r="AG327" t="s">
        <v>661</v>
      </c>
      <c r="AH327">
        <v>0</v>
      </c>
      <c r="AI327">
        <v>571</v>
      </c>
      <c r="AJ327">
        <v>69</v>
      </c>
      <c r="AK327">
        <v>64</v>
      </c>
      <c r="AL327">
        <v>0.56999999999999995</v>
      </c>
    </row>
    <row r="328" spans="1:38" x14ac:dyDescent="0.3">
      <c r="A328" t="s">
        <v>465</v>
      </c>
      <c r="B328">
        <v>111589</v>
      </c>
      <c r="C328">
        <v>18</v>
      </c>
      <c r="D328" t="s">
        <v>657</v>
      </c>
      <c r="E328" t="s">
        <v>658</v>
      </c>
      <c r="F328">
        <v>112</v>
      </c>
      <c r="G328">
        <v>20.49</v>
      </c>
      <c r="H328">
        <v>67.75</v>
      </c>
      <c r="I328">
        <v>15.1</v>
      </c>
      <c r="J328">
        <v>49.92</v>
      </c>
      <c r="K328">
        <v>1</v>
      </c>
      <c r="T328">
        <v>1</v>
      </c>
      <c r="U328">
        <v>1</v>
      </c>
      <c r="V328" t="s">
        <v>233</v>
      </c>
      <c r="W328" t="s">
        <v>192</v>
      </c>
      <c r="X328">
        <v>13</v>
      </c>
      <c r="Y328">
        <v>11</v>
      </c>
      <c r="Z328" t="s">
        <v>659</v>
      </c>
      <c r="AA328" t="s">
        <v>660</v>
      </c>
      <c r="AB328" t="s">
        <v>229</v>
      </c>
      <c r="AC328" t="s">
        <v>230</v>
      </c>
      <c r="AD328" t="s">
        <v>231</v>
      </c>
      <c r="AE328" t="s">
        <v>470</v>
      </c>
      <c r="AG328" t="s">
        <v>661</v>
      </c>
      <c r="AH328">
        <v>0</v>
      </c>
      <c r="AI328">
        <v>571</v>
      </c>
      <c r="AJ328">
        <v>69</v>
      </c>
      <c r="AK328">
        <v>64</v>
      </c>
      <c r="AL328">
        <v>0.56999999999999995</v>
      </c>
    </row>
    <row r="329" spans="1:38" x14ac:dyDescent="0.3">
      <c r="A329" t="s">
        <v>465</v>
      </c>
      <c r="B329">
        <v>111589</v>
      </c>
      <c r="C329">
        <v>19</v>
      </c>
      <c r="D329" t="s">
        <v>657</v>
      </c>
      <c r="E329" t="s">
        <v>658</v>
      </c>
      <c r="F329">
        <v>112</v>
      </c>
      <c r="G329">
        <v>20.5</v>
      </c>
      <c r="H329">
        <v>67.78</v>
      </c>
      <c r="I329">
        <v>15.1</v>
      </c>
      <c r="J329">
        <v>49.94</v>
      </c>
      <c r="K329">
        <v>1</v>
      </c>
      <c r="T329">
        <v>1</v>
      </c>
      <c r="U329">
        <v>1</v>
      </c>
      <c r="V329" t="s">
        <v>233</v>
      </c>
      <c r="W329" t="s">
        <v>191</v>
      </c>
      <c r="X329">
        <v>13</v>
      </c>
      <c r="Y329">
        <v>11</v>
      </c>
      <c r="Z329" t="s">
        <v>659</v>
      </c>
      <c r="AA329" t="s">
        <v>660</v>
      </c>
      <c r="AB329" t="s">
        <v>229</v>
      </c>
      <c r="AC329" t="s">
        <v>230</v>
      </c>
      <c r="AD329" t="s">
        <v>231</v>
      </c>
      <c r="AE329" t="s">
        <v>470</v>
      </c>
      <c r="AG329" t="s">
        <v>661</v>
      </c>
      <c r="AH329">
        <v>0</v>
      </c>
      <c r="AI329">
        <v>571</v>
      </c>
      <c r="AJ329">
        <v>69</v>
      </c>
      <c r="AK329">
        <v>64</v>
      </c>
      <c r="AL329">
        <v>0.56999999999999995</v>
      </c>
    </row>
    <row r="330" spans="1:38" x14ac:dyDescent="0.3">
      <c r="A330" t="s">
        <v>465</v>
      </c>
      <c r="B330">
        <v>111589</v>
      </c>
      <c r="C330">
        <v>20</v>
      </c>
      <c r="D330" t="s">
        <v>657</v>
      </c>
      <c r="E330" t="s">
        <v>658</v>
      </c>
      <c r="F330">
        <v>112</v>
      </c>
      <c r="G330">
        <v>20.399999999999999</v>
      </c>
      <c r="H330">
        <v>67.44</v>
      </c>
      <c r="I330">
        <v>15.03</v>
      </c>
      <c r="J330">
        <v>49.69</v>
      </c>
      <c r="K330">
        <v>1</v>
      </c>
      <c r="T330">
        <v>1</v>
      </c>
      <c r="U330">
        <v>1</v>
      </c>
      <c r="V330" t="s">
        <v>233</v>
      </c>
      <c r="W330" t="s">
        <v>132</v>
      </c>
      <c r="X330">
        <v>13</v>
      </c>
      <c r="Y330">
        <v>11</v>
      </c>
      <c r="Z330" t="s">
        <v>659</v>
      </c>
      <c r="AA330" t="s">
        <v>660</v>
      </c>
      <c r="AB330" t="s">
        <v>229</v>
      </c>
      <c r="AC330" t="s">
        <v>230</v>
      </c>
      <c r="AD330" t="s">
        <v>231</v>
      </c>
      <c r="AE330" t="s">
        <v>470</v>
      </c>
      <c r="AG330" t="s">
        <v>661</v>
      </c>
      <c r="AH330">
        <v>0</v>
      </c>
      <c r="AI330">
        <v>571</v>
      </c>
      <c r="AJ330">
        <v>69</v>
      </c>
      <c r="AK330">
        <v>64</v>
      </c>
      <c r="AL330">
        <v>0.56999999999999995</v>
      </c>
    </row>
    <row r="331" spans="1:38" x14ac:dyDescent="0.3">
      <c r="A331" t="s">
        <v>672</v>
      </c>
      <c r="B331">
        <v>127720</v>
      </c>
      <c r="C331">
        <v>1</v>
      </c>
      <c r="D331" t="s">
        <v>673</v>
      </c>
      <c r="E331" t="s">
        <v>674</v>
      </c>
      <c r="F331">
        <v>1148</v>
      </c>
      <c r="G331">
        <v>23.91</v>
      </c>
      <c r="H331">
        <v>79.05</v>
      </c>
      <c r="I331">
        <v>18.14</v>
      </c>
      <c r="J331">
        <v>59.97</v>
      </c>
      <c r="K331">
        <v>246</v>
      </c>
      <c r="T331">
        <v>3</v>
      </c>
      <c r="U331">
        <v>2</v>
      </c>
      <c r="V331" t="s">
        <v>233</v>
      </c>
      <c r="W331" t="s">
        <v>133</v>
      </c>
      <c r="X331">
        <v>29</v>
      </c>
      <c r="Y331">
        <v>16</v>
      </c>
      <c r="Z331" t="s">
        <v>675</v>
      </c>
      <c r="AA331" t="s">
        <v>676</v>
      </c>
      <c r="AB331" t="s">
        <v>229</v>
      </c>
      <c r="AC331" t="s">
        <v>230</v>
      </c>
      <c r="AD331" t="s">
        <v>231</v>
      </c>
      <c r="AE331" t="s">
        <v>677</v>
      </c>
      <c r="AG331" t="s">
        <v>243</v>
      </c>
      <c r="AH331">
        <v>0</v>
      </c>
      <c r="AI331">
        <v>0</v>
      </c>
      <c r="AJ331">
        <v>0</v>
      </c>
      <c r="AK331">
        <v>1520</v>
      </c>
      <c r="AL331">
        <v>1.32</v>
      </c>
    </row>
    <row r="332" spans="1:38" x14ac:dyDescent="0.3">
      <c r="A332" t="s">
        <v>672</v>
      </c>
      <c r="B332">
        <v>127720</v>
      </c>
      <c r="C332">
        <v>2</v>
      </c>
      <c r="D332" t="s">
        <v>673</v>
      </c>
      <c r="E332" t="s">
        <v>674</v>
      </c>
      <c r="F332">
        <v>1148</v>
      </c>
      <c r="G332">
        <v>23.98</v>
      </c>
      <c r="H332">
        <v>79.290000000000006</v>
      </c>
      <c r="I332">
        <v>18.11</v>
      </c>
      <c r="J332">
        <v>59.88</v>
      </c>
      <c r="K332">
        <v>154</v>
      </c>
      <c r="T332">
        <v>3</v>
      </c>
      <c r="U332">
        <v>2</v>
      </c>
      <c r="V332" t="s">
        <v>233</v>
      </c>
      <c r="W332" t="s">
        <v>134</v>
      </c>
      <c r="X332">
        <v>29</v>
      </c>
      <c r="Y332">
        <v>16</v>
      </c>
      <c r="Z332" t="s">
        <v>675</v>
      </c>
      <c r="AA332" t="s">
        <v>676</v>
      </c>
      <c r="AB332" t="s">
        <v>229</v>
      </c>
      <c r="AC332" t="s">
        <v>230</v>
      </c>
      <c r="AD332" t="s">
        <v>231</v>
      </c>
      <c r="AE332" t="s">
        <v>677</v>
      </c>
      <c r="AG332" t="s">
        <v>243</v>
      </c>
      <c r="AH332">
        <v>0</v>
      </c>
      <c r="AI332">
        <v>0</v>
      </c>
      <c r="AJ332">
        <v>0</v>
      </c>
      <c r="AK332">
        <v>1520</v>
      </c>
      <c r="AL332">
        <v>1.32</v>
      </c>
    </row>
    <row r="333" spans="1:38" x14ac:dyDescent="0.3">
      <c r="A333" t="s">
        <v>672</v>
      </c>
      <c r="B333">
        <v>127720</v>
      </c>
      <c r="C333">
        <v>3</v>
      </c>
      <c r="D333" t="s">
        <v>673</v>
      </c>
      <c r="E333" t="s">
        <v>674</v>
      </c>
      <c r="F333">
        <v>1148</v>
      </c>
      <c r="G333">
        <v>33.56</v>
      </c>
      <c r="H333">
        <v>110.96</v>
      </c>
      <c r="I333">
        <v>25.7</v>
      </c>
      <c r="J333">
        <v>84.96</v>
      </c>
      <c r="K333">
        <v>573</v>
      </c>
      <c r="T333">
        <v>3</v>
      </c>
      <c r="U333">
        <v>2</v>
      </c>
      <c r="V333" t="s">
        <v>233</v>
      </c>
      <c r="W333" t="s">
        <v>135</v>
      </c>
      <c r="X333">
        <v>29</v>
      </c>
      <c r="Y333">
        <v>16</v>
      </c>
      <c r="Z333" t="s">
        <v>675</v>
      </c>
      <c r="AA333" t="s">
        <v>676</v>
      </c>
      <c r="AB333" t="s">
        <v>229</v>
      </c>
      <c r="AC333" t="s">
        <v>230</v>
      </c>
      <c r="AD333" t="s">
        <v>231</v>
      </c>
      <c r="AE333" t="s">
        <v>677</v>
      </c>
      <c r="AG333" t="s">
        <v>243</v>
      </c>
      <c r="AH333">
        <v>0</v>
      </c>
      <c r="AI333">
        <v>0</v>
      </c>
      <c r="AJ333">
        <v>0</v>
      </c>
      <c r="AK333">
        <v>1520</v>
      </c>
      <c r="AL333">
        <v>1.32</v>
      </c>
    </row>
    <row r="334" spans="1:38" x14ac:dyDescent="0.3">
      <c r="A334" t="s">
        <v>672</v>
      </c>
      <c r="B334">
        <v>127720</v>
      </c>
      <c r="C334">
        <v>4</v>
      </c>
      <c r="D334" t="s">
        <v>673</v>
      </c>
      <c r="E334" t="s">
        <v>674</v>
      </c>
      <c r="F334">
        <v>1148</v>
      </c>
      <c r="G334">
        <v>33.46</v>
      </c>
      <c r="H334">
        <v>110.64</v>
      </c>
      <c r="I334">
        <v>25.65</v>
      </c>
      <c r="J334">
        <v>84.82</v>
      </c>
      <c r="K334">
        <v>84</v>
      </c>
      <c r="T334">
        <v>3</v>
      </c>
      <c r="U334">
        <v>2</v>
      </c>
      <c r="V334" t="s">
        <v>233</v>
      </c>
      <c r="W334" t="s">
        <v>72</v>
      </c>
      <c r="X334">
        <v>29</v>
      </c>
      <c r="Y334">
        <v>16</v>
      </c>
      <c r="Z334" t="s">
        <v>675</v>
      </c>
      <c r="AA334" t="s">
        <v>676</v>
      </c>
      <c r="AB334" t="s">
        <v>229</v>
      </c>
      <c r="AC334" t="s">
        <v>230</v>
      </c>
      <c r="AD334" t="s">
        <v>231</v>
      </c>
      <c r="AE334" t="s">
        <v>677</v>
      </c>
      <c r="AG334" t="s">
        <v>243</v>
      </c>
      <c r="AH334">
        <v>0</v>
      </c>
      <c r="AI334">
        <v>0</v>
      </c>
      <c r="AJ334">
        <v>0</v>
      </c>
      <c r="AK334">
        <v>1520</v>
      </c>
      <c r="AL334">
        <v>1.32</v>
      </c>
    </row>
    <row r="335" spans="1:38" x14ac:dyDescent="0.3">
      <c r="A335" t="s">
        <v>672</v>
      </c>
      <c r="B335">
        <v>127720</v>
      </c>
      <c r="C335">
        <v>5</v>
      </c>
      <c r="D335" t="s">
        <v>673</v>
      </c>
      <c r="E335" t="s">
        <v>674</v>
      </c>
      <c r="F335">
        <v>1148</v>
      </c>
      <c r="G335">
        <v>39.270000000000003</v>
      </c>
      <c r="H335">
        <v>129.83000000000001</v>
      </c>
      <c r="I335">
        <v>30.24</v>
      </c>
      <c r="J335">
        <v>99.97</v>
      </c>
      <c r="K335">
        <v>91</v>
      </c>
      <c r="T335">
        <v>4</v>
      </c>
      <c r="U335">
        <v>2</v>
      </c>
      <c r="V335" t="s">
        <v>233</v>
      </c>
      <c r="W335">
        <v>129</v>
      </c>
      <c r="X335">
        <v>29</v>
      </c>
      <c r="Y335">
        <v>16</v>
      </c>
      <c r="Z335" t="s">
        <v>675</v>
      </c>
      <c r="AA335" t="s">
        <v>676</v>
      </c>
      <c r="AB335" t="s">
        <v>229</v>
      </c>
      <c r="AC335" t="s">
        <v>230</v>
      </c>
      <c r="AD335" t="s">
        <v>231</v>
      </c>
      <c r="AE335" t="s">
        <v>677</v>
      </c>
      <c r="AG335" t="s">
        <v>243</v>
      </c>
      <c r="AH335">
        <v>0</v>
      </c>
      <c r="AI335">
        <v>0</v>
      </c>
      <c r="AJ335">
        <v>0</v>
      </c>
      <c r="AK335">
        <v>1520</v>
      </c>
      <c r="AL335">
        <v>1.32</v>
      </c>
    </row>
    <row r="336" spans="1:38" x14ac:dyDescent="0.3">
      <c r="A336" t="s">
        <v>678</v>
      </c>
      <c r="B336">
        <v>22481</v>
      </c>
      <c r="C336">
        <v>1</v>
      </c>
      <c r="D336" t="s">
        <v>679</v>
      </c>
      <c r="E336" t="s">
        <v>680</v>
      </c>
      <c r="F336">
        <v>270</v>
      </c>
      <c r="G336">
        <v>18.59</v>
      </c>
      <c r="H336">
        <v>61.46</v>
      </c>
      <c r="I336">
        <v>14.23</v>
      </c>
      <c r="J336">
        <v>47.07</v>
      </c>
      <c r="K336">
        <v>200</v>
      </c>
      <c r="T336">
        <v>2</v>
      </c>
      <c r="U336">
        <v>1</v>
      </c>
      <c r="V336" t="s">
        <v>233</v>
      </c>
      <c r="W336">
        <v>61</v>
      </c>
      <c r="X336">
        <v>5</v>
      </c>
      <c r="Y336">
        <v>5</v>
      </c>
      <c r="Z336" t="s">
        <v>681</v>
      </c>
      <c r="AA336" t="s">
        <v>682</v>
      </c>
      <c r="AB336" t="s">
        <v>229</v>
      </c>
      <c r="AC336" t="s">
        <v>230</v>
      </c>
      <c r="AD336" t="s">
        <v>231</v>
      </c>
      <c r="AE336" t="s">
        <v>205</v>
      </c>
      <c r="AG336" t="s">
        <v>683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678</v>
      </c>
      <c r="B337">
        <v>22481</v>
      </c>
      <c r="C337">
        <v>2</v>
      </c>
      <c r="D337" t="s">
        <v>679</v>
      </c>
      <c r="E337" t="s">
        <v>680</v>
      </c>
      <c r="F337">
        <v>270</v>
      </c>
      <c r="G337">
        <v>22.07</v>
      </c>
      <c r="H337">
        <v>72.989999999999995</v>
      </c>
      <c r="I337">
        <v>17.329999999999998</v>
      </c>
      <c r="J337">
        <v>57.29</v>
      </c>
      <c r="K337">
        <v>70</v>
      </c>
      <c r="T337">
        <v>3</v>
      </c>
      <c r="U337">
        <v>1</v>
      </c>
      <c r="V337" t="s">
        <v>233</v>
      </c>
      <c r="W337">
        <v>72</v>
      </c>
      <c r="X337">
        <v>5</v>
      </c>
      <c r="Y337">
        <v>5</v>
      </c>
      <c r="Z337" t="s">
        <v>681</v>
      </c>
      <c r="AA337" t="s">
        <v>682</v>
      </c>
      <c r="AB337" t="s">
        <v>229</v>
      </c>
      <c r="AC337" t="s">
        <v>230</v>
      </c>
      <c r="AD337" t="s">
        <v>231</v>
      </c>
      <c r="AE337" t="s">
        <v>205</v>
      </c>
      <c r="AG337" t="s">
        <v>683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678</v>
      </c>
      <c r="B338">
        <v>7324</v>
      </c>
      <c r="C338">
        <v>1</v>
      </c>
      <c r="D338" t="s">
        <v>684</v>
      </c>
      <c r="E338" t="s">
        <v>685</v>
      </c>
      <c r="F338">
        <v>230</v>
      </c>
      <c r="G338">
        <v>27.65</v>
      </c>
      <c r="H338">
        <v>91.42</v>
      </c>
      <c r="I338">
        <v>21.96</v>
      </c>
      <c r="J338">
        <v>72.599999999999994</v>
      </c>
      <c r="K338">
        <v>20</v>
      </c>
      <c r="T338">
        <v>3</v>
      </c>
      <c r="U338">
        <v>1</v>
      </c>
      <c r="V338" t="s">
        <v>233</v>
      </c>
      <c r="W338">
        <v>91</v>
      </c>
      <c r="X338">
        <v>5</v>
      </c>
      <c r="Y338">
        <v>5</v>
      </c>
      <c r="Z338" t="s">
        <v>686</v>
      </c>
      <c r="AA338" t="s">
        <v>687</v>
      </c>
      <c r="AB338" t="s">
        <v>229</v>
      </c>
      <c r="AC338" t="s">
        <v>230</v>
      </c>
      <c r="AD338" t="s">
        <v>231</v>
      </c>
      <c r="AE338" t="s">
        <v>205</v>
      </c>
      <c r="AG338" t="s">
        <v>688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678</v>
      </c>
      <c r="B339">
        <v>7324</v>
      </c>
      <c r="C339">
        <v>2</v>
      </c>
      <c r="D339" t="s">
        <v>684</v>
      </c>
      <c r="E339" t="s">
        <v>685</v>
      </c>
      <c r="F339">
        <v>230</v>
      </c>
      <c r="G339">
        <v>32.04</v>
      </c>
      <c r="H339">
        <v>105.93</v>
      </c>
      <c r="I339">
        <v>25.44</v>
      </c>
      <c r="J339">
        <v>84.12</v>
      </c>
      <c r="K339">
        <v>130</v>
      </c>
      <c r="T339">
        <v>3</v>
      </c>
      <c r="U339">
        <v>2</v>
      </c>
      <c r="V339" t="s">
        <v>233</v>
      </c>
      <c r="W339">
        <v>105</v>
      </c>
      <c r="X339">
        <v>5</v>
      </c>
      <c r="Y339">
        <v>5</v>
      </c>
      <c r="Z339" t="s">
        <v>686</v>
      </c>
      <c r="AA339" t="s">
        <v>687</v>
      </c>
      <c r="AB339" t="s">
        <v>229</v>
      </c>
      <c r="AC339" t="s">
        <v>230</v>
      </c>
      <c r="AD339" t="s">
        <v>231</v>
      </c>
      <c r="AE339" t="s">
        <v>205</v>
      </c>
      <c r="AG339" t="s">
        <v>688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678</v>
      </c>
      <c r="B340">
        <v>7324</v>
      </c>
      <c r="C340">
        <v>3</v>
      </c>
      <c r="D340" t="s">
        <v>684</v>
      </c>
      <c r="E340" t="s">
        <v>685</v>
      </c>
      <c r="F340">
        <v>230</v>
      </c>
      <c r="G340">
        <v>46.57</v>
      </c>
      <c r="H340">
        <v>153.96</v>
      </c>
      <c r="I340">
        <v>36.979999999999997</v>
      </c>
      <c r="J340">
        <v>122.26</v>
      </c>
      <c r="K340">
        <v>40</v>
      </c>
      <c r="T340">
        <v>4</v>
      </c>
      <c r="U340">
        <v>2</v>
      </c>
      <c r="V340" t="s">
        <v>233</v>
      </c>
      <c r="W340">
        <v>153</v>
      </c>
      <c r="X340">
        <v>5</v>
      </c>
      <c r="Y340">
        <v>5</v>
      </c>
      <c r="Z340" t="s">
        <v>686</v>
      </c>
      <c r="AA340" t="s">
        <v>687</v>
      </c>
      <c r="AB340" t="s">
        <v>229</v>
      </c>
      <c r="AC340" t="s">
        <v>230</v>
      </c>
      <c r="AD340" t="s">
        <v>231</v>
      </c>
      <c r="AE340" t="s">
        <v>205</v>
      </c>
      <c r="AG340" t="s">
        <v>688</v>
      </c>
      <c r="AH340">
        <v>0</v>
      </c>
      <c r="AI340">
        <v>0</v>
      </c>
      <c r="AJ340">
        <v>0</v>
      </c>
      <c r="AK340">
        <v>0</v>
      </c>
      <c r="AL340">
        <v>0</v>
      </c>
    </row>
    <row r="341" spans="1:38" x14ac:dyDescent="0.3">
      <c r="A341" t="s">
        <v>678</v>
      </c>
      <c r="B341">
        <v>7324</v>
      </c>
      <c r="C341">
        <v>4</v>
      </c>
      <c r="D341" t="s">
        <v>684</v>
      </c>
      <c r="E341" t="s">
        <v>685</v>
      </c>
      <c r="F341">
        <v>230</v>
      </c>
      <c r="G341">
        <v>46.3</v>
      </c>
      <c r="H341">
        <v>153.09</v>
      </c>
      <c r="I341">
        <v>36.770000000000003</v>
      </c>
      <c r="J341">
        <v>121.57</v>
      </c>
      <c r="K341">
        <v>20</v>
      </c>
      <c r="T341">
        <v>4</v>
      </c>
      <c r="U341">
        <v>2</v>
      </c>
      <c r="V341" t="s">
        <v>226</v>
      </c>
      <c r="W341">
        <v>153</v>
      </c>
      <c r="X341">
        <v>5</v>
      </c>
      <c r="Y341">
        <v>5</v>
      </c>
      <c r="Z341" t="s">
        <v>686</v>
      </c>
      <c r="AA341" t="s">
        <v>687</v>
      </c>
      <c r="AB341" t="s">
        <v>229</v>
      </c>
      <c r="AC341" t="s">
        <v>230</v>
      </c>
      <c r="AD341" t="s">
        <v>231</v>
      </c>
      <c r="AE341" t="s">
        <v>205</v>
      </c>
      <c r="AG341" t="s">
        <v>688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678</v>
      </c>
      <c r="B342">
        <v>7324</v>
      </c>
      <c r="C342">
        <v>5</v>
      </c>
      <c r="D342" t="s">
        <v>684</v>
      </c>
      <c r="E342" t="s">
        <v>685</v>
      </c>
      <c r="F342">
        <v>230</v>
      </c>
      <c r="G342">
        <v>50.06</v>
      </c>
      <c r="H342">
        <v>165.52</v>
      </c>
      <c r="I342">
        <v>39.76</v>
      </c>
      <c r="J342">
        <v>131.44</v>
      </c>
      <c r="K342">
        <v>20</v>
      </c>
      <c r="T342">
        <v>4</v>
      </c>
      <c r="U342">
        <v>2</v>
      </c>
      <c r="V342" t="s">
        <v>233</v>
      </c>
      <c r="W342">
        <v>165</v>
      </c>
      <c r="X342">
        <v>5</v>
      </c>
      <c r="Y342">
        <v>5</v>
      </c>
      <c r="Z342" t="s">
        <v>686</v>
      </c>
      <c r="AA342" t="s">
        <v>687</v>
      </c>
      <c r="AB342" t="s">
        <v>229</v>
      </c>
      <c r="AC342" t="s">
        <v>230</v>
      </c>
      <c r="AD342" t="s">
        <v>231</v>
      </c>
      <c r="AE342" t="s">
        <v>205</v>
      </c>
      <c r="AG342" t="s">
        <v>688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678</v>
      </c>
      <c r="B343">
        <v>7345</v>
      </c>
      <c r="C343">
        <v>1</v>
      </c>
      <c r="D343" t="s">
        <v>689</v>
      </c>
      <c r="E343" t="s">
        <v>690</v>
      </c>
      <c r="F343">
        <v>380</v>
      </c>
      <c r="G343">
        <v>30.85</v>
      </c>
      <c r="H343">
        <v>102.01</v>
      </c>
      <c r="I343">
        <v>25.7</v>
      </c>
      <c r="J343">
        <v>84.99</v>
      </c>
      <c r="K343">
        <v>86</v>
      </c>
      <c r="T343">
        <v>3</v>
      </c>
      <c r="U343">
        <v>2</v>
      </c>
      <c r="V343" t="s">
        <v>233</v>
      </c>
      <c r="W343">
        <v>102</v>
      </c>
      <c r="X343">
        <v>15</v>
      </c>
      <c r="Y343">
        <v>11</v>
      </c>
      <c r="Z343" t="s">
        <v>691</v>
      </c>
      <c r="AA343" t="s">
        <v>692</v>
      </c>
      <c r="AB343" t="s">
        <v>229</v>
      </c>
      <c r="AC343" t="s">
        <v>230</v>
      </c>
      <c r="AD343" t="s">
        <v>231</v>
      </c>
      <c r="AE343" t="s">
        <v>205</v>
      </c>
      <c r="AG343" t="s">
        <v>693</v>
      </c>
      <c r="AH343">
        <v>0</v>
      </c>
      <c r="AI343">
        <v>219</v>
      </c>
      <c r="AJ343">
        <v>20</v>
      </c>
      <c r="AK343">
        <v>547</v>
      </c>
      <c r="AL343">
        <v>1.44</v>
      </c>
    </row>
    <row r="344" spans="1:38" x14ac:dyDescent="0.3">
      <c r="A344" t="s">
        <v>678</v>
      </c>
      <c r="B344">
        <v>7345</v>
      </c>
      <c r="C344">
        <v>2</v>
      </c>
      <c r="D344" t="s">
        <v>689</v>
      </c>
      <c r="E344" t="s">
        <v>690</v>
      </c>
      <c r="F344">
        <v>380</v>
      </c>
      <c r="G344">
        <v>32.04</v>
      </c>
      <c r="H344">
        <v>105.93</v>
      </c>
      <c r="I344">
        <v>26.24</v>
      </c>
      <c r="J344">
        <v>86.75</v>
      </c>
      <c r="K344">
        <v>4</v>
      </c>
      <c r="T344">
        <v>2</v>
      </c>
      <c r="U344">
        <v>2</v>
      </c>
      <c r="V344" t="s">
        <v>233</v>
      </c>
      <c r="W344">
        <v>105</v>
      </c>
      <c r="X344">
        <v>15</v>
      </c>
      <c r="Y344">
        <v>11</v>
      </c>
      <c r="Z344" t="s">
        <v>691</v>
      </c>
      <c r="AA344" t="s">
        <v>692</v>
      </c>
      <c r="AB344" t="s">
        <v>229</v>
      </c>
      <c r="AC344" t="s">
        <v>230</v>
      </c>
      <c r="AD344" t="s">
        <v>231</v>
      </c>
      <c r="AE344" t="s">
        <v>205</v>
      </c>
      <c r="AG344" t="s">
        <v>693</v>
      </c>
      <c r="AH344">
        <v>0</v>
      </c>
      <c r="AI344">
        <v>219</v>
      </c>
      <c r="AJ344">
        <v>20</v>
      </c>
      <c r="AK344">
        <v>547</v>
      </c>
      <c r="AL344">
        <v>1.44</v>
      </c>
    </row>
    <row r="345" spans="1:38" x14ac:dyDescent="0.3">
      <c r="A345" t="s">
        <v>678</v>
      </c>
      <c r="B345">
        <v>7345</v>
      </c>
      <c r="C345">
        <v>3</v>
      </c>
      <c r="D345" t="s">
        <v>689</v>
      </c>
      <c r="E345" t="s">
        <v>690</v>
      </c>
      <c r="F345">
        <v>380</v>
      </c>
      <c r="G345">
        <v>36.21</v>
      </c>
      <c r="H345">
        <v>119.71</v>
      </c>
      <c r="I345">
        <v>30.18</v>
      </c>
      <c r="J345">
        <v>99.78</v>
      </c>
      <c r="K345">
        <v>60</v>
      </c>
      <c r="T345">
        <v>3</v>
      </c>
      <c r="U345">
        <v>2</v>
      </c>
      <c r="V345" t="s">
        <v>233</v>
      </c>
      <c r="W345">
        <v>119</v>
      </c>
      <c r="X345">
        <v>15</v>
      </c>
      <c r="Y345">
        <v>11</v>
      </c>
      <c r="Z345" t="s">
        <v>691</v>
      </c>
      <c r="AA345" t="s">
        <v>692</v>
      </c>
      <c r="AB345" t="s">
        <v>229</v>
      </c>
      <c r="AC345" t="s">
        <v>230</v>
      </c>
      <c r="AD345" t="s">
        <v>231</v>
      </c>
      <c r="AE345" t="s">
        <v>205</v>
      </c>
      <c r="AG345" t="s">
        <v>693</v>
      </c>
      <c r="AH345">
        <v>0</v>
      </c>
      <c r="AI345">
        <v>219</v>
      </c>
      <c r="AJ345">
        <v>20</v>
      </c>
      <c r="AK345">
        <v>547</v>
      </c>
      <c r="AL345">
        <v>1.44</v>
      </c>
    </row>
    <row r="346" spans="1:38" x14ac:dyDescent="0.3">
      <c r="A346" t="s">
        <v>678</v>
      </c>
      <c r="B346">
        <v>7345</v>
      </c>
      <c r="C346">
        <v>4</v>
      </c>
      <c r="D346" t="s">
        <v>689</v>
      </c>
      <c r="E346" t="s">
        <v>690</v>
      </c>
      <c r="F346">
        <v>380</v>
      </c>
      <c r="G346">
        <v>36.69</v>
      </c>
      <c r="H346">
        <v>121.29</v>
      </c>
      <c r="I346">
        <v>30.04</v>
      </c>
      <c r="J346">
        <v>99.33</v>
      </c>
      <c r="K346">
        <v>110</v>
      </c>
      <c r="T346">
        <v>3</v>
      </c>
      <c r="U346">
        <v>2</v>
      </c>
      <c r="V346" t="s">
        <v>233</v>
      </c>
      <c r="W346">
        <v>121</v>
      </c>
      <c r="X346">
        <v>15</v>
      </c>
      <c r="Y346">
        <v>11</v>
      </c>
      <c r="Z346" t="s">
        <v>691</v>
      </c>
      <c r="AA346" t="s">
        <v>692</v>
      </c>
      <c r="AB346" t="s">
        <v>229</v>
      </c>
      <c r="AC346" t="s">
        <v>230</v>
      </c>
      <c r="AD346" t="s">
        <v>231</v>
      </c>
      <c r="AE346" t="s">
        <v>205</v>
      </c>
      <c r="AG346" t="s">
        <v>693</v>
      </c>
      <c r="AH346">
        <v>0</v>
      </c>
      <c r="AI346">
        <v>219</v>
      </c>
      <c r="AJ346">
        <v>20</v>
      </c>
      <c r="AK346">
        <v>547</v>
      </c>
      <c r="AL346">
        <v>1.44</v>
      </c>
    </row>
    <row r="347" spans="1:38" x14ac:dyDescent="0.3">
      <c r="A347" t="s">
        <v>678</v>
      </c>
      <c r="B347">
        <v>7345</v>
      </c>
      <c r="C347">
        <v>5</v>
      </c>
      <c r="D347" t="s">
        <v>689</v>
      </c>
      <c r="E347" t="s">
        <v>690</v>
      </c>
      <c r="F347">
        <v>380</v>
      </c>
      <c r="G347">
        <v>48.74</v>
      </c>
      <c r="H347">
        <v>161.13</v>
      </c>
      <c r="I347">
        <v>40.6</v>
      </c>
      <c r="J347">
        <v>134.24</v>
      </c>
      <c r="K347">
        <v>90</v>
      </c>
      <c r="T347">
        <v>4</v>
      </c>
      <c r="U347">
        <v>2</v>
      </c>
      <c r="V347" t="s">
        <v>233</v>
      </c>
      <c r="W347">
        <v>161</v>
      </c>
      <c r="X347">
        <v>15</v>
      </c>
      <c r="Y347">
        <v>11</v>
      </c>
      <c r="Z347" t="s">
        <v>691</v>
      </c>
      <c r="AA347" t="s">
        <v>692</v>
      </c>
      <c r="AB347" t="s">
        <v>229</v>
      </c>
      <c r="AC347" t="s">
        <v>230</v>
      </c>
      <c r="AD347" t="s">
        <v>231</v>
      </c>
      <c r="AE347" t="s">
        <v>205</v>
      </c>
      <c r="AG347" t="s">
        <v>693</v>
      </c>
      <c r="AH347">
        <v>0</v>
      </c>
      <c r="AI347">
        <v>219</v>
      </c>
      <c r="AJ347">
        <v>20</v>
      </c>
      <c r="AK347">
        <v>547</v>
      </c>
      <c r="AL347">
        <v>1.44</v>
      </c>
    </row>
    <row r="348" spans="1:38" x14ac:dyDescent="0.3">
      <c r="A348" t="s">
        <v>678</v>
      </c>
      <c r="B348">
        <v>7345</v>
      </c>
      <c r="C348">
        <v>6</v>
      </c>
      <c r="D348" t="s">
        <v>689</v>
      </c>
      <c r="E348" t="s">
        <v>690</v>
      </c>
      <c r="F348">
        <v>380</v>
      </c>
      <c r="G348">
        <v>63.31</v>
      </c>
      <c r="H348">
        <v>209.3</v>
      </c>
      <c r="I348">
        <v>54.77</v>
      </c>
      <c r="J348">
        <v>181.09</v>
      </c>
      <c r="K348">
        <v>30</v>
      </c>
      <c r="T348">
        <v>5</v>
      </c>
      <c r="U348">
        <v>2</v>
      </c>
      <c r="V348" t="s">
        <v>233</v>
      </c>
      <c r="W348">
        <v>209</v>
      </c>
      <c r="X348">
        <v>15</v>
      </c>
      <c r="Y348">
        <v>11</v>
      </c>
      <c r="Z348" t="s">
        <v>691</v>
      </c>
      <c r="AA348" t="s">
        <v>692</v>
      </c>
      <c r="AB348" t="s">
        <v>229</v>
      </c>
      <c r="AC348" t="s">
        <v>230</v>
      </c>
      <c r="AD348" t="s">
        <v>231</v>
      </c>
      <c r="AE348" t="s">
        <v>205</v>
      </c>
      <c r="AG348" t="s">
        <v>693</v>
      </c>
      <c r="AH348">
        <v>0</v>
      </c>
      <c r="AI348">
        <v>219</v>
      </c>
      <c r="AJ348">
        <v>20</v>
      </c>
      <c r="AK348">
        <v>547</v>
      </c>
      <c r="AL348">
        <v>1.44</v>
      </c>
    </row>
    <row r="349" spans="1:38" x14ac:dyDescent="0.3">
      <c r="A349" t="s">
        <v>678</v>
      </c>
      <c r="B349">
        <v>11554</v>
      </c>
      <c r="C349">
        <v>1</v>
      </c>
      <c r="D349" t="s">
        <v>694</v>
      </c>
      <c r="E349" t="s">
        <v>695</v>
      </c>
      <c r="F349">
        <v>527</v>
      </c>
      <c r="G349">
        <v>23.11</v>
      </c>
      <c r="H349">
        <v>76.41</v>
      </c>
      <c r="I349">
        <v>18.12</v>
      </c>
      <c r="J349">
        <v>59.92</v>
      </c>
      <c r="K349">
        <v>299</v>
      </c>
      <c r="T349">
        <v>3</v>
      </c>
      <c r="U349">
        <v>2</v>
      </c>
      <c r="V349" t="s">
        <v>233</v>
      </c>
      <c r="W349">
        <v>76</v>
      </c>
      <c r="X349">
        <v>15</v>
      </c>
      <c r="Y349">
        <v>12</v>
      </c>
      <c r="Z349" t="s">
        <v>696</v>
      </c>
      <c r="AA349" t="s">
        <v>697</v>
      </c>
      <c r="AB349" t="s">
        <v>229</v>
      </c>
      <c r="AC349" t="s">
        <v>230</v>
      </c>
      <c r="AD349" t="s">
        <v>231</v>
      </c>
      <c r="AE349" t="s">
        <v>205</v>
      </c>
      <c r="AG349" t="s">
        <v>698</v>
      </c>
      <c r="AH349">
        <v>0</v>
      </c>
      <c r="AI349">
        <v>209</v>
      </c>
      <c r="AJ349">
        <v>22</v>
      </c>
      <c r="AK349">
        <v>0</v>
      </c>
      <c r="AL349">
        <v>0</v>
      </c>
    </row>
    <row r="350" spans="1:38" x14ac:dyDescent="0.3">
      <c r="A350" t="s">
        <v>678</v>
      </c>
      <c r="B350">
        <v>11554</v>
      </c>
      <c r="C350">
        <v>2</v>
      </c>
      <c r="D350" t="s">
        <v>694</v>
      </c>
      <c r="E350" t="s">
        <v>695</v>
      </c>
      <c r="F350">
        <v>527</v>
      </c>
      <c r="G350">
        <v>24.5</v>
      </c>
      <c r="H350">
        <v>81.02</v>
      </c>
      <c r="I350">
        <v>18.12</v>
      </c>
      <c r="J350">
        <v>59.92</v>
      </c>
      <c r="K350">
        <v>228</v>
      </c>
      <c r="T350">
        <v>3</v>
      </c>
      <c r="U350">
        <v>2</v>
      </c>
      <c r="V350" t="s">
        <v>233</v>
      </c>
      <c r="W350">
        <v>81</v>
      </c>
      <c r="X350">
        <v>15</v>
      </c>
      <c r="Y350">
        <v>12</v>
      </c>
      <c r="Z350" t="s">
        <v>696</v>
      </c>
      <c r="AA350" t="s">
        <v>697</v>
      </c>
      <c r="AB350" t="s">
        <v>229</v>
      </c>
      <c r="AC350" t="s">
        <v>230</v>
      </c>
      <c r="AD350" t="s">
        <v>231</v>
      </c>
      <c r="AE350" t="s">
        <v>205</v>
      </c>
      <c r="AG350" t="s">
        <v>698</v>
      </c>
      <c r="AH350">
        <v>0</v>
      </c>
      <c r="AI350">
        <v>209</v>
      </c>
      <c r="AJ350">
        <v>22</v>
      </c>
      <c r="AK350">
        <v>0</v>
      </c>
      <c r="AL350">
        <v>0</v>
      </c>
    </row>
    <row r="351" spans="1:38" x14ac:dyDescent="0.3">
      <c r="A351" t="s">
        <v>678</v>
      </c>
      <c r="B351">
        <v>27182</v>
      </c>
      <c r="C351">
        <v>1</v>
      </c>
      <c r="D351" t="s">
        <v>699</v>
      </c>
      <c r="E351" t="s">
        <v>700</v>
      </c>
      <c r="F351">
        <v>2164</v>
      </c>
      <c r="G351">
        <v>38.93</v>
      </c>
      <c r="H351">
        <v>128.72</v>
      </c>
      <c r="I351">
        <v>29.98</v>
      </c>
      <c r="J351">
        <v>99.12</v>
      </c>
      <c r="K351">
        <v>688</v>
      </c>
      <c r="T351">
        <v>3</v>
      </c>
      <c r="U351">
        <v>2</v>
      </c>
      <c r="V351" t="s">
        <v>233</v>
      </c>
      <c r="W351">
        <v>128</v>
      </c>
      <c r="X351">
        <v>45</v>
      </c>
      <c r="Y351">
        <v>37</v>
      </c>
      <c r="Z351" t="s">
        <v>701</v>
      </c>
      <c r="AA351" t="s">
        <v>702</v>
      </c>
      <c r="AB351" t="s">
        <v>229</v>
      </c>
      <c r="AC351" t="s">
        <v>230</v>
      </c>
      <c r="AD351" t="s">
        <v>231</v>
      </c>
      <c r="AE351" t="s">
        <v>205</v>
      </c>
      <c r="AG351" t="s">
        <v>703</v>
      </c>
      <c r="AH351">
        <v>0</v>
      </c>
      <c r="AI351">
        <v>582</v>
      </c>
      <c r="AJ351">
        <v>30</v>
      </c>
      <c r="AK351">
        <v>4009</v>
      </c>
      <c r="AL351">
        <v>1.85</v>
      </c>
    </row>
    <row r="352" spans="1:38" x14ac:dyDescent="0.3">
      <c r="A352" t="s">
        <v>678</v>
      </c>
      <c r="B352">
        <v>27182</v>
      </c>
      <c r="C352">
        <v>2</v>
      </c>
      <c r="D352" t="s">
        <v>699</v>
      </c>
      <c r="E352" t="s">
        <v>700</v>
      </c>
      <c r="F352">
        <v>2164</v>
      </c>
      <c r="G352">
        <v>49.02</v>
      </c>
      <c r="H352">
        <v>162.08000000000001</v>
      </c>
      <c r="I352">
        <v>37.75</v>
      </c>
      <c r="J352">
        <v>124.81</v>
      </c>
      <c r="K352">
        <v>688</v>
      </c>
      <c r="T352">
        <v>3</v>
      </c>
      <c r="U352">
        <v>2</v>
      </c>
      <c r="V352" t="s">
        <v>233</v>
      </c>
      <c r="W352">
        <v>162</v>
      </c>
      <c r="X352">
        <v>45</v>
      </c>
      <c r="Y352">
        <v>37</v>
      </c>
      <c r="Z352" t="s">
        <v>701</v>
      </c>
      <c r="AA352" t="s">
        <v>702</v>
      </c>
      <c r="AB352" t="s">
        <v>229</v>
      </c>
      <c r="AC352" t="s">
        <v>230</v>
      </c>
      <c r="AD352" t="s">
        <v>231</v>
      </c>
      <c r="AE352" t="s">
        <v>205</v>
      </c>
      <c r="AG352" t="s">
        <v>703</v>
      </c>
      <c r="AH352">
        <v>0</v>
      </c>
      <c r="AI352">
        <v>582</v>
      </c>
      <c r="AJ352">
        <v>30</v>
      </c>
      <c r="AK352">
        <v>4009</v>
      </c>
      <c r="AL352">
        <v>1.85</v>
      </c>
    </row>
    <row r="353" spans="1:38" x14ac:dyDescent="0.3">
      <c r="A353" t="s">
        <v>678</v>
      </c>
      <c r="B353">
        <v>27182</v>
      </c>
      <c r="C353">
        <v>3</v>
      </c>
      <c r="D353" t="s">
        <v>699</v>
      </c>
      <c r="E353" t="s">
        <v>700</v>
      </c>
      <c r="F353">
        <v>2164</v>
      </c>
      <c r="G353">
        <v>59.96</v>
      </c>
      <c r="H353">
        <v>198.23</v>
      </c>
      <c r="I353">
        <v>46.17</v>
      </c>
      <c r="J353">
        <v>152.65</v>
      </c>
      <c r="K353">
        <v>688</v>
      </c>
      <c r="T353">
        <v>4</v>
      </c>
      <c r="U353">
        <v>2</v>
      </c>
      <c r="V353" t="s">
        <v>233</v>
      </c>
      <c r="W353">
        <v>198</v>
      </c>
      <c r="X353">
        <v>45</v>
      </c>
      <c r="Y353">
        <v>37</v>
      </c>
      <c r="Z353" t="s">
        <v>701</v>
      </c>
      <c r="AA353" t="s">
        <v>702</v>
      </c>
      <c r="AB353" t="s">
        <v>229</v>
      </c>
      <c r="AC353" t="s">
        <v>230</v>
      </c>
      <c r="AD353" t="s">
        <v>231</v>
      </c>
      <c r="AE353" t="s">
        <v>205</v>
      </c>
      <c r="AG353" t="s">
        <v>703</v>
      </c>
      <c r="AH353">
        <v>0</v>
      </c>
      <c r="AI353">
        <v>582</v>
      </c>
      <c r="AJ353">
        <v>30</v>
      </c>
      <c r="AK353">
        <v>4009</v>
      </c>
      <c r="AL353">
        <v>1.85</v>
      </c>
    </row>
    <row r="354" spans="1:38" x14ac:dyDescent="0.3">
      <c r="A354" t="s">
        <v>678</v>
      </c>
      <c r="B354">
        <v>27182</v>
      </c>
      <c r="C354">
        <v>4</v>
      </c>
      <c r="D354" t="s">
        <v>699</v>
      </c>
      <c r="E354" t="s">
        <v>700</v>
      </c>
      <c r="F354">
        <v>2164</v>
      </c>
      <c r="G354">
        <v>63.88</v>
      </c>
      <c r="H354">
        <v>211.19</v>
      </c>
      <c r="I354">
        <v>49.19</v>
      </c>
      <c r="J354">
        <v>162.62</v>
      </c>
      <c r="K354">
        <v>50</v>
      </c>
      <c r="T354">
        <v>5</v>
      </c>
      <c r="U354">
        <v>3</v>
      </c>
      <c r="V354" t="s">
        <v>233</v>
      </c>
      <c r="W354">
        <v>211</v>
      </c>
      <c r="X354">
        <v>45</v>
      </c>
      <c r="Y354">
        <v>37</v>
      </c>
      <c r="Z354" t="s">
        <v>701</v>
      </c>
      <c r="AA354" t="s">
        <v>702</v>
      </c>
      <c r="AB354" t="s">
        <v>229</v>
      </c>
      <c r="AC354" t="s">
        <v>230</v>
      </c>
      <c r="AD354" t="s">
        <v>231</v>
      </c>
      <c r="AE354" t="s">
        <v>205</v>
      </c>
      <c r="AG354" t="s">
        <v>703</v>
      </c>
      <c r="AH354">
        <v>0</v>
      </c>
      <c r="AI354">
        <v>582</v>
      </c>
      <c r="AJ354">
        <v>30</v>
      </c>
      <c r="AK354">
        <v>4009</v>
      </c>
      <c r="AL354">
        <v>1.85</v>
      </c>
    </row>
    <row r="355" spans="1:38" x14ac:dyDescent="0.3">
      <c r="A355" t="s">
        <v>678</v>
      </c>
      <c r="B355">
        <v>27182</v>
      </c>
      <c r="C355">
        <v>5</v>
      </c>
      <c r="D355" t="s">
        <v>699</v>
      </c>
      <c r="E355" t="s">
        <v>700</v>
      </c>
      <c r="F355">
        <v>2164</v>
      </c>
      <c r="G355">
        <v>77.37</v>
      </c>
      <c r="H355">
        <v>255.79</v>
      </c>
      <c r="I355">
        <v>59.58</v>
      </c>
      <c r="J355">
        <v>196.97</v>
      </c>
      <c r="K355">
        <v>50</v>
      </c>
      <c r="T355">
        <v>5</v>
      </c>
      <c r="U355">
        <v>3</v>
      </c>
      <c r="V355" t="s">
        <v>233</v>
      </c>
      <c r="W355">
        <v>255</v>
      </c>
      <c r="X355">
        <v>45</v>
      </c>
      <c r="Y355">
        <v>37</v>
      </c>
      <c r="Z355" t="s">
        <v>701</v>
      </c>
      <c r="AA355" t="s">
        <v>702</v>
      </c>
      <c r="AB355" t="s">
        <v>229</v>
      </c>
      <c r="AC355" t="s">
        <v>230</v>
      </c>
      <c r="AD355" t="s">
        <v>231</v>
      </c>
      <c r="AE355" t="s">
        <v>205</v>
      </c>
      <c r="AG355" t="s">
        <v>703</v>
      </c>
      <c r="AH355">
        <v>0</v>
      </c>
      <c r="AI355">
        <v>582</v>
      </c>
      <c r="AJ355">
        <v>30</v>
      </c>
      <c r="AK355">
        <v>4009</v>
      </c>
      <c r="AL355">
        <v>1.85</v>
      </c>
    </row>
    <row r="356" spans="1:38" x14ac:dyDescent="0.3">
      <c r="A356" t="s">
        <v>678</v>
      </c>
      <c r="B356">
        <v>141131</v>
      </c>
      <c r="C356">
        <v>1</v>
      </c>
      <c r="D356" t="s">
        <v>704</v>
      </c>
      <c r="E356" t="s">
        <v>705</v>
      </c>
      <c r="F356">
        <v>24</v>
      </c>
      <c r="G356">
        <v>23.31</v>
      </c>
      <c r="H356">
        <v>77.09</v>
      </c>
      <c r="I356">
        <v>18.07</v>
      </c>
      <c r="J356">
        <v>59.76</v>
      </c>
      <c r="K356">
        <v>24</v>
      </c>
      <c r="T356">
        <v>3</v>
      </c>
      <c r="U356">
        <v>1</v>
      </c>
      <c r="V356" t="s">
        <v>233</v>
      </c>
      <c r="W356">
        <v>77</v>
      </c>
      <c r="X356">
        <v>6</v>
      </c>
      <c r="Y356">
        <v>6</v>
      </c>
      <c r="Z356" t="s">
        <v>706</v>
      </c>
      <c r="AA356" t="s">
        <v>707</v>
      </c>
      <c r="AB356" t="s">
        <v>229</v>
      </c>
      <c r="AC356" t="s">
        <v>230</v>
      </c>
      <c r="AD356" t="s">
        <v>231</v>
      </c>
      <c r="AE356" t="s">
        <v>205</v>
      </c>
      <c r="AG356" t="s">
        <v>708</v>
      </c>
      <c r="AH356">
        <v>0</v>
      </c>
      <c r="AI356">
        <v>110</v>
      </c>
      <c r="AJ356">
        <v>24</v>
      </c>
      <c r="AK356">
        <v>14</v>
      </c>
      <c r="AL356">
        <v>0.57999999999999996</v>
      </c>
    </row>
    <row r="357" spans="1:38" x14ac:dyDescent="0.3">
      <c r="A357" t="s">
        <v>678</v>
      </c>
      <c r="B357">
        <v>15441</v>
      </c>
      <c r="C357">
        <v>1</v>
      </c>
      <c r="D357" t="s">
        <v>709</v>
      </c>
      <c r="E357" t="s">
        <v>710</v>
      </c>
      <c r="F357">
        <v>140</v>
      </c>
      <c r="G357">
        <v>20.100000000000001</v>
      </c>
      <c r="H357">
        <v>66.45</v>
      </c>
      <c r="I357">
        <v>16.899999999999999</v>
      </c>
      <c r="J357">
        <v>55.87</v>
      </c>
      <c r="K357">
        <v>53</v>
      </c>
      <c r="T357">
        <v>3</v>
      </c>
      <c r="U357">
        <v>1</v>
      </c>
      <c r="V357" t="s">
        <v>233</v>
      </c>
      <c r="W357" t="s">
        <v>401</v>
      </c>
      <c r="X357">
        <v>5</v>
      </c>
      <c r="Y357">
        <v>5</v>
      </c>
      <c r="Z357" t="s">
        <v>711</v>
      </c>
      <c r="AA357" t="s">
        <v>712</v>
      </c>
      <c r="AB357" t="s">
        <v>229</v>
      </c>
      <c r="AC357" t="s">
        <v>230</v>
      </c>
      <c r="AD357" t="s">
        <v>231</v>
      </c>
      <c r="AE357" t="s">
        <v>205</v>
      </c>
      <c r="AG357" t="s">
        <v>713</v>
      </c>
      <c r="AH357">
        <v>0</v>
      </c>
      <c r="AI357">
        <v>140</v>
      </c>
      <c r="AJ357">
        <v>29</v>
      </c>
      <c r="AK357">
        <v>0</v>
      </c>
      <c r="AL357">
        <v>0</v>
      </c>
    </row>
    <row r="358" spans="1:38" x14ac:dyDescent="0.3">
      <c r="A358" t="s">
        <v>678</v>
      </c>
      <c r="B358">
        <v>15441</v>
      </c>
      <c r="C358">
        <v>2</v>
      </c>
      <c r="D358" t="s">
        <v>709</v>
      </c>
      <c r="E358" t="s">
        <v>710</v>
      </c>
      <c r="F358">
        <v>140</v>
      </c>
      <c r="G358">
        <v>19.98</v>
      </c>
      <c r="H358">
        <v>66.06</v>
      </c>
      <c r="I358">
        <v>16.899999999999999</v>
      </c>
      <c r="J358">
        <v>55.89</v>
      </c>
      <c r="K358">
        <v>37</v>
      </c>
      <c r="T358">
        <v>3</v>
      </c>
      <c r="U358">
        <v>1</v>
      </c>
      <c r="V358" t="s">
        <v>233</v>
      </c>
      <c r="W358" t="s">
        <v>402</v>
      </c>
      <c r="X358">
        <v>5</v>
      </c>
      <c r="Y358">
        <v>5</v>
      </c>
      <c r="Z358" t="s">
        <v>711</v>
      </c>
      <c r="AA358" t="s">
        <v>712</v>
      </c>
      <c r="AB358" t="s">
        <v>229</v>
      </c>
      <c r="AC358" t="s">
        <v>230</v>
      </c>
      <c r="AD358" t="s">
        <v>231</v>
      </c>
      <c r="AE358" t="s">
        <v>205</v>
      </c>
      <c r="AG358" t="s">
        <v>713</v>
      </c>
      <c r="AH358">
        <v>0</v>
      </c>
      <c r="AI358">
        <v>140</v>
      </c>
      <c r="AJ358">
        <v>29</v>
      </c>
      <c r="AK358">
        <v>0</v>
      </c>
      <c r="AL358">
        <v>0</v>
      </c>
    </row>
    <row r="359" spans="1:38" x14ac:dyDescent="0.3">
      <c r="A359" t="s">
        <v>678</v>
      </c>
      <c r="B359">
        <v>15441</v>
      </c>
      <c r="C359">
        <v>3</v>
      </c>
      <c r="D359" t="s">
        <v>709</v>
      </c>
      <c r="E359" t="s">
        <v>710</v>
      </c>
      <c r="F359">
        <v>140</v>
      </c>
      <c r="G359">
        <v>24.03</v>
      </c>
      <c r="H359">
        <v>79.45</v>
      </c>
      <c r="I359">
        <v>20.9</v>
      </c>
      <c r="J359">
        <v>69.099999999999994</v>
      </c>
      <c r="K359">
        <v>45</v>
      </c>
      <c r="T359">
        <v>3</v>
      </c>
      <c r="U359">
        <v>2</v>
      </c>
      <c r="V359" t="s">
        <v>233</v>
      </c>
      <c r="W359">
        <v>79</v>
      </c>
      <c r="X359">
        <v>5</v>
      </c>
      <c r="Y359">
        <v>5</v>
      </c>
      <c r="Z359" t="s">
        <v>711</v>
      </c>
      <c r="AA359" t="s">
        <v>712</v>
      </c>
      <c r="AB359" t="s">
        <v>229</v>
      </c>
      <c r="AC359" t="s">
        <v>230</v>
      </c>
      <c r="AD359" t="s">
        <v>231</v>
      </c>
      <c r="AE359" t="s">
        <v>205</v>
      </c>
      <c r="AG359" t="s">
        <v>713</v>
      </c>
      <c r="AH359">
        <v>0</v>
      </c>
      <c r="AI359">
        <v>140</v>
      </c>
      <c r="AJ359">
        <v>29</v>
      </c>
      <c r="AK359">
        <v>0</v>
      </c>
      <c r="AL359">
        <v>0</v>
      </c>
    </row>
    <row r="360" spans="1:38" x14ac:dyDescent="0.3">
      <c r="A360" t="s">
        <v>678</v>
      </c>
      <c r="B360">
        <v>15441</v>
      </c>
      <c r="C360">
        <v>4</v>
      </c>
      <c r="D360" t="s">
        <v>709</v>
      </c>
      <c r="E360" t="s">
        <v>710</v>
      </c>
      <c r="F360">
        <v>140</v>
      </c>
      <c r="G360">
        <v>27.07</v>
      </c>
      <c r="H360">
        <v>89.49</v>
      </c>
      <c r="I360">
        <v>23.93</v>
      </c>
      <c r="J360">
        <v>79.14</v>
      </c>
      <c r="K360">
        <v>5</v>
      </c>
      <c r="T360">
        <v>3</v>
      </c>
      <c r="U360">
        <v>2</v>
      </c>
      <c r="V360" t="s">
        <v>233</v>
      </c>
      <c r="W360">
        <v>89</v>
      </c>
      <c r="X360">
        <v>5</v>
      </c>
      <c r="Y360">
        <v>5</v>
      </c>
      <c r="Z360" t="s">
        <v>711</v>
      </c>
      <c r="AA360" t="s">
        <v>712</v>
      </c>
      <c r="AB360" t="s">
        <v>229</v>
      </c>
      <c r="AC360" t="s">
        <v>230</v>
      </c>
      <c r="AD360" t="s">
        <v>231</v>
      </c>
      <c r="AE360" t="s">
        <v>205</v>
      </c>
      <c r="AG360" t="s">
        <v>713</v>
      </c>
      <c r="AH360">
        <v>0</v>
      </c>
      <c r="AI360">
        <v>140</v>
      </c>
      <c r="AJ360">
        <v>29</v>
      </c>
      <c r="AK360">
        <v>0</v>
      </c>
      <c r="AL360">
        <v>0</v>
      </c>
    </row>
    <row r="361" spans="1:38" x14ac:dyDescent="0.3">
      <c r="A361" t="s">
        <v>678</v>
      </c>
      <c r="B361">
        <v>120755</v>
      </c>
      <c r="C361">
        <v>1</v>
      </c>
      <c r="D361" t="s">
        <v>714</v>
      </c>
      <c r="E361" t="s">
        <v>715</v>
      </c>
      <c r="F361">
        <v>80</v>
      </c>
      <c r="G361">
        <v>33.99</v>
      </c>
      <c r="H361">
        <v>112.39</v>
      </c>
      <c r="I361">
        <v>25.5</v>
      </c>
      <c r="J361">
        <v>84.3</v>
      </c>
      <c r="K361">
        <v>56</v>
      </c>
      <c r="T361">
        <v>3</v>
      </c>
      <c r="U361">
        <v>2</v>
      </c>
      <c r="V361" t="s">
        <v>226</v>
      </c>
      <c r="W361">
        <v>112</v>
      </c>
      <c r="X361">
        <v>4</v>
      </c>
      <c r="Y361">
        <v>4</v>
      </c>
      <c r="Z361" t="s">
        <v>716</v>
      </c>
      <c r="AA361" t="s">
        <v>717</v>
      </c>
      <c r="AB361" t="s">
        <v>229</v>
      </c>
      <c r="AC361" t="s">
        <v>230</v>
      </c>
      <c r="AD361" t="s">
        <v>231</v>
      </c>
      <c r="AE361" t="s">
        <v>205</v>
      </c>
      <c r="AG361" t="s">
        <v>718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678</v>
      </c>
      <c r="B362">
        <v>120755</v>
      </c>
      <c r="C362">
        <v>2</v>
      </c>
      <c r="D362" t="s">
        <v>714</v>
      </c>
      <c r="E362" t="s">
        <v>715</v>
      </c>
      <c r="F362">
        <v>80</v>
      </c>
      <c r="G362">
        <v>42.99</v>
      </c>
      <c r="H362">
        <v>142.13999999999999</v>
      </c>
      <c r="I362">
        <v>32.67</v>
      </c>
      <c r="J362">
        <v>108.03</v>
      </c>
      <c r="K362">
        <v>24</v>
      </c>
      <c r="T362">
        <v>4</v>
      </c>
      <c r="U362">
        <v>2</v>
      </c>
      <c r="V362" t="s">
        <v>226</v>
      </c>
      <c r="W362">
        <v>142</v>
      </c>
      <c r="X362">
        <v>4</v>
      </c>
      <c r="Y362">
        <v>4</v>
      </c>
      <c r="Z362" t="s">
        <v>716</v>
      </c>
      <c r="AA362" t="s">
        <v>717</v>
      </c>
      <c r="AB362" t="s">
        <v>229</v>
      </c>
      <c r="AC362" t="s">
        <v>230</v>
      </c>
      <c r="AD362" t="s">
        <v>231</v>
      </c>
      <c r="AE362" t="s">
        <v>205</v>
      </c>
      <c r="AG362" t="s">
        <v>718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678</v>
      </c>
      <c r="B363">
        <v>11206</v>
      </c>
      <c r="C363">
        <v>1</v>
      </c>
      <c r="D363" t="s">
        <v>719</v>
      </c>
      <c r="E363" t="s">
        <v>720</v>
      </c>
      <c r="F363">
        <v>388</v>
      </c>
      <c r="G363">
        <v>31.34</v>
      </c>
      <c r="H363">
        <v>103.62</v>
      </c>
      <c r="I363">
        <v>22.68</v>
      </c>
      <c r="J363">
        <v>74.98</v>
      </c>
      <c r="K363">
        <v>288</v>
      </c>
      <c r="T363">
        <v>3</v>
      </c>
      <c r="U363">
        <v>2</v>
      </c>
      <c r="V363" t="s">
        <v>233</v>
      </c>
      <c r="W363">
        <v>103</v>
      </c>
      <c r="X363">
        <v>12</v>
      </c>
      <c r="Y363">
        <v>10</v>
      </c>
      <c r="Z363" t="s">
        <v>721</v>
      </c>
      <c r="AA363" t="s">
        <v>722</v>
      </c>
      <c r="AB363" t="s">
        <v>229</v>
      </c>
      <c r="AC363" t="s">
        <v>230</v>
      </c>
      <c r="AD363" t="s">
        <v>231</v>
      </c>
      <c r="AE363" t="s">
        <v>205</v>
      </c>
      <c r="AG363" t="s">
        <v>723</v>
      </c>
      <c r="AH363">
        <v>0</v>
      </c>
      <c r="AI363">
        <v>212</v>
      </c>
      <c r="AJ363">
        <v>25</v>
      </c>
      <c r="AK363">
        <v>416</v>
      </c>
      <c r="AL363">
        <v>1.07</v>
      </c>
    </row>
    <row r="364" spans="1:38" x14ac:dyDescent="0.3">
      <c r="A364" t="s">
        <v>678</v>
      </c>
      <c r="B364">
        <v>11206</v>
      </c>
      <c r="C364">
        <v>2</v>
      </c>
      <c r="D364" t="s">
        <v>719</v>
      </c>
      <c r="E364" t="s">
        <v>720</v>
      </c>
      <c r="F364">
        <v>388</v>
      </c>
      <c r="G364">
        <v>35.74</v>
      </c>
      <c r="H364">
        <v>118.15</v>
      </c>
      <c r="I364">
        <v>25.7</v>
      </c>
      <c r="J364">
        <v>84.96</v>
      </c>
      <c r="K364">
        <v>100</v>
      </c>
      <c r="T364">
        <v>3</v>
      </c>
      <c r="U364">
        <v>2</v>
      </c>
      <c r="V364" t="s">
        <v>233</v>
      </c>
      <c r="W364">
        <v>118</v>
      </c>
      <c r="X364">
        <v>12</v>
      </c>
      <c r="Y364">
        <v>10</v>
      </c>
      <c r="Z364" t="s">
        <v>721</v>
      </c>
      <c r="AA364" t="s">
        <v>722</v>
      </c>
      <c r="AB364" t="s">
        <v>229</v>
      </c>
      <c r="AC364" t="s">
        <v>230</v>
      </c>
      <c r="AD364" t="s">
        <v>231</v>
      </c>
      <c r="AE364" t="s">
        <v>205</v>
      </c>
      <c r="AG364" t="s">
        <v>723</v>
      </c>
      <c r="AH364">
        <v>0</v>
      </c>
      <c r="AI364">
        <v>212</v>
      </c>
      <c r="AJ364">
        <v>25</v>
      </c>
      <c r="AK364">
        <v>416</v>
      </c>
      <c r="AL364">
        <v>1.07</v>
      </c>
    </row>
    <row r="365" spans="1:38" x14ac:dyDescent="0.3">
      <c r="A365" t="s">
        <v>678</v>
      </c>
      <c r="B365">
        <v>119493</v>
      </c>
      <c r="C365">
        <v>1</v>
      </c>
      <c r="D365" t="s">
        <v>724</v>
      </c>
      <c r="E365" t="s">
        <v>725</v>
      </c>
      <c r="F365">
        <v>40</v>
      </c>
      <c r="G365">
        <v>22.89</v>
      </c>
      <c r="H365">
        <v>75.7</v>
      </c>
      <c r="I365">
        <v>19.11</v>
      </c>
      <c r="J365">
        <v>63.18</v>
      </c>
      <c r="K365">
        <v>20</v>
      </c>
      <c r="T365">
        <v>3</v>
      </c>
      <c r="U365">
        <v>2</v>
      </c>
      <c r="V365" t="s">
        <v>233</v>
      </c>
      <c r="W365">
        <v>75</v>
      </c>
      <c r="X365">
        <v>5</v>
      </c>
      <c r="Y365">
        <v>5</v>
      </c>
      <c r="Z365" t="s">
        <v>726</v>
      </c>
      <c r="AA365" t="s">
        <v>727</v>
      </c>
      <c r="AB365" t="s">
        <v>229</v>
      </c>
      <c r="AC365" t="s">
        <v>230</v>
      </c>
      <c r="AD365" t="s">
        <v>231</v>
      </c>
      <c r="AE365" t="s">
        <v>205</v>
      </c>
      <c r="AG365" t="s">
        <v>728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678</v>
      </c>
      <c r="B366">
        <v>119493</v>
      </c>
      <c r="C366">
        <v>2</v>
      </c>
      <c r="D366" t="s">
        <v>724</v>
      </c>
      <c r="E366" t="s">
        <v>725</v>
      </c>
      <c r="F366">
        <v>40</v>
      </c>
      <c r="G366">
        <v>23.71</v>
      </c>
      <c r="H366">
        <v>78.400000000000006</v>
      </c>
      <c r="I366">
        <v>19.920000000000002</v>
      </c>
      <c r="J366">
        <v>65.88</v>
      </c>
      <c r="K366">
        <v>20</v>
      </c>
      <c r="T366">
        <v>3</v>
      </c>
      <c r="U366">
        <v>2</v>
      </c>
      <c r="V366" t="s">
        <v>233</v>
      </c>
      <c r="W366">
        <v>78</v>
      </c>
      <c r="X366">
        <v>5</v>
      </c>
      <c r="Y366">
        <v>5</v>
      </c>
      <c r="Z366" t="s">
        <v>726</v>
      </c>
      <c r="AA366" t="s">
        <v>727</v>
      </c>
      <c r="AB366" t="s">
        <v>229</v>
      </c>
      <c r="AC366" t="s">
        <v>230</v>
      </c>
      <c r="AD366" t="s">
        <v>231</v>
      </c>
      <c r="AE366" t="s">
        <v>205</v>
      </c>
      <c r="AG366" t="s">
        <v>728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678</v>
      </c>
      <c r="B367">
        <v>144187</v>
      </c>
      <c r="C367">
        <v>1</v>
      </c>
      <c r="D367" t="s">
        <v>729</v>
      </c>
      <c r="E367" t="s">
        <v>730</v>
      </c>
      <c r="F367">
        <v>986</v>
      </c>
      <c r="G367">
        <v>17.77</v>
      </c>
      <c r="H367">
        <v>58.77</v>
      </c>
      <c r="I367">
        <v>11.87</v>
      </c>
      <c r="J367">
        <v>39.25</v>
      </c>
      <c r="K367">
        <v>90</v>
      </c>
      <c r="T367">
        <v>2</v>
      </c>
      <c r="U367">
        <v>1</v>
      </c>
      <c r="V367" t="s">
        <v>233</v>
      </c>
      <c r="W367">
        <v>58</v>
      </c>
      <c r="X367">
        <v>25</v>
      </c>
      <c r="Y367">
        <v>16</v>
      </c>
      <c r="Z367" t="s">
        <v>731</v>
      </c>
      <c r="AA367" t="s">
        <v>732</v>
      </c>
      <c r="AB367" t="s">
        <v>229</v>
      </c>
      <c r="AC367" t="s">
        <v>230</v>
      </c>
      <c r="AD367" t="s">
        <v>231</v>
      </c>
      <c r="AE367" t="s">
        <v>205</v>
      </c>
      <c r="AG367" t="s">
        <v>733</v>
      </c>
      <c r="AH367">
        <v>60</v>
      </c>
      <c r="AI367">
        <v>241</v>
      </c>
      <c r="AJ367">
        <v>15</v>
      </c>
      <c r="AK367">
        <v>1284</v>
      </c>
      <c r="AL367">
        <v>1.3</v>
      </c>
    </row>
    <row r="368" spans="1:38" x14ac:dyDescent="0.3">
      <c r="A368" t="s">
        <v>678</v>
      </c>
      <c r="B368">
        <v>144187</v>
      </c>
      <c r="C368">
        <v>2</v>
      </c>
      <c r="D368" t="s">
        <v>729</v>
      </c>
      <c r="E368" t="s">
        <v>730</v>
      </c>
      <c r="F368">
        <v>986</v>
      </c>
      <c r="G368">
        <v>24.82</v>
      </c>
      <c r="H368">
        <v>82.08</v>
      </c>
      <c r="I368">
        <v>18.13</v>
      </c>
      <c r="J368">
        <v>59.94</v>
      </c>
      <c r="K368">
        <v>48</v>
      </c>
      <c r="T368">
        <v>3</v>
      </c>
      <c r="U368">
        <v>2</v>
      </c>
      <c r="V368" t="s">
        <v>233</v>
      </c>
      <c r="W368" t="s">
        <v>136</v>
      </c>
      <c r="X368">
        <v>25</v>
      </c>
      <c r="Y368">
        <v>16</v>
      </c>
      <c r="Z368" t="s">
        <v>731</v>
      </c>
      <c r="AA368" t="s">
        <v>732</v>
      </c>
      <c r="AB368" t="s">
        <v>229</v>
      </c>
      <c r="AC368" t="s">
        <v>230</v>
      </c>
      <c r="AD368" t="s">
        <v>231</v>
      </c>
      <c r="AE368" t="s">
        <v>205</v>
      </c>
      <c r="AG368" t="s">
        <v>733</v>
      </c>
      <c r="AH368">
        <v>60</v>
      </c>
      <c r="AI368">
        <v>241</v>
      </c>
      <c r="AJ368">
        <v>15</v>
      </c>
      <c r="AK368">
        <v>1284</v>
      </c>
      <c r="AL368">
        <v>1.3</v>
      </c>
    </row>
    <row r="369" spans="1:38" x14ac:dyDescent="0.3">
      <c r="A369" t="s">
        <v>678</v>
      </c>
      <c r="B369">
        <v>144187</v>
      </c>
      <c r="C369">
        <v>3</v>
      </c>
      <c r="D369" t="s">
        <v>729</v>
      </c>
      <c r="E369" t="s">
        <v>730</v>
      </c>
      <c r="F369">
        <v>986</v>
      </c>
      <c r="G369">
        <v>25</v>
      </c>
      <c r="H369">
        <v>82.65</v>
      </c>
      <c r="I369">
        <v>18.14</v>
      </c>
      <c r="J369">
        <v>59.98</v>
      </c>
      <c r="K369">
        <v>16</v>
      </c>
      <c r="T369">
        <v>3</v>
      </c>
      <c r="U369">
        <v>2</v>
      </c>
      <c r="V369" t="s">
        <v>233</v>
      </c>
      <c r="W369" t="s">
        <v>137</v>
      </c>
      <c r="X369">
        <v>25</v>
      </c>
      <c r="Y369">
        <v>16</v>
      </c>
      <c r="Z369" t="s">
        <v>731</v>
      </c>
      <c r="AA369" t="s">
        <v>732</v>
      </c>
      <c r="AB369" t="s">
        <v>229</v>
      </c>
      <c r="AC369" t="s">
        <v>230</v>
      </c>
      <c r="AD369" t="s">
        <v>231</v>
      </c>
      <c r="AE369" t="s">
        <v>205</v>
      </c>
      <c r="AG369" t="s">
        <v>733</v>
      </c>
      <c r="AH369">
        <v>60</v>
      </c>
      <c r="AI369">
        <v>241</v>
      </c>
      <c r="AJ369">
        <v>15</v>
      </c>
      <c r="AK369">
        <v>1284</v>
      </c>
      <c r="AL369">
        <v>1.3</v>
      </c>
    </row>
    <row r="370" spans="1:38" x14ac:dyDescent="0.3">
      <c r="A370" t="s">
        <v>678</v>
      </c>
      <c r="B370">
        <v>144187</v>
      </c>
      <c r="C370">
        <v>4</v>
      </c>
      <c r="D370" t="s">
        <v>729</v>
      </c>
      <c r="E370" t="s">
        <v>730</v>
      </c>
      <c r="F370">
        <v>986</v>
      </c>
      <c r="G370">
        <v>30.64</v>
      </c>
      <c r="H370">
        <v>101.31</v>
      </c>
      <c r="I370">
        <v>22.68</v>
      </c>
      <c r="J370">
        <v>74.989999999999995</v>
      </c>
      <c r="K370">
        <v>186</v>
      </c>
      <c r="T370">
        <v>3</v>
      </c>
      <c r="U370">
        <v>2</v>
      </c>
      <c r="V370" t="s">
        <v>233</v>
      </c>
      <c r="W370">
        <v>101</v>
      </c>
      <c r="X370">
        <v>25</v>
      </c>
      <c r="Y370">
        <v>16</v>
      </c>
      <c r="Z370" t="s">
        <v>731</v>
      </c>
      <c r="AA370" t="s">
        <v>732</v>
      </c>
      <c r="AB370" t="s">
        <v>229</v>
      </c>
      <c r="AC370" t="s">
        <v>230</v>
      </c>
      <c r="AD370" t="s">
        <v>231</v>
      </c>
      <c r="AE370" t="s">
        <v>205</v>
      </c>
      <c r="AG370" t="s">
        <v>733</v>
      </c>
      <c r="AH370">
        <v>60</v>
      </c>
      <c r="AI370">
        <v>241</v>
      </c>
      <c r="AJ370">
        <v>15</v>
      </c>
      <c r="AK370">
        <v>1284</v>
      </c>
      <c r="AL370">
        <v>1.3</v>
      </c>
    </row>
    <row r="371" spans="1:38" x14ac:dyDescent="0.3">
      <c r="A371" t="s">
        <v>678</v>
      </c>
      <c r="B371">
        <v>144187</v>
      </c>
      <c r="C371">
        <v>5</v>
      </c>
      <c r="D371" t="s">
        <v>729</v>
      </c>
      <c r="E371" t="s">
        <v>730</v>
      </c>
      <c r="F371">
        <v>986</v>
      </c>
      <c r="G371">
        <v>33.770000000000003</v>
      </c>
      <c r="H371">
        <v>111.65</v>
      </c>
      <c r="I371">
        <v>25.7</v>
      </c>
      <c r="J371">
        <v>84.98</v>
      </c>
      <c r="K371">
        <v>407</v>
      </c>
      <c r="T371">
        <v>3</v>
      </c>
      <c r="U371">
        <v>2</v>
      </c>
      <c r="V371" t="s">
        <v>233</v>
      </c>
      <c r="W371" t="s">
        <v>73</v>
      </c>
      <c r="X371">
        <v>25</v>
      </c>
      <c r="Y371">
        <v>16</v>
      </c>
      <c r="Z371" t="s">
        <v>731</v>
      </c>
      <c r="AA371" t="s">
        <v>732</v>
      </c>
      <c r="AB371" t="s">
        <v>229</v>
      </c>
      <c r="AC371" t="s">
        <v>230</v>
      </c>
      <c r="AD371" t="s">
        <v>231</v>
      </c>
      <c r="AE371" t="s">
        <v>205</v>
      </c>
      <c r="AG371" t="s">
        <v>733</v>
      </c>
      <c r="AH371">
        <v>60</v>
      </c>
      <c r="AI371">
        <v>241</v>
      </c>
      <c r="AJ371">
        <v>15</v>
      </c>
      <c r="AK371">
        <v>1284</v>
      </c>
      <c r="AL371">
        <v>1.3</v>
      </c>
    </row>
    <row r="372" spans="1:38" x14ac:dyDescent="0.3">
      <c r="A372" t="s">
        <v>678</v>
      </c>
      <c r="B372">
        <v>144187</v>
      </c>
      <c r="C372">
        <v>6</v>
      </c>
      <c r="D372" t="s">
        <v>729</v>
      </c>
      <c r="E372" t="s">
        <v>730</v>
      </c>
      <c r="F372">
        <v>986</v>
      </c>
      <c r="G372">
        <v>34.159999999999997</v>
      </c>
      <c r="H372">
        <v>112.94</v>
      </c>
      <c r="I372">
        <v>25.7</v>
      </c>
      <c r="J372">
        <v>84.98</v>
      </c>
      <c r="K372">
        <v>86</v>
      </c>
      <c r="T372">
        <v>3</v>
      </c>
      <c r="U372">
        <v>2</v>
      </c>
      <c r="V372" t="s">
        <v>233</v>
      </c>
      <c r="W372" t="s">
        <v>107</v>
      </c>
      <c r="X372">
        <v>25</v>
      </c>
      <c r="Y372">
        <v>16</v>
      </c>
      <c r="Z372" t="s">
        <v>731</v>
      </c>
      <c r="AA372" t="s">
        <v>732</v>
      </c>
      <c r="AB372" t="s">
        <v>229</v>
      </c>
      <c r="AC372" t="s">
        <v>230</v>
      </c>
      <c r="AD372" t="s">
        <v>231</v>
      </c>
      <c r="AE372" t="s">
        <v>205</v>
      </c>
      <c r="AG372" t="s">
        <v>733</v>
      </c>
      <c r="AH372">
        <v>60</v>
      </c>
      <c r="AI372">
        <v>241</v>
      </c>
      <c r="AJ372">
        <v>15</v>
      </c>
      <c r="AK372">
        <v>1284</v>
      </c>
      <c r="AL372">
        <v>1.3</v>
      </c>
    </row>
    <row r="373" spans="1:38" x14ac:dyDescent="0.3">
      <c r="A373" t="s">
        <v>678</v>
      </c>
      <c r="B373">
        <v>144187</v>
      </c>
      <c r="C373">
        <v>7</v>
      </c>
      <c r="D373" t="s">
        <v>729</v>
      </c>
      <c r="E373" t="s">
        <v>730</v>
      </c>
      <c r="F373">
        <v>986</v>
      </c>
      <c r="G373">
        <v>34.119999999999997</v>
      </c>
      <c r="H373">
        <v>112.81</v>
      </c>
      <c r="I373">
        <v>25.7</v>
      </c>
      <c r="J373">
        <v>84.96</v>
      </c>
      <c r="K373">
        <v>50</v>
      </c>
      <c r="T373">
        <v>3</v>
      </c>
      <c r="U373">
        <v>2</v>
      </c>
      <c r="V373" t="s">
        <v>233</v>
      </c>
      <c r="W373" t="s">
        <v>113</v>
      </c>
      <c r="X373">
        <v>25</v>
      </c>
      <c r="Y373">
        <v>16</v>
      </c>
      <c r="Z373" t="s">
        <v>731</v>
      </c>
      <c r="AA373" t="s">
        <v>732</v>
      </c>
      <c r="AB373" t="s">
        <v>229</v>
      </c>
      <c r="AC373" t="s">
        <v>230</v>
      </c>
      <c r="AD373" t="s">
        <v>231</v>
      </c>
      <c r="AE373" t="s">
        <v>205</v>
      </c>
      <c r="AG373" t="s">
        <v>733</v>
      </c>
      <c r="AH373">
        <v>60</v>
      </c>
      <c r="AI373">
        <v>241</v>
      </c>
      <c r="AJ373">
        <v>15</v>
      </c>
      <c r="AK373">
        <v>1284</v>
      </c>
      <c r="AL373">
        <v>1.3</v>
      </c>
    </row>
    <row r="374" spans="1:38" x14ac:dyDescent="0.3">
      <c r="A374" t="s">
        <v>678</v>
      </c>
      <c r="B374">
        <v>144187</v>
      </c>
      <c r="C374">
        <v>8</v>
      </c>
      <c r="D374" t="s">
        <v>729</v>
      </c>
      <c r="E374" t="s">
        <v>730</v>
      </c>
      <c r="F374">
        <v>986</v>
      </c>
      <c r="G374">
        <v>34.119999999999997</v>
      </c>
      <c r="H374">
        <v>112.81</v>
      </c>
      <c r="I374">
        <v>25.7</v>
      </c>
      <c r="J374">
        <v>84.96</v>
      </c>
      <c r="K374">
        <v>43</v>
      </c>
      <c r="T374">
        <v>3</v>
      </c>
      <c r="U374">
        <v>2</v>
      </c>
      <c r="V374" t="s">
        <v>233</v>
      </c>
      <c r="W374" t="s">
        <v>138</v>
      </c>
      <c r="X374">
        <v>25</v>
      </c>
      <c r="Y374">
        <v>16</v>
      </c>
      <c r="Z374" t="s">
        <v>731</v>
      </c>
      <c r="AA374" t="s">
        <v>732</v>
      </c>
      <c r="AB374" t="s">
        <v>229</v>
      </c>
      <c r="AC374" t="s">
        <v>230</v>
      </c>
      <c r="AD374" t="s">
        <v>231</v>
      </c>
      <c r="AE374" t="s">
        <v>205</v>
      </c>
      <c r="AG374" t="s">
        <v>733</v>
      </c>
      <c r="AH374">
        <v>60</v>
      </c>
      <c r="AI374">
        <v>241</v>
      </c>
      <c r="AJ374">
        <v>15</v>
      </c>
      <c r="AK374">
        <v>1284</v>
      </c>
      <c r="AL374">
        <v>1.3</v>
      </c>
    </row>
    <row r="375" spans="1:38" x14ac:dyDescent="0.3">
      <c r="A375" t="s">
        <v>678</v>
      </c>
      <c r="B375">
        <v>120757</v>
      </c>
      <c r="C375">
        <v>1</v>
      </c>
      <c r="D375" t="s">
        <v>734</v>
      </c>
      <c r="E375" t="s">
        <v>319</v>
      </c>
      <c r="F375">
        <v>92</v>
      </c>
      <c r="G375">
        <v>28.48</v>
      </c>
      <c r="H375">
        <v>94.16</v>
      </c>
      <c r="I375">
        <v>24.29</v>
      </c>
      <c r="J375">
        <v>80.319999999999993</v>
      </c>
      <c r="K375">
        <v>4</v>
      </c>
      <c r="T375">
        <v>3</v>
      </c>
      <c r="U375">
        <v>2</v>
      </c>
      <c r="V375" t="s">
        <v>226</v>
      </c>
      <c r="W375">
        <v>94</v>
      </c>
      <c r="X375">
        <v>4</v>
      </c>
      <c r="Y375">
        <v>4</v>
      </c>
      <c r="Z375" t="s">
        <v>735</v>
      </c>
      <c r="AA375" t="s">
        <v>736</v>
      </c>
      <c r="AB375" t="s">
        <v>229</v>
      </c>
      <c r="AC375" t="s">
        <v>230</v>
      </c>
      <c r="AD375" t="s">
        <v>231</v>
      </c>
      <c r="AE375" t="s">
        <v>205</v>
      </c>
      <c r="AG375" t="s">
        <v>737</v>
      </c>
      <c r="AH375">
        <v>0</v>
      </c>
      <c r="AI375">
        <v>121</v>
      </c>
      <c r="AJ375">
        <v>33</v>
      </c>
      <c r="AK375">
        <v>65</v>
      </c>
      <c r="AL375">
        <v>0.71</v>
      </c>
    </row>
    <row r="376" spans="1:38" x14ac:dyDescent="0.3">
      <c r="A376" t="s">
        <v>678</v>
      </c>
      <c r="B376">
        <v>120757</v>
      </c>
      <c r="C376">
        <v>2</v>
      </c>
      <c r="D376" t="s">
        <v>734</v>
      </c>
      <c r="E376" t="s">
        <v>319</v>
      </c>
      <c r="F376">
        <v>92</v>
      </c>
      <c r="G376">
        <v>29.79</v>
      </c>
      <c r="H376">
        <v>98.49</v>
      </c>
      <c r="I376">
        <v>25.51</v>
      </c>
      <c r="J376">
        <v>84.36</v>
      </c>
      <c r="K376">
        <v>32</v>
      </c>
      <c r="T376">
        <v>3</v>
      </c>
      <c r="U376">
        <v>2</v>
      </c>
      <c r="V376" t="s">
        <v>226</v>
      </c>
      <c r="W376" t="s">
        <v>738</v>
      </c>
      <c r="X376">
        <v>4</v>
      </c>
      <c r="Y376">
        <v>4</v>
      </c>
      <c r="Z376" t="s">
        <v>735</v>
      </c>
      <c r="AA376" t="s">
        <v>736</v>
      </c>
      <c r="AB376" t="s">
        <v>229</v>
      </c>
      <c r="AC376" t="s">
        <v>230</v>
      </c>
      <c r="AD376" t="s">
        <v>231</v>
      </c>
      <c r="AE376" t="s">
        <v>205</v>
      </c>
      <c r="AG376" t="s">
        <v>737</v>
      </c>
      <c r="AH376">
        <v>0</v>
      </c>
      <c r="AI376">
        <v>121</v>
      </c>
      <c r="AJ376">
        <v>33</v>
      </c>
      <c r="AK376">
        <v>65</v>
      </c>
      <c r="AL376">
        <v>0.71</v>
      </c>
    </row>
    <row r="377" spans="1:38" x14ac:dyDescent="0.3">
      <c r="A377" t="s">
        <v>678</v>
      </c>
      <c r="B377">
        <v>120757</v>
      </c>
      <c r="C377">
        <v>3</v>
      </c>
      <c r="D377" t="s">
        <v>734</v>
      </c>
      <c r="E377" t="s">
        <v>319</v>
      </c>
      <c r="F377">
        <v>92</v>
      </c>
      <c r="G377">
        <v>29.98</v>
      </c>
      <c r="H377">
        <v>99.14</v>
      </c>
      <c r="I377">
        <v>25.7</v>
      </c>
      <c r="J377">
        <v>84.96</v>
      </c>
      <c r="K377">
        <v>36</v>
      </c>
      <c r="T377">
        <v>3</v>
      </c>
      <c r="U377">
        <v>2</v>
      </c>
      <c r="V377" t="s">
        <v>226</v>
      </c>
      <c r="W377" t="s">
        <v>739</v>
      </c>
      <c r="X377">
        <v>4</v>
      </c>
      <c r="Y377">
        <v>4</v>
      </c>
      <c r="Z377" t="s">
        <v>735</v>
      </c>
      <c r="AA377" t="s">
        <v>736</v>
      </c>
      <c r="AB377" t="s">
        <v>229</v>
      </c>
      <c r="AC377" t="s">
        <v>230</v>
      </c>
      <c r="AD377" t="s">
        <v>231</v>
      </c>
      <c r="AE377" t="s">
        <v>205</v>
      </c>
      <c r="AG377" t="s">
        <v>737</v>
      </c>
      <c r="AH377">
        <v>0</v>
      </c>
      <c r="AI377">
        <v>121</v>
      </c>
      <c r="AJ377">
        <v>33</v>
      </c>
      <c r="AK377">
        <v>65</v>
      </c>
      <c r="AL377">
        <v>0.71</v>
      </c>
    </row>
    <row r="378" spans="1:38" x14ac:dyDescent="0.3">
      <c r="A378" t="s">
        <v>678</v>
      </c>
      <c r="B378">
        <v>120757</v>
      </c>
      <c r="C378">
        <v>4</v>
      </c>
      <c r="D378" t="s">
        <v>734</v>
      </c>
      <c r="E378" t="s">
        <v>319</v>
      </c>
      <c r="F378">
        <v>92</v>
      </c>
      <c r="G378">
        <v>30.38</v>
      </c>
      <c r="H378">
        <v>100.43</v>
      </c>
      <c r="I378">
        <v>25.68</v>
      </c>
      <c r="J378">
        <v>84.9</v>
      </c>
      <c r="K378">
        <v>8</v>
      </c>
      <c r="T378">
        <v>3</v>
      </c>
      <c r="U378">
        <v>2</v>
      </c>
      <c r="V378" t="s">
        <v>226</v>
      </c>
      <c r="W378" t="s">
        <v>740</v>
      </c>
      <c r="X378">
        <v>4</v>
      </c>
      <c r="Y378">
        <v>4</v>
      </c>
      <c r="Z378" t="s">
        <v>735</v>
      </c>
      <c r="AA378" t="s">
        <v>736</v>
      </c>
      <c r="AB378" t="s">
        <v>229</v>
      </c>
      <c r="AC378" t="s">
        <v>230</v>
      </c>
      <c r="AD378" t="s">
        <v>231</v>
      </c>
      <c r="AE378" t="s">
        <v>205</v>
      </c>
      <c r="AG378" t="s">
        <v>737</v>
      </c>
      <c r="AH378">
        <v>0</v>
      </c>
      <c r="AI378">
        <v>121</v>
      </c>
      <c r="AJ378">
        <v>33</v>
      </c>
      <c r="AK378">
        <v>65</v>
      </c>
      <c r="AL378">
        <v>0.71</v>
      </c>
    </row>
    <row r="379" spans="1:38" x14ac:dyDescent="0.3">
      <c r="A379" t="s">
        <v>678</v>
      </c>
      <c r="B379">
        <v>120757</v>
      </c>
      <c r="C379">
        <v>5</v>
      </c>
      <c r="D379" t="s">
        <v>734</v>
      </c>
      <c r="E379" t="s">
        <v>319</v>
      </c>
      <c r="F379">
        <v>92</v>
      </c>
      <c r="G379">
        <v>30.53</v>
      </c>
      <c r="H379">
        <v>100.95</v>
      </c>
      <c r="I379">
        <v>25.7</v>
      </c>
      <c r="J379">
        <v>84.96</v>
      </c>
      <c r="K379">
        <v>4</v>
      </c>
      <c r="T379">
        <v>3</v>
      </c>
      <c r="U379">
        <v>2</v>
      </c>
      <c r="V379" t="s">
        <v>226</v>
      </c>
      <c r="W379">
        <v>100</v>
      </c>
      <c r="X379">
        <v>4</v>
      </c>
      <c r="Y379">
        <v>4</v>
      </c>
      <c r="Z379" t="s">
        <v>735</v>
      </c>
      <c r="AA379" t="s">
        <v>736</v>
      </c>
      <c r="AB379" t="s">
        <v>229</v>
      </c>
      <c r="AC379" t="s">
        <v>230</v>
      </c>
      <c r="AD379" t="s">
        <v>231</v>
      </c>
      <c r="AE379" t="s">
        <v>205</v>
      </c>
      <c r="AG379" t="s">
        <v>737</v>
      </c>
      <c r="AH379">
        <v>0</v>
      </c>
      <c r="AI379">
        <v>121</v>
      </c>
      <c r="AJ379">
        <v>33</v>
      </c>
      <c r="AK379">
        <v>65</v>
      </c>
      <c r="AL379">
        <v>0.71</v>
      </c>
    </row>
    <row r="380" spans="1:38" x14ac:dyDescent="0.3">
      <c r="A380" t="s">
        <v>678</v>
      </c>
      <c r="B380">
        <v>120757</v>
      </c>
      <c r="C380">
        <v>6</v>
      </c>
      <c r="D380" t="s">
        <v>734</v>
      </c>
      <c r="E380" t="s">
        <v>319</v>
      </c>
      <c r="F380">
        <v>92</v>
      </c>
      <c r="G380">
        <v>30.48</v>
      </c>
      <c r="H380">
        <v>100.77</v>
      </c>
      <c r="I380">
        <v>25.64</v>
      </c>
      <c r="J380">
        <v>84.79</v>
      </c>
      <c r="K380">
        <v>4</v>
      </c>
      <c r="T380">
        <v>3</v>
      </c>
      <c r="U380">
        <v>2</v>
      </c>
      <c r="V380" t="s">
        <v>226</v>
      </c>
      <c r="W380" t="s">
        <v>741</v>
      </c>
      <c r="X380">
        <v>4</v>
      </c>
      <c r="Y380">
        <v>4</v>
      </c>
      <c r="Z380" t="s">
        <v>735</v>
      </c>
      <c r="AA380" t="s">
        <v>736</v>
      </c>
      <c r="AB380" t="s">
        <v>229</v>
      </c>
      <c r="AC380" t="s">
        <v>230</v>
      </c>
      <c r="AD380" t="s">
        <v>231</v>
      </c>
      <c r="AE380" t="s">
        <v>205</v>
      </c>
      <c r="AG380" t="s">
        <v>737</v>
      </c>
      <c r="AH380">
        <v>0</v>
      </c>
      <c r="AI380">
        <v>121</v>
      </c>
      <c r="AJ380">
        <v>33</v>
      </c>
      <c r="AK380">
        <v>65</v>
      </c>
      <c r="AL380">
        <v>0.71</v>
      </c>
    </row>
    <row r="381" spans="1:38" x14ac:dyDescent="0.3">
      <c r="A381" t="s">
        <v>678</v>
      </c>
      <c r="B381">
        <v>120757</v>
      </c>
      <c r="C381">
        <v>7</v>
      </c>
      <c r="D381" t="s">
        <v>734</v>
      </c>
      <c r="E381" t="s">
        <v>319</v>
      </c>
      <c r="F381">
        <v>92</v>
      </c>
      <c r="G381">
        <v>31.79</v>
      </c>
      <c r="H381">
        <v>105.11</v>
      </c>
      <c r="I381">
        <v>25.59</v>
      </c>
      <c r="J381">
        <v>84.6</v>
      </c>
      <c r="K381">
        <v>4</v>
      </c>
      <c r="T381">
        <v>3</v>
      </c>
      <c r="U381">
        <v>2</v>
      </c>
      <c r="V381" t="s">
        <v>226</v>
      </c>
      <c r="W381">
        <v>105</v>
      </c>
      <c r="X381">
        <v>4</v>
      </c>
      <c r="Y381">
        <v>4</v>
      </c>
      <c r="Z381" t="s">
        <v>735</v>
      </c>
      <c r="AA381" t="s">
        <v>736</v>
      </c>
      <c r="AB381" t="s">
        <v>229</v>
      </c>
      <c r="AC381" t="s">
        <v>230</v>
      </c>
      <c r="AD381" t="s">
        <v>231</v>
      </c>
      <c r="AE381" t="s">
        <v>205</v>
      </c>
      <c r="AG381" t="s">
        <v>737</v>
      </c>
      <c r="AH381">
        <v>0</v>
      </c>
      <c r="AI381">
        <v>121</v>
      </c>
      <c r="AJ381">
        <v>33</v>
      </c>
      <c r="AK381">
        <v>65</v>
      </c>
      <c r="AL381">
        <v>0.71</v>
      </c>
    </row>
    <row r="382" spans="1:38" x14ac:dyDescent="0.3">
      <c r="A382" t="s">
        <v>678</v>
      </c>
      <c r="B382">
        <v>106972</v>
      </c>
      <c r="C382">
        <v>1</v>
      </c>
      <c r="D382" t="s">
        <v>742</v>
      </c>
      <c r="E382" t="s">
        <v>476</v>
      </c>
      <c r="F382">
        <v>356</v>
      </c>
      <c r="G382">
        <v>25.97</v>
      </c>
      <c r="H382">
        <v>85.86</v>
      </c>
      <c r="I382">
        <v>18.11</v>
      </c>
      <c r="J382">
        <v>59.89</v>
      </c>
      <c r="K382">
        <v>92</v>
      </c>
      <c r="T382">
        <v>3</v>
      </c>
      <c r="U382">
        <v>2</v>
      </c>
      <c r="V382" t="s">
        <v>233</v>
      </c>
      <c r="W382">
        <v>85</v>
      </c>
      <c r="X382">
        <v>25</v>
      </c>
      <c r="Y382">
        <v>10</v>
      </c>
      <c r="Z382" t="s">
        <v>743</v>
      </c>
      <c r="AA382" t="s">
        <v>744</v>
      </c>
      <c r="AB382" t="s">
        <v>229</v>
      </c>
      <c r="AC382" t="s">
        <v>230</v>
      </c>
      <c r="AD382" t="s">
        <v>231</v>
      </c>
      <c r="AE382" t="s">
        <v>205</v>
      </c>
      <c r="AG382" t="s">
        <v>745</v>
      </c>
      <c r="AH382">
        <v>0</v>
      </c>
      <c r="AI382">
        <v>228</v>
      </c>
      <c r="AJ382">
        <v>18</v>
      </c>
      <c r="AK382">
        <v>449</v>
      </c>
      <c r="AL382">
        <v>1.26</v>
      </c>
    </row>
    <row r="383" spans="1:38" x14ac:dyDescent="0.3">
      <c r="A383" t="s">
        <v>678</v>
      </c>
      <c r="B383">
        <v>106972</v>
      </c>
      <c r="C383">
        <v>2</v>
      </c>
      <c r="D383" t="s">
        <v>742</v>
      </c>
      <c r="E383" t="s">
        <v>476</v>
      </c>
      <c r="F383">
        <v>356</v>
      </c>
      <c r="G383">
        <v>33.15</v>
      </c>
      <c r="H383">
        <v>109.59</v>
      </c>
      <c r="I383">
        <v>25.69</v>
      </c>
      <c r="J383">
        <v>84.93</v>
      </c>
      <c r="K383">
        <v>136</v>
      </c>
      <c r="T383">
        <v>3</v>
      </c>
      <c r="U383">
        <v>2</v>
      </c>
      <c r="V383" t="s">
        <v>233</v>
      </c>
      <c r="W383" t="s">
        <v>66</v>
      </c>
      <c r="X383">
        <v>25</v>
      </c>
      <c r="Y383">
        <v>10</v>
      </c>
      <c r="Z383" t="s">
        <v>743</v>
      </c>
      <c r="AA383" t="s">
        <v>744</v>
      </c>
      <c r="AB383" t="s">
        <v>229</v>
      </c>
      <c r="AC383" t="s">
        <v>230</v>
      </c>
      <c r="AD383" t="s">
        <v>231</v>
      </c>
      <c r="AE383" t="s">
        <v>205</v>
      </c>
      <c r="AG383" t="s">
        <v>745</v>
      </c>
      <c r="AH383">
        <v>0</v>
      </c>
      <c r="AI383">
        <v>228</v>
      </c>
      <c r="AJ383">
        <v>18</v>
      </c>
      <c r="AK383">
        <v>449</v>
      </c>
      <c r="AL383">
        <v>1.26</v>
      </c>
    </row>
    <row r="384" spans="1:38" x14ac:dyDescent="0.3">
      <c r="A384" t="s">
        <v>678</v>
      </c>
      <c r="B384">
        <v>106972</v>
      </c>
      <c r="C384">
        <v>3</v>
      </c>
      <c r="D384" t="s">
        <v>742</v>
      </c>
      <c r="E384" t="s">
        <v>476</v>
      </c>
      <c r="F384">
        <v>356</v>
      </c>
      <c r="G384">
        <v>33.090000000000003</v>
      </c>
      <c r="H384">
        <v>109.42</v>
      </c>
      <c r="I384">
        <v>25.68</v>
      </c>
      <c r="J384">
        <v>84.92</v>
      </c>
      <c r="K384">
        <v>68</v>
      </c>
      <c r="T384">
        <v>3</v>
      </c>
      <c r="U384">
        <v>2</v>
      </c>
      <c r="V384" t="s">
        <v>233</v>
      </c>
      <c r="W384" t="s">
        <v>67</v>
      </c>
      <c r="X384">
        <v>25</v>
      </c>
      <c r="Y384">
        <v>10</v>
      </c>
      <c r="Z384" t="s">
        <v>743</v>
      </c>
      <c r="AA384" t="s">
        <v>744</v>
      </c>
      <c r="AB384" t="s">
        <v>229</v>
      </c>
      <c r="AC384" t="s">
        <v>230</v>
      </c>
      <c r="AD384" t="s">
        <v>231</v>
      </c>
      <c r="AE384" t="s">
        <v>205</v>
      </c>
      <c r="AG384" t="s">
        <v>745</v>
      </c>
      <c r="AH384">
        <v>0</v>
      </c>
      <c r="AI384">
        <v>228</v>
      </c>
      <c r="AJ384">
        <v>18</v>
      </c>
      <c r="AK384">
        <v>449</v>
      </c>
      <c r="AL384">
        <v>1.26</v>
      </c>
    </row>
    <row r="385" spans="1:38" x14ac:dyDescent="0.3">
      <c r="A385" t="s">
        <v>678</v>
      </c>
      <c r="B385">
        <v>106972</v>
      </c>
      <c r="C385">
        <v>4</v>
      </c>
      <c r="D385" t="s">
        <v>742</v>
      </c>
      <c r="E385" t="s">
        <v>476</v>
      </c>
      <c r="F385">
        <v>356</v>
      </c>
      <c r="G385">
        <v>33.04</v>
      </c>
      <c r="H385">
        <v>109.23</v>
      </c>
      <c r="I385">
        <v>25.69</v>
      </c>
      <c r="J385">
        <v>84.94</v>
      </c>
      <c r="K385">
        <v>60</v>
      </c>
      <c r="T385">
        <v>3</v>
      </c>
      <c r="U385">
        <v>2</v>
      </c>
      <c r="V385" t="s">
        <v>233</v>
      </c>
      <c r="W385" t="s">
        <v>139</v>
      </c>
      <c r="X385">
        <v>25</v>
      </c>
      <c r="Y385">
        <v>10</v>
      </c>
      <c r="Z385" t="s">
        <v>743</v>
      </c>
      <c r="AA385" t="s">
        <v>744</v>
      </c>
      <c r="AB385" t="s">
        <v>229</v>
      </c>
      <c r="AC385" t="s">
        <v>230</v>
      </c>
      <c r="AD385" t="s">
        <v>231</v>
      </c>
      <c r="AE385" t="s">
        <v>205</v>
      </c>
      <c r="AG385" t="s">
        <v>745</v>
      </c>
      <c r="AH385">
        <v>0</v>
      </c>
      <c r="AI385">
        <v>228</v>
      </c>
      <c r="AJ385">
        <v>18</v>
      </c>
      <c r="AK385">
        <v>449</v>
      </c>
      <c r="AL385">
        <v>1.26</v>
      </c>
    </row>
    <row r="386" spans="1:38" x14ac:dyDescent="0.3">
      <c r="A386" t="s">
        <v>678</v>
      </c>
      <c r="B386">
        <v>26190</v>
      </c>
      <c r="C386">
        <v>1</v>
      </c>
      <c r="D386" t="s">
        <v>746</v>
      </c>
      <c r="E386" t="s">
        <v>747</v>
      </c>
      <c r="F386">
        <v>586</v>
      </c>
      <c r="G386">
        <v>34.39</v>
      </c>
      <c r="H386">
        <v>113.7</v>
      </c>
      <c r="I386">
        <v>25.59</v>
      </c>
      <c r="J386">
        <v>84.62</v>
      </c>
      <c r="K386">
        <v>268</v>
      </c>
      <c r="T386">
        <v>3</v>
      </c>
      <c r="U386">
        <v>2</v>
      </c>
      <c r="V386" t="s">
        <v>233</v>
      </c>
      <c r="W386">
        <v>113</v>
      </c>
      <c r="X386">
        <v>20</v>
      </c>
      <c r="Y386">
        <v>16</v>
      </c>
      <c r="Z386" t="s">
        <v>748</v>
      </c>
      <c r="AA386" t="s">
        <v>749</v>
      </c>
      <c r="AB386" t="s">
        <v>229</v>
      </c>
      <c r="AC386" t="s">
        <v>230</v>
      </c>
      <c r="AD386" t="s">
        <v>231</v>
      </c>
      <c r="AE386" t="s">
        <v>205</v>
      </c>
      <c r="AG386" t="s">
        <v>750</v>
      </c>
      <c r="AH386">
        <v>0</v>
      </c>
      <c r="AI386">
        <v>229</v>
      </c>
      <c r="AJ386">
        <v>18</v>
      </c>
      <c r="AK386">
        <v>1003</v>
      </c>
      <c r="AL386">
        <v>1.71</v>
      </c>
    </row>
    <row r="387" spans="1:38" x14ac:dyDescent="0.3">
      <c r="A387" t="s">
        <v>678</v>
      </c>
      <c r="B387">
        <v>26190</v>
      </c>
      <c r="C387">
        <v>2</v>
      </c>
      <c r="D387" t="s">
        <v>746</v>
      </c>
      <c r="E387" t="s">
        <v>747</v>
      </c>
      <c r="F387">
        <v>586</v>
      </c>
      <c r="G387">
        <v>37.950000000000003</v>
      </c>
      <c r="H387">
        <v>125.48</v>
      </c>
      <c r="I387">
        <v>30.15</v>
      </c>
      <c r="J387">
        <v>99.69</v>
      </c>
      <c r="K387">
        <v>56</v>
      </c>
      <c r="T387">
        <v>3</v>
      </c>
      <c r="U387">
        <v>2</v>
      </c>
      <c r="V387" t="s">
        <v>233</v>
      </c>
      <c r="W387" t="s">
        <v>140</v>
      </c>
      <c r="X387">
        <v>20</v>
      </c>
      <c r="Y387">
        <v>16</v>
      </c>
      <c r="Z387" t="s">
        <v>748</v>
      </c>
      <c r="AA387" t="s">
        <v>749</v>
      </c>
      <c r="AB387" t="s">
        <v>229</v>
      </c>
      <c r="AC387" t="s">
        <v>230</v>
      </c>
      <c r="AD387" t="s">
        <v>231</v>
      </c>
      <c r="AE387" t="s">
        <v>205</v>
      </c>
      <c r="AG387" t="s">
        <v>750</v>
      </c>
      <c r="AH387">
        <v>0</v>
      </c>
      <c r="AI387">
        <v>229</v>
      </c>
      <c r="AJ387">
        <v>18</v>
      </c>
      <c r="AK387">
        <v>1003</v>
      </c>
      <c r="AL387">
        <v>1.71</v>
      </c>
    </row>
    <row r="388" spans="1:38" x14ac:dyDescent="0.3">
      <c r="A388" t="s">
        <v>678</v>
      </c>
      <c r="B388">
        <v>26190</v>
      </c>
      <c r="C388">
        <v>3</v>
      </c>
      <c r="D388" t="s">
        <v>746</v>
      </c>
      <c r="E388" t="s">
        <v>747</v>
      </c>
      <c r="F388">
        <v>586</v>
      </c>
      <c r="G388">
        <v>46.6</v>
      </c>
      <c r="H388">
        <v>154.06</v>
      </c>
      <c r="I388">
        <v>37.39</v>
      </c>
      <c r="J388">
        <v>123.61</v>
      </c>
      <c r="K388">
        <v>89</v>
      </c>
      <c r="T388">
        <v>4</v>
      </c>
      <c r="U388">
        <v>2</v>
      </c>
      <c r="V388" t="s">
        <v>233</v>
      </c>
      <c r="W388">
        <v>154</v>
      </c>
      <c r="X388">
        <v>20</v>
      </c>
      <c r="Y388">
        <v>16</v>
      </c>
      <c r="Z388" t="s">
        <v>748</v>
      </c>
      <c r="AA388" t="s">
        <v>749</v>
      </c>
      <c r="AB388" t="s">
        <v>229</v>
      </c>
      <c r="AC388" t="s">
        <v>230</v>
      </c>
      <c r="AD388" t="s">
        <v>231</v>
      </c>
      <c r="AE388" t="s">
        <v>205</v>
      </c>
      <c r="AG388" t="s">
        <v>750</v>
      </c>
      <c r="AH388">
        <v>0</v>
      </c>
      <c r="AI388">
        <v>229</v>
      </c>
      <c r="AJ388">
        <v>18</v>
      </c>
      <c r="AK388">
        <v>1003</v>
      </c>
      <c r="AL388">
        <v>1.71</v>
      </c>
    </row>
    <row r="389" spans="1:38" x14ac:dyDescent="0.3">
      <c r="A389" t="s">
        <v>678</v>
      </c>
      <c r="B389">
        <v>26190</v>
      </c>
      <c r="C389">
        <v>4</v>
      </c>
      <c r="D389" t="s">
        <v>746</v>
      </c>
      <c r="E389" t="s">
        <v>747</v>
      </c>
      <c r="F389">
        <v>586</v>
      </c>
      <c r="G389">
        <v>49.82</v>
      </c>
      <c r="H389">
        <v>164.71</v>
      </c>
      <c r="I389">
        <v>39.71</v>
      </c>
      <c r="J389">
        <v>131.30000000000001</v>
      </c>
      <c r="K389">
        <v>56</v>
      </c>
      <c r="T389">
        <v>4</v>
      </c>
      <c r="U389">
        <v>2</v>
      </c>
      <c r="V389" t="s">
        <v>233</v>
      </c>
      <c r="W389" t="s">
        <v>141</v>
      </c>
      <c r="X389">
        <v>20</v>
      </c>
      <c r="Y389">
        <v>16</v>
      </c>
      <c r="Z389" t="s">
        <v>748</v>
      </c>
      <c r="AA389" t="s">
        <v>749</v>
      </c>
      <c r="AB389" t="s">
        <v>229</v>
      </c>
      <c r="AC389" t="s">
        <v>230</v>
      </c>
      <c r="AD389" t="s">
        <v>231</v>
      </c>
      <c r="AE389" t="s">
        <v>205</v>
      </c>
      <c r="AG389" t="s">
        <v>750</v>
      </c>
      <c r="AH389">
        <v>0</v>
      </c>
      <c r="AI389">
        <v>229</v>
      </c>
      <c r="AJ389">
        <v>18</v>
      </c>
      <c r="AK389">
        <v>1003</v>
      </c>
      <c r="AL389">
        <v>1.71</v>
      </c>
    </row>
    <row r="390" spans="1:38" x14ac:dyDescent="0.3">
      <c r="A390" t="s">
        <v>678</v>
      </c>
      <c r="B390">
        <v>26190</v>
      </c>
      <c r="C390">
        <v>5</v>
      </c>
      <c r="D390" t="s">
        <v>746</v>
      </c>
      <c r="E390" t="s">
        <v>747</v>
      </c>
      <c r="F390">
        <v>586</v>
      </c>
      <c r="G390">
        <v>59.58</v>
      </c>
      <c r="H390">
        <v>196.98</v>
      </c>
      <c r="I390">
        <v>49.56</v>
      </c>
      <c r="J390">
        <v>163.84</v>
      </c>
      <c r="K390">
        <v>114</v>
      </c>
      <c r="T390">
        <v>4</v>
      </c>
      <c r="U390">
        <v>2</v>
      </c>
      <c r="V390" t="s">
        <v>233</v>
      </c>
      <c r="W390">
        <v>196</v>
      </c>
      <c r="X390">
        <v>20</v>
      </c>
      <c r="Y390">
        <v>16</v>
      </c>
      <c r="Z390" t="s">
        <v>748</v>
      </c>
      <c r="AA390" t="s">
        <v>749</v>
      </c>
      <c r="AB390" t="s">
        <v>229</v>
      </c>
      <c r="AC390" t="s">
        <v>230</v>
      </c>
      <c r="AD390" t="s">
        <v>231</v>
      </c>
      <c r="AE390" t="s">
        <v>205</v>
      </c>
      <c r="AG390" t="s">
        <v>750</v>
      </c>
      <c r="AH390">
        <v>0</v>
      </c>
      <c r="AI390">
        <v>229</v>
      </c>
      <c r="AJ390">
        <v>18</v>
      </c>
      <c r="AK390">
        <v>1003</v>
      </c>
      <c r="AL390">
        <v>1.71</v>
      </c>
    </row>
    <row r="391" spans="1:38" x14ac:dyDescent="0.3">
      <c r="A391" t="s">
        <v>678</v>
      </c>
      <c r="B391">
        <v>26190</v>
      </c>
      <c r="C391">
        <v>6</v>
      </c>
      <c r="D391" t="s">
        <v>746</v>
      </c>
      <c r="E391" t="s">
        <v>747</v>
      </c>
      <c r="F391">
        <v>586</v>
      </c>
      <c r="G391">
        <v>78.150000000000006</v>
      </c>
      <c r="H391">
        <v>258.36</v>
      </c>
      <c r="I391">
        <v>64.13</v>
      </c>
      <c r="J391">
        <v>212</v>
      </c>
      <c r="K391">
        <v>3</v>
      </c>
      <c r="T391">
        <v>4</v>
      </c>
      <c r="U391">
        <v>2</v>
      </c>
      <c r="V391" t="s">
        <v>233</v>
      </c>
      <c r="W391">
        <v>258</v>
      </c>
      <c r="X391">
        <v>20</v>
      </c>
      <c r="Y391">
        <v>16</v>
      </c>
      <c r="Z391" t="s">
        <v>748</v>
      </c>
      <c r="AA391" t="s">
        <v>749</v>
      </c>
      <c r="AB391" t="s">
        <v>229</v>
      </c>
      <c r="AC391" t="s">
        <v>230</v>
      </c>
      <c r="AD391" t="s">
        <v>231</v>
      </c>
      <c r="AE391" t="s">
        <v>205</v>
      </c>
      <c r="AG391" t="s">
        <v>750</v>
      </c>
      <c r="AH391">
        <v>0</v>
      </c>
      <c r="AI391">
        <v>229</v>
      </c>
      <c r="AJ391">
        <v>18</v>
      </c>
      <c r="AK391">
        <v>1003</v>
      </c>
      <c r="AL391">
        <v>1.71</v>
      </c>
    </row>
    <row r="392" spans="1:38" x14ac:dyDescent="0.3">
      <c r="A392" t="s">
        <v>678</v>
      </c>
      <c r="B392">
        <v>108584</v>
      </c>
      <c r="C392">
        <v>1</v>
      </c>
      <c r="D392" t="s">
        <v>751</v>
      </c>
      <c r="E392" t="s">
        <v>752</v>
      </c>
      <c r="F392">
        <v>100</v>
      </c>
      <c r="G392">
        <v>15.25</v>
      </c>
      <c r="H392">
        <v>50.43</v>
      </c>
      <c r="I392">
        <v>13.34</v>
      </c>
      <c r="J392">
        <v>44.1</v>
      </c>
      <c r="K392">
        <v>100</v>
      </c>
      <c r="T392">
        <v>2</v>
      </c>
      <c r="U392">
        <v>1</v>
      </c>
      <c r="V392" t="s">
        <v>226</v>
      </c>
      <c r="W392">
        <v>50</v>
      </c>
      <c r="X392">
        <v>5</v>
      </c>
      <c r="Y392">
        <v>5</v>
      </c>
      <c r="Z392" t="s">
        <v>753</v>
      </c>
      <c r="AA392" t="s">
        <v>754</v>
      </c>
      <c r="AB392" t="s">
        <v>229</v>
      </c>
      <c r="AC392" t="s">
        <v>230</v>
      </c>
      <c r="AD392" t="s">
        <v>231</v>
      </c>
      <c r="AE392" t="s">
        <v>205</v>
      </c>
      <c r="AG392" t="s">
        <v>755</v>
      </c>
      <c r="AH392">
        <v>0</v>
      </c>
      <c r="AI392">
        <v>0</v>
      </c>
      <c r="AJ392">
        <v>0</v>
      </c>
      <c r="AK392">
        <v>0</v>
      </c>
      <c r="AL392">
        <v>0</v>
      </c>
    </row>
    <row r="393" spans="1:38" x14ac:dyDescent="0.3">
      <c r="A393" t="s">
        <v>678</v>
      </c>
      <c r="B393">
        <v>109146</v>
      </c>
      <c r="C393">
        <v>1</v>
      </c>
      <c r="D393" t="s">
        <v>756</v>
      </c>
      <c r="E393" t="s">
        <v>757</v>
      </c>
      <c r="F393">
        <v>60</v>
      </c>
      <c r="G393">
        <v>21.54</v>
      </c>
      <c r="H393">
        <v>71.209999999999994</v>
      </c>
      <c r="I393">
        <v>17.88</v>
      </c>
      <c r="J393">
        <v>59.14</v>
      </c>
      <c r="K393">
        <v>60</v>
      </c>
      <c r="T393">
        <v>3</v>
      </c>
      <c r="U393">
        <v>1</v>
      </c>
      <c r="V393" t="s">
        <v>233</v>
      </c>
      <c r="W393">
        <v>71</v>
      </c>
      <c r="X393">
        <v>6</v>
      </c>
      <c r="Y393">
        <v>6</v>
      </c>
      <c r="Z393" t="s">
        <v>758</v>
      </c>
      <c r="AA393" t="s">
        <v>759</v>
      </c>
      <c r="AB393" t="s">
        <v>229</v>
      </c>
      <c r="AC393" t="s">
        <v>230</v>
      </c>
      <c r="AD393" t="s">
        <v>231</v>
      </c>
      <c r="AE393" t="s">
        <v>205</v>
      </c>
      <c r="AG393" t="s">
        <v>760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678</v>
      </c>
      <c r="B394">
        <v>15438</v>
      </c>
      <c r="C394">
        <v>1</v>
      </c>
      <c r="D394" t="s">
        <v>761</v>
      </c>
      <c r="E394" t="s">
        <v>762</v>
      </c>
      <c r="F394">
        <v>478</v>
      </c>
      <c r="G394">
        <v>31.9</v>
      </c>
      <c r="H394">
        <v>105.46</v>
      </c>
      <c r="I394">
        <v>25.67</v>
      </c>
      <c r="J394">
        <v>84.88</v>
      </c>
      <c r="K394">
        <v>328</v>
      </c>
      <c r="T394">
        <v>3</v>
      </c>
      <c r="U394">
        <v>2</v>
      </c>
      <c r="V394" t="s">
        <v>233</v>
      </c>
      <c r="W394">
        <v>105</v>
      </c>
      <c r="X394">
        <v>15</v>
      </c>
      <c r="Y394">
        <v>14</v>
      </c>
      <c r="Z394" t="s">
        <v>763</v>
      </c>
      <c r="AA394" t="s">
        <v>764</v>
      </c>
      <c r="AB394" t="s">
        <v>229</v>
      </c>
      <c r="AC394" t="s">
        <v>230</v>
      </c>
      <c r="AD394" t="s">
        <v>231</v>
      </c>
      <c r="AE394" t="s">
        <v>205</v>
      </c>
      <c r="AG394" t="s">
        <v>765</v>
      </c>
      <c r="AH394">
        <v>0</v>
      </c>
      <c r="AI394">
        <v>211</v>
      </c>
      <c r="AJ394">
        <v>22</v>
      </c>
      <c r="AK394">
        <v>0</v>
      </c>
      <c r="AL394">
        <v>0</v>
      </c>
    </row>
    <row r="395" spans="1:38" x14ac:dyDescent="0.3">
      <c r="A395" t="s">
        <v>678</v>
      </c>
      <c r="B395">
        <v>15438</v>
      </c>
      <c r="C395">
        <v>2</v>
      </c>
      <c r="D395" t="s">
        <v>761</v>
      </c>
      <c r="E395" t="s">
        <v>762</v>
      </c>
      <c r="F395">
        <v>478</v>
      </c>
      <c r="G395">
        <v>32.67</v>
      </c>
      <c r="H395">
        <v>108.03</v>
      </c>
      <c r="I395">
        <v>25.68</v>
      </c>
      <c r="J395">
        <v>84.9</v>
      </c>
      <c r="K395">
        <v>150</v>
      </c>
      <c r="T395">
        <v>3</v>
      </c>
      <c r="U395">
        <v>2</v>
      </c>
      <c r="V395" t="s">
        <v>233</v>
      </c>
      <c r="W395">
        <v>108</v>
      </c>
      <c r="X395">
        <v>15</v>
      </c>
      <c r="Y395">
        <v>14</v>
      </c>
      <c r="Z395" t="s">
        <v>763</v>
      </c>
      <c r="AA395" t="s">
        <v>764</v>
      </c>
      <c r="AB395" t="s">
        <v>229</v>
      </c>
      <c r="AC395" t="s">
        <v>230</v>
      </c>
      <c r="AD395" t="s">
        <v>231</v>
      </c>
      <c r="AE395" t="s">
        <v>205</v>
      </c>
      <c r="AG395" t="s">
        <v>765</v>
      </c>
      <c r="AH395">
        <v>0</v>
      </c>
      <c r="AI395">
        <v>211</v>
      </c>
      <c r="AJ395">
        <v>22</v>
      </c>
      <c r="AK395">
        <v>0</v>
      </c>
      <c r="AL395">
        <v>0</v>
      </c>
    </row>
    <row r="396" spans="1:38" x14ac:dyDescent="0.3">
      <c r="A396" t="s">
        <v>678</v>
      </c>
      <c r="B396">
        <v>23706</v>
      </c>
      <c r="C396">
        <v>1</v>
      </c>
      <c r="D396" t="s">
        <v>766</v>
      </c>
      <c r="E396" t="s">
        <v>235</v>
      </c>
      <c r="F396">
        <v>220</v>
      </c>
      <c r="G396">
        <v>23.6</v>
      </c>
      <c r="H396">
        <v>78.040000000000006</v>
      </c>
      <c r="I396">
        <v>18.04</v>
      </c>
      <c r="J396">
        <v>59.64</v>
      </c>
      <c r="K396">
        <v>220</v>
      </c>
      <c r="T396">
        <v>3</v>
      </c>
      <c r="U396">
        <v>1</v>
      </c>
      <c r="V396" t="s">
        <v>233</v>
      </c>
      <c r="W396">
        <v>78</v>
      </c>
      <c r="X396">
        <v>15</v>
      </c>
      <c r="Y396">
        <v>9</v>
      </c>
      <c r="Z396" t="s">
        <v>767</v>
      </c>
      <c r="AA396" t="s">
        <v>768</v>
      </c>
      <c r="AB396" t="s">
        <v>229</v>
      </c>
      <c r="AC396" t="s">
        <v>230</v>
      </c>
      <c r="AD396" t="s">
        <v>231</v>
      </c>
      <c r="AE396" t="s">
        <v>205</v>
      </c>
      <c r="AG396" t="s">
        <v>769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678</v>
      </c>
      <c r="B397">
        <v>112420</v>
      </c>
      <c r="C397">
        <v>1</v>
      </c>
      <c r="D397" t="s">
        <v>770</v>
      </c>
      <c r="E397" t="s">
        <v>771</v>
      </c>
      <c r="F397">
        <v>466</v>
      </c>
      <c r="G397">
        <v>32.090000000000003</v>
      </c>
      <c r="H397">
        <v>106.1</v>
      </c>
      <c r="I397">
        <v>21.37</v>
      </c>
      <c r="J397">
        <v>70.67</v>
      </c>
      <c r="K397">
        <v>47</v>
      </c>
      <c r="T397">
        <v>3</v>
      </c>
      <c r="U397">
        <v>2</v>
      </c>
      <c r="V397" t="s">
        <v>233</v>
      </c>
      <c r="W397" t="s">
        <v>142</v>
      </c>
      <c r="X397">
        <v>49</v>
      </c>
      <c r="Y397">
        <v>49</v>
      </c>
      <c r="Z397" t="s">
        <v>772</v>
      </c>
      <c r="AA397" t="s">
        <v>773</v>
      </c>
      <c r="AB397" t="s">
        <v>229</v>
      </c>
      <c r="AC397" t="s">
        <v>230</v>
      </c>
      <c r="AD397" t="s">
        <v>231</v>
      </c>
      <c r="AE397" t="s">
        <v>205</v>
      </c>
      <c r="AG397" t="s">
        <v>774</v>
      </c>
      <c r="AH397">
        <v>0</v>
      </c>
      <c r="AI397">
        <v>794</v>
      </c>
      <c r="AJ397">
        <v>67</v>
      </c>
      <c r="AK397">
        <v>689</v>
      </c>
      <c r="AL397">
        <v>1.48</v>
      </c>
    </row>
    <row r="398" spans="1:38" x14ac:dyDescent="0.3">
      <c r="A398" t="s">
        <v>678</v>
      </c>
      <c r="B398">
        <v>112420</v>
      </c>
      <c r="C398">
        <v>2</v>
      </c>
      <c r="D398" t="s">
        <v>770</v>
      </c>
      <c r="E398" t="s">
        <v>771</v>
      </c>
      <c r="F398">
        <v>466</v>
      </c>
      <c r="G398">
        <v>32.450000000000003</v>
      </c>
      <c r="H398">
        <v>107.29</v>
      </c>
      <c r="I398">
        <v>21.45</v>
      </c>
      <c r="J398">
        <v>70.930000000000007</v>
      </c>
      <c r="K398">
        <v>47</v>
      </c>
      <c r="T398">
        <v>3</v>
      </c>
      <c r="U398">
        <v>2</v>
      </c>
      <c r="V398" t="s">
        <v>233</v>
      </c>
      <c r="W398" t="s">
        <v>93</v>
      </c>
      <c r="X398">
        <v>49</v>
      </c>
      <c r="Y398">
        <v>49</v>
      </c>
      <c r="Z398" t="s">
        <v>772</v>
      </c>
      <c r="AA398" t="s">
        <v>773</v>
      </c>
      <c r="AB398" t="s">
        <v>229</v>
      </c>
      <c r="AC398" t="s">
        <v>230</v>
      </c>
      <c r="AD398" t="s">
        <v>231</v>
      </c>
      <c r="AE398" t="s">
        <v>205</v>
      </c>
      <c r="AG398" t="s">
        <v>774</v>
      </c>
      <c r="AH398">
        <v>0</v>
      </c>
      <c r="AI398">
        <v>794</v>
      </c>
      <c r="AJ398">
        <v>67</v>
      </c>
      <c r="AK398">
        <v>689</v>
      </c>
      <c r="AL398">
        <v>1.48</v>
      </c>
    </row>
    <row r="399" spans="1:38" x14ac:dyDescent="0.3">
      <c r="A399" t="s">
        <v>678</v>
      </c>
      <c r="B399">
        <v>112420</v>
      </c>
      <c r="C399">
        <v>3</v>
      </c>
      <c r="D399" t="s">
        <v>770</v>
      </c>
      <c r="E399" t="s">
        <v>771</v>
      </c>
      <c r="F399">
        <v>466</v>
      </c>
      <c r="G399">
        <v>37.9</v>
      </c>
      <c r="H399">
        <v>125.29</v>
      </c>
      <c r="I399">
        <v>25.64</v>
      </c>
      <c r="J399">
        <v>84.78</v>
      </c>
      <c r="K399">
        <v>47</v>
      </c>
      <c r="T399">
        <v>3</v>
      </c>
      <c r="U399">
        <v>2</v>
      </c>
      <c r="V399" t="s">
        <v>233</v>
      </c>
      <c r="W399" t="s">
        <v>143</v>
      </c>
      <c r="X399">
        <v>49</v>
      </c>
      <c r="Y399">
        <v>49</v>
      </c>
      <c r="Z399" t="s">
        <v>772</v>
      </c>
      <c r="AA399" t="s">
        <v>773</v>
      </c>
      <c r="AB399" t="s">
        <v>229</v>
      </c>
      <c r="AC399" t="s">
        <v>230</v>
      </c>
      <c r="AD399" t="s">
        <v>231</v>
      </c>
      <c r="AE399" t="s">
        <v>205</v>
      </c>
      <c r="AG399" t="s">
        <v>774</v>
      </c>
      <c r="AH399">
        <v>0</v>
      </c>
      <c r="AI399">
        <v>794</v>
      </c>
      <c r="AJ399">
        <v>67</v>
      </c>
      <c r="AK399">
        <v>689</v>
      </c>
      <c r="AL399">
        <v>1.48</v>
      </c>
    </row>
    <row r="400" spans="1:38" x14ac:dyDescent="0.3">
      <c r="A400" t="s">
        <v>678</v>
      </c>
      <c r="B400">
        <v>112420</v>
      </c>
      <c r="C400">
        <v>4</v>
      </c>
      <c r="D400" t="s">
        <v>770</v>
      </c>
      <c r="E400" t="s">
        <v>771</v>
      </c>
      <c r="F400">
        <v>466</v>
      </c>
      <c r="G400">
        <v>38.24</v>
      </c>
      <c r="H400">
        <v>126.44</v>
      </c>
      <c r="I400">
        <v>25.61</v>
      </c>
      <c r="J400">
        <v>84.69</v>
      </c>
      <c r="K400">
        <v>94</v>
      </c>
      <c r="T400">
        <v>3</v>
      </c>
      <c r="U400">
        <v>2</v>
      </c>
      <c r="V400" t="s">
        <v>233</v>
      </c>
      <c r="W400" t="s">
        <v>144</v>
      </c>
      <c r="X400">
        <v>49</v>
      </c>
      <c r="Y400">
        <v>49</v>
      </c>
      <c r="Z400" t="s">
        <v>772</v>
      </c>
      <c r="AA400" t="s">
        <v>773</v>
      </c>
      <c r="AB400" t="s">
        <v>229</v>
      </c>
      <c r="AC400" t="s">
        <v>230</v>
      </c>
      <c r="AD400" t="s">
        <v>231</v>
      </c>
      <c r="AE400" t="s">
        <v>205</v>
      </c>
      <c r="AG400" t="s">
        <v>774</v>
      </c>
      <c r="AH400">
        <v>0</v>
      </c>
      <c r="AI400">
        <v>794</v>
      </c>
      <c r="AJ400">
        <v>67</v>
      </c>
      <c r="AK400">
        <v>689</v>
      </c>
      <c r="AL400">
        <v>1.48</v>
      </c>
    </row>
    <row r="401" spans="1:38" x14ac:dyDescent="0.3">
      <c r="A401" t="s">
        <v>678</v>
      </c>
      <c r="B401">
        <v>112420</v>
      </c>
      <c r="C401">
        <v>5</v>
      </c>
      <c r="D401" t="s">
        <v>770</v>
      </c>
      <c r="E401" t="s">
        <v>771</v>
      </c>
      <c r="F401">
        <v>466</v>
      </c>
      <c r="G401">
        <v>38.24</v>
      </c>
      <c r="H401">
        <v>126.44</v>
      </c>
      <c r="I401">
        <v>25.61</v>
      </c>
      <c r="J401">
        <v>84.69</v>
      </c>
      <c r="K401">
        <v>92</v>
      </c>
      <c r="T401">
        <v>3</v>
      </c>
      <c r="U401">
        <v>2</v>
      </c>
      <c r="V401" t="s">
        <v>233</v>
      </c>
      <c r="W401" t="s">
        <v>145</v>
      </c>
      <c r="X401">
        <v>49</v>
      </c>
      <c r="Y401">
        <v>49</v>
      </c>
      <c r="Z401" t="s">
        <v>772</v>
      </c>
      <c r="AA401" t="s">
        <v>773</v>
      </c>
      <c r="AB401" t="s">
        <v>229</v>
      </c>
      <c r="AC401" t="s">
        <v>230</v>
      </c>
      <c r="AD401" t="s">
        <v>231</v>
      </c>
      <c r="AE401" t="s">
        <v>205</v>
      </c>
      <c r="AG401" t="s">
        <v>774</v>
      </c>
      <c r="AH401">
        <v>0</v>
      </c>
      <c r="AI401">
        <v>794</v>
      </c>
      <c r="AJ401">
        <v>67</v>
      </c>
      <c r="AK401">
        <v>689</v>
      </c>
      <c r="AL401">
        <v>1.48</v>
      </c>
    </row>
    <row r="402" spans="1:38" x14ac:dyDescent="0.3">
      <c r="A402" t="s">
        <v>678</v>
      </c>
      <c r="B402">
        <v>112420</v>
      </c>
      <c r="C402">
        <v>6</v>
      </c>
      <c r="D402" t="s">
        <v>770</v>
      </c>
      <c r="E402" t="s">
        <v>771</v>
      </c>
      <c r="F402">
        <v>466</v>
      </c>
      <c r="G402">
        <v>38.15</v>
      </c>
      <c r="H402">
        <v>126.13</v>
      </c>
      <c r="I402">
        <v>25.61</v>
      </c>
      <c r="J402">
        <v>84.67</v>
      </c>
      <c r="K402">
        <v>92</v>
      </c>
      <c r="T402">
        <v>3</v>
      </c>
      <c r="U402">
        <v>2</v>
      </c>
      <c r="V402" t="s">
        <v>233</v>
      </c>
      <c r="W402" t="s">
        <v>146</v>
      </c>
      <c r="X402">
        <v>49</v>
      </c>
      <c r="Y402">
        <v>49</v>
      </c>
      <c r="Z402" t="s">
        <v>772</v>
      </c>
      <c r="AA402" t="s">
        <v>773</v>
      </c>
      <c r="AB402" t="s">
        <v>229</v>
      </c>
      <c r="AC402" t="s">
        <v>230</v>
      </c>
      <c r="AD402" t="s">
        <v>231</v>
      </c>
      <c r="AE402" t="s">
        <v>205</v>
      </c>
      <c r="AG402" t="s">
        <v>774</v>
      </c>
      <c r="AH402">
        <v>0</v>
      </c>
      <c r="AI402">
        <v>794</v>
      </c>
      <c r="AJ402">
        <v>67</v>
      </c>
      <c r="AK402">
        <v>689</v>
      </c>
      <c r="AL402">
        <v>1.48</v>
      </c>
    </row>
    <row r="403" spans="1:38" x14ac:dyDescent="0.3">
      <c r="A403" t="s">
        <v>678</v>
      </c>
      <c r="B403">
        <v>112420</v>
      </c>
      <c r="C403">
        <v>7</v>
      </c>
      <c r="D403" t="s">
        <v>770</v>
      </c>
      <c r="E403" t="s">
        <v>771</v>
      </c>
      <c r="F403">
        <v>466</v>
      </c>
      <c r="G403">
        <v>38.15</v>
      </c>
      <c r="H403">
        <v>126.12</v>
      </c>
      <c r="I403">
        <v>25.61</v>
      </c>
      <c r="J403">
        <v>84.67</v>
      </c>
      <c r="K403">
        <v>47</v>
      </c>
      <c r="T403">
        <v>3</v>
      </c>
      <c r="U403">
        <v>2</v>
      </c>
      <c r="V403" t="s">
        <v>233</v>
      </c>
      <c r="W403" t="s">
        <v>147</v>
      </c>
      <c r="X403">
        <v>49</v>
      </c>
      <c r="Y403">
        <v>49</v>
      </c>
      <c r="Z403" t="s">
        <v>772</v>
      </c>
      <c r="AA403" t="s">
        <v>773</v>
      </c>
      <c r="AB403" t="s">
        <v>229</v>
      </c>
      <c r="AC403" t="s">
        <v>230</v>
      </c>
      <c r="AD403" t="s">
        <v>231</v>
      </c>
      <c r="AE403" t="s">
        <v>205</v>
      </c>
      <c r="AG403" t="s">
        <v>774</v>
      </c>
      <c r="AH403">
        <v>0</v>
      </c>
      <c r="AI403">
        <v>794</v>
      </c>
      <c r="AJ403">
        <v>67</v>
      </c>
      <c r="AK403">
        <v>689</v>
      </c>
      <c r="AL403">
        <v>1.48</v>
      </c>
    </row>
    <row r="404" spans="1:38" x14ac:dyDescent="0.3">
      <c r="A404" t="s">
        <v>678</v>
      </c>
      <c r="B404">
        <v>7350</v>
      </c>
      <c r="C404">
        <v>1</v>
      </c>
      <c r="D404" t="s">
        <v>775</v>
      </c>
      <c r="E404" t="s">
        <v>776</v>
      </c>
      <c r="F404">
        <v>355</v>
      </c>
      <c r="G404">
        <v>10.69</v>
      </c>
      <c r="H404">
        <v>35.369999999999997</v>
      </c>
      <c r="I404">
        <v>6.86</v>
      </c>
      <c r="J404">
        <v>22.68</v>
      </c>
      <c r="K404">
        <v>95</v>
      </c>
      <c r="T404">
        <v>1</v>
      </c>
      <c r="U404">
        <v>1</v>
      </c>
      <c r="V404" t="s">
        <v>233</v>
      </c>
      <c r="W404">
        <v>35</v>
      </c>
      <c r="X404">
        <v>5</v>
      </c>
      <c r="Y404">
        <v>5</v>
      </c>
      <c r="Z404" t="s">
        <v>777</v>
      </c>
      <c r="AA404" t="s">
        <v>778</v>
      </c>
      <c r="AB404" t="s">
        <v>229</v>
      </c>
      <c r="AC404" t="s">
        <v>230</v>
      </c>
      <c r="AD404" t="s">
        <v>231</v>
      </c>
      <c r="AE404" t="s">
        <v>205</v>
      </c>
      <c r="AG404" t="s">
        <v>779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38" x14ac:dyDescent="0.3">
      <c r="A405" t="s">
        <v>678</v>
      </c>
      <c r="B405">
        <v>7350</v>
      </c>
      <c r="C405">
        <v>2</v>
      </c>
      <c r="D405" t="s">
        <v>775</v>
      </c>
      <c r="E405" t="s">
        <v>776</v>
      </c>
      <c r="F405">
        <v>355</v>
      </c>
      <c r="G405">
        <v>15.4</v>
      </c>
      <c r="H405">
        <v>50.91</v>
      </c>
      <c r="I405">
        <v>12.04</v>
      </c>
      <c r="J405">
        <v>39.82</v>
      </c>
      <c r="K405">
        <v>100</v>
      </c>
      <c r="T405">
        <v>2</v>
      </c>
      <c r="U405">
        <v>1</v>
      </c>
      <c r="V405" t="s">
        <v>233</v>
      </c>
      <c r="W405">
        <v>50</v>
      </c>
      <c r="X405">
        <v>5</v>
      </c>
      <c r="Y405">
        <v>5</v>
      </c>
      <c r="Z405" t="s">
        <v>777</v>
      </c>
      <c r="AA405" t="s">
        <v>778</v>
      </c>
      <c r="AB405" t="s">
        <v>229</v>
      </c>
      <c r="AC405" t="s">
        <v>230</v>
      </c>
      <c r="AD405" t="s">
        <v>231</v>
      </c>
      <c r="AE405" t="s">
        <v>205</v>
      </c>
      <c r="AG405" t="s">
        <v>779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678</v>
      </c>
      <c r="B406">
        <v>7350</v>
      </c>
      <c r="C406">
        <v>3</v>
      </c>
      <c r="D406" t="s">
        <v>775</v>
      </c>
      <c r="E406" t="s">
        <v>776</v>
      </c>
      <c r="F406">
        <v>355</v>
      </c>
      <c r="G406">
        <v>22.11</v>
      </c>
      <c r="H406">
        <v>73.11</v>
      </c>
      <c r="I406">
        <v>18.12</v>
      </c>
      <c r="J406">
        <v>59.92</v>
      </c>
      <c r="K406">
        <v>80</v>
      </c>
      <c r="T406">
        <v>3</v>
      </c>
      <c r="U406">
        <v>1</v>
      </c>
      <c r="V406" t="s">
        <v>233</v>
      </c>
      <c r="W406">
        <v>73</v>
      </c>
      <c r="X406">
        <v>5</v>
      </c>
      <c r="Y406">
        <v>5</v>
      </c>
      <c r="Z406" t="s">
        <v>777</v>
      </c>
      <c r="AA406" t="s">
        <v>778</v>
      </c>
      <c r="AB406" t="s">
        <v>229</v>
      </c>
      <c r="AC406" t="s">
        <v>230</v>
      </c>
      <c r="AD406" t="s">
        <v>231</v>
      </c>
      <c r="AE406" t="s">
        <v>205</v>
      </c>
      <c r="AG406" t="s">
        <v>779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678</v>
      </c>
      <c r="B407">
        <v>7350</v>
      </c>
      <c r="C407">
        <v>4</v>
      </c>
      <c r="D407" t="s">
        <v>775</v>
      </c>
      <c r="E407" t="s">
        <v>776</v>
      </c>
      <c r="F407">
        <v>355</v>
      </c>
      <c r="G407">
        <v>30.05</v>
      </c>
      <c r="H407">
        <v>99.37</v>
      </c>
      <c r="I407">
        <v>25.69</v>
      </c>
      <c r="J407">
        <v>84.93</v>
      </c>
      <c r="K407">
        <v>80</v>
      </c>
      <c r="T407">
        <v>3</v>
      </c>
      <c r="U407">
        <v>2</v>
      </c>
      <c r="V407" t="s">
        <v>233</v>
      </c>
      <c r="W407">
        <v>99</v>
      </c>
      <c r="X407">
        <v>5</v>
      </c>
      <c r="Y407">
        <v>5</v>
      </c>
      <c r="Z407" t="s">
        <v>777</v>
      </c>
      <c r="AA407" t="s">
        <v>778</v>
      </c>
      <c r="AB407" t="s">
        <v>229</v>
      </c>
      <c r="AC407" t="s">
        <v>230</v>
      </c>
      <c r="AD407" t="s">
        <v>231</v>
      </c>
      <c r="AE407" t="s">
        <v>205</v>
      </c>
      <c r="AG407" t="s">
        <v>779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678</v>
      </c>
      <c r="B408">
        <v>117869</v>
      </c>
      <c r="C408">
        <v>1</v>
      </c>
      <c r="D408" t="s">
        <v>780</v>
      </c>
      <c r="E408" t="s">
        <v>781</v>
      </c>
      <c r="F408">
        <v>32</v>
      </c>
      <c r="G408">
        <v>8.82</v>
      </c>
      <c r="H408">
        <v>29.17</v>
      </c>
      <c r="I408">
        <v>4.6399999999999997</v>
      </c>
      <c r="J408">
        <v>15.36</v>
      </c>
      <c r="K408">
        <v>4</v>
      </c>
      <c r="T408">
        <v>1</v>
      </c>
      <c r="U408">
        <v>1</v>
      </c>
      <c r="V408" t="s">
        <v>226</v>
      </c>
      <c r="W408" t="s">
        <v>782</v>
      </c>
      <c r="X408">
        <v>7</v>
      </c>
      <c r="Y408">
        <v>7</v>
      </c>
      <c r="Z408" t="s">
        <v>783</v>
      </c>
      <c r="AA408" t="s">
        <v>784</v>
      </c>
      <c r="AB408" t="s">
        <v>229</v>
      </c>
      <c r="AC408" t="s">
        <v>230</v>
      </c>
      <c r="AD408" t="s">
        <v>231</v>
      </c>
      <c r="AE408" t="s">
        <v>205</v>
      </c>
      <c r="AG408" t="s">
        <v>785</v>
      </c>
      <c r="AH408">
        <v>0</v>
      </c>
      <c r="AI408">
        <v>436</v>
      </c>
      <c r="AJ408">
        <v>72</v>
      </c>
      <c r="AK408">
        <v>10</v>
      </c>
      <c r="AL408">
        <v>0.31</v>
      </c>
    </row>
    <row r="409" spans="1:38" x14ac:dyDescent="0.3">
      <c r="A409" t="s">
        <v>678</v>
      </c>
      <c r="B409">
        <v>117869</v>
      </c>
      <c r="C409">
        <v>2</v>
      </c>
      <c r="D409" t="s">
        <v>780</v>
      </c>
      <c r="E409" t="s">
        <v>781</v>
      </c>
      <c r="F409">
        <v>32</v>
      </c>
      <c r="G409">
        <v>9.16</v>
      </c>
      <c r="H409">
        <v>30.31</v>
      </c>
      <c r="I409">
        <v>4.82</v>
      </c>
      <c r="J409">
        <v>15.96</v>
      </c>
      <c r="K409">
        <v>4</v>
      </c>
      <c r="T409">
        <v>1</v>
      </c>
      <c r="U409">
        <v>1</v>
      </c>
      <c r="V409" t="s">
        <v>226</v>
      </c>
      <c r="W409" t="s">
        <v>786</v>
      </c>
      <c r="X409">
        <v>7</v>
      </c>
      <c r="Y409">
        <v>7</v>
      </c>
      <c r="Z409" t="s">
        <v>783</v>
      </c>
      <c r="AA409" t="s">
        <v>784</v>
      </c>
      <c r="AB409" t="s">
        <v>229</v>
      </c>
      <c r="AC409" t="s">
        <v>230</v>
      </c>
      <c r="AD409" t="s">
        <v>231</v>
      </c>
      <c r="AE409" t="s">
        <v>205</v>
      </c>
      <c r="AG409" t="s">
        <v>785</v>
      </c>
      <c r="AH409">
        <v>0</v>
      </c>
      <c r="AI409">
        <v>436</v>
      </c>
      <c r="AJ409">
        <v>72</v>
      </c>
      <c r="AK409">
        <v>10</v>
      </c>
      <c r="AL409">
        <v>0.31</v>
      </c>
    </row>
    <row r="410" spans="1:38" x14ac:dyDescent="0.3">
      <c r="A410" t="s">
        <v>678</v>
      </c>
      <c r="B410">
        <v>117869</v>
      </c>
      <c r="C410">
        <v>3</v>
      </c>
      <c r="D410" t="s">
        <v>780</v>
      </c>
      <c r="E410" t="s">
        <v>781</v>
      </c>
      <c r="F410">
        <v>32</v>
      </c>
      <c r="G410">
        <v>9.92</v>
      </c>
      <c r="H410">
        <v>32.82</v>
      </c>
      <c r="I410">
        <v>5.22</v>
      </c>
      <c r="J410">
        <v>17.28</v>
      </c>
      <c r="K410">
        <v>4</v>
      </c>
      <c r="T410">
        <v>1</v>
      </c>
      <c r="U410">
        <v>1</v>
      </c>
      <c r="V410" t="s">
        <v>226</v>
      </c>
      <c r="W410" t="s">
        <v>787</v>
      </c>
      <c r="X410">
        <v>7</v>
      </c>
      <c r="Y410">
        <v>7</v>
      </c>
      <c r="Z410" t="s">
        <v>783</v>
      </c>
      <c r="AA410" t="s">
        <v>784</v>
      </c>
      <c r="AB410" t="s">
        <v>229</v>
      </c>
      <c r="AC410" t="s">
        <v>230</v>
      </c>
      <c r="AD410" t="s">
        <v>231</v>
      </c>
      <c r="AE410" t="s">
        <v>205</v>
      </c>
      <c r="AG410" t="s">
        <v>785</v>
      </c>
      <c r="AH410">
        <v>0</v>
      </c>
      <c r="AI410">
        <v>436</v>
      </c>
      <c r="AJ410">
        <v>72</v>
      </c>
      <c r="AK410">
        <v>10</v>
      </c>
      <c r="AL410">
        <v>0.31</v>
      </c>
    </row>
    <row r="411" spans="1:38" x14ac:dyDescent="0.3">
      <c r="A411" t="s">
        <v>678</v>
      </c>
      <c r="B411">
        <v>117869</v>
      </c>
      <c r="C411">
        <v>4</v>
      </c>
      <c r="D411" t="s">
        <v>780</v>
      </c>
      <c r="E411" t="s">
        <v>781</v>
      </c>
      <c r="F411">
        <v>32</v>
      </c>
      <c r="G411">
        <v>10.130000000000001</v>
      </c>
      <c r="H411">
        <v>33.5</v>
      </c>
      <c r="I411">
        <v>5.33</v>
      </c>
      <c r="J411">
        <v>17.64</v>
      </c>
      <c r="K411">
        <v>12</v>
      </c>
      <c r="T411">
        <v>1</v>
      </c>
      <c r="U411">
        <v>1</v>
      </c>
      <c r="V411" t="s">
        <v>226</v>
      </c>
      <c r="W411" t="s">
        <v>788</v>
      </c>
      <c r="X411">
        <v>7</v>
      </c>
      <c r="Y411">
        <v>7</v>
      </c>
      <c r="Z411" t="s">
        <v>783</v>
      </c>
      <c r="AA411" t="s">
        <v>784</v>
      </c>
      <c r="AB411" t="s">
        <v>229</v>
      </c>
      <c r="AC411" t="s">
        <v>230</v>
      </c>
      <c r="AD411" t="s">
        <v>231</v>
      </c>
      <c r="AE411" t="s">
        <v>205</v>
      </c>
      <c r="AG411" t="s">
        <v>785</v>
      </c>
      <c r="AH411">
        <v>0</v>
      </c>
      <c r="AI411">
        <v>436</v>
      </c>
      <c r="AJ411">
        <v>72</v>
      </c>
      <c r="AK411">
        <v>10</v>
      </c>
      <c r="AL411">
        <v>0.31</v>
      </c>
    </row>
    <row r="412" spans="1:38" x14ac:dyDescent="0.3">
      <c r="A412" t="s">
        <v>678</v>
      </c>
      <c r="B412">
        <v>117869</v>
      </c>
      <c r="C412">
        <v>5</v>
      </c>
      <c r="D412" t="s">
        <v>780</v>
      </c>
      <c r="E412" t="s">
        <v>781</v>
      </c>
      <c r="F412">
        <v>32</v>
      </c>
      <c r="G412">
        <v>10.130000000000001</v>
      </c>
      <c r="H412">
        <v>33.51</v>
      </c>
      <c r="I412">
        <v>5.33</v>
      </c>
      <c r="J412">
        <v>17.64</v>
      </c>
      <c r="K412">
        <v>4</v>
      </c>
      <c r="T412">
        <v>1</v>
      </c>
      <c r="U412">
        <v>1</v>
      </c>
      <c r="V412" t="s">
        <v>226</v>
      </c>
      <c r="W412" t="s">
        <v>789</v>
      </c>
      <c r="X412">
        <v>7</v>
      </c>
      <c r="Y412">
        <v>7</v>
      </c>
      <c r="Z412" t="s">
        <v>783</v>
      </c>
      <c r="AA412" t="s">
        <v>784</v>
      </c>
      <c r="AB412" t="s">
        <v>229</v>
      </c>
      <c r="AC412" t="s">
        <v>230</v>
      </c>
      <c r="AD412" t="s">
        <v>231</v>
      </c>
      <c r="AE412" t="s">
        <v>205</v>
      </c>
      <c r="AG412" t="s">
        <v>785</v>
      </c>
      <c r="AH412">
        <v>0</v>
      </c>
      <c r="AI412">
        <v>436</v>
      </c>
      <c r="AJ412">
        <v>72</v>
      </c>
      <c r="AK412">
        <v>10</v>
      </c>
      <c r="AL412">
        <v>0.31</v>
      </c>
    </row>
    <row r="413" spans="1:38" x14ac:dyDescent="0.3">
      <c r="A413" t="s">
        <v>678</v>
      </c>
      <c r="B413">
        <v>117869</v>
      </c>
      <c r="C413">
        <v>6</v>
      </c>
      <c r="D413" t="s">
        <v>780</v>
      </c>
      <c r="E413" t="s">
        <v>781</v>
      </c>
      <c r="F413">
        <v>32</v>
      </c>
      <c r="G413">
        <v>15.2</v>
      </c>
      <c r="H413">
        <v>50.25</v>
      </c>
      <c r="I413">
        <v>8</v>
      </c>
      <c r="J413">
        <v>26.46</v>
      </c>
      <c r="K413">
        <v>4</v>
      </c>
      <c r="T413">
        <v>2</v>
      </c>
      <c r="U413">
        <v>1</v>
      </c>
      <c r="V413" t="s">
        <v>226</v>
      </c>
      <c r="W413">
        <v>50</v>
      </c>
      <c r="X413">
        <v>7</v>
      </c>
      <c r="Y413">
        <v>7</v>
      </c>
      <c r="Z413" t="s">
        <v>783</v>
      </c>
      <c r="AA413" t="s">
        <v>784</v>
      </c>
      <c r="AB413" t="s">
        <v>229</v>
      </c>
      <c r="AC413" t="s">
        <v>230</v>
      </c>
      <c r="AD413" t="s">
        <v>231</v>
      </c>
      <c r="AE413" t="s">
        <v>205</v>
      </c>
      <c r="AG413" t="s">
        <v>785</v>
      </c>
      <c r="AH413">
        <v>0</v>
      </c>
      <c r="AI413">
        <v>436</v>
      </c>
      <c r="AJ413">
        <v>72</v>
      </c>
      <c r="AK413">
        <v>10</v>
      </c>
      <c r="AL413">
        <v>0.31</v>
      </c>
    </row>
    <row r="414" spans="1:38" x14ac:dyDescent="0.3">
      <c r="A414" t="s">
        <v>678</v>
      </c>
      <c r="B414">
        <v>11555</v>
      </c>
      <c r="C414">
        <v>1</v>
      </c>
      <c r="D414" t="s">
        <v>343</v>
      </c>
      <c r="E414" t="s">
        <v>790</v>
      </c>
      <c r="F414">
        <v>274</v>
      </c>
      <c r="G414">
        <v>37.659999999999997</v>
      </c>
      <c r="H414">
        <v>124.51</v>
      </c>
      <c r="I414">
        <v>30.17</v>
      </c>
      <c r="J414">
        <v>99.74</v>
      </c>
      <c r="K414">
        <v>26</v>
      </c>
      <c r="T414">
        <v>3</v>
      </c>
      <c r="U414">
        <v>2</v>
      </c>
      <c r="V414" t="s">
        <v>233</v>
      </c>
      <c r="W414">
        <v>124</v>
      </c>
      <c r="X414">
        <v>15</v>
      </c>
      <c r="Y414">
        <v>12</v>
      </c>
      <c r="Z414" t="s">
        <v>791</v>
      </c>
      <c r="AA414" t="s">
        <v>792</v>
      </c>
      <c r="AB414" t="s">
        <v>229</v>
      </c>
      <c r="AC414" t="s">
        <v>230</v>
      </c>
      <c r="AD414" t="s">
        <v>231</v>
      </c>
      <c r="AE414" t="s">
        <v>205</v>
      </c>
      <c r="AG414" t="s">
        <v>793</v>
      </c>
      <c r="AH414">
        <v>0</v>
      </c>
      <c r="AI414">
        <v>217</v>
      </c>
      <c r="AJ414">
        <v>22</v>
      </c>
      <c r="AK414">
        <v>474</v>
      </c>
      <c r="AL414">
        <v>1.73</v>
      </c>
    </row>
    <row r="415" spans="1:38" x14ac:dyDescent="0.3">
      <c r="A415" t="s">
        <v>678</v>
      </c>
      <c r="B415">
        <v>11555</v>
      </c>
      <c r="C415">
        <v>2</v>
      </c>
      <c r="D415" t="s">
        <v>343</v>
      </c>
      <c r="E415" t="s">
        <v>790</v>
      </c>
      <c r="F415">
        <v>274</v>
      </c>
      <c r="G415">
        <v>38.21</v>
      </c>
      <c r="H415">
        <v>126.32</v>
      </c>
      <c r="I415">
        <v>30.5</v>
      </c>
      <c r="J415">
        <v>100.85</v>
      </c>
      <c r="K415">
        <v>102</v>
      </c>
      <c r="T415">
        <v>3</v>
      </c>
      <c r="U415">
        <v>2</v>
      </c>
      <c r="V415" t="s">
        <v>233</v>
      </c>
      <c r="W415">
        <v>126</v>
      </c>
      <c r="X415">
        <v>15</v>
      </c>
      <c r="Y415">
        <v>12</v>
      </c>
      <c r="Z415" t="s">
        <v>791</v>
      </c>
      <c r="AA415" t="s">
        <v>792</v>
      </c>
      <c r="AB415" t="s">
        <v>229</v>
      </c>
      <c r="AC415" t="s">
        <v>230</v>
      </c>
      <c r="AD415" t="s">
        <v>231</v>
      </c>
      <c r="AE415" t="s">
        <v>205</v>
      </c>
      <c r="AG415" t="s">
        <v>793</v>
      </c>
      <c r="AH415">
        <v>0</v>
      </c>
      <c r="AI415">
        <v>217</v>
      </c>
      <c r="AJ415">
        <v>22</v>
      </c>
      <c r="AK415">
        <v>474</v>
      </c>
      <c r="AL415">
        <v>1.73</v>
      </c>
    </row>
    <row r="416" spans="1:38" x14ac:dyDescent="0.3">
      <c r="A416" t="s">
        <v>678</v>
      </c>
      <c r="B416">
        <v>11555</v>
      </c>
      <c r="C416">
        <v>3</v>
      </c>
      <c r="D416" t="s">
        <v>343</v>
      </c>
      <c r="E416" t="s">
        <v>790</v>
      </c>
      <c r="F416">
        <v>274</v>
      </c>
      <c r="G416">
        <v>48.13</v>
      </c>
      <c r="H416">
        <v>159.11000000000001</v>
      </c>
      <c r="I416">
        <v>40.6</v>
      </c>
      <c r="J416">
        <v>134.24</v>
      </c>
      <c r="K416">
        <v>116</v>
      </c>
      <c r="T416">
        <v>4</v>
      </c>
      <c r="U416">
        <v>2</v>
      </c>
      <c r="V416" t="s">
        <v>233</v>
      </c>
      <c r="W416">
        <v>159</v>
      </c>
      <c r="X416">
        <v>15</v>
      </c>
      <c r="Y416">
        <v>12</v>
      </c>
      <c r="Z416" t="s">
        <v>791</v>
      </c>
      <c r="AA416" t="s">
        <v>792</v>
      </c>
      <c r="AB416" t="s">
        <v>229</v>
      </c>
      <c r="AC416" t="s">
        <v>230</v>
      </c>
      <c r="AD416" t="s">
        <v>231</v>
      </c>
      <c r="AE416" t="s">
        <v>205</v>
      </c>
      <c r="AG416" t="s">
        <v>793</v>
      </c>
      <c r="AH416">
        <v>0</v>
      </c>
      <c r="AI416">
        <v>217</v>
      </c>
      <c r="AJ416">
        <v>22</v>
      </c>
      <c r="AK416">
        <v>474</v>
      </c>
      <c r="AL416">
        <v>1.73</v>
      </c>
    </row>
    <row r="417" spans="1:38" x14ac:dyDescent="0.3">
      <c r="A417" t="s">
        <v>678</v>
      </c>
      <c r="B417">
        <v>11555</v>
      </c>
      <c r="C417">
        <v>4</v>
      </c>
      <c r="D417" t="s">
        <v>343</v>
      </c>
      <c r="E417" t="s">
        <v>790</v>
      </c>
      <c r="F417">
        <v>274</v>
      </c>
      <c r="G417">
        <v>62.56</v>
      </c>
      <c r="H417">
        <v>206.82</v>
      </c>
      <c r="I417">
        <v>53.17</v>
      </c>
      <c r="J417">
        <v>175.77</v>
      </c>
      <c r="K417">
        <v>30</v>
      </c>
      <c r="T417">
        <v>5</v>
      </c>
      <c r="U417">
        <v>2</v>
      </c>
      <c r="V417" t="s">
        <v>233</v>
      </c>
      <c r="W417">
        <v>206</v>
      </c>
      <c r="X417">
        <v>15</v>
      </c>
      <c r="Y417">
        <v>12</v>
      </c>
      <c r="Z417" t="s">
        <v>791</v>
      </c>
      <c r="AA417" t="s">
        <v>792</v>
      </c>
      <c r="AB417" t="s">
        <v>229</v>
      </c>
      <c r="AC417" t="s">
        <v>230</v>
      </c>
      <c r="AD417" t="s">
        <v>231</v>
      </c>
      <c r="AE417" t="s">
        <v>205</v>
      </c>
      <c r="AG417" t="s">
        <v>793</v>
      </c>
      <c r="AH417">
        <v>0</v>
      </c>
      <c r="AI417">
        <v>217</v>
      </c>
      <c r="AJ417">
        <v>22</v>
      </c>
      <c r="AK417">
        <v>474</v>
      </c>
      <c r="AL417">
        <v>1.73</v>
      </c>
    </row>
    <row r="418" spans="1:38" x14ac:dyDescent="0.3">
      <c r="A418" t="s">
        <v>678</v>
      </c>
      <c r="B418">
        <v>125616</v>
      </c>
      <c r="C418">
        <v>1</v>
      </c>
      <c r="D418" t="s">
        <v>794</v>
      </c>
      <c r="E418" t="s">
        <v>795</v>
      </c>
      <c r="F418">
        <v>35</v>
      </c>
      <c r="G418">
        <v>26.44</v>
      </c>
      <c r="H418">
        <v>87.43</v>
      </c>
      <c r="I418">
        <v>21.83</v>
      </c>
      <c r="J418">
        <v>72.180000000000007</v>
      </c>
      <c r="K418">
        <v>5</v>
      </c>
      <c r="T418">
        <v>3</v>
      </c>
      <c r="U418">
        <v>2</v>
      </c>
      <c r="V418" t="s">
        <v>233</v>
      </c>
      <c r="W418">
        <v>87</v>
      </c>
      <c r="X418">
        <v>5</v>
      </c>
      <c r="Y418">
        <v>5</v>
      </c>
      <c r="Z418" t="s">
        <v>796</v>
      </c>
      <c r="AA418" t="s">
        <v>797</v>
      </c>
      <c r="AB418" t="s">
        <v>229</v>
      </c>
      <c r="AC418" t="s">
        <v>230</v>
      </c>
      <c r="AD418" t="s">
        <v>231</v>
      </c>
      <c r="AE418" t="s">
        <v>205</v>
      </c>
      <c r="AG418" t="s">
        <v>798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678</v>
      </c>
      <c r="B419">
        <v>125616</v>
      </c>
      <c r="C419">
        <v>2</v>
      </c>
      <c r="D419" t="s">
        <v>794</v>
      </c>
      <c r="E419" t="s">
        <v>795</v>
      </c>
      <c r="F419">
        <v>35</v>
      </c>
      <c r="G419">
        <v>27.07</v>
      </c>
      <c r="H419">
        <v>89.5</v>
      </c>
      <c r="I419">
        <v>22.46</v>
      </c>
      <c r="J419">
        <v>74.25</v>
      </c>
      <c r="K419">
        <v>1</v>
      </c>
      <c r="T419">
        <v>3</v>
      </c>
      <c r="U419">
        <v>2</v>
      </c>
      <c r="V419" t="s">
        <v>233</v>
      </c>
      <c r="W419">
        <v>89</v>
      </c>
      <c r="X419">
        <v>5</v>
      </c>
      <c r="Y419">
        <v>5</v>
      </c>
      <c r="Z419" t="s">
        <v>796</v>
      </c>
      <c r="AA419" t="s">
        <v>797</v>
      </c>
      <c r="AB419" t="s">
        <v>229</v>
      </c>
      <c r="AC419" t="s">
        <v>230</v>
      </c>
      <c r="AD419" t="s">
        <v>231</v>
      </c>
      <c r="AE419" t="s">
        <v>205</v>
      </c>
      <c r="AG419" t="s">
        <v>798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678</v>
      </c>
      <c r="B420">
        <v>125616</v>
      </c>
      <c r="C420">
        <v>3</v>
      </c>
      <c r="D420" t="s">
        <v>794</v>
      </c>
      <c r="E420" t="s">
        <v>795</v>
      </c>
      <c r="F420">
        <v>35</v>
      </c>
      <c r="G420">
        <v>29.14</v>
      </c>
      <c r="H420">
        <v>96.34</v>
      </c>
      <c r="I420">
        <v>24.52</v>
      </c>
      <c r="J420">
        <v>81.09</v>
      </c>
      <c r="K420">
        <v>29</v>
      </c>
      <c r="T420">
        <v>3</v>
      </c>
      <c r="U420">
        <v>2</v>
      </c>
      <c r="V420" t="s">
        <v>233</v>
      </c>
      <c r="W420">
        <v>96</v>
      </c>
      <c r="X420">
        <v>5</v>
      </c>
      <c r="Y420">
        <v>5</v>
      </c>
      <c r="Z420" t="s">
        <v>796</v>
      </c>
      <c r="AA420" t="s">
        <v>797</v>
      </c>
      <c r="AB420" t="s">
        <v>229</v>
      </c>
      <c r="AC420" t="s">
        <v>230</v>
      </c>
      <c r="AD420" t="s">
        <v>231</v>
      </c>
      <c r="AE420" t="s">
        <v>205</v>
      </c>
      <c r="AG420" t="s">
        <v>798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678</v>
      </c>
      <c r="B421">
        <v>7318</v>
      </c>
      <c r="C421">
        <v>1</v>
      </c>
      <c r="D421" t="s">
        <v>799</v>
      </c>
      <c r="E421" t="s">
        <v>800</v>
      </c>
      <c r="F421">
        <v>812</v>
      </c>
      <c r="G421">
        <v>23.04</v>
      </c>
      <c r="H421">
        <v>76.17</v>
      </c>
      <c r="I421">
        <v>18.11</v>
      </c>
      <c r="J421">
        <v>59.89</v>
      </c>
      <c r="K421">
        <v>169</v>
      </c>
      <c r="T421">
        <v>3</v>
      </c>
      <c r="U421">
        <v>2</v>
      </c>
      <c r="V421" t="s">
        <v>233</v>
      </c>
      <c r="W421" t="s">
        <v>111</v>
      </c>
      <c r="X421">
        <v>15</v>
      </c>
      <c r="Y421">
        <v>5</v>
      </c>
      <c r="Z421" t="s">
        <v>801</v>
      </c>
      <c r="AA421" t="s">
        <v>802</v>
      </c>
      <c r="AB421" t="s">
        <v>229</v>
      </c>
      <c r="AC421" t="s">
        <v>230</v>
      </c>
      <c r="AD421" t="s">
        <v>231</v>
      </c>
      <c r="AE421" t="s">
        <v>205</v>
      </c>
      <c r="AG421" t="s">
        <v>803</v>
      </c>
      <c r="AH421">
        <v>0</v>
      </c>
      <c r="AI421">
        <v>246</v>
      </c>
      <c r="AJ421">
        <v>26</v>
      </c>
      <c r="AK421">
        <v>766</v>
      </c>
      <c r="AL421">
        <v>0.94</v>
      </c>
    </row>
    <row r="422" spans="1:38" x14ac:dyDescent="0.3">
      <c r="A422" t="s">
        <v>678</v>
      </c>
      <c r="B422">
        <v>7318</v>
      </c>
      <c r="C422">
        <v>2</v>
      </c>
      <c r="D422" t="s">
        <v>799</v>
      </c>
      <c r="E422" t="s">
        <v>800</v>
      </c>
      <c r="F422">
        <v>812</v>
      </c>
      <c r="G422">
        <v>23.22</v>
      </c>
      <c r="H422">
        <v>76.77</v>
      </c>
      <c r="I422">
        <v>18.14</v>
      </c>
      <c r="J422">
        <v>59.98</v>
      </c>
      <c r="K422">
        <v>69</v>
      </c>
      <c r="T422">
        <v>2</v>
      </c>
      <c r="U422">
        <v>1</v>
      </c>
      <c r="V422" t="s">
        <v>233</v>
      </c>
      <c r="W422" t="s">
        <v>110</v>
      </c>
      <c r="X422">
        <v>15</v>
      </c>
      <c r="Y422">
        <v>5</v>
      </c>
      <c r="Z422" t="s">
        <v>801</v>
      </c>
      <c r="AA422" t="s">
        <v>802</v>
      </c>
      <c r="AB422" t="s">
        <v>229</v>
      </c>
      <c r="AC422" t="s">
        <v>230</v>
      </c>
      <c r="AD422" t="s">
        <v>231</v>
      </c>
      <c r="AE422" t="s">
        <v>205</v>
      </c>
      <c r="AG422" t="s">
        <v>803</v>
      </c>
      <c r="AH422">
        <v>0</v>
      </c>
      <c r="AI422">
        <v>246</v>
      </c>
      <c r="AJ422">
        <v>26</v>
      </c>
      <c r="AK422">
        <v>766</v>
      </c>
      <c r="AL422">
        <v>0.94</v>
      </c>
    </row>
    <row r="423" spans="1:38" x14ac:dyDescent="0.3">
      <c r="A423" t="s">
        <v>678</v>
      </c>
      <c r="B423">
        <v>7318</v>
      </c>
      <c r="C423">
        <v>3</v>
      </c>
      <c r="D423" t="s">
        <v>799</v>
      </c>
      <c r="E423" t="s">
        <v>800</v>
      </c>
      <c r="F423">
        <v>812</v>
      </c>
      <c r="G423">
        <v>25.12</v>
      </c>
      <c r="H423">
        <v>83.05</v>
      </c>
      <c r="I423">
        <v>21.14</v>
      </c>
      <c r="J423">
        <v>69.900000000000006</v>
      </c>
      <c r="K423">
        <v>12</v>
      </c>
      <c r="T423">
        <v>3</v>
      </c>
      <c r="U423">
        <v>2</v>
      </c>
      <c r="V423" t="s">
        <v>233</v>
      </c>
      <c r="W423">
        <v>83</v>
      </c>
      <c r="X423">
        <v>15</v>
      </c>
      <c r="Y423">
        <v>5</v>
      </c>
      <c r="Z423" t="s">
        <v>801</v>
      </c>
      <c r="AA423" t="s">
        <v>802</v>
      </c>
      <c r="AB423" t="s">
        <v>229</v>
      </c>
      <c r="AC423" t="s">
        <v>230</v>
      </c>
      <c r="AD423" t="s">
        <v>231</v>
      </c>
      <c r="AE423" t="s">
        <v>205</v>
      </c>
      <c r="AG423" t="s">
        <v>803</v>
      </c>
      <c r="AH423">
        <v>0</v>
      </c>
      <c r="AI423">
        <v>246</v>
      </c>
      <c r="AJ423">
        <v>26</v>
      </c>
      <c r="AK423">
        <v>766</v>
      </c>
      <c r="AL423">
        <v>0.94</v>
      </c>
    </row>
    <row r="424" spans="1:38" x14ac:dyDescent="0.3">
      <c r="A424" t="s">
        <v>678</v>
      </c>
      <c r="B424">
        <v>7318</v>
      </c>
      <c r="C424">
        <v>4</v>
      </c>
      <c r="D424" t="s">
        <v>799</v>
      </c>
      <c r="E424" t="s">
        <v>800</v>
      </c>
      <c r="F424">
        <v>812</v>
      </c>
      <c r="G424">
        <v>29.62</v>
      </c>
      <c r="H424">
        <v>97.94</v>
      </c>
      <c r="I424">
        <v>24.29</v>
      </c>
      <c r="J424">
        <v>80.319999999999993</v>
      </c>
      <c r="K424">
        <v>298</v>
      </c>
      <c r="T424">
        <v>3</v>
      </c>
      <c r="U424">
        <v>2</v>
      </c>
      <c r="V424" t="s">
        <v>233</v>
      </c>
      <c r="W424">
        <v>97</v>
      </c>
      <c r="X424">
        <v>15</v>
      </c>
      <c r="Y424">
        <v>5</v>
      </c>
      <c r="Z424" t="s">
        <v>801</v>
      </c>
      <c r="AA424" t="s">
        <v>802</v>
      </c>
      <c r="AB424" t="s">
        <v>229</v>
      </c>
      <c r="AC424" t="s">
        <v>230</v>
      </c>
      <c r="AD424" t="s">
        <v>231</v>
      </c>
      <c r="AE424" t="s">
        <v>205</v>
      </c>
      <c r="AG424" t="s">
        <v>803</v>
      </c>
      <c r="AH424">
        <v>0</v>
      </c>
      <c r="AI424">
        <v>246</v>
      </c>
      <c r="AJ424">
        <v>26</v>
      </c>
      <c r="AK424">
        <v>766</v>
      </c>
      <c r="AL424">
        <v>0.94</v>
      </c>
    </row>
    <row r="425" spans="1:38" x14ac:dyDescent="0.3">
      <c r="A425" t="s">
        <v>678</v>
      </c>
      <c r="B425">
        <v>7318</v>
      </c>
      <c r="C425">
        <v>5</v>
      </c>
      <c r="D425" t="s">
        <v>799</v>
      </c>
      <c r="E425" t="s">
        <v>800</v>
      </c>
      <c r="F425">
        <v>812</v>
      </c>
      <c r="G425">
        <v>32.53</v>
      </c>
      <c r="H425">
        <v>107.56</v>
      </c>
      <c r="I425">
        <v>25.7</v>
      </c>
      <c r="J425">
        <v>84.97</v>
      </c>
      <c r="K425">
        <v>264</v>
      </c>
      <c r="T425">
        <v>3</v>
      </c>
      <c r="U425">
        <v>2</v>
      </c>
      <c r="V425" t="s">
        <v>233</v>
      </c>
      <c r="W425">
        <v>107</v>
      </c>
      <c r="X425">
        <v>15</v>
      </c>
      <c r="Y425">
        <v>5</v>
      </c>
      <c r="Z425" t="s">
        <v>801</v>
      </c>
      <c r="AA425" t="s">
        <v>802</v>
      </c>
      <c r="AB425" t="s">
        <v>229</v>
      </c>
      <c r="AC425" t="s">
        <v>230</v>
      </c>
      <c r="AD425" t="s">
        <v>231</v>
      </c>
      <c r="AE425" t="s">
        <v>205</v>
      </c>
      <c r="AG425" t="s">
        <v>803</v>
      </c>
      <c r="AH425">
        <v>0</v>
      </c>
      <c r="AI425">
        <v>246</v>
      </c>
      <c r="AJ425">
        <v>26</v>
      </c>
      <c r="AK425">
        <v>766</v>
      </c>
      <c r="AL425">
        <v>0.94</v>
      </c>
    </row>
    <row r="426" spans="1:38" x14ac:dyDescent="0.3">
      <c r="A426" t="s">
        <v>678</v>
      </c>
      <c r="B426">
        <v>26493</v>
      </c>
      <c r="C426">
        <v>1</v>
      </c>
      <c r="D426" t="s">
        <v>804</v>
      </c>
      <c r="E426" t="s">
        <v>805</v>
      </c>
      <c r="F426">
        <v>452</v>
      </c>
      <c r="G426">
        <v>33.520000000000003</v>
      </c>
      <c r="H426">
        <v>110.81</v>
      </c>
      <c r="I426">
        <v>25.64</v>
      </c>
      <c r="J426">
        <v>84.78</v>
      </c>
      <c r="K426">
        <v>129</v>
      </c>
      <c r="T426">
        <v>3</v>
      </c>
      <c r="U426">
        <v>2</v>
      </c>
      <c r="V426" t="s">
        <v>233</v>
      </c>
      <c r="W426" t="s">
        <v>72</v>
      </c>
      <c r="X426">
        <v>15</v>
      </c>
      <c r="Y426">
        <v>10</v>
      </c>
      <c r="Z426" t="s">
        <v>806</v>
      </c>
      <c r="AA426" t="s">
        <v>807</v>
      </c>
      <c r="AB426" t="s">
        <v>229</v>
      </c>
      <c r="AC426" t="s">
        <v>230</v>
      </c>
      <c r="AD426" t="s">
        <v>231</v>
      </c>
      <c r="AE426" t="s">
        <v>205</v>
      </c>
      <c r="AG426" t="s">
        <v>808</v>
      </c>
      <c r="AH426">
        <v>0</v>
      </c>
      <c r="AI426">
        <v>221</v>
      </c>
      <c r="AJ426">
        <v>24</v>
      </c>
      <c r="AK426">
        <v>726</v>
      </c>
      <c r="AL426">
        <v>1.61</v>
      </c>
    </row>
    <row r="427" spans="1:38" x14ac:dyDescent="0.3">
      <c r="A427" t="s">
        <v>678</v>
      </c>
      <c r="B427">
        <v>26493</v>
      </c>
      <c r="C427">
        <v>2</v>
      </c>
      <c r="D427" t="s">
        <v>804</v>
      </c>
      <c r="E427" t="s">
        <v>805</v>
      </c>
      <c r="F427">
        <v>452</v>
      </c>
      <c r="G427">
        <v>33.5</v>
      </c>
      <c r="H427">
        <v>110.75</v>
      </c>
      <c r="I427">
        <v>25.66</v>
      </c>
      <c r="J427">
        <v>84.84</v>
      </c>
      <c r="K427">
        <v>115</v>
      </c>
      <c r="T427">
        <v>3</v>
      </c>
      <c r="U427">
        <v>2</v>
      </c>
      <c r="V427" t="s">
        <v>233</v>
      </c>
      <c r="W427" t="s">
        <v>90</v>
      </c>
      <c r="X427">
        <v>15</v>
      </c>
      <c r="Y427">
        <v>10</v>
      </c>
      <c r="Z427" t="s">
        <v>806</v>
      </c>
      <c r="AA427" t="s">
        <v>807</v>
      </c>
      <c r="AB427" t="s">
        <v>229</v>
      </c>
      <c r="AC427" t="s">
        <v>230</v>
      </c>
      <c r="AD427" t="s">
        <v>231</v>
      </c>
      <c r="AE427" t="s">
        <v>205</v>
      </c>
      <c r="AG427" t="s">
        <v>808</v>
      </c>
      <c r="AH427">
        <v>0</v>
      </c>
      <c r="AI427">
        <v>221</v>
      </c>
      <c r="AJ427">
        <v>24</v>
      </c>
      <c r="AK427">
        <v>726</v>
      </c>
      <c r="AL427">
        <v>1.61</v>
      </c>
    </row>
    <row r="428" spans="1:38" x14ac:dyDescent="0.3">
      <c r="A428" t="s">
        <v>678</v>
      </c>
      <c r="B428">
        <v>26493</v>
      </c>
      <c r="C428">
        <v>3</v>
      </c>
      <c r="D428" t="s">
        <v>804</v>
      </c>
      <c r="E428" t="s">
        <v>805</v>
      </c>
      <c r="F428">
        <v>452</v>
      </c>
      <c r="G428">
        <v>33.72</v>
      </c>
      <c r="H428">
        <v>111.49</v>
      </c>
      <c r="I428">
        <v>25.66</v>
      </c>
      <c r="J428">
        <v>84.85</v>
      </c>
      <c r="K428">
        <v>127</v>
      </c>
      <c r="T428">
        <v>3</v>
      </c>
      <c r="U428">
        <v>2</v>
      </c>
      <c r="V428" t="s">
        <v>233</v>
      </c>
      <c r="W428" t="s">
        <v>73</v>
      </c>
      <c r="X428">
        <v>15</v>
      </c>
      <c r="Y428">
        <v>10</v>
      </c>
      <c r="Z428" t="s">
        <v>806</v>
      </c>
      <c r="AA428" t="s">
        <v>807</v>
      </c>
      <c r="AB428" t="s">
        <v>229</v>
      </c>
      <c r="AC428" t="s">
        <v>230</v>
      </c>
      <c r="AD428" t="s">
        <v>231</v>
      </c>
      <c r="AE428" t="s">
        <v>205</v>
      </c>
      <c r="AG428" t="s">
        <v>808</v>
      </c>
      <c r="AH428">
        <v>0</v>
      </c>
      <c r="AI428">
        <v>221</v>
      </c>
      <c r="AJ428">
        <v>24</v>
      </c>
      <c r="AK428">
        <v>726</v>
      </c>
      <c r="AL428">
        <v>1.61</v>
      </c>
    </row>
    <row r="429" spans="1:38" x14ac:dyDescent="0.3">
      <c r="A429" t="s">
        <v>678</v>
      </c>
      <c r="B429">
        <v>26493</v>
      </c>
      <c r="C429">
        <v>4</v>
      </c>
      <c r="D429" t="s">
        <v>804</v>
      </c>
      <c r="E429" t="s">
        <v>805</v>
      </c>
      <c r="F429">
        <v>452</v>
      </c>
      <c r="G429">
        <v>47.43</v>
      </c>
      <c r="H429">
        <v>156.81</v>
      </c>
      <c r="I429">
        <v>37.770000000000003</v>
      </c>
      <c r="J429">
        <v>124.87</v>
      </c>
      <c r="K429">
        <v>78</v>
      </c>
      <c r="T429">
        <v>4</v>
      </c>
      <c r="U429">
        <v>2</v>
      </c>
      <c r="V429" t="s">
        <v>233</v>
      </c>
      <c r="W429">
        <v>156</v>
      </c>
      <c r="X429">
        <v>15</v>
      </c>
      <c r="Y429">
        <v>10</v>
      </c>
      <c r="Z429" t="s">
        <v>806</v>
      </c>
      <c r="AA429" t="s">
        <v>807</v>
      </c>
      <c r="AB429" t="s">
        <v>229</v>
      </c>
      <c r="AC429" t="s">
        <v>230</v>
      </c>
      <c r="AD429" t="s">
        <v>231</v>
      </c>
      <c r="AE429" t="s">
        <v>205</v>
      </c>
      <c r="AG429" t="s">
        <v>808</v>
      </c>
      <c r="AH429">
        <v>0</v>
      </c>
      <c r="AI429">
        <v>221</v>
      </c>
      <c r="AJ429">
        <v>24</v>
      </c>
      <c r="AK429">
        <v>726</v>
      </c>
      <c r="AL429">
        <v>1.61</v>
      </c>
    </row>
    <row r="430" spans="1:38" x14ac:dyDescent="0.3">
      <c r="A430" t="s">
        <v>678</v>
      </c>
      <c r="B430">
        <v>26493</v>
      </c>
      <c r="C430">
        <v>5</v>
      </c>
      <c r="D430" t="s">
        <v>804</v>
      </c>
      <c r="E430" t="s">
        <v>805</v>
      </c>
      <c r="F430">
        <v>452</v>
      </c>
      <c r="G430">
        <v>68.23</v>
      </c>
      <c r="H430">
        <v>225.57</v>
      </c>
      <c r="I430">
        <v>53.5</v>
      </c>
      <c r="J430">
        <v>176.88</v>
      </c>
      <c r="K430">
        <v>3</v>
      </c>
      <c r="T430">
        <v>4</v>
      </c>
      <c r="U430">
        <v>3</v>
      </c>
      <c r="V430" t="s">
        <v>233</v>
      </c>
      <c r="W430">
        <v>225</v>
      </c>
      <c r="X430">
        <v>15</v>
      </c>
      <c r="Y430">
        <v>10</v>
      </c>
      <c r="Z430" t="s">
        <v>806</v>
      </c>
      <c r="AA430" t="s">
        <v>807</v>
      </c>
      <c r="AB430" t="s">
        <v>229</v>
      </c>
      <c r="AC430" t="s">
        <v>230</v>
      </c>
      <c r="AD430" t="s">
        <v>231</v>
      </c>
      <c r="AE430" t="s">
        <v>205</v>
      </c>
      <c r="AG430" t="s">
        <v>808</v>
      </c>
      <c r="AH430">
        <v>0</v>
      </c>
      <c r="AI430">
        <v>221</v>
      </c>
      <c r="AJ430">
        <v>24</v>
      </c>
      <c r="AK430">
        <v>726</v>
      </c>
      <c r="AL430">
        <v>1.61</v>
      </c>
    </row>
    <row r="431" spans="1:38" x14ac:dyDescent="0.3">
      <c r="A431" t="s">
        <v>678</v>
      </c>
      <c r="B431">
        <v>12832</v>
      </c>
      <c r="C431">
        <v>1</v>
      </c>
      <c r="D431" t="s">
        <v>809</v>
      </c>
      <c r="E431" t="s">
        <v>810</v>
      </c>
      <c r="F431">
        <v>952</v>
      </c>
      <c r="G431">
        <v>23.06</v>
      </c>
      <c r="H431">
        <v>76.260000000000005</v>
      </c>
      <c r="I431">
        <v>17.940000000000001</v>
      </c>
      <c r="J431">
        <v>59.32</v>
      </c>
      <c r="K431">
        <v>734</v>
      </c>
      <c r="T431">
        <v>3</v>
      </c>
      <c r="U431">
        <v>1</v>
      </c>
      <c r="V431" t="s">
        <v>233</v>
      </c>
      <c r="W431" t="s">
        <v>111</v>
      </c>
      <c r="X431">
        <v>15</v>
      </c>
      <c r="Y431">
        <v>12</v>
      </c>
      <c r="Z431" t="s">
        <v>811</v>
      </c>
      <c r="AA431" t="s">
        <v>812</v>
      </c>
      <c r="AB431" t="s">
        <v>229</v>
      </c>
      <c r="AC431" t="s">
        <v>230</v>
      </c>
      <c r="AD431" t="s">
        <v>231</v>
      </c>
      <c r="AE431" t="s">
        <v>205</v>
      </c>
      <c r="AG431" t="s">
        <v>813</v>
      </c>
      <c r="AH431">
        <v>0</v>
      </c>
      <c r="AI431">
        <v>219</v>
      </c>
      <c r="AJ431">
        <v>19</v>
      </c>
      <c r="AK431">
        <v>898</v>
      </c>
      <c r="AL431">
        <v>0.94</v>
      </c>
    </row>
    <row r="432" spans="1:38" x14ac:dyDescent="0.3">
      <c r="A432" t="s">
        <v>678</v>
      </c>
      <c r="B432">
        <v>12832</v>
      </c>
      <c r="C432">
        <v>2</v>
      </c>
      <c r="D432" t="s">
        <v>809</v>
      </c>
      <c r="E432" t="s">
        <v>810</v>
      </c>
      <c r="F432">
        <v>952</v>
      </c>
      <c r="G432">
        <v>23.09</v>
      </c>
      <c r="H432">
        <v>76.36</v>
      </c>
      <c r="I432">
        <v>17.93</v>
      </c>
      <c r="J432">
        <v>59.29</v>
      </c>
      <c r="K432">
        <v>218</v>
      </c>
      <c r="T432">
        <v>3</v>
      </c>
      <c r="U432">
        <v>1</v>
      </c>
      <c r="V432" t="s">
        <v>233</v>
      </c>
      <c r="W432" t="s">
        <v>110</v>
      </c>
      <c r="X432">
        <v>15</v>
      </c>
      <c r="Y432">
        <v>12</v>
      </c>
      <c r="Z432" t="s">
        <v>811</v>
      </c>
      <c r="AA432" t="s">
        <v>812</v>
      </c>
      <c r="AB432" t="s">
        <v>229</v>
      </c>
      <c r="AC432" t="s">
        <v>230</v>
      </c>
      <c r="AD432" t="s">
        <v>231</v>
      </c>
      <c r="AE432" t="s">
        <v>205</v>
      </c>
      <c r="AG432" t="s">
        <v>813</v>
      </c>
      <c r="AH432">
        <v>0</v>
      </c>
      <c r="AI432">
        <v>219</v>
      </c>
      <c r="AJ432">
        <v>19</v>
      </c>
      <c r="AK432">
        <v>898</v>
      </c>
      <c r="AL432">
        <v>0.94</v>
      </c>
    </row>
    <row r="433" spans="1:38" x14ac:dyDescent="0.3">
      <c r="A433" t="s">
        <v>678</v>
      </c>
      <c r="B433">
        <v>7372</v>
      </c>
      <c r="C433">
        <v>1</v>
      </c>
      <c r="D433" t="s">
        <v>814</v>
      </c>
      <c r="E433" t="s">
        <v>690</v>
      </c>
      <c r="F433">
        <v>1464</v>
      </c>
      <c r="G433">
        <v>23.4</v>
      </c>
      <c r="H433">
        <v>77.38</v>
      </c>
      <c r="I433">
        <v>18.149999999999999</v>
      </c>
      <c r="J433">
        <v>60</v>
      </c>
      <c r="K433">
        <v>1158</v>
      </c>
      <c r="T433">
        <v>3</v>
      </c>
      <c r="U433">
        <v>2</v>
      </c>
      <c r="V433" t="s">
        <v>233</v>
      </c>
      <c r="W433" t="s">
        <v>148</v>
      </c>
      <c r="X433">
        <v>15</v>
      </c>
      <c r="Y433">
        <v>13</v>
      </c>
      <c r="Z433" t="s">
        <v>815</v>
      </c>
      <c r="AA433" t="s">
        <v>816</v>
      </c>
      <c r="AB433" t="s">
        <v>229</v>
      </c>
      <c r="AC433" t="s">
        <v>230</v>
      </c>
      <c r="AD433" t="s">
        <v>231</v>
      </c>
      <c r="AE433" t="s">
        <v>205</v>
      </c>
      <c r="AG433" t="s">
        <v>817</v>
      </c>
      <c r="AH433">
        <v>0</v>
      </c>
      <c r="AI433">
        <v>203</v>
      </c>
      <c r="AJ433">
        <v>20</v>
      </c>
      <c r="AK433">
        <v>1473</v>
      </c>
      <c r="AL433">
        <v>1.01</v>
      </c>
    </row>
    <row r="434" spans="1:38" x14ac:dyDescent="0.3">
      <c r="A434" t="s">
        <v>678</v>
      </c>
      <c r="B434">
        <v>7372</v>
      </c>
      <c r="C434">
        <v>2</v>
      </c>
      <c r="D434" t="s">
        <v>814</v>
      </c>
      <c r="E434" t="s">
        <v>690</v>
      </c>
      <c r="F434">
        <v>1464</v>
      </c>
      <c r="G434">
        <v>23.45</v>
      </c>
      <c r="H434">
        <v>77.53</v>
      </c>
      <c r="I434">
        <v>18.11</v>
      </c>
      <c r="J434">
        <v>59.88</v>
      </c>
      <c r="K434">
        <v>306</v>
      </c>
      <c r="T434">
        <v>2</v>
      </c>
      <c r="U434">
        <v>1</v>
      </c>
      <c r="V434" t="s">
        <v>233</v>
      </c>
      <c r="W434" t="s">
        <v>149</v>
      </c>
      <c r="X434">
        <v>15</v>
      </c>
      <c r="Y434">
        <v>13</v>
      </c>
      <c r="Z434" t="s">
        <v>815</v>
      </c>
      <c r="AA434" t="s">
        <v>816</v>
      </c>
      <c r="AB434" t="s">
        <v>229</v>
      </c>
      <c r="AC434" t="s">
        <v>230</v>
      </c>
      <c r="AD434" t="s">
        <v>231</v>
      </c>
      <c r="AE434" t="s">
        <v>205</v>
      </c>
      <c r="AG434" t="s">
        <v>817</v>
      </c>
      <c r="AH434">
        <v>0</v>
      </c>
      <c r="AI434">
        <v>203</v>
      </c>
      <c r="AJ434">
        <v>20</v>
      </c>
      <c r="AK434">
        <v>1473</v>
      </c>
      <c r="AL434">
        <v>1.01</v>
      </c>
    </row>
    <row r="435" spans="1:38" x14ac:dyDescent="0.3">
      <c r="A435" t="s">
        <v>678</v>
      </c>
      <c r="B435">
        <v>113572</v>
      </c>
      <c r="C435">
        <v>1</v>
      </c>
      <c r="D435" t="s">
        <v>818</v>
      </c>
      <c r="E435" t="s">
        <v>819</v>
      </c>
      <c r="F435">
        <v>293</v>
      </c>
      <c r="G435">
        <v>30.66</v>
      </c>
      <c r="H435">
        <v>101.36</v>
      </c>
      <c r="I435">
        <v>22.65</v>
      </c>
      <c r="J435">
        <v>74.900000000000006</v>
      </c>
      <c r="K435">
        <v>126</v>
      </c>
      <c r="T435">
        <v>3</v>
      </c>
      <c r="U435">
        <v>2</v>
      </c>
      <c r="V435" t="s">
        <v>233</v>
      </c>
      <c r="W435" t="s">
        <v>150</v>
      </c>
      <c r="X435">
        <v>20</v>
      </c>
      <c r="Y435">
        <v>14</v>
      </c>
      <c r="Z435" t="s">
        <v>820</v>
      </c>
      <c r="AA435" t="s">
        <v>821</v>
      </c>
      <c r="AB435" t="s">
        <v>229</v>
      </c>
      <c r="AC435" t="s">
        <v>230</v>
      </c>
      <c r="AD435" t="s">
        <v>231</v>
      </c>
      <c r="AE435" t="s">
        <v>205</v>
      </c>
      <c r="AG435" t="s">
        <v>822</v>
      </c>
      <c r="AH435">
        <v>0</v>
      </c>
      <c r="AI435">
        <v>229</v>
      </c>
      <c r="AJ435">
        <v>31</v>
      </c>
      <c r="AK435">
        <v>400</v>
      </c>
      <c r="AL435">
        <v>1.37</v>
      </c>
    </row>
    <row r="436" spans="1:38" x14ac:dyDescent="0.3">
      <c r="A436" t="s">
        <v>678</v>
      </c>
      <c r="B436">
        <v>113572</v>
      </c>
      <c r="C436">
        <v>2</v>
      </c>
      <c r="D436" t="s">
        <v>818</v>
      </c>
      <c r="E436" t="s">
        <v>819</v>
      </c>
      <c r="F436">
        <v>293</v>
      </c>
      <c r="G436">
        <v>30.85</v>
      </c>
      <c r="H436">
        <v>102</v>
      </c>
      <c r="I436">
        <v>22.65</v>
      </c>
      <c r="J436">
        <v>74.89</v>
      </c>
      <c r="K436">
        <v>137</v>
      </c>
      <c r="T436">
        <v>3</v>
      </c>
      <c r="U436">
        <v>2</v>
      </c>
      <c r="V436" t="s">
        <v>233</v>
      </c>
      <c r="W436" t="s">
        <v>151</v>
      </c>
      <c r="X436">
        <v>20</v>
      </c>
      <c r="Y436">
        <v>14</v>
      </c>
      <c r="Z436" t="s">
        <v>820</v>
      </c>
      <c r="AA436" t="s">
        <v>821</v>
      </c>
      <c r="AB436" t="s">
        <v>229</v>
      </c>
      <c r="AC436" t="s">
        <v>230</v>
      </c>
      <c r="AD436" t="s">
        <v>231</v>
      </c>
      <c r="AE436" t="s">
        <v>205</v>
      </c>
      <c r="AG436" t="s">
        <v>822</v>
      </c>
      <c r="AH436">
        <v>0</v>
      </c>
      <c r="AI436">
        <v>229</v>
      </c>
      <c r="AJ436">
        <v>31</v>
      </c>
      <c r="AK436">
        <v>400</v>
      </c>
      <c r="AL436">
        <v>1.37</v>
      </c>
    </row>
    <row r="437" spans="1:38" x14ac:dyDescent="0.3">
      <c r="A437" t="s">
        <v>678</v>
      </c>
      <c r="B437">
        <v>113572</v>
      </c>
      <c r="C437">
        <v>3</v>
      </c>
      <c r="D437" t="s">
        <v>818</v>
      </c>
      <c r="E437" t="s">
        <v>819</v>
      </c>
      <c r="F437">
        <v>293</v>
      </c>
      <c r="G437">
        <v>30.87</v>
      </c>
      <c r="H437">
        <v>102.06</v>
      </c>
      <c r="I437">
        <v>22.62</v>
      </c>
      <c r="J437">
        <v>74.790000000000006</v>
      </c>
      <c r="K437">
        <v>30</v>
      </c>
      <c r="T437">
        <v>3</v>
      </c>
      <c r="U437">
        <v>2</v>
      </c>
      <c r="V437" t="s">
        <v>233</v>
      </c>
      <c r="W437" t="s">
        <v>152</v>
      </c>
      <c r="X437">
        <v>20</v>
      </c>
      <c r="Y437">
        <v>14</v>
      </c>
      <c r="Z437" t="s">
        <v>820</v>
      </c>
      <c r="AA437" t="s">
        <v>821</v>
      </c>
      <c r="AB437" t="s">
        <v>229</v>
      </c>
      <c r="AC437" t="s">
        <v>230</v>
      </c>
      <c r="AD437" t="s">
        <v>231</v>
      </c>
      <c r="AE437" t="s">
        <v>205</v>
      </c>
      <c r="AG437" t="s">
        <v>822</v>
      </c>
      <c r="AH437">
        <v>0</v>
      </c>
      <c r="AI437">
        <v>229</v>
      </c>
      <c r="AJ437">
        <v>31</v>
      </c>
      <c r="AK437">
        <v>400</v>
      </c>
      <c r="AL437">
        <v>1.37</v>
      </c>
    </row>
    <row r="438" spans="1:38" x14ac:dyDescent="0.3">
      <c r="A438" t="s">
        <v>678</v>
      </c>
      <c r="B438">
        <v>104637</v>
      </c>
      <c r="C438">
        <v>1</v>
      </c>
      <c r="D438" t="s">
        <v>823</v>
      </c>
      <c r="E438" t="s">
        <v>824</v>
      </c>
      <c r="F438">
        <v>1956</v>
      </c>
      <c r="G438">
        <v>34.14</v>
      </c>
      <c r="H438">
        <v>112.88</v>
      </c>
      <c r="I438">
        <v>24.34</v>
      </c>
      <c r="J438">
        <v>80.489999999999995</v>
      </c>
      <c r="K438">
        <v>652</v>
      </c>
      <c r="T438">
        <v>3</v>
      </c>
      <c r="U438">
        <v>2</v>
      </c>
      <c r="V438" t="s">
        <v>233</v>
      </c>
      <c r="W438" t="s">
        <v>107</v>
      </c>
      <c r="X438">
        <v>45</v>
      </c>
      <c r="Y438">
        <v>39</v>
      </c>
      <c r="Z438" t="s">
        <v>825</v>
      </c>
      <c r="AA438" t="s">
        <v>826</v>
      </c>
      <c r="AB438" t="s">
        <v>229</v>
      </c>
      <c r="AC438" t="s">
        <v>230</v>
      </c>
      <c r="AD438" t="s">
        <v>231</v>
      </c>
      <c r="AE438" t="s">
        <v>205</v>
      </c>
      <c r="AG438" t="s">
        <v>827</v>
      </c>
      <c r="AH438">
        <v>0</v>
      </c>
      <c r="AI438">
        <v>420</v>
      </c>
      <c r="AJ438">
        <v>29</v>
      </c>
      <c r="AK438">
        <v>3265</v>
      </c>
      <c r="AL438">
        <v>1.67</v>
      </c>
    </row>
    <row r="439" spans="1:38" x14ac:dyDescent="0.3">
      <c r="A439" t="s">
        <v>678</v>
      </c>
      <c r="B439">
        <v>104637</v>
      </c>
      <c r="C439">
        <v>2</v>
      </c>
      <c r="D439" t="s">
        <v>823</v>
      </c>
      <c r="E439" t="s">
        <v>824</v>
      </c>
      <c r="F439">
        <v>1956</v>
      </c>
      <c r="G439">
        <v>34.19</v>
      </c>
      <c r="H439">
        <v>113.05</v>
      </c>
      <c r="I439">
        <v>24.23</v>
      </c>
      <c r="J439">
        <v>80.13</v>
      </c>
      <c r="K439">
        <v>652</v>
      </c>
      <c r="T439">
        <v>3</v>
      </c>
      <c r="U439">
        <v>2</v>
      </c>
      <c r="V439" t="s">
        <v>233</v>
      </c>
      <c r="W439" t="s">
        <v>153</v>
      </c>
      <c r="X439">
        <v>45</v>
      </c>
      <c r="Y439">
        <v>39</v>
      </c>
      <c r="Z439" t="s">
        <v>825</v>
      </c>
      <c r="AA439" t="s">
        <v>826</v>
      </c>
      <c r="AB439" t="s">
        <v>229</v>
      </c>
      <c r="AC439" t="s">
        <v>230</v>
      </c>
      <c r="AD439" t="s">
        <v>231</v>
      </c>
      <c r="AE439" t="s">
        <v>205</v>
      </c>
      <c r="AG439" t="s">
        <v>827</v>
      </c>
      <c r="AH439">
        <v>0</v>
      </c>
      <c r="AI439">
        <v>420</v>
      </c>
      <c r="AJ439">
        <v>29</v>
      </c>
      <c r="AK439">
        <v>3265</v>
      </c>
      <c r="AL439">
        <v>1.67</v>
      </c>
    </row>
    <row r="440" spans="1:38" x14ac:dyDescent="0.3">
      <c r="A440" t="s">
        <v>678</v>
      </c>
      <c r="B440">
        <v>104637</v>
      </c>
      <c r="C440">
        <v>3</v>
      </c>
      <c r="D440" t="s">
        <v>823</v>
      </c>
      <c r="E440" t="s">
        <v>824</v>
      </c>
      <c r="F440">
        <v>1956</v>
      </c>
      <c r="G440">
        <v>34.31</v>
      </c>
      <c r="H440">
        <v>113.43</v>
      </c>
      <c r="I440">
        <v>24.2</v>
      </c>
      <c r="J440">
        <v>80</v>
      </c>
      <c r="K440">
        <v>652</v>
      </c>
      <c r="T440">
        <v>3</v>
      </c>
      <c r="U440">
        <v>2</v>
      </c>
      <c r="V440" t="s">
        <v>233</v>
      </c>
      <c r="W440" t="s">
        <v>154</v>
      </c>
      <c r="X440">
        <v>45</v>
      </c>
      <c r="Y440">
        <v>39</v>
      </c>
      <c r="Z440" t="s">
        <v>825</v>
      </c>
      <c r="AA440" t="s">
        <v>826</v>
      </c>
      <c r="AB440" t="s">
        <v>229</v>
      </c>
      <c r="AC440" t="s">
        <v>230</v>
      </c>
      <c r="AD440" t="s">
        <v>231</v>
      </c>
      <c r="AE440" t="s">
        <v>205</v>
      </c>
      <c r="AG440" t="s">
        <v>827</v>
      </c>
      <c r="AH440">
        <v>0</v>
      </c>
      <c r="AI440">
        <v>420</v>
      </c>
      <c r="AJ440">
        <v>29</v>
      </c>
      <c r="AK440">
        <v>3265</v>
      </c>
      <c r="AL440">
        <v>1.67</v>
      </c>
    </row>
    <row r="441" spans="1:38" x14ac:dyDescent="0.3">
      <c r="A441" t="s">
        <v>678</v>
      </c>
      <c r="B441">
        <v>114806</v>
      </c>
      <c r="C441">
        <v>1</v>
      </c>
      <c r="D441" t="s">
        <v>385</v>
      </c>
      <c r="E441" t="s">
        <v>828</v>
      </c>
      <c r="F441">
        <v>49</v>
      </c>
      <c r="G441">
        <v>13.27</v>
      </c>
      <c r="H441">
        <v>43.88</v>
      </c>
      <c r="I441">
        <v>11.33</v>
      </c>
      <c r="J441">
        <v>37.479999999999997</v>
      </c>
      <c r="K441">
        <v>48</v>
      </c>
      <c r="T441">
        <v>2</v>
      </c>
      <c r="U441">
        <v>1</v>
      </c>
      <c r="V441" t="s">
        <v>226</v>
      </c>
      <c r="W441">
        <v>43</v>
      </c>
      <c r="X441">
        <v>5</v>
      </c>
      <c r="Y441">
        <v>5</v>
      </c>
      <c r="Z441" t="s">
        <v>829</v>
      </c>
      <c r="AA441" t="s">
        <v>830</v>
      </c>
      <c r="AB441" t="s">
        <v>229</v>
      </c>
      <c r="AC441" t="s">
        <v>230</v>
      </c>
      <c r="AD441" t="s">
        <v>231</v>
      </c>
      <c r="AE441" t="s">
        <v>205</v>
      </c>
      <c r="AG441" t="s">
        <v>831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678</v>
      </c>
      <c r="B442">
        <v>114806</v>
      </c>
      <c r="C442">
        <v>2</v>
      </c>
      <c r="D442" t="s">
        <v>385</v>
      </c>
      <c r="E442" t="s">
        <v>828</v>
      </c>
      <c r="F442">
        <v>49</v>
      </c>
      <c r="G442">
        <v>26.48</v>
      </c>
      <c r="H442">
        <v>87.56</v>
      </c>
      <c r="I442">
        <v>22.67</v>
      </c>
      <c r="J442">
        <v>74.959999999999994</v>
      </c>
      <c r="K442">
        <v>1</v>
      </c>
      <c r="T442">
        <v>3</v>
      </c>
      <c r="U442">
        <v>2</v>
      </c>
      <c r="V442" t="s">
        <v>226</v>
      </c>
      <c r="W442">
        <v>87</v>
      </c>
      <c r="X442">
        <v>5</v>
      </c>
      <c r="Y442">
        <v>5</v>
      </c>
      <c r="Z442" t="s">
        <v>829</v>
      </c>
      <c r="AA442" t="s">
        <v>830</v>
      </c>
      <c r="AB442" t="s">
        <v>229</v>
      </c>
      <c r="AC442" t="s">
        <v>230</v>
      </c>
      <c r="AD442" t="s">
        <v>231</v>
      </c>
      <c r="AE442" t="s">
        <v>205</v>
      </c>
      <c r="AG442" t="s">
        <v>831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678</v>
      </c>
      <c r="B443">
        <v>105262</v>
      </c>
      <c r="C443">
        <v>1</v>
      </c>
      <c r="D443" t="s">
        <v>832</v>
      </c>
      <c r="E443" t="s">
        <v>405</v>
      </c>
      <c r="F443">
        <v>498</v>
      </c>
      <c r="G443">
        <v>10.6</v>
      </c>
      <c r="H443">
        <v>35.049999999999997</v>
      </c>
      <c r="I443">
        <v>6.86</v>
      </c>
      <c r="J443">
        <v>22.68</v>
      </c>
      <c r="K443">
        <v>456</v>
      </c>
      <c r="T443">
        <v>1</v>
      </c>
      <c r="U443">
        <v>1</v>
      </c>
      <c r="V443" t="s">
        <v>226</v>
      </c>
      <c r="W443">
        <v>35</v>
      </c>
      <c r="X443">
        <v>15</v>
      </c>
      <c r="Y443">
        <v>10</v>
      </c>
      <c r="Z443" t="s">
        <v>833</v>
      </c>
      <c r="AA443" t="s">
        <v>834</v>
      </c>
      <c r="AB443" t="s">
        <v>229</v>
      </c>
      <c r="AC443" t="s">
        <v>230</v>
      </c>
      <c r="AD443" t="s">
        <v>231</v>
      </c>
      <c r="AE443" t="s">
        <v>205</v>
      </c>
      <c r="AG443" t="s">
        <v>243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678</v>
      </c>
      <c r="B444">
        <v>105262</v>
      </c>
      <c r="C444">
        <v>2</v>
      </c>
      <c r="D444" t="s">
        <v>832</v>
      </c>
      <c r="E444" t="s">
        <v>405</v>
      </c>
      <c r="F444">
        <v>498</v>
      </c>
      <c r="G444">
        <v>24.36</v>
      </c>
      <c r="H444">
        <v>80.53</v>
      </c>
      <c r="I444">
        <v>15.76</v>
      </c>
      <c r="J444">
        <v>52.11</v>
      </c>
      <c r="K444">
        <v>42</v>
      </c>
      <c r="T444">
        <v>3</v>
      </c>
      <c r="U444">
        <v>2</v>
      </c>
      <c r="V444" t="s">
        <v>226</v>
      </c>
      <c r="W444">
        <v>80</v>
      </c>
      <c r="X444">
        <v>15</v>
      </c>
      <c r="Y444">
        <v>10</v>
      </c>
      <c r="Z444" t="s">
        <v>833</v>
      </c>
      <c r="AA444" t="s">
        <v>834</v>
      </c>
      <c r="AB444" t="s">
        <v>229</v>
      </c>
      <c r="AC444" t="s">
        <v>230</v>
      </c>
      <c r="AD444" t="s">
        <v>231</v>
      </c>
      <c r="AE444" t="s">
        <v>205</v>
      </c>
      <c r="AG444" t="s">
        <v>243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678</v>
      </c>
      <c r="B445">
        <v>7330</v>
      </c>
      <c r="C445">
        <v>1</v>
      </c>
      <c r="D445" t="s">
        <v>835</v>
      </c>
      <c r="E445" t="s">
        <v>836</v>
      </c>
      <c r="F445">
        <v>200</v>
      </c>
      <c r="G445">
        <v>18.350000000000001</v>
      </c>
      <c r="H445">
        <v>60.68</v>
      </c>
      <c r="I445">
        <v>14.64</v>
      </c>
      <c r="J445">
        <v>48.42</v>
      </c>
      <c r="K445">
        <v>5</v>
      </c>
      <c r="T445">
        <v>2</v>
      </c>
      <c r="U445">
        <v>1</v>
      </c>
      <c r="V445" t="s">
        <v>233</v>
      </c>
      <c r="W445">
        <v>60</v>
      </c>
      <c r="X445">
        <v>5</v>
      </c>
      <c r="Y445">
        <v>5</v>
      </c>
      <c r="Z445" t="s">
        <v>837</v>
      </c>
      <c r="AA445" t="s">
        <v>838</v>
      </c>
      <c r="AB445" t="s">
        <v>229</v>
      </c>
      <c r="AC445" t="s">
        <v>230</v>
      </c>
      <c r="AD445" t="s">
        <v>231</v>
      </c>
      <c r="AE445" t="s">
        <v>205</v>
      </c>
      <c r="AG445" t="s">
        <v>839</v>
      </c>
      <c r="AH445">
        <v>0</v>
      </c>
      <c r="AI445">
        <v>0</v>
      </c>
      <c r="AJ445">
        <v>0</v>
      </c>
      <c r="AK445">
        <v>160</v>
      </c>
      <c r="AL445">
        <v>0.8</v>
      </c>
    </row>
    <row r="446" spans="1:38" x14ac:dyDescent="0.3">
      <c r="A446" t="s">
        <v>678</v>
      </c>
      <c r="B446">
        <v>7330</v>
      </c>
      <c r="C446">
        <v>2</v>
      </c>
      <c r="D446" t="s">
        <v>835</v>
      </c>
      <c r="E446" t="s">
        <v>836</v>
      </c>
      <c r="F446">
        <v>200</v>
      </c>
      <c r="G446">
        <v>22.05</v>
      </c>
      <c r="H446">
        <v>72.91</v>
      </c>
      <c r="I446">
        <v>17.95</v>
      </c>
      <c r="J446">
        <v>59.37</v>
      </c>
      <c r="K446">
        <v>75</v>
      </c>
      <c r="T446">
        <v>3</v>
      </c>
      <c r="U446">
        <v>1</v>
      </c>
      <c r="V446" t="s">
        <v>233</v>
      </c>
      <c r="W446">
        <v>72</v>
      </c>
      <c r="X446">
        <v>5</v>
      </c>
      <c r="Y446">
        <v>5</v>
      </c>
      <c r="Z446" t="s">
        <v>837</v>
      </c>
      <c r="AA446" t="s">
        <v>838</v>
      </c>
      <c r="AB446" t="s">
        <v>229</v>
      </c>
      <c r="AC446" t="s">
        <v>230</v>
      </c>
      <c r="AD446" t="s">
        <v>231</v>
      </c>
      <c r="AE446" t="s">
        <v>205</v>
      </c>
      <c r="AG446" t="s">
        <v>839</v>
      </c>
      <c r="AH446">
        <v>0</v>
      </c>
      <c r="AI446">
        <v>0</v>
      </c>
      <c r="AJ446">
        <v>0</v>
      </c>
      <c r="AK446">
        <v>160</v>
      </c>
      <c r="AL446">
        <v>0.8</v>
      </c>
    </row>
    <row r="447" spans="1:38" x14ac:dyDescent="0.3">
      <c r="A447" t="s">
        <v>678</v>
      </c>
      <c r="B447">
        <v>7330</v>
      </c>
      <c r="C447">
        <v>3</v>
      </c>
      <c r="D447" t="s">
        <v>835</v>
      </c>
      <c r="E447" t="s">
        <v>836</v>
      </c>
      <c r="F447">
        <v>200</v>
      </c>
      <c r="G447">
        <v>30.82</v>
      </c>
      <c r="H447">
        <v>101.91</v>
      </c>
      <c r="I447">
        <v>25.67</v>
      </c>
      <c r="J447">
        <v>84.89</v>
      </c>
      <c r="K447">
        <v>120</v>
      </c>
      <c r="T447">
        <v>3</v>
      </c>
      <c r="U447">
        <v>2</v>
      </c>
      <c r="V447" t="s">
        <v>233</v>
      </c>
      <c r="W447">
        <v>101</v>
      </c>
      <c r="X447">
        <v>5</v>
      </c>
      <c r="Y447">
        <v>5</v>
      </c>
      <c r="Z447" t="s">
        <v>837</v>
      </c>
      <c r="AA447" t="s">
        <v>838</v>
      </c>
      <c r="AB447" t="s">
        <v>229</v>
      </c>
      <c r="AC447" t="s">
        <v>230</v>
      </c>
      <c r="AD447" t="s">
        <v>231</v>
      </c>
      <c r="AE447" t="s">
        <v>205</v>
      </c>
      <c r="AG447" t="s">
        <v>839</v>
      </c>
      <c r="AH447">
        <v>0</v>
      </c>
      <c r="AI447">
        <v>0</v>
      </c>
      <c r="AJ447">
        <v>0</v>
      </c>
      <c r="AK447">
        <v>160</v>
      </c>
      <c r="AL447">
        <v>0.8</v>
      </c>
    </row>
    <row r="448" spans="1:38" x14ac:dyDescent="0.3">
      <c r="A448" t="s">
        <v>678</v>
      </c>
      <c r="B448">
        <v>120407</v>
      </c>
      <c r="C448">
        <v>1</v>
      </c>
      <c r="D448" t="s">
        <v>840</v>
      </c>
      <c r="E448" t="s">
        <v>421</v>
      </c>
      <c r="F448">
        <v>86</v>
      </c>
      <c r="G448">
        <v>11.69</v>
      </c>
      <c r="H448">
        <v>38.67</v>
      </c>
      <c r="I448">
        <v>9</v>
      </c>
      <c r="J448">
        <v>29.76</v>
      </c>
      <c r="K448">
        <v>86</v>
      </c>
      <c r="T448">
        <v>2</v>
      </c>
      <c r="U448">
        <v>1</v>
      </c>
      <c r="V448" t="s">
        <v>233</v>
      </c>
      <c r="W448">
        <v>38</v>
      </c>
      <c r="X448">
        <v>6</v>
      </c>
      <c r="Y448">
        <v>5</v>
      </c>
      <c r="Z448" t="s">
        <v>841</v>
      </c>
      <c r="AA448" t="s">
        <v>842</v>
      </c>
      <c r="AB448" t="s">
        <v>229</v>
      </c>
      <c r="AC448" t="s">
        <v>230</v>
      </c>
      <c r="AD448" t="s">
        <v>231</v>
      </c>
      <c r="AE448" t="s">
        <v>205</v>
      </c>
      <c r="AG448" t="s">
        <v>843</v>
      </c>
      <c r="AH448">
        <v>0</v>
      </c>
      <c r="AI448">
        <v>211</v>
      </c>
      <c r="AJ448">
        <v>38</v>
      </c>
      <c r="AK448">
        <v>46</v>
      </c>
      <c r="AL448">
        <v>0.53</v>
      </c>
    </row>
    <row r="449" spans="1:38" x14ac:dyDescent="0.3">
      <c r="A449" t="s">
        <v>678</v>
      </c>
      <c r="B449">
        <v>13149</v>
      </c>
      <c r="C449">
        <v>1</v>
      </c>
      <c r="D449" t="s">
        <v>844</v>
      </c>
      <c r="E449" t="s">
        <v>845</v>
      </c>
      <c r="F449">
        <v>350</v>
      </c>
      <c r="G449">
        <v>17.75</v>
      </c>
      <c r="H449">
        <v>58.7</v>
      </c>
      <c r="I449">
        <v>15</v>
      </c>
      <c r="J449">
        <v>49.61</v>
      </c>
      <c r="K449">
        <v>200</v>
      </c>
      <c r="T449">
        <v>2</v>
      </c>
      <c r="U449">
        <v>1</v>
      </c>
      <c r="V449" t="s">
        <v>233</v>
      </c>
      <c r="W449">
        <v>58</v>
      </c>
      <c r="X449">
        <v>5</v>
      </c>
      <c r="Y449">
        <v>5</v>
      </c>
      <c r="Z449" t="s">
        <v>846</v>
      </c>
      <c r="AA449" t="s">
        <v>847</v>
      </c>
      <c r="AB449" t="s">
        <v>229</v>
      </c>
      <c r="AC449" t="s">
        <v>230</v>
      </c>
      <c r="AD449" t="s">
        <v>231</v>
      </c>
      <c r="AE449" t="s">
        <v>205</v>
      </c>
      <c r="AG449" t="s">
        <v>848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678</v>
      </c>
      <c r="B450">
        <v>13149</v>
      </c>
      <c r="C450">
        <v>2</v>
      </c>
      <c r="D450" t="s">
        <v>844</v>
      </c>
      <c r="E450" t="s">
        <v>845</v>
      </c>
      <c r="F450">
        <v>350</v>
      </c>
      <c r="G450">
        <v>19.64</v>
      </c>
      <c r="H450">
        <v>64.94</v>
      </c>
      <c r="I450">
        <v>15</v>
      </c>
      <c r="J450">
        <v>49.61</v>
      </c>
      <c r="K450">
        <v>10</v>
      </c>
      <c r="T450">
        <v>3</v>
      </c>
      <c r="U450">
        <v>2</v>
      </c>
      <c r="V450" t="s">
        <v>233</v>
      </c>
      <c r="W450">
        <v>64</v>
      </c>
      <c r="X450">
        <v>5</v>
      </c>
      <c r="Y450">
        <v>5</v>
      </c>
      <c r="Z450" t="s">
        <v>846</v>
      </c>
      <c r="AA450" t="s">
        <v>847</v>
      </c>
      <c r="AB450" t="s">
        <v>229</v>
      </c>
      <c r="AC450" t="s">
        <v>230</v>
      </c>
      <c r="AD450" t="s">
        <v>231</v>
      </c>
      <c r="AE450" t="s">
        <v>205</v>
      </c>
      <c r="AG450" t="s">
        <v>848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678</v>
      </c>
      <c r="B451">
        <v>13149</v>
      </c>
      <c r="C451">
        <v>3</v>
      </c>
      <c r="D451" t="s">
        <v>844</v>
      </c>
      <c r="E451" t="s">
        <v>845</v>
      </c>
      <c r="F451">
        <v>350</v>
      </c>
      <c r="G451">
        <v>20.78</v>
      </c>
      <c r="H451">
        <v>68.7</v>
      </c>
      <c r="I451">
        <v>18.03</v>
      </c>
      <c r="J451">
        <v>59.61</v>
      </c>
      <c r="K451">
        <v>5</v>
      </c>
      <c r="T451">
        <v>3</v>
      </c>
      <c r="U451">
        <v>1</v>
      </c>
      <c r="V451" t="s">
        <v>233</v>
      </c>
      <c r="W451" t="s">
        <v>155</v>
      </c>
      <c r="X451">
        <v>5</v>
      </c>
      <c r="Y451">
        <v>5</v>
      </c>
      <c r="Z451" t="s">
        <v>846</v>
      </c>
      <c r="AA451" t="s">
        <v>847</v>
      </c>
      <c r="AB451" t="s">
        <v>229</v>
      </c>
      <c r="AC451" t="s">
        <v>230</v>
      </c>
      <c r="AD451" t="s">
        <v>231</v>
      </c>
      <c r="AE451" t="s">
        <v>205</v>
      </c>
      <c r="AG451" t="s">
        <v>848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678</v>
      </c>
      <c r="B452">
        <v>13149</v>
      </c>
      <c r="C452">
        <v>4</v>
      </c>
      <c r="D452" t="s">
        <v>844</v>
      </c>
      <c r="E452" t="s">
        <v>845</v>
      </c>
      <c r="F452">
        <v>350</v>
      </c>
      <c r="G452">
        <v>20.78</v>
      </c>
      <c r="H452">
        <v>68.72</v>
      </c>
      <c r="I452">
        <v>18.03</v>
      </c>
      <c r="J452">
        <v>59.63</v>
      </c>
      <c r="K452">
        <v>5</v>
      </c>
      <c r="T452">
        <v>3</v>
      </c>
      <c r="U452">
        <v>1</v>
      </c>
      <c r="V452" t="s">
        <v>233</v>
      </c>
      <c r="W452" t="s">
        <v>156</v>
      </c>
      <c r="X452">
        <v>5</v>
      </c>
      <c r="Y452">
        <v>5</v>
      </c>
      <c r="Z452" t="s">
        <v>846</v>
      </c>
      <c r="AA452" t="s">
        <v>847</v>
      </c>
      <c r="AB452" t="s">
        <v>229</v>
      </c>
      <c r="AC452" t="s">
        <v>230</v>
      </c>
      <c r="AD452" t="s">
        <v>231</v>
      </c>
      <c r="AE452" t="s">
        <v>205</v>
      </c>
      <c r="AG452" t="s">
        <v>848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678</v>
      </c>
      <c r="B453">
        <v>13149</v>
      </c>
      <c r="C453">
        <v>5</v>
      </c>
      <c r="D453" t="s">
        <v>844</v>
      </c>
      <c r="E453" t="s">
        <v>845</v>
      </c>
      <c r="F453">
        <v>350</v>
      </c>
      <c r="G453">
        <v>20.87</v>
      </c>
      <c r="H453">
        <v>69</v>
      </c>
      <c r="I453">
        <v>18.12</v>
      </c>
      <c r="J453">
        <v>59.91</v>
      </c>
      <c r="K453">
        <v>130</v>
      </c>
      <c r="T453">
        <v>3</v>
      </c>
      <c r="U453">
        <v>1</v>
      </c>
      <c r="V453" t="s">
        <v>233</v>
      </c>
      <c r="W453">
        <v>69</v>
      </c>
      <c r="X453">
        <v>5</v>
      </c>
      <c r="Y453">
        <v>5</v>
      </c>
      <c r="Z453" t="s">
        <v>846</v>
      </c>
      <c r="AA453" t="s">
        <v>847</v>
      </c>
      <c r="AB453" t="s">
        <v>229</v>
      </c>
      <c r="AC453" t="s">
        <v>230</v>
      </c>
      <c r="AD453" t="s">
        <v>231</v>
      </c>
      <c r="AE453" t="s">
        <v>205</v>
      </c>
      <c r="AG453" t="s">
        <v>848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678</v>
      </c>
      <c r="B454">
        <v>7335</v>
      </c>
      <c r="C454">
        <v>1</v>
      </c>
      <c r="D454" t="s">
        <v>849</v>
      </c>
      <c r="E454" t="s">
        <v>850</v>
      </c>
      <c r="F454">
        <v>526</v>
      </c>
      <c r="G454">
        <v>23.06</v>
      </c>
      <c r="H454">
        <v>76.260000000000005</v>
      </c>
      <c r="I454">
        <v>18.14</v>
      </c>
      <c r="J454">
        <v>59.98</v>
      </c>
      <c r="K454">
        <v>380</v>
      </c>
      <c r="T454">
        <v>3</v>
      </c>
      <c r="U454">
        <v>2</v>
      </c>
      <c r="V454" t="s">
        <v>233</v>
      </c>
      <c r="W454">
        <v>76</v>
      </c>
      <c r="X454">
        <v>15</v>
      </c>
      <c r="Y454">
        <v>10</v>
      </c>
      <c r="Z454" t="s">
        <v>851</v>
      </c>
      <c r="AA454" t="s">
        <v>852</v>
      </c>
      <c r="AB454" t="s">
        <v>229</v>
      </c>
      <c r="AC454" t="s">
        <v>230</v>
      </c>
      <c r="AD454" t="s">
        <v>231</v>
      </c>
      <c r="AE454" t="s">
        <v>205</v>
      </c>
      <c r="AG454" t="s">
        <v>853</v>
      </c>
      <c r="AH454">
        <v>0</v>
      </c>
      <c r="AI454">
        <v>212</v>
      </c>
      <c r="AJ454">
        <v>24</v>
      </c>
      <c r="AK454">
        <v>0</v>
      </c>
      <c r="AL454">
        <v>0</v>
      </c>
    </row>
    <row r="455" spans="1:38" x14ac:dyDescent="0.3">
      <c r="A455" t="s">
        <v>678</v>
      </c>
      <c r="B455">
        <v>7335</v>
      </c>
      <c r="C455">
        <v>2</v>
      </c>
      <c r="D455" t="s">
        <v>849</v>
      </c>
      <c r="E455" t="s">
        <v>850</v>
      </c>
      <c r="F455">
        <v>526</v>
      </c>
      <c r="G455">
        <v>24.69</v>
      </c>
      <c r="H455">
        <v>81.62</v>
      </c>
      <c r="I455">
        <v>18.14</v>
      </c>
      <c r="J455">
        <v>59.99</v>
      </c>
      <c r="K455">
        <v>146</v>
      </c>
      <c r="T455">
        <v>3</v>
      </c>
      <c r="U455">
        <v>2</v>
      </c>
      <c r="V455" t="s">
        <v>233</v>
      </c>
      <c r="W455">
        <v>81</v>
      </c>
      <c r="X455">
        <v>15</v>
      </c>
      <c r="Y455">
        <v>10</v>
      </c>
      <c r="Z455" t="s">
        <v>851</v>
      </c>
      <c r="AA455" t="s">
        <v>852</v>
      </c>
      <c r="AB455" t="s">
        <v>229</v>
      </c>
      <c r="AC455" t="s">
        <v>230</v>
      </c>
      <c r="AD455" t="s">
        <v>231</v>
      </c>
      <c r="AE455" t="s">
        <v>205</v>
      </c>
      <c r="AG455" t="s">
        <v>853</v>
      </c>
      <c r="AH455">
        <v>0</v>
      </c>
      <c r="AI455">
        <v>212</v>
      </c>
      <c r="AJ455">
        <v>24</v>
      </c>
      <c r="AK455">
        <v>0</v>
      </c>
      <c r="AL455">
        <v>0</v>
      </c>
    </row>
    <row r="456" spans="1:38" x14ac:dyDescent="0.3">
      <c r="A456" t="s">
        <v>678</v>
      </c>
      <c r="B456">
        <v>7343</v>
      </c>
      <c r="C456">
        <v>1</v>
      </c>
      <c r="D456" t="s">
        <v>854</v>
      </c>
      <c r="E456" t="s">
        <v>855</v>
      </c>
      <c r="F456">
        <v>100</v>
      </c>
      <c r="G456">
        <v>24.65</v>
      </c>
      <c r="H456">
        <v>81.5</v>
      </c>
      <c r="I456">
        <v>21.35</v>
      </c>
      <c r="J456">
        <v>70.61</v>
      </c>
      <c r="K456">
        <v>100</v>
      </c>
      <c r="T456">
        <v>3</v>
      </c>
      <c r="U456">
        <v>1</v>
      </c>
      <c r="V456" t="s">
        <v>233</v>
      </c>
      <c r="W456">
        <v>81</v>
      </c>
      <c r="X456">
        <v>5</v>
      </c>
      <c r="Y456">
        <v>5</v>
      </c>
      <c r="Z456" t="s">
        <v>856</v>
      </c>
      <c r="AA456" t="s">
        <v>857</v>
      </c>
      <c r="AB456" t="s">
        <v>229</v>
      </c>
      <c r="AC456" t="s">
        <v>230</v>
      </c>
      <c r="AD456" t="s">
        <v>231</v>
      </c>
      <c r="AE456" t="s">
        <v>205</v>
      </c>
      <c r="AG456" t="s">
        <v>858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678</v>
      </c>
      <c r="B457">
        <v>114466</v>
      </c>
      <c r="C457">
        <v>1</v>
      </c>
      <c r="D457" t="s">
        <v>859</v>
      </c>
      <c r="E457" t="s">
        <v>860</v>
      </c>
      <c r="F457">
        <v>299</v>
      </c>
      <c r="G457">
        <v>9.5500000000000007</v>
      </c>
      <c r="H457">
        <v>31.59</v>
      </c>
      <c r="I457">
        <v>6.93</v>
      </c>
      <c r="J457">
        <v>22.91</v>
      </c>
      <c r="K457">
        <v>20</v>
      </c>
      <c r="T457">
        <v>1</v>
      </c>
      <c r="U457">
        <v>1</v>
      </c>
      <c r="V457" t="s">
        <v>233</v>
      </c>
      <c r="W457" t="s">
        <v>568</v>
      </c>
      <c r="X457">
        <v>22</v>
      </c>
      <c r="Y457">
        <v>21</v>
      </c>
      <c r="Z457" t="s">
        <v>861</v>
      </c>
      <c r="AA457" t="s">
        <v>862</v>
      </c>
      <c r="AB457" t="s">
        <v>229</v>
      </c>
      <c r="AC457" t="s">
        <v>230</v>
      </c>
      <c r="AD457" t="s">
        <v>231</v>
      </c>
      <c r="AE457" t="s">
        <v>205</v>
      </c>
      <c r="AG457" t="s">
        <v>863</v>
      </c>
      <c r="AH457">
        <v>0</v>
      </c>
      <c r="AI457">
        <v>980</v>
      </c>
      <c r="AJ457">
        <v>79</v>
      </c>
      <c r="AK457">
        <v>204</v>
      </c>
      <c r="AL457">
        <v>0.68</v>
      </c>
    </row>
    <row r="458" spans="1:38" x14ac:dyDescent="0.3">
      <c r="A458" t="s">
        <v>678</v>
      </c>
      <c r="B458">
        <v>114466</v>
      </c>
      <c r="C458">
        <v>2</v>
      </c>
      <c r="D458" t="s">
        <v>859</v>
      </c>
      <c r="E458" t="s">
        <v>860</v>
      </c>
      <c r="F458">
        <v>299</v>
      </c>
      <c r="G458">
        <v>9.51</v>
      </c>
      <c r="H458">
        <v>31.46</v>
      </c>
      <c r="I458">
        <v>6.9</v>
      </c>
      <c r="J458">
        <v>22.82</v>
      </c>
      <c r="K458">
        <v>19</v>
      </c>
      <c r="T458">
        <v>1</v>
      </c>
      <c r="U458">
        <v>1</v>
      </c>
      <c r="V458" t="s">
        <v>233</v>
      </c>
      <c r="W458" t="s">
        <v>864</v>
      </c>
      <c r="X458">
        <v>22</v>
      </c>
      <c r="Y458">
        <v>21</v>
      </c>
      <c r="Z458" t="s">
        <v>861</v>
      </c>
      <c r="AA458" t="s">
        <v>862</v>
      </c>
      <c r="AB458" t="s">
        <v>229</v>
      </c>
      <c r="AC458" t="s">
        <v>230</v>
      </c>
      <c r="AD458" t="s">
        <v>231</v>
      </c>
      <c r="AE458" t="s">
        <v>205</v>
      </c>
      <c r="AG458" t="s">
        <v>863</v>
      </c>
      <c r="AH458">
        <v>0</v>
      </c>
      <c r="AI458">
        <v>980</v>
      </c>
      <c r="AJ458">
        <v>79</v>
      </c>
      <c r="AK458">
        <v>204</v>
      </c>
      <c r="AL458">
        <v>0.68</v>
      </c>
    </row>
    <row r="459" spans="1:38" x14ac:dyDescent="0.3">
      <c r="A459" t="s">
        <v>678</v>
      </c>
      <c r="B459">
        <v>114466</v>
      </c>
      <c r="C459">
        <v>3</v>
      </c>
      <c r="D459" t="s">
        <v>859</v>
      </c>
      <c r="E459" t="s">
        <v>860</v>
      </c>
      <c r="F459">
        <v>299</v>
      </c>
      <c r="G459">
        <v>9.5500000000000007</v>
      </c>
      <c r="H459">
        <v>31.59</v>
      </c>
      <c r="I459">
        <v>6.93</v>
      </c>
      <c r="J459">
        <v>22.91</v>
      </c>
      <c r="K459">
        <v>19</v>
      </c>
      <c r="T459">
        <v>1</v>
      </c>
      <c r="U459">
        <v>1</v>
      </c>
      <c r="V459" t="s">
        <v>233</v>
      </c>
      <c r="W459" t="s">
        <v>865</v>
      </c>
      <c r="X459">
        <v>22</v>
      </c>
      <c r="Y459">
        <v>21</v>
      </c>
      <c r="Z459" t="s">
        <v>861</v>
      </c>
      <c r="AA459" t="s">
        <v>862</v>
      </c>
      <c r="AB459" t="s">
        <v>229</v>
      </c>
      <c r="AC459" t="s">
        <v>230</v>
      </c>
      <c r="AD459" t="s">
        <v>231</v>
      </c>
      <c r="AE459" t="s">
        <v>205</v>
      </c>
      <c r="AG459" t="s">
        <v>863</v>
      </c>
      <c r="AH459">
        <v>0</v>
      </c>
      <c r="AI459">
        <v>980</v>
      </c>
      <c r="AJ459">
        <v>79</v>
      </c>
      <c r="AK459">
        <v>204</v>
      </c>
      <c r="AL459">
        <v>0.68</v>
      </c>
    </row>
    <row r="460" spans="1:38" x14ac:dyDescent="0.3">
      <c r="A460" t="s">
        <v>678</v>
      </c>
      <c r="B460">
        <v>114466</v>
      </c>
      <c r="C460">
        <v>4</v>
      </c>
      <c r="D460" t="s">
        <v>859</v>
      </c>
      <c r="E460" t="s">
        <v>860</v>
      </c>
      <c r="F460">
        <v>299</v>
      </c>
      <c r="G460">
        <v>12.09</v>
      </c>
      <c r="H460">
        <v>39.97</v>
      </c>
      <c r="I460">
        <v>8.76</v>
      </c>
      <c r="J460">
        <v>28.98</v>
      </c>
      <c r="K460">
        <v>1</v>
      </c>
      <c r="T460">
        <v>1</v>
      </c>
      <c r="U460">
        <v>1</v>
      </c>
      <c r="V460" t="s">
        <v>233</v>
      </c>
      <c r="W460" t="s">
        <v>866</v>
      </c>
      <c r="X460">
        <v>22</v>
      </c>
      <c r="Y460">
        <v>21</v>
      </c>
      <c r="Z460" t="s">
        <v>861</v>
      </c>
      <c r="AA460" t="s">
        <v>862</v>
      </c>
      <c r="AB460" t="s">
        <v>229</v>
      </c>
      <c r="AC460" t="s">
        <v>230</v>
      </c>
      <c r="AD460" t="s">
        <v>231</v>
      </c>
      <c r="AE460" t="s">
        <v>205</v>
      </c>
      <c r="AG460" t="s">
        <v>863</v>
      </c>
      <c r="AH460">
        <v>0</v>
      </c>
      <c r="AI460">
        <v>980</v>
      </c>
      <c r="AJ460">
        <v>79</v>
      </c>
      <c r="AK460">
        <v>204</v>
      </c>
      <c r="AL460">
        <v>0.68</v>
      </c>
    </row>
    <row r="461" spans="1:38" x14ac:dyDescent="0.3">
      <c r="A461" t="s">
        <v>678</v>
      </c>
      <c r="B461">
        <v>114466</v>
      </c>
      <c r="C461">
        <v>5</v>
      </c>
      <c r="D461" t="s">
        <v>859</v>
      </c>
      <c r="E461" t="s">
        <v>860</v>
      </c>
      <c r="F461">
        <v>299</v>
      </c>
      <c r="G461">
        <v>12.11</v>
      </c>
      <c r="H461">
        <v>40.049999999999997</v>
      </c>
      <c r="I461">
        <v>8.7799999999999994</v>
      </c>
      <c r="J461">
        <v>29.04</v>
      </c>
      <c r="K461">
        <v>1</v>
      </c>
      <c r="T461">
        <v>1</v>
      </c>
      <c r="U461">
        <v>1</v>
      </c>
      <c r="V461" t="s">
        <v>233</v>
      </c>
      <c r="W461" t="s">
        <v>569</v>
      </c>
      <c r="X461">
        <v>22</v>
      </c>
      <c r="Y461">
        <v>21</v>
      </c>
      <c r="Z461" t="s">
        <v>861</v>
      </c>
      <c r="AA461" t="s">
        <v>862</v>
      </c>
      <c r="AB461" t="s">
        <v>229</v>
      </c>
      <c r="AC461" t="s">
        <v>230</v>
      </c>
      <c r="AD461" t="s">
        <v>231</v>
      </c>
      <c r="AE461" t="s">
        <v>205</v>
      </c>
      <c r="AG461" t="s">
        <v>863</v>
      </c>
      <c r="AH461">
        <v>0</v>
      </c>
      <c r="AI461">
        <v>980</v>
      </c>
      <c r="AJ461">
        <v>79</v>
      </c>
      <c r="AK461">
        <v>204</v>
      </c>
      <c r="AL461">
        <v>0.68</v>
      </c>
    </row>
    <row r="462" spans="1:38" x14ac:dyDescent="0.3">
      <c r="A462" t="s">
        <v>678</v>
      </c>
      <c r="B462">
        <v>114466</v>
      </c>
      <c r="C462">
        <v>6</v>
      </c>
      <c r="D462" t="s">
        <v>859</v>
      </c>
      <c r="E462" t="s">
        <v>860</v>
      </c>
      <c r="F462">
        <v>299</v>
      </c>
      <c r="G462">
        <v>19.190000000000001</v>
      </c>
      <c r="H462">
        <v>63.44</v>
      </c>
      <c r="I462">
        <v>13.91</v>
      </c>
      <c r="J462">
        <v>46.01</v>
      </c>
      <c r="K462">
        <v>1</v>
      </c>
      <c r="T462">
        <v>1</v>
      </c>
      <c r="U462">
        <v>1</v>
      </c>
      <c r="V462" t="s">
        <v>233</v>
      </c>
      <c r="W462" t="s">
        <v>867</v>
      </c>
      <c r="X462">
        <v>22</v>
      </c>
      <c r="Y462">
        <v>21</v>
      </c>
      <c r="Z462" t="s">
        <v>861</v>
      </c>
      <c r="AA462" t="s">
        <v>862</v>
      </c>
      <c r="AB462" t="s">
        <v>229</v>
      </c>
      <c r="AC462" t="s">
        <v>230</v>
      </c>
      <c r="AD462" t="s">
        <v>231</v>
      </c>
      <c r="AE462" t="s">
        <v>205</v>
      </c>
      <c r="AG462" t="s">
        <v>863</v>
      </c>
      <c r="AH462">
        <v>0</v>
      </c>
      <c r="AI462">
        <v>980</v>
      </c>
      <c r="AJ462">
        <v>79</v>
      </c>
      <c r="AK462">
        <v>204</v>
      </c>
      <c r="AL462">
        <v>0.68</v>
      </c>
    </row>
    <row r="463" spans="1:38" x14ac:dyDescent="0.3">
      <c r="A463" t="s">
        <v>678</v>
      </c>
      <c r="B463">
        <v>114466</v>
      </c>
      <c r="C463">
        <v>7</v>
      </c>
      <c r="D463" t="s">
        <v>859</v>
      </c>
      <c r="E463" t="s">
        <v>860</v>
      </c>
      <c r="F463">
        <v>299</v>
      </c>
      <c r="G463">
        <v>19.649999999999999</v>
      </c>
      <c r="H463">
        <v>64.97</v>
      </c>
      <c r="I463">
        <v>14.25</v>
      </c>
      <c r="J463">
        <v>47.12</v>
      </c>
      <c r="K463">
        <v>20</v>
      </c>
      <c r="T463">
        <v>2</v>
      </c>
      <c r="U463">
        <v>1</v>
      </c>
      <c r="V463" t="s">
        <v>233</v>
      </c>
      <c r="W463" t="s">
        <v>868</v>
      </c>
      <c r="X463">
        <v>22</v>
      </c>
      <c r="Y463">
        <v>21</v>
      </c>
      <c r="Z463" t="s">
        <v>861</v>
      </c>
      <c r="AA463" t="s">
        <v>862</v>
      </c>
      <c r="AB463" t="s">
        <v>229</v>
      </c>
      <c r="AC463" t="s">
        <v>230</v>
      </c>
      <c r="AD463" t="s">
        <v>231</v>
      </c>
      <c r="AE463" t="s">
        <v>205</v>
      </c>
      <c r="AG463" t="s">
        <v>863</v>
      </c>
      <c r="AH463">
        <v>0</v>
      </c>
      <c r="AI463">
        <v>980</v>
      </c>
      <c r="AJ463">
        <v>79</v>
      </c>
      <c r="AK463">
        <v>204</v>
      </c>
      <c r="AL463">
        <v>0.68</v>
      </c>
    </row>
    <row r="464" spans="1:38" x14ac:dyDescent="0.3">
      <c r="A464" t="s">
        <v>678</v>
      </c>
      <c r="B464">
        <v>114466</v>
      </c>
      <c r="C464">
        <v>8</v>
      </c>
      <c r="D464" t="s">
        <v>859</v>
      </c>
      <c r="E464" t="s">
        <v>860</v>
      </c>
      <c r="F464">
        <v>299</v>
      </c>
      <c r="G464">
        <v>19.649999999999999</v>
      </c>
      <c r="H464">
        <v>64.97</v>
      </c>
      <c r="I464">
        <v>14.25</v>
      </c>
      <c r="J464">
        <v>47.12</v>
      </c>
      <c r="K464">
        <v>19</v>
      </c>
      <c r="T464">
        <v>2</v>
      </c>
      <c r="U464">
        <v>1</v>
      </c>
      <c r="V464" t="s">
        <v>233</v>
      </c>
      <c r="W464" t="s">
        <v>869</v>
      </c>
      <c r="X464">
        <v>22</v>
      </c>
      <c r="Y464">
        <v>21</v>
      </c>
      <c r="Z464" t="s">
        <v>861</v>
      </c>
      <c r="AA464" t="s">
        <v>862</v>
      </c>
      <c r="AB464" t="s">
        <v>229</v>
      </c>
      <c r="AC464" t="s">
        <v>230</v>
      </c>
      <c r="AD464" t="s">
        <v>231</v>
      </c>
      <c r="AE464" t="s">
        <v>205</v>
      </c>
      <c r="AG464" t="s">
        <v>863</v>
      </c>
      <c r="AH464">
        <v>0</v>
      </c>
      <c r="AI464">
        <v>980</v>
      </c>
      <c r="AJ464">
        <v>79</v>
      </c>
      <c r="AK464">
        <v>204</v>
      </c>
      <c r="AL464">
        <v>0.68</v>
      </c>
    </row>
    <row r="465" spans="1:38" x14ac:dyDescent="0.3">
      <c r="A465" t="s">
        <v>678</v>
      </c>
      <c r="B465">
        <v>114466</v>
      </c>
      <c r="C465">
        <v>9</v>
      </c>
      <c r="D465" t="s">
        <v>859</v>
      </c>
      <c r="E465" t="s">
        <v>860</v>
      </c>
      <c r="F465">
        <v>299</v>
      </c>
      <c r="G465">
        <v>19.690000000000001</v>
      </c>
      <c r="H465">
        <v>65.099999999999994</v>
      </c>
      <c r="I465">
        <v>14.28</v>
      </c>
      <c r="J465">
        <v>47.21</v>
      </c>
      <c r="K465">
        <v>159</v>
      </c>
      <c r="T465">
        <v>2</v>
      </c>
      <c r="U465">
        <v>1</v>
      </c>
      <c r="V465" t="s">
        <v>233</v>
      </c>
      <c r="W465" t="s">
        <v>667</v>
      </c>
      <c r="X465">
        <v>22</v>
      </c>
      <c r="Y465">
        <v>21</v>
      </c>
      <c r="Z465" t="s">
        <v>861</v>
      </c>
      <c r="AA465" t="s">
        <v>862</v>
      </c>
      <c r="AB465" t="s">
        <v>229</v>
      </c>
      <c r="AC465" t="s">
        <v>230</v>
      </c>
      <c r="AD465" t="s">
        <v>231</v>
      </c>
      <c r="AE465" t="s">
        <v>205</v>
      </c>
      <c r="AG465" t="s">
        <v>863</v>
      </c>
      <c r="AH465">
        <v>0</v>
      </c>
      <c r="AI465">
        <v>980</v>
      </c>
      <c r="AJ465">
        <v>79</v>
      </c>
      <c r="AK465">
        <v>204</v>
      </c>
      <c r="AL465">
        <v>0.68</v>
      </c>
    </row>
    <row r="466" spans="1:38" x14ac:dyDescent="0.3">
      <c r="A466" t="s">
        <v>678</v>
      </c>
      <c r="B466">
        <v>114466</v>
      </c>
      <c r="C466">
        <v>10</v>
      </c>
      <c r="D466" t="s">
        <v>859</v>
      </c>
      <c r="E466" t="s">
        <v>860</v>
      </c>
      <c r="F466">
        <v>299</v>
      </c>
      <c r="G466">
        <v>19.690000000000001</v>
      </c>
      <c r="H466">
        <v>65.099999999999994</v>
      </c>
      <c r="I466">
        <v>14.28</v>
      </c>
      <c r="J466">
        <v>47.21</v>
      </c>
      <c r="K466">
        <v>40</v>
      </c>
      <c r="T466">
        <v>2</v>
      </c>
      <c r="U466">
        <v>1</v>
      </c>
      <c r="V466" t="s">
        <v>233</v>
      </c>
      <c r="W466" t="s">
        <v>870</v>
      </c>
      <c r="X466">
        <v>22</v>
      </c>
      <c r="Y466">
        <v>21</v>
      </c>
      <c r="Z466" t="s">
        <v>861</v>
      </c>
      <c r="AA466" t="s">
        <v>862</v>
      </c>
      <c r="AB466" t="s">
        <v>229</v>
      </c>
      <c r="AC466" t="s">
        <v>230</v>
      </c>
      <c r="AD466" t="s">
        <v>231</v>
      </c>
      <c r="AE466" t="s">
        <v>205</v>
      </c>
      <c r="AG466" t="s">
        <v>863</v>
      </c>
      <c r="AH466">
        <v>0</v>
      </c>
      <c r="AI466">
        <v>980</v>
      </c>
      <c r="AJ466">
        <v>79</v>
      </c>
      <c r="AK466">
        <v>204</v>
      </c>
      <c r="AL466">
        <v>0.68</v>
      </c>
    </row>
    <row r="467" spans="1:38" x14ac:dyDescent="0.3">
      <c r="A467" t="s">
        <v>678</v>
      </c>
      <c r="B467">
        <v>122998</v>
      </c>
      <c r="C467">
        <v>1</v>
      </c>
      <c r="D467" t="s">
        <v>871</v>
      </c>
      <c r="E467" t="s">
        <v>872</v>
      </c>
      <c r="F467">
        <v>24</v>
      </c>
      <c r="G467">
        <v>30.9</v>
      </c>
      <c r="H467">
        <v>102.16</v>
      </c>
      <c r="I467">
        <v>24.85</v>
      </c>
      <c r="J467">
        <v>82.17</v>
      </c>
      <c r="K467">
        <v>24</v>
      </c>
      <c r="T467">
        <v>3</v>
      </c>
      <c r="U467">
        <v>2</v>
      </c>
      <c r="V467" t="s">
        <v>233</v>
      </c>
      <c r="W467">
        <v>102</v>
      </c>
      <c r="X467">
        <v>6</v>
      </c>
      <c r="Y467">
        <v>6</v>
      </c>
      <c r="Z467" t="s">
        <v>873</v>
      </c>
      <c r="AA467" t="s">
        <v>874</v>
      </c>
      <c r="AB467" t="s">
        <v>229</v>
      </c>
      <c r="AC467" t="s">
        <v>230</v>
      </c>
      <c r="AD467" t="s">
        <v>231</v>
      </c>
      <c r="AE467" t="s">
        <v>205</v>
      </c>
      <c r="AG467" t="s">
        <v>875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 x14ac:dyDescent="0.3">
      <c r="A468" t="s">
        <v>678</v>
      </c>
      <c r="B468">
        <v>13560</v>
      </c>
      <c r="C468">
        <v>1</v>
      </c>
      <c r="D468" t="s">
        <v>876</v>
      </c>
      <c r="E468" t="s">
        <v>877</v>
      </c>
      <c r="F468">
        <v>539</v>
      </c>
      <c r="G468">
        <v>31.22</v>
      </c>
      <c r="H468">
        <v>103.21</v>
      </c>
      <c r="I468">
        <v>24</v>
      </c>
      <c r="J468">
        <v>79.37</v>
      </c>
      <c r="K468">
        <v>202</v>
      </c>
      <c r="T468">
        <v>3</v>
      </c>
      <c r="U468">
        <v>2</v>
      </c>
      <c r="V468" t="s">
        <v>233</v>
      </c>
      <c r="W468">
        <v>103</v>
      </c>
      <c r="X468">
        <v>15</v>
      </c>
      <c r="Y468">
        <v>10</v>
      </c>
      <c r="Z468" t="s">
        <v>878</v>
      </c>
      <c r="AA468" t="s">
        <v>879</v>
      </c>
      <c r="AB468" t="s">
        <v>229</v>
      </c>
      <c r="AC468" t="s">
        <v>230</v>
      </c>
      <c r="AD468" t="s">
        <v>231</v>
      </c>
      <c r="AE468" t="s">
        <v>205</v>
      </c>
      <c r="AG468" t="s">
        <v>880</v>
      </c>
      <c r="AH468">
        <v>0</v>
      </c>
      <c r="AI468">
        <v>215</v>
      </c>
      <c r="AJ468">
        <v>20</v>
      </c>
      <c r="AK468">
        <v>547</v>
      </c>
      <c r="AL468">
        <v>1.01</v>
      </c>
    </row>
    <row r="469" spans="1:38" x14ac:dyDescent="0.3">
      <c r="A469" t="s">
        <v>678</v>
      </c>
      <c r="B469">
        <v>13560</v>
      </c>
      <c r="C469">
        <v>2</v>
      </c>
      <c r="D469" t="s">
        <v>876</v>
      </c>
      <c r="E469" t="s">
        <v>877</v>
      </c>
      <c r="F469">
        <v>539</v>
      </c>
      <c r="G469">
        <v>34.15</v>
      </c>
      <c r="H469">
        <v>112.91</v>
      </c>
      <c r="I469">
        <v>25.69</v>
      </c>
      <c r="J469">
        <v>84.93</v>
      </c>
      <c r="K469">
        <v>337</v>
      </c>
      <c r="T469">
        <v>3</v>
      </c>
      <c r="U469">
        <v>2</v>
      </c>
      <c r="V469" t="s">
        <v>233</v>
      </c>
      <c r="W469">
        <v>112</v>
      </c>
      <c r="X469">
        <v>15</v>
      </c>
      <c r="Y469">
        <v>10</v>
      </c>
      <c r="Z469" t="s">
        <v>878</v>
      </c>
      <c r="AA469" t="s">
        <v>879</v>
      </c>
      <c r="AB469" t="s">
        <v>229</v>
      </c>
      <c r="AC469" t="s">
        <v>230</v>
      </c>
      <c r="AD469" t="s">
        <v>231</v>
      </c>
      <c r="AE469" t="s">
        <v>205</v>
      </c>
      <c r="AG469" t="s">
        <v>880</v>
      </c>
      <c r="AH469">
        <v>0</v>
      </c>
      <c r="AI469">
        <v>215</v>
      </c>
      <c r="AJ469">
        <v>20</v>
      </c>
      <c r="AK469">
        <v>547</v>
      </c>
      <c r="AL469">
        <v>1.01</v>
      </c>
    </row>
    <row r="470" spans="1:38" x14ac:dyDescent="0.3">
      <c r="A470" t="s">
        <v>678</v>
      </c>
      <c r="B470">
        <v>26189</v>
      </c>
      <c r="C470">
        <v>1</v>
      </c>
      <c r="D470" t="s">
        <v>881</v>
      </c>
      <c r="E470" t="s">
        <v>747</v>
      </c>
      <c r="F470">
        <v>648</v>
      </c>
      <c r="G470">
        <v>34.53</v>
      </c>
      <c r="H470">
        <v>114.15</v>
      </c>
      <c r="I470">
        <v>25.59</v>
      </c>
      <c r="J470">
        <v>84.62</v>
      </c>
      <c r="K470">
        <v>136</v>
      </c>
      <c r="T470">
        <v>3</v>
      </c>
      <c r="U470">
        <v>2</v>
      </c>
      <c r="V470" t="s">
        <v>233</v>
      </c>
      <c r="W470">
        <v>114</v>
      </c>
      <c r="X470">
        <v>20</v>
      </c>
      <c r="Y470">
        <v>17</v>
      </c>
      <c r="Z470" t="s">
        <v>882</v>
      </c>
      <c r="AA470" t="s">
        <v>883</v>
      </c>
      <c r="AB470" t="s">
        <v>229</v>
      </c>
      <c r="AC470" t="s">
        <v>230</v>
      </c>
      <c r="AD470" t="s">
        <v>231</v>
      </c>
      <c r="AE470" t="s">
        <v>205</v>
      </c>
      <c r="AG470" t="s">
        <v>884</v>
      </c>
      <c r="AH470">
        <v>0</v>
      </c>
      <c r="AI470">
        <v>229</v>
      </c>
      <c r="AJ470">
        <v>20</v>
      </c>
      <c r="AK470">
        <v>1144</v>
      </c>
      <c r="AL470">
        <v>1.77</v>
      </c>
    </row>
    <row r="471" spans="1:38" x14ac:dyDescent="0.3">
      <c r="A471" t="s">
        <v>678</v>
      </c>
      <c r="B471">
        <v>26189</v>
      </c>
      <c r="C471">
        <v>2</v>
      </c>
      <c r="D471" t="s">
        <v>881</v>
      </c>
      <c r="E471" t="s">
        <v>747</v>
      </c>
      <c r="F471">
        <v>648</v>
      </c>
      <c r="G471">
        <v>37.85</v>
      </c>
      <c r="H471">
        <v>125.13</v>
      </c>
      <c r="I471">
        <v>30.14</v>
      </c>
      <c r="J471">
        <v>99.66</v>
      </c>
      <c r="K471">
        <v>76</v>
      </c>
      <c r="T471">
        <v>3</v>
      </c>
      <c r="U471">
        <v>2</v>
      </c>
      <c r="V471" t="s">
        <v>233</v>
      </c>
      <c r="W471" t="s">
        <v>157</v>
      </c>
      <c r="X471">
        <v>20</v>
      </c>
      <c r="Y471">
        <v>17</v>
      </c>
      <c r="Z471" t="s">
        <v>882</v>
      </c>
      <c r="AA471" t="s">
        <v>883</v>
      </c>
      <c r="AB471" t="s">
        <v>229</v>
      </c>
      <c r="AC471" t="s">
        <v>230</v>
      </c>
      <c r="AD471" t="s">
        <v>231</v>
      </c>
      <c r="AE471" t="s">
        <v>205</v>
      </c>
      <c r="AG471" t="s">
        <v>884</v>
      </c>
      <c r="AH471">
        <v>0</v>
      </c>
      <c r="AI471">
        <v>229</v>
      </c>
      <c r="AJ471">
        <v>20</v>
      </c>
      <c r="AK471">
        <v>1144</v>
      </c>
      <c r="AL471">
        <v>1.77</v>
      </c>
    </row>
    <row r="472" spans="1:38" x14ac:dyDescent="0.3">
      <c r="A472" t="s">
        <v>678</v>
      </c>
      <c r="B472">
        <v>26189</v>
      </c>
      <c r="C472">
        <v>3</v>
      </c>
      <c r="D472" t="s">
        <v>881</v>
      </c>
      <c r="E472" t="s">
        <v>747</v>
      </c>
      <c r="F472">
        <v>648</v>
      </c>
      <c r="G472">
        <v>37.869999999999997</v>
      </c>
      <c r="H472">
        <v>125.22</v>
      </c>
      <c r="I472">
        <v>30.15</v>
      </c>
      <c r="J472">
        <v>99.69</v>
      </c>
      <c r="K472">
        <v>73</v>
      </c>
      <c r="T472">
        <v>3</v>
      </c>
      <c r="U472">
        <v>2</v>
      </c>
      <c r="V472" t="s">
        <v>233</v>
      </c>
      <c r="W472" t="s">
        <v>140</v>
      </c>
      <c r="X472">
        <v>20</v>
      </c>
      <c r="Y472">
        <v>17</v>
      </c>
      <c r="Z472" t="s">
        <v>882</v>
      </c>
      <c r="AA472" t="s">
        <v>883</v>
      </c>
      <c r="AB472" t="s">
        <v>229</v>
      </c>
      <c r="AC472" t="s">
        <v>230</v>
      </c>
      <c r="AD472" t="s">
        <v>231</v>
      </c>
      <c r="AE472" t="s">
        <v>205</v>
      </c>
      <c r="AG472" t="s">
        <v>884</v>
      </c>
      <c r="AH472">
        <v>0</v>
      </c>
      <c r="AI472">
        <v>229</v>
      </c>
      <c r="AJ472">
        <v>20</v>
      </c>
      <c r="AK472">
        <v>1144</v>
      </c>
      <c r="AL472">
        <v>1.77</v>
      </c>
    </row>
    <row r="473" spans="1:38" x14ac:dyDescent="0.3">
      <c r="A473" t="s">
        <v>678</v>
      </c>
      <c r="B473">
        <v>26189</v>
      </c>
      <c r="C473">
        <v>4</v>
      </c>
      <c r="D473" t="s">
        <v>881</v>
      </c>
      <c r="E473" t="s">
        <v>747</v>
      </c>
      <c r="F473">
        <v>648</v>
      </c>
      <c r="G473">
        <v>46.17</v>
      </c>
      <c r="H473">
        <v>152.63999999999999</v>
      </c>
      <c r="I473">
        <v>37.39</v>
      </c>
      <c r="J473">
        <v>123.61</v>
      </c>
      <c r="K473">
        <v>136</v>
      </c>
      <c r="T473">
        <v>4</v>
      </c>
      <c r="U473">
        <v>2</v>
      </c>
      <c r="V473" t="s">
        <v>233</v>
      </c>
      <c r="W473">
        <v>152</v>
      </c>
      <c r="X473">
        <v>20</v>
      </c>
      <c r="Y473">
        <v>17</v>
      </c>
      <c r="Z473" t="s">
        <v>882</v>
      </c>
      <c r="AA473" t="s">
        <v>883</v>
      </c>
      <c r="AB473" t="s">
        <v>229</v>
      </c>
      <c r="AC473" t="s">
        <v>230</v>
      </c>
      <c r="AD473" t="s">
        <v>231</v>
      </c>
      <c r="AE473" t="s">
        <v>205</v>
      </c>
      <c r="AG473" t="s">
        <v>884</v>
      </c>
      <c r="AH473">
        <v>0</v>
      </c>
      <c r="AI473">
        <v>229</v>
      </c>
      <c r="AJ473">
        <v>20</v>
      </c>
      <c r="AK473">
        <v>1144</v>
      </c>
      <c r="AL473">
        <v>1.77</v>
      </c>
    </row>
    <row r="474" spans="1:38" x14ac:dyDescent="0.3">
      <c r="A474" t="s">
        <v>678</v>
      </c>
      <c r="B474">
        <v>26189</v>
      </c>
      <c r="C474">
        <v>5</v>
      </c>
      <c r="D474" t="s">
        <v>881</v>
      </c>
      <c r="E474" t="s">
        <v>747</v>
      </c>
      <c r="F474">
        <v>648</v>
      </c>
      <c r="G474">
        <v>49.83</v>
      </c>
      <c r="H474">
        <v>164.73</v>
      </c>
      <c r="I474">
        <v>39.799999999999997</v>
      </c>
      <c r="J474">
        <v>131.6</v>
      </c>
      <c r="K474">
        <v>150</v>
      </c>
      <c r="T474">
        <v>4</v>
      </c>
      <c r="U474">
        <v>2</v>
      </c>
      <c r="V474" t="s">
        <v>233</v>
      </c>
      <c r="W474" t="s">
        <v>159</v>
      </c>
      <c r="X474">
        <v>20</v>
      </c>
      <c r="Y474">
        <v>17</v>
      </c>
      <c r="Z474" t="s">
        <v>882</v>
      </c>
      <c r="AA474" t="s">
        <v>883</v>
      </c>
      <c r="AB474" t="s">
        <v>229</v>
      </c>
      <c r="AC474" t="s">
        <v>230</v>
      </c>
      <c r="AD474" t="s">
        <v>231</v>
      </c>
      <c r="AE474" t="s">
        <v>205</v>
      </c>
      <c r="AG474" t="s">
        <v>884</v>
      </c>
      <c r="AH474">
        <v>0</v>
      </c>
      <c r="AI474">
        <v>229</v>
      </c>
      <c r="AJ474">
        <v>20</v>
      </c>
      <c r="AK474">
        <v>1144</v>
      </c>
      <c r="AL474">
        <v>1.77</v>
      </c>
    </row>
    <row r="475" spans="1:38" x14ac:dyDescent="0.3">
      <c r="A475" t="s">
        <v>678</v>
      </c>
      <c r="B475">
        <v>26189</v>
      </c>
      <c r="C475">
        <v>6</v>
      </c>
      <c r="D475" t="s">
        <v>881</v>
      </c>
      <c r="E475" t="s">
        <v>747</v>
      </c>
      <c r="F475">
        <v>648</v>
      </c>
      <c r="G475">
        <v>49.66</v>
      </c>
      <c r="H475">
        <v>164.19</v>
      </c>
      <c r="I475">
        <v>39.71</v>
      </c>
      <c r="J475">
        <v>131.30000000000001</v>
      </c>
      <c r="K475">
        <v>73</v>
      </c>
      <c r="T475">
        <v>4</v>
      </c>
      <c r="U475">
        <v>2</v>
      </c>
      <c r="V475" t="s">
        <v>233</v>
      </c>
      <c r="W475" t="s">
        <v>141</v>
      </c>
      <c r="X475">
        <v>20</v>
      </c>
      <c r="Y475">
        <v>17</v>
      </c>
      <c r="Z475" t="s">
        <v>882</v>
      </c>
      <c r="AA475" t="s">
        <v>883</v>
      </c>
      <c r="AB475" t="s">
        <v>229</v>
      </c>
      <c r="AC475" t="s">
        <v>230</v>
      </c>
      <c r="AD475" t="s">
        <v>231</v>
      </c>
      <c r="AE475" t="s">
        <v>205</v>
      </c>
      <c r="AG475" t="s">
        <v>884</v>
      </c>
      <c r="AH475">
        <v>0</v>
      </c>
      <c r="AI475">
        <v>229</v>
      </c>
      <c r="AJ475">
        <v>20</v>
      </c>
      <c r="AK475">
        <v>1144</v>
      </c>
      <c r="AL475">
        <v>1.77</v>
      </c>
    </row>
    <row r="476" spans="1:38" x14ac:dyDescent="0.3">
      <c r="A476" t="s">
        <v>678</v>
      </c>
      <c r="B476">
        <v>26189</v>
      </c>
      <c r="C476">
        <v>7</v>
      </c>
      <c r="D476" t="s">
        <v>881</v>
      </c>
      <c r="E476" t="s">
        <v>747</v>
      </c>
      <c r="F476">
        <v>648</v>
      </c>
      <c r="G476">
        <v>77.62</v>
      </c>
      <c r="H476">
        <v>256.60000000000002</v>
      </c>
      <c r="I476">
        <v>60.95</v>
      </c>
      <c r="J476">
        <v>201.52</v>
      </c>
      <c r="K476">
        <v>4</v>
      </c>
      <c r="T476">
        <v>4</v>
      </c>
      <c r="U476">
        <v>2</v>
      </c>
      <c r="V476" t="s">
        <v>233</v>
      </c>
      <c r="W476">
        <v>256</v>
      </c>
      <c r="X476">
        <v>20</v>
      </c>
      <c r="Y476">
        <v>17</v>
      </c>
      <c r="Z476" t="s">
        <v>882</v>
      </c>
      <c r="AA476" t="s">
        <v>883</v>
      </c>
      <c r="AB476" t="s">
        <v>229</v>
      </c>
      <c r="AC476" t="s">
        <v>230</v>
      </c>
      <c r="AD476" t="s">
        <v>231</v>
      </c>
      <c r="AE476" t="s">
        <v>205</v>
      </c>
      <c r="AG476" t="s">
        <v>884</v>
      </c>
      <c r="AH476">
        <v>0</v>
      </c>
      <c r="AI476">
        <v>229</v>
      </c>
      <c r="AJ476">
        <v>20</v>
      </c>
      <c r="AK476">
        <v>1144</v>
      </c>
      <c r="AL476">
        <v>1.77</v>
      </c>
    </row>
    <row r="477" spans="1:38" x14ac:dyDescent="0.3">
      <c r="A477" t="s">
        <v>678</v>
      </c>
      <c r="B477">
        <v>126066</v>
      </c>
      <c r="C477">
        <v>1</v>
      </c>
      <c r="D477" t="s">
        <v>885</v>
      </c>
      <c r="E477" t="s">
        <v>886</v>
      </c>
      <c r="F477">
        <v>35</v>
      </c>
      <c r="G477">
        <v>20.5</v>
      </c>
      <c r="H477">
        <v>67.77</v>
      </c>
      <c r="I477">
        <v>18.86</v>
      </c>
      <c r="J477">
        <v>62.37</v>
      </c>
      <c r="K477">
        <v>10</v>
      </c>
      <c r="T477">
        <v>3</v>
      </c>
      <c r="U477">
        <v>1</v>
      </c>
      <c r="V477" t="s">
        <v>233</v>
      </c>
      <c r="W477" t="s">
        <v>192</v>
      </c>
      <c r="X477">
        <v>5</v>
      </c>
      <c r="Y477">
        <v>5</v>
      </c>
      <c r="Z477" t="s">
        <v>887</v>
      </c>
      <c r="AA477" t="s">
        <v>888</v>
      </c>
      <c r="AB477" t="s">
        <v>229</v>
      </c>
      <c r="AC477" t="s">
        <v>230</v>
      </c>
      <c r="AD477" t="s">
        <v>231</v>
      </c>
      <c r="AE477" t="s">
        <v>205</v>
      </c>
      <c r="AG477" t="s">
        <v>889</v>
      </c>
      <c r="AH477">
        <v>0</v>
      </c>
      <c r="AI477">
        <v>0</v>
      </c>
      <c r="AJ477">
        <v>0</v>
      </c>
      <c r="AK477">
        <v>17</v>
      </c>
      <c r="AL477">
        <v>0.49</v>
      </c>
    </row>
    <row r="478" spans="1:38" x14ac:dyDescent="0.3">
      <c r="A478" t="s">
        <v>678</v>
      </c>
      <c r="B478">
        <v>126066</v>
      </c>
      <c r="C478">
        <v>2</v>
      </c>
      <c r="D478" t="s">
        <v>885</v>
      </c>
      <c r="E478" t="s">
        <v>886</v>
      </c>
      <c r="F478">
        <v>35</v>
      </c>
      <c r="G478">
        <v>21.28</v>
      </c>
      <c r="H478">
        <v>70.38</v>
      </c>
      <c r="I478">
        <v>19.649999999999999</v>
      </c>
      <c r="J478">
        <v>64.98</v>
      </c>
      <c r="K478">
        <v>25</v>
      </c>
      <c r="T478">
        <v>3</v>
      </c>
      <c r="U478">
        <v>1</v>
      </c>
      <c r="V478" t="s">
        <v>233</v>
      </c>
      <c r="W478" t="s">
        <v>890</v>
      </c>
      <c r="X478">
        <v>5</v>
      </c>
      <c r="Y478">
        <v>5</v>
      </c>
      <c r="Z478" t="s">
        <v>887</v>
      </c>
      <c r="AA478" t="s">
        <v>888</v>
      </c>
      <c r="AB478" t="s">
        <v>229</v>
      </c>
      <c r="AC478" t="s">
        <v>230</v>
      </c>
      <c r="AD478" t="s">
        <v>231</v>
      </c>
      <c r="AE478" t="s">
        <v>205</v>
      </c>
      <c r="AG478" t="s">
        <v>889</v>
      </c>
      <c r="AH478">
        <v>0</v>
      </c>
      <c r="AI478">
        <v>0</v>
      </c>
      <c r="AJ478">
        <v>0</v>
      </c>
      <c r="AK478">
        <v>17</v>
      </c>
      <c r="AL478">
        <v>0.49</v>
      </c>
    </row>
    <row r="479" spans="1:38" x14ac:dyDescent="0.3">
      <c r="A479" t="s">
        <v>891</v>
      </c>
      <c r="B479">
        <v>15454</v>
      </c>
      <c r="C479">
        <v>1</v>
      </c>
      <c r="D479" t="s">
        <v>892</v>
      </c>
      <c r="E479" t="s">
        <v>795</v>
      </c>
      <c r="F479">
        <v>80</v>
      </c>
      <c r="G479">
        <v>20.14</v>
      </c>
      <c r="H479">
        <v>66.61</v>
      </c>
      <c r="I479">
        <v>17.559999999999999</v>
      </c>
      <c r="J479">
        <v>58.05</v>
      </c>
      <c r="K479">
        <v>80</v>
      </c>
      <c r="T479">
        <v>3</v>
      </c>
      <c r="U479">
        <v>1</v>
      </c>
      <c r="V479" t="s">
        <v>233</v>
      </c>
      <c r="W479">
        <v>66</v>
      </c>
      <c r="X479">
        <v>5</v>
      </c>
      <c r="Y479">
        <v>5</v>
      </c>
      <c r="Z479" t="s">
        <v>893</v>
      </c>
      <c r="AA479" t="s">
        <v>894</v>
      </c>
      <c r="AB479" t="s">
        <v>229</v>
      </c>
      <c r="AC479" t="s">
        <v>230</v>
      </c>
      <c r="AD479" t="s">
        <v>231</v>
      </c>
      <c r="AE479" t="s">
        <v>895</v>
      </c>
      <c r="AG479" t="s">
        <v>896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891</v>
      </c>
      <c r="B480">
        <v>15463</v>
      </c>
      <c r="C480">
        <v>1</v>
      </c>
      <c r="D480" t="s">
        <v>897</v>
      </c>
      <c r="E480" t="s">
        <v>339</v>
      </c>
      <c r="F480">
        <v>232</v>
      </c>
      <c r="G480">
        <v>21.62</v>
      </c>
      <c r="H480">
        <v>71.48</v>
      </c>
      <c r="I480">
        <v>15.08</v>
      </c>
      <c r="J480">
        <v>49.88</v>
      </c>
      <c r="K480">
        <v>232</v>
      </c>
      <c r="T480">
        <v>2</v>
      </c>
      <c r="U480">
        <v>1</v>
      </c>
      <c r="V480" t="s">
        <v>226</v>
      </c>
      <c r="W480">
        <v>71</v>
      </c>
      <c r="X480">
        <v>8</v>
      </c>
      <c r="Y480">
        <v>8</v>
      </c>
      <c r="Z480" t="s">
        <v>898</v>
      </c>
      <c r="AA480" t="s">
        <v>899</v>
      </c>
      <c r="AB480" t="s">
        <v>229</v>
      </c>
      <c r="AC480" t="s">
        <v>230</v>
      </c>
      <c r="AD480" t="s">
        <v>231</v>
      </c>
      <c r="AE480" t="s">
        <v>895</v>
      </c>
      <c r="AG480" t="s">
        <v>900</v>
      </c>
      <c r="AH480">
        <v>0</v>
      </c>
      <c r="AI480">
        <v>0</v>
      </c>
      <c r="AJ480">
        <v>0</v>
      </c>
      <c r="AK480">
        <v>248</v>
      </c>
      <c r="AL480">
        <v>1.07</v>
      </c>
    </row>
    <row r="481" spans="1:38" x14ac:dyDescent="0.3">
      <c r="A481" t="s">
        <v>891</v>
      </c>
      <c r="B481">
        <v>12057</v>
      </c>
      <c r="C481">
        <v>1</v>
      </c>
      <c r="D481" t="s">
        <v>694</v>
      </c>
      <c r="E481" t="s">
        <v>901</v>
      </c>
      <c r="F481">
        <v>204</v>
      </c>
      <c r="G481">
        <v>31.65</v>
      </c>
      <c r="H481">
        <v>104.64</v>
      </c>
      <c r="I481">
        <v>25.65</v>
      </c>
      <c r="J481">
        <v>84.81</v>
      </c>
      <c r="K481">
        <v>200</v>
      </c>
      <c r="T481">
        <v>3</v>
      </c>
      <c r="U481">
        <v>2</v>
      </c>
      <c r="V481" t="s">
        <v>233</v>
      </c>
      <c r="W481">
        <v>104</v>
      </c>
      <c r="X481">
        <v>15</v>
      </c>
      <c r="Y481">
        <v>11</v>
      </c>
      <c r="Z481" t="s">
        <v>902</v>
      </c>
      <c r="AA481" t="s">
        <v>903</v>
      </c>
      <c r="AB481" t="s">
        <v>229</v>
      </c>
      <c r="AC481" t="s">
        <v>230</v>
      </c>
      <c r="AD481" t="s">
        <v>231</v>
      </c>
      <c r="AE481" t="s">
        <v>895</v>
      </c>
      <c r="AG481" t="s">
        <v>904</v>
      </c>
      <c r="AH481">
        <v>0</v>
      </c>
      <c r="AI481">
        <v>193</v>
      </c>
      <c r="AJ481">
        <v>20</v>
      </c>
      <c r="AK481">
        <v>236</v>
      </c>
      <c r="AL481">
        <v>1.1599999999999999</v>
      </c>
    </row>
    <row r="482" spans="1:38" x14ac:dyDescent="0.3">
      <c r="A482" t="s">
        <v>891</v>
      </c>
      <c r="B482">
        <v>12057</v>
      </c>
      <c r="C482">
        <v>2</v>
      </c>
      <c r="D482" t="s">
        <v>694</v>
      </c>
      <c r="E482" t="s">
        <v>901</v>
      </c>
      <c r="F482">
        <v>204</v>
      </c>
      <c r="G482">
        <v>51.08</v>
      </c>
      <c r="H482">
        <v>168.87</v>
      </c>
      <c r="I482">
        <v>41.28</v>
      </c>
      <c r="J482">
        <v>136.49</v>
      </c>
      <c r="K482">
        <v>4</v>
      </c>
      <c r="T482">
        <v>4</v>
      </c>
      <c r="U482">
        <v>2</v>
      </c>
      <c r="V482" t="s">
        <v>233</v>
      </c>
      <c r="W482">
        <v>168</v>
      </c>
      <c r="X482">
        <v>15</v>
      </c>
      <c r="Y482">
        <v>11</v>
      </c>
      <c r="Z482" t="s">
        <v>902</v>
      </c>
      <c r="AA482" t="s">
        <v>903</v>
      </c>
      <c r="AB482" t="s">
        <v>229</v>
      </c>
      <c r="AC482" t="s">
        <v>230</v>
      </c>
      <c r="AD482" t="s">
        <v>231</v>
      </c>
      <c r="AE482" t="s">
        <v>895</v>
      </c>
      <c r="AG482" t="s">
        <v>904</v>
      </c>
      <c r="AH482">
        <v>0</v>
      </c>
      <c r="AI482">
        <v>193</v>
      </c>
      <c r="AJ482">
        <v>20</v>
      </c>
      <c r="AK482">
        <v>236</v>
      </c>
      <c r="AL482">
        <v>1.1599999999999999</v>
      </c>
    </row>
    <row r="483" spans="1:38" x14ac:dyDescent="0.3">
      <c r="A483" t="s">
        <v>891</v>
      </c>
      <c r="B483">
        <v>135332</v>
      </c>
      <c r="C483">
        <v>1</v>
      </c>
      <c r="D483" t="s">
        <v>905</v>
      </c>
      <c r="E483" t="s">
        <v>906</v>
      </c>
      <c r="F483">
        <v>16</v>
      </c>
      <c r="G483">
        <v>41.04</v>
      </c>
      <c r="H483">
        <v>135.66999999999999</v>
      </c>
      <c r="I483">
        <v>28.58</v>
      </c>
      <c r="J483">
        <v>94.5</v>
      </c>
      <c r="K483">
        <v>2</v>
      </c>
      <c r="T483">
        <v>3</v>
      </c>
      <c r="U483">
        <v>2</v>
      </c>
      <c r="V483" t="s">
        <v>233</v>
      </c>
      <c r="W483">
        <v>135</v>
      </c>
      <c r="X483">
        <v>8</v>
      </c>
      <c r="Y483">
        <v>8</v>
      </c>
      <c r="Z483" t="s">
        <v>907</v>
      </c>
      <c r="AA483" t="s">
        <v>908</v>
      </c>
      <c r="AB483" t="s">
        <v>229</v>
      </c>
      <c r="AC483" t="s">
        <v>230</v>
      </c>
      <c r="AD483" t="s">
        <v>231</v>
      </c>
      <c r="AE483" t="s">
        <v>895</v>
      </c>
      <c r="AG483" t="s">
        <v>909</v>
      </c>
      <c r="AH483">
        <v>0</v>
      </c>
      <c r="AI483">
        <v>262</v>
      </c>
      <c r="AJ483">
        <v>39</v>
      </c>
      <c r="AK483">
        <v>16</v>
      </c>
      <c r="AL483">
        <v>1</v>
      </c>
    </row>
    <row r="484" spans="1:38" x14ac:dyDescent="0.3">
      <c r="A484" t="s">
        <v>891</v>
      </c>
      <c r="B484">
        <v>135332</v>
      </c>
      <c r="C484">
        <v>2</v>
      </c>
      <c r="D484" t="s">
        <v>905</v>
      </c>
      <c r="E484" t="s">
        <v>906</v>
      </c>
      <c r="F484">
        <v>16</v>
      </c>
      <c r="G484">
        <v>49.09</v>
      </c>
      <c r="H484">
        <v>162.29</v>
      </c>
      <c r="I484">
        <v>34.19</v>
      </c>
      <c r="J484">
        <v>113.04</v>
      </c>
      <c r="K484">
        <v>2</v>
      </c>
      <c r="T484">
        <v>4</v>
      </c>
      <c r="U484">
        <v>2</v>
      </c>
      <c r="V484" t="s">
        <v>233</v>
      </c>
      <c r="W484">
        <v>162</v>
      </c>
      <c r="X484">
        <v>8</v>
      </c>
      <c r="Y484">
        <v>8</v>
      </c>
      <c r="Z484" t="s">
        <v>907</v>
      </c>
      <c r="AA484" t="s">
        <v>908</v>
      </c>
      <c r="AB484" t="s">
        <v>229</v>
      </c>
      <c r="AC484" t="s">
        <v>230</v>
      </c>
      <c r="AD484" t="s">
        <v>231</v>
      </c>
      <c r="AE484" t="s">
        <v>895</v>
      </c>
      <c r="AG484" t="s">
        <v>909</v>
      </c>
      <c r="AH484">
        <v>0</v>
      </c>
      <c r="AI484">
        <v>262</v>
      </c>
      <c r="AJ484">
        <v>39</v>
      </c>
      <c r="AK484">
        <v>16</v>
      </c>
      <c r="AL484">
        <v>1</v>
      </c>
    </row>
    <row r="485" spans="1:38" x14ac:dyDescent="0.3">
      <c r="A485" t="s">
        <v>891</v>
      </c>
      <c r="B485">
        <v>135332</v>
      </c>
      <c r="C485">
        <v>3</v>
      </c>
      <c r="D485" t="s">
        <v>905</v>
      </c>
      <c r="E485" t="s">
        <v>906</v>
      </c>
      <c r="F485">
        <v>16</v>
      </c>
      <c r="G485">
        <v>55.62</v>
      </c>
      <c r="H485">
        <v>183.87</v>
      </c>
      <c r="I485">
        <v>38.74</v>
      </c>
      <c r="J485">
        <v>128.07</v>
      </c>
      <c r="K485">
        <v>1</v>
      </c>
      <c r="T485">
        <v>4</v>
      </c>
      <c r="U485">
        <v>2</v>
      </c>
      <c r="V485" t="s">
        <v>233</v>
      </c>
      <c r="W485">
        <v>183</v>
      </c>
      <c r="X485">
        <v>8</v>
      </c>
      <c r="Y485">
        <v>8</v>
      </c>
      <c r="Z485" t="s">
        <v>907</v>
      </c>
      <c r="AA485" t="s">
        <v>908</v>
      </c>
      <c r="AB485" t="s">
        <v>229</v>
      </c>
      <c r="AC485" t="s">
        <v>230</v>
      </c>
      <c r="AD485" t="s">
        <v>231</v>
      </c>
      <c r="AE485" t="s">
        <v>895</v>
      </c>
      <c r="AG485" t="s">
        <v>909</v>
      </c>
      <c r="AH485">
        <v>0</v>
      </c>
      <c r="AI485">
        <v>262</v>
      </c>
      <c r="AJ485">
        <v>39</v>
      </c>
      <c r="AK485">
        <v>16</v>
      </c>
      <c r="AL485">
        <v>1</v>
      </c>
    </row>
    <row r="486" spans="1:38" x14ac:dyDescent="0.3">
      <c r="A486" t="s">
        <v>891</v>
      </c>
      <c r="B486">
        <v>135332</v>
      </c>
      <c r="C486">
        <v>4</v>
      </c>
      <c r="D486" t="s">
        <v>905</v>
      </c>
      <c r="E486" t="s">
        <v>906</v>
      </c>
      <c r="F486">
        <v>16</v>
      </c>
      <c r="G486">
        <v>59.41</v>
      </c>
      <c r="H486">
        <v>196.4</v>
      </c>
      <c r="I486">
        <v>41.38</v>
      </c>
      <c r="J486">
        <v>136.80000000000001</v>
      </c>
      <c r="K486">
        <v>2</v>
      </c>
      <c r="T486">
        <v>4</v>
      </c>
      <c r="U486">
        <v>2</v>
      </c>
      <c r="V486" t="s">
        <v>233</v>
      </c>
      <c r="W486">
        <v>196</v>
      </c>
      <c r="X486">
        <v>8</v>
      </c>
      <c r="Y486">
        <v>8</v>
      </c>
      <c r="Z486" t="s">
        <v>907</v>
      </c>
      <c r="AA486" t="s">
        <v>908</v>
      </c>
      <c r="AB486" t="s">
        <v>229</v>
      </c>
      <c r="AC486" t="s">
        <v>230</v>
      </c>
      <c r="AD486" t="s">
        <v>231</v>
      </c>
      <c r="AE486" t="s">
        <v>895</v>
      </c>
      <c r="AG486" t="s">
        <v>909</v>
      </c>
      <c r="AH486">
        <v>0</v>
      </c>
      <c r="AI486">
        <v>262</v>
      </c>
      <c r="AJ486">
        <v>39</v>
      </c>
      <c r="AK486">
        <v>16</v>
      </c>
      <c r="AL486">
        <v>1</v>
      </c>
    </row>
    <row r="487" spans="1:38" x14ac:dyDescent="0.3">
      <c r="A487" t="s">
        <v>891</v>
      </c>
      <c r="B487">
        <v>135332</v>
      </c>
      <c r="C487">
        <v>5</v>
      </c>
      <c r="D487" t="s">
        <v>905</v>
      </c>
      <c r="E487" t="s">
        <v>906</v>
      </c>
      <c r="F487">
        <v>16</v>
      </c>
      <c r="G487">
        <v>60.34</v>
      </c>
      <c r="H487">
        <v>199.5</v>
      </c>
      <c r="I487">
        <v>42.03</v>
      </c>
      <c r="J487">
        <v>138.96</v>
      </c>
      <c r="K487">
        <v>9</v>
      </c>
      <c r="T487">
        <v>4</v>
      </c>
      <c r="U487">
        <v>2</v>
      </c>
      <c r="V487" t="s">
        <v>233</v>
      </c>
      <c r="W487">
        <v>199</v>
      </c>
      <c r="X487">
        <v>8</v>
      </c>
      <c r="Y487">
        <v>8</v>
      </c>
      <c r="Z487" t="s">
        <v>907</v>
      </c>
      <c r="AA487" t="s">
        <v>908</v>
      </c>
      <c r="AB487" t="s">
        <v>229</v>
      </c>
      <c r="AC487" t="s">
        <v>230</v>
      </c>
      <c r="AD487" t="s">
        <v>231</v>
      </c>
      <c r="AE487" t="s">
        <v>895</v>
      </c>
      <c r="AG487" t="s">
        <v>909</v>
      </c>
      <c r="AH487">
        <v>0</v>
      </c>
      <c r="AI487">
        <v>262</v>
      </c>
      <c r="AJ487">
        <v>39</v>
      </c>
      <c r="AK487">
        <v>16</v>
      </c>
      <c r="AL487">
        <v>1</v>
      </c>
    </row>
    <row r="488" spans="1:38" x14ac:dyDescent="0.3">
      <c r="A488" t="s">
        <v>891</v>
      </c>
      <c r="B488">
        <v>116286</v>
      </c>
      <c r="C488">
        <v>1</v>
      </c>
      <c r="D488" t="s">
        <v>910</v>
      </c>
      <c r="E488" t="s">
        <v>911</v>
      </c>
      <c r="F488">
        <v>270</v>
      </c>
      <c r="G488">
        <v>10.31</v>
      </c>
      <c r="H488">
        <v>34.11</v>
      </c>
      <c r="I488">
        <v>6.96</v>
      </c>
      <c r="J488">
        <v>23.03</v>
      </c>
      <c r="K488">
        <v>108</v>
      </c>
      <c r="T488">
        <v>1</v>
      </c>
      <c r="U488">
        <v>1</v>
      </c>
      <c r="V488" t="s">
        <v>226</v>
      </c>
      <c r="W488" t="s">
        <v>539</v>
      </c>
      <c r="X488">
        <v>20</v>
      </c>
      <c r="Y488">
        <v>20</v>
      </c>
      <c r="Z488" t="s">
        <v>912</v>
      </c>
      <c r="AA488" t="s">
        <v>913</v>
      </c>
      <c r="AB488" t="s">
        <v>229</v>
      </c>
      <c r="AC488" t="s">
        <v>230</v>
      </c>
      <c r="AD488" t="s">
        <v>231</v>
      </c>
      <c r="AE488" t="s">
        <v>895</v>
      </c>
      <c r="AG488" t="s">
        <v>914</v>
      </c>
      <c r="AH488">
        <v>0</v>
      </c>
      <c r="AI488">
        <v>984</v>
      </c>
      <c r="AJ488">
        <v>73</v>
      </c>
      <c r="AK488">
        <v>191</v>
      </c>
      <c r="AL488">
        <v>0.71</v>
      </c>
    </row>
    <row r="489" spans="1:38" x14ac:dyDescent="0.3">
      <c r="A489" t="s">
        <v>891</v>
      </c>
      <c r="B489">
        <v>116286</v>
      </c>
      <c r="C489">
        <v>2</v>
      </c>
      <c r="D489" t="s">
        <v>910</v>
      </c>
      <c r="E489" t="s">
        <v>911</v>
      </c>
      <c r="F489">
        <v>270</v>
      </c>
      <c r="G489">
        <v>13.9</v>
      </c>
      <c r="H489">
        <v>45.98</v>
      </c>
      <c r="I489">
        <v>9.3800000000000008</v>
      </c>
      <c r="J489">
        <v>31.04</v>
      </c>
      <c r="K489">
        <v>72</v>
      </c>
      <c r="T489">
        <v>1</v>
      </c>
      <c r="U489">
        <v>1</v>
      </c>
      <c r="V489" t="s">
        <v>226</v>
      </c>
      <c r="W489" t="s">
        <v>915</v>
      </c>
      <c r="X489">
        <v>20</v>
      </c>
      <c r="Y489">
        <v>20</v>
      </c>
      <c r="Z489" t="s">
        <v>912</v>
      </c>
      <c r="AA489" t="s">
        <v>913</v>
      </c>
      <c r="AB489" t="s">
        <v>229</v>
      </c>
      <c r="AC489" t="s">
        <v>230</v>
      </c>
      <c r="AD489" t="s">
        <v>231</v>
      </c>
      <c r="AE489" t="s">
        <v>895</v>
      </c>
      <c r="AG489" t="s">
        <v>914</v>
      </c>
      <c r="AH489">
        <v>0</v>
      </c>
      <c r="AI489">
        <v>984</v>
      </c>
      <c r="AJ489">
        <v>73</v>
      </c>
      <c r="AK489">
        <v>191</v>
      </c>
      <c r="AL489">
        <v>0.71</v>
      </c>
    </row>
    <row r="490" spans="1:38" x14ac:dyDescent="0.3">
      <c r="A490" t="s">
        <v>891</v>
      </c>
      <c r="B490">
        <v>116286</v>
      </c>
      <c r="C490">
        <v>3</v>
      </c>
      <c r="D490" t="s">
        <v>910</v>
      </c>
      <c r="E490" t="s">
        <v>911</v>
      </c>
      <c r="F490">
        <v>270</v>
      </c>
      <c r="G490">
        <v>20.52</v>
      </c>
      <c r="H490">
        <v>67.849999999999994</v>
      </c>
      <c r="I490">
        <v>13.85</v>
      </c>
      <c r="J490">
        <v>45.81</v>
      </c>
      <c r="K490">
        <v>54</v>
      </c>
      <c r="T490">
        <v>1</v>
      </c>
      <c r="U490">
        <v>1</v>
      </c>
      <c r="V490" t="s">
        <v>226</v>
      </c>
      <c r="W490" t="s">
        <v>192</v>
      </c>
      <c r="X490">
        <v>20</v>
      </c>
      <c r="Y490">
        <v>20</v>
      </c>
      <c r="Z490" t="s">
        <v>912</v>
      </c>
      <c r="AA490" t="s">
        <v>913</v>
      </c>
      <c r="AB490" t="s">
        <v>229</v>
      </c>
      <c r="AC490" t="s">
        <v>230</v>
      </c>
      <c r="AD490" t="s">
        <v>231</v>
      </c>
      <c r="AE490" t="s">
        <v>895</v>
      </c>
      <c r="AG490" t="s">
        <v>914</v>
      </c>
      <c r="AH490">
        <v>0</v>
      </c>
      <c r="AI490">
        <v>984</v>
      </c>
      <c r="AJ490">
        <v>73</v>
      </c>
      <c r="AK490">
        <v>191</v>
      </c>
      <c r="AL490">
        <v>0.71</v>
      </c>
    </row>
    <row r="491" spans="1:38" x14ac:dyDescent="0.3">
      <c r="A491" t="s">
        <v>891</v>
      </c>
      <c r="B491">
        <v>116286</v>
      </c>
      <c r="C491">
        <v>4</v>
      </c>
      <c r="D491" t="s">
        <v>910</v>
      </c>
      <c r="E491" t="s">
        <v>911</v>
      </c>
      <c r="F491">
        <v>270</v>
      </c>
      <c r="G491">
        <v>20.79</v>
      </c>
      <c r="H491">
        <v>68.760000000000005</v>
      </c>
      <c r="I491">
        <v>14.04</v>
      </c>
      <c r="J491">
        <v>46.42</v>
      </c>
      <c r="K491">
        <v>36</v>
      </c>
      <c r="T491">
        <v>1</v>
      </c>
      <c r="U491">
        <v>1</v>
      </c>
      <c r="V491" t="s">
        <v>226</v>
      </c>
      <c r="W491" t="s">
        <v>916</v>
      </c>
      <c r="X491">
        <v>20</v>
      </c>
      <c r="Y491">
        <v>20</v>
      </c>
      <c r="Z491" t="s">
        <v>912</v>
      </c>
      <c r="AA491" t="s">
        <v>913</v>
      </c>
      <c r="AB491" t="s">
        <v>229</v>
      </c>
      <c r="AC491" t="s">
        <v>230</v>
      </c>
      <c r="AD491" t="s">
        <v>231</v>
      </c>
      <c r="AE491" t="s">
        <v>895</v>
      </c>
      <c r="AG491" t="s">
        <v>914</v>
      </c>
      <c r="AH491">
        <v>0</v>
      </c>
      <c r="AI491">
        <v>984</v>
      </c>
      <c r="AJ491">
        <v>73</v>
      </c>
      <c r="AK491">
        <v>191</v>
      </c>
      <c r="AL491">
        <v>0.71</v>
      </c>
    </row>
    <row r="492" spans="1:38" x14ac:dyDescent="0.3">
      <c r="A492" t="s">
        <v>891</v>
      </c>
      <c r="B492">
        <v>123083</v>
      </c>
      <c r="C492">
        <v>1</v>
      </c>
      <c r="D492" t="s">
        <v>917</v>
      </c>
      <c r="E492" t="s">
        <v>725</v>
      </c>
      <c r="F492">
        <v>45</v>
      </c>
      <c r="G492">
        <v>27.14</v>
      </c>
      <c r="H492">
        <v>89.72</v>
      </c>
      <c r="I492">
        <v>22.78</v>
      </c>
      <c r="J492">
        <v>75.33</v>
      </c>
      <c r="K492">
        <v>45</v>
      </c>
      <c r="T492">
        <v>3</v>
      </c>
      <c r="U492">
        <v>1</v>
      </c>
      <c r="V492" t="s">
        <v>226</v>
      </c>
      <c r="W492">
        <v>89</v>
      </c>
      <c r="X492">
        <v>5</v>
      </c>
      <c r="Y492">
        <v>5</v>
      </c>
      <c r="Z492" t="s">
        <v>918</v>
      </c>
      <c r="AA492" t="s">
        <v>919</v>
      </c>
      <c r="AB492" t="s">
        <v>229</v>
      </c>
      <c r="AC492" t="s">
        <v>230</v>
      </c>
      <c r="AD492" t="s">
        <v>231</v>
      </c>
      <c r="AE492" t="s">
        <v>895</v>
      </c>
      <c r="AG492" t="s">
        <v>920</v>
      </c>
      <c r="AH492">
        <v>0</v>
      </c>
      <c r="AI492">
        <v>206</v>
      </c>
      <c r="AJ492">
        <v>54</v>
      </c>
      <c r="AK492">
        <v>0</v>
      </c>
      <c r="AL492">
        <v>0</v>
      </c>
    </row>
    <row r="493" spans="1:38" x14ac:dyDescent="0.3">
      <c r="A493" t="s">
        <v>891</v>
      </c>
      <c r="B493">
        <v>11517</v>
      </c>
      <c r="C493">
        <v>1</v>
      </c>
      <c r="D493" t="s">
        <v>921</v>
      </c>
      <c r="E493" t="s">
        <v>922</v>
      </c>
      <c r="F493">
        <v>276</v>
      </c>
      <c r="G493">
        <v>24.97</v>
      </c>
      <c r="H493">
        <v>82.57</v>
      </c>
      <c r="I493">
        <v>20.170000000000002</v>
      </c>
      <c r="J493">
        <v>66.680000000000007</v>
      </c>
      <c r="K493">
        <v>90</v>
      </c>
      <c r="T493">
        <v>3</v>
      </c>
      <c r="U493">
        <v>1</v>
      </c>
      <c r="V493" t="s">
        <v>233</v>
      </c>
      <c r="W493">
        <v>82</v>
      </c>
      <c r="X493">
        <v>15</v>
      </c>
      <c r="Y493">
        <v>12</v>
      </c>
      <c r="Z493" t="s">
        <v>923</v>
      </c>
      <c r="AA493" t="s">
        <v>924</v>
      </c>
      <c r="AB493" t="s">
        <v>229</v>
      </c>
      <c r="AC493" t="s">
        <v>230</v>
      </c>
      <c r="AD493" t="s">
        <v>231</v>
      </c>
      <c r="AE493" t="s">
        <v>895</v>
      </c>
      <c r="AG493" t="s">
        <v>925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 x14ac:dyDescent="0.3">
      <c r="A494" t="s">
        <v>891</v>
      </c>
      <c r="B494">
        <v>11517</v>
      </c>
      <c r="C494">
        <v>2</v>
      </c>
      <c r="D494" t="s">
        <v>921</v>
      </c>
      <c r="E494" t="s">
        <v>922</v>
      </c>
      <c r="F494">
        <v>276</v>
      </c>
      <c r="G494">
        <v>31.73</v>
      </c>
      <c r="H494">
        <v>104.91</v>
      </c>
      <c r="I494">
        <v>25.7</v>
      </c>
      <c r="J494">
        <v>84.97</v>
      </c>
      <c r="K494">
        <v>138</v>
      </c>
      <c r="T494">
        <v>3</v>
      </c>
      <c r="U494">
        <v>2</v>
      </c>
      <c r="V494" t="s">
        <v>233</v>
      </c>
      <c r="W494">
        <v>104</v>
      </c>
      <c r="X494">
        <v>15</v>
      </c>
      <c r="Y494">
        <v>12</v>
      </c>
      <c r="Z494" t="s">
        <v>923</v>
      </c>
      <c r="AA494" t="s">
        <v>924</v>
      </c>
      <c r="AB494" t="s">
        <v>229</v>
      </c>
      <c r="AC494" t="s">
        <v>230</v>
      </c>
      <c r="AD494" t="s">
        <v>231</v>
      </c>
      <c r="AE494" t="s">
        <v>895</v>
      </c>
      <c r="AG494" t="s">
        <v>925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38" x14ac:dyDescent="0.3">
      <c r="A495" t="s">
        <v>891</v>
      </c>
      <c r="B495">
        <v>11517</v>
      </c>
      <c r="C495">
        <v>3</v>
      </c>
      <c r="D495" t="s">
        <v>921</v>
      </c>
      <c r="E495" t="s">
        <v>922</v>
      </c>
      <c r="F495">
        <v>276</v>
      </c>
      <c r="G495">
        <v>43.76</v>
      </c>
      <c r="H495">
        <v>144.66999999999999</v>
      </c>
      <c r="I495">
        <v>37.5</v>
      </c>
      <c r="J495">
        <v>123.99</v>
      </c>
      <c r="K495">
        <v>48</v>
      </c>
      <c r="T495">
        <v>4</v>
      </c>
      <c r="U495">
        <v>2</v>
      </c>
      <c r="V495" t="s">
        <v>233</v>
      </c>
      <c r="W495">
        <v>144</v>
      </c>
      <c r="X495">
        <v>15</v>
      </c>
      <c r="Y495">
        <v>12</v>
      </c>
      <c r="Z495" t="s">
        <v>923</v>
      </c>
      <c r="AA495" t="s">
        <v>924</v>
      </c>
      <c r="AB495" t="s">
        <v>229</v>
      </c>
      <c r="AC495" t="s">
        <v>230</v>
      </c>
      <c r="AD495" t="s">
        <v>231</v>
      </c>
      <c r="AE495" t="s">
        <v>895</v>
      </c>
      <c r="AG495" t="s">
        <v>925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38" x14ac:dyDescent="0.3">
      <c r="A496" t="s">
        <v>891</v>
      </c>
      <c r="B496">
        <v>12020</v>
      </c>
      <c r="C496">
        <v>1</v>
      </c>
      <c r="D496" t="s">
        <v>926</v>
      </c>
      <c r="E496" t="s">
        <v>927</v>
      </c>
      <c r="F496">
        <v>1222</v>
      </c>
      <c r="G496">
        <v>29.5</v>
      </c>
      <c r="H496">
        <v>97.53</v>
      </c>
      <c r="I496">
        <v>22.48</v>
      </c>
      <c r="J496">
        <v>74.319999999999993</v>
      </c>
      <c r="K496">
        <v>30</v>
      </c>
      <c r="T496">
        <v>3</v>
      </c>
      <c r="U496">
        <v>2</v>
      </c>
      <c r="V496" t="s">
        <v>233</v>
      </c>
      <c r="W496">
        <v>97</v>
      </c>
      <c r="X496">
        <v>15</v>
      </c>
      <c r="Y496">
        <v>10</v>
      </c>
      <c r="Z496" t="s">
        <v>928</v>
      </c>
      <c r="AA496" t="s">
        <v>929</v>
      </c>
      <c r="AB496" t="s">
        <v>229</v>
      </c>
      <c r="AC496" t="s">
        <v>230</v>
      </c>
      <c r="AD496" t="s">
        <v>231</v>
      </c>
      <c r="AE496" t="s">
        <v>895</v>
      </c>
      <c r="AG496" t="s">
        <v>930</v>
      </c>
      <c r="AH496">
        <v>0</v>
      </c>
      <c r="AI496">
        <v>206</v>
      </c>
      <c r="AJ496">
        <v>18</v>
      </c>
      <c r="AK496">
        <v>1718</v>
      </c>
      <c r="AL496">
        <v>1.41</v>
      </c>
    </row>
    <row r="497" spans="1:38" x14ac:dyDescent="0.3">
      <c r="A497" t="s">
        <v>891</v>
      </c>
      <c r="B497">
        <v>12020</v>
      </c>
      <c r="C497">
        <v>2</v>
      </c>
      <c r="D497" t="s">
        <v>926</v>
      </c>
      <c r="E497" t="s">
        <v>927</v>
      </c>
      <c r="F497">
        <v>1222</v>
      </c>
      <c r="G497">
        <v>34.369999999999997</v>
      </c>
      <c r="H497">
        <v>113.65</v>
      </c>
      <c r="I497">
        <v>25.68</v>
      </c>
      <c r="J497">
        <v>84.91</v>
      </c>
      <c r="K497">
        <v>110</v>
      </c>
      <c r="T497">
        <v>3</v>
      </c>
      <c r="U497">
        <v>2</v>
      </c>
      <c r="V497" t="s">
        <v>233</v>
      </c>
      <c r="W497" t="s">
        <v>160</v>
      </c>
      <c r="X497">
        <v>15</v>
      </c>
      <c r="Y497">
        <v>10</v>
      </c>
      <c r="Z497" t="s">
        <v>928</v>
      </c>
      <c r="AA497" t="s">
        <v>929</v>
      </c>
      <c r="AB497" t="s">
        <v>229</v>
      </c>
      <c r="AC497" t="s">
        <v>230</v>
      </c>
      <c r="AD497" t="s">
        <v>231</v>
      </c>
      <c r="AE497" t="s">
        <v>895</v>
      </c>
      <c r="AG497" t="s">
        <v>930</v>
      </c>
      <c r="AH497">
        <v>0</v>
      </c>
      <c r="AI497">
        <v>206</v>
      </c>
      <c r="AJ497">
        <v>18</v>
      </c>
      <c r="AK497">
        <v>1718</v>
      </c>
      <c r="AL497">
        <v>1.41</v>
      </c>
    </row>
    <row r="498" spans="1:38" x14ac:dyDescent="0.3">
      <c r="A498" t="s">
        <v>891</v>
      </c>
      <c r="B498">
        <v>12020</v>
      </c>
      <c r="C498">
        <v>3</v>
      </c>
      <c r="D498" t="s">
        <v>926</v>
      </c>
      <c r="E498" t="s">
        <v>927</v>
      </c>
      <c r="F498">
        <v>1222</v>
      </c>
      <c r="G498">
        <v>34.72</v>
      </c>
      <c r="H498">
        <v>114.79</v>
      </c>
      <c r="I498">
        <v>25.67</v>
      </c>
      <c r="J498">
        <v>84.88</v>
      </c>
      <c r="K498">
        <v>420</v>
      </c>
      <c r="T498">
        <v>3</v>
      </c>
      <c r="U498">
        <v>2</v>
      </c>
      <c r="V498" t="s">
        <v>233</v>
      </c>
      <c r="W498" t="s">
        <v>161</v>
      </c>
      <c r="X498">
        <v>15</v>
      </c>
      <c r="Y498">
        <v>10</v>
      </c>
      <c r="Z498" t="s">
        <v>928</v>
      </c>
      <c r="AA498" t="s">
        <v>929</v>
      </c>
      <c r="AB498" t="s">
        <v>229</v>
      </c>
      <c r="AC498" t="s">
        <v>230</v>
      </c>
      <c r="AD498" t="s">
        <v>231</v>
      </c>
      <c r="AE498" t="s">
        <v>895</v>
      </c>
      <c r="AG498" t="s">
        <v>930</v>
      </c>
      <c r="AH498">
        <v>0</v>
      </c>
      <c r="AI498">
        <v>206</v>
      </c>
      <c r="AJ498">
        <v>18</v>
      </c>
      <c r="AK498">
        <v>1718</v>
      </c>
      <c r="AL498">
        <v>1.41</v>
      </c>
    </row>
    <row r="499" spans="1:38" x14ac:dyDescent="0.3">
      <c r="A499" t="s">
        <v>891</v>
      </c>
      <c r="B499">
        <v>12020</v>
      </c>
      <c r="C499">
        <v>4</v>
      </c>
      <c r="D499" t="s">
        <v>926</v>
      </c>
      <c r="E499" t="s">
        <v>927</v>
      </c>
      <c r="F499">
        <v>1222</v>
      </c>
      <c r="G499">
        <v>34.659999999999997</v>
      </c>
      <c r="H499">
        <v>114.61</v>
      </c>
      <c r="I499">
        <v>25.69</v>
      </c>
      <c r="J499">
        <v>84.94</v>
      </c>
      <c r="K499">
        <v>50</v>
      </c>
      <c r="T499">
        <v>3</v>
      </c>
      <c r="U499">
        <v>2</v>
      </c>
      <c r="V499" t="s">
        <v>233</v>
      </c>
      <c r="W499" t="s">
        <v>162</v>
      </c>
      <c r="X499">
        <v>15</v>
      </c>
      <c r="Y499">
        <v>10</v>
      </c>
      <c r="Z499" t="s">
        <v>928</v>
      </c>
      <c r="AA499" t="s">
        <v>929</v>
      </c>
      <c r="AB499" t="s">
        <v>229</v>
      </c>
      <c r="AC499" t="s">
        <v>230</v>
      </c>
      <c r="AD499" t="s">
        <v>231</v>
      </c>
      <c r="AE499" t="s">
        <v>895</v>
      </c>
      <c r="AG499" t="s">
        <v>930</v>
      </c>
      <c r="AH499">
        <v>0</v>
      </c>
      <c r="AI499">
        <v>206</v>
      </c>
      <c r="AJ499">
        <v>18</v>
      </c>
      <c r="AK499">
        <v>1718</v>
      </c>
      <c r="AL499">
        <v>1.41</v>
      </c>
    </row>
    <row r="500" spans="1:38" x14ac:dyDescent="0.3">
      <c r="A500" t="s">
        <v>891</v>
      </c>
      <c r="B500">
        <v>12020</v>
      </c>
      <c r="C500">
        <v>5</v>
      </c>
      <c r="D500" t="s">
        <v>926</v>
      </c>
      <c r="E500" t="s">
        <v>927</v>
      </c>
      <c r="F500">
        <v>1222</v>
      </c>
      <c r="G500">
        <v>39.1</v>
      </c>
      <c r="H500">
        <v>129.28</v>
      </c>
      <c r="I500">
        <v>32.08</v>
      </c>
      <c r="J500">
        <v>106.08</v>
      </c>
      <c r="K500">
        <v>330</v>
      </c>
      <c r="T500">
        <v>3</v>
      </c>
      <c r="U500">
        <v>2</v>
      </c>
      <c r="V500" t="s">
        <v>233</v>
      </c>
      <c r="W500">
        <v>129</v>
      </c>
      <c r="X500">
        <v>15</v>
      </c>
      <c r="Y500">
        <v>10</v>
      </c>
      <c r="Z500" t="s">
        <v>928</v>
      </c>
      <c r="AA500" t="s">
        <v>929</v>
      </c>
      <c r="AB500" t="s">
        <v>229</v>
      </c>
      <c r="AC500" t="s">
        <v>230</v>
      </c>
      <c r="AD500" t="s">
        <v>231</v>
      </c>
      <c r="AE500" t="s">
        <v>895</v>
      </c>
      <c r="AG500" t="s">
        <v>930</v>
      </c>
      <c r="AH500">
        <v>0</v>
      </c>
      <c r="AI500">
        <v>206</v>
      </c>
      <c r="AJ500">
        <v>18</v>
      </c>
      <c r="AK500">
        <v>1718</v>
      </c>
      <c r="AL500">
        <v>1.41</v>
      </c>
    </row>
    <row r="501" spans="1:38" x14ac:dyDescent="0.3">
      <c r="A501" t="s">
        <v>891</v>
      </c>
      <c r="B501">
        <v>12020</v>
      </c>
      <c r="C501">
        <v>6</v>
      </c>
      <c r="D501" t="s">
        <v>926</v>
      </c>
      <c r="E501" t="s">
        <v>927</v>
      </c>
      <c r="F501">
        <v>1222</v>
      </c>
      <c r="G501">
        <v>40.630000000000003</v>
      </c>
      <c r="H501">
        <v>134.32</v>
      </c>
      <c r="I501">
        <v>34.049999999999997</v>
      </c>
      <c r="J501">
        <v>112.57</v>
      </c>
      <c r="K501">
        <v>90</v>
      </c>
      <c r="T501">
        <v>4</v>
      </c>
      <c r="U501">
        <v>2</v>
      </c>
      <c r="V501" t="s">
        <v>233</v>
      </c>
      <c r="W501">
        <v>134</v>
      </c>
      <c r="X501">
        <v>15</v>
      </c>
      <c r="Y501">
        <v>10</v>
      </c>
      <c r="Z501" t="s">
        <v>928</v>
      </c>
      <c r="AA501" t="s">
        <v>929</v>
      </c>
      <c r="AB501" t="s">
        <v>229</v>
      </c>
      <c r="AC501" t="s">
        <v>230</v>
      </c>
      <c r="AD501" t="s">
        <v>231</v>
      </c>
      <c r="AE501" t="s">
        <v>895</v>
      </c>
      <c r="AG501" t="s">
        <v>930</v>
      </c>
      <c r="AH501">
        <v>0</v>
      </c>
      <c r="AI501">
        <v>206</v>
      </c>
      <c r="AJ501">
        <v>18</v>
      </c>
      <c r="AK501">
        <v>1718</v>
      </c>
      <c r="AL501">
        <v>1.41</v>
      </c>
    </row>
    <row r="502" spans="1:38" x14ac:dyDescent="0.3">
      <c r="A502" t="s">
        <v>891</v>
      </c>
      <c r="B502">
        <v>12020</v>
      </c>
      <c r="C502">
        <v>7</v>
      </c>
      <c r="D502" t="s">
        <v>926</v>
      </c>
      <c r="E502" t="s">
        <v>927</v>
      </c>
      <c r="F502">
        <v>1222</v>
      </c>
      <c r="G502">
        <v>45.67</v>
      </c>
      <c r="H502">
        <v>150.99</v>
      </c>
      <c r="I502">
        <v>38.6</v>
      </c>
      <c r="J502">
        <v>127.62</v>
      </c>
      <c r="K502">
        <v>104</v>
      </c>
      <c r="T502">
        <v>4</v>
      </c>
      <c r="U502">
        <v>2</v>
      </c>
      <c r="V502" t="s">
        <v>233</v>
      </c>
      <c r="W502">
        <v>150</v>
      </c>
      <c r="X502">
        <v>15</v>
      </c>
      <c r="Y502">
        <v>10</v>
      </c>
      <c r="Z502" t="s">
        <v>928</v>
      </c>
      <c r="AA502" t="s">
        <v>929</v>
      </c>
      <c r="AB502" t="s">
        <v>229</v>
      </c>
      <c r="AC502" t="s">
        <v>230</v>
      </c>
      <c r="AD502" t="s">
        <v>231</v>
      </c>
      <c r="AE502" t="s">
        <v>895</v>
      </c>
      <c r="AG502" t="s">
        <v>930</v>
      </c>
      <c r="AH502">
        <v>0</v>
      </c>
      <c r="AI502">
        <v>206</v>
      </c>
      <c r="AJ502">
        <v>18</v>
      </c>
      <c r="AK502">
        <v>1718</v>
      </c>
      <c r="AL502">
        <v>1.41</v>
      </c>
    </row>
    <row r="503" spans="1:38" x14ac:dyDescent="0.3">
      <c r="A503" t="s">
        <v>891</v>
      </c>
      <c r="B503">
        <v>12020</v>
      </c>
      <c r="C503">
        <v>8</v>
      </c>
      <c r="D503" t="s">
        <v>926</v>
      </c>
      <c r="E503" t="s">
        <v>927</v>
      </c>
      <c r="F503">
        <v>1222</v>
      </c>
      <c r="G503">
        <v>54.47</v>
      </c>
      <c r="H503">
        <v>180.09</v>
      </c>
      <c r="I503">
        <v>45.6</v>
      </c>
      <c r="J503">
        <v>150.76</v>
      </c>
      <c r="K503">
        <v>74</v>
      </c>
      <c r="T503">
        <v>4</v>
      </c>
      <c r="U503">
        <v>2</v>
      </c>
      <c r="V503" t="s">
        <v>233</v>
      </c>
      <c r="W503">
        <v>180</v>
      </c>
      <c r="X503">
        <v>15</v>
      </c>
      <c r="Y503">
        <v>10</v>
      </c>
      <c r="Z503" t="s">
        <v>928</v>
      </c>
      <c r="AA503" t="s">
        <v>929</v>
      </c>
      <c r="AB503" t="s">
        <v>229</v>
      </c>
      <c r="AC503" t="s">
        <v>230</v>
      </c>
      <c r="AD503" t="s">
        <v>231</v>
      </c>
      <c r="AE503" t="s">
        <v>895</v>
      </c>
      <c r="AG503" t="s">
        <v>930</v>
      </c>
      <c r="AH503">
        <v>0</v>
      </c>
      <c r="AI503">
        <v>206</v>
      </c>
      <c r="AJ503">
        <v>18</v>
      </c>
      <c r="AK503">
        <v>1718</v>
      </c>
      <c r="AL503">
        <v>1.41</v>
      </c>
    </row>
    <row r="504" spans="1:38" x14ac:dyDescent="0.3">
      <c r="A504" t="s">
        <v>891</v>
      </c>
      <c r="B504">
        <v>12020</v>
      </c>
      <c r="C504">
        <v>9</v>
      </c>
      <c r="D504" t="s">
        <v>926</v>
      </c>
      <c r="E504" t="s">
        <v>927</v>
      </c>
      <c r="F504">
        <v>1222</v>
      </c>
      <c r="G504">
        <v>78.58</v>
      </c>
      <c r="H504">
        <v>259.77</v>
      </c>
      <c r="I504">
        <v>66.25</v>
      </c>
      <c r="J504">
        <v>219.03</v>
      </c>
      <c r="K504">
        <v>8</v>
      </c>
      <c r="T504">
        <v>5</v>
      </c>
      <c r="U504">
        <v>4</v>
      </c>
      <c r="V504" t="s">
        <v>233</v>
      </c>
      <c r="W504">
        <v>259</v>
      </c>
      <c r="X504">
        <v>15</v>
      </c>
      <c r="Y504">
        <v>10</v>
      </c>
      <c r="Z504" t="s">
        <v>928</v>
      </c>
      <c r="AA504" t="s">
        <v>929</v>
      </c>
      <c r="AB504" t="s">
        <v>229</v>
      </c>
      <c r="AC504" t="s">
        <v>230</v>
      </c>
      <c r="AD504" t="s">
        <v>231</v>
      </c>
      <c r="AE504" t="s">
        <v>895</v>
      </c>
      <c r="AG504" t="s">
        <v>930</v>
      </c>
      <c r="AH504">
        <v>0</v>
      </c>
      <c r="AI504">
        <v>206</v>
      </c>
      <c r="AJ504">
        <v>18</v>
      </c>
      <c r="AK504">
        <v>1718</v>
      </c>
      <c r="AL504">
        <v>1.41</v>
      </c>
    </row>
    <row r="505" spans="1:38" x14ac:dyDescent="0.3">
      <c r="A505" t="s">
        <v>891</v>
      </c>
      <c r="B505">
        <v>12020</v>
      </c>
      <c r="C505">
        <v>10</v>
      </c>
      <c r="D505" t="s">
        <v>926</v>
      </c>
      <c r="E505" t="s">
        <v>927</v>
      </c>
      <c r="F505">
        <v>1222</v>
      </c>
      <c r="G505">
        <v>86.37</v>
      </c>
      <c r="H505">
        <v>285.52999999999997</v>
      </c>
      <c r="I505">
        <v>72.400000000000006</v>
      </c>
      <c r="J505">
        <v>239.36</v>
      </c>
      <c r="K505">
        <v>6</v>
      </c>
      <c r="T505">
        <v>5</v>
      </c>
      <c r="U505">
        <v>3</v>
      </c>
      <c r="V505" t="s">
        <v>233</v>
      </c>
      <c r="W505">
        <v>285</v>
      </c>
      <c r="X505">
        <v>15</v>
      </c>
      <c r="Y505">
        <v>10</v>
      </c>
      <c r="Z505" t="s">
        <v>928</v>
      </c>
      <c r="AA505" t="s">
        <v>929</v>
      </c>
      <c r="AB505" t="s">
        <v>229</v>
      </c>
      <c r="AC505" t="s">
        <v>230</v>
      </c>
      <c r="AD505" t="s">
        <v>231</v>
      </c>
      <c r="AE505" t="s">
        <v>895</v>
      </c>
      <c r="AG505" t="s">
        <v>930</v>
      </c>
      <c r="AH505">
        <v>0</v>
      </c>
      <c r="AI505">
        <v>206</v>
      </c>
      <c r="AJ505">
        <v>18</v>
      </c>
      <c r="AK505">
        <v>1718</v>
      </c>
      <c r="AL505">
        <v>1.41</v>
      </c>
    </row>
    <row r="506" spans="1:38" x14ac:dyDescent="0.3">
      <c r="A506" t="s">
        <v>891</v>
      </c>
      <c r="B506">
        <v>11628</v>
      </c>
      <c r="C506">
        <v>1</v>
      </c>
      <c r="D506" t="s">
        <v>931</v>
      </c>
      <c r="E506" t="s">
        <v>932</v>
      </c>
      <c r="F506">
        <v>603</v>
      </c>
      <c r="G506">
        <v>19.27</v>
      </c>
      <c r="H506">
        <v>63.72</v>
      </c>
      <c r="I506">
        <v>13.34</v>
      </c>
      <c r="J506">
        <v>44.13</v>
      </c>
      <c r="K506">
        <v>603</v>
      </c>
      <c r="T506">
        <v>2</v>
      </c>
      <c r="U506">
        <v>1</v>
      </c>
      <c r="V506" t="s">
        <v>226</v>
      </c>
      <c r="W506">
        <v>63</v>
      </c>
      <c r="X506">
        <v>15</v>
      </c>
      <c r="Y506">
        <v>8</v>
      </c>
      <c r="Z506" t="s">
        <v>933</v>
      </c>
      <c r="AA506" t="s">
        <v>934</v>
      </c>
      <c r="AB506" t="s">
        <v>229</v>
      </c>
      <c r="AC506" t="s">
        <v>230</v>
      </c>
      <c r="AD506" t="s">
        <v>231</v>
      </c>
      <c r="AE506" t="s">
        <v>895</v>
      </c>
      <c r="AG506" t="s">
        <v>935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891</v>
      </c>
      <c r="B507">
        <v>15444</v>
      </c>
      <c r="C507">
        <v>1</v>
      </c>
      <c r="D507" t="s">
        <v>936</v>
      </c>
      <c r="E507" t="s">
        <v>937</v>
      </c>
      <c r="F507">
        <v>574</v>
      </c>
      <c r="G507">
        <v>12.19</v>
      </c>
      <c r="H507">
        <v>40.32</v>
      </c>
      <c r="I507">
        <v>12.19</v>
      </c>
      <c r="J507">
        <v>40.32</v>
      </c>
      <c r="K507">
        <v>86</v>
      </c>
      <c r="T507">
        <v>2</v>
      </c>
      <c r="U507">
        <v>1</v>
      </c>
      <c r="V507" t="s">
        <v>233</v>
      </c>
      <c r="W507">
        <v>40</v>
      </c>
      <c r="X507">
        <v>5</v>
      </c>
      <c r="Y507">
        <v>1</v>
      </c>
      <c r="Z507" t="s">
        <v>938</v>
      </c>
      <c r="AA507" t="s">
        <v>939</v>
      </c>
      <c r="AB507" t="s">
        <v>229</v>
      </c>
      <c r="AC507" t="s">
        <v>230</v>
      </c>
      <c r="AD507" t="s">
        <v>231</v>
      </c>
      <c r="AE507" t="s">
        <v>895</v>
      </c>
      <c r="AG507" t="s">
        <v>940</v>
      </c>
      <c r="AH507">
        <v>0</v>
      </c>
      <c r="AI507">
        <v>0</v>
      </c>
      <c r="AJ507">
        <v>0</v>
      </c>
      <c r="AK507">
        <v>0</v>
      </c>
      <c r="AL507">
        <v>0</v>
      </c>
    </row>
    <row r="508" spans="1:38" x14ac:dyDescent="0.3">
      <c r="A508" t="s">
        <v>891</v>
      </c>
      <c r="B508">
        <v>15444</v>
      </c>
      <c r="C508">
        <v>2</v>
      </c>
      <c r="D508" t="s">
        <v>936</v>
      </c>
      <c r="E508" t="s">
        <v>937</v>
      </c>
      <c r="F508">
        <v>574</v>
      </c>
      <c r="G508">
        <v>15.1</v>
      </c>
      <c r="H508">
        <v>49.94</v>
      </c>
      <c r="I508">
        <v>14.15</v>
      </c>
      <c r="J508">
        <v>46.78</v>
      </c>
      <c r="K508">
        <v>44</v>
      </c>
      <c r="T508">
        <v>2</v>
      </c>
      <c r="U508">
        <v>1</v>
      </c>
      <c r="V508" t="s">
        <v>233</v>
      </c>
      <c r="W508" t="s">
        <v>163</v>
      </c>
      <c r="X508">
        <v>5</v>
      </c>
      <c r="Y508">
        <v>1</v>
      </c>
      <c r="Z508" t="s">
        <v>938</v>
      </c>
      <c r="AA508" t="s">
        <v>939</v>
      </c>
      <c r="AB508" t="s">
        <v>229</v>
      </c>
      <c r="AC508" t="s">
        <v>230</v>
      </c>
      <c r="AD508" t="s">
        <v>231</v>
      </c>
      <c r="AE508" t="s">
        <v>895</v>
      </c>
      <c r="AG508" t="s">
        <v>940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891</v>
      </c>
      <c r="B509">
        <v>15444</v>
      </c>
      <c r="C509">
        <v>3</v>
      </c>
      <c r="D509" t="s">
        <v>936</v>
      </c>
      <c r="E509" t="s">
        <v>937</v>
      </c>
      <c r="F509">
        <v>574</v>
      </c>
      <c r="G509">
        <v>15.3</v>
      </c>
      <c r="H509">
        <v>50.59</v>
      </c>
      <c r="I509">
        <v>15.3</v>
      </c>
      <c r="J509">
        <v>50.59</v>
      </c>
      <c r="K509">
        <v>44</v>
      </c>
      <c r="T509">
        <v>2</v>
      </c>
      <c r="U509">
        <v>1</v>
      </c>
      <c r="V509" t="s">
        <v>233</v>
      </c>
      <c r="W509" t="s">
        <v>164</v>
      </c>
      <c r="X509">
        <v>5</v>
      </c>
      <c r="Y509">
        <v>1</v>
      </c>
      <c r="Z509" t="s">
        <v>938</v>
      </c>
      <c r="AA509" t="s">
        <v>939</v>
      </c>
      <c r="AB509" t="s">
        <v>229</v>
      </c>
      <c r="AC509" t="s">
        <v>230</v>
      </c>
      <c r="AD509" t="s">
        <v>231</v>
      </c>
      <c r="AE509" t="s">
        <v>895</v>
      </c>
      <c r="AG509" t="s">
        <v>940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891</v>
      </c>
      <c r="B510">
        <v>15444</v>
      </c>
      <c r="C510">
        <v>4</v>
      </c>
      <c r="D510" t="s">
        <v>936</v>
      </c>
      <c r="E510" t="s">
        <v>937</v>
      </c>
      <c r="F510">
        <v>574</v>
      </c>
      <c r="G510">
        <v>15.34</v>
      </c>
      <c r="H510">
        <v>50.72</v>
      </c>
      <c r="I510">
        <v>15.34</v>
      </c>
      <c r="J510">
        <v>50.72</v>
      </c>
      <c r="K510">
        <v>40</v>
      </c>
      <c r="T510">
        <v>2</v>
      </c>
      <c r="U510">
        <v>1</v>
      </c>
      <c r="V510" t="s">
        <v>233</v>
      </c>
      <c r="W510" t="s">
        <v>165</v>
      </c>
      <c r="X510">
        <v>5</v>
      </c>
      <c r="Y510">
        <v>1</v>
      </c>
      <c r="Z510" t="s">
        <v>938</v>
      </c>
      <c r="AA510" t="s">
        <v>939</v>
      </c>
      <c r="AB510" t="s">
        <v>229</v>
      </c>
      <c r="AC510" t="s">
        <v>230</v>
      </c>
      <c r="AD510" t="s">
        <v>231</v>
      </c>
      <c r="AE510" t="s">
        <v>895</v>
      </c>
      <c r="AG510" t="s">
        <v>940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891</v>
      </c>
      <c r="B511">
        <v>15444</v>
      </c>
      <c r="C511">
        <v>5</v>
      </c>
      <c r="D511" t="s">
        <v>936</v>
      </c>
      <c r="E511" t="s">
        <v>937</v>
      </c>
      <c r="F511">
        <v>574</v>
      </c>
      <c r="G511">
        <v>15.84</v>
      </c>
      <c r="H511">
        <v>52.37</v>
      </c>
      <c r="I511">
        <v>14.2</v>
      </c>
      <c r="J511">
        <v>46.97</v>
      </c>
      <c r="K511">
        <v>90</v>
      </c>
      <c r="T511">
        <v>2</v>
      </c>
      <c r="U511">
        <v>1</v>
      </c>
      <c r="V511" t="s">
        <v>233</v>
      </c>
      <c r="W511" t="s">
        <v>166</v>
      </c>
      <c r="X511">
        <v>5</v>
      </c>
      <c r="Y511">
        <v>1</v>
      </c>
      <c r="Z511" t="s">
        <v>938</v>
      </c>
      <c r="AA511" t="s">
        <v>939</v>
      </c>
      <c r="AB511" t="s">
        <v>229</v>
      </c>
      <c r="AC511" t="s">
        <v>230</v>
      </c>
      <c r="AD511" t="s">
        <v>231</v>
      </c>
      <c r="AE511" t="s">
        <v>895</v>
      </c>
      <c r="AG511" t="s">
        <v>940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891</v>
      </c>
      <c r="B512">
        <v>15444</v>
      </c>
      <c r="C512">
        <v>6</v>
      </c>
      <c r="D512" t="s">
        <v>936</v>
      </c>
      <c r="E512" t="s">
        <v>937</v>
      </c>
      <c r="F512">
        <v>574</v>
      </c>
      <c r="G512">
        <v>15.95</v>
      </c>
      <c r="H512">
        <v>52.73</v>
      </c>
      <c r="I512">
        <v>14.31</v>
      </c>
      <c r="J512">
        <v>47.33</v>
      </c>
      <c r="K512">
        <v>90</v>
      </c>
      <c r="T512">
        <v>2</v>
      </c>
      <c r="U512">
        <v>1</v>
      </c>
      <c r="V512" t="s">
        <v>233</v>
      </c>
      <c r="W512" t="s">
        <v>167</v>
      </c>
      <c r="X512">
        <v>5</v>
      </c>
      <c r="Y512">
        <v>1</v>
      </c>
      <c r="Z512" t="s">
        <v>938</v>
      </c>
      <c r="AA512" t="s">
        <v>939</v>
      </c>
      <c r="AB512" t="s">
        <v>229</v>
      </c>
      <c r="AC512" t="s">
        <v>230</v>
      </c>
      <c r="AD512" t="s">
        <v>231</v>
      </c>
      <c r="AE512" t="s">
        <v>895</v>
      </c>
      <c r="AG512" t="s">
        <v>940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891</v>
      </c>
      <c r="B513">
        <v>15444</v>
      </c>
      <c r="C513">
        <v>7</v>
      </c>
      <c r="D513" t="s">
        <v>936</v>
      </c>
      <c r="E513" t="s">
        <v>937</v>
      </c>
      <c r="F513">
        <v>574</v>
      </c>
      <c r="G513">
        <v>15.92</v>
      </c>
      <c r="H513">
        <v>52.65</v>
      </c>
      <c r="I513">
        <v>14.72</v>
      </c>
      <c r="J513">
        <v>48.69</v>
      </c>
      <c r="K513">
        <v>40</v>
      </c>
      <c r="T513">
        <v>2</v>
      </c>
      <c r="U513">
        <v>1</v>
      </c>
      <c r="V513" t="s">
        <v>233</v>
      </c>
      <c r="W513" t="s">
        <v>168</v>
      </c>
      <c r="X513">
        <v>5</v>
      </c>
      <c r="Y513">
        <v>1</v>
      </c>
      <c r="Z513" t="s">
        <v>938</v>
      </c>
      <c r="AA513" t="s">
        <v>939</v>
      </c>
      <c r="AB513" t="s">
        <v>229</v>
      </c>
      <c r="AC513" t="s">
        <v>230</v>
      </c>
      <c r="AD513" t="s">
        <v>231</v>
      </c>
      <c r="AE513" t="s">
        <v>895</v>
      </c>
      <c r="AG513" t="s">
        <v>940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891</v>
      </c>
      <c r="B514">
        <v>15444</v>
      </c>
      <c r="C514">
        <v>8</v>
      </c>
      <c r="D514" t="s">
        <v>936</v>
      </c>
      <c r="E514" t="s">
        <v>937</v>
      </c>
      <c r="F514">
        <v>574</v>
      </c>
      <c r="G514">
        <v>17.989999999999998</v>
      </c>
      <c r="H514">
        <v>59.49</v>
      </c>
      <c r="I514">
        <v>16.36</v>
      </c>
      <c r="J514">
        <v>54.09</v>
      </c>
      <c r="K514">
        <v>80</v>
      </c>
      <c r="T514">
        <v>2</v>
      </c>
      <c r="U514">
        <v>1</v>
      </c>
      <c r="V514" t="s">
        <v>233</v>
      </c>
      <c r="W514" t="s">
        <v>169</v>
      </c>
      <c r="X514">
        <v>5</v>
      </c>
      <c r="Y514">
        <v>1</v>
      </c>
      <c r="Z514" t="s">
        <v>938</v>
      </c>
      <c r="AA514" t="s">
        <v>939</v>
      </c>
      <c r="AB514" t="s">
        <v>229</v>
      </c>
      <c r="AC514" t="s">
        <v>230</v>
      </c>
      <c r="AD514" t="s">
        <v>231</v>
      </c>
      <c r="AE514" t="s">
        <v>895</v>
      </c>
      <c r="AG514" t="s">
        <v>940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891</v>
      </c>
      <c r="B515">
        <v>15444</v>
      </c>
      <c r="C515">
        <v>9</v>
      </c>
      <c r="D515" t="s">
        <v>936</v>
      </c>
      <c r="E515" t="s">
        <v>937</v>
      </c>
      <c r="F515">
        <v>574</v>
      </c>
      <c r="G515">
        <v>17.86</v>
      </c>
      <c r="H515">
        <v>59.05</v>
      </c>
      <c r="I515">
        <v>16.22</v>
      </c>
      <c r="J515">
        <v>53.65</v>
      </c>
      <c r="K515">
        <v>40</v>
      </c>
      <c r="T515">
        <v>2</v>
      </c>
      <c r="U515">
        <v>1</v>
      </c>
      <c r="V515" t="s">
        <v>233</v>
      </c>
      <c r="W515" t="s">
        <v>170</v>
      </c>
      <c r="X515">
        <v>5</v>
      </c>
      <c r="Y515">
        <v>1</v>
      </c>
      <c r="Z515" t="s">
        <v>938</v>
      </c>
      <c r="AA515" t="s">
        <v>939</v>
      </c>
      <c r="AB515" t="s">
        <v>229</v>
      </c>
      <c r="AC515" t="s">
        <v>230</v>
      </c>
      <c r="AD515" t="s">
        <v>231</v>
      </c>
      <c r="AE515" t="s">
        <v>895</v>
      </c>
      <c r="AG515" t="s">
        <v>940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891</v>
      </c>
      <c r="B516">
        <v>15444</v>
      </c>
      <c r="C516">
        <v>10</v>
      </c>
      <c r="D516" t="s">
        <v>936</v>
      </c>
      <c r="E516" t="s">
        <v>937</v>
      </c>
      <c r="F516">
        <v>574</v>
      </c>
      <c r="G516">
        <v>17.95</v>
      </c>
      <c r="H516">
        <v>59.36</v>
      </c>
      <c r="I516">
        <v>16.32</v>
      </c>
      <c r="J516">
        <v>53.96</v>
      </c>
      <c r="K516">
        <v>20</v>
      </c>
      <c r="T516">
        <v>2</v>
      </c>
      <c r="U516">
        <v>1</v>
      </c>
      <c r="V516" t="s">
        <v>233</v>
      </c>
      <c r="W516" t="s">
        <v>171</v>
      </c>
      <c r="X516">
        <v>5</v>
      </c>
      <c r="Y516">
        <v>1</v>
      </c>
      <c r="Z516" t="s">
        <v>938</v>
      </c>
      <c r="AA516" t="s">
        <v>939</v>
      </c>
      <c r="AB516" t="s">
        <v>229</v>
      </c>
      <c r="AC516" t="s">
        <v>230</v>
      </c>
      <c r="AD516" t="s">
        <v>231</v>
      </c>
      <c r="AE516" t="s">
        <v>895</v>
      </c>
      <c r="AG516" t="s">
        <v>940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891</v>
      </c>
      <c r="B517">
        <v>15456</v>
      </c>
      <c r="C517">
        <v>1</v>
      </c>
      <c r="D517" t="s">
        <v>941</v>
      </c>
      <c r="E517" t="s">
        <v>396</v>
      </c>
      <c r="F517">
        <v>150</v>
      </c>
      <c r="G517">
        <v>24.53</v>
      </c>
      <c r="H517">
        <v>81.099999999999994</v>
      </c>
      <c r="I517">
        <v>20.440000000000001</v>
      </c>
      <c r="J517">
        <v>67.59</v>
      </c>
      <c r="K517">
        <v>42</v>
      </c>
      <c r="T517">
        <v>3</v>
      </c>
      <c r="U517">
        <v>1</v>
      </c>
      <c r="V517" t="s">
        <v>233</v>
      </c>
      <c r="W517">
        <v>81</v>
      </c>
      <c r="X517">
        <v>6</v>
      </c>
      <c r="Y517">
        <v>6</v>
      </c>
      <c r="Z517" t="s">
        <v>942</v>
      </c>
      <c r="AA517" t="s">
        <v>943</v>
      </c>
      <c r="AB517" t="s">
        <v>229</v>
      </c>
      <c r="AC517" t="s">
        <v>230</v>
      </c>
      <c r="AD517" t="s">
        <v>231</v>
      </c>
      <c r="AE517" t="s">
        <v>895</v>
      </c>
      <c r="AG517" t="s">
        <v>944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891</v>
      </c>
      <c r="B518">
        <v>15456</v>
      </c>
      <c r="C518">
        <v>2</v>
      </c>
      <c r="D518" t="s">
        <v>941</v>
      </c>
      <c r="E518" t="s">
        <v>396</v>
      </c>
      <c r="F518">
        <v>150</v>
      </c>
      <c r="G518">
        <v>29.79</v>
      </c>
      <c r="H518">
        <v>98.48</v>
      </c>
      <c r="I518">
        <v>25.7</v>
      </c>
      <c r="J518">
        <v>84.97</v>
      </c>
      <c r="K518">
        <v>108</v>
      </c>
      <c r="T518">
        <v>3</v>
      </c>
      <c r="U518">
        <v>2</v>
      </c>
      <c r="V518" t="s">
        <v>233</v>
      </c>
      <c r="W518">
        <v>98</v>
      </c>
      <c r="X518">
        <v>6</v>
      </c>
      <c r="Y518">
        <v>6</v>
      </c>
      <c r="Z518" t="s">
        <v>942</v>
      </c>
      <c r="AA518" t="s">
        <v>943</v>
      </c>
      <c r="AB518" t="s">
        <v>229</v>
      </c>
      <c r="AC518" t="s">
        <v>230</v>
      </c>
      <c r="AD518" t="s">
        <v>231</v>
      </c>
      <c r="AE518" t="s">
        <v>895</v>
      </c>
      <c r="AG518" t="s">
        <v>944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891</v>
      </c>
      <c r="B519">
        <v>104975</v>
      </c>
      <c r="C519">
        <v>1</v>
      </c>
      <c r="D519" t="s">
        <v>945</v>
      </c>
      <c r="E519" t="s">
        <v>946</v>
      </c>
      <c r="F519">
        <v>75</v>
      </c>
      <c r="G519">
        <v>18.25</v>
      </c>
      <c r="H519">
        <v>60.36</v>
      </c>
      <c r="I519">
        <v>14.51</v>
      </c>
      <c r="J519">
        <v>47.97</v>
      </c>
      <c r="K519">
        <v>1</v>
      </c>
      <c r="T519">
        <v>2</v>
      </c>
      <c r="U519">
        <v>1</v>
      </c>
      <c r="V519" t="s">
        <v>226</v>
      </c>
      <c r="W519">
        <v>60</v>
      </c>
      <c r="X519">
        <v>13</v>
      </c>
      <c r="Y519">
        <v>13</v>
      </c>
      <c r="Z519" t="s">
        <v>947</v>
      </c>
      <c r="AA519" t="s">
        <v>948</v>
      </c>
      <c r="AB519" t="s">
        <v>229</v>
      </c>
      <c r="AC519" t="s">
        <v>230</v>
      </c>
      <c r="AD519" t="s">
        <v>231</v>
      </c>
      <c r="AE519" t="s">
        <v>895</v>
      </c>
      <c r="AG519" t="s">
        <v>949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891</v>
      </c>
      <c r="B520">
        <v>104975</v>
      </c>
      <c r="C520">
        <v>2</v>
      </c>
      <c r="D520" t="s">
        <v>945</v>
      </c>
      <c r="E520" t="s">
        <v>946</v>
      </c>
      <c r="F520">
        <v>75</v>
      </c>
      <c r="G520">
        <v>22.71</v>
      </c>
      <c r="H520">
        <v>75.08</v>
      </c>
      <c r="I520">
        <v>18.05</v>
      </c>
      <c r="J520">
        <v>59.67</v>
      </c>
      <c r="K520">
        <v>74</v>
      </c>
      <c r="T520">
        <v>3</v>
      </c>
      <c r="U520">
        <v>2</v>
      </c>
      <c r="V520" t="s">
        <v>226</v>
      </c>
      <c r="W520">
        <v>75</v>
      </c>
      <c r="X520">
        <v>13</v>
      </c>
      <c r="Y520">
        <v>13</v>
      </c>
      <c r="Z520" t="s">
        <v>947</v>
      </c>
      <c r="AA520" t="s">
        <v>948</v>
      </c>
      <c r="AB520" t="s">
        <v>229</v>
      </c>
      <c r="AC520" t="s">
        <v>230</v>
      </c>
      <c r="AD520" t="s">
        <v>231</v>
      </c>
      <c r="AE520" t="s">
        <v>895</v>
      </c>
      <c r="AG520" t="s">
        <v>949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38" x14ac:dyDescent="0.3">
      <c r="A521" t="s">
        <v>891</v>
      </c>
      <c r="B521">
        <v>15460</v>
      </c>
      <c r="C521">
        <v>1</v>
      </c>
      <c r="D521" t="s">
        <v>950</v>
      </c>
      <c r="E521" t="s">
        <v>582</v>
      </c>
      <c r="F521">
        <v>240</v>
      </c>
      <c r="G521">
        <v>16.55</v>
      </c>
      <c r="H521">
        <v>54.74</v>
      </c>
      <c r="I521">
        <v>14.67</v>
      </c>
      <c r="J521">
        <v>48.5</v>
      </c>
      <c r="K521">
        <v>240</v>
      </c>
      <c r="T521">
        <v>2</v>
      </c>
      <c r="U521">
        <v>1</v>
      </c>
      <c r="V521" t="s">
        <v>233</v>
      </c>
      <c r="W521">
        <v>54</v>
      </c>
      <c r="X521">
        <v>6</v>
      </c>
      <c r="Y521">
        <v>6</v>
      </c>
      <c r="Z521" t="s">
        <v>951</v>
      </c>
      <c r="AA521" t="s">
        <v>952</v>
      </c>
      <c r="AB521" t="s">
        <v>229</v>
      </c>
      <c r="AC521" t="s">
        <v>230</v>
      </c>
      <c r="AD521" t="s">
        <v>231</v>
      </c>
      <c r="AE521" t="s">
        <v>895</v>
      </c>
      <c r="AG521" t="s">
        <v>953</v>
      </c>
      <c r="AH521">
        <v>0</v>
      </c>
      <c r="AI521">
        <v>0</v>
      </c>
      <c r="AJ521">
        <v>0</v>
      </c>
      <c r="AK521">
        <v>0</v>
      </c>
      <c r="AL521">
        <v>0</v>
      </c>
    </row>
    <row r="522" spans="1:38" x14ac:dyDescent="0.3">
      <c r="A522" t="s">
        <v>891</v>
      </c>
      <c r="B522">
        <v>101025</v>
      </c>
      <c r="C522">
        <v>1</v>
      </c>
      <c r="D522" t="s">
        <v>954</v>
      </c>
      <c r="E522" t="s">
        <v>872</v>
      </c>
      <c r="F522">
        <v>277</v>
      </c>
      <c r="G522">
        <v>13.73</v>
      </c>
      <c r="H522">
        <v>45.39</v>
      </c>
      <c r="I522">
        <v>8.84</v>
      </c>
      <c r="J522">
        <v>29.25</v>
      </c>
      <c r="K522">
        <v>67</v>
      </c>
      <c r="T522">
        <v>2</v>
      </c>
      <c r="U522">
        <v>1</v>
      </c>
      <c r="V522" t="s">
        <v>233</v>
      </c>
      <c r="W522">
        <v>45</v>
      </c>
      <c r="X522">
        <v>6</v>
      </c>
      <c r="Y522">
        <v>5</v>
      </c>
      <c r="Z522" t="s">
        <v>955</v>
      </c>
      <c r="AA522" t="s">
        <v>956</v>
      </c>
      <c r="AB522" t="s">
        <v>229</v>
      </c>
      <c r="AC522" t="s">
        <v>230</v>
      </c>
      <c r="AD522" t="s">
        <v>231</v>
      </c>
      <c r="AE522" t="s">
        <v>895</v>
      </c>
      <c r="AG522" t="s">
        <v>957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 x14ac:dyDescent="0.3">
      <c r="A523" t="s">
        <v>891</v>
      </c>
      <c r="B523">
        <v>101025</v>
      </c>
      <c r="C523">
        <v>2</v>
      </c>
      <c r="D523" t="s">
        <v>954</v>
      </c>
      <c r="E523" t="s">
        <v>872</v>
      </c>
      <c r="F523">
        <v>277</v>
      </c>
      <c r="G523">
        <v>16.05</v>
      </c>
      <c r="H523">
        <v>53.07</v>
      </c>
      <c r="I523">
        <v>10.34</v>
      </c>
      <c r="J523">
        <v>34.200000000000003</v>
      </c>
      <c r="K523">
        <v>30</v>
      </c>
      <c r="T523">
        <v>2</v>
      </c>
      <c r="U523">
        <v>1</v>
      </c>
      <c r="V523" t="s">
        <v>233</v>
      </c>
      <c r="W523">
        <v>53</v>
      </c>
      <c r="X523">
        <v>6</v>
      </c>
      <c r="Y523">
        <v>5</v>
      </c>
      <c r="Z523" t="s">
        <v>955</v>
      </c>
      <c r="AA523" t="s">
        <v>956</v>
      </c>
      <c r="AB523" t="s">
        <v>229</v>
      </c>
      <c r="AC523" t="s">
        <v>230</v>
      </c>
      <c r="AD523" t="s">
        <v>231</v>
      </c>
      <c r="AE523" t="s">
        <v>895</v>
      </c>
      <c r="AG523" t="s">
        <v>957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">
      <c r="A524" t="s">
        <v>891</v>
      </c>
      <c r="B524">
        <v>101025</v>
      </c>
      <c r="C524">
        <v>3</v>
      </c>
      <c r="D524" t="s">
        <v>954</v>
      </c>
      <c r="E524" t="s">
        <v>872</v>
      </c>
      <c r="F524">
        <v>277</v>
      </c>
      <c r="G524">
        <v>24.65</v>
      </c>
      <c r="H524">
        <v>81.5</v>
      </c>
      <c r="I524">
        <v>19.899999999999999</v>
      </c>
      <c r="J524">
        <v>65.790000000000006</v>
      </c>
      <c r="K524">
        <v>150</v>
      </c>
      <c r="T524">
        <v>3</v>
      </c>
      <c r="U524">
        <v>1</v>
      </c>
      <c r="V524" t="s">
        <v>233</v>
      </c>
      <c r="W524" t="s">
        <v>172</v>
      </c>
      <c r="X524">
        <v>6</v>
      </c>
      <c r="Y524">
        <v>5</v>
      </c>
      <c r="Z524" t="s">
        <v>955</v>
      </c>
      <c r="AA524" t="s">
        <v>956</v>
      </c>
      <c r="AB524" t="s">
        <v>229</v>
      </c>
      <c r="AC524" t="s">
        <v>230</v>
      </c>
      <c r="AD524" t="s">
        <v>231</v>
      </c>
      <c r="AE524" t="s">
        <v>895</v>
      </c>
      <c r="AG524" t="s">
        <v>957</v>
      </c>
      <c r="AH524">
        <v>0</v>
      </c>
      <c r="AI524">
        <v>0</v>
      </c>
      <c r="AJ524">
        <v>0</v>
      </c>
      <c r="AK524">
        <v>0</v>
      </c>
      <c r="AL524">
        <v>0</v>
      </c>
    </row>
    <row r="525" spans="1:38" x14ac:dyDescent="0.3">
      <c r="A525" t="s">
        <v>891</v>
      </c>
      <c r="B525">
        <v>101025</v>
      </c>
      <c r="C525">
        <v>4</v>
      </c>
      <c r="D525" t="s">
        <v>954</v>
      </c>
      <c r="E525" t="s">
        <v>872</v>
      </c>
      <c r="F525">
        <v>277</v>
      </c>
      <c r="G525">
        <v>25.46</v>
      </c>
      <c r="H525">
        <v>84.18</v>
      </c>
      <c r="I525">
        <v>20.22</v>
      </c>
      <c r="J525">
        <v>66.87</v>
      </c>
      <c r="K525">
        <v>30</v>
      </c>
      <c r="T525">
        <v>3</v>
      </c>
      <c r="U525">
        <v>1</v>
      </c>
      <c r="V525" t="s">
        <v>233</v>
      </c>
      <c r="W525" t="s">
        <v>173</v>
      </c>
      <c r="X525">
        <v>6</v>
      </c>
      <c r="Y525">
        <v>5</v>
      </c>
      <c r="Z525" t="s">
        <v>955</v>
      </c>
      <c r="AA525" t="s">
        <v>956</v>
      </c>
      <c r="AB525" t="s">
        <v>229</v>
      </c>
      <c r="AC525" t="s">
        <v>230</v>
      </c>
      <c r="AD525" t="s">
        <v>231</v>
      </c>
      <c r="AE525" t="s">
        <v>895</v>
      </c>
      <c r="AG525" t="s">
        <v>957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891</v>
      </c>
      <c r="B526">
        <v>9980</v>
      </c>
      <c r="C526">
        <v>1</v>
      </c>
      <c r="D526" t="s">
        <v>958</v>
      </c>
      <c r="E526" t="s">
        <v>959</v>
      </c>
      <c r="F526">
        <v>199</v>
      </c>
      <c r="G526">
        <v>22.87</v>
      </c>
      <c r="H526">
        <v>75.62</v>
      </c>
      <c r="I526">
        <v>18.13</v>
      </c>
      <c r="J526">
        <v>59.95</v>
      </c>
      <c r="K526">
        <v>116</v>
      </c>
      <c r="T526">
        <v>3</v>
      </c>
      <c r="U526">
        <v>1</v>
      </c>
      <c r="V526" t="s">
        <v>233</v>
      </c>
      <c r="W526">
        <v>75</v>
      </c>
      <c r="X526">
        <v>15</v>
      </c>
      <c r="Y526">
        <v>7</v>
      </c>
      <c r="Z526" t="s">
        <v>960</v>
      </c>
      <c r="AA526" t="s">
        <v>961</v>
      </c>
      <c r="AB526" t="s">
        <v>229</v>
      </c>
      <c r="AC526" t="s">
        <v>230</v>
      </c>
      <c r="AD526" t="s">
        <v>231</v>
      </c>
      <c r="AE526" t="s">
        <v>895</v>
      </c>
      <c r="AG526" t="s">
        <v>962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891</v>
      </c>
      <c r="B527">
        <v>9980</v>
      </c>
      <c r="C527">
        <v>2</v>
      </c>
      <c r="D527" t="s">
        <v>958</v>
      </c>
      <c r="E527" t="s">
        <v>959</v>
      </c>
      <c r="F527">
        <v>199</v>
      </c>
      <c r="G527">
        <v>31.06</v>
      </c>
      <c r="H527">
        <v>102.71</v>
      </c>
      <c r="I527">
        <v>25.58</v>
      </c>
      <c r="J527">
        <v>84.57</v>
      </c>
      <c r="K527">
        <v>83</v>
      </c>
      <c r="T527">
        <v>3</v>
      </c>
      <c r="U527">
        <v>2</v>
      </c>
      <c r="V527" t="s">
        <v>233</v>
      </c>
      <c r="W527">
        <v>102</v>
      </c>
      <c r="X527">
        <v>15</v>
      </c>
      <c r="Y527">
        <v>7</v>
      </c>
      <c r="Z527" t="s">
        <v>960</v>
      </c>
      <c r="AA527" t="s">
        <v>961</v>
      </c>
      <c r="AB527" t="s">
        <v>229</v>
      </c>
      <c r="AC527" t="s">
        <v>230</v>
      </c>
      <c r="AD527" t="s">
        <v>231</v>
      </c>
      <c r="AE527" t="s">
        <v>895</v>
      </c>
      <c r="AG527" t="s">
        <v>962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891</v>
      </c>
      <c r="B528">
        <v>15445</v>
      </c>
      <c r="C528">
        <v>1</v>
      </c>
      <c r="D528" t="s">
        <v>963</v>
      </c>
      <c r="E528" t="s">
        <v>461</v>
      </c>
      <c r="F528">
        <v>556</v>
      </c>
      <c r="G528">
        <v>13.64</v>
      </c>
      <c r="H528">
        <v>45.12</v>
      </c>
      <c r="I528">
        <v>12.01</v>
      </c>
      <c r="J528">
        <v>39.72</v>
      </c>
      <c r="K528">
        <v>90</v>
      </c>
      <c r="T528">
        <v>2</v>
      </c>
      <c r="U528">
        <v>1</v>
      </c>
      <c r="V528" t="s">
        <v>233</v>
      </c>
      <c r="W528">
        <v>45</v>
      </c>
      <c r="X528">
        <v>5</v>
      </c>
      <c r="Y528">
        <v>5</v>
      </c>
      <c r="Z528" t="s">
        <v>964</v>
      </c>
      <c r="AA528" t="s">
        <v>965</v>
      </c>
      <c r="AB528" t="s">
        <v>229</v>
      </c>
      <c r="AC528" t="s">
        <v>230</v>
      </c>
      <c r="AD528" t="s">
        <v>231</v>
      </c>
      <c r="AE528" t="s">
        <v>895</v>
      </c>
      <c r="AG528" t="s">
        <v>966</v>
      </c>
      <c r="AH528">
        <v>0</v>
      </c>
      <c r="AI528">
        <v>0</v>
      </c>
      <c r="AJ528">
        <v>0</v>
      </c>
      <c r="AK528">
        <v>293</v>
      </c>
      <c r="AL528">
        <v>0.53</v>
      </c>
    </row>
    <row r="529" spans="1:38" x14ac:dyDescent="0.3">
      <c r="A529" t="s">
        <v>891</v>
      </c>
      <c r="B529">
        <v>15445</v>
      </c>
      <c r="C529">
        <v>2</v>
      </c>
      <c r="D529" t="s">
        <v>963</v>
      </c>
      <c r="E529" t="s">
        <v>461</v>
      </c>
      <c r="F529">
        <v>556</v>
      </c>
      <c r="G529">
        <v>13.79</v>
      </c>
      <c r="H529">
        <v>45.6</v>
      </c>
      <c r="I529">
        <v>12.05</v>
      </c>
      <c r="J529">
        <v>39.840000000000003</v>
      </c>
      <c r="K529">
        <v>1</v>
      </c>
      <c r="T529">
        <v>2</v>
      </c>
      <c r="U529">
        <v>1</v>
      </c>
      <c r="V529" t="s">
        <v>233</v>
      </c>
      <c r="W529" t="s">
        <v>174</v>
      </c>
      <c r="X529">
        <v>5</v>
      </c>
      <c r="Y529">
        <v>5</v>
      </c>
      <c r="Z529" t="s">
        <v>964</v>
      </c>
      <c r="AA529" t="s">
        <v>965</v>
      </c>
      <c r="AB529" t="s">
        <v>229</v>
      </c>
      <c r="AC529" t="s">
        <v>230</v>
      </c>
      <c r="AD529" t="s">
        <v>231</v>
      </c>
      <c r="AE529" t="s">
        <v>895</v>
      </c>
      <c r="AG529" t="s">
        <v>966</v>
      </c>
      <c r="AH529">
        <v>0</v>
      </c>
      <c r="AI529">
        <v>0</v>
      </c>
      <c r="AJ529">
        <v>0</v>
      </c>
      <c r="AK529">
        <v>293</v>
      </c>
      <c r="AL529">
        <v>0.53</v>
      </c>
    </row>
    <row r="530" spans="1:38" x14ac:dyDescent="0.3">
      <c r="A530" t="s">
        <v>891</v>
      </c>
      <c r="B530">
        <v>15445</v>
      </c>
      <c r="C530">
        <v>3</v>
      </c>
      <c r="D530" t="s">
        <v>963</v>
      </c>
      <c r="E530" t="s">
        <v>461</v>
      </c>
      <c r="F530">
        <v>556</v>
      </c>
      <c r="G530">
        <v>15.8</v>
      </c>
      <c r="H530">
        <v>52.25</v>
      </c>
      <c r="I530">
        <v>14.15</v>
      </c>
      <c r="J530">
        <v>46.79</v>
      </c>
      <c r="K530">
        <v>48</v>
      </c>
      <c r="T530">
        <v>2</v>
      </c>
      <c r="U530">
        <v>1</v>
      </c>
      <c r="V530" t="s">
        <v>233</v>
      </c>
      <c r="W530" t="s">
        <v>167</v>
      </c>
      <c r="X530">
        <v>5</v>
      </c>
      <c r="Y530">
        <v>5</v>
      </c>
      <c r="Z530" t="s">
        <v>964</v>
      </c>
      <c r="AA530" t="s">
        <v>965</v>
      </c>
      <c r="AB530" t="s">
        <v>229</v>
      </c>
      <c r="AC530" t="s">
        <v>230</v>
      </c>
      <c r="AD530" t="s">
        <v>231</v>
      </c>
      <c r="AE530" t="s">
        <v>895</v>
      </c>
      <c r="AG530" t="s">
        <v>966</v>
      </c>
      <c r="AH530">
        <v>0</v>
      </c>
      <c r="AI530">
        <v>0</v>
      </c>
      <c r="AJ530">
        <v>0</v>
      </c>
      <c r="AK530">
        <v>293</v>
      </c>
      <c r="AL530">
        <v>0.53</v>
      </c>
    </row>
    <row r="531" spans="1:38" x14ac:dyDescent="0.3">
      <c r="A531" t="s">
        <v>891</v>
      </c>
      <c r="B531">
        <v>15445</v>
      </c>
      <c r="C531">
        <v>4</v>
      </c>
      <c r="D531" t="s">
        <v>963</v>
      </c>
      <c r="E531" t="s">
        <v>461</v>
      </c>
      <c r="F531">
        <v>556</v>
      </c>
      <c r="G531">
        <v>15.8</v>
      </c>
      <c r="H531">
        <v>52.26</v>
      </c>
      <c r="I531">
        <v>14.17</v>
      </c>
      <c r="J531">
        <v>46.86</v>
      </c>
      <c r="K531">
        <v>36</v>
      </c>
      <c r="T531">
        <v>2</v>
      </c>
      <c r="U531">
        <v>1</v>
      </c>
      <c r="V531" t="s">
        <v>233</v>
      </c>
      <c r="W531" t="s">
        <v>168</v>
      </c>
      <c r="X531">
        <v>5</v>
      </c>
      <c r="Y531">
        <v>5</v>
      </c>
      <c r="Z531" t="s">
        <v>964</v>
      </c>
      <c r="AA531" t="s">
        <v>965</v>
      </c>
      <c r="AB531" t="s">
        <v>229</v>
      </c>
      <c r="AC531" t="s">
        <v>230</v>
      </c>
      <c r="AD531" t="s">
        <v>231</v>
      </c>
      <c r="AE531" t="s">
        <v>895</v>
      </c>
      <c r="AG531" t="s">
        <v>966</v>
      </c>
      <c r="AH531">
        <v>0</v>
      </c>
      <c r="AI531">
        <v>0</v>
      </c>
      <c r="AJ531">
        <v>0</v>
      </c>
      <c r="AK531">
        <v>293</v>
      </c>
      <c r="AL531">
        <v>0.53</v>
      </c>
    </row>
    <row r="532" spans="1:38" x14ac:dyDescent="0.3">
      <c r="A532" t="s">
        <v>891</v>
      </c>
      <c r="B532">
        <v>15445</v>
      </c>
      <c r="C532">
        <v>5</v>
      </c>
      <c r="D532" t="s">
        <v>963</v>
      </c>
      <c r="E532" t="s">
        <v>461</v>
      </c>
      <c r="F532">
        <v>556</v>
      </c>
      <c r="G532">
        <v>15.88</v>
      </c>
      <c r="H532">
        <v>52.52</v>
      </c>
      <c r="I532">
        <v>15.88</v>
      </c>
      <c r="J532">
        <v>52.52</v>
      </c>
      <c r="K532">
        <v>8</v>
      </c>
      <c r="T532">
        <v>2</v>
      </c>
      <c r="U532">
        <v>1</v>
      </c>
      <c r="V532" t="s">
        <v>233</v>
      </c>
      <c r="W532" t="s">
        <v>175</v>
      </c>
      <c r="X532">
        <v>5</v>
      </c>
      <c r="Y532">
        <v>5</v>
      </c>
      <c r="Z532" t="s">
        <v>964</v>
      </c>
      <c r="AA532" t="s">
        <v>965</v>
      </c>
      <c r="AB532" t="s">
        <v>229</v>
      </c>
      <c r="AC532" t="s">
        <v>230</v>
      </c>
      <c r="AD532" t="s">
        <v>231</v>
      </c>
      <c r="AE532" t="s">
        <v>895</v>
      </c>
      <c r="AG532" t="s">
        <v>966</v>
      </c>
      <c r="AH532">
        <v>0</v>
      </c>
      <c r="AI532">
        <v>0</v>
      </c>
      <c r="AJ532">
        <v>0</v>
      </c>
      <c r="AK532">
        <v>293</v>
      </c>
      <c r="AL532">
        <v>0.53</v>
      </c>
    </row>
    <row r="533" spans="1:38" x14ac:dyDescent="0.3">
      <c r="A533" t="s">
        <v>891</v>
      </c>
      <c r="B533">
        <v>15445</v>
      </c>
      <c r="C533">
        <v>6</v>
      </c>
      <c r="D533" t="s">
        <v>963</v>
      </c>
      <c r="E533" t="s">
        <v>461</v>
      </c>
      <c r="F533">
        <v>556</v>
      </c>
      <c r="G533">
        <v>16.059999999999999</v>
      </c>
      <c r="H533">
        <v>53.1</v>
      </c>
      <c r="I533">
        <v>15.11</v>
      </c>
      <c r="J533">
        <v>49.96</v>
      </c>
      <c r="K533">
        <v>8</v>
      </c>
      <c r="T533">
        <v>2</v>
      </c>
      <c r="U533">
        <v>1</v>
      </c>
      <c r="V533" t="s">
        <v>233</v>
      </c>
      <c r="W533" t="s">
        <v>176</v>
      </c>
      <c r="X533">
        <v>5</v>
      </c>
      <c r="Y533">
        <v>5</v>
      </c>
      <c r="Z533" t="s">
        <v>964</v>
      </c>
      <c r="AA533" t="s">
        <v>965</v>
      </c>
      <c r="AB533" t="s">
        <v>229</v>
      </c>
      <c r="AC533" t="s">
        <v>230</v>
      </c>
      <c r="AD533" t="s">
        <v>231</v>
      </c>
      <c r="AE533" t="s">
        <v>895</v>
      </c>
      <c r="AG533" t="s">
        <v>966</v>
      </c>
      <c r="AH533">
        <v>0</v>
      </c>
      <c r="AI533">
        <v>0</v>
      </c>
      <c r="AJ533">
        <v>0</v>
      </c>
      <c r="AK533">
        <v>293</v>
      </c>
      <c r="AL533">
        <v>0.53</v>
      </c>
    </row>
    <row r="534" spans="1:38" x14ac:dyDescent="0.3">
      <c r="A534" t="s">
        <v>891</v>
      </c>
      <c r="B534">
        <v>15445</v>
      </c>
      <c r="C534">
        <v>7</v>
      </c>
      <c r="D534" t="s">
        <v>963</v>
      </c>
      <c r="E534" t="s">
        <v>461</v>
      </c>
      <c r="F534">
        <v>556</v>
      </c>
      <c r="G534">
        <v>16.190000000000001</v>
      </c>
      <c r="H534">
        <v>53.55</v>
      </c>
      <c r="I534">
        <v>14.15</v>
      </c>
      <c r="J534">
        <v>46.78</v>
      </c>
      <c r="K534">
        <v>3</v>
      </c>
      <c r="T534">
        <v>2</v>
      </c>
      <c r="U534">
        <v>1</v>
      </c>
      <c r="V534" t="s">
        <v>233</v>
      </c>
      <c r="W534" t="s">
        <v>177</v>
      </c>
      <c r="X534">
        <v>5</v>
      </c>
      <c r="Y534">
        <v>5</v>
      </c>
      <c r="Z534" t="s">
        <v>964</v>
      </c>
      <c r="AA534" t="s">
        <v>965</v>
      </c>
      <c r="AB534" t="s">
        <v>229</v>
      </c>
      <c r="AC534" t="s">
        <v>230</v>
      </c>
      <c r="AD534" t="s">
        <v>231</v>
      </c>
      <c r="AE534" t="s">
        <v>895</v>
      </c>
      <c r="AG534" t="s">
        <v>966</v>
      </c>
      <c r="AH534">
        <v>0</v>
      </c>
      <c r="AI534">
        <v>0</v>
      </c>
      <c r="AJ534">
        <v>0</v>
      </c>
      <c r="AK534">
        <v>293</v>
      </c>
      <c r="AL534">
        <v>0.53</v>
      </c>
    </row>
    <row r="535" spans="1:38" x14ac:dyDescent="0.3">
      <c r="A535" t="s">
        <v>891</v>
      </c>
      <c r="B535">
        <v>15445</v>
      </c>
      <c r="C535">
        <v>8</v>
      </c>
      <c r="D535" t="s">
        <v>963</v>
      </c>
      <c r="E535" t="s">
        <v>461</v>
      </c>
      <c r="F535">
        <v>556</v>
      </c>
      <c r="G535">
        <v>16.28</v>
      </c>
      <c r="H535">
        <v>53.84</v>
      </c>
      <c r="I535">
        <v>14.22</v>
      </c>
      <c r="J535">
        <v>47.04</v>
      </c>
      <c r="K535">
        <v>2</v>
      </c>
      <c r="T535">
        <v>2</v>
      </c>
      <c r="U535">
        <v>1</v>
      </c>
      <c r="V535" t="s">
        <v>233</v>
      </c>
      <c r="W535" t="s">
        <v>178</v>
      </c>
      <c r="X535">
        <v>5</v>
      </c>
      <c r="Y535">
        <v>5</v>
      </c>
      <c r="Z535" t="s">
        <v>964</v>
      </c>
      <c r="AA535" t="s">
        <v>965</v>
      </c>
      <c r="AB535" t="s">
        <v>229</v>
      </c>
      <c r="AC535" t="s">
        <v>230</v>
      </c>
      <c r="AD535" t="s">
        <v>231</v>
      </c>
      <c r="AE535" t="s">
        <v>895</v>
      </c>
      <c r="AG535" t="s">
        <v>966</v>
      </c>
      <c r="AH535">
        <v>0</v>
      </c>
      <c r="AI535">
        <v>0</v>
      </c>
      <c r="AJ535">
        <v>0</v>
      </c>
      <c r="AK535">
        <v>293</v>
      </c>
      <c r="AL535">
        <v>0.53</v>
      </c>
    </row>
    <row r="536" spans="1:38" x14ac:dyDescent="0.3">
      <c r="A536" t="s">
        <v>891</v>
      </c>
      <c r="B536">
        <v>15445</v>
      </c>
      <c r="C536">
        <v>9</v>
      </c>
      <c r="D536" t="s">
        <v>963</v>
      </c>
      <c r="E536" t="s">
        <v>461</v>
      </c>
      <c r="F536">
        <v>556</v>
      </c>
      <c r="G536">
        <v>17.809999999999999</v>
      </c>
      <c r="H536">
        <v>58.88</v>
      </c>
      <c r="I536">
        <v>16.28</v>
      </c>
      <c r="J536">
        <v>53.85</v>
      </c>
      <c r="K536">
        <v>198</v>
      </c>
      <c r="T536">
        <v>2</v>
      </c>
      <c r="U536">
        <v>1</v>
      </c>
      <c r="V536" t="s">
        <v>233</v>
      </c>
      <c r="W536">
        <v>58</v>
      </c>
      <c r="X536">
        <v>5</v>
      </c>
      <c r="Y536">
        <v>5</v>
      </c>
      <c r="Z536" t="s">
        <v>964</v>
      </c>
      <c r="AA536" t="s">
        <v>965</v>
      </c>
      <c r="AB536" t="s">
        <v>229</v>
      </c>
      <c r="AC536" t="s">
        <v>230</v>
      </c>
      <c r="AD536" t="s">
        <v>231</v>
      </c>
      <c r="AE536" t="s">
        <v>895</v>
      </c>
      <c r="AG536" t="s">
        <v>966</v>
      </c>
      <c r="AH536">
        <v>0</v>
      </c>
      <c r="AI536">
        <v>0</v>
      </c>
      <c r="AJ536">
        <v>0</v>
      </c>
      <c r="AK536">
        <v>293</v>
      </c>
      <c r="AL536">
        <v>0.53</v>
      </c>
    </row>
    <row r="537" spans="1:38" x14ac:dyDescent="0.3">
      <c r="A537" t="s">
        <v>891</v>
      </c>
      <c r="B537">
        <v>15445</v>
      </c>
      <c r="C537">
        <v>10</v>
      </c>
      <c r="D537" t="s">
        <v>963</v>
      </c>
      <c r="E537" t="s">
        <v>461</v>
      </c>
      <c r="F537">
        <v>556</v>
      </c>
      <c r="G537">
        <v>20.43</v>
      </c>
      <c r="H537">
        <v>67.540000000000006</v>
      </c>
      <c r="I537">
        <v>18.68</v>
      </c>
      <c r="J537">
        <v>61.77</v>
      </c>
      <c r="K537">
        <v>162</v>
      </c>
      <c r="T537">
        <v>3</v>
      </c>
      <c r="U537">
        <v>1</v>
      </c>
      <c r="V537" t="s">
        <v>233</v>
      </c>
      <c r="W537">
        <v>67</v>
      </c>
      <c r="X537">
        <v>5</v>
      </c>
      <c r="Y537">
        <v>5</v>
      </c>
      <c r="Z537" t="s">
        <v>964</v>
      </c>
      <c r="AA537" t="s">
        <v>965</v>
      </c>
      <c r="AB537" t="s">
        <v>229</v>
      </c>
      <c r="AC537" t="s">
        <v>230</v>
      </c>
      <c r="AD537" t="s">
        <v>231</v>
      </c>
      <c r="AE537" t="s">
        <v>895</v>
      </c>
      <c r="AG537" t="s">
        <v>966</v>
      </c>
      <c r="AH537">
        <v>0</v>
      </c>
      <c r="AI537">
        <v>0</v>
      </c>
      <c r="AJ537">
        <v>0</v>
      </c>
      <c r="AK537">
        <v>293</v>
      </c>
      <c r="AL537">
        <v>0.53</v>
      </c>
    </row>
    <row r="538" spans="1:38" x14ac:dyDescent="0.3">
      <c r="A538" t="s">
        <v>891</v>
      </c>
      <c r="B538">
        <v>112598</v>
      </c>
      <c r="C538">
        <v>1</v>
      </c>
      <c r="D538" t="s">
        <v>967</v>
      </c>
      <c r="E538" t="s">
        <v>968</v>
      </c>
      <c r="F538">
        <v>298</v>
      </c>
      <c r="G538">
        <v>8.1300000000000008</v>
      </c>
      <c r="H538">
        <v>26.88</v>
      </c>
      <c r="I538">
        <v>5.9</v>
      </c>
      <c r="J538">
        <v>19.53</v>
      </c>
      <c r="K538">
        <v>28</v>
      </c>
      <c r="T538">
        <v>1</v>
      </c>
      <c r="U538">
        <v>1</v>
      </c>
      <c r="V538" t="s">
        <v>226</v>
      </c>
      <c r="W538">
        <v>26</v>
      </c>
      <c r="X538">
        <v>20</v>
      </c>
      <c r="Y538">
        <v>16</v>
      </c>
      <c r="Z538" t="s">
        <v>969</v>
      </c>
      <c r="AA538" t="s">
        <v>970</v>
      </c>
      <c r="AB538" t="s">
        <v>229</v>
      </c>
      <c r="AC538" t="s">
        <v>230</v>
      </c>
      <c r="AD538" t="s">
        <v>231</v>
      </c>
      <c r="AE538" t="s">
        <v>895</v>
      </c>
      <c r="AG538" t="s">
        <v>971</v>
      </c>
      <c r="AH538">
        <v>0</v>
      </c>
      <c r="AI538">
        <v>822</v>
      </c>
      <c r="AJ538">
        <v>63</v>
      </c>
      <c r="AK538">
        <v>111</v>
      </c>
      <c r="AL538">
        <v>0.37</v>
      </c>
    </row>
    <row r="539" spans="1:38" x14ac:dyDescent="0.3">
      <c r="A539" t="s">
        <v>891</v>
      </c>
      <c r="B539">
        <v>112598</v>
      </c>
      <c r="C539">
        <v>2</v>
      </c>
      <c r="D539" t="s">
        <v>967</v>
      </c>
      <c r="E539" t="s">
        <v>968</v>
      </c>
      <c r="F539">
        <v>298</v>
      </c>
      <c r="G539">
        <v>13.86</v>
      </c>
      <c r="H539">
        <v>45.83</v>
      </c>
      <c r="I539">
        <v>10.07</v>
      </c>
      <c r="J539">
        <v>33.299999999999997</v>
      </c>
      <c r="K539">
        <v>72</v>
      </c>
      <c r="T539">
        <v>1</v>
      </c>
      <c r="U539">
        <v>1</v>
      </c>
      <c r="V539" t="s">
        <v>226</v>
      </c>
      <c r="W539">
        <v>45</v>
      </c>
      <c r="X539">
        <v>20</v>
      </c>
      <c r="Y539">
        <v>16</v>
      </c>
      <c r="Z539" t="s">
        <v>969</v>
      </c>
      <c r="AA539" t="s">
        <v>970</v>
      </c>
      <c r="AB539" t="s">
        <v>229</v>
      </c>
      <c r="AC539" t="s">
        <v>230</v>
      </c>
      <c r="AD539" t="s">
        <v>231</v>
      </c>
      <c r="AE539" t="s">
        <v>895</v>
      </c>
      <c r="AG539" t="s">
        <v>971</v>
      </c>
      <c r="AH539">
        <v>0</v>
      </c>
      <c r="AI539">
        <v>822</v>
      </c>
      <c r="AJ539">
        <v>63</v>
      </c>
      <c r="AK539">
        <v>111</v>
      </c>
      <c r="AL539">
        <v>0.37</v>
      </c>
    </row>
    <row r="540" spans="1:38" x14ac:dyDescent="0.3">
      <c r="A540" t="s">
        <v>891</v>
      </c>
      <c r="B540">
        <v>112598</v>
      </c>
      <c r="C540">
        <v>3</v>
      </c>
      <c r="D540" t="s">
        <v>967</v>
      </c>
      <c r="E540" t="s">
        <v>968</v>
      </c>
      <c r="F540">
        <v>298</v>
      </c>
      <c r="G540">
        <v>17.84</v>
      </c>
      <c r="H540">
        <v>58.98</v>
      </c>
      <c r="I540">
        <v>12.96</v>
      </c>
      <c r="J540">
        <v>42.85</v>
      </c>
      <c r="K540">
        <v>198</v>
      </c>
      <c r="T540">
        <v>1</v>
      </c>
      <c r="U540">
        <v>1</v>
      </c>
      <c r="V540" t="s">
        <v>226</v>
      </c>
      <c r="W540">
        <v>58</v>
      </c>
      <c r="X540">
        <v>20</v>
      </c>
      <c r="Y540">
        <v>16</v>
      </c>
      <c r="Z540" t="s">
        <v>969</v>
      </c>
      <c r="AA540" t="s">
        <v>970</v>
      </c>
      <c r="AB540" t="s">
        <v>229</v>
      </c>
      <c r="AC540" t="s">
        <v>230</v>
      </c>
      <c r="AD540" t="s">
        <v>231</v>
      </c>
      <c r="AE540" t="s">
        <v>895</v>
      </c>
      <c r="AG540" t="s">
        <v>971</v>
      </c>
      <c r="AH540">
        <v>0</v>
      </c>
      <c r="AI540">
        <v>822</v>
      </c>
      <c r="AJ540">
        <v>63</v>
      </c>
      <c r="AK540">
        <v>111</v>
      </c>
      <c r="AL540">
        <v>0.37</v>
      </c>
    </row>
    <row r="541" spans="1:38" x14ac:dyDescent="0.3">
      <c r="A541" t="s">
        <v>891</v>
      </c>
      <c r="B541">
        <v>120270</v>
      </c>
      <c r="C541">
        <v>1</v>
      </c>
      <c r="D541" t="s">
        <v>972</v>
      </c>
      <c r="E541" t="s">
        <v>973</v>
      </c>
      <c r="F541">
        <v>19</v>
      </c>
      <c r="G541">
        <v>9.58</v>
      </c>
      <c r="H541">
        <v>31.7</v>
      </c>
      <c r="I541">
        <v>7.82</v>
      </c>
      <c r="J541">
        <v>25.88</v>
      </c>
      <c r="K541">
        <v>1</v>
      </c>
      <c r="T541">
        <v>1</v>
      </c>
      <c r="U541">
        <v>1</v>
      </c>
      <c r="V541" t="s">
        <v>233</v>
      </c>
      <c r="W541">
        <v>31</v>
      </c>
      <c r="X541">
        <v>8</v>
      </c>
      <c r="Y541">
        <v>7</v>
      </c>
      <c r="Z541" t="s">
        <v>974</v>
      </c>
      <c r="AA541" t="s">
        <v>975</v>
      </c>
      <c r="AB541" t="s">
        <v>229</v>
      </c>
      <c r="AC541" t="s">
        <v>230</v>
      </c>
      <c r="AD541" t="s">
        <v>231</v>
      </c>
      <c r="AE541" t="s">
        <v>895</v>
      </c>
      <c r="AG541" t="s">
        <v>976</v>
      </c>
      <c r="AH541">
        <v>0</v>
      </c>
      <c r="AI541">
        <v>429</v>
      </c>
      <c r="AJ541">
        <v>69</v>
      </c>
      <c r="AK541">
        <v>8</v>
      </c>
      <c r="AL541">
        <v>0.42</v>
      </c>
    </row>
    <row r="542" spans="1:38" x14ac:dyDescent="0.3">
      <c r="A542" t="s">
        <v>891</v>
      </c>
      <c r="B542">
        <v>120270</v>
      </c>
      <c r="C542">
        <v>2</v>
      </c>
      <c r="D542" t="s">
        <v>972</v>
      </c>
      <c r="E542" t="s">
        <v>973</v>
      </c>
      <c r="F542">
        <v>19</v>
      </c>
      <c r="G542">
        <v>13.32</v>
      </c>
      <c r="H542">
        <v>44.05</v>
      </c>
      <c r="I542">
        <v>10.87</v>
      </c>
      <c r="J542">
        <v>35.96</v>
      </c>
      <c r="K542">
        <v>1</v>
      </c>
      <c r="T542">
        <v>1</v>
      </c>
      <c r="U542">
        <v>1</v>
      </c>
      <c r="V542" t="s">
        <v>233</v>
      </c>
      <c r="W542">
        <v>44</v>
      </c>
      <c r="X542">
        <v>8</v>
      </c>
      <c r="Y542">
        <v>7</v>
      </c>
      <c r="Z542" t="s">
        <v>974</v>
      </c>
      <c r="AA542" t="s">
        <v>975</v>
      </c>
      <c r="AB542" t="s">
        <v>229</v>
      </c>
      <c r="AC542" t="s">
        <v>230</v>
      </c>
      <c r="AD542" t="s">
        <v>231</v>
      </c>
      <c r="AE542" t="s">
        <v>895</v>
      </c>
      <c r="AG542" t="s">
        <v>976</v>
      </c>
      <c r="AH542">
        <v>0</v>
      </c>
      <c r="AI542">
        <v>429</v>
      </c>
      <c r="AJ542">
        <v>69</v>
      </c>
      <c r="AK542">
        <v>8</v>
      </c>
      <c r="AL542">
        <v>0.42</v>
      </c>
    </row>
    <row r="543" spans="1:38" x14ac:dyDescent="0.3">
      <c r="A543" t="s">
        <v>891</v>
      </c>
      <c r="B543">
        <v>120270</v>
      </c>
      <c r="C543">
        <v>3</v>
      </c>
      <c r="D543" t="s">
        <v>972</v>
      </c>
      <c r="E543" t="s">
        <v>973</v>
      </c>
      <c r="F543">
        <v>19</v>
      </c>
      <c r="G543">
        <v>13.9</v>
      </c>
      <c r="H543">
        <v>45.96</v>
      </c>
      <c r="I543">
        <v>11.34</v>
      </c>
      <c r="J543">
        <v>37.520000000000003</v>
      </c>
      <c r="K543">
        <v>1</v>
      </c>
      <c r="T543">
        <v>1</v>
      </c>
      <c r="U543">
        <v>1</v>
      </c>
      <c r="V543" t="s">
        <v>233</v>
      </c>
      <c r="W543">
        <v>45</v>
      </c>
      <c r="X543">
        <v>8</v>
      </c>
      <c r="Y543">
        <v>7</v>
      </c>
      <c r="Z543" t="s">
        <v>974</v>
      </c>
      <c r="AA543" t="s">
        <v>975</v>
      </c>
      <c r="AB543" t="s">
        <v>229</v>
      </c>
      <c r="AC543" t="s">
        <v>230</v>
      </c>
      <c r="AD543" t="s">
        <v>231</v>
      </c>
      <c r="AE543" t="s">
        <v>895</v>
      </c>
      <c r="AG543" t="s">
        <v>976</v>
      </c>
      <c r="AH543">
        <v>0</v>
      </c>
      <c r="AI543">
        <v>429</v>
      </c>
      <c r="AJ543">
        <v>69</v>
      </c>
      <c r="AK543">
        <v>8</v>
      </c>
      <c r="AL543">
        <v>0.42</v>
      </c>
    </row>
    <row r="544" spans="1:38" x14ac:dyDescent="0.3">
      <c r="A544" t="s">
        <v>891</v>
      </c>
      <c r="B544">
        <v>120270</v>
      </c>
      <c r="C544">
        <v>4</v>
      </c>
      <c r="D544" t="s">
        <v>972</v>
      </c>
      <c r="E544" t="s">
        <v>973</v>
      </c>
      <c r="F544">
        <v>19</v>
      </c>
      <c r="G544">
        <v>15.25</v>
      </c>
      <c r="H544">
        <v>50.42</v>
      </c>
      <c r="I544">
        <v>12.45</v>
      </c>
      <c r="J544">
        <v>41.16</v>
      </c>
      <c r="K544">
        <v>5</v>
      </c>
      <c r="T544">
        <v>1</v>
      </c>
      <c r="U544">
        <v>1</v>
      </c>
      <c r="V544" t="s">
        <v>233</v>
      </c>
      <c r="W544" t="s">
        <v>977</v>
      </c>
      <c r="X544">
        <v>8</v>
      </c>
      <c r="Y544">
        <v>7</v>
      </c>
      <c r="Z544" t="s">
        <v>974</v>
      </c>
      <c r="AA544" t="s">
        <v>975</v>
      </c>
      <c r="AB544" t="s">
        <v>229</v>
      </c>
      <c r="AC544" t="s">
        <v>230</v>
      </c>
      <c r="AD544" t="s">
        <v>231</v>
      </c>
      <c r="AE544" t="s">
        <v>895</v>
      </c>
      <c r="AG544" t="s">
        <v>976</v>
      </c>
      <c r="AH544">
        <v>0</v>
      </c>
      <c r="AI544">
        <v>429</v>
      </c>
      <c r="AJ544">
        <v>69</v>
      </c>
      <c r="AK544">
        <v>8</v>
      </c>
      <c r="AL544">
        <v>0.42</v>
      </c>
    </row>
    <row r="545" spans="1:38" x14ac:dyDescent="0.3">
      <c r="A545" t="s">
        <v>891</v>
      </c>
      <c r="B545">
        <v>120270</v>
      </c>
      <c r="C545">
        <v>5</v>
      </c>
      <c r="D545" t="s">
        <v>972</v>
      </c>
      <c r="E545" t="s">
        <v>973</v>
      </c>
      <c r="F545">
        <v>19</v>
      </c>
      <c r="G545">
        <v>15.46</v>
      </c>
      <c r="H545">
        <v>51.14</v>
      </c>
      <c r="I545">
        <v>12.45</v>
      </c>
      <c r="J545">
        <v>41.16</v>
      </c>
      <c r="K545">
        <v>1</v>
      </c>
      <c r="T545">
        <v>1</v>
      </c>
      <c r="U545">
        <v>1</v>
      </c>
      <c r="V545" t="s">
        <v>233</v>
      </c>
      <c r="W545" t="s">
        <v>978</v>
      </c>
      <c r="X545">
        <v>8</v>
      </c>
      <c r="Y545">
        <v>7</v>
      </c>
      <c r="Z545" t="s">
        <v>974</v>
      </c>
      <c r="AA545" t="s">
        <v>975</v>
      </c>
      <c r="AB545" t="s">
        <v>229</v>
      </c>
      <c r="AC545" t="s">
        <v>230</v>
      </c>
      <c r="AD545" t="s">
        <v>231</v>
      </c>
      <c r="AE545" t="s">
        <v>895</v>
      </c>
      <c r="AG545" t="s">
        <v>976</v>
      </c>
      <c r="AH545">
        <v>0</v>
      </c>
      <c r="AI545">
        <v>429</v>
      </c>
      <c r="AJ545">
        <v>69</v>
      </c>
      <c r="AK545">
        <v>8</v>
      </c>
      <c r="AL545">
        <v>0.42</v>
      </c>
    </row>
    <row r="546" spans="1:38" x14ac:dyDescent="0.3">
      <c r="A546" t="s">
        <v>891</v>
      </c>
      <c r="B546">
        <v>120270</v>
      </c>
      <c r="C546">
        <v>6</v>
      </c>
      <c r="D546" t="s">
        <v>972</v>
      </c>
      <c r="E546" t="s">
        <v>973</v>
      </c>
      <c r="F546">
        <v>19</v>
      </c>
      <c r="G546">
        <v>16.43</v>
      </c>
      <c r="H546">
        <v>54.34</v>
      </c>
      <c r="I546">
        <v>13.41</v>
      </c>
      <c r="J546">
        <v>44.36</v>
      </c>
      <c r="K546">
        <v>1</v>
      </c>
      <c r="T546">
        <v>1</v>
      </c>
      <c r="U546">
        <v>1</v>
      </c>
      <c r="V546" t="s">
        <v>233</v>
      </c>
      <c r="W546">
        <v>54</v>
      </c>
      <c r="X546">
        <v>8</v>
      </c>
      <c r="Y546">
        <v>7</v>
      </c>
      <c r="Z546" t="s">
        <v>974</v>
      </c>
      <c r="AA546" t="s">
        <v>975</v>
      </c>
      <c r="AB546" t="s">
        <v>229</v>
      </c>
      <c r="AC546" t="s">
        <v>230</v>
      </c>
      <c r="AD546" t="s">
        <v>231</v>
      </c>
      <c r="AE546" t="s">
        <v>895</v>
      </c>
      <c r="AG546" t="s">
        <v>976</v>
      </c>
      <c r="AH546">
        <v>0</v>
      </c>
      <c r="AI546">
        <v>429</v>
      </c>
      <c r="AJ546">
        <v>69</v>
      </c>
      <c r="AK546">
        <v>8</v>
      </c>
      <c r="AL546">
        <v>0.42</v>
      </c>
    </row>
    <row r="547" spans="1:38" x14ac:dyDescent="0.3">
      <c r="A547" t="s">
        <v>891</v>
      </c>
      <c r="B547">
        <v>120270</v>
      </c>
      <c r="C547">
        <v>7</v>
      </c>
      <c r="D547" t="s">
        <v>972</v>
      </c>
      <c r="E547" t="s">
        <v>973</v>
      </c>
      <c r="F547">
        <v>19</v>
      </c>
      <c r="G547">
        <v>17.63</v>
      </c>
      <c r="H547">
        <v>58.31</v>
      </c>
      <c r="I547">
        <v>14.39</v>
      </c>
      <c r="J547">
        <v>47.6</v>
      </c>
      <c r="K547">
        <v>1</v>
      </c>
      <c r="T547">
        <v>1</v>
      </c>
      <c r="U547">
        <v>1</v>
      </c>
      <c r="V547" t="s">
        <v>233</v>
      </c>
      <c r="W547">
        <v>58</v>
      </c>
      <c r="X547">
        <v>8</v>
      </c>
      <c r="Y547">
        <v>7</v>
      </c>
      <c r="Z547" t="s">
        <v>974</v>
      </c>
      <c r="AA547" t="s">
        <v>975</v>
      </c>
      <c r="AB547" t="s">
        <v>229</v>
      </c>
      <c r="AC547" t="s">
        <v>230</v>
      </c>
      <c r="AD547" t="s">
        <v>231</v>
      </c>
      <c r="AE547" t="s">
        <v>895</v>
      </c>
      <c r="AG547" t="s">
        <v>976</v>
      </c>
      <c r="AH547">
        <v>0</v>
      </c>
      <c r="AI547">
        <v>429</v>
      </c>
      <c r="AJ547">
        <v>69</v>
      </c>
      <c r="AK547">
        <v>8</v>
      </c>
      <c r="AL547">
        <v>0.42</v>
      </c>
    </row>
    <row r="548" spans="1:38" x14ac:dyDescent="0.3">
      <c r="A548" t="s">
        <v>891</v>
      </c>
      <c r="B548">
        <v>120270</v>
      </c>
      <c r="C548">
        <v>8</v>
      </c>
      <c r="D548" t="s">
        <v>972</v>
      </c>
      <c r="E548" t="s">
        <v>973</v>
      </c>
      <c r="F548">
        <v>19</v>
      </c>
      <c r="G548">
        <v>18.920000000000002</v>
      </c>
      <c r="H548">
        <v>62.57</v>
      </c>
      <c r="I548">
        <v>15.45</v>
      </c>
      <c r="J548">
        <v>51.08</v>
      </c>
      <c r="K548">
        <v>3</v>
      </c>
      <c r="T548">
        <v>1</v>
      </c>
      <c r="U548">
        <v>1</v>
      </c>
      <c r="V548" t="s">
        <v>233</v>
      </c>
      <c r="W548">
        <v>62</v>
      </c>
      <c r="X548">
        <v>8</v>
      </c>
      <c r="Y548">
        <v>7</v>
      </c>
      <c r="Z548" t="s">
        <v>974</v>
      </c>
      <c r="AA548" t="s">
        <v>975</v>
      </c>
      <c r="AB548" t="s">
        <v>229</v>
      </c>
      <c r="AC548" t="s">
        <v>230</v>
      </c>
      <c r="AD548" t="s">
        <v>231</v>
      </c>
      <c r="AE548" t="s">
        <v>895</v>
      </c>
      <c r="AG548" t="s">
        <v>976</v>
      </c>
      <c r="AH548">
        <v>0</v>
      </c>
      <c r="AI548">
        <v>429</v>
      </c>
      <c r="AJ548">
        <v>69</v>
      </c>
      <c r="AK548">
        <v>8</v>
      </c>
      <c r="AL548">
        <v>0.42</v>
      </c>
    </row>
    <row r="549" spans="1:38" x14ac:dyDescent="0.3">
      <c r="A549" t="s">
        <v>891</v>
      </c>
      <c r="B549">
        <v>120270</v>
      </c>
      <c r="C549">
        <v>9</v>
      </c>
      <c r="D549" t="s">
        <v>972</v>
      </c>
      <c r="E549" t="s">
        <v>973</v>
      </c>
      <c r="F549">
        <v>19</v>
      </c>
      <c r="G549">
        <v>20.75</v>
      </c>
      <c r="H549">
        <v>68.599999999999994</v>
      </c>
      <c r="I549">
        <v>16.940000000000001</v>
      </c>
      <c r="J549">
        <v>56</v>
      </c>
      <c r="K549">
        <v>1</v>
      </c>
      <c r="T549">
        <v>1</v>
      </c>
      <c r="U549">
        <v>1</v>
      </c>
      <c r="V549" t="s">
        <v>233</v>
      </c>
      <c r="W549">
        <v>68</v>
      </c>
      <c r="X549">
        <v>8</v>
      </c>
      <c r="Y549">
        <v>7</v>
      </c>
      <c r="Z549" t="s">
        <v>974</v>
      </c>
      <c r="AA549" t="s">
        <v>975</v>
      </c>
      <c r="AB549" t="s">
        <v>229</v>
      </c>
      <c r="AC549" t="s">
        <v>230</v>
      </c>
      <c r="AD549" t="s">
        <v>231</v>
      </c>
      <c r="AE549" t="s">
        <v>895</v>
      </c>
      <c r="AG549" t="s">
        <v>976</v>
      </c>
      <c r="AH549">
        <v>0</v>
      </c>
      <c r="AI549">
        <v>429</v>
      </c>
      <c r="AJ549">
        <v>69</v>
      </c>
      <c r="AK549">
        <v>8</v>
      </c>
      <c r="AL549">
        <v>0.42</v>
      </c>
    </row>
    <row r="550" spans="1:38" x14ac:dyDescent="0.3">
      <c r="A550" t="s">
        <v>891</v>
      </c>
      <c r="B550">
        <v>120270</v>
      </c>
      <c r="C550">
        <v>10</v>
      </c>
      <c r="D550" t="s">
        <v>972</v>
      </c>
      <c r="E550" t="s">
        <v>973</v>
      </c>
      <c r="F550">
        <v>19</v>
      </c>
      <c r="G550">
        <v>23.24</v>
      </c>
      <c r="H550">
        <v>76.83</v>
      </c>
      <c r="I550">
        <v>18.97</v>
      </c>
      <c r="J550">
        <v>62.72</v>
      </c>
      <c r="K550">
        <v>3</v>
      </c>
      <c r="T550">
        <v>1</v>
      </c>
      <c r="U550">
        <v>1</v>
      </c>
      <c r="V550" t="s">
        <v>233</v>
      </c>
      <c r="W550">
        <v>76</v>
      </c>
      <c r="X550">
        <v>8</v>
      </c>
      <c r="Y550">
        <v>7</v>
      </c>
      <c r="Z550" t="s">
        <v>974</v>
      </c>
      <c r="AA550" t="s">
        <v>975</v>
      </c>
      <c r="AB550" t="s">
        <v>229</v>
      </c>
      <c r="AC550" t="s">
        <v>230</v>
      </c>
      <c r="AD550" t="s">
        <v>231</v>
      </c>
      <c r="AE550" t="s">
        <v>895</v>
      </c>
      <c r="AG550" t="s">
        <v>976</v>
      </c>
      <c r="AH550">
        <v>0</v>
      </c>
      <c r="AI550">
        <v>429</v>
      </c>
      <c r="AJ550">
        <v>69</v>
      </c>
      <c r="AK550">
        <v>8</v>
      </c>
      <c r="AL550">
        <v>0.42</v>
      </c>
    </row>
    <row r="551" spans="1:38" x14ac:dyDescent="0.3">
      <c r="A551" t="s">
        <v>891</v>
      </c>
      <c r="B551">
        <v>120270</v>
      </c>
      <c r="C551">
        <v>11</v>
      </c>
      <c r="D551" t="s">
        <v>972</v>
      </c>
      <c r="E551" t="s">
        <v>973</v>
      </c>
      <c r="F551">
        <v>19</v>
      </c>
      <c r="G551">
        <v>35.51</v>
      </c>
      <c r="H551">
        <v>117.41</v>
      </c>
      <c r="I551">
        <v>28.99</v>
      </c>
      <c r="J551">
        <v>95.86</v>
      </c>
      <c r="K551">
        <v>1</v>
      </c>
      <c r="T551">
        <v>1</v>
      </c>
      <c r="U551">
        <v>1</v>
      </c>
      <c r="V551" t="s">
        <v>233</v>
      </c>
      <c r="W551">
        <v>117</v>
      </c>
      <c r="X551">
        <v>8</v>
      </c>
      <c r="Y551">
        <v>7</v>
      </c>
      <c r="Z551" t="s">
        <v>974</v>
      </c>
      <c r="AA551" t="s">
        <v>975</v>
      </c>
      <c r="AB551" t="s">
        <v>229</v>
      </c>
      <c r="AC551" t="s">
        <v>230</v>
      </c>
      <c r="AD551" t="s">
        <v>231</v>
      </c>
      <c r="AE551" t="s">
        <v>895</v>
      </c>
      <c r="AG551" t="s">
        <v>976</v>
      </c>
      <c r="AH551">
        <v>0</v>
      </c>
      <c r="AI551">
        <v>429</v>
      </c>
      <c r="AJ551">
        <v>69</v>
      </c>
      <c r="AK551">
        <v>8</v>
      </c>
      <c r="AL551">
        <v>0.42</v>
      </c>
    </row>
    <row r="552" spans="1:38" x14ac:dyDescent="0.3">
      <c r="A552" t="s">
        <v>891</v>
      </c>
      <c r="B552">
        <v>132616</v>
      </c>
      <c r="C552">
        <v>1</v>
      </c>
      <c r="D552" t="s">
        <v>979</v>
      </c>
      <c r="E552" t="s">
        <v>980</v>
      </c>
      <c r="F552">
        <v>151</v>
      </c>
      <c r="G552">
        <v>19.78</v>
      </c>
      <c r="H552">
        <v>65.400000000000006</v>
      </c>
      <c r="I552">
        <v>11.88</v>
      </c>
      <c r="J552">
        <v>39.29</v>
      </c>
      <c r="K552">
        <v>70</v>
      </c>
      <c r="T552">
        <v>2</v>
      </c>
      <c r="U552">
        <v>1</v>
      </c>
      <c r="V552" t="s">
        <v>233</v>
      </c>
      <c r="W552" t="s">
        <v>981</v>
      </c>
      <c r="X552">
        <v>20</v>
      </c>
      <c r="Y552">
        <v>20</v>
      </c>
      <c r="Z552" t="s">
        <v>982</v>
      </c>
      <c r="AA552" t="s">
        <v>983</v>
      </c>
      <c r="AB552" t="s">
        <v>229</v>
      </c>
      <c r="AC552" t="s">
        <v>230</v>
      </c>
      <c r="AD552" t="s">
        <v>231</v>
      </c>
      <c r="AE552" t="s">
        <v>895</v>
      </c>
      <c r="AG552" t="s">
        <v>984</v>
      </c>
      <c r="AH552">
        <v>0</v>
      </c>
      <c r="AI552">
        <v>499</v>
      </c>
      <c r="AJ552">
        <v>49</v>
      </c>
      <c r="AK552">
        <v>164</v>
      </c>
      <c r="AL552">
        <v>1.0900000000000001</v>
      </c>
    </row>
    <row r="553" spans="1:38" x14ac:dyDescent="0.3">
      <c r="A553" t="s">
        <v>891</v>
      </c>
      <c r="B553">
        <v>132616</v>
      </c>
      <c r="C553">
        <v>2</v>
      </c>
      <c r="D553" t="s">
        <v>979</v>
      </c>
      <c r="E553" t="s">
        <v>980</v>
      </c>
      <c r="F553">
        <v>151</v>
      </c>
      <c r="G553">
        <v>20.190000000000001</v>
      </c>
      <c r="H553">
        <v>66.77</v>
      </c>
      <c r="I553">
        <v>12.13</v>
      </c>
      <c r="J553">
        <v>40.11</v>
      </c>
      <c r="K553">
        <v>70</v>
      </c>
      <c r="T553">
        <v>2</v>
      </c>
      <c r="U553">
        <v>1</v>
      </c>
      <c r="V553" t="s">
        <v>233</v>
      </c>
      <c r="W553" t="s">
        <v>401</v>
      </c>
      <c r="X553">
        <v>20</v>
      </c>
      <c r="Y553">
        <v>20</v>
      </c>
      <c r="Z553" t="s">
        <v>982</v>
      </c>
      <c r="AA553" t="s">
        <v>983</v>
      </c>
      <c r="AB553" t="s">
        <v>229</v>
      </c>
      <c r="AC553" t="s">
        <v>230</v>
      </c>
      <c r="AD553" t="s">
        <v>231</v>
      </c>
      <c r="AE553" t="s">
        <v>895</v>
      </c>
      <c r="AG553" t="s">
        <v>984</v>
      </c>
      <c r="AH553">
        <v>0</v>
      </c>
      <c r="AI553">
        <v>499</v>
      </c>
      <c r="AJ553">
        <v>49</v>
      </c>
      <c r="AK553">
        <v>164</v>
      </c>
      <c r="AL553">
        <v>1.0900000000000001</v>
      </c>
    </row>
    <row r="554" spans="1:38" x14ac:dyDescent="0.3">
      <c r="A554" t="s">
        <v>891</v>
      </c>
      <c r="B554">
        <v>132616</v>
      </c>
      <c r="C554">
        <v>3</v>
      </c>
      <c r="D554" t="s">
        <v>979</v>
      </c>
      <c r="E554" t="s">
        <v>980</v>
      </c>
      <c r="F554">
        <v>151</v>
      </c>
      <c r="G554">
        <v>20.82</v>
      </c>
      <c r="H554">
        <v>68.84</v>
      </c>
      <c r="I554">
        <v>12.5</v>
      </c>
      <c r="J554">
        <v>41.35</v>
      </c>
      <c r="K554">
        <v>11</v>
      </c>
      <c r="T554">
        <v>2</v>
      </c>
      <c r="U554">
        <v>1</v>
      </c>
      <c r="V554" t="s">
        <v>233</v>
      </c>
      <c r="W554" t="s">
        <v>156</v>
      </c>
      <c r="X554">
        <v>20</v>
      </c>
      <c r="Y554">
        <v>20</v>
      </c>
      <c r="Z554" t="s">
        <v>982</v>
      </c>
      <c r="AA554" t="s">
        <v>983</v>
      </c>
      <c r="AB554" t="s">
        <v>229</v>
      </c>
      <c r="AC554" t="s">
        <v>230</v>
      </c>
      <c r="AD554" t="s">
        <v>231</v>
      </c>
      <c r="AE554" t="s">
        <v>895</v>
      </c>
      <c r="AG554" t="s">
        <v>984</v>
      </c>
      <c r="AH554">
        <v>0</v>
      </c>
      <c r="AI554">
        <v>499</v>
      </c>
      <c r="AJ554">
        <v>49</v>
      </c>
      <c r="AK554">
        <v>164</v>
      </c>
      <c r="AL554">
        <v>1.0900000000000001</v>
      </c>
    </row>
    <row r="555" spans="1:38" x14ac:dyDescent="0.3">
      <c r="A555" t="s">
        <v>891</v>
      </c>
      <c r="B555">
        <v>113079</v>
      </c>
      <c r="C555">
        <v>1</v>
      </c>
      <c r="D555" t="s">
        <v>985</v>
      </c>
      <c r="E555" t="s">
        <v>449</v>
      </c>
      <c r="F555">
        <v>80</v>
      </c>
      <c r="G555">
        <v>29.65</v>
      </c>
      <c r="H555">
        <v>98.02</v>
      </c>
      <c r="I555">
        <v>25.67</v>
      </c>
      <c r="J555">
        <v>84.87</v>
      </c>
      <c r="K555">
        <v>40</v>
      </c>
      <c r="T555">
        <v>3</v>
      </c>
      <c r="U555">
        <v>2</v>
      </c>
      <c r="V555" t="s">
        <v>233</v>
      </c>
      <c r="W555">
        <v>98</v>
      </c>
      <c r="X555">
        <v>5</v>
      </c>
      <c r="Y555">
        <v>5</v>
      </c>
      <c r="Z555" t="s">
        <v>986</v>
      </c>
      <c r="AA555" t="s">
        <v>987</v>
      </c>
      <c r="AB555" t="s">
        <v>229</v>
      </c>
      <c r="AC555" t="s">
        <v>230</v>
      </c>
      <c r="AD555" t="s">
        <v>231</v>
      </c>
      <c r="AE555" t="s">
        <v>895</v>
      </c>
      <c r="AG555" t="s">
        <v>988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891</v>
      </c>
      <c r="B556">
        <v>113079</v>
      </c>
      <c r="C556">
        <v>2</v>
      </c>
      <c r="D556" t="s">
        <v>985</v>
      </c>
      <c r="E556" t="s">
        <v>449</v>
      </c>
      <c r="F556">
        <v>80</v>
      </c>
      <c r="G556">
        <v>41.56</v>
      </c>
      <c r="H556">
        <v>137.41</v>
      </c>
      <c r="I556">
        <v>35.1</v>
      </c>
      <c r="J556">
        <v>116.04</v>
      </c>
      <c r="K556">
        <v>40</v>
      </c>
      <c r="T556">
        <v>4</v>
      </c>
      <c r="U556">
        <v>2</v>
      </c>
      <c r="V556" t="s">
        <v>233</v>
      </c>
      <c r="W556">
        <v>137</v>
      </c>
      <c r="X556">
        <v>5</v>
      </c>
      <c r="Y556">
        <v>5</v>
      </c>
      <c r="Z556" t="s">
        <v>986</v>
      </c>
      <c r="AA556" t="s">
        <v>987</v>
      </c>
      <c r="AB556" t="s">
        <v>229</v>
      </c>
      <c r="AC556" t="s">
        <v>230</v>
      </c>
      <c r="AD556" t="s">
        <v>231</v>
      </c>
      <c r="AE556" t="s">
        <v>895</v>
      </c>
      <c r="AG556" t="s">
        <v>988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891</v>
      </c>
      <c r="B557">
        <v>118830</v>
      </c>
      <c r="C557">
        <v>1</v>
      </c>
      <c r="D557" t="s">
        <v>989</v>
      </c>
      <c r="E557" t="s">
        <v>990</v>
      </c>
      <c r="F557">
        <v>167</v>
      </c>
      <c r="G557">
        <v>11.24</v>
      </c>
      <c r="H557">
        <v>37.159999999999997</v>
      </c>
      <c r="I557">
        <v>9.6999999999999993</v>
      </c>
      <c r="J557">
        <v>32.090000000000003</v>
      </c>
      <c r="K557">
        <v>2</v>
      </c>
      <c r="T557">
        <v>1</v>
      </c>
      <c r="U557">
        <v>1</v>
      </c>
      <c r="V557" t="s">
        <v>233</v>
      </c>
      <c r="W557" t="s">
        <v>991</v>
      </c>
      <c r="X557">
        <v>4</v>
      </c>
      <c r="Y557">
        <v>2</v>
      </c>
      <c r="Z557" t="s">
        <v>992</v>
      </c>
      <c r="AA557" t="s">
        <v>993</v>
      </c>
      <c r="AB557" t="s">
        <v>229</v>
      </c>
      <c r="AC557" t="s">
        <v>230</v>
      </c>
      <c r="AD557" t="s">
        <v>231</v>
      </c>
      <c r="AE557" t="s">
        <v>895</v>
      </c>
      <c r="AG557" t="s">
        <v>994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891</v>
      </c>
      <c r="B558">
        <v>118830</v>
      </c>
      <c r="C558">
        <v>2</v>
      </c>
      <c r="D558" t="s">
        <v>989</v>
      </c>
      <c r="E558" t="s">
        <v>990</v>
      </c>
      <c r="F558">
        <v>167</v>
      </c>
      <c r="G558">
        <v>11.2</v>
      </c>
      <c r="H558">
        <v>37.04</v>
      </c>
      <c r="I558">
        <v>9.6999999999999993</v>
      </c>
      <c r="J558">
        <v>32.090000000000003</v>
      </c>
      <c r="K558">
        <v>1</v>
      </c>
      <c r="T558">
        <v>1</v>
      </c>
      <c r="U558">
        <v>1</v>
      </c>
      <c r="V558" t="s">
        <v>233</v>
      </c>
      <c r="W558" t="s">
        <v>573</v>
      </c>
      <c r="X558">
        <v>4</v>
      </c>
      <c r="Y558">
        <v>2</v>
      </c>
      <c r="Z558" t="s">
        <v>992</v>
      </c>
      <c r="AA558" t="s">
        <v>993</v>
      </c>
      <c r="AB558" t="s">
        <v>229</v>
      </c>
      <c r="AC558" t="s">
        <v>230</v>
      </c>
      <c r="AD558" t="s">
        <v>231</v>
      </c>
      <c r="AE558" t="s">
        <v>895</v>
      </c>
      <c r="AG558" t="s">
        <v>994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891</v>
      </c>
      <c r="B559">
        <v>118830</v>
      </c>
      <c r="C559">
        <v>3</v>
      </c>
      <c r="D559" t="s">
        <v>989</v>
      </c>
      <c r="E559" t="s">
        <v>990</v>
      </c>
      <c r="F559">
        <v>167</v>
      </c>
      <c r="G559">
        <v>13.09</v>
      </c>
      <c r="H559">
        <v>43.28</v>
      </c>
      <c r="I559">
        <v>11.18</v>
      </c>
      <c r="J559">
        <v>36.96</v>
      </c>
      <c r="K559">
        <v>2</v>
      </c>
      <c r="T559">
        <v>1</v>
      </c>
      <c r="U559">
        <v>1</v>
      </c>
      <c r="V559" t="s">
        <v>233</v>
      </c>
      <c r="W559" t="s">
        <v>995</v>
      </c>
      <c r="X559">
        <v>4</v>
      </c>
      <c r="Y559">
        <v>2</v>
      </c>
      <c r="Z559" t="s">
        <v>992</v>
      </c>
      <c r="AA559" t="s">
        <v>993</v>
      </c>
      <c r="AB559" t="s">
        <v>229</v>
      </c>
      <c r="AC559" t="s">
        <v>230</v>
      </c>
      <c r="AD559" t="s">
        <v>231</v>
      </c>
      <c r="AE559" t="s">
        <v>895</v>
      </c>
      <c r="AG559" t="s">
        <v>994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38" x14ac:dyDescent="0.3">
      <c r="A560" t="s">
        <v>891</v>
      </c>
      <c r="B560">
        <v>118830</v>
      </c>
      <c r="C560">
        <v>4</v>
      </c>
      <c r="D560" t="s">
        <v>989</v>
      </c>
      <c r="E560" t="s">
        <v>990</v>
      </c>
      <c r="F560">
        <v>167</v>
      </c>
      <c r="G560">
        <v>13.24</v>
      </c>
      <c r="H560">
        <v>43.77</v>
      </c>
      <c r="I560">
        <v>11.43</v>
      </c>
      <c r="J560">
        <v>37.799999999999997</v>
      </c>
      <c r="K560">
        <v>2</v>
      </c>
      <c r="T560">
        <v>1</v>
      </c>
      <c r="U560">
        <v>1</v>
      </c>
      <c r="V560" t="s">
        <v>233</v>
      </c>
      <c r="W560" t="s">
        <v>996</v>
      </c>
      <c r="X560">
        <v>4</v>
      </c>
      <c r="Y560">
        <v>2</v>
      </c>
      <c r="Z560" t="s">
        <v>992</v>
      </c>
      <c r="AA560" t="s">
        <v>993</v>
      </c>
      <c r="AB560" t="s">
        <v>229</v>
      </c>
      <c r="AC560" t="s">
        <v>230</v>
      </c>
      <c r="AD560" t="s">
        <v>231</v>
      </c>
      <c r="AE560" t="s">
        <v>895</v>
      </c>
      <c r="AG560" t="s">
        <v>994</v>
      </c>
      <c r="AH560">
        <v>0</v>
      </c>
      <c r="AI560">
        <v>0</v>
      </c>
      <c r="AJ560">
        <v>0</v>
      </c>
      <c r="AK560">
        <v>0</v>
      </c>
      <c r="AL560">
        <v>0</v>
      </c>
    </row>
    <row r="561" spans="1:38" x14ac:dyDescent="0.3">
      <c r="A561" t="s">
        <v>891</v>
      </c>
      <c r="B561">
        <v>118830</v>
      </c>
      <c r="C561">
        <v>5</v>
      </c>
      <c r="D561" t="s">
        <v>989</v>
      </c>
      <c r="E561" t="s">
        <v>990</v>
      </c>
      <c r="F561">
        <v>167</v>
      </c>
      <c r="G561">
        <v>13.19</v>
      </c>
      <c r="H561">
        <v>43.63</v>
      </c>
      <c r="I561">
        <v>11.43</v>
      </c>
      <c r="J561">
        <v>37.799999999999997</v>
      </c>
      <c r="K561">
        <v>1</v>
      </c>
      <c r="T561">
        <v>1</v>
      </c>
      <c r="U561">
        <v>1</v>
      </c>
      <c r="V561" t="s">
        <v>233</v>
      </c>
      <c r="W561" t="s">
        <v>997</v>
      </c>
      <c r="X561">
        <v>4</v>
      </c>
      <c r="Y561">
        <v>2</v>
      </c>
      <c r="Z561" t="s">
        <v>992</v>
      </c>
      <c r="AA561" t="s">
        <v>993</v>
      </c>
      <c r="AB561" t="s">
        <v>229</v>
      </c>
      <c r="AC561" t="s">
        <v>230</v>
      </c>
      <c r="AD561" t="s">
        <v>231</v>
      </c>
      <c r="AE561" t="s">
        <v>895</v>
      </c>
      <c r="AG561" t="s">
        <v>994</v>
      </c>
      <c r="AH561">
        <v>0</v>
      </c>
      <c r="AI561">
        <v>0</v>
      </c>
      <c r="AJ561">
        <v>0</v>
      </c>
      <c r="AK561">
        <v>0</v>
      </c>
      <c r="AL561">
        <v>0</v>
      </c>
    </row>
    <row r="562" spans="1:38" x14ac:dyDescent="0.3">
      <c r="A562" t="s">
        <v>891</v>
      </c>
      <c r="B562">
        <v>118830</v>
      </c>
      <c r="C562">
        <v>6</v>
      </c>
      <c r="D562" t="s">
        <v>989</v>
      </c>
      <c r="E562" t="s">
        <v>990</v>
      </c>
      <c r="F562">
        <v>167</v>
      </c>
      <c r="G562">
        <v>13.67</v>
      </c>
      <c r="H562">
        <v>45.22</v>
      </c>
      <c r="I562">
        <v>11.8</v>
      </c>
      <c r="J562">
        <v>39.04</v>
      </c>
      <c r="K562">
        <v>2</v>
      </c>
      <c r="T562">
        <v>1</v>
      </c>
      <c r="U562">
        <v>1</v>
      </c>
      <c r="V562" t="s">
        <v>233</v>
      </c>
      <c r="W562" t="s">
        <v>188</v>
      </c>
      <c r="X562">
        <v>4</v>
      </c>
      <c r="Y562">
        <v>2</v>
      </c>
      <c r="Z562" t="s">
        <v>992</v>
      </c>
      <c r="AA562" t="s">
        <v>993</v>
      </c>
      <c r="AB562" t="s">
        <v>229</v>
      </c>
      <c r="AC562" t="s">
        <v>230</v>
      </c>
      <c r="AD562" t="s">
        <v>231</v>
      </c>
      <c r="AE562" t="s">
        <v>895</v>
      </c>
      <c r="AG562" t="s">
        <v>994</v>
      </c>
      <c r="AH562">
        <v>0</v>
      </c>
      <c r="AI562">
        <v>0</v>
      </c>
      <c r="AJ562">
        <v>0</v>
      </c>
      <c r="AK562">
        <v>0</v>
      </c>
      <c r="AL562">
        <v>0</v>
      </c>
    </row>
    <row r="563" spans="1:38" x14ac:dyDescent="0.3">
      <c r="A563" t="s">
        <v>891</v>
      </c>
      <c r="B563">
        <v>118830</v>
      </c>
      <c r="C563">
        <v>7</v>
      </c>
      <c r="D563" t="s">
        <v>989</v>
      </c>
      <c r="E563" t="s">
        <v>990</v>
      </c>
      <c r="F563">
        <v>167</v>
      </c>
      <c r="G563">
        <v>13.63</v>
      </c>
      <c r="H563">
        <v>45.07</v>
      </c>
      <c r="I563">
        <v>11.8</v>
      </c>
      <c r="J563">
        <v>39.04</v>
      </c>
      <c r="K563">
        <v>1</v>
      </c>
      <c r="T563">
        <v>1</v>
      </c>
      <c r="U563">
        <v>1</v>
      </c>
      <c r="V563" t="s">
        <v>233</v>
      </c>
      <c r="W563" t="s">
        <v>639</v>
      </c>
      <c r="X563">
        <v>4</v>
      </c>
      <c r="Y563">
        <v>2</v>
      </c>
      <c r="Z563" t="s">
        <v>992</v>
      </c>
      <c r="AA563" t="s">
        <v>993</v>
      </c>
      <c r="AB563" t="s">
        <v>229</v>
      </c>
      <c r="AC563" t="s">
        <v>230</v>
      </c>
      <c r="AD563" t="s">
        <v>231</v>
      </c>
      <c r="AE563" t="s">
        <v>895</v>
      </c>
      <c r="AG563" t="s">
        <v>994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891</v>
      </c>
      <c r="B564">
        <v>118830</v>
      </c>
      <c r="C564">
        <v>8</v>
      </c>
      <c r="D564" t="s">
        <v>989</v>
      </c>
      <c r="E564" t="s">
        <v>990</v>
      </c>
      <c r="F564">
        <v>167</v>
      </c>
      <c r="G564">
        <v>15.14</v>
      </c>
      <c r="H564">
        <v>50.05</v>
      </c>
      <c r="I564">
        <v>13.11</v>
      </c>
      <c r="J564">
        <v>43.36</v>
      </c>
      <c r="K564">
        <v>2</v>
      </c>
      <c r="T564">
        <v>1</v>
      </c>
      <c r="U564">
        <v>1</v>
      </c>
      <c r="V564" t="s">
        <v>233</v>
      </c>
      <c r="W564" t="s">
        <v>977</v>
      </c>
      <c r="X564">
        <v>4</v>
      </c>
      <c r="Y564">
        <v>2</v>
      </c>
      <c r="Z564" t="s">
        <v>992</v>
      </c>
      <c r="AA564" t="s">
        <v>993</v>
      </c>
      <c r="AB564" t="s">
        <v>229</v>
      </c>
      <c r="AC564" t="s">
        <v>230</v>
      </c>
      <c r="AD564" t="s">
        <v>231</v>
      </c>
      <c r="AE564" t="s">
        <v>895</v>
      </c>
      <c r="AG564" t="s">
        <v>994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891</v>
      </c>
      <c r="B565">
        <v>118830</v>
      </c>
      <c r="C565">
        <v>9</v>
      </c>
      <c r="D565" t="s">
        <v>989</v>
      </c>
      <c r="E565" t="s">
        <v>990</v>
      </c>
      <c r="F565">
        <v>167</v>
      </c>
      <c r="G565">
        <v>15.37</v>
      </c>
      <c r="H565">
        <v>50.84</v>
      </c>
      <c r="I565">
        <v>13.13</v>
      </c>
      <c r="J565">
        <v>43.41</v>
      </c>
      <c r="K565">
        <v>1</v>
      </c>
      <c r="T565">
        <v>1</v>
      </c>
      <c r="U565">
        <v>1</v>
      </c>
      <c r="V565" t="s">
        <v>233</v>
      </c>
      <c r="W565" t="s">
        <v>998</v>
      </c>
      <c r="X565">
        <v>4</v>
      </c>
      <c r="Y565">
        <v>2</v>
      </c>
      <c r="Z565" t="s">
        <v>992</v>
      </c>
      <c r="AA565" t="s">
        <v>993</v>
      </c>
      <c r="AB565" t="s">
        <v>229</v>
      </c>
      <c r="AC565" t="s">
        <v>230</v>
      </c>
      <c r="AD565" t="s">
        <v>231</v>
      </c>
      <c r="AE565" t="s">
        <v>895</v>
      </c>
      <c r="AG565" t="s">
        <v>994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 x14ac:dyDescent="0.3">
      <c r="A566" t="s">
        <v>891</v>
      </c>
      <c r="B566">
        <v>118830</v>
      </c>
      <c r="C566">
        <v>10</v>
      </c>
      <c r="D566" t="s">
        <v>989</v>
      </c>
      <c r="E566" t="s">
        <v>990</v>
      </c>
      <c r="F566">
        <v>167</v>
      </c>
      <c r="G566">
        <v>15.53</v>
      </c>
      <c r="H566">
        <v>51.37</v>
      </c>
      <c r="I566">
        <v>13.41</v>
      </c>
      <c r="J566">
        <v>44.36</v>
      </c>
      <c r="K566">
        <v>2</v>
      </c>
      <c r="T566">
        <v>1</v>
      </c>
      <c r="U566">
        <v>1</v>
      </c>
      <c r="V566" t="s">
        <v>233</v>
      </c>
      <c r="W566" t="s">
        <v>312</v>
      </c>
      <c r="X566">
        <v>4</v>
      </c>
      <c r="Y566">
        <v>2</v>
      </c>
      <c r="Z566" t="s">
        <v>992</v>
      </c>
      <c r="AA566" t="s">
        <v>993</v>
      </c>
      <c r="AB566" t="s">
        <v>229</v>
      </c>
      <c r="AC566" t="s">
        <v>230</v>
      </c>
      <c r="AD566" t="s">
        <v>231</v>
      </c>
      <c r="AE566" t="s">
        <v>895</v>
      </c>
      <c r="AG566" t="s">
        <v>994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 x14ac:dyDescent="0.3">
      <c r="A567" t="s">
        <v>891</v>
      </c>
      <c r="B567">
        <v>118830</v>
      </c>
      <c r="C567">
        <v>11</v>
      </c>
      <c r="D567" t="s">
        <v>989</v>
      </c>
      <c r="E567" t="s">
        <v>990</v>
      </c>
      <c r="F567">
        <v>167</v>
      </c>
      <c r="G567">
        <v>15.64</v>
      </c>
      <c r="H567">
        <v>51.71</v>
      </c>
      <c r="I567">
        <v>13.79</v>
      </c>
      <c r="J567">
        <v>45.59</v>
      </c>
      <c r="K567">
        <v>1</v>
      </c>
      <c r="T567">
        <v>1</v>
      </c>
      <c r="U567">
        <v>1</v>
      </c>
      <c r="V567" t="s">
        <v>233</v>
      </c>
      <c r="W567" t="s">
        <v>978</v>
      </c>
      <c r="X567">
        <v>4</v>
      </c>
      <c r="Y567">
        <v>2</v>
      </c>
      <c r="Z567" t="s">
        <v>992</v>
      </c>
      <c r="AA567" t="s">
        <v>993</v>
      </c>
      <c r="AB567" t="s">
        <v>229</v>
      </c>
      <c r="AC567" t="s">
        <v>230</v>
      </c>
      <c r="AD567" t="s">
        <v>231</v>
      </c>
      <c r="AE567" t="s">
        <v>895</v>
      </c>
      <c r="AG567" t="s">
        <v>994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38" x14ac:dyDescent="0.3">
      <c r="A568" t="s">
        <v>891</v>
      </c>
      <c r="B568">
        <v>118830</v>
      </c>
      <c r="C568">
        <v>12</v>
      </c>
      <c r="D568" t="s">
        <v>989</v>
      </c>
      <c r="E568" t="s">
        <v>990</v>
      </c>
      <c r="F568">
        <v>167</v>
      </c>
      <c r="G568">
        <v>15.49</v>
      </c>
      <c r="H568">
        <v>51.21</v>
      </c>
      <c r="I568">
        <v>13.41</v>
      </c>
      <c r="J568">
        <v>44.36</v>
      </c>
      <c r="K568">
        <v>1</v>
      </c>
      <c r="T568">
        <v>1</v>
      </c>
      <c r="U568">
        <v>1</v>
      </c>
      <c r="V568" t="s">
        <v>233</v>
      </c>
      <c r="W568" t="s">
        <v>999</v>
      </c>
      <c r="X568">
        <v>4</v>
      </c>
      <c r="Y568">
        <v>2</v>
      </c>
      <c r="Z568" t="s">
        <v>992</v>
      </c>
      <c r="AA568" t="s">
        <v>993</v>
      </c>
      <c r="AB568" t="s">
        <v>229</v>
      </c>
      <c r="AC568" t="s">
        <v>230</v>
      </c>
      <c r="AD568" t="s">
        <v>231</v>
      </c>
      <c r="AE568" t="s">
        <v>895</v>
      </c>
      <c r="AG568" t="s">
        <v>994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38" x14ac:dyDescent="0.3">
      <c r="A569" t="s">
        <v>891</v>
      </c>
      <c r="B569">
        <v>118830</v>
      </c>
      <c r="C569">
        <v>13</v>
      </c>
      <c r="D569" t="s">
        <v>989</v>
      </c>
      <c r="E569" t="s">
        <v>990</v>
      </c>
      <c r="F569">
        <v>167</v>
      </c>
      <c r="G569">
        <v>15.66</v>
      </c>
      <c r="H569">
        <v>51.79</v>
      </c>
      <c r="I569">
        <v>13.81</v>
      </c>
      <c r="J569">
        <v>45.66</v>
      </c>
      <c r="K569">
        <v>1</v>
      </c>
      <c r="T569">
        <v>1</v>
      </c>
      <c r="U569">
        <v>1</v>
      </c>
      <c r="V569" t="s">
        <v>233</v>
      </c>
      <c r="W569" t="s">
        <v>999</v>
      </c>
      <c r="X569">
        <v>4</v>
      </c>
      <c r="Y569">
        <v>2</v>
      </c>
      <c r="Z569" t="s">
        <v>992</v>
      </c>
      <c r="AA569" t="s">
        <v>993</v>
      </c>
      <c r="AB569" t="s">
        <v>229</v>
      </c>
      <c r="AC569" t="s">
        <v>230</v>
      </c>
      <c r="AD569" t="s">
        <v>231</v>
      </c>
      <c r="AE569" t="s">
        <v>895</v>
      </c>
      <c r="AG569" t="s">
        <v>994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38" x14ac:dyDescent="0.3">
      <c r="A570" t="s">
        <v>891</v>
      </c>
      <c r="B570">
        <v>118830</v>
      </c>
      <c r="C570">
        <v>14</v>
      </c>
      <c r="D570" t="s">
        <v>989</v>
      </c>
      <c r="E570" t="s">
        <v>990</v>
      </c>
      <c r="F570">
        <v>167</v>
      </c>
      <c r="G570">
        <v>15.94</v>
      </c>
      <c r="H570">
        <v>52.71</v>
      </c>
      <c r="I570">
        <v>13.81</v>
      </c>
      <c r="J570">
        <v>45.66</v>
      </c>
      <c r="K570">
        <v>2</v>
      </c>
      <c r="T570">
        <v>1</v>
      </c>
      <c r="U570">
        <v>1</v>
      </c>
      <c r="V570" t="s">
        <v>233</v>
      </c>
      <c r="W570" t="s">
        <v>1000</v>
      </c>
      <c r="X570">
        <v>4</v>
      </c>
      <c r="Y570">
        <v>2</v>
      </c>
      <c r="Z570" t="s">
        <v>992</v>
      </c>
      <c r="AA570" t="s">
        <v>993</v>
      </c>
      <c r="AB570" t="s">
        <v>229</v>
      </c>
      <c r="AC570" t="s">
        <v>230</v>
      </c>
      <c r="AD570" t="s">
        <v>231</v>
      </c>
      <c r="AE570" t="s">
        <v>895</v>
      </c>
      <c r="AG570" t="s">
        <v>994</v>
      </c>
      <c r="AH570">
        <v>0</v>
      </c>
      <c r="AI570">
        <v>0</v>
      </c>
      <c r="AJ570">
        <v>0</v>
      </c>
      <c r="AK570">
        <v>0</v>
      </c>
      <c r="AL570">
        <v>0</v>
      </c>
    </row>
    <row r="571" spans="1:38" x14ac:dyDescent="0.3">
      <c r="A571" t="s">
        <v>891</v>
      </c>
      <c r="B571">
        <v>118830</v>
      </c>
      <c r="C571">
        <v>15</v>
      </c>
      <c r="D571" t="s">
        <v>989</v>
      </c>
      <c r="E571" t="s">
        <v>990</v>
      </c>
      <c r="F571">
        <v>167</v>
      </c>
      <c r="G571">
        <v>16.61</v>
      </c>
      <c r="H571">
        <v>54.94</v>
      </c>
      <c r="I571">
        <v>14.14</v>
      </c>
      <c r="J571">
        <v>46.76</v>
      </c>
      <c r="K571">
        <v>6</v>
      </c>
      <c r="T571">
        <v>1</v>
      </c>
      <c r="U571">
        <v>1</v>
      </c>
      <c r="V571" t="s">
        <v>233</v>
      </c>
      <c r="W571" t="s">
        <v>597</v>
      </c>
      <c r="X571">
        <v>4</v>
      </c>
      <c r="Y571">
        <v>2</v>
      </c>
      <c r="Z571" t="s">
        <v>992</v>
      </c>
      <c r="AA571" t="s">
        <v>993</v>
      </c>
      <c r="AB571" t="s">
        <v>229</v>
      </c>
      <c r="AC571" t="s">
        <v>230</v>
      </c>
      <c r="AD571" t="s">
        <v>231</v>
      </c>
      <c r="AE571" t="s">
        <v>895</v>
      </c>
      <c r="AG571" t="s">
        <v>994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38" x14ac:dyDescent="0.3">
      <c r="A572" t="s">
        <v>891</v>
      </c>
      <c r="B572">
        <v>118830</v>
      </c>
      <c r="C572">
        <v>16</v>
      </c>
      <c r="D572" t="s">
        <v>989</v>
      </c>
      <c r="E572" t="s">
        <v>990</v>
      </c>
      <c r="F572">
        <v>167</v>
      </c>
      <c r="G572">
        <v>16.47</v>
      </c>
      <c r="H572">
        <v>54.47</v>
      </c>
      <c r="I572">
        <v>14.27</v>
      </c>
      <c r="J572">
        <v>47.19</v>
      </c>
      <c r="K572">
        <v>1</v>
      </c>
      <c r="T572">
        <v>1</v>
      </c>
      <c r="U572">
        <v>1</v>
      </c>
      <c r="V572" t="s">
        <v>233</v>
      </c>
      <c r="W572" t="s">
        <v>1001</v>
      </c>
      <c r="X572">
        <v>4</v>
      </c>
      <c r="Y572">
        <v>2</v>
      </c>
      <c r="Z572" t="s">
        <v>992</v>
      </c>
      <c r="AA572" t="s">
        <v>993</v>
      </c>
      <c r="AB572" t="s">
        <v>229</v>
      </c>
      <c r="AC572" t="s">
        <v>230</v>
      </c>
      <c r="AD572" t="s">
        <v>231</v>
      </c>
      <c r="AE572" t="s">
        <v>895</v>
      </c>
      <c r="AG572" t="s">
        <v>994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38" x14ac:dyDescent="0.3">
      <c r="A573" t="s">
        <v>891</v>
      </c>
      <c r="B573">
        <v>118830</v>
      </c>
      <c r="C573">
        <v>17</v>
      </c>
      <c r="D573" t="s">
        <v>989</v>
      </c>
      <c r="E573" t="s">
        <v>990</v>
      </c>
      <c r="F573">
        <v>167</v>
      </c>
      <c r="G573">
        <v>16.39</v>
      </c>
      <c r="H573">
        <v>54.2</v>
      </c>
      <c r="I573">
        <v>14.45</v>
      </c>
      <c r="J573">
        <v>47.79</v>
      </c>
      <c r="K573">
        <v>1</v>
      </c>
      <c r="T573">
        <v>2</v>
      </c>
      <c r="U573">
        <v>1</v>
      </c>
      <c r="V573" t="s">
        <v>233</v>
      </c>
      <c r="W573" t="s">
        <v>1002</v>
      </c>
      <c r="X573">
        <v>4</v>
      </c>
      <c r="Y573">
        <v>2</v>
      </c>
      <c r="Z573" t="s">
        <v>992</v>
      </c>
      <c r="AA573" t="s">
        <v>993</v>
      </c>
      <c r="AB573" t="s">
        <v>229</v>
      </c>
      <c r="AC573" t="s">
        <v>230</v>
      </c>
      <c r="AD573" t="s">
        <v>231</v>
      </c>
      <c r="AE573" t="s">
        <v>895</v>
      </c>
      <c r="AG573" t="s">
        <v>994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38" x14ac:dyDescent="0.3">
      <c r="A574" t="s">
        <v>891</v>
      </c>
      <c r="B574">
        <v>118830</v>
      </c>
      <c r="C574">
        <v>18</v>
      </c>
      <c r="D574" t="s">
        <v>989</v>
      </c>
      <c r="E574" t="s">
        <v>990</v>
      </c>
      <c r="F574">
        <v>167</v>
      </c>
      <c r="G574">
        <v>16.68</v>
      </c>
      <c r="H574">
        <v>55.17</v>
      </c>
      <c r="I574">
        <v>14.45</v>
      </c>
      <c r="J574">
        <v>47.79</v>
      </c>
      <c r="K574">
        <v>2</v>
      </c>
      <c r="T574">
        <v>2</v>
      </c>
      <c r="U574">
        <v>1</v>
      </c>
      <c r="V574" t="s">
        <v>233</v>
      </c>
      <c r="W574" t="s">
        <v>1003</v>
      </c>
      <c r="X574">
        <v>4</v>
      </c>
      <c r="Y574">
        <v>2</v>
      </c>
      <c r="Z574" t="s">
        <v>992</v>
      </c>
      <c r="AA574" t="s">
        <v>993</v>
      </c>
      <c r="AB574" t="s">
        <v>229</v>
      </c>
      <c r="AC574" t="s">
        <v>230</v>
      </c>
      <c r="AD574" t="s">
        <v>231</v>
      </c>
      <c r="AE574" t="s">
        <v>895</v>
      </c>
      <c r="AG574" t="s">
        <v>994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891</v>
      </c>
      <c r="B575">
        <v>118830</v>
      </c>
      <c r="C575">
        <v>19</v>
      </c>
      <c r="D575" t="s">
        <v>989</v>
      </c>
      <c r="E575" t="s">
        <v>990</v>
      </c>
      <c r="F575">
        <v>167</v>
      </c>
      <c r="G575">
        <v>18.149999999999999</v>
      </c>
      <c r="H575">
        <v>60.01</v>
      </c>
      <c r="I575">
        <v>16</v>
      </c>
      <c r="J575">
        <v>52.91</v>
      </c>
      <c r="K575">
        <v>1</v>
      </c>
      <c r="T575">
        <v>2</v>
      </c>
      <c r="U575">
        <v>1</v>
      </c>
      <c r="V575" t="s">
        <v>233</v>
      </c>
      <c r="W575">
        <v>60</v>
      </c>
      <c r="X575">
        <v>4</v>
      </c>
      <c r="Y575">
        <v>2</v>
      </c>
      <c r="Z575" t="s">
        <v>992</v>
      </c>
      <c r="AA575" t="s">
        <v>993</v>
      </c>
      <c r="AB575" t="s">
        <v>229</v>
      </c>
      <c r="AC575" t="s">
        <v>230</v>
      </c>
      <c r="AD575" t="s">
        <v>231</v>
      </c>
      <c r="AE575" t="s">
        <v>895</v>
      </c>
      <c r="AG575" t="s">
        <v>994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891</v>
      </c>
      <c r="B576">
        <v>118830</v>
      </c>
      <c r="C576">
        <v>20</v>
      </c>
      <c r="D576" t="s">
        <v>989</v>
      </c>
      <c r="E576" t="s">
        <v>990</v>
      </c>
      <c r="F576">
        <v>167</v>
      </c>
      <c r="G576">
        <v>19.329999999999998</v>
      </c>
      <c r="H576">
        <v>63.91</v>
      </c>
      <c r="I576">
        <v>17.04</v>
      </c>
      <c r="J576">
        <v>56.35</v>
      </c>
      <c r="K576">
        <v>3</v>
      </c>
      <c r="T576">
        <v>2</v>
      </c>
      <c r="U576">
        <v>1</v>
      </c>
      <c r="V576" t="s">
        <v>233</v>
      </c>
      <c r="W576">
        <v>63</v>
      </c>
      <c r="X576">
        <v>4</v>
      </c>
      <c r="Y576">
        <v>2</v>
      </c>
      <c r="Z576" t="s">
        <v>992</v>
      </c>
      <c r="AA576" t="s">
        <v>993</v>
      </c>
      <c r="AB576" t="s">
        <v>229</v>
      </c>
      <c r="AC576" t="s">
        <v>230</v>
      </c>
      <c r="AD576" t="s">
        <v>231</v>
      </c>
      <c r="AE576" t="s">
        <v>895</v>
      </c>
      <c r="AG576" t="s">
        <v>994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891</v>
      </c>
      <c r="B577">
        <v>118830</v>
      </c>
      <c r="C577">
        <v>21</v>
      </c>
      <c r="D577" t="s">
        <v>989</v>
      </c>
      <c r="E577" t="s">
        <v>990</v>
      </c>
      <c r="F577">
        <v>167</v>
      </c>
      <c r="G577">
        <v>19.670000000000002</v>
      </c>
      <c r="H577">
        <v>65.05</v>
      </c>
      <c r="I577">
        <v>17.04</v>
      </c>
      <c r="J577">
        <v>56.35</v>
      </c>
      <c r="K577">
        <v>4</v>
      </c>
      <c r="T577">
        <v>2</v>
      </c>
      <c r="U577">
        <v>1</v>
      </c>
      <c r="V577" t="s">
        <v>233</v>
      </c>
      <c r="W577" t="s">
        <v>667</v>
      </c>
      <c r="X577">
        <v>4</v>
      </c>
      <c r="Y577">
        <v>2</v>
      </c>
      <c r="Z577" t="s">
        <v>992</v>
      </c>
      <c r="AA577" t="s">
        <v>993</v>
      </c>
      <c r="AB577" t="s">
        <v>229</v>
      </c>
      <c r="AC577" t="s">
        <v>230</v>
      </c>
      <c r="AD577" t="s">
        <v>231</v>
      </c>
      <c r="AE577" t="s">
        <v>895</v>
      </c>
      <c r="AG577" t="s">
        <v>994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891</v>
      </c>
      <c r="B578">
        <v>118830</v>
      </c>
      <c r="C578">
        <v>22</v>
      </c>
      <c r="D578" t="s">
        <v>989</v>
      </c>
      <c r="E578" t="s">
        <v>990</v>
      </c>
      <c r="F578">
        <v>167</v>
      </c>
      <c r="G578">
        <v>19.920000000000002</v>
      </c>
      <c r="H578">
        <v>65.88</v>
      </c>
      <c r="I578">
        <v>17.559999999999999</v>
      </c>
      <c r="J578">
        <v>58.08</v>
      </c>
      <c r="K578">
        <v>1</v>
      </c>
      <c r="T578">
        <v>2</v>
      </c>
      <c r="U578">
        <v>1</v>
      </c>
      <c r="V578" t="s">
        <v>233</v>
      </c>
      <c r="W578" t="s">
        <v>668</v>
      </c>
      <c r="X578">
        <v>4</v>
      </c>
      <c r="Y578">
        <v>2</v>
      </c>
      <c r="Z578" t="s">
        <v>992</v>
      </c>
      <c r="AA578" t="s">
        <v>993</v>
      </c>
      <c r="AB578" t="s">
        <v>229</v>
      </c>
      <c r="AC578" t="s">
        <v>230</v>
      </c>
      <c r="AD578" t="s">
        <v>231</v>
      </c>
      <c r="AE578" t="s">
        <v>895</v>
      </c>
      <c r="AG578" t="s">
        <v>994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891</v>
      </c>
      <c r="B579">
        <v>118830</v>
      </c>
      <c r="C579">
        <v>23</v>
      </c>
      <c r="D579" t="s">
        <v>989</v>
      </c>
      <c r="E579" t="s">
        <v>990</v>
      </c>
      <c r="F579">
        <v>167</v>
      </c>
      <c r="G579">
        <v>20.51</v>
      </c>
      <c r="H579">
        <v>67.83</v>
      </c>
      <c r="I579">
        <v>17.46</v>
      </c>
      <c r="J579">
        <v>57.73</v>
      </c>
      <c r="K579">
        <v>3</v>
      </c>
      <c r="T579">
        <v>2</v>
      </c>
      <c r="U579">
        <v>1</v>
      </c>
      <c r="V579" t="s">
        <v>233</v>
      </c>
      <c r="W579" t="s">
        <v>192</v>
      </c>
      <c r="X579">
        <v>4</v>
      </c>
      <c r="Y579">
        <v>2</v>
      </c>
      <c r="Z579" t="s">
        <v>992</v>
      </c>
      <c r="AA579" t="s">
        <v>993</v>
      </c>
      <c r="AB579" t="s">
        <v>229</v>
      </c>
      <c r="AC579" t="s">
        <v>230</v>
      </c>
      <c r="AD579" t="s">
        <v>231</v>
      </c>
      <c r="AE579" t="s">
        <v>895</v>
      </c>
      <c r="AG579" t="s">
        <v>994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38" x14ac:dyDescent="0.3">
      <c r="A580" t="s">
        <v>891</v>
      </c>
      <c r="B580">
        <v>118830</v>
      </c>
      <c r="C580">
        <v>24</v>
      </c>
      <c r="D580" t="s">
        <v>989</v>
      </c>
      <c r="E580" t="s">
        <v>990</v>
      </c>
      <c r="F580">
        <v>167</v>
      </c>
      <c r="G580">
        <v>20.27</v>
      </c>
      <c r="H580">
        <v>67.040000000000006</v>
      </c>
      <c r="I580">
        <v>17.559999999999999</v>
      </c>
      <c r="J580">
        <v>58.08</v>
      </c>
      <c r="K580">
        <v>2</v>
      </c>
      <c r="T580">
        <v>2</v>
      </c>
      <c r="U580">
        <v>1</v>
      </c>
      <c r="V580" t="s">
        <v>233</v>
      </c>
      <c r="W580" t="s">
        <v>1004</v>
      </c>
      <c r="X580">
        <v>4</v>
      </c>
      <c r="Y580">
        <v>2</v>
      </c>
      <c r="Z580" t="s">
        <v>992</v>
      </c>
      <c r="AA580" t="s">
        <v>993</v>
      </c>
      <c r="AB580" t="s">
        <v>229</v>
      </c>
      <c r="AC580" t="s">
        <v>230</v>
      </c>
      <c r="AD580" t="s">
        <v>231</v>
      </c>
      <c r="AE580" t="s">
        <v>895</v>
      </c>
      <c r="AG580" t="s">
        <v>994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38" x14ac:dyDescent="0.3">
      <c r="A581" t="s">
        <v>891</v>
      </c>
      <c r="B581">
        <v>118830</v>
      </c>
      <c r="C581">
        <v>25</v>
      </c>
      <c r="D581" t="s">
        <v>989</v>
      </c>
      <c r="E581" t="s">
        <v>990</v>
      </c>
      <c r="F581">
        <v>167</v>
      </c>
      <c r="G581">
        <v>20.51</v>
      </c>
      <c r="H581">
        <v>67.819999999999993</v>
      </c>
      <c r="I581">
        <v>17.77</v>
      </c>
      <c r="J581">
        <v>58.75</v>
      </c>
      <c r="K581">
        <v>2</v>
      </c>
      <c r="T581">
        <v>2</v>
      </c>
      <c r="U581">
        <v>1</v>
      </c>
      <c r="V581" t="s">
        <v>233</v>
      </c>
      <c r="W581" t="s">
        <v>1004</v>
      </c>
      <c r="X581">
        <v>4</v>
      </c>
      <c r="Y581">
        <v>2</v>
      </c>
      <c r="Z581" t="s">
        <v>992</v>
      </c>
      <c r="AA581" t="s">
        <v>993</v>
      </c>
      <c r="AB581" t="s">
        <v>229</v>
      </c>
      <c r="AC581" t="s">
        <v>230</v>
      </c>
      <c r="AD581" t="s">
        <v>231</v>
      </c>
      <c r="AE581" t="s">
        <v>895</v>
      </c>
      <c r="AG581" t="s">
        <v>994</v>
      </c>
      <c r="AH581">
        <v>0</v>
      </c>
      <c r="AI581">
        <v>0</v>
      </c>
      <c r="AJ581">
        <v>0</v>
      </c>
      <c r="AK581">
        <v>0</v>
      </c>
      <c r="AL581">
        <v>0</v>
      </c>
    </row>
    <row r="582" spans="1:38" x14ac:dyDescent="0.3">
      <c r="A582" t="s">
        <v>891</v>
      </c>
      <c r="B582">
        <v>118830</v>
      </c>
      <c r="C582">
        <v>26</v>
      </c>
      <c r="D582" t="s">
        <v>989</v>
      </c>
      <c r="E582" t="s">
        <v>990</v>
      </c>
      <c r="F582">
        <v>167</v>
      </c>
      <c r="G582">
        <v>20.72</v>
      </c>
      <c r="H582">
        <v>68.52</v>
      </c>
      <c r="I582">
        <v>17.63</v>
      </c>
      <c r="J582">
        <v>58.31</v>
      </c>
      <c r="K582">
        <v>3</v>
      </c>
      <c r="T582">
        <v>2</v>
      </c>
      <c r="U582">
        <v>1</v>
      </c>
      <c r="V582" t="s">
        <v>233</v>
      </c>
      <c r="W582" t="s">
        <v>156</v>
      </c>
      <c r="X582">
        <v>4</v>
      </c>
      <c r="Y582">
        <v>2</v>
      </c>
      <c r="Z582" t="s">
        <v>992</v>
      </c>
      <c r="AA582" t="s">
        <v>993</v>
      </c>
      <c r="AB582" t="s">
        <v>229</v>
      </c>
      <c r="AC582" t="s">
        <v>230</v>
      </c>
      <c r="AD582" t="s">
        <v>231</v>
      </c>
      <c r="AE582" t="s">
        <v>895</v>
      </c>
      <c r="AG582" t="s">
        <v>994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">
      <c r="A583" t="s">
        <v>891</v>
      </c>
      <c r="B583">
        <v>118830</v>
      </c>
      <c r="C583">
        <v>27</v>
      </c>
      <c r="D583" t="s">
        <v>989</v>
      </c>
      <c r="E583" t="s">
        <v>990</v>
      </c>
      <c r="F583">
        <v>167</v>
      </c>
      <c r="G583">
        <v>20.92</v>
      </c>
      <c r="H583">
        <v>69.17</v>
      </c>
      <c r="I583">
        <v>17.77</v>
      </c>
      <c r="J583">
        <v>58.75</v>
      </c>
      <c r="K583">
        <v>6</v>
      </c>
      <c r="T583">
        <v>2</v>
      </c>
      <c r="U583">
        <v>1</v>
      </c>
      <c r="V583" t="s">
        <v>233</v>
      </c>
      <c r="W583" t="s">
        <v>1005</v>
      </c>
      <c r="X583">
        <v>4</v>
      </c>
      <c r="Y583">
        <v>2</v>
      </c>
      <c r="Z583" t="s">
        <v>992</v>
      </c>
      <c r="AA583" t="s">
        <v>993</v>
      </c>
      <c r="AB583" t="s">
        <v>229</v>
      </c>
      <c r="AC583" t="s">
        <v>230</v>
      </c>
      <c r="AD583" t="s">
        <v>231</v>
      </c>
      <c r="AE583" t="s">
        <v>895</v>
      </c>
      <c r="AG583" t="s">
        <v>994</v>
      </c>
      <c r="AH583">
        <v>0</v>
      </c>
      <c r="AI583">
        <v>0</v>
      </c>
      <c r="AJ583">
        <v>0</v>
      </c>
      <c r="AK583">
        <v>0</v>
      </c>
      <c r="AL583">
        <v>0</v>
      </c>
    </row>
    <row r="584" spans="1:38" x14ac:dyDescent="0.3">
      <c r="A584" t="s">
        <v>891</v>
      </c>
      <c r="B584">
        <v>118830</v>
      </c>
      <c r="C584">
        <v>28</v>
      </c>
      <c r="D584" t="s">
        <v>989</v>
      </c>
      <c r="E584" t="s">
        <v>990</v>
      </c>
      <c r="F584">
        <v>167</v>
      </c>
      <c r="G584">
        <v>21.04</v>
      </c>
      <c r="H584">
        <v>69.58</v>
      </c>
      <c r="I584">
        <v>18.55</v>
      </c>
      <c r="J584">
        <v>61.35</v>
      </c>
      <c r="K584">
        <v>1</v>
      </c>
      <c r="T584">
        <v>2</v>
      </c>
      <c r="U584">
        <v>1</v>
      </c>
      <c r="V584" t="s">
        <v>233</v>
      </c>
      <c r="W584" t="s">
        <v>1006</v>
      </c>
      <c r="X584">
        <v>4</v>
      </c>
      <c r="Y584">
        <v>2</v>
      </c>
      <c r="Z584" t="s">
        <v>992</v>
      </c>
      <c r="AA584" t="s">
        <v>993</v>
      </c>
      <c r="AB584" t="s">
        <v>229</v>
      </c>
      <c r="AC584" t="s">
        <v>230</v>
      </c>
      <c r="AD584" t="s">
        <v>231</v>
      </c>
      <c r="AE584" t="s">
        <v>895</v>
      </c>
      <c r="AG584" t="s">
        <v>994</v>
      </c>
      <c r="AH584">
        <v>0</v>
      </c>
      <c r="AI584">
        <v>0</v>
      </c>
      <c r="AJ584">
        <v>0</v>
      </c>
      <c r="AK584">
        <v>0</v>
      </c>
      <c r="AL584">
        <v>0</v>
      </c>
    </row>
    <row r="585" spans="1:38" x14ac:dyDescent="0.3">
      <c r="A585" t="s">
        <v>891</v>
      </c>
      <c r="B585">
        <v>118830</v>
      </c>
      <c r="C585">
        <v>29</v>
      </c>
      <c r="D585" t="s">
        <v>989</v>
      </c>
      <c r="E585" t="s">
        <v>990</v>
      </c>
      <c r="F585">
        <v>167</v>
      </c>
      <c r="G585">
        <v>21.44</v>
      </c>
      <c r="H585">
        <v>70.900000000000006</v>
      </c>
      <c r="I585">
        <v>18.309999999999999</v>
      </c>
      <c r="J585">
        <v>60.54</v>
      </c>
      <c r="K585">
        <v>12</v>
      </c>
      <c r="T585">
        <v>2</v>
      </c>
      <c r="U585">
        <v>1</v>
      </c>
      <c r="V585" t="s">
        <v>233</v>
      </c>
      <c r="W585" t="s">
        <v>1007</v>
      </c>
      <c r="X585">
        <v>4</v>
      </c>
      <c r="Y585">
        <v>2</v>
      </c>
      <c r="Z585" t="s">
        <v>992</v>
      </c>
      <c r="AA585" t="s">
        <v>993</v>
      </c>
      <c r="AB585" t="s">
        <v>229</v>
      </c>
      <c r="AC585" t="s">
        <v>230</v>
      </c>
      <c r="AD585" t="s">
        <v>231</v>
      </c>
      <c r="AE585" t="s">
        <v>895</v>
      </c>
      <c r="AG585" t="s">
        <v>994</v>
      </c>
      <c r="AH585">
        <v>0</v>
      </c>
      <c r="AI585">
        <v>0</v>
      </c>
      <c r="AJ585">
        <v>0</v>
      </c>
      <c r="AK585">
        <v>0</v>
      </c>
      <c r="AL585">
        <v>0</v>
      </c>
    </row>
    <row r="586" spans="1:38" x14ac:dyDescent="0.3">
      <c r="A586" t="s">
        <v>891</v>
      </c>
      <c r="B586">
        <v>118830</v>
      </c>
      <c r="C586">
        <v>30</v>
      </c>
      <c r="D586" t="s">
        <v>989</v>
      </c>
      <c r="E586" t="s">
        <v>990</v>
      </c>
      <c r="F586">
        <v>167</v>
      </c>
      <c r="G586">
        <v>21.31</v>
      </c>
      <c r="H586">
        <v>70.47</v>
      </c>
      <c r="I586">
        <v>18.2</v>
      </c>
      <c r="J586">
        <v>60.17</v>
      </c>
      <c r="K586">
        <v>4</v>
      </c>
      <c r="T586">
        <v>2</v>
      </c>
      <c r="U586">
        <v>1</v>
      </c>
      <c r="V586" t="s">
        <v>233</v>
      </c>
      <c r="W586" t="s">
        <v>1008</v>
      </c>
      <c r="X586">
        <v>4</v>
      </c>
      <c r="Y586">
        <v>2</v>
      </c>
      <c r="Z586" t="s">
        <v>992</v>
      </c>
      <c r="AA586" t="s">
        <v>993</v>
      </c>
      <c r="AB586" t="s">
        <v>229</v>
      </c>
      <c r="AC586" t="s">
        <v>230</v>
      </c>
      <c r="AD586" t="s">
        <v>231</v>
      </c>
      <c r="AE586" t="s">
        <v>895</v>
      </c>
      <c r="AG586" t="s">
        <v>994</v>
      </c>
      <c r="AH586">
        <v>0</v>
      </c>
      <c r="AI586">
        <v>0</v>
      </c>
      <c r="AJ586">
        <v>0</v>
      </c>
      <c r="AK586">
        <v>0</v>
      </c>
      <c r="AL586">
        <v>0</v>
      </c>
    </row>
    <row r="587" spans="1:38" x14ac:dyDescent="0.3">
      <c r="A587" t="s">
        <v>891</v>
      </c>
      <c r="B587">
        <v>118830</v>
      </c>
      <c r="C587">
        <v>31</v>
      </c>
      <c r="D587" t="s">
        <v>989</v>
      </c>
      <c r="E587" t="s">
        <v>990</v>
      </c>
      <c r="F587">
        <v>167</v>
      </c>
      <c r="G587">
        <v>21.42</v>
      </c>
      <c r="H587">
        <v>70.819999999999993</v>
      </c>
      <c r="I587">
        <v>18.55</v>
      </c>
      <c r="J587">
        <v>61.35</v>
      </c>
      <c r="K587">
        <v>4</v>
      </c>
      <c r="T587">
        <v>2</v>
      </c>
      <c r="U587">
        <v>1</v>
      </c>
      <c r="V587" t="s">
        <v>233</v>
      </c>
      <c r="W587" t="s">
        <v>1009</v>
      </c>
      <c r="X587">
        <v>4</v>
      </c>
      <c r="Y587">
        <v>2</v>
      </c>
      <c r="Z587" t="s">
        <v>992</v>
      </c>
      <c r="AA587" t="s">
        <v>993</v>
      </c>
      <c r="AB587" t="s">
        <v>229</v>
      </c>
      <c r="AC587" t="s">
        <v>230</v>
      </c>
      <c r="AD587" t="s">
        <v>231</v>
      </c>
      <c r="AE587" t="s">
        <v>895</v>
      </c>
      <c r="AG587" t="s">
        <v>994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891</v>
      </c>
      <c r="B588">
        <v>118830</v>
      </c>
      <c r="C588">
        <v>32</v>
      </c>
      <c r="D588" t="s">
        <v>989</v>
      </c>
      <c r="E588" t="s">
        <v>990</v>
      </c>
      <c r="F588">
        <v>167</v>
      </c>
      <c r="G588">
        <v>21.35</v>
      </c>
      <c r="H588">
        <v>70.599999999999994</v>
      </c>
      <c r="I588">
        <v>18.5</v>
      </c>
      <c r="J588">
        <v>61.16</v>
      </c>
      <c r="K588">
        <v>1</v>
      </c>
      <c r="T588">
        <v>2</v>
      </c>
      <c r="U588">
        <v>1</v>
      </c>
      <c r="V588" t="s">
        <v>233</v>
      </c>
      <c r="W588" t="s">
        <v>1010</v>
      </c>
      <c r="X588">
        <v>4</v>
      </c>
      <c r="Y588">
        <v>2</v>
      </c>
      <c r="Z588" t="s">
        <v>992</v>
      </c>
      <c r="AA588" t="s">
        <v>993</v>
      </c>
      <c r="AB588" t="s">
        <v>229</v>
      </c>
      <c r="AC588" t="s">
        <v>230</v>
      </c>
      <c r="AD588" t="s">
        <v>231</v>
      </c>
      <c r="AE588" t="s">
        <v>895</v>
      </c>
      <c r="AG588" t="s">
        <v>994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891</v>
      </c>
      <c r="B589">
        <v>118830</v>
      </c>
      <c r="C589">
        <v>33</v>
      </c>
      <c r="D589" t="s">
        <v>989</v>
      </c>
      <c r="E589" t="s">
        <v>990</v>
      </c>
      <c r="F589">
        <v>167</v>
      </c>
      <c r="G589">
        <v>21.51</v>
      </c>
      <c r="H589">
        <v>71.11</v>
      </c>
      <c r="I589">
        <v>18.63</v>
      </c>
      <c r="J589">
        <v>61.6</v>
      </c>
      <c r="K589">
        <v>2</v>
      </c>
      <c r="T589">
        <v>2</v>
      </c>
      <c r="U589">
        <v>1</v>
      </c>
      <c r="V589" t="s">
        <v>233</v>
      </c>
      <c r="W589">
        <v>71</v>
      </c>
      <c r="X589">
        <v>4</v>
      </c>
      <c r="Y589">
        <v>2</v>
      </c>
      <c r="Z589" t="s">
        <v>992</v>
      </c>
      <c r="AA589" t="s">
        <v>993</v>
      </c>
      <c r="AB589" t="s">
        <v>229</v>
      </c>
      <c r="AC589" t="s">
        <v>230</v>
      </c>
      <c r="AD589" t="s">
        <v>231</v>
      </c>
      <c r="AE589" t="s">
        <v>895</v>
      </c>
      <c r="AG589" t="s">
        <v>994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891</v>
      </c>
      <c r="B590">
        <v>118830</v>
      </c>
      <c r="C590">
        <v>34</v>
      </c>
      <c r="D590" t="s">
        <v>989</v>
      </c>
      <c r="E590" t="s">
        <v>990</v>
      </c>
      <c r="F590">
        <v>167</v>
      </c>
      <c r="G590">
        <v>22.64</v>
      </c>
      <c r="H590">
        <v>74.849999999999994</v>
      </c>
      <c r="I590">
        <v>19.96</v>
      </c>
      <c r="J590">
        <v>65.989999999999995</v>
      </c>
      <c r="K590">
        <v>3</v>
      </c>
      <c r="T590">
        <v>2</v>
      </c>
      <c r="U590">
        <v>1</v>
      </c>
      <c r="V590" t="s">
        <v>233</v>
      </c>
      <c r="W590" t="s">
        <v>103</v>
      </c>
      <c r="X590">
        <v>4</v>
      </c>
      <c r="Y590">
        <v>2</v>
      </c>
      <c r="Z590" t="s">
        <v>992</v>
      </c>
      <c r="AA590" t="s">
        <v>993</v>
      </c>
      <c r="AB590" t="s">
        <v>229</v>
      </c>
      <c r="AC590" t="s">
        <v>230</v>
      </c>
      <c r="AD590" t="s">
        <v>231</v>
      </c>
      <c r="AE590" t="s">
        <v>895</v>
      </c>
      <c r="AG590" t="s">
        <v>994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891</v>
      </c>
      <c r="B591">
        <v>118830</v>
      </c>
      <c r="C591">
        <v>35</v>
      </c>
      <c r="D591" t="s">
        <v>989</v>
      </c>
      <c r="E591" t="s">
        <v>990</v>
      </c>
      <c r="F591">
        <v>167</v>
      </c>
      <c r="G591">
        <v>22.67</v>
      </c>
      <c r="H591">
        <v>74.97</v>
      </c>
      <c r="I591">
        <v>19.64</v>
      </c>
      <c r="J591">
        <v>64.95</v>
      </c>
      <c r="K591">
        <v>1</v>
      </c>
      <c r="T591">
        <v>2</v>
      </c>
      <c r="U591">
        <v>1</v>
      </c>
      <c r="V591" t="s">
        <v>233</v>
      </c>
      <c r="W591" t="s">
        <v>104</v>
      </c>
      <c r="X591">
        <v>4</v>
      </c>
      <c r="Y591">
        <v>2</v>
      </c>
      <c r="Z591" t="s">
        <v>992</v>
      </c>
      <c r="AA591" t="s">
        <v>993</v>
      </c>
      <c r="AB591" t="s">
        <v>229</v>
      </c>
      <c r="AC591" t="s">
        <v>230</v>
      </c>
      <c r="AD591" t="s">
        <v>231</v>
      </c>
      <c r="AE591" t="s">
        <v>895</v>
      </c>
      <c r="AG591" t="s">
        <v>994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891</v>
      </c>
      <c r="B592">
        <v>118830</v>
      </c>
      <c r="C592">
        <v>36</v>
      </c>
      <c r="D592" t="s">
        <v>989</v>
      </c>
      <c r="E592" t="s">
        <v>990</v>
      </c>
      <c r="F592">
        <v>167</v>
      </c>
      <c r="G592">
        <v>22.73</v>
      </c>
      <c r="H592">
        <v>75.16</v>
      </c>
      <c r="I592">
        <v>20.04</v>
      </c>
      <c r="J592">
        <v>66.27</v>
      </c>
      <c r="K592">
        <v>8</v>
      </c>
      <c r="T592">
        <v>2</v>
      </c>
      <c r="U592">
        <v>1</v>
      </c>
      <c r="V592" t="s">
        <v>233</v>
      </c>
      <c r="W592" t="s">
        <v>1011</v>
      </c>
      <c r="X592">
        <v>4</v>
      </c>
      <c r="Y592">
        <v>2</v>
      </c>
      <c r="Z592" t="s">
        <v>992</v>
      </c>
      <c r="AA592" t="s">
        <v>993</v>
      </c>
      <c r="AB592" t="s">
        <v>229</v>
      </c>
      <c r="AC592" t="s">
        <v>230</v>
      </c>
      <c r="AD592" t="s">
        <v>231</v>
      </c>
      <c r="AE592" t="s">
        <v>895</v>
      </c>
      <c r="AG592" t="s">
        <v>994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891</v>
      </c>
      <c r="B593">
        <v>118830</v>
      </c>
      <c r="C593">
        <v>37</v>
      </c>
      <c r="D593" t="s">
        <v>989</v>
      </c>
      <c r="E593" t="s">
        <v>990</v>
      </c>
      <c r="F593">
        <v>167</v>
      </c>
      <c r="G593">
        <v>22.86</v>
      </c>
      <c r="H593">
        <v>75.58</v>
      </c>
      <c r="I593">
        <v>20.149999999999999</v>
      </c>
      <c r="J593">
        <v>66.64</v>
      </c>
      <c r="K593">
        <v>2</v>
      </c>
      <c r="T593">
        <v>2</v>
      </c>
      <c r="U593">
        <v>1</v>
      </c>
      <c r="V593" t="s">
        <v>233</v>
      </c>
      <c r="W593" t="s">
        <v>1012</v>
      </c>
      <c r="X593">
        <v>4</v>
      </c>
      <c r="Y593">
        <v>2</v>
      </c>
      <c r="Z593" t="s">
        <v>992</v>
      </c>
      <c r="AA593" t="s">
        <v>993</v>
      </c>
      <c r="AB593" t="s">
        <v>229</v>
      </c>
      <c r="AC593" t="s">
        <v>230</v>
      </c>
      <c r="AD593" t="s">
        <v>231</v>
      </c>
      <c r="AE593" t="s">
        <v>895</v>
      </c>
      <c r="AG593" t="s">
        <v>994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891</v>
      </c>
      <c r="B594">
        <v>118830</v>
      </c>
      <c r="C594">
        <v>38</v>
      </c>
      <c r="D594" t="s">
        <v>989</v>
      </c>
      <c r="E594" t="s">
        <v>990</v>
      </c>
      <c r="F594">
        <v>167</v>
      </c>
      <c r="G594">
        <v>23.14</v>
      </c>
      <c r="H594">
        <v>76.5</v>
      </c>
      <c r="I594">
        <v>20.04</v>
      </c>
      <c r="J594">
        <v>66.27</v>
      </c>
      <c r="K594">
        <v>13</v>
      </c>
      <c r="T594">
        <v>2</v>
      </c>
      <c r="U594">
        <v>1</v>
      </c>
      <c r="V594" t="s">
        <v>233</v>
      </c>
      <c r="W594" t="s">
        <v>1013</v>
      </c>
      <c r="X594">
        <v>4</v>
      </c>
      <c r="Y594">
        <v>2</v>
      </c>
      <c r="Z594" t="s">
        <v>992</v>
      </c>
      <c r="AA594" t="s">
        <v>993</v>
      </c>
      <c r="AB594" t="s">
        <v>229</v>
      </c>
      <c r="AC594" t="s">
        <v>230</v>
      </c>
      <c r="AD594" t="s">
        <v>231</v>
      </c>
      <c r="AE594" t="s">
        <v>895</v>
      </c>
      <c r="AG594" t="s">
        <v>994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891</v>
      </c>
      <c r="B595">
        <v>118830</v>
      </c>
      <c r="C595">
        <v>39</v>
      </c>
      <c r="D595" t="s">
        <v>989</v>
      </c>
      <c r="E595" t="s">
        <v>990</v>
      </c>
      <c r="F595">
        <v>167</v>
      </c>
      <c r="G595">
        <v>23.09</v>
      </c>
      <c r="H595">
        <v>76.34</v>
      </c>
      <c r="I595">
        <v>20</v>
      </c>
      <c r="J595">
        <v>66.13</v>
      </c>
      <c r="K595">
        <v>1</v>
      </c>
      <c r="T595">
        <v>2</v>
      </c>
      <c r="U595">
        <v>1</v>
      </c>
      <c r="V595" t="s">
        <v>233</v>
      </c>
      <c r="W595" t="s">
        <v>1014</v>
      </c>
      <c r="X595">
        <v>4</v>
      </c>
      <c r="Y595">
        <v>2</v>
      </c>
      <c r="Z595" t="s">
        <v>992</v>
      </c>
      <c r="AA595" t="s">
        <v>993</v>
      </c>
      <c r="AB595" t="s">
        <v>229</v>
      </c>
      <c r="AC595" t="s">
        <v>230</v>
      </c>
      <c r="AD595" t="s">
        <v>231</v>
      </c>
      <c r="AE595" t="s">
        <v>895</v>
      </c>
      <c r="AG595" t="s">
        <v>994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891</v>
      </c>
      <c r="B596">
        <v>118830</v>
      </c>
      <c r="C596">
        <v>40</v>
      </c>
      <c r="D596" t="s">
        <v>989</v>
      </c>
      <c r="E596" t="s">
        <v>990</v>
      </c>
      <c r="F596">
        <v>167</v>
      </c>
      <c r="G596">
        <v>24.29</v>
      </c>
      <c r="H596">
        <v>80.31</v>
      </c>
      <c r="I596">
        <v>21.04</v>
      </c>
      <c r="J596">
        <v>69.569999999999993</v>
      </c>
      <c r="K596">
        <v>3</v>
      </c>
      <c r="T596">
        <v>2</v>
      </c>
      <c r="U596">
        <v>1</v>
      </c>
      <c r="V596" t="s">
        <v>233</v>
      </c>
      <c r="W596">
        <v>80</v>
      </c>
      <c r="X596">
        <v>4</v>
      </c>
      <c r="Y596">
        <v>2</v>
      </c>
      <c r="Z596" t="s">
        <v>992</v>
      </c>
      <c r="AA596" t="s">
        <v>993</v>
      </c>
      <c r="AB596" t="s">
        <v>229</v>
      </c>
      <c r="AC596" t="s">
        <v>230</v>
      </c>
      <c r="AD596" t="s">
        <v>231</v>
      </c>
      <c r="AE596" t="s">
        <v>895</v>
      </c>
      <c r="AG596" t="s">
        <v>994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891</v>
      </c>
      <c r="B597">
        <v>118830</v>
      </c>
      <c r="C597">
        <v>41</v>
      </c>
      <c r="D597" t="s">
        <v>989</v>
      </c>
      <c r="E597" t="s">
        <v>990</v>
      </c>
      <c r="F597">
        <v>167</v>
      </c>
      <c r="G597">
        <v>24.78</v>
      </c>
      <c r="H597">
        <v>81.92</v>
      </c>
      <c r="I597">
        <v>21.46</v>
      </c>
      <c r="J597">
        <v>70.97</v>
      </c>
      <c r="K597">
        <v>2</v>
      </c>
      <c r="T597">
        <v>2</v>
      </c>
      <c r="U597">
        <v>1</v>
      </c>
      <c r="V597" t="s">
        <v>233</v>
      </c>
      <c r="W597" t="s">
        <v>172</v>
      </c>
      <c r="X597">
        <v>4</v>
      </c>
      <c r="Y597">
        <v>2</v>
      </c>
      <c r="Z597" t="s">
        <v>992</v>
      </c>
      <c r="AA597" t="s">
        <v>993</v>
      </c>
      <c r="AB597" t="s">
        <v>229</v>
      </c>
      <c r="AC597" t="s">
        <v>230</v>
      </c>
      <c r="AD597" t="s">
        <v>231</v>
      </c>
      <c r="AE597" t="s">
        <v>895</v>
      </c>
      <c r="AG597" t="s">
        <v>994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891</v>
      </c>
      <c r="B598">
        <v>118830</v>
      </c>
      <c r="C598">
        <v>42</v>
      </c>
      <c r="D598" t="s">
        <v>989</v>
      </c>
      <c r="E598" t="s">
        <v>990</v>
      </c>
      <c r="F598">
        <v>167</v>
      </c>
      <c r="G598">
        <v>25.26</v>
      </c>
      <c r="H598">
        <v>83.51</v>
      </c>
      <c r="I598">
        <v>21.81</v>
      </c>
      <c r="J598">
        <v>72.099999999999994</v>
      </c>
      <c r="K598">
        <v>12</v>
      </c>
      <c r="T598">
        <v>2</v>
      </c>
      <c r="U598">
        <v>1</v>
      </c>
      <c r="V598" t="s">
        <v>233</v>
      </c>
      <c r="W598" t="s">
        <v>1015</v>
      </c>
      <c r="X598">
        <v>4</v>
      </c>
      <c r="Y598">
        <v>2</v>
      </c>
      <c r="Z598" t="s">
        <v>992</v>
      </c>
      <c r="AA598" t="s">
        <v>993</v>
      </c>
      <c r="AB598" t="s">
        <v>229</v>
      </c>
      <c r="AC598" t="s">
        <v>230</v>
      </c>
      <c r="AD598" t="s">
        <v>231</v>
      </c>
      <c r="AE598" t="s">
        <v>895</v>
      </c>
      <c r="AG598" t="s">
        <v>994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891</v>
      </c>
      <c r="B599">
        <v>118830</v>
      </c>
      <c r="C599">
        <v>43</v>
      </c>
      <c r="D599" t="s">
        <v>989</v>
      </c>
      <c r="E599" t="s">
        <v>990</v>
      </c>
      <c r="F599">
        <v>167</v>
      </c>
      <c r="G599">
        <v>25.17</v>
      </c>
      <c r="H599">
        <v>83.23</v>
      </c>
      <c r="I599">
        <v>21.81</v>
      </c>
      <c r="J599">
        <v>72.099999999999994</v>
      </c>
      <c r="K599">
        <v>6</v>
      </c>
      <c r="T599">
        <v>2</v>
      </c>
      <c r="U599">
        <v>1</v>
      </c>
      <c r="V599" t="s">
        <v>233</v>
      </c>
      <c r="W599" t="s">
        <v>1016</v>
      </c>
      <c r="X599">
        <v>4</v>
      </c>
      <c r="Y599">
        <v>2</v>
      </c>
      <c r="Z599" t="s">
        <v>992</v>
      </c>
      <c r="AA599" t="s">
        <v>993</v>
      </c>
      <c r="AB599" t="s">
        <v>229</v>
      </c>
      <c r="AC599" t="s">
        <v>230</v>
      </c>
      <c r="AD599" t="s">
        <v>231</v>
      </c>
      <c r="AE599" t="s">
        <v>895</v>
      </c>
      <c r="AG599" t="s">
        <v>994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">
      <c r="A600" t="s">
        <v>891</v>
      </c>
      <c r="B600">
        <v>118830</v>
      </c>
      <c r="C600">
        <v>44</v>
      </c>
      <c r="D600" t="s">
        <v>989</v>
      </c>
      <c r="E600" t="s">
        <v>990</v>
      </c>
      <c r="F600">
        <v>167</v>
      </c>
      <c r="G600">
        <v>26.18</v>
      </c>
      <c r="H600">
        <v>86.55</v>
      </c>
      <c r="I600">
        <v>22.35</v>
      </c>
      <c r="J600">
        <v>73.900000000000006</v>
      </c>
      <c r="K600">
        <v>4</v>
      </c>
      <c r="T600">
        <v>2</v>
      </c>
      <c r="U600">
        <v>1</v>
      </c>
      <c r="V600" t="s">
        <v>233</v>
      </c>
      <c r="W600" t="s">
        <v>1017</v>
      </c>
      <c r="X600">
        <v>4</v>
      </c>
      <c r="Y600">
        <v>2</v>
      </c>
      <c r="Z600" t="s">
        <v>992</v>
      </c>
      <c r="AA600" t="s">
        <v>993</v>
      </c>
      <c r="AB600" t="s">
        <v>229</v>
      </c>
      <c r="AC600" t="s">
        <v>230</v>
      </c>
      <c r="AD600" t="s">
        <v>231</v>
      </c>
      <c r="AE600" t="s">
        <v>895</v>
      </c>
      <c r="AG600" t="s">
        <v>994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">
      <c r="A601" t="s">
        <v>891</v>
      </c>
      <c r="B601">
        <v>118830</v>
      </c>
      <c r="C601">
        <v>45</v>
      </c>
      <c r="D601" t="s">
        <v>989</v>
      </c>
      <c r="E601" t="s">
        <v>990</v>
      </c>
      <c r="F601">
        <v>167</v>
      </c>
      <c r="G601">
        <v>26.27</v>
      </c>
      <c r="H601">
        <v>86.85</v>
      </c>
      <c r="I601">
        <v>22.76</v>
      </c>
      <c r="J601">
        <v>75.239999999999995</v>
      </c>
      <c r="K601">
        <v>1</v>
      </c>
      <c r="T601">
        <v>2</v>
      </c>
      <c r="U601">
        <v>1</v>
      </c>
      <c r="V601" t="s">
        <v>233</v>
      </c>
      <c r="W601" t="s">
        <v>105</v>
      </c>
      <c r="X601">
        <v>4</v>
      </c>
      <c r="Y601">
        <v>2</v>
      </c>
      <c r="Z601" t="s">
        <v>992</v>
      </c>
      <c r="AA601" t="s">
        <v>993</v>
      </c>
      <c r="AB601" t="s">
        <v>229</v>
      </c>
      <c r="AC601" t="s">
        <v>230</v>
      </c>
      <c r="AD601" t="s">
        <v>231</v>
      </c>
      <c r="AE601" t="s">
        <v>895</v>
      </c>
      <c r="AG601" t="s">
        <v>994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 x14ac:dyDescent="0.3">
      <c r="A602" t="s">
        <v>891</v>
      </c>
      <c r="B602">
        <v>118830</v>
      </c>
      <c r="C602">
        <v>46</v>
      </c>
      <c r="D602" t="s">
        <v>989</v>
      </c>
      <c r="E602" t="s">
        <v>990</v>
      </c>
      <c r="F602">
        <v>167</v>
      </c>
      <c r="G602">
        <v>27.42</v>
      </c>
      <c r="H602">
        <v>90.65</v>
      </c>
      <c r="I602">
        <v>24.17</v>
      </c>
      <c r="J602">
        <v>79.930000000000007</v>
      </c>
      <c r="K602">
        <v>1</v>
      </c>
      <c r="T602">
        <v>2</v>
      </c>
      <c r="U602">
        <v>1</v>
      </c>
      <c r="V602" t="s">
        <v>233</v>
      </c>
      <c r="W602">
        <v>90</v>
      </c>
      <c r="X602">
        <v>4</v>
      </c>
      <c r="Y602">
        <v>2</v>
      </c>
      <c r="Z602" t="s">
        <v>992</v>
      </c>
      <c r="AA602" t="s">
        <v>993</v>
      </c>
      <c r="AB602" t="s">
        <v>229</v>
      </c>
      <c r="AC602" t="s">
        <v>230</v>
      </c>
      <c r="AD602" t="s">
        <v>231</v>
      </c>
      <c r="AE602" t="s">
        <v>895</v>
      </c>
      <c r="AG602" t="s">
        <v>994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891</v>
      </c>
      <c r="B603">
        <v>118830</v>
      </c>
      <c r="C603">
        <v>47</v>
      </c>
      <c r="D603" t="s">
        <v>989</v>
      </c>
      <c r="E603" t="s">
        <v>990</v>
      </c>
      <c r="F603">
        <v>167</v>
      </c>
      <c r="G603">
        <v>27.51</v>
      </c>
      <c r="H603">
        <v>90.96</v>
      </c>
      <c r="I603">
        <v>24.26</v>
      </c>
      <c r="J603">
        <v>80.2</v>
      </c>
      <c r="K603">
        <v>1</v>
      </c>
      <c r="T603">
        <v>3</v>
      </c>
      <c r="U603">
        <v>1</v>
      </c>
      <c r="V603" t="s">
        <v>233</v>
      </c>
      <c r="W603" t="s">
        <v>1018</v>
      </c>
      <c r="X603">
        <v>4</v>
      </c>
      <c r="Y603">
        <v>2</v>
      </c>
      <c r="Z603" t="s">
        <v>992</v>
      </c>
      <c r="AA603" t="s">
        <v>993</v>
      </c>
      <c r="AB603" t="s">
        <v>229</v>
      </c>
      <c r="AC603" t="s">
        <v>230</v>
      </c>
      <c r="AD603" t="s">
        <v>231</v>
      </c>
      <c r="AE603" t="s">
        <v>895</v>
      </c>
      <c r="AG603" t="s">
        <v>994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891</v>
      </c>
      <c r="B604">
        <v>118830</v>
      </c>
      <c r="C604">
        <v>48</v>
      </c>
      <c r="D604" t="s">
        <v>989</v>
      </c>
      <c r="E604" t="s">
        <v>990</v>
      </c>
      <c r="F604">
        <v>167</v>
      </c>
      <c r="G604">
        <v>27.72</v>
      </c>
      <c r="H604">
        <v>91.64</v>
      </c>
      <c r="I604">
        <v>24.01</v>
      </c>
      <c r="J604">
        <v>79.39</v>
      </c>
      <c r="K604">
        <v>1</v>
      </c>
      <c r="T604">
        <v>2</v>
      </c>
      <c r="U604">
        <v>1</v>
      </c>
      <c r="V604" t="s">
        <v>233</v>
      </c>
      <c r="W604" t="s">
        <v>1019</v>
      </c>
      <c r="X604">
        <v>4</v>
      </c>
      <c r="Y604">
        <v>2</v>
      </c>
      <c r="Z604" t="s">
        <v>992</v>
      </c>
      <c r="AA604" t="s">
        <v>993</v>
      </c>
      <c r="AB604" t="s">
        <v>229</v>
      </c>
      <c r="AC604" t="s">
        <v>230</v>
      </c>
      <c r="AD604" t="s">
        <v>231</v>
      </c>
      <c r="AE604" t="s">
        <v>895</v>
      </c>
      <c r="AG604" t="s">
        <v>994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891</v>
      </c>
      <c r="B605">
        <v>118830</v>
      </c>
      <c r="C605">
        <v>49</v>
      </c>
      <c r="D605" t="s">
        <v>989</v>
      </c>
      <c r="E605" t="s">
        <v>990</v>
      </c>
      <c r="F605">
        <v>167</v>
      </c>
      <c r="G605">
        <v>28.03</v>
      </c>
      <c r="H605">
        <v>92.67</v>
      </c>
      <c r="I605">
        <v>24.2</v>
      </c>
      <c r="J605">
        <v>80.010000000000005</v>
      </c>
      <c r="K605">
        <v>12</v>
      </c>
      <c r="T605">
        <v>3</v>
      </c>
      <c r="U605">
        <v>1</v>
      </c>
      <c r="V605" t="s">
        <v>233</v>
      </c>
      <c r="W605" t="s">
        <v>1020</v>
      </c>
      <c r="X605">
        <v>4</v>
      </c>
      <c r="Y605">
        <v>2</v>
      </c>
      <c r="Z605" t="s">
        <v>992</v>
      </c>
      <c r="AA605" t="s">
        <v>993</v>
      </c>
      <c r="AB605" t="s">
        <v>229</v>
      </c>
      <c r="AC605" t="s">
        <v>230</v>
      </c>
      <c r="AD605" t="s">
        <v>231</v>
      </c>
      <c r="AE605" t="s">
        <v>895</v>
      </c>
      <c r="AG605" t="s">
        <v>994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891</v>
      </c>
      <c r="B606">
        <v>118830</v>
      </c>
      <c r="C606">
        <v>50</v>
      </c>
      <c r="D606" t="s">
        <v>989</v>
      </c>
      <c r="E606" t="s">
        <v>990</v>
      </c>
      <c r="F606">
        <v>167</v>
      </c>
      <c r="G606">
        <v>27.93</v>
      </c>
      <c r="H606">
        <v>92.36</v>
      </c>
      <c r="I606">
        <v>24.2</v>
      </c>
      <c r="J606">
        <v>80.010000000000005</v>
      </c>
      <c r="K606">
        <v>6</v>
      </c>
      <c r="T606">
        <v>3</v>
      </c>
      <c r="U606">
        <v>1</v>
      </c>
      <c r="V606" t="s">
        <v>233</v>
      </c>
      <c r="W606" t="s">
        <v>1021</v>
      </c>
      <c r="X606">
        <v>4</v>
      </c>
      <c r="Y606">
        <v>2</v>
      </c>
      <c r="Z606" t="s">
        <v>992</v>
      </c>
      <c r="AA606" t="s">
        <v>993</v>
      </c>
      <c r="AB606" t="s">
        <v>229</v>
      </c>
      <c r="AC606" t="s">
        <v>230</v>
      </c>
      <c r="AD606" t="s">
        <v>231</v>
      </c>
      <c r="AE606" t="s">
        <v>895</v>
      </c>
      <c r="AG606" t="s">
        <v>994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891</v>
      </c>
      <c r="B607">
        <v>118830</v>
      </c>
      <c r="C607">
        <v>51</v>
      </c>
      <c r="D607" t="s">
        <v>989</v>
      </c>
      <c r="E607" t="s">
        <v>990</v>
      </c>
      <c r="F607">
        <v>167</v>
      </c>
      <c r="G607">
        <v>27.87</v>
      </c>
      <c r="H607">
        <v>92.14</v>
      </c>
      <c r="I607">
        <v>24.57</v>
      </c>
      <c r="J607">
        <v>81.239999999999995</v>
      </c>
      <c r="K607">
        <v>5</v>
      </c>
      <c r="T607">
        <v>3</v>
      </c>
      <c r="U607">
        <v>1</v>
      </c>
      <c r="V607" t="s">
        <v>233</v>
      </c>
      <c r="W607" t="s">
        <v>1022</v>
      </c>
      <c r="X607">
        <v>4</v>
      </c>
      <c r="Y607">
        <v>2</v>
      </c>
      <c r="Z607" t="s">
        <v>992</v>
      </c>
      <c r="AA607" t="s">
        <v>993</v>
      </c>
      <c r="AB607" t="s">
        <v>229</v>
      </c>
      <c r="AC607" t="s">
        <v>230</v>
      </c>
      <c r="AD607" t="s">
        <v>231</v>
      </c>
      <c r="AE607" t="s">
        <v>895</v>
      </c>
      <c r="AG607" t="s">
        <v>994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891</v>
      </c>
      <c r="B608">
        <v>118830</v>
      </c>
      <c r="C608">
        <v>52</v>
      </c>
      <c r="D608" t="s">
        <v>989</v>
      </c>
      <c r="E608" t="s">
        <v>990</v>
      </c>
      <c r="F608">
        <v>167</v>
      </c>
      <c r="G608">
        <v>28.73</v>
      </c>
      <c r="H608">
        <v>94.99</v>
      </c>
      <c r="I608">
        <v>24.89</v>
      </c>
      <c r="J608">
        <v>82.29</v>
      </c>
      <c r="K608">
        <v>3</v>
      </c>
      <c r="T608">
        <v>3</v>
      </c>
      <c r="U608">
        <v>1</v>
      </c>
      <c r="V608" t="s">
        <v>233</v>
      </c>
      <c r="W608" t="s">
        <v>1023</v>
      </c>
      <c r="X608">
        <v>4</v>
      </c>
      <c r="Y608">
        <v>2</v>
      </c>
      <c r="Z608" t="s">
        <v>992</v>
      </c>
      <c r="AA608" t="s">
        <v>993</v>
      </c>
      <c r="AB608" t="s">
        <v>229</v>
      </c>
      <c r="AC608" t="s">
        <v>230</v>
      </c>
      <c r="AD608" t="s">
        <v>231</v>
      </c>
      <c r="AE608" t="s">
        <v>895</v>
      </c>
      <c r="AG608" t="s">
        <v>994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891</v>
      </c>
      <c r="B609">
        <v>118830</v>
      </c>
      <c r="C609">
        <v>53</v>
      </c>
      <c r="D609" t="s">
        <v>989</v>
      </c>
      <c r="E609" t="s">
        <v>990</v>
      </c>
      <c r="F609">
        <v>167</v>
      </c>
      <c r="G609">
        <v>28.68</v>
      </c>
      <c r="H609">
        <v>94.83</v>
      </c>
      <c r="I609">
        <v>24.85</v>
      </c>
      <c r="J609">
        <v>82.15</v>
      </c>
      <c r="K609">
        <v>2</v>
      </c>
      <c r="T609">
        <v>3</v>
      </c>
      <c r="U609">
        <v>1</v>
      </c>
      <c r="V609" t="s">
        <v>233</v>
      </c>
      <c r="W609" t="s">
        <v>1024</v>
      </c>
      <c r="X609">
        <v>4</v>
      </c>
      <c r="Y609">
        <v>2</v>
      </c>
      <c r="Z609" t="s">
        <v>992</v>
      </c>
      <c r="AA609" t="s">
        <v>993</v>
      </c>
      <c r="AB609" t="s">
        <v>229</v>
      </c>
      <c r="AC609" t="s">
        <v>230</v>
      </c>
      <c r="AD609" t="s">
        <v>231</v>
      </c>
      <c r="AE609" t="s">
        <v>895</v>
      </c>
      <c r="AG609" t="s">
        <v>994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1025</v>
      </c>
      <c r="B610">
        <v>15464</v>
      </c>
      <c r="C610">
        <v>1</v>
      </c>
      <c r="D610" t="s">
        <v>1026</v>
      </c>
      <c r="E610" t="s">
        <v>1027</v>
      </c>
      <c r="F610">
        <v>175</v>
      </c>
      <c r="G610">
        <v>16.62</v>
      </c>
      <c r="H610">
        <v>54.96</v>
      </c>
      <c r="I610">
        <v>12.52</v>
      </c>
      <c r="J610">
        <v>41.4</v>
      </c>
      <c r="K610">
        <v>18</v>
      </c>
      <c r="T610">
        <v>2</v>
      </c>
      <c r="U610">
        <v>1</v>
      </c>
      <c r="V610" t="s">
        <v>226</v>
      </c>
      <c r="W610">
        <v>54</v>
      </c>
      <c r="X610">
        <v>7</v>
      </c>
      <c r="Y610">
        <v>6</v>
      </c>
      <c r="Z610" t="s">
        <v>1028</v>
      </c>
      <c r="AA610" t="s">
        <v>1029</v>
      </c>
      <c r="AB610" t="s">
        <v>229</v>
      </c>
      <c r="AC610" t="s">
        <v>230</v>
      </c>
      <c r="AD610" t="s">
        <v>231</v>
      </c>
      <c r="AE610" t="s">
        <v>206</v>
      </c>
      <c r="AG610" t="s">
        <v>1030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1025</v>
      </c>
      <c r="B611">
        <v>15464</v>
      </c>
      <c r="C611">
        <v>2</v>
      </c>
      <c r="D611" t="s">
        <v>1026</v>
      </c>
      <c r="E611" t="s">
        <v>1027</v>
      </c>
      <c r="F611">
        <v>175</v>
      </c>
      <c r="G611">
        <v>19.16</v>
      </c>
      <c r="H611">
        <v>63.36</v>
      </c>
      <c r="I611">
        <v>15.06</v>
      </c>
      <c r="J611">
        <v>49.8</v>
      </c>
      <c r="K611">
        <v>120</v>
      </c>
      <c r="T611">
        <v>2</v>
      </c>
      <c r="U611">
        <v>1</v>
      </c>
      <c r="V611" t="s">
        <v>226</v>
      </c>
      <c r="W611">
        <v>63</v>
      </c>
      <c r="X611">
        <v>7</v>
      </c>
      <c r="Y611">
        <v>6</v>
      </c>
      <c r="Z611" t="s">
        <v>1028</v>
      </c>
      <c r="AA611" t="s">
        <v>1029</v>
      </c>
      <c r="AB611" t="s">
        <v>229</v>
      </c>
      <c r="AC611" t="s">
        <v>230</v>
      </c>
      <c r="AD611" t="s">
        <v>231</v>
      </c>
      <c r="AE611" t="s">
        <v>206</v>
      </c>
      <c r="AG611" t="s">
        <v>1030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1025</v>
      </c>
      <c r="B612">
        <v>15464</v>
      </c>
      <c r="C612">
        <v>3</v>
      </c>
      <c r="D612" t="s">
        <v>1026</v>
      </c>
      <c r="E612" t="s">
        <v>1027</v>
      </c>
      <c r="F612">
        <v>175</v>
      </c>
      <c r="G612">
        <v>25.51</v>
      </c>
      <c r="H612">
        <v>84.34</v>
      </c>
      <c r="I612">
        <v>21.42</v>
      </c>
      <c r="J612">
        <v>70.83</v>
      </c>
      <c r="K612">
        <v>6</v>
      </c>
      <c r="T612">
        <v>3</v>
      </c>
      <c r="U612">
        <v>1</v>
      </c>
      <c r="V612" t="s">
        <v>233</v>
      </c>
      <c r="W612" t="s">
        <v>1031</v>
      </c>
      <c r="X612">
        <v>7</v>
      </c>
      <c r="Y612">
        <v>6</v>
      </c>
      <c r="Z612" t="s">
        <v>1028</v>
      </c>
      <c r="AA612" t="s">
        <v>1029</v>
      </c>
      <c r="AB612" t="s">
        <v>229</v>
      </c>
      <c r="AC612" t="s">
        <v>230</v>
      </c>
      <c r="AD612" t="s">
        <v>231</v>
      </c>
      <c r="AE612" t="s">
        <v>206</v>
      </c>
      <c r="AG612" t="s">
        <v>1030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1025</v>
      </c>
      <c r="B613">
        <v>15464</v>
      </c>
      <c r="C613">
        <v>4</v>
      </c>
      <c r="D613" t="s">
        <v>1026</v>
      </c>
      <c r="E613" t="s">
        <v>1027</v>
      </c>
      <c r="F613">
        <v>175</v>
      </c>
      <c r="G613">
        <v>25.75</v>
      </c>
      <c r="H613">
        <v>85.15</v>
      </c>
      <c r="I613">
        <v>21.66</v>
      </c>
      <c r="J613">
        <v>71.63</v>
      </c>
      <c r="K613">
        <v>30</v>
      </c>
      <c r="T613">
        <v>3</v>
      </c>
      <c r="U613">
        <v>1</v>
      </c>
      <c r="V613" t="s">
        <v>226</v>
      </c>
      <c r="W613" t="s">
        <v>1032</v>
      </c>
      <c r="X613">
        <v>7</v>
      </c>
      <c r="Y613">
        <v>6</v>
      </c>
      <c r="Z613" t="s">
        <v>1028</v>
      </c>
      <c r="AA613" t="s">
        <v>1029</v>
      </c>
      <c r="AB613" t="s">
        <v>229</v>
      </c>
      <c r="AC613" t="s">
        <v>230</v>
      </c>
      <c r="AD613" t="s">
        <v>231</v>
      </c>
      <c r="AE613" t="s">
        <v>206</v>
      </c>
      <c r="AG613" t="s">
        <v>1030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1025</v>
      </c>
      <c r="B614">
        <v>15464</v>
      </c>
      <c r="C614">
        <v>5</v>
      </c>
      <c r="D614" t="s">
        <v>1026</v>
      </c>
      <c r="E614" t="s">
        <v>1027</v>
      </c>
      <c r="F614">
        <v>175</v>
      </c>
      <c r="G614">
        <v>41.87</v>
      </c>
      <c r="H614">
        <v>138.41999999999999</v>
      </c>
      <c r="I614">
        <v>37.770000000000003</v>
      </c>
      <c r="J614">
        <v>124.86</v>
      </c>
      <c r="K614">
        <v>1</v>
      </c>
      <c r="T614">
        <v>3</v>
      </c>
      <c r="U614">
        <v>1</v>
      </c>
      <c r="V614" t="s">
        <v>226</v>
      </c>
      <c r="W614">
        <v>138</v>
      </c>
      <c r="X614">
        <v>7</v>
      </c>
      <c r="Y614">
        <v>6</v>
      </c>
      <c r="Z614" t="s">
        <v>1028</v>
      </c>
      <c r="AA614" t="s">
        <v>1029</v>
      </c>
      <c r="AB614" t="s">
        <v>229</v>
      </c>
      <c r="AC614" t="s">
        <v>230</v>
      </c>
      <c r="AD614" t="s">
        <v>231</v>
      </c>
      <c r="AE614" t="s">
        <v>206</v>
      </c>
      <c r="AG614" t="s">
        <v>1030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1025</v>
      </c>
      <c r="B615">
        <v>103456</v>
      </c>
      <c r="C615">
        <v>1</v>
      </c>
      <c r="D615" t="s">
        <v>1033</v>
      </c>
      <c r="E615" t="s">
        <v>1034</v>
      </c>
      <c r="F615">
        <v>540</v>
      </c>
      <c r="G615">
        <v>34.76</v>
      </c>
      <c r="H615">
        <v>114.91</v>
      </c>
      <c r="I615">
        <v>25.7</v>
      </c>
      <c r="J615">
        <v>84.96</v>
      </c>
      <c r="K615">
        <v>176</v>
      </c>
      <c r="T615">
        <v>3</v>
      </c>
      <c r="U615">
        <v>2</v>
      </c>
      <c r="V615" t="s">
        <v>233</v>
      </c>
      <c r="W615">
        <v>114</v>
      </c>
      <c r="X615">
        <v>15</v>
      </c>
      <c r="Y615">
        <v>12</v>
      </c>
      <c r="Z615" t="s">
        <v>1035</v>
      </c>
      <c r="AA615" t="s">
        <v>1036</v>
      </c>
      <c r="AB615" t="s">
        <v>229</v>
      </c>
      <c r="AC615" t="s">
        <v>230</v>
      </c>
      <c r="AD615" t="s">
        <v>231</v>
      </c>
      <c r="AE615" t="s">
        <v>206</v>
      </c>
      <c r="AG615" t="s">
        <v>1037</v>
      </c>
      <c r="AH615">
        <v>0</v>
      </c>
      <c r="AI615">
        <v>197</v>
      </c>
      <c r="AJ615">
        <v>23</v>
      </c>
      <c r="AK615">
        <v>866</v>
      </c>
      <c r="AL615">
        <v>1.6</v>
      </c>
    </row>
    <row r="616" spans="1:38" x14ac:dyDescent="0.3">
      <c r="A616" t="s">
        <v>1025</v>
      </c>
      <c r="B616">
        <v>103456</v>
      </c>
      <c r="C616">
        <v>2</v>
      </c>
      <c r="D616" t="s">
        <v>1033</v>
      </c>
      <c r="E616" t="s">
        <v>1034</v>
      </c>
      <c r="F616">
        <v>540</v>
      </c>
      <c r="G616">
        <v>39.83</v>
      </c>
      <c r="H616">
        <v>131.68</v>
      </c>
      <c r="I616">
        <v>32.26</v>
      </c>
      <c r="J616">
        <v>106.67</v>
      </c>
      <c r="K616">
        <v>85</v>
      </c>
      <c r="T616">
        <v>3</v>
      </c>
      <c r="U616">
        <v>2</v>
      </c>
      <c r="V616" t="s">
        <v>233</v>
      </c>
      <c r="W616" t="s">
        <v>179</v>
      </c>
      <c r="X616">
        <v>15</v>
      </c>
      <c r="Y616">
        <v>12</v>
      </c>
      <c r="Z616" t="s">
        <v>1035</v>
      </c>
      <c r="AA616" t="s">
        <v>1036</v>
      </c>
      <c r="AB616" t="s">
        <v>229</v>
      </c>
      <c r="AC616" t="s">
        <v>230</v>
      </c>
      <c r="AD616" t="s">
        <v>231</v>
      </c>
      <c r="AE616" t="s">
        <v>206</v>
      </c>
      <c r="AG616" t="s">
        <v>1037</v>
      </c>
      <c r="AH616">
        <v>0</v>
      </c>
      <c r="AI616">
        <v>197</v>
      </c>
      <c r="AJ616">
        <v>23</v>
      </c>
      <c r="AK616">
        <v>866</v>
      </c>
      <c r="AL616">
        <v>1.6</v>
      </c>
    </row>
    <row r="617" spans="1:38" x14ac:dyDescent="0.3">
      <c r="A617" t="s">
        <v>1025</v>
      </c>
      <c r="B617">
        <v>103456</v>
      </c>
      <c r="C617">
        <v>3</v>
      </c>
      <c r="D617" t="s">
        <v>1033</v>
      </c>
      <c r="E617" t="s">
        <v>1034</v>
      </c>
      <c r="F617">
        <v>540</v>
      </c>
      <c r="G617">
        <v>39.840000000000003</v>
      </c>
      <c r="H617">
        <v>131.72999999999999</v>
      </c>
      <c r="I617">
        <v>32.270000000000003</v>
      </c>
      <c r="J617">
        <v>106.68</v>
      </c>
      <c r="K617">
        <v>83</v>
      </c>
      <c r="T617">
        <v>3</v>
      </c>
      <c r="U617">
        <v>2</v>
      </c>
      <c r="V617" t="s">
        <v>233</v>
      </c>
      <c r="W617" t="s">
        <v>85</v>
      </c>
      <c r="X617">
        <v>15</v>
      </c>
      <c r="Y617">
        <v>12</v>
      </c>
      <c r="Z617" t="s">
        <v>1035</v>
      </c>
      <c r="AA617" t="s">
        <v>1036</v>
      </c>
      <c r="AB617" t="s">
        <v>229</v>
      </c>
      <c r="AC617" t="s">
        <v>230</v>
      </c>
      <c r="AD617" t="s">
        <v>231</v>
      </c>
      <c r="AE617" t="s">
        <v>206</v>
      </c>
      <c r="AG617" t="s">
        <v>1037</v>
      </c>
      <c r="AH617">
        <v>0</v>
      </c>
      <c r="AI617">
        <v>197</v>
      </c>
      <c r="AJ617">
        <v>23</v>
      </c>
      <c r="AK617">
        <v>866</v>
      </c>
      <c r="AL617">
        <v>1.6</v>
      </c>
    </row>
    <row r="618" spans="1:38" x14ac:dyDescent="0.3">
      <c r="A618" t="s">
        <v>1025</v>
      </c>
      <c r="B618">
        <v>103456</v>
      </c>
      <c r="C618">
        <v>4</v>
      </c>
      <c r="D618" t="s">
        <v>1033</v>
      </c>
      <c r="E618" t="s">
        <v>1034</v>
      </c>
      <c r="F618">
        <v>540</v>
      </c>
      <c r="G618">
        <v>45.91</v>
      </c>
      <c r="H618">
        <v>151.79</v>
      </c>
      <c r="I618">
        <v>37.450000000000003</v>
      </c>
      <c r="J618">
        <v>123.81</v>
      </c>
      <c r="K618">
        <v>85</v>
      </c>
      <c r="T618">
        <v>4</v>
      </c>
      <c r="U618">
        <v>2</v>
      </c>
      <c r="V618" t="s">
        <v>233</v>
      </c>
      <c r="W618">
        <v>151</v>
      </c>
      <c r="X618">
        <v>15</v>
      </c>
      <c r="Y618">
        <v>12</v>
      </c>
      <c r="Z618" t="s">
        <v>1035</v>
      </c>
      <c r="AA618" t="s">
        <v>1036</v>
      </c>
      <c r="AB618" t="s">
        <v>229</v>
      </c>
      <c r="AC618" t="s">
        <v>230</v>
      </c>
      <c r="AD618" t="s">
        <v>231</v>
      </c>
      <c r="AE618" t="s">
        <v>206</v>
      </c>
      <c r="AG618" t="s">
        <v>1037</v>
      </c>
      <c r="AH618">
        <v>0</v>
      </c>
      <c r="AI618">
        <v>197</v>
      </c>
      <c r="AJ618">
        <v>23</v>
      </c>
      <c r="AK618">
        <v>866</v>
      </c>
      <c r="AL618">
        <v>1.6</v>
      </c>
    </row>
    <row r="619" spans="1:38" x14ac:dyDescent="0.3">
      <c r="A619" t="s">
        <v>1025</v>
      </c>
      <c r="B619">
        <v>103456</v>
      </c>
      <c r="C619">
        <v>5</v>
      </c>
      <c r="D619" t="s">
        <v>1033</v>
      </c>
      <c r="E619" t="s">
        <v>1034</v>
      </c>
      <c r="F619">
        <v>540</v>
      </c>
      <c r="G619">
        <v>55.83</v>
      </c>
      <c r="H619">
        <v>184.57</v>
      </c>
      <c r="I619">
        <v>47</v>
      </c>
      <c r="J619">
        <v>155.38</v>
      </c>
      <c r="K619">
        <v>111</v>
      </c>
      <c r="T619">
        <v>4</v>
      </c>
      <c r="U619">
        <v>2</v>
      </c>
      <c r="V619" t="s">
        <v>233</v>
      </c>
      <c r="W619">
        <v>184</v>
      </c>
      <c r="X619">
        <v>15</v>
      </c>
      <c r="Y619">
        <v>12</v>
      </c>
      <c r="Z619" t="s">
        <v>1035</v>
      </c>
      <c r="AA619" t="s">
        <v>1036</v>
      </c>
      <c r="AB619" t="s">
        <v>229</v>
      </c>
      <c r="AC619" t="s">
        <v>230</v>
      </c>
      <c r="AD619" t="s">
        <v>231</v>
      </c>
      <c r="AE619" t="s">
        <v>206</v>
      </c>
      <c r="AG619" t="s">
        <v>1037</v>
      </c>
      <c r="AH619">
        <v>0</v>
      </c>
      <c r="AI619">
        <v>197</v>
      </c>
      <c r="AJ619">
        <v>23</v>
      </c>
      <c r="AK619">
        <v>866</v>
      </c>
      <c r="AL619">
        <v>1.6</v>
      </c>
    </row>
    <row r="620" spans="1:38" x14ac:dyDescent="0.3">
      <c r="A620" t="s">
        <v>1025</v>
      </c>
      <c r="B620">
        <v>11745</v>
      </c>
      <c r="C620">
        <v>1</v>
      </c>
      <c r="D620" t="s">
        <v>1038</v>
      </c>
      <c r="E620" t="s">
        <v>1039</v>
      </c>
      <c r="F620">
        <v>162</v>
      </c>
      <c r="G620">
        <v>22.69</v>
      </c>
      <c r="H620">
        <v>75.02</v>
      </c>
      <c r="I620">
        <v>18.100000000000001</v>
      </c>
      <c r="J620">
        <v>59.85</v>
      </c>
      <c r="K620">
        <v>150</v>
      </c>
      <c r="T620">
        <v>3</v>
      </c>
      <c r="U620">
        <v>1</v>
      </c>
      <c r="V620" t="s">
        <v>233</v>
      </c>
      <c r="W620">
        <v>75</v>
      </c>
      <c r="X620">
        <v>15</v>
      </c>
      <c r="Y620">
        <v>3</v>
      </c>
      <c r="Z620" t="s">
        <v>1040</v>
      </c>
      <c r="AA620" t="s">
        <v>1041</v>
      </c>
      <c r="AB620" t="s">
        <v>229</v>
      </c>
      <c r="AC620" t="s">
        <v>230</v>
      </c>
      <c r="AD620" t="s">
        <v>231</v>
      </c>
      <c r="AE620" t="s">
        <v>206</v>
      </c>
      <c r="AG620" t="s">
        <v>1042</v>
      </c>
      <c r="AH620">
        <v>0</v>
      </c>
      <c r="AI620">
        <v>185</v>
      </c>
      <c r="AJ620">
        <v>25</v>
      </c>
      <c r="AK620">
        <v>144</v>
      </c>
      <c r="AL620">
        <v>0.89</v>
      </c>
    </row>
    <row r="621" spans="1:38" x14ac:dyDescent="0.3">
      <c r="A621" t="s">
        <v>1025</v>
      </c>
      <c r="B621">
        <v>11745</v>
      </c>
      <c r="C621">
        <v>2</v>
      </c>
      <c r="D621" t="s">
        <v>1038</v>
      </c>
      <c r="E621" t="s">
        <v>1039</v>
      </c>
      <c r="F621">
        <v>162</v>
      </c>
      <c r="G621">
        <v>29.95</v>
      </c>
      <c r="H621">
        <v>99.03</v>
      </c>
      <c r="I621">
        <v>25.7</v>
      </c>
      <c r="J621">
        <v>84.97</v>
      </c>
      <c r="K621">
        <v>12</v>
      </c>
      <c r="T621">
        <v>3</v>
      </c>
      <c r="U621">
        <v>2</v>
      </c>
      <c r="V621" t="s">
        <v>233</v>
      </c>
      <c r="W621">
        <v>99</v>
      </c>
      <c r="X621">
        <v>15</v>
      </c>
      <c r="Y621">
        <v>3</v>
      </c>
      <c r="Z621" t="s">
        <v>1040</v>
      </c>
      <c r="AA621" t="s">
        <v>1041</v>
      </c>
      <c r="AB621" t="s">
        <v>229</v>
      </c>
      <c r="AC621" t="s">
        <v>230</v>
      </c>
      <c r="AD621" t="s">
        <v>231</v>
      </c>
      <c r="AE621" t="s">
        <v>206</v>
      </c>
      <c r="AG621" t="s">
        <v>1042</v>
      </c>
      <c r="AH621">
        <v>0</v>
      </c>
      <c r="AI621">
        <v>185</v>
      </c>
      <c r="AJ621">
        <v>25</v>
      </c>
      <c r="AK621">
        <v>144</v>
      </c>
      <c r="AL621">
        <v>0.89</v>
      </c>
    </row>
    <row r="622" spans="1:38" x14ac:dyDescent="0.3">
      <c r="A622" t="s">
        <v>1025</v>
      </c>
      <c r="B622">
        <v>25027</v>
      </c>
      <c r="C622">
        <v>1</v>
      </c>
      <c r="D622" t="s">
        <v>1043</v>
      </c>
      <c r="E622" t="s">
        <v>1044</v>
      </c>
      <c r="F622">
        <v>149</v>
      </c>
      <c r="G622">
        <v>34.1</v>
      </c>
      <c r="H622">
        <v>112.75</v>
      </c>
      <c r="I622">
        <v>25.67</v>
      </c>
      <c r="J622">
        <v>84.87</v>
      </c>
      <c r="K622">
        <v>90</v>
      </c>
      <c r="T622">
        <v>3</v>
      </c>
      <c r="U622">
        <v>2</v>
      </c>
      <c r="V622" t="s">
        <v>233</v>
      </c>
      <c r="W622" t="s">
        <v>106</v>
      </c>
      <c r="X622">
        <v>15</v>
      </c>
      <c r="Y622">
        <v>15</v>
      </c>
      <c r="Z622" t="s">
        <v>1045</v>
      </c>
      <c r="AA622" t="s">
        <v>1046</v>
      </c>
      <c r="AB622" t="s">
        <v>229</v>
      </c>
      <c r="AC622" t="s">
        <v>230</v>
      </c>
      <c r="AD622" t="s">
        <v>231</v>
      </c>
      <c r="AE622" t="s">
        <v>206</v>
      </c>
      <c r="AG622" t="s">
        <v>1047</v>
      </c>
      <c r="AH622">
        <v>0</v>
      </c>
      <c r="AI622">
        <v>216</v>
      </c>
      <c r="AJ622">
        <v>19</v>
      </c>
      <c r="AK622">
        <v>179</v>
      </c>
      <c r="AL622">
        <v>1.2</v>
      </c>
    </row>
    <row r="623" spans="1:38" x14ac:dyDescent="0.3">
      <c r="A623" t="s">
        <v>1025</v>
      </c>
      <c r="B623">
        <v>25027</v>
      </c>
      <c r="C623">
        <v>2</v>
      </c>
      <c r="D623" t="s">
        <v>1043</v>
      </c>
      <c r="E623" t="s">
        <v>1044</v>
      </c>
      <c r="F623">
        <v>149</v>
      </c>
      <c r="G623">
        <v>34.450000000000003</v>
      </c>
      <c r="H623">
        <v>113.89</v>
      </c>
      <c r="I623">
        <v>25.7</v>
      </c>
      <c r="J623">
        <v>84.97</v>
      </c>
      <c r="K623">
        <v>29</v>
      </c>
      <c r="T623">
        <v>3</v>
      </c>
      <c r="U623">
        <v>2</v>
      </c>
      <c r="V623" t="s">
        <v>233</v>
      </c>
      <c r="W623" t="s">
        <v>154</v>
      </c>
      <c r="X623">
        <v>15</v>
      </c>
      <c r="Y623">
        <v>15</v>
      </c>
      <c r="Z623" t="s">
        <v>1045</v>
      </c>
      <c r="AA623" t="s">
        <v>1046</v>
      </c>
      <c r="AB623" t="s">
        <v>229</v>
      </c>
      <c r="AC623" t="s">
        <v>230</v>
      </c>
      <c r="AD623" t="s">
        <v>231</v>
      </c>
      <c r="AE623" t="s">
        <v>206</v>
      </c>
      <c r="AG623" t="s">
        <v>1047</v>
      </c>
      <c r="AH623">
        <v>0</v>
      </c>
      <c r="AI623">
        <v>216</v>
      </c>
      <c r="AJ623">
        <v>19</v>
      </c>
      <c r="AK623">
        <v>179</v>
      </c>
      <c r="AL623">
        <v>1.2</v>
      </c>
    </row>
    <row r="624" spans="1:38" x14ac:dyDescent="0.3">
      <c r="A624" t="s">
        <v>1025</v>
      </c>
      <c r="B624">
        <v>25027</v>
      </c>
      <c r="C624">
        <v>3</v>
      </c>
      <c r="D624" t="s">
        <v>1043</v>
      </c>
      <c r="E624" t="s">
        <v>1044</v>
      </c>
      <c r="F624">
        <v>149</v>
      </c>
      <c r="G624">
        <v>34.979999999999997</v>
      </c>
      <c r="H624">
        <v>115.66</v>
      </c>
      <c r="I624">
        <v>25.67</v>
      </c>
      <c r="J624">
        <v>84.87</v>
      </c>
      <c r="K624">
        <v>30</v>
      </c>
      <c r="T624">
        <v>3</v>
      </c>
      <c r="U624">
        <v>2</v>
      </c>
      <c r="V624" t="s">
        <v>233</v>
      </c>
      <c r="W624" t="s">
        <v>1048</v>
      </c>
      <c r="X624">
        <v>15</v>
      </c>
      <c r="Y624">
        <v>15</v>
      </c>
      <c r="Z624" t="s">
        <v>1045</v>
      </c>
      <c r="AA624" t="s">
        <v>1046</v>
      </c>
      <c r="AB624" t="s">
        <v>229</v>
      </c>
      <c r="AC624" t="s">
        <v>230</v>
      </c>
      <c r="AD624" t="s">
        <v>231</v>
      </c>
      <c r="AE624" t="s">
        <v>206</v>
      </c>
      <c r="AG624" t="s">
        <v>1047</v>
      </c>
      <c r="AH624">
        <v>0</v>
      </c>
      <c r="AI624">
        <v>216</v>
      </c>
      <c r="AJ624">
        <v>19</v>
      </c>
      <c r="AK624">
        <v>179</v>
      </c>
      <c r="AL624">
        <v>1.2</v>
      </c>
    </row>
    <row r="625" spans="1:38" x14ac:dyDescent="0.3">
      <c r="A625" t="s">
        <v>1025</v>
      </c>
      <c r="B625">
        <v>111881</v>
      </c>
      <c r="C625">
        <v>1</v>
      </c>
      <c r="D625" t="s">
        <v>1049</v>
      </c>
      <c r="E625" t="s">
        <v>1050</v>
      </c>
      <c r="F625">
        <v>418</v>
      </c>
      <c r="G625">
        <v>34.08</v>
      </c>
      <c r="H625">
        <v>112.69</v>
      </c>
      <c r="I625">
        <v>25.7</v>
      </c>
      <c r="J625">
        <v>84.98</v>
      </c>
      <c r="K625">
        <v>289</v>
      </c>
      <c r="T625">
        <v>4</v>
      </c>
      <c r="U625">
        <v>2</v>
      </c>
      <c r="V625" t="s">
        <v>233</v>
      </c>
      <c r="W625" t="s">
        <v>106</v>
      </c>
      <c r="X625">
        <v>27</v>
      </c>
      <c r="Y625">
        <v>16</v>
      </c>
      <c r="Z625" t="s">
        <v>1051</v>
      </c>
      <c r="AA625" t="s">
        <v>1052</v>
      </c>
      <c r="AB625" t="s">
        <v>229</v>
      </c>
      <c r="AC625" t="s">
        <v>230</v>
      </c>
      <c r="AD625" t="s">
        <v>231</v>
      </c>
      <c r="AE625" t="s">
        <v>206</v>
      </c>
      <c r="AG625" t="s">
        <v>1053</v>
      </c>
      <c r="AH625">
        <v>0</v>
      </c>
      <c r="AI625">
        <v>222</v>
      </c>
      <c r="AJ625">
        <v>18</v>
      </c>
      <c r="AK625">
        <v>547</v>
      </c>
      <c r="AL625">
        <v>1.31</v>
      </c>
    </row>
    <row r="626" spans="1:38" x14ac:dyDescent="0.3">
      <c r="A626" t="s">
        <v>1025</v>
      </c>
      <c r="B626">
        <v>111881</v>
      </c>
      <c r="C626">
        <v>2</v>
      </c>
      <c r="D626" t="s">
        <v>1049</v>
      </c>
      <c r="E626" t="s">
        <v>1050</v>
      </c>
      <c r="F626">
        <v>418</v>
      </c>
      <c r="G626">
        <v>34.17</v>
      </c>
      <c r="H626">
        <v>112.99</v>
      </c>
      <c r="I626">
        <v>25.69</v>
      </c>
      <c r="J626">
        <v>84.94</v>
      </c>
      <c r="K626">
        <v>129</v>
      </c>
      <c r="T626">
        <v>4</v>
      </c>
      <c r="U626">
        <v>2</v>
      </c>
      <c r="V626" t="s">
        <v>233</v>
      </c>
      <c r="W626" t="s">
        <v>107</v>
      </c>
      <c r="X626">
        <v>27</v>
      </c>
      <c r="Y626">
        <v>16</v>
      </c>
      <c r="Z626" t="s">
        <v>1051</v>
      </c>
      <c r="AA626" t="s">
        <v>1052</v>
      </c>
      <c r="AB626" t="s">
        <v>229</v>
      </c>
      <c r="AC626" t="s">
        <v>230</v>
      </c>
      <c r="AD626" t="s">
        <v>231</v>
      </c>
      <c r="AE626" t="s">
        <v>206</v>
      </c>
      <c r="AG626" t="s">
        <v>1053</v>
      </c>
      <c r="AH626">
        <v>0</v>
      </c>
      <c r="AI626">
        <v>222</v>
      </c>
      <c r="AJ626">
        <v>18</v>
      </c>
      <c r="AK626">
        <v>547</v>
      </c>
      <c r="AL626">
        <v>1.31</v>
      </c>
    </row>
    <row r="627" spans="1:38" x14ac:dyDescent="0.3">
      <c r="A627" t="s">
        <v>1025</v>
      </c>
      <c r="B627">
        <v>116558</v>
      </c>
      <c r="C627">
        <v>1</v>
      </c>
      <c r="D627" t="s">
        <v>1054</v>
      </c>
      <c r="E627" t="s">
        <v>546</v>
      </c>
      <c r="F627">
        <v>1495</v>
      </c>
      <c r="G627">
        <v>24.85</v>
      </c>
      <c r="H627">
        <v>82.15</v>
      </c>
      <c r="I627">
        <v>18.13</v>
      </c>
      <c r="J627">
        <v>59.94</v>
      </c>
      <c r="K627">
        <v>159</v>
      </c>
      <c r="T627">
        <v>3</v>
      </c>
      <c r="U627">
        <v>2</v>
      </c>
      <c r="V627" t="s">
        <v>233</v>
      </c>
      <c r="W627">
        <v>82</v>
      </c>
      <c r="X627">
        <v>25</v>
      </c>
      <c r="Y627">
        <v>20</v>
      </c>
      <c r="Z627" t="s">
        <v>1055</v>
      </c>
      <c r="AA627" t="s">
        <v>1056</v>
      </c>
      <c r="AB627" t="s">
        <v>229</v>
      </c>
      <c r="AC627" t="s">
        <v>230</v>
      </c>
      <c r="AD627" t="s">
        <v>231</v>
      </c>
      <c r="AE627" t="s">
        <v>206</v>
      </c>
      <c r="AG627" t="s">
        <v>1057</v>
      </c>
      <c r="AH627">
        <v>0</v>
      </c>
      <c r="AI627">
        <v>228</v>
      </c>
      <c r="AJ627">
        <v>15</v>
      </c>
      <c r="AK627">
        <v>1959</v>
      </c>
      <c r="AL627">
        <v>1.31</v>
      </c>
    </row>
    <row r="628" spans="1:38" x14ac:dyDescent="0.3">
      <c r="A628" t="s">
        <v>1025</v>
      </c>
      <c r="B628">
        <v>116558</v>
      </c>
      <c r="C628">
        <v>2</v>
      </c>
      <c r="D628" t="s">
        <v>1054</v>
      </c>
      <c r="E628" t="s">
        <v>546</v>
      </c>
      <c r="F628">
        <v>1495</v>
      </c>
      <c r="G628">
        <v>29.85</v>
      </c>
      <c r="H628">
        <v>98.71</v>
      </c>
      <c r="I628">
        <v>22.49</v>
      </c>
      <c r="J628">
        <v>74.38</v>
      </c>
      <c r="K628">
        <v>334</v>
      </c>
      <c r="T628">
        <v>3</v>
      </c>
      <c r="U628">
        <v>2</v>
      </c>
      <c r="V628" t="s">
        <v>233</v>
      </c>
      <c r="W628">
        <v>98</v>
      </c>
      <c r="X628">
        <v>25</v>
      </c>
      <c r="Y628">
        <v>20</v>
      </c>
      <c r="Z628" t="s">
        <v>1055</v>
      </c>
      <c r="AA628" t="s">
        <v>1056</v>
      </c>
      <c r="AB628" t="s">
        <v>229</v>
      </c>
      <c r="AC628" t="s">
        <v>230</v>
      </c>
      <c r="AD628" t="s">
        <v>231</v>
      </c>
      <c r="AE628" t="s">
        <v>206</v>
      </c>
      <c r="AG628" t="s">
        <v>1057</v>
      </c>
      <c r="AH628">
        <v>0</v>
      </c>
      <c r="AI628">
        <v>228</v>
      </c>
      <c r="AJ628">
        <v>15</v>
      </c>
      <c r="AK628">
        <v>1959</v>
      </c>
      <c r="AL628">
        <v>1.31</v>
      </c>
    </row>
    <row r="629" spans="1:38" x14ac:dyDescent="0.3">
      <c r="A629" t="s">
        <v>1025</v>
      </c>
      <c r="B629">
        <v>116558</v>
      </c>
      <c r="C629">
        <v>3</v>
      </c>
      <c r="D629" t="s">
        <v>1054</v>
      </c>
      <c r="E629" t="s">
        <v>546</v>
      </c>
      <c r="F629">
        <v>1495</v>
      </c>
      <c r="G629">
        <v>33.94</v>
      </c>
      <c r="H629">
        <v>112.23</v>
      </c>
      <c r="I629">
        <v>25.7</v>
      </c>
      <c r="J629">
        <v>84.96</v>
      </c>
      <c r="K629">
        <v>636</v>
      </c>
      <c r="T629">
        <v>3</v>
      </c>
      <c r="U629">
        <v>2</v>
      </c>
      <c r="V629" t="s">
        <v>233</v>
      </c>
      <c r="W629" t="s">
        <v>106</v>
      </c>
      <c r="X629">
        <v>25</v>
      </c>
      <c r="Y629">
        <v>20</v>
      </c>
      <c r="Z629" t="s">
        <v>1055</v>
      </c>
      <c r="AA629" t="s">
        <v>1056</v>
      </c>
      <c r="AB629" t="s">
        <v>229</v>
      </c>
      <c r="AC629" t="s">
        <v>230</v>
      </c>
      <c r="AD629" t="s">
        <v>231</v>
      </c>
      <c r="AE629" t="s">
        <v>206</v>
      </c>
      <c r="AG629" t="s">
        <v>1057</v>
      </c>
      <c r="AH629">
        <v>0</v>
      </c>
      <c r="AI629">
        <v>228</v>
      </c>
      <c r="AJ629">
        <v>15</v>
      </c>
      <c r="AK629">
        <v>1959</v>
      </c>
      <c r="AL629">
        <v>1.31</v>
      </c>
    </row>
    <row r="630" spans="1:38" x14ac:dyDescent="0.3">
      <c r="A630" t="s">
        <v>1025</v>
      </c>
      <c r="B630">
        <v>116558</v>
      </c>
      <c r="C630">
        <v>4</v>
      </c>
      <c r="D630" t="s">
        <v>1054</v>
      </c>
      <c r="E630" t="s">
        <v>546</v>
      </c>
      <c r="F630">
        <v>1495</v>
      </c>
      <c r="G630">
        <v>34.01</v>
      </c>
      <c r="H630">
        <v>112.44</v>
      </c>
      <c r="I630">
        <v>25.69</v>
      </c>
      <c r="J630">
        <v>84.95</v>
      </c>
      <c r="K630">
        <v>219</v>
      </c>
      <c r="T630">
        <v>3</v>
      </c>
      <c r="U630">
        <v>2</v>
      </c>
      <c r="V630" t="s">
        <v>233</v>
      </c>
      <c r="W630" t="s">
        <v>107</v>
      </c>
      <c r="X630">
        <v>25</v>
      </c>
      <c r="Y630">
        <v>20</v>
      </c>
      <c r="Z630" t="s">
        <v>1055</v>
      </c>
      <c r="AA630" t="s">
        <v>1056</v>
      </c>
      <c r="AB630" t="s">
        <v>229</v>
      </c>
      <c r="AC630" t="s">
        <v>230</v>
      </c>
      <c r="AD630" t="s">
        <v>231</v>
      </c>
      <c r="AE630" t="s">
        <v>206</v>
      </c>
      <c r="AG630" t="s">
        <v>1057</v>
      </c>
      <c r="AH630">
        <v>0</v>
      </c>
      <c r="AI630">
        <v>228</v>
      </c>
      <c r="AJ630">
        <v>15</v>
      </c>
      <c r="AK630">
        <v>1959</v>
      </c>
      <c r="AL630">
        <v>1.31</v>
      </c>
    </row>
    <row r="631" spans="1:38" x14ac:dyDescent="0.3">
      <c r="A631" t="s">
        <v>1025</v>
      </c>
      <c r="B631">
        <v>116558</v>
      </c>
      <c r="C631">
        <v>5</v>
      </c>
      <c r="D631" t="s">
        <v>1054</v>
      </c>
      <c r="E631" t="s">
        <v>546</v>
      </c>
      <c r="F631">
        <v>1495</v>
      </c>
      <c r="G631">
        <v>41.79</v>
      </c>
      <c r="H631">
        <v>138.18</v>
      </c>
      <c r="I631">
        <v>33.57</v>
      </c>
      <c r="J631">
        <v>110.99</v>
      </c>
      <c r="K631">
        <v>147</v>
      </c>
      <c r="T631">
        <v>4</v>
      </c>
      <c r="U631">
        <v>2</v>
      </c>
      <c r="V631" t="s">
        <v>233</v>
      </c>
      <c r="W631">
        <v>138</v>
      </c>
      <c r="X631">
        <v>25</v>
      </c>
      <c r="Y631">
        <v>20</v>
      </c>
      <c r="Z631" t="s">
        <v>1055</v>
      </c>
      <c r="AA631" t="s">
        <v>1056</v>
      </c>
      <c r="AB631" t="s">
        <v>229</v>
      </c>
      <c r="AC631" t="s">
        <v>230</v>
      </c>
      <c r="AD631" t="s">
        <v>231</v>
      </c>
      <c r="AE631" t="s">
        <v>206</v>
      </c>
      <c r="AG631" t="s">
        <v>1057</v>
      </c>
      <c r="AH631">
        <v>0</v>
      </c>
      <c r="AI631">
        <v>228</v>
      </c>
      <c r="AJ631">
        <v>15</v>
      </c>
      <c r="AK631">
        <v>1959</v>
      </c>
      <c r="AL631">
        <v>1.31</v>
      </c>
    </row>
    <row r="632" spans="1:38" x14ac:dyDescent="0.3">
      <c r="A632" t="s">
        <v>1025</v>
      </c>
      <c r="B632">
        <v>7473</v>
      </c>
      <c r="C632">
        <v>1</v>
      </c>
      <c r="D632" t="s">
        <v>1058</v>
      </c>
      <c r="E632" t="s">
        <v>1059</v>
      </c>
      <c r="F632">
        <v>365</v>
      </c>
      <c r="G632">
        <v>24.95</v>
      </c>
      <c r="H632">
        <v>82.48</v>
      </c>
      <c r="I632">
        <v>18.11</v>
      </c>
      <c r="J632">
        <v>59.88</v>
      </c>
      <c r="K632">
        <v>128</v>
      </c>
      <c r="T632">
        <v>3</v>
      </c>
      <c r="U632">
        <v>1</v>
      </c>
      <c r="V632" t="s">
        <v>226</v>
      </c>
      <c r="W632">
        <v>82</v>
      </c>
      <c r="X632">
        <v>14</v>
      </c>
      <c r="Y632">
        <v>7</v>
      </c>
      <c r="Z632" t="s">
        <v>1060</v>
      </c>
      <c r="AA632" t="s">
        <v>1061</v>
      </c>
      <c r="AB632" t="s">
        <v>229</v>
      </c>
      <c r="AC632" t="s">
        <v>230</v>
      </c>
      <c r="AD632" t="s">
        <v>231</v>
      </c>
      <c r="AE632" t="s">
        <v>206</v>
      </c>
      <c r="AG632" t="s">
        <v>1062</v>
      </c>
      <c r="AH632">
        <v>0</v>
      </c>
      <c r="AI632">
        <v>231</v>
      </c>
      <c r="AJ632">
        <v>21</v>
      </c>
      <c r="AK632">
        <v>308</v>
      </c>
      <c r="AL632">
        <v>0.84</v>
      </c>
    </row>
    <row r="633" spans="1:38" x14ac:dyDescent="0.3">
      <c r="A633" t="s">
        <v>1025</v>
      </c>
      <c r="B633">
        <v>7473</v>
      </c>
      <c r="C633">
        <v>2</v>
      </c>
      <c r="D633" t="s">
        <v>1058</v>
      </c>
      <c r="E633" t="s">
        <v>1059</v>
      </c>
      <c r="F633">
        <v>365</v>
      </c>
      <c r="G633">
        <v>28.22</v>
      </c>
      <c r="H633">
        <v>93.3</v>
      </c>
      <c r="I633">
        <v>22.59</v>
      </c>
      <c r="J633">
        <v>74.709999999999994</v>
      </c>
      <c r="K633">
        <v>7</v>
      </c>
      <c r="T633">
        <v>3</v>
      </c>
      <c r="U633">
        <v>2</v>
      </c>
      <c r="V633" t="s">
        <v>233</v>
      </c>
      <c r="W633">
        <v>93</v>
      </c>
      <c r="X633">
        <v>14</v>
      </c>
      <c r="Y633">
        <v>7</v>
      </c>
      <c r="Z633" t="s">
        <v>1060</v>
      </c>
      <c r="AA633" t="s">
        <v>1061</v>
      </c>
      <c r="AB633" t="s">
        <v>229</v>
      </c>
      <c r="AC633" t="s">
        <v>230</v>
      </c>
      <c r="AD633" t="s">
        <v>231</v>
      </c>
      <c r="AE633" t="s">
        <v>206</v>
      </c>
      <c r="AG633" t="s">
        <v>1062</v>
      </c>
      <c r="AH633">
        <v>0</v>
      </c>
      <c r="AI633">
        <v>231</v>
      </c>
      <c r="AJ633">
        <v>21</v>
      </c>
      <c r="AK633">
        <v>308</v>
      </c>
      <c r="AL633">
        <v>0.84</v>
      </c>
    </row>
    <row r="634" spans="1:38" x14ac:dyDescent="0.3">
      <c r="A634" t="s">
        <v>1025</v>
      </c>
      <c r="B634">
        <v>7473</v>
      </c>
      <c r="C634">
        <v>3</v>
      </c>
      <c r="D634" t="s">
        <v>1058</v>
      </c>
      <c r="E634" t="s">
        <v>1059</v>
      </c>
      <c r="F634">
        <v>365</v>
      </c>
      <c r="G634">
        <v>29.04</v>
      </c>
      <c r="H634">
        <v>96</v>
      </c>
      <c r="I634">
        <v>21.05</v>
      </c>
      <c r="J634">
        <v>69.599999999999994</v>
      </c>
      <c r="K634">
        <v>102</v>
      </c>
      <c r="T634">
        <v>3</v>
      </c>
      <c r="U634">
        <v>1</v>
      </c>
      <c r="V634" t="s">
        <v>226</v>
      </c>
      <c r="W634">
        <v>96</v>
      </c>
      <c r="X634">
        <v>14</v>
      </c>
      <c r="Y634">
        <v>7</v>
      </c>
      <c r="Z634" t="s">
        <v>1060</v>
      </c>
      <c r="AA634" t="s">
        <v>1061</v>
      </c>
      <c r="AB634" t="s">
        <v>229</v>
      </c>
      <c r="AC634" t="s">
        <v>230</v>
      </c>
      <c r="AD634" t="s">
        <v>231</v>
      </c>
      <c r="AE634" t="s">
        <v>206</v>
      </c>
      <c r="AG634" t="s">
        <v>1062</v>
      </c>
      <c r="AH634">
        <v>0</v>
      </c>
      <c r="AI634">
        <v>231</v>
      </c>
      <c r="AJ634">
        <v>21</v>
      </c>
      <c r="AK634">
        <v>308</v>
      </c>
      <c r="AL634">
        <v>0.84</v>
      </c>
    </row>
    <row r="635" spans="1:38" x14ac:dyDescent="0.3">
      <c r="A635" t="s">
        <v>1025</v>
      </c>
      <c r="B635">
        <v>7473</v>
      </c>
      <c r="C635">
        <v>4</v>
      </c>
      <c r="D635" t="s">
        <v>1058</v>
      </c>
      <c r="E635" t="s">
        <v>1059</v>
      </c>
      <c r="F635">
        <v>365</v>
      </c>
      <c r="G635">
        <v>31.94</v>
      </c>
      <c r="H635">
        <v>105.61</v>
      </c>
      <c r="I635">
        <v>25.66</v>
      </c>
      <c r="J635">
        <v>84.85</v>
      </c>
      <c r="K635">
        <v>128</v>
      </c>
      <c r="T635">
        <v>3</v>
      </c>
      <c r="U635">
        <v>2</v>
      </c>
      <c r="V635" t="s">
        <v>233</v>
      </c>
      <c r="W635">
        <v>105</v>
      </c>
      <c r="X635">
        <v>14</v>
      </c>
      <c r="Y635">
        <v>7</v>
      </c>
      <c r="Z635" t="s">
        <v>1060</v>
      </c>
      <c r="AA635" t="s">
        <v>1061</v>
      </c>
      <c r="AB635" t="s">
        <v>229</v>
      </c>
      <c r="AC635" t="s">
        <v>230</v>
      </c>
      <c r="AD635" t="s">
        <v>231</v>
      </c>
      <c r="AE635" t="s">
        <v>206</v>
      </c>
      <c r="AG635" t="s">
        <v>1062</v>
      </c>
      <c r="AH635">
        <v>0</v>
      </c>
      <c r="AI635">
        <v>231</v>
      </c>
      <c r="AJ635">
        <v>21</v>
      </c>
      <c r="AK635">
        <v>308</v>
      </c>
      <c r="AL635">
        <v>0.84</v>
      </c>
    </row>
    <row r="636" spans="1:38" x14ac:dyDescent="0.3">
      <c r="A636" t="s">
        <v>1025</v>
      </c>
      <c r="B636">
        <v>121292</v>
      </c>
      <c r="C636">
        <v>1</v>
      </c>
      <c r="D636" t="s">
        <v>704</v>
      </c>
      <c r="E636" t="s">
        <v>757</v>
      </c>
      <c r="F636">
        <v>84</v>
      </c>
      <c r="G636">
        <v>10.3</v>
      </c>
      <c r="H636">
        <v>34.049999999999997</v>
      </c>
      <c r="I636">
        <v>6.86</v>
      </c>
      <c r="J636">
        <v>22.68</v>
      </c>
      <c r="K636">
        <v>84</v>
      </c>
      <c r="T636">
        <v>2</v>
      </c>
      <c r="U636">
        <v>1</v>
      </c>
      <c r="V636" t="s">
        <v>226</v>
      </c>
      <c r="W636">
        <v>34</v>
      </c>
      <c r="X636">
        <v>6</v>
      </c>
      <c r="Y636">
        <v>6</v>
      </c>
      <c r="Z636" t="s">
        <v>1063</v>
      </c>
      <c r="AA636" t="s">
        <v>1064</v>
      </c>
      <c r="AB636" t="s">
        <v>229</v>
      </c>
      <c r="AC636" t="s">
        <v>230</v>
      </c>
      <c r="AD636" t="s">
        <v>231</v>
      </c>
      <c r="AE636" t="s">
        <v>206</v>
      </c>
      <c r="AG636" t="s">
        <v>1065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">
      <c r="A637" t="s">
        <v>1025</v>
      </c>
      <c r="B637">
        <v>7482</v>
      </c>
      <c r="C637">
        <v>1</v>
      </c>
      <c r="D637" t="s">
        <v>1066</v>
      </c>
      <c r="E637" t="s">
        <v>255</v>
      </c>
      <c r="F637">
        <v>478</v>
      </c>
      <c r="G637">
        <v>18.600000000000001</v>
      </c>
      <c r="H637">
        <v>61.52</v>
      </c>
      <c r="I637">
        <v>13.69</v>
      </c>
      <c r="J637">
        <v>45.28</v>
      </c>
      <c r="K637">
        <v>165</v>
      </c>
      <c r="T637">
        <v>2</v>
      </c>
      <c r="U637">
        <v>1</v>
      </c>
      <c r="V637" t="s">
        <v>226</v>
      </c>
      <c r="W637">
        <v>61</v>
      </c>
      <c r="X637">
        <v>15</v>
      </c>
      <c r="Y637">
        <v>13</v>
      </c>
      <c r="Z637" t="s">
        <v>1067</v>
      </c>
      <c r="AA637" t="s">
        <v>1068</v>
      </c>
      <c r="AB637" t="s">
        <v>229</v>
      </c>
      <c r="AC637" t="s">
        <v>230</v>
      </c>
      <c r="AD637" t="s">
        <v>231</v>
      </c>
      <c r="AE637" t="s">
        <v>206</v>
      </c>
      <c r="AG637" t="s">
        <v>1069</v>
      </c>
      <c r="AH637">
        <v>0</v>
      </c>
      <c r="AI637">
        <v>183</v>
      </c>
      <c r="AJ637">
        <v>19</v>
      </c>
      <c r="AK637">
        <v>485</v>
      </c>
      <c r="AL637">
        <v>1.01</v>
      </c>
    </row>
    <row r="638" spans="1:38" x14ac:dyDescent="0.3">
      <c r="A638" t="s">
        <v>1025</v>
      </c>
      <c r="B638">
        <v>7482</v>
      </c>
      <c r="C638">
        <v>2</v>
      </c>
      <c r="D638" t="s">
        <v>1066</v>
      </c>
      <c r="E638" t="s">
        <v>255</v>
      </c>
      <c r="F638">
        <v>478</v>
      </c>
      <c r="G638">
        <v>24.29</v>
      </c>
      <c r="H638">
        <v>80.319999999999993</v>
      </c>
      <c r="I638">
        <v>18.100000000000001</v>
      </c>
      <c r="J638">
        <v>59.86</v>
      </c>
      <c r="K638">
        <v>313</v>
      </c>
      <c r="T638">
        <v>3</v>
      </c>
      <c r="U638">
        <v>1</v>
      </c>
      <c r="V638" t="s">
        <v>226</v>
      </c>
      <c r="W638">
        <v>80</v>
      </c>
      <c r="X638">
        <v>15</v>
      </c>
      <c r="Y638">
        <v>13</v>
      </c>
      <c r="Z638" t="s">
        <v>1067</v>
      </c>
      <c r="AA638" t="s">
        <v>1068</v>
      </c>
      <c r="AB638" t="s">
        <v>229</v>
      </c>
      <c r="AC638" t="s">
        <v>230</v>
      </c>
      <c r="AD638" t="s">
        <v>231</v>
      </c>
      <c r="AE638" t="s">
        <v>206</v>
      </c>
      <c r="AG638" t="s">
        <v>1069</v>
      </c>
      <c r="AH638">
        <v>0</v>
      </c>
      <c r="AI638">
        <v>183</v>
      </c>
      <c r="AJ638">
        <v>19</v>
      </c>
      <c r="AK638">
        <v>485</v>
      </c>
      <c r="AL638">
        <v>1.01</v>
      </c>
    </row>
    <row r="639" spans="1:38" x14ac:dyDescent="0.3">
      <c r="A639" t="s">
        <v>1025</v>
      </c>
      <c r="B639">
        <v>19182</v>
      </c>
      <c r="C639">
        <v>1</v>
      </c>
      <c r="D639" t="s">
        <v>1070</v>
      </c>
      <c r="E639" t="s">
        <v>1071</v>
      </c>
      <c r="F639">
        <v>480</v>
      </c>
      <c r="G639">
        <v>35.32</v>
      </c>
      <c r="H639">
        <v>116.78</v>
      </c>
      <c r="I639">
        <v>25.7</v>
      </c>
      <c r="J639">
        <v>84.99</v>
      </c>
      <c r="K639">
        <v>150</v>
      </c>
      <c r="T639">
        <v>3</v>
      </c>
      <c r="U639">
        <v>2</v>
      </c>
      <c r="V639" t="s">
        <v>233</v>
      </c>
      <c r="W639">
        <v>116</v>
      </c>
      <c r="X639">
        <v>15</v>
      </c>
      <c r="Y639">
        <v>15</v>
      </c>
      <c r="Z639" t="s">
        <v>1072</v>
      </c>
      <c r="AA639" t="s">
        <v>1073</v>
      </c>
      <c r="AB639" t="s">
        <v>229</v>
      </c>
      <c r="AC639" t="s">
        <v>230</v>
      </c>
      <c r="AD639" t="s">
        <v>231</v>
      </c>
      <c r="AE639" t="s">
        <v>206</v>
      </c>
      <c r="AG639" t="s">
        <v>1074</v>
      </c>
      <c r="AH639">
        <v>0</v>
      </c>
      <c r="AI639">
        <v>201</v>
      </c>
      <c r="AJ639">
        <v>17</v>
      </c>
      <c r="AK639">
        <v>773</v>
      </c>
      <c r="AL639">
        <v>1.61</v>
      </c>
    </row>
    <row r="640" spans="1:38" x14ac:dyDescent="0.3">
      <c r="A640" t="s">
        <v>1025</v>
      </c>
      <c r="B640">
        <v>19182</v>
      </c>
      <c r="C640">
        <v>2</v>
      </c>
      <c r="D640" t="s">
        <v>1070</v>
      </c>
      <c r="E640" t="s">
        <v>1071</v>
      </c>
      <c r="F640">
        <v>480</v>
      </c>
      <c r="G640">
        <v>39.950000000000003</v>
      </c>
      <c r="H640">
        <v>132.09</v>
      </c>
      <c r="I640">
        <v>30.17</v>
      </c>
      <c r="J640">
        <v>99.75</v>
      </c>
      <c r="K640">
        <v>150</v>
      </c>
      <c r="T640">
        <v>3</v>
      </c>
      <c r="U640">
        <v>2</v>
      </c>
      <c r="V640" t="s">
        <v>233</v>
      </c>
      <c r="W640">
        <v>132</v>
      </c>
      <c r="X640">
        <v>15</v>
      </c>
      <c r="Y640">
        <v>15</v>
      </c>
      <c r="Z640" t="s">
        <v>1072</v>
      </c>
      <c r="AA640" t="s">
        <v>1073</v>
      </c>
      <c r="AB640" t="s">
        <v>229</v>
      </c>
      <c r="AC640" t="s">
        <v>230</v>
      </c>
      <c r="AD640" t="s">
        <v>231</v>
      </c>
      <c r="AE640" t="s">
        <v>206</v>
      </c>
      <c r="AG640" t="s">
        <v>1074</v>
      </c>
      <c r="AH640">
        <v>0</v>
      </c>
      <c r="AI640">
        <v>201</v>
      </c>
      <c r="AJ640">
        <v>17</v>
      </c>
      <c r="AK640">
        <v>773</v>
      </c>
      <c r="AL640">
        <v>1.61</v>
      </c>
    </row>
    <row r="641" spans="1:38" x14ac:dyDescent="0.3">
      <c r="A641" t="s">
        <v>1025</v>
      </c>
      <c r="B641">
        <v>19182</v>
      </c>
      <c r="C641">
        <v>3</v>
      </c>
      <c r="D641" t="s">
        <v>1070</v>
      </c>
      <c r="E641" t="s">
        <v>1071</v>
      </c>
      <c r="F641">
        <v>480</v>
      </c>
      <c r="G641">
        <v>49.93</v>
      </c>
      <c r="H641">
        <v>165.07</v>
      </c>
      <c r="I641">
        <v>40.49</v>
      </c>
      <c r="J641">
        <v>133.86000000000001</v>
      </c>
      <c r="K641">
        <v>120</v>
      </c>
      <c r="T641">
        <v>4</v>
      </c>
      <c r="U641">
        <v>2</v>
      </c>
      <c r="V641" t="s">
        <v>233</v>
      </c>
      <c r="W641">
        <v>165</v>
      </c>
      <c r="X641">
        <v>15</v>
      </c>
      <c r="Y641">
        <v>15</v>
      </c>
      <c r="Z641" t="s">
        <v>1072</v>
      </c>
      <c r="AA641" t="s">
        <v>1073</v>
      </c>
      <c r="AB641" t="s">
        <v>229</v>
      </c>
      <c r="AC641" t="s">
        <v>230</v>
      </c>
      <c r="AD641" t="s">
        <v>231</v>
      </c>
      <c r="AE641" t="s">
        <v>206</v>
      </c>
      <c r="AG641" t="s">
        <v>1074</v>
      </c>
      <c r="AH641">
        <v>0</v>
      </c>
      <c r="AI641">
        <v>201</v>
      </c>
      <c r="AJ641">
        <v>17</v>
      </c>
      <c r="AK641">
        <v>773</v>
      </c>
      <c r="AL641">
        <v>1.61</v>
      </c>
    </row>
    <row r="642" spans="1:38" x14ac:dyDescent="0.3">
      <c r="A642" t="s">
        <v>1025</v>
      </c>
      <c r="B642">
        <v>19182</v>
      </c>
      <c r="C642">
        <v>4</v>
      </c>
      <c r="D642" t="s">
        <v>1070</v>
      </c>
      <c r="E642" t="s">
        <v>1071</v>
      </c>
      <c r="F642">
        <v>480</v>
      </c>
      <c r="G642">
        <v>59.6</v>
      </c>
      <c r="H642">
        <v>197.03</v>
      </c>
      <c r="I642">
        <v>48.97</v>
      </c>
      <c r="J642">
        <v>161.91</v>
      </c>
      <c r="K642">
        <v>60</v>
      </c>
      <c r="T642">
        <v>4</v>
      </c>
      <c r="U642">
        <v>2</v>
      </c>
      <c r="V642" t="s">
        <v>233</v>
      </c>
      <c r="W642">
        <v>197</v>
      </c>
      <c r="X642">
        <v>15</v>
      </c>
      <c r="Y642">
        <v>15</v>
      </c>
      <c r="Z642" t="s">
        <v>1072</v>
      </c>
      <c r="AA642" t="s">
        <v>1073</v>
      </c>
      <c r="AB642" t="s">
        <v>229</v>
      </c>
      <c r="AC642" t="s">
        <v>230</v>
      </c>
      <c r="AD642" t="s">
        <v>231</v>
      </c>
      <c r="AE642" t="s">
        <v>206</v>
      </c>
      <c r="AG642" t="s">
        <v>1074</v>
      </c>
      <c r="AH642">
        <v>0</v>
      </c>
      <c r="AI642">
        <v>201</v>
      </c>
      <c r="AJ642">
        <v>17</v>
      </c>
      <c r="AK642">
        <v>773</v>
      </c>
      <c r="AL642">
        <v>1.61</v>
      </c>
    </row>
    <row r="643" spans="1:38" x14ac:dyDescent="0.3">
      <c r="A643" t="s">
        <v>1025</v>
      </c>
      <c r="B643">
        <v>105199</v>
      </c>
      <c r="C643">
        <v>1</v>
      </c>
      <c r="D643" t="s">
        <v>1075</v>
      </c>
      <c r="E643" t="s">
        <v>1076</v>
      </c>
      <c r="F643">
        <v>71</v>
      </c>
      <c r="G643">
        <v>19.260000000000002</v>
      </c>
      <c r="H643">
        <v>63.69</v>
      </c>
      <c r="I643">
        <v>13.25</v>
      </c>
      <c r="J643">
        <v>43.83</v>
      </c>
      <c r="K643">
        <v>23</v>
      </c>
      <c r="T643">
        <v>2</v>
      </c>
      <c r="U643">
        <v>1</v>
      </c>
      <c r="V643" t="s">
        <v>226</v>
      </c>
      <c r="W643">
        <v>63</v>
      </c>
      <c r="X643">
        <v>6</v>
      </c>
      <c r="Y643">
        <v>5</v>
      </c>
      <c r="Z643" t="s">
        <v>1077</v>
      </c>
      <c r="AA643" t="s">
        <v>1078</v>
      </c>
      <c r="AB643" t="s">
        <v>229</v>
      </c>
      <c r="AC643" t="s">
        <v>230</v>
      </c>
      <c r="AD643" t="s">
        <v>231</v>
      </c>
      <c r="AE643" t="s">
        <v>206</v>
      </c>
      <c r="AG643" t="s">
        <v>1079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1025</v>
      </c>
      <c r="B644">
        <v>105199</v>
      </c>
      <c r="C644">
        <v>2</v>
      </c>
      <c r="D644" t="s">
        <v>1075</v>
      </c>
      <c r="E644" t="s">
        <v>1076</v>
      </c>
      <c r="F644">
        <v>71</v>
      </c>
      <c r="G644">
        <v>21.59</v>
      </c>
      <c r="H644">
        <v>71.400000000000006</v>
      </c>
      <c r="I644">
        <v>15.02</v>
      </c>
      <c r="J644">
        <v>49.68</v>
      </c>
      <c r="K644">
        <v>42</v>
      </c>
      <c r="T644">
        <v>2</v>
      </c>
      <c r="U644">
        <v>1</v>
      </c>
      <c r="V644" t="s">
        <v>226</v>
      </c>
      <c r="W644">
        <v>71</v>
      </c>
      <c r="X644">
        <v>6</v>
      </c>
      <c r="Y644">
        <v>5</v>
      </c>
      <c r="Z644" t="s">
        <v>1077</v>
      </c>
      <c r="AA644" t="s">
        <v>1078</v>
      </c>
      <c r="AB644" t="s">
        <v>229</v>
      </c>
      <c r="AC644" t="s">
        <v>230</v>
      </c>
      <c r="AD644" t="s">
        <v>231</v>
      </c>
      <c r="AE644" t="s">
        <v>206</v>
      </c>
      <c r="AG644" t="s">
        <v>1079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1025</v>
      </c>
      <c r="B645">
        <v>105199</v>
      </c>
      <c r="C645">
        <v>3</v>
      </c>
      <c r="D645" t="s">
        <v>1075</v>
      </c>
      <c r="E645" t="s">
        <v>1076</v>
      </c>
      <c r="F645">
        <v>71</v>
      </c>
      <c r="G645">
        <v>25.43</v>
      </c>
      <c r="H645">
        <v>84.08</v>
      </c>
      <c r="I645">
        <v>18.14</v>
      </c>
      <c r="J645">
        <v>59.97</v>
      </c>
      <c r="K645">
        <v>6</v>
      </c>
      <c r="T645">
        <v>3</v>
      </c>
      <c r="U645">
        <v>2</v>
      </c>
      <c r="V645" t="s">
        <v>226</v>
      </c>
      <c r="W645">
        <v>84</v>
      </c>
      <c r="X645">
        <v>6</v>
      </c>
      <c r="Y645">
        <v>5</v>
      </c>
      <c r="Z645" t="s">
        <v>1077</v>
      </c>
      <c r="AA645" t="s">
        <v>1078</v>
      </c>
      <c r="AB645" t="s">
        <v>229</v>
      </c>
      <c r="AC645" t="s">
        <v>230</v>
      </c>
      <c r="AD645" t="s">
        <v>231</v>
      </c>
      <c r="AE645" t="s">
        <v>206</v>
      </c>
      <c r="AG645" t="s">
        <v>1079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1025</v>
      </c>
      <c r="B646">
        <v>7478</v>
      </c>
      <c r="C646">
        <v>1</v>
      </c>
      <c r="D646" t="s">
        <v>1080</v>
      </c>
      <c r="E646" t="s">
        <v>1081</v>
      </c>
      <c r="F646">
        <v>894</v>
      </c>
      <c r="G646">
        <v>18.579999999999998</v>
      </c>
      <c r="H646">
        <v>61.44</v>
      </c>
      <c r="I646">
        <v>13.7</v>
      </c>
      <c r="J646">
        <v>45.32</v>
      </c>
      <c r="K646">
        <v>460</v>
      </c>
      <c r="T646">
        <v>2</v>
      </c>
      <c r="U646">
        <v>1</v>
      </c>
      <c r="V646" t="s">
        <v>226</v>
      </c>
      <c r="W646">
        <v>61</v>
      </c>
      <c r="X646">
        <v>15</v>
      </c>
      <c r="Y646">
        <v>7</v>
      </c>
      <c r="Z646" t="s">
        <v>1082</v>
      </c>
      <c r="AA646" t="s">
        <v>1083</v>
      </c>
      <c r="AB646" t="s">
        <v>229</v>
      </c>
      <c r="AC646" t="s">
        <v>230</v>
      </c>
      <c r="AD646" t="s">
        <v>231</v>
      </c>
      <c r="AE646" t="s">
        <v>206</v>
      </c>
      <c r="AG646" t="s">
        <v>1084</v>
      </c>
      <c r="AH646">
        <v>0</v>
      </c>
      <c r="AI646">
        <v>249</v>
      </c>
      <c r="AJ646">
        <v>22</v>
      </c>
      <c r="AK646">
        <v>566</v>
      </c>
      <c r="AL646">
        <v>0.63</v>
      </c>
    </row>
    <row r="647" spans="1:38" x14ac:dyDescent="0.3">
      <c r="A647" t="s">
        <v>1025</v>
      </c>
      <c r="B647">
        <v>7478</v>
      </c>
      <c r="C647">
        <v>2</v>
      </c>
      <c r="D647" t="s">
        <v>1080</v>
      </c>
      <c r="E647" t="s">
        <v>1081</v>
      </c>
      <c r="F647">
        <v>894</v>
      </c>
      <c r="G647">
        <v>24.56</v>
      </c>
      <c r="H647">
        <v>81.209999999999994</v>
      </c>
      <c r="I647">
        <v>18.11</v>
      </c>
      <c r="J647">
        <v>59.9</v>
      </c>
      <c r="K647">
        <v>434</v>
      </c>
      <c r="T647">
        <v>3</v>
      </c>
      <c r="U647">
        <v>1</v>
      </c>
      <c r="V647" t="s">
        <v>226</v>
      </c>
      <c r="W647">
        <v>81</v>
      </c>
      <c r="X647">
        <v>15</v>
      </c>
      <c r="Y647">
        <v>7</v>
      </c>
      <c r="Z647" t="s">
        <v>1082</v>
      </c>
      <c r="AA647" t="s">
        <v>1083</v>
      </c>
      <c r="AB647" t="s">
        <v>229</v>
      </c>
      <c r="AC647" t="s">
        <v>230</v>
      </c>
      <c r="AD647" t="s">
        <v>231</v>
      </c>
      <c r="AE647" t="s">
        <v>206</v>
      </c>
      <c r="AG647" t="s">
        <v>1084</v>
      </c>
      <c r="AH647">
        <v>0</v>
      </c>
      <c r="AI647">
        <v>249</v>
      </c>
      <c r="AJ647">
        <v>22</v>
      </c>
      <c r="AK647">
        <v>566</v>
      </c>
      <c r="AL647">
        <v>0.63</v>
      </c>
    </row>
    <row r="648" spans="1:38" x14ac:dyDescent="0.3">
      <c r="A648" t="s">
        <v>1025</v>
      </c>
      <c r="B648">
        <v>107146</v>
      </c>
      <c r="C648">
        <v>1</v>
      </c>
      <c r="D648" t="s">
        <v>1085</v>
      </c>
      <c r="E648" t="s">
        <v>1086</v>
      </c>
      <c r="F648">
        <v>27</v>
      </c>
      <c r="G648">
        <v>31.47</v>
      </c>
      <c r="H648">
        <v>104.04</v>
      </c>
      <c r="I648">
        <v>25.61</v>
      </c>
      <c r="J648">
        <v>84.69</v>
      </c>
      <c r="K648">
        <v>10</v>
      </c>
      <c r="T648">
        <v>4</v>
      </c>
      <c r="U648">
        <v>2</v>
      </c>
      <c r="V648" t="s">
        <v>233</v>
      </c>
      <c r="W648">
        <v>104</v>
      </c>
      <c r="X648">
        <v>7</v>
      </c>
      <c r="Y648">
        <v>5</v>
      </c>
      <c r="Z648" t="s">
        <v>1087</v>
      </c>
      <c r="AA648" t="s">
        <v>1088</v>
      </c>
      <c r="AB648" t="s">
        <v>229</v>
      </c>
      <c r="AC648" t="s">
        <v>230</v>
      </c>
      <c r="AD648" t="s">
        <v>231</v>
      </c>
      <c r="AE648" t="s">
        <v>206</v>
      </c>
      <c r="AG648" t="s">
        <v>1089</v>
      </c>
      <c r="AH648">
        <v>0</v>
      </c>
      <c r="AI648">
        <v>0</v>
      </c>
      <c r="AJ648">
        <v>0</v>
      </c>
      <c r="AK648">
        <v>27</v>
      </c>
      <c r="AL648">
        <v>1</v>
      </c>
    </row>
    <row r="649" spans="1:38" x14ac:dyDescent="0.3">
      <c r="A649" t="s">
        <v>1025</v>
      </c>
      <c r="B649">
        <v>107146</v>
      </c>
      <c r="C649">
        <v>2</v>
      </c>
      <c r="D649" t="s">
        <v>1085</v>
      </c>
      <c r="E649" t="s">
        <v>1086</v>
      </c>
      <c r="F649">
        <v>27</v>
      </c>
      <c r="G649">
        <v>31.5</v>
      </c>
      <c r="H649">
        <v>104.14</v>
      </c>
      <c r="I649">
        <v>25.64</v>
      </c>
      <c r="J649">
        <v>84.79</v>
      </c>
      <c r="K649">
        <v>5</v>
      </c>
      <c r="T649">
        <v>3</v>
      </c>
      <c r="U649">
        <v>2</v>
      </c>
      <c r="V649" t="s">
        <v>226</v>
      </c>
      <c r="W649">
        <v>104</v>
      </c>
      <c r="X649">
        <v>7</v>
      </c>
      <c r="Y649">
        <v>5</v>
      </c>
      <c r="Z649" t="s">
        <v>1087</v>
      </c>
      <c r="AA649" t="s">
        <v>1088</v>
      </c>
      <c r="AB649" t="s">
        <v>229</v>
      </c>
      <c r="AC649" t="s">
        <v>230</v>
      </c>
      <c r="AD649" t="s">
        <v>231</v>
      </c>
      <c r="AE649" t="s">
        <v>206</v>
      </c>
      <c r="AG649" t="s">
        <v>1089</v>
      </c>
      <c r="AH649">
        <v>0</v>
      </c>
      <c r="AI649">
        <v>0</v>
      </c>
      <c r="AJ649">
        <v>0</v>
      </c>
      <c r="AK649">
        <v>27</v>
      </c>
      <c r="AL649">
        <v>1</v>
      </c>
    </row>
    <row r="650" spans="1:38" x14ac:dyDescent="0.3">
      <c r="A650" t="s">
        <v>1025</v>
      </c>
      <c r="B650">
        <v>107146</v>
      </c>
      <c r="C650">
        <v>3</v>
      </c>
      <c r="D650" t="s">
        <v>1085</v>
      </c>
      <c r="E650" t="s">
        <v>1086</v>
      </c>
      <c r="F650">
        <v>27</v>
      </c>
      <c r="G650">
        <v>39.9</v>
      </c>
      <c r="H650">
        <v>131.91</v>
      </c>
      <c r="I650">
        <v>33.31</v>
      </c>
      <c r="J650">
        <v>110.14</v>
      </c>
      <c r="K650">
        <v>12</v>
      </c>
      <c r="T650">
        <v>3</v>
      </c>
      <c r="U650">
        <v>2</v>
      </c>
      <c r="V650" t="s">
        <v>226</v>
      </c>
      <c r="W650">
        <v>131</v>
      </c>
      <c r="X650">
        <v>7</v>
      </c>
      <c r="Y650">
        <v>5</v>
      </c>
      <c r="Z650" t="s">
        <v>1087</v>
      </c>
      <c r="AA650" t="s">
        <v>1088</v>
      </c>
      <c r="AB650" t="s">
        <v>229</v>
      </c>
      <c r="AC650" t="s">
        <v>230</v>
      </c>
      <c r="AD650" t="s">
        <v>231</v>
      </c>
      <c r="AE650" t="s">
        <v>206</v>
      </c>
      <c r="AG650" t="s">
        <v>1089</v>
      </c>
      <c r="AH650">
        <v>0</v>
      </c>
      <c r="AI650">
        <v>0</v>
      </c>
      <c r="AJ650">
        <v>0</v>
      </c>
      <c r="AK650">
        <v>27</v>
      </c>
      <c r="AL650">
        <v>1</v>
      </c>
    </row>
    <row r="651" spans="1:38" x14ac:dyDescent="0.3">
      <c r="A651" t="s">
        <v>1025</v>
      </c>
      <c r="B651">
        <v>26494</v>
      </c>
      <c r="C651">
        <v>1</v>
      </c>
      <c r="D651" t="s">
        <v>1090</v>
      </c>
      <c r="E651" t="s">
        <v>250</v>
      </c>
      <c r="F651">
        <v>189</v>
      </c>
      <c r="G651">
        <v>34.06</v>
      </c>
      <c r="H651">
        <v>112.61</v>
      </c>
      <c r="I651">
        <v>25.69</v>
      </c>
      <c r="J651">
        <v>84.95</v>
      </c>
      <c r="K651">
        <v>159</v>
      </c>
      <c r="T651">
        <v>3</v>
      </c>
      <c r="U651">
        <v>2</v>
      </c>
      <c r="V651" t="s">
        <v>233</v>
      </c>
      <c r="W651" t="s">
        <v>106</v>
      </c>
      <c r="X651">
        <v>15</v>
      </c>
      <c r="Y651">
        <v>7</v>
      </c>
      <c r="Z651" t="s">
        <v>1091</v>
      </c>
      <c r="AA651" t="s">
        <v>1092</v>
      </c>
      <c r="AB651" t="s">
        <v>229</v>
      </c>
      <c r="AC651" t="s">
        <v>230</v>
      </c>
      <c r="AD651" t="s">
        <v>231</v>
      </c>
      <c r="AE651" t="s">
        <v>206</v>
      </c>
      <c r="AG651" t="s">
        <v>1093</v>
      </c>
      <c r="AH651">
        <v>0</v>
      </c>
      <c r="AI651">
        <v>213</v>
      </c>
      <c r="AJ651">
        <v>23</v>
      </c>
      <c r="AK651">
        <v>208</v>
      </c>
      <c r="AL651">
        <v>1.1000000000000001</v>
      </c>
    </row>
    <row r="652" spans="1:38" x14ac:dyDescent="0.3">
      <c r="A652" t="s">
        <v>1025</v>
      </c>
      <c r="B652">
        <v>26494</v>
      </c>
      <c r="C652">
        <v>2</v>
      </c>
      <c r="D652" t="s">
        <v>1090</v>
      </c>
      <c r="E652" t="s">
        <v>250</v>
      </c>
      <c r="F652">
        <v>189</v>
      </c>
      <c r="G652">
        <v>34.15</v>
      </c>
      <c r="H652">
        <v>112.91</v>
      </c>
      <c r="I652">
        <v>25.7</v>
      </c>
      <c r="J652">
        <v>84.97</v>
      </c>
      <c r="K652">
        <v>30</v>
      </c>
      <c r="T652">
        <v>3</v>
      </c>
      <c r="U652">
        <v>2</v>
      </c>
      <c r="V652" t="s">
        <v>233</v>
      </c>
      <c r="W652" t="s">
        <v>107</v>
      </c>
      <c r="X652">
        <v>15</v>
      </c>
      <c r="Y652">
        <v>7</v>
      </c>
      <c r="Z652" t="s">
        <v>1091</v>
      </c>
      <c r="AA652" t="s">
        <v>1092</v>
      </c>
      <c r="AB652" t="s">
        <v>229</v>
      </c>
      <c r="AC652" t="s">
        <v>230</v>
      </c>
      <c r="AD652" t="s">
        <v>231</v>
      </c>
      <c r="AE652" t="s">
        <v>206</v>
      </c>
      <c r="AG652" t="s">
        <v>1093</v>
      </c>
      <c r="AH652">
        <v>0</v>
      </c>
      <c r="AI652">
        <v>213</v>
      </c>
      <c r="AJ652">
        <v>23</v>
      </c>
      <c r="AK652">
        <v>208</v>
      </c>
      <c r="AL652">
        <v>1.1000000000000001</v>
      </c>
    </row>
    <row r="653" spans="1:38" x14ac:dyDescent="0.3">
      <c r="A653" t="s">
        <v>1025</v>
      </c>
      <c r="B653">
        <v>111882</v>
      </c>
      <c r="C653">
        <v>1</v>
      </c>
      <c r="D653" t="s">
        <v>1094</v>
      </c>
      <c r="E653" t="s">
        <v>1050</v>
      </c>
      <c r="F653">
        <v>110</v>
      </c>
      <c r="G653">
        <v>33.700000000000003</v>
      </c>
      <c r="H653">
        <v>111.43</v>
      </c>
      <c r="I653">
        <v>25.7</v>
      </c>
      <c r="J653">
        <v>84.98</v>
      </c>
      <c r="K653">
        <v>90</v>
      </c>
      <c r="T653">
        <v>4</v>
      </c>
      <c r="U653">
        <v>2</v>
      </c>
      <c r="V653" t="s">
        <v>233</v>
      </c>
      <c r="W653" t="s">
        <v>73</v>
      </c>
      <c r="X653">
        <v>24</v>
      </c>
      <c r="Y653">
        <v>21</v>
      </c>
      <c r="Z653" t="s">
        <v>1095</v>
      </c>
      <c r="AA653" t="s">
        <v>1096</v>
      </c>
      <c r="AB653" t="s">
        <v>229</v>
      </c>
      <c r="AC653" t="s">
        <v>230</v>
      </c>
      <c r="AD653" t="s">
        <v>231</v>
      </c>
      <c r="AE653" t="s">
        <v>206</v>
      </c>
      <c r="AG653" t="s">
        <v>1097</v>
      </c>
      <c r="AH653">
        <v>0</v>
      </c>
      <c r="AI653">
        <v>229</v>
      </c>
      <c r="AJ653">
        <v>17</v>
      </c>
      <c r="AK653">
        <v>145</v>
      </c>
      <c r="AL653">
        <v>1.32</v>
      </c>
    </row>
    <row r="654" spans="1:38" x14ac:dyDescent="0.3">
      <c r="A654" t="s">
        <v>1025</v>
      </c>
      <c r="B654">
        <v>111882</v>
      </c>
      <c r="C654">
        <v>2</v>
      </c>
      <c r="D654" t="s">
        <v>1094</v>
      </c>
      <c r="E654" t="s">
        <v>1050</v>
      </c>
      <c r="F654">
        <v>110</v>
      </c>
      <c r="G654">
        <v>33.79</v>
      </c>
      <c r="H654">
        <v>111.73</v>
      </c>
      <c r="I654">
        <v>25.69</v>
      </c>
      <c r="J654">
        <v>84.94</v>
      </c>
      <c r="K654">
        <v>20</v>
      </c>
      <c r="T654">
        <v>4</v>
      </c>
      <c r="U654">
        <v>2</v>
      </c>
      <c r="V654" t="s">
        <v>233</v>
      </c>
      <c r="W654" t="s">
        <v>180</v>
      </c>
      <c r="X654">
        <v>24</v>
      </c>
      <c r="Y654">
        <v>21</v>
      </c>
      <c r="Z654" t="s">
        <v>1095</v>
      </c>
      <c r="AA654" t="s">
        <v>1096</v>
      </c>
      <c r="AB654" t="s">
        <v>229</v>
      </c>
      <c r="AC654" t="s">
        <v>230</v>
      </c>
      <c r="AD654" t="s">
        <v>231</v>
      </c>
      <c r="AE654" t="s">
        <v>206</v>
      </c>
      <c r="AG654" t="s">
        <v>1097</v>
      </c>
      <c r="AH654">
        <v>0</v>
      </c>
      <c r="AI654">
        <v>229</v>
      </c>
      <c r="AJ654">
        <v>17</v>
      </c>
      <c r="AK654">
        <v>145</v>
      </c>
      <c r="AL654">
        <v>1.32</v>
      </c>
    </row>
    <row r="655" spans="1:38" x14ac:dyDescent="0.3">
      <c r="A655" t="s">
        <v>1098</v>
      </c>
      <c r="B655">
        <v>115428</v>
      </c>
      <c r="C655">
        <v>1</v>
      </c>
      <c r="D655" t="s">
        <v>1099</v>
      </c>
      <c r="E655" t="s">
        <v>819</v>
      </c>
      <c r="F655">
        <v>1034</v>
      </c>
      <c r="G655">
        <v>29.79</v>
      </c>
      <c r="H655">
        <v>98.5</v>
      </c>
      <c r="I655">
        <v>22.36</v>
      </c>
      <c r="J655">
        <v>73.92</v>
      </c>
      <c r="K655">
        <v>129</v>
      </c>
      <c r="T655">
        <v>3</v>
      </c>
      <c r="U655">
        <v>2</v>
      </c>
      <c r="V655" t="s">
        <v>233</v>
      </c>
      <c r="W655">
        <v>98</v>
      </c>
      <c r="X655">
        <v>25</v>
      </c>
      <c r="Y655">
        <v>18</v>
      </c>
      <c r="Z655" t="s">
        <v>1100</v>
      </c>
      <c r="AA655" t="s">
        <v>1101</v>
      </c>
      <c r="AB655" t="s">
        <v>229</v>
      </c>
      <c r="AC655" t="s">
        <v>230</v>
      </c>
      <c r="AD655" t="s">
        <v>231</v>
      </c>
      <c r="AE655" t="s">
        <v>208</v>
      </c>
      <c r="AG655" t="s">
        <v>1102</v>
      </c>
      <c r="AH655">
        <v>0</v>
      </c>
      <c r="AI655">
        <v>197</v>
      </c>
      <c r="AJ655">
        <v>16</v>
      </c>
      <c r="AK655">
        <v>1554</v>
      </c>
      <c r="AL655">
        <v>1.5</v>
      </c>
    </row>
    <row r="656" spans="1:38" x14ac:dyDescent="0.3">
      <c r="A656" t="s">
        <v>1098</v>
      </c>
      <c r="B656">
        <v>115428</v>
      </c>
      <c r="C656">
        <v>2</v>
      </c>
      <c r="D656" t="s">
        <v>1099</v>
      </c>
      <c r="E656" t="s">
        <v>819</v>
      </c>
      <c r="F656">
        <v>1034</v>
      </c>
      <c r="G656">
        <v>34.04</v>
      </c>
      <c r="H656">
        <v>112.53</v>
      </c>
      <c r="I656">
        <v>25.7</v>
      </c>
      <c r="J656">
        <v>84.99</v>
      </c>
      <c r="K656">
        <v>616</v>
      </c>
      <c r="T656">
        <v>4</v>
      </c>
      <c r="U656">
        <v>2</v>
      </c>
      <c r="V656" t="s">
        <v>233</v>
      </c>
      <c r="W656" t="s">
        <v>106</v>
      </c>
      <c r="X656">
        <v>25</v>
      </c>
      <c r="Y656">
        <v>18</v>
      </c>
      <c r="Z656" t="s">
        <v>1100</v>
      </c>
      <c r="AA656" t="s">
        <v>1101</v>
      </c>
      <c r="AB656" t="s">
        <v>229</v>
      </c>
      <c r="AC656" t="s">
        <v>230</v>
      </c>
      <c r="AD656" t="s">
        <v>231</v>
      </c>
      <c r="AE656" t="s">
        <v>208</v>
      </c>
      <c r="AG656" t="s">
        <v>1102</v>
      </c>
      <c r="AH656">
        <v>0</v>
      </c>
      <c r="AI656">
        <v>197</v>
      </c>
      <c r="AJ656">
        <v>16</v>
      </c>
      <c r="AK656">
        <v>1554</v>
      </c>
      <c r="AL656">
        <v>1.5</v>
      </c>
    </row>
    <row r="657" spans="1:38" x14ac:dyDescent="0.3">
      <c r="A657" t="s">
        <v>1098</v>
      </c>
      <c r="B657">
        <v>115428</v>
      </c>
      <c r="C657">
        <v>3</v>
      </c>
      <c r="D657" t="s">
        <v>1099</v>
      </c>
      <c r="E657" t="s">
        <v>819</v>
      </c>
      <c r="F657">
        <v>1034</v>
      </c>
      <c r="G657">
        <v>34.08</v>
      </c>
      <c r="H657">
        <v>112.67</v>
      </c>
      <c r="I657">
        <v>25.7</v>
      </c>
      <c r="J657">
        <v>84.99</v>
      </c>
      <c r="K657">
        <v>145</v>
      </c>
      <c r="T657">
        <v>3</v>
      </c>
      <c r="U657">
        <v>2</v>
      </c>
      <c r="V657" t="s">
        <v>233</v>
      </c>
      <c r="W657" t="s">
        <v>107</v>
      </c>
      <c r="X657">
        <v>25</v>
      </c>
      <c r="Y657">
        <v>18</v>
      </c>
      <c r="Z657" t="s">
        <v>1100</v>
      </c>
      <c r="AA657" t="s">
        <v>1101</v>
      </c>
      <c r="AB657" t="s">
        <v>229</v>
      </c>
      <c r="AC657" t="s">
        <v>230</v>
      </c>
      <c r="AD657" t="s">
        <v>231</v>
      </c>
      <c r="AE657" t="s">
        <v>208</v>
      </c>
      <c r="AG657" t="s">
        <v>1102</v>
      </c>
      <c r="AH657">
        <v>0</v>
      </c>
      <c r="AI657">
        <v>197</v>
      </c>
      <c r="AJ657">
        <v>16</v>
      </c>
      <c r="AK657">
        <v>1554</v>
      </c>
      <c r="AL657">
        <v>1.5</v>
      </c>
    </row>
    <row r="658" spans="1:38" x14ac:dyDescent="0.3">
      <c r="A658" t="s">
        <v>1098</v>
      </c>
      <c r="B658">
        <v>115428</v>
      </c>
      <c r="C658">
        <v>4</v>
      </c>
      <c r="D658" t="s">
        <v>1099</v>
      </c>
      <c r="E658" t="s">
        <v>819</v>
      </c>
      <c r="F658">
        <v>1034</v>
      </c>
      <c r="G658">
        <v>34.06</v>
      </c>
      <c r="H658">
        <v>112.61</v>
      </c>
      <c r="I658">
        <v>25.7</v>
      </c>
      <c r="J658">
        <v>84.99</v>
      </c>
      <c r="K658">
        <v>144</v>
      </c>
      <c r="T658">
        <v>3</v>
      </c>
      <c r="U658">
        <v>2</v>
      </c>
      <c r="V658" t="s">
        <v>233</v>
      </c>
      <c r="W658" t="s">
        <v>113</v>
      </c>
      <c r="X658">
        <v>25</v>
      </c>
      <c r="Y658">
        <v>18</v>
      </c>
      <c r="Z658" t="s">
        <v>1100</v>
      </c>
      <c r="AA658" t="s">
        <v>1101</v>
      </c>
      <c r="AB658" t="s">
        <v>229</v>
      </c>
      <c r="AC658" t="s">
        <v>230</v>
      </c>
      <c r="AD658" t="s">
        <v>231</v>
      </c>
      <c r="AE658" t="s">
        <v>208</v>
      </c>
      <c r="AG658" t="s">
        <v>1102</v>
      </c>
      <c r="AH658">
        <v>0</v>
      </c>
      <c r="AI658">
        <v>197</v>
      </c>
      <c r="AJ658">
        <v>16</v>
      </c>
      <c r="AK658">
        <v>1554</v>
      </c>
      <c r="AL658">
        <v>1.5</v>
      </c>
    </row>
    <row r="659" spans="1:38" x14ac:dyDescent="0.3">
      <c r="A659" t="s">
        <v>1098</v>
      </c>
      <c r="B659">
        <v>119895</v>
      </c>
      <c r="C659">
        <v>1</v>
      </c>
      <c r="D659" t="s">
        <v>1103</v>
      </c>
      <c r="E659" t="s">
        <v>289</v>
      </c>
      <c r="F659">
        <v>336</v>
      </c>
      <c r="G659">
        <v>33.5</v>
      </c>
      <c r="H659">
        <v>110.77</v>
      </c>
      <c r="I659">
        <v>25.7</v>
      </c>
      <c r="J659">
        <v>84.96</v>
      </c>
      <c r="K659">
        <v>192</v>
      </c>
      <c r="T659">
        <v>3</v>
      </c>
      <c r="U659">
        <v>2</v>
      </c>
      <c r="V659" t="s">
        <v>233</v>
      </c>
      <c r="W659" t="s">
        <v>135</v>
      </c>
      <c r="X659">
        <v>25</v>
      </c>
      <c r="Y659">
        <v>20</v>
      </c>
      <c r="Z659" t="s">
        <v>1104</v>
      </c>
      <c r="AA659" t="s">
        <v>1105</v>
      </c>
      <c r="AB659" t="s">
        <v>229</v>
      </c>
      <c r="AC659" t="s">
        <v>230</v>
      </c>
      <c r="AD659" t="s">
        <v>231</v>
      </c>
      <c r="AE659" t="s">
        <v>208</v>
      </c>
      <c r="AG659" t="s">
        <v>1106</v>
      </c>
      <c r="AH659">
        <v>0</v>
      </c>
      <c r="AI659">
        <v>0</v>
      </c>
      <c r="AJ659">
        <v>0</v>
      </c>
      <c r="AK659">
        <v>504</v>
      </c>
      <c r="AL659">
        <v>1.5</v>
      </c>
    </row>
    <row r="660" spans="1:38" x14ac:dyDescent="0.3">
      <c r="A660" t="s">
        <v>1098</v>
      </c>
      <c r="B660">
        <v>119895</v>
      </c>
      <c r="C660">
        <v>2</v>
      </c>
      <c r="D660" t="s">
        <v>1103</v>
      </c>
      <c r="E660" t="s">
        <v>289</v>
      </c>
      <c r="F660">
        <v>336</v>
      </c>
      <c r="G660">
        <v>33.57</v>
      </c>
      <c r="H660">
        <v>110.99</v>
      </c>
      <c r="I660">
        <v>25.7</v>
      </c>
      <c r="J660">
        <v>84.97</v>
      </c>
      <c r="K660">
        <v>44</v>
      </c>
      <c r="T660">
        <v>3</v>
      </c>
      <c r="U660">
        <v>2</v>
      </c>
      <c r="V660" t="s">
        <v>233</v>
      </c>
      <c r="W660" t="s">
        <v>90</v>
      </c>
      <c r="X660">
        <v>25</v>
      </c>
      <c r="Y660">
        <v>20</v>
      </c>
      <c r="Z660" t="s">
        <v>1104</v>
      </c>
      <c r="AA660" t="s">
        <v>1105</v>
      </c>
      <c r="AB660" t="s">
        <v>229</v>
      </c>
      <c r="AC660" t="s">
        <v>230</v>
      </c>
      <c r="AD660" t="s">
        <v>231</v>
      </c>
      <c r="AE660" t="s">
        <v>208</v>
      </c>
      <c r="AG660" t="s">
        <v>1106</v>
      </c>
      <c r="AH660">
        <v>0</v>
      </c>
      <c r="AI660">
        <v>0</v>
      </c>
      <c r="AJ660">
        <v>0</v>
      </c>
      <c r="AK660">
        <v>504</v>
      </c>
      <c r="AL660">
        <v>1.5</v>
      </c>
    </row>
    <row r="661" spans="1:38" x14ac:dyDescent="0.3">
      <c r="A661" t="s">
        <v>1098</v>
      </c>
      <c r="B661">
        <v>119895</v>
      </c>
      <c r="C661">
        <v>3</v>
      </c>
      <c r="D661" t="s">
        <v>1103</v>
      </c>
      <c r="E661" t="s">
        <v>289</v>
      </c>
      <c r="F661">
        <v>336</v>
      </c>
      <c r="G661">
        <v>33.630000000000003</v>
      </c>
      <c r="H661">
        <v>111.18</v>
      </c>
      <c r="I661">
        <v>25.7</v>
      </c>
      <c r="J661">
        <v>84.97</v>
      </c>
      <c r="K661">
        <v>100</v>
      </c>
      <c r="T661">
        <v>3</v>
      </c>
      <c r="U661">
        <v>2</v>
      </c>
      <c r="V661" t="s">
        <v>233</v>
      </c>
      <c r="W661" t="s">
        <v>180</v>
      </c>
      <c r="X661">
        <v>25</v>
      </c>
      <c r="Y661">
        <v>20</v>
      </c>
      <c r="Z661" t="s">
        <v>1104</v>
      </c>
      <c r="AA661" t="s">
        <v>1105</v>
      </c>
      <c r="AB661" t="s">
        <v>229</v>
      </c>
      <c r="AC661" t="s">
        <v>230</v>
      </c>
      <c r="AD661" t="s">
        <v>231</v>
      </c>
      <c r="AE661" t="s">
        <v>208</v>
      </c>
      <c r="AG661" t="s">
        <v>1106</v>
      </c>
      <c r="AH661">
        <v>0</v>
      </c>
      <c r="AI661">
        <v>0</v>
      </c>
      <c r="AJ661">
        <v>0</v>
      </c>
      <c r="AK661">
        <v>504</v>
      </c>
      <c r="AL661">
        <v>1.5</v>
      </c>
    </row>
    <row r="662" spans="1:38" x14ac:dyDescent="0.3">
      <c r="A662" t="s">
        <v>1098</v>
      </c>
      <c r="B662">
        <v>115388</v>
      </c>
      <c r="C662">
        <v>1</v>
      </c>
      <c r="D662" t="s">
        <v>1107</v>
      </c>
      <c r="E662" t="s">
        <v>819</v>
      </c>
      <c r="F662">
        <v>427</v>
      </c>
      <c r="G662">
        <v>29.13</v>
      </c>
      <c r="H662">
        <v>96.31</v>
      </c>
      <c r="I662">
        <v>22.12</v>
      </c>
      <c r="J662">
        <v>73.13</v>
      </c>
      <c r="K662">
        <v>44</v>
      </c>
      <c r="T662">
        <v>3</v>
      </c>
      <c r="U662">
        <v>2</v>
      </c>
      <c r="V662" t="s">
        <v>233</v>
      </c>
      <c r="W662">
        <v>96</v>
      </c>
      <c r="X662">
        <v>25</v>
      </c>
      <c r="Y662">
        <v>23</v>
      </c>
      <c r="Z662" t="s">
        <v>1108</v>
      </c>
      <c r="AA662" t="s">
        <v>1109</v>
      </c>
      <c r="AB662" t="s">
        <v>229</v>
      </c>
      <c r="AC662" t="s">
        <v>230</v>
      </c>
      <c r="AD662" t="s">
        <v>231</v>
      </c>
      <c r="AE662" t="s">
        <v>208</v>
      </c>
      <c r="AG662" t="s">
        <v>1110</v>
      </c>
      <c r="AH662">
        <v>0</v>
      </c>
      <c r="AI662">
        <v>200</v>
      </c>
      <c r="AJ662">
        <v>15</v>
      </c>
      <c r="AK662">
        <v>647</v>
      </c>
      <c r="AL662">
        <v>1.52</v>
      </c>
    </row>
    <row r="663" spans="1:38" x14ac:dyDescent="0.3">
      <c r="A663" t="s">
        <v>1098</v>
      </c>
      <c r="B663">
        <v>115388</v>
      </c>
      <c r="C663">
        <v>2</v>
      </c>
      <c r="D663" t="s">
        <v>1107</v>
      </c>
      <c r="E663" t="s">
        <v>819</v>
      </c>
      <c r="F663">
        <v>427</v>
      </c>
      <c r="G663">
        <v>33.85</v>
      </c>
      <c r="H663">
        <v>111.92</v>
      </c>
      <c r="I663">
        <v>25.7</v>
      </c>
      <c r="J663">
        <v>84.97</v>
      </c>
      <c r="K663">
        <v>285</v>
      </c>
      <c r="T663">
        <v>4</v>
      </c>
      <c r="U663">
        <v>2</v>
      </c>
      <c r="V663" t="s">
        <v>233</v>
      </c>
      <c r="W663" t="s">
        <v>73</v>
      </c>
      <c r="X663">
        <v>25</v>
      </c>
      <c r="Y663">
        <v>23</v>
      </c>
      <c r="Z663" t="s">
        <v>1108</v>
      </c>
      <c r="AA663" t="s">
        <v>1109</v>
      </c>
      <c r="AB663" t="s">
        <v>229</v>
      </c>
      <c r="AC663" t="s">
        <v>230</v>
      </c>
      <c r="AD663" t="s">
        <v>231</v>
      </c>
      <c r="AE663" t="s">
        <v>208</v>
      </c>
      <c r="AG663" t="s">
        <v>1110</v>
      </c>
      <c r="AH663">
        <v>0</v>
      </c>
      <c r="AI663">
        <v>200</v>
      </c>
      <c r="AJ663">
        <v>15</v>
      </c>
      <c r="AK663">
        <v>647</v>
      </c>
      <c r="AL663">
        <v>1.52</v>
      </c>
    </row>
    <row r="664" spans="1:38" x14ac:dyDescent="0.3">
      <c r="A664" t="s">
        <v>1098</v>
      </c>
      <c r="B664">
        <v>115388</v>
      </c>
      <c r="C664">
        <v>3</v>
      </c>
      <c r="D664" t="s">
        <v>1107</v>
      </c>
      <c r="E664" t="s">
        <v>819</v>
      </c>
      <c r="F664">
        <v>427</v>
      </c>
      <c r="G664">
        <v>34.119999999999997</v>
      </c>
      <c r="H664">
        <v>112.82</v>
      </c>
      <c r="I664">
        <v>25.51</v>
      </c>
      <c r="J664">
        <v>84.35</v>
      </c>
      <c r="K664">
        <v>98</v>
      </c>
      <c r="T664">
        <v>3</v>
      </c>
      <c r="U664">
        <v>2</v>
      </c>
      <c r="V664" t="s">
        <v>233</v>
      </c>
      <c r="W664" t="s">
        <v>107</v>
      </c>
      <c r="X664">
        <v>25</v>
      </c>
      <c r="Y664">
        <v>23</v>
      </c>
      <c r="Z664" t="s">
        <v>1108</v>
      </c>
      <c r="AA664" t="s">
        <v>1109</v>
      </c>
      <c r="AB664" t="s">
        <v>229</v>
      </c>
      <c r="AC664" t="s">
        <v>230</v>
      </c>
      <c r="AD664" t="s">
        <v>231</v>
      </c>
      <c r="AE664" t="s">
        <v>208</v>
      </c>
      <c r="AG664" t="s">
        <v>1110</v>
      </c>
      <c r="AH664">
        <v>0</v>
      </c>
      <c r="AI664">
        <v>200</v>
      </c>
      <c r="AJ664">
        <v>15</v>
      </c>
      <c r="AK664">
        <v>647</v>
      </c>
      <c r="AL664">
        <v>1.52</v>
      </c>
    </row>
    <row r="665" spans="1:38" x14ac:dyDescent="0.3">
      <c r="A665" t="s">
        <v>1098</v>
      </c>
      <c r="B665">
        <v>115389</v>
      </c>
      <c r="C665">
        <v>1</v>
      </c>
      <c r="D665" t="s">
        <v>1111</v>
      </c>
      <c r="E665" t="s">
        <v>819</v>
      </c>
      <c r="F665">
        <v>424</v>
      </c>
      <c r="G665">
        <v>29.2</v>
      </c>
      <c r="H665">
        <v>96.54</v>
      </c>
      <c r="I665">
        <v>22.12</v>
      </c>
      <c r="J665">
        <v>73.13</v>
      </c>
      <c r="K665">
        <v>48</v>
      </c>
      <c r="T665">
        <v>3</v>
      </c>
      <c r="U665">
        <v>2</v>
      </c>
      <c r="V665" t="s">
        <v>233</v>
      </c>
      <c r="W665">
        <v>96</v>
      </c>
      <c r="X665">
        <v>25</v>
      </c>
      <c r="Y665">
        <v>24</v>
      </c>
      <c r="Z665" t="s">
        <v>1112</v>
      </c>
      <c r="AA665" t="s">
        <v>1113</v>
      </c>
      <c r="AB665" t="s">
        <v>229</v>
      </c>
      <c r="AC665" t="s">
        <v>230</v>
      </c>
      <c r="AD665" t="s">
        <v>231</v>
      </c>
      <c r="AE665" t="s">
        <v>208</v>
      </c>
      <c r="AG665" t="s">
        <v>1114</v>
      </c>
      <c r="AH665">
        <v>0</v>
      </c>
      <c r="AI665">
        <v>200</v>
      </c>
      <c r="AJ665">
        <v>18</v>
      </c>
      <c r="AK665">
        <v>659</v>
      </c>
      <c r="AL665">
        <v>1.55</v>
      </c>
    </row>
    <row r="666" spans="1:38" x14ac:dyDescent="0.3">
      <c r="A666" t="s">
        <v>1098</v>
      </c>
      <c r="B666">
        <v>115389</v>
      </c>
      <c r="C666">
        <v>2</v>
      </c>
      <c r="D666" t="s">
        <v>1111</v>
      </c>
      <c r="E666" t="s">
        <v>819</v>
      </c>
      <c r="F666">
        <v>424</v>
      </c>
      <c r="G666">
        <v>33.93</v>
      </c>
      <c r="H666">
        <v>112.18</v>
      </c>
      <c r="I666">
        <v>25.7</v>
      </c>
      <c r="J666">
        <v>84.97</v>
      </c>
      <c r="K666">
        <v>282</v>
      </c>
      <c r="T666">
        <v>4</v>
      </c>
      <c r="U666">
        <v>2</v>
      </c>
      <c r="V666" t="s">
        <v>233</v>
      </c>
      <c r="W666" t="s">
        <v>106</v>
      </c>
      <c r="X666">
        <v>25</v>
      </c>
      <c r="Y666">
        <v>24</v>
      </c>
      <c r="Z666" t="s">
        <v>1112</v>
      </c>
      <c r="AA666" t="s">
        <v>1113</v>
      </c>
      <c r="AB666" t="s">
        <v>229</v>
      </c>
      <c r="AC666" t="s">
        <v>230</v>
      </c>
      <c r="AD666" t="s">
        <v>231</v>
      </c>
      <c r="AE666" t="s">
        <v>208</v>
      </c>
      <c r="AG666" t="s">
        <v>1114</v>
      </c>
      <c r="AH666">
        <v>0</v>
      </c>
      <c r="AI666">
        <v>200</v>
      </c>
      <c r="AJ666">
        <v>18</v>
      </c>
      <c r="AK666">
        <v>659</v>
      </c>
      <c r="AL666">
        <v>1.55</v>
      </c>
    </row>
    <row r="667" spans="1:38" x14ac:dyDescent="0.3">
      <c r="A667" t="s">
        <v>1098</v>
      </c>
      <c r="B667">
        <v>115389</v>
      </c>
      <c r="C667">
        <v>3</v>
      </c>
      <c r="D667" t="s">
        <v>1111</v>
      </c>
      <c r="E667" t="s">
        <v>819</v>
      </c>
      <c r="F667">
        <v>424</v>
      </c>
      <c r="G667">
        <v>34.200000000000003</v>
      </c>
      <c r="H667">
        <v>113.09</v>
      </c>
      <c r="I667">
        <v>25.51</v>
      </c>
      <c r="J667">
        <v>84.35</v>
      </c>
      <c r="K667">
        <v>94</v>
      </c>
      <c r="T667">
        <v>3</v>
      </c>
      <c r="U667">
        <v>2</v>
      </c>
      <c r="V667" t="s">
        <v>233</v>
      </c>
      <c r="W667" t="s">
        <v>160</v>
      </c>
      <c r="X667">
        <v>25</v>
      </c>
      <c r="Y667">
        <v>24</v>
      </c>
      <c r="Z667" t="s">
        <v>1112</v>
      </c>
      <c r="AA667" t="s">
        <v>1113</v>
      </c>
      <c r="AB667" t="s">
        <v>229</v>
      </c>
      <c r="AC667" t="s">
        <v>230</v>
      </c>
      <c r="AD667" t="s">
        <v>231</v>
      </c>
      <c r="AE667" t="s">
        <v>208</v>
      </c>
      <c r="AG667" t="s">
        <v>1114</v>
      </c>
      <c r="AH667">
        <v>0</v>
      </c>
      <c r="AI667">
        <v>200</v>
      </c>
      <c r="AJ667">
        <v>18</v>
      </c>
      <c r="AK667">
        <v>659</v>
      </c>
      <c r="AL667">
        <v>1.55</v>
      </c>
    </row>
    <row r="668" spans="1:38" x14ac:dyDescent="0.3">
      <c r="A668" t="s">
        <v>1098</v>
      </c>
      <c r="B668">
        <v>112540</v>
      </c>
      <c r="C668">
        <v>1</v>
      </c>
      <c r="D668" t="s">
        <v>1115</v>
      </c>
      <c r="E668" t="s">
        <v>1116</v>
      </c>
      <c r="F668">
        <v>1020</v>
      </c>
      <c r="G668">
        <v>33.869999999999997</v>
      </c>
      <c r="H668">
        <v>111.99</v>
      </c>
      <c r="I668">
        <v>25.69</v>
      </c>
      <c r="J668">
        <v>84.93</v>
      </c>
      <c r="K668">
        <v>106</v>
      </c>
      <c r="T668">
        <v>3</v>
      </c>
      <c r="U668">
        <v>2</v>
      </c>
      <c r="V668" t="s">
        <v>233</v>
      </c>
      <c r="W668" t="s">
        <v>183</v>
      </c>
      <c r="X668">
        <v>27</v>
      </c>
      <c r="Y668">
        <v>16</v>
      </c>
      <c r="Z668" t="s">
        <v>1117</v>
      </c>
      <c r="AA668" t="s">
        <v>1118</v>
      </c>
      <c r="AB668" t="s">
        <v>229</v>
      </c>
      <c r="AC668" t="s">
        <v>230</v>
      </c>
      <c r="AD668" t="s">
        <v>231</v>
      </c>
      <c r="AE668" t="s">
        <v>208</v>
      </c>
      <c r="AG668" t="s">
        <v>1119</v>
      </c>
      <c r="AH668">
        <v>0</v>
      </c>
      <c r="AI668">
        <v>199</v>
      </c>
      <c r="AJ668">
        <v>14</v>
      </c>
      <c r="AK668">
        <v>1536</v>
      </c>
      <c r="AL668">
        <v>1.51</v>
      </c>
    </row>
    <row r="669" spans="1:38" x14ac:dyDescent="0.3">
      <c r="A669" t="s">
        <v>1098</v>
      </c>
      <c r="B669">
        <v>112540</v>
      </c>
      <c r="C669">
        <v>2</v>
      </c>
      <c r="D669" t="s">
        <v>1115</v>
      </c>
      <c r="E669" t="s">
        <v>1116</v>
      </c>
      <c r="F669">
        <v>1020</v>
      </c>
      <c r="G669">
        <v>33.96</v>
      </c>
      <c r="H669">
        <v>112.27</v>
      </c>
      <c r="I669">
        <v>25.7</v>
      </c>
      <c r="J669">
        <v>84.98</v>
      </c>
      <c r="K669">
        <v>288</v>
      </c>
      <c r="T669">
        <v>4</v>
      </c>
      <c r="U669">
        <v>2</v>
      </c>
      <c r="V669" t="s">
        <v>233</v>
      </c>
      <c r="W669" t="s">
        <v>107</v>
      </c>
      <c r="X669">
        <v>27</v>
      </c>
      <c r="Y669">
        <v>16</v>
      </c>
      <c r="Z669" t="s">
        <v>1117</v>
      </c>
      <c r="AA669" t="s">
        <v>1118</v>
      </c>
      <c r="AB669" t="s">
        <v>229</v>
      </c>
      <c r="AC669" t="s">
        <v>230</v>
      </c>
      <c r="AD669" t="s">
        <v>231</v>
      </c>
      <c r="AE669" t="s">
        <v>208</v>
      </c>
      <c r="AG669" t="s">
        <v>1119</v>
      </c>
      <c r="AH669">
        <v>0</v>
      </c>
      <c r="AI669">
        <v>199</v>
      </c>
      <c r="AJ669">
        <v>14</v>
      </c>
      <c r="AK669">
        <v>1536</v>
      </c>
      <c r="AL669">
        <v>1.51</v>
      </c>
    </row>
    <row r="670" spans="1:38" x14ac:dyDescent="0.3">
      <c r="A670" t="s">
        <v>1098</v>
      </c>
      <c r="B670">
        <v>112540</v>
      </c>
      <c r="C670">
        <v>3</v>
      </c>
      <c r="D670" t="s">
        <v>1115</v>
      </c>
      <c r="E670" t="s">
        <v>1116</v>
      </c>
      <c r="F670">
        <v>1020</v>
      </c>
      <c r="G670">
        <v>33.92</v>
      </c>
      <c r="H670">
        <v>112.15</v>
      </c>
      <c r="I670">
        <v>25.7</v>
      </c>
      <c r="J670">
        <v>84.99</v>
      </c>
      <c r="K670">
        <v>250</v>
      </c>
      <c r="T670">
        <v>3</v>
      </c>
      <c r="U670">
        <v>2</v>
      </c>
      <c r="V670" t="s">
        <v>233</v>
      </c>
      <c r="W670" t="s">
        <v>106</v>
      </c>
      <c r="X670">
        <v>27</v>
      </c>
      <c r="Y670">
        <v>16</v>
      </c>
      <c r="Z670" t="s">
        <v>1117</v>
      </c>
      <c r="AA670" t="s">
        <v>1118</v>
      </c>
      <c r="AB670" t="s">
        <v>229</v>
      </c>
      <c r="AC670" t="s">
        <v>230</v>
      </c>
      <c r="AD670" t="s">
        <v>231</v>
      </c>
      <c r="AE670" t="s">
        <v>208</v>
      </c>
      <c r="AG670" t="s">
        <v>1119</v>
      </c>
      <c r="AH670">
        <v>0</v>
      </c>
      <c r="AI670">
        <v>199</v>
      </c>
      <c r="AJ670">
        <v>14</v>
      </c>
      <c r="AK670">
        <v>1536</v>
      </c>
      <c r="AL670">
        <v>1.51</v>
      </c>
    </row>
    <row r="671" spans="1:38" x14ac:dyDescent="0.3">
      <c r="A671" t="s">
        <v>1098</v>
      </c>
      <c r="B671">
        <v>112540</v>
      </c>
      <c r="C671">
        <v>4</v>
      </c>
      <c r="D671" t="s">
        <v>1115</v>
      </c>
      <c r="E671" t="s">
        <v>1116</v>
      </c>
      <c r="F671">
        <v>1020</v>
      </c>
      <c r="G671">
        <v>33.99</v>
      </c>
      <c r="H671">
        <v>112.37</v>
      </c>
      <c r="I671">
        <v>25.69</v>
      </c>
      <c r="J671">
        <v>84.93</v>
      </c>
      <c r="K671">
        <v>211</v>
      </c>
      <c r="T671">
        <v>3</v>
      </c>
      <c r="U671">
        <v>2</v>
      </c>
      <c r="V671" t="s">
        <v>233</v>
      </c>
      <c r="W671" t="s">
        <v>184</v>
      </c>
      <c r="X671">
        <v>27</v>
      </c>
      <c r="Y671">
        <v>16</v>
      </c>
      <c r="Z671" t="s">
        <v>1117</v>
      </c>
      <c r="AA671" t="s">
        <v>1118</v>
      </c>
      <c r="AB671" t="s">
        <v>229</v>
      </c>
      <c r="AC671" t="s">
        <v>230</v>
      </c>
      <c r="AD671" t="s">
        <v>231</v>
      </c>
      <c r="AE671" t="s">
        <v>208</v>
      </c>
      <c r="AG671" t="s">
        <v>1119</v>
      </c>
      <c r="AH671">
        <v>0</v>
      </c>
      <c r="AI671">
        <v>199</v>
      </c>
      <c r="AJ671">
        <v>14</v>
      </c>
      <c r="AK671">
        <v>1536</v>
      </c>
      <c r="AL671">
        <v>1.51</v>
      </c>
    </row>
    <row r="672" spans="1:38" x14ac:dyDescent="0.3">
      <c r="A672" t="s">
        <v>1098</v>
      </c>
      <c r="B672">
        <v>112540</v>
      </c>
      <c r="C672">
        <v>5</v>
      </c>
      <c r="D672" t="s">
        <v>1115</v>
      </c>
      <c r="E672" t="s">
        <v>1116</v>
      </c>
      <c r="F672">
        <v>1020</v>
      </c>
      <c r="G672">
        <v>33.909999999999997</v>
      </c>
      <c r="H672">
        <v>112.13</v>
      </c>
      <c r="I672">
        <v>25.69</v>
      </c>
      <c r="J672">
        <v>84.93</v>
      </c>
      <c r="K672">
        <v>107</v>
      </c>
      <c r="T672">
        <v>3</v>
      </c>
      <c r="U672">
        <v>2</v>
      </c>
      <c r="V672" t="s">
        <v>233</v>
      </c>
      <c r="W672" t="s">
        <v>185</v>
      </c>
      <c r="X672">
        <v>27</v>
      </c>
      <c r="Y672">
        <v>16</v>
      </c>
      <c r="Z672" t="s">
        <v>1117</v>
      </c>
      <c r="AA672" t="s">
        <v>1118</v>
      </c>
      <c r="AB672" t="s">
        <v>229</v>
      </c>
      <c r="AC672" t="s">
        <v>230</v>
      </c>
      <c r="AD672" t="s">
        <v>231</v>
      </c>
      <c r="AE672" t="s">
        <v>208</v>
      </c>
      <c r="AG672" t="s">
        <v>1119</v>
      </c>
      <c r="AH672">
        <v>0</v>
      </c>
      <c r="AI672">
        <v>199</v>
      </c>
      <c r="AJ672">
        <v>14</v>
      </c>
      <c r="AK672">
        <v>1536</v>
      </c>
      <c r="AL672">
        <v>1.51</v>
      </c>
    </row>
    <row r="673" spans="1:38" x14ac:dyDescent="0.3">
      <c r="A673" t="s">
        <v>1098</v>
      </c>
      <c r="B673">
        <v>112540</v>
      </c>
      <c r="C673">
        <v>6</v>
      </c>
      <c r="D673" t="s">
        <v>1115</v>
      </c>
      <c r="E673" t="s">
        <v>1116</v>
      </c>
      <c r="F673">
        <v>1020</v>
      </c>
      <c r="G673">
        <v>33.99</v>
      </c>
      <c r="H673">
        <v>112.39</v>
      </c>
      <c r="I673">
        <v>25.7</v>
      </c>
      <c r="J673">
        <v>84.96</v>
      </c>
      <c r="K673">
        <v>58</v>
      </c>
      <c r="T673">
        <v>3</v>
      </c>
      <c r="U673">
        <v>2</v>
      </c>
      <c r="V673" t="s">
        <v>233</v>
      </c>
      <c r="W673" t="s">
        <v>113</v>
      </c>
      <c r="X673">
        <v>27</v>
      </c>
      <c r="Y673">
        <v>16</v>
      </c>
      <c r="Z673" t="s">
        <v>1117</v>
      </c>
      <c r="AA673" t="s">
        <v>1118</v>
      </c>
      <c r="AB673" t="s">
        <v>229</v>
      </c>
      <c r="AC673" t="s">
        <v>230</v>
      </c>
      <c r="AD673" t="s">
        <v>231</v>
      </c>
      <c r="AE673" t="s">
        <v>208</v>
      </c>
      <c r="AG673" t="s">
        <v>1119</v>
      </c>
      <c r="AH673">
        <v>0</v>
      </c>
      <c r="AI673">
        <v>199</v>
      </c>
      <c r="AJ673">
        <v>14</v>
      </c>
      <c r="AK673">
        <v>1536</v>
      </c>
      <c r="AL673">
        <v>1.51</v>
      </c>
    </row>
    <row r="674" spans="1:38" x14ac:dyDescent="0.3">
      <c r="A674" t="s">
        <v>1120</v>
      </c>
      <c r="B674">
        <v>7433</v>
      </c>
      <c r="C674">
        <v>1</v>
      </c>
      <c r="D674" t="s">
        <v>1121</v>
      </c>
      <c r="E674" t="s">
        <v>260</v>
      </c>
      <c r="F674">
        <v>570</v>
      </c>
      <c r="G674">
        <v>27.83</v>
      </c>
      <c r="H674">
        <v>92.02</v>
      </c>
      <c r="I674">
        <v>22.41</v>
      </c>
      <c r="J674">
        <v>74.099999999999994</v>
      </c>
      <c r="K674">
        <v>72</v>
      </c>
      <c r="T674">
        <v>3</v>
      </c>
      <c r="U674">
        <v>1</v>
      </c>
      <c r="V674" t="s">
        <v>233</v>
      </c>
      <c r="W674">
        <v>92</v>
      </c>
      <c r="X674">
        <v>15</v>
      </c>
      <c r="Y674">
        <v>12</v>
      </c>
      <c r="Z674" t="s">
        <v>1122</v>
      </c>
      <c r="AA674" t="s">
        <v>1123</v>
      </c>
      <c r="AB674" t="s">
        <v>229</v>
      </c>
      <c r="AC674" t="s">
        <v>230</v>
      </c>
      <c r="AD674" t="s">
        <v>231</v>
      </c>
      <c r="AE674" t="s">
        <v>1124</v>
      </c>
      <c r="AG674" t="s">
        <v>1125</v>
      </c>
      <c r="AH674">
        <v>0</v>
      </c>
      <c r="AI674">
        <v>0</v>
      </c>
      <c r="AJ674">
        <v>0</v>
      </c>
      <c r="AK674">
        <v>241</v>
      </c>
      <c r="AL674">
        <v>0.42</v>
      </c>
    </row>
    <row r="675" spans="1:38" x14ac:dyDescent="0.3">
      <c r="A675" t="s">
        <v>1120</v>
      </c>
      <c r="B675">
        <v>7433</v>
      </c>
      <c r="C675">
        <v>2</v>
      </c>
      <c r="D675" t="s">
        <v>1121</v>
      </c>
      <c r="E675" t="s">
        <v>260</v>
      </c>
      <c r="F675">
        <v>570</v>
      </c>
      <c r="G675">
        <v>30.95</v>
      </c>
      <c r="H675">
        <v>102.34</v>
      </c>
      <c r="I675">
        <v>25.7</v>
      </c>
      <c r="J675">
        <v>84.99</v>
      </c>
      <c r="K675">
        <v>210</v>
      </c>
      <c r="T675">
        <v>3</v>
      </c>
      <c r="U675">
        <v>2</v>
      </c>
      <c r="V675" t="s">
        <v>233</v>
      </c>
      <c r="W675" t="s">
        <v>186</v>
      </c>
      <c r="X675">
        <v>15</v>
      </c>
      <c r="Y675">
        <v>12</v>
      </c>
      <c r="Z675" t="s">
        <v>1122</v>
      </c>
      <c r="AA675" t="s">
        <v>1123</v>
      </c>
      <c r="AB675" t="s">
        <v>229</v>
      </c>
      <c r="AC675" t="s">
        <v>230</v>
      </c>
      <c r="AD675" t="s">
        <v>231</v>
      </c>
      <c r="AE675" t="s">
        <v>1124</v>
      </c>
      <c r="AG675" t="s">
        <v>1125</v>
      </c>
      <c r="AH675">
        <v>0</v>
      </c>
      <c r="AI675">
        <v>0</v>
      </c>
      <c r="AJ675">
        <v>0</v>
      </c>
      <c r="AK675">
        <v>241</v>
      </c>
      <c r="AL675">
        <v>0.42</v>
      </c>
    </row>
    <row r="676" spans="1:38" x14ac:dyDescent="0.3">
      <c r="A676" t="s">
        <v>1120</v>
      </c>
      <c r="B676">
        <v>7433</v>
      </c>
      <c r="C676">
        <v>3</v>
      </c>
      <c r="D676" t="s">
        <v>1121</v>
      </c>
      <c r="E676" t="s">
        <v>260</v>
      </c>
      <c r="F676">
        <v>570</v>
      </c>
      <c r="G676">
        <v>30.98</v>
      </c>
      <c r="H676">
        <v>102.42</v>
      </c>
      <c r="I676">
        <v>25.67</v>
      </c>
      <c r="J676">
        <v>84.87</v>
      </c>
      <c r="K676">
        <v>198</v>
      </c>
      <c r="T676">
        <v>3</v>
      </c>
      <c r="U676">
        <v>2</v>
      </c>
      <c r="V676" t="s">
        <v>233</v>
      </c>
      <c r="W676" t="s">
        <v>151</v>
      </c>
      <c r="X676">
        <v>15</v>
      </c>
      <c r="Y676">
        <v>12</v>
      </c>
      <c r="Z676" t="s">
        <v>1122</v>
      </c>
      <c r="AA676" t="s">
        <v>1123</v>
      </c>
      <c r="AB676" t="s">
        <v>229</v>
      </c>
      <c r="AC676" t="s">
        <v>230</v>
      </c>
      <c r="AD676" t="s">
        <v>231</v>
      </c>
      <c r="AE676" t="s">
        <v>1124</v>
      </c>
      <c r="AG676" t="s">
        <v>1125</v>
      </c>
      <c r="AH676">
        <v>0</v>
      </c>
      <c r="AI676">
        <v>0</v>
      </c>
      <c r="AJ676">
        <v>0</v>
      </c>
      <c r="AK676">
        <v>241</v>
      </c>
      <c r="AL676">
        <v>0.42</v>
      </c>
    </row>
    <row r="677" spans="1:38" x14ac:dyDescent="0.3">
      <c r="A677" t="s">
        <v>1120</v>
      </c>
      <c r="B677">
        <v>7433</v>
      </c>
      <c r="C677">
        <v>4</v>
      </c>
      <c r="D677" t="s">
        <v>1121</v>
      </c>
      <c r="E677" t="s">
        <v>260</v>
      </c>
      <c r="F677">
        <v>570</v>
      </c>
      <c r="G677">
        <v>45.58</v>
      </c>
      <c r="H677">
        <v>150.69999999999999</v>
      </c>
      <c r="I677">
        <v>39.01</v>
      </c>
      <c r="J677">
        <v>128.97999999999999</v>
      </c>
      <c r="K677">
        <v>90</v>
      </c>
      <c r="T677">
        <v>4</v>
      </c>
      <c r="U677">
        <v>2</v>
      </c>
      <c r="V677" t="s">
        <v>233</v>
      </c>
      <c r="W677">
        <v>150</v>
      </c>
      <c r="X677">
        <v>15</v>
      </c>
      <c r="Y677">
        <v>12</v>
      </c>
      <c r="Z677" t="s">
        <v>1122</v>
      </c>
      <c r="AA677" t="s">
        <v>1123</v>
      </c>
      <c r="AB677" t="s">
        <v>229</v>
      </c>
      <c r="AC677" t="s">
        <v>230</v>
      </c>
      <c r="AD677" t="s">
        <v>231</v>
      </c>
      <c r="AE677" t="s">
        <v>1124</v>
      </c>
      <c r="AG677" t="s">
        <v>1125</v>
      </c>
      <c r="AH677">
        <v>0</v>
      </c>
      <c r="AI677">
        <v>0</v>
      </c>
      <c r="AJ677">
        <v>0</v>
      </c>
      <c r="AK677">
        <v>241</v>
      </c>
      <c r="AL677">
        <v>0.42</v>
      </c>
    </row>
    <row r="678" spans="1:38" x14ac:dyDescent="0.3">
      <c r="A678" t="s">
        <v>1120</v>
      </c>
      <c r="B678">
        <v>7427</v>
      </c>
      <c r="C678">
        <v>1</v>
      </c>
      <c r="D678" t="s">
        <v>1126</v>
      </c>
      <c r="E678" t="s">
        <v>329</v>
      </c>
      <c r="F678">
        <v>244</v>
      </c>
      <c r="G678">
        <v>26.83</v>
      </c>
      <c r="H678">
        <v>88.7</v>
      </c>
      <c r="I678">
        <v>18.13</v>
      </c>
      <c r="J678">
        <v>59.94</v>
      </c>
      <c r="K678">
        <v>162</v>
      </c>
      <c r="T678">
        <v>2</v>
      </c>
      <c r="U678">
        <v>1</v>
      </c>
      <c r="V678" t="s">
        <v>226</v>
      </c>
      <c r="W678">
        <v>88</v>
      </c>
      <c r="X678">
        <v>15</v>
      </c>
      <c r="Y678">
        <v>8</v>
      </c>
      <c r="Z678" t="s">
        <v>1127</v>
      </c>
      <c r="AA678" t="s">
        <v>1128</v>
      </c>
      <c r="AB678" t="s">
        <v>229</v>
      </c>
      <c r="AC678" t="s">
        <v>230</v>
      </c>
      <c r="AD678" t="s">
        <v>231</v>
      </c>
      <c r="AE678" t="s">
        <v>1124</v>
      </c>
      <c r="AG678" t="s">
        <v>1129</v>
      </c>
      <c r="AH678">
        <v>0</v>
      </c>
      <c r="AI678">
        <v>0</v>
      </c>
      <c r="AJ678">
        <v>0</v>
      </c>
      <c r="AK678">
        <v>207</v>
      </c>
      <c r="AL678">
        <v>0.85</v>
      </c>
    </row>
    <row r="679" spans="1:38" x14ac:dyDescent="0.3">
      <c r="A679" t="s">
        <v>1120</v>
      </c>
      <c r="B679">
        <v>7427</v>
      </c>
      <c r="C679">
        <v>2</v>
      </c>
      <c r="D679" t="s">
        <v>1126</v>
      </c>
      <c r="E679" t="s">
        <v>329</v>
      </c>
      <c r="F679">
        <v>244</v>
      </c>
      <c r="G679">
        <v>31.31</v>
      </c>
      <c r="H679">
        <v>103.53</v>
      </c>
      <c r="I679">
        <v>21.16</v>
      </c>
      <c r="J679">
        <v>69.959999999999994</v>
      </c>
      <c r="K679">
        <v>30</v>
      </c>
      <c r="T679">
        <v>3</v>
      </c>
      <c r="U679">
        <v>1</v>
      </c>
      <c r="V679" t="s">
        <v>226</v>
      </c>
      <c r="W679">
        <v>103</v>
      </c>
      <c r="X679">
        <v>15</v>
      </c>
      <c r="Y679">
        <v>8</v>
      </c>
      <c r="Z679" t="s">
        <v>1127</v>
      </c>
      <c r="AA679" t="s">
        <v>1128</v>
      </c>
      <c r="AB679" t="s">
        <v>229</v>
      </c>
      <c r="AC679" t="s">
        <v>230</v>
      </c>
      <c r="AD679" t="s">
        <v>231</v>
      </c>
      <c r="AE679" t="s">
        <v>1124</v>
      </c>
      <c r="AG679" t="s">
        <v>1129</v>
      </c>
      <c r="AH679">
        <v>0</v>
      </c>
      <c r="AI679">
        <v>0</v>
      </c>
      <c r="AJ679">
        <v>0</v>
      </c>
      <c r="AK679">
        <v>207</v>
      </c>
      <c r="AL679">
        <v>0.85</v>
      </c>
    </row>
    <row r="680" spans="1:38" x14ac:dyDescent="0.3">
      <c r="A680" t="s">
        <v>1120</v>
      </c>
      <c r="B680">
        <v>7427</v>
      </c>
      <c r="C680">
        <v>3</v>
      </c>
      <c r="D680" t="s">
        <v>1126</v>
      </c>
      <c r="E680" t="s">
        <v>329</v>
      </c>
      <c r="F680">
        <v>244</v>
      </c>
      <c r="G680">
        <v>34.92</v>
      </c>
      <c r="H680">
        <v>115.47</v>
      </c>
      <c r="I680">
        <v>25.67</v>
      </c>
      <c r="J680">
        <v>84.89</v>
      </c>
      <c r="K680">
        <v>52</v>
      </c>
      <c r="T680">
        <v>3</v>
      </c>
      <c r="U680">
        <v>2</v>
      </c>
      <c r="V680" t="s">
        <v>226</v>
      </c>
      <c r="W680">
        <v>115</v>
      </c>
      <c r="X680">
        <v>15</v>
      </c>
      <c r="Y680">
        <v>8</v>
      </c>
      <c r="Z680" t="s">
        <v>1127</v>
      </c>
      <c r="AA680" t="s">
        <v>1128</v>
      </c>
      <c r="AB680" t="s">
        <v>229</v>
      </c>
      <c r="AC680" t="s">
        <v>230</v>
      </c>
      <c r="AD680" t="s">
        <v>231</v>
      </c>
      <c r="AE680" t="s">
        <v>1124</v>
      </c>
      <c r="AG680" t="s">
        <v>1129</v>
      </c>
      <c r="AH680">
        <v>0</v>
      </c>
      <c r="AI680">
        <v>0</v>
      </c>
      <c r="AJ680">
        <v>0</v>
      </c>
      <c r="AK680">
        <v>207</v>
      </c>
      <c r="AL680">
        <v>0.85</v>
      </c>
    </row>
    <row r="681" spans="1:38" x14ac:dyDescent="0.3">
      <c r="A681" t="s">
        <v>1120</v>
      </c>
      <c r="B681">
        <v>26213</v>
      </c>
      <c r="C681">
        <v>1</v>
      </c>
      <c r="D681" t="s">
        <v>1130</v>
      </c>
      <c r="E681" t="s">
        <v>1131</v>
      </c>
      <c r="F681">
        <v>427</v>
      </c>
      <c r="G681">
        <v>33.020000000000003</v>
      </c>
      <c r="H681">
        <v>109.17</v>
      </c>
      <c r="I681">
        <v>25.68</v>
      </c>
      <c r="J681">
        <v>84.9</v>
      </c>
      <c r="K681">
        <v>173</v>
      </c>
      <c r="T681">
        <v>3</v>
      </c>
      <c r="U681">
        <v>2</v>
      </c>
      <c r="V681" t="s">
        <v>233</v>
      </c>
      <c r="W681">
        <v>109</v>
      </c>
      <c r="X681">
        <v>15</v>
      </c>
      <c r="Y681">
        <v>12</v>
      </c>
      <c r="Z681" t="s">
        <v>1132</v>
      </c>
      <c r="AA681" t="s">
        <v>1133</v>
      </c>
      <c r="AB681" t="s">
        <v>229</v>
      </c>
      <c r="AC681" t="s">
        <v>230</v>
      </c>
      <c r="AD681" t="s">
        <v>231</v>
      </c>
      <c r="AE681" t="s">
        <v>1124</v>
      </c>
      <c r="AG681" t="s">
        <v>1134</v>
      </c>
      <c r="AH681">
        <v>0</v>
      </c>
      <c r="AI681">
        <v>204</v>
      </c>
      <c r="AJ681">
        <v>18</v>
      </c>
      <c r="AK681">
        <v>684</v>
      </c>
      <c r="AL681">
        <v>1.6</v>
      </c>
    </row>
    <row r="682" spans="1:38" x14ac:dyDescent="0.3">
      <c r="A682" t="s">
        <v>1120</v>
      </c>
      <c r="B682">
        <v>26213</v>
      </c>
      <c r="C682">
        <v>2</v>
      </c>
      <c r="D682" t="s">
        <v>1130</v>
      </c>
      <c r="E682" t="s">
        <v>1131</v>
      </c>
      <c r="F682">
        <v>427</v>
      </c>
      <c r="G682">
        <v>39.869999999999997</v>
      </c>
      <c r="H682">
        <v>131.83000000000001</v>
      </c>
      <c r="I682">
        <v>32.270000000000003</v>
      </c>
      <c r="J682">
        <v>106.68</v>
      </c>
      <c r="K682">
        <v>84</v>
      </c>
      <c r="T682">
        <v>3</v>
      </c>
      <c r="U682">
        <v>2</v>
      </c>
      <c r="V682" t="s">
        <v>233</v>
      </c>
      <c r="W682">
        <v>131</v>
      </c>
      <c r="X682">
        <v>15</v>
      </c>
      <c r="Y682">
        <v>12</v>
      </c>
      <c r="Z682" t="s">
        <v>1132</v>
      </c>
      <c r="AA682" t="s">
        <v>1133</v>
      </c>
      <c r="AB682" t="s">
        <v>229</v>
      </c>
      <c r="AC682" t="s">
        <v>230</v>
      </c>
      <c r="AD682" t="s">
        <v>231</v>
      </c>
      <c r="AE682" t="s">
        <v>1124</v>
      </c>
      <c r="AG682" t="s">
        <v>1134</v>
      </c>
      <c r="AH682">
        <v>0</v>
      </c>
      <c r="AI682">
        <v>204</v>
      </c>
      <c r="AJ682">
        <v>18</v>
      </c>
      <c r="AK682">
        <v>684</v>
      </c>
      <c r="AL682">
        <v>1.6</v>
      </c>
    </row>
    <row r="683" spans="1:38" x14ac:dyDescent="0.3">
      <c r="A683" t="s">
        <v>1120</v>
      </c>
      <c r="B683">
        <v>26213</v>
      </c>
      <c r="C683">
        <v>3</v>
      </c>
      <c r="D683" t="s">
        <v>1130</v>
      </c>
      <c r="E683" t="s">
        <v>1131</v>
      </c>
      <c r="F683">
        <v>427</v>
      </c>
      <c r="G683">
        <v>49.05</v>
      </c>
      <c r="H683">
        <v>162.18</v>
      </c>
      <c r="I683">
        <v>40.020000000000003</v>
      </c>
      <c r="J683">
        <v>132.32</v>
      </c>
      <c r="K683">
        <v>170</v>
      </c>
      <c r="T683">
        <v>4</v>
      </c>
      <c r="U683">
        <v>2</v>
      </c>
      <c r="V683" t="s">
        <v>233</v>
      </c>
      <c r="W683">
        <v>162</v>
      </c>
      <c r="X683">
        <v>15</v>
      </c>
      <c r="Y683">
        <v>12</v>
      </c>
      <c r="Z683" t="s">
        <v>1132</v>
      </c>
      <c r="AA683" t="s">
        <v>1133</v>
      </c>
      <c r="AB683" t="s">
        <v>229</v>
      </c>
      <c r="AC683" t="s">
        <v>230</v>
      </c>
      <c r="AD683" t="s">
        <v>231</v>
      </c>
      <c r="AE683" t="s">
        <v>1124</v>
      </c>
      <c r="AG683" t="s">
        <v>1134</v>
      </c>
      <c r="AH683">
        <v>0</v>
      </c>
      <c r="AI683">
        <v>204</v>
      </c>
      <c r="AJ683">
        <v>18</v>
      </c>
      <c r="AK683">
        <v>684</v>
      </c>
      <c r="AL683">
        <v>1.6</v>
      </c>
    </row>
    <row r="684" spans="1:38" x14ac:dyDescent="0.3">
      <c r="A684" t="s">
        <v>1120</v>
      </c>
      <c r="B684">
        <v>15475</v>
      </c>
      <c r="C684">
        <v>1</v>
      </c>
      <c r="D684" t="s">
        <v>1135</v>
      </c>
      <c r="E684" t="s">
        <v>795</v>
      </c>
      <c r="F684">
        <v>290</v>
      </c>
      <c r="G684">
        <v>17.010000000000002</v>
      </c>
      <c r="H684">
        <v>56.26</v>
      </c>
      <c r="I684">
        <v>15.38</v>
      </c>
      <c r="J684">
        <v>50.86</v>
      </c>
      <c r="K684">
        <v>100</v>
      </c>
      <c r="T684">
        <v>2</v>
      </c>
      <c r="U684">
        <v>1</v>
      </c>
      <c r="V684" t="s">
        <v>233</v>
      </c>
      <c r="W684">
        <v>56</v>
      </c>
      <c r="X684">
        <v>5</v>
      </c>
      <c r="Y684">
        <v>5</v>
      </c>
      <c r="Z684" t="s">
        <v>1136</v>
      </c>
      <c r="AA684" t="s">
        <v>1137</v>
      </c>
      <c r="AB684" t="s">
        <v>229</v>
      </c>
      <c r="AC684" t="s">
        <v>230</v>
      </c>
      <c r="AD684" t="s">
        <v>231</v>
      </c>
      <c r="AE684" t="s">
        <v>1124</v>
      </c>
      <c r="AG684" t="s">
        <v>1138</v>
      </c>
      <c r="AH684">
        <v>0</v>
      </c>
      <c r="AI684">
        <v>0</v>
      </c>
      <c r="AJ684">
        <v>0</v>
      </c>
      <c r="AK684">
        <v>0</v>
      </c>
      <c r="AL684">
        <v>0</v>
      </c>
    </row>
    <row r="685" spans="1:38" x14ac:dyDescent="0.3">
      <c r="A685" t="s">
        <v>1120</v>
      </c>
      <c r="B685">
        <v>15475</v>
      </c>
      <c r="C685">
        <v>2</v>
      </c>
      <c r="D685" t="s">
        <v>1135</v>
      </c>
      <c r="E685" t="s">
        <v>795</v>
      </c>
      <c r="F685">
        <v>290</v>
      </c>
      <c r="G685">
        <v>18.149999999999999</v>
      </c>
      <c r="H685">
        <v>60.03</v>
      </c>
      <c r="I685">
        <v>16.52</v>
      </c>
      <c r="J685">
        <v>54.63</v>
      </c>
      <c r="K685">
        <v>190</v>
      </c>
      <c r="T685">
        <v>2</v>
      </c>
      <c r="U685">
        <v>1</v>
      </c>
      <c r="V685" t="s">
        <v>233</v>
      </c>
      <c r="W685">
        <v>60</v>
      </c>
      <c r="X685">
        <v>5</v>
      </c>
      <c r="Y685">
        <v>5</v>
      </c>
      <c r="Z685" t="s">
        <v>1136</v>
      </c>
      <c r="AA685" t="s">
        <v>1137</v>
      </c>
      <c r="AB685" t="s">
        <v>229</v>
      </c>
      <c r="AC685" t="s">
        <v>230</v>
      </c>
      <c r="AD685" t="s">
        <v>231</v>
      </c>
      <c r="AE685" t="s">
        <v>1124</v>
      </c>
      <c r="AG685" t="s">
        <v>1138</v>
      </c>
      <c r="AH685">
        <v>0</v>
      </c>
      <c r="AI685">
        <v>0</v>
      </c>
      <c r="AJ685">
        <v>0</v>
      </c>
      <c r="AK685">
        <v>0</v>
      </c>
      <c r="AL685">
        <v>0</v>
      </c>
    </row>
    <row r="686" spans="1:38" x14ac:dyDescent="0.3">
      <c r="A686" t="s">
        <v>1120</v>
      </c>
      <c r="B686">
        <v>109147</v>
      </c>
      <c r="C686">
        <v>1</v>
      </c>
      <c r="D686" t="s">
        <v>1139</v>
      </c>
      <c r="E686" t="s">
        <v>685</v>
      </c>
      <c r="F686">
        <v>72</v>
      </c>
      <c r="G686">
        <v>33.200000000000003</v>
      </c>
      <c r="H686">
        <v>109.78</v>
      </c>
      <c r="I686">
        <v>25.7</v>
      </c>
      <c r="J686">
        <v>84.96</v>
      </c>
      <c r="K686">
        <v>54</v>
      </c>
      <c r="T686">
        <v>3</v>
      </c>
      <c r="U686">
        <v>2</v>
      </c>
      <c r="V686" t="s">
        <v>233</v>
      </c>
      <c r="W686">
        <v>109</v>
      </c>
      <c r="X686">
        <v>9</v>
      </c>
      <c r="Y686">
        <v>9</v>
      </c>
      <c r="Z686" t="s">
        <v>1140</v>
      </c>
      <c r="AA686" t="s">
        <v>1141</v>
      </c>
      <c r="AB686" t="s">
        <v>229</v>
      </c>
      <c r="AC686" t="s">
        <v>230</v>
      </c>
      <c r="AD686" t="s">
        <v>231</v>
      </c>
      <c r="AE686" t="s">
        <v>1124</v>
      </c>
      <c r="AG686" t="s">
        <v>1142</v>
      </c>
      <c r="AH686">
        <v>0</v>
      </c>
      <c r="AI686">
        <v>0</v>
      </c>
      <c r="AJ686">
        <v>0</v>
      </c>
      <c r="AK686">
        <v>0</v>
      </c>
      <c r="AL686">
        <v>0</v>
      </c>
    </row>
    <row r="687" spans="1:38" x14ac:dyDescent="0.3">
      <c r="A687" t="s">
        <v>1120</v>
      </c>
      <c r="B687">
        <v>109147</v>
      </c>
      <c r="C687">
        <v>2</v>
      </c>
      <c r="D687" t="s">
        <v>1139</v>
      </c>
      <c r="E687" t="s">
        <v>685</v>
      </c>
      <c r="F687">
        <v>72</v>
      </c>
      <c r="G687">
        <v>44.89</v>
      </c>
      <c r="H687">
        <v>148.41</v>
      </c>
      <c r="I687">
        <v>36.020000000000003</v>
      </c>
      <c r="J687">
        <v>119.08</v>
      </c>
      <c r="K687">
        <v>18</v>
      </c>
      <c r="T687">
        <v>4</v>
      </c>
      <c r="U687">
        <v>2</v>
      </c>
      <c r="V687" t="s">
        <v>233</v>
      </c>
      <c r="W687">
        <v>148</v>
      </c>
      <c r="X687">
        <v>9</v>
      </c>
      <c r="Y687">
        <v>9</v>
      </c>
      <c r="Z687" t="s">
        <v>1140</v>
      </c>
      <c r="AA687" t="s">
        <v>1141</v>
      </c>
      <c r="AB687" t="s">
        <v>229</v>
      </c>
      <c r="AC687" t="s">
        <v>230</v>
      </c>
      <c r="AD687" t="s">
        <v>231</v>
      </c>
      <c r="AE687" t="s">
        <v>1124</v>
      </c>
      <c r="AG687" t="s">
        <v>1142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38" x14ac:dyDescent="0.3">
      <c r="A688" t="s">
        <v>1120</v>
      </c>
      <c r="B688">
        <v>7438</v>
      </c>
      <c r="C688">
        <v>1</v>
      </c>
      <c r="D688" t="s">
        <v>1143</v>
      </c>
      <c r="E688" t="s">
        <v>1144</v>
      </c>
      <c r="F688">
        <v>1200</v>
      </c>
      <c r="G688">
        <v>13.45</v>
      </c>
      <c r="H688">
        <v>44.47</v>
      </c>
      <c r="I688">
        <v>11.93</v>
      </c>
      <c r="J688">
        <v>39.450000000000003</v>
      </c>
      <c r="K688">
        <v>5</v>
      </c>
      <c r="T688">
        <v>2</v>
      </c>
      <c r="U688">
        <v>1</v>
      </c>
      <c r="V688" t="s">
        <v>233</v>
      </c>
      <c r="W688">
        <v>44</v>
      </c>
      <c r="X688">
        <v>5</v>
      </c>
      <c r="Y688">
        <v>5</v>
      </c>
      <c r="Z688" t="s">
        <v>1145</v>
      </c>
      <c r="AA688" t="s">
        <v>1146</v>
      </c>
      <c r="AB688" t="s">
        <v>229</v>
      </c>
      <c r="AC688" t="s">
        <v>230</v>
      </c>
      <c r="AD688" t="s">
        <v>231</v>
      </c>
      <c r="AE688" t="s">
        <v>1124</v>
      </c>
      <c r="AG688" t="s">
        <v>1147</v>
      </c>
      <c r="AH688">
        <v>0</v>
      </c>
      <c r="AI688">
        <v>0</v>
      </c>
      <c r="AJ688">
        <v>0</v>
      </c>
      <c r="AK688">
        <v>840</v>
      </c>
      <c r="AL688">
        <v>0.7</v>
      </c>
    </row>
    <row r="689" spans="1:38" x14ac:dyDescent="0.3">
      <c r="A689" t="s">
        <v>1120</v>
      </c>
      <c r="B689">
        <v>7438</v>
      </c>
      <c r="C689">
        <v>2</v>
      </c>
      <c r="D689" t="s">
        <v>1143</v>
      </c>
      <c r="E689" t="s">
        <v>1144</v>
      </c>
      <c r="F689">
        <v>1200</v>
      </c>
      <c r="G689">
        <v>13.5</v>
      </c>
      <c r="H689">
        <v>44.65</v>
      </c>
      <c r="I689">
        <v>11.98</v>
      </c>
      <c r="J689">
        <v>39.630000000000003</v>
      </c>
      <c r="K689">
        <v>1</v>
      </c>
      <c r="T689">
        <v>2</v>
      </c>
      <c r="U689">
        <v>1</v>
      </c>
      <c r="V689" t="s">
        <v>233</v>
      </c>
      <c r="W689" t="s">
        <v>187</v>
      </c>
      <c r="X689">
        <v>5</v>
      </c>
      <c r="Y689">
        <v>5</v>
      </c>
      <c r="Z689" t="s">
        <v>1145</v>
      </c>
      <c r="AA689" t="s">
        <v>1146</v>
      </c>
      <c r="AB689" t="s">
        <v>229</v>
      </c>
      <c r="AC689" t="s">
        <v>230</v>
      </c>
      <c r="AD689" t="s">
        <v>231</v>
      </c>
      <c r="AE689" t="s">
        <v>1124</v>
      </c>
      <c r="AG689" t="s">
        <v>1147</v>
      </c>
      <c r="AH689">
        <v>0</v>
      </c>
      <c r="AI689">
        <v>0</v>
      </c>
      <c r="AJ689">
        <v>0</v>
      </c>
      <c r="AK689">
        <v>840</v>
      </c>
      <c r="AL689">
        <v>0.7</v>
      </c>
    </row>
    <row r="690" spans="1:38" x14ac:dyDescent="0.3">
      <c r="A690" t="s">
        <v>1120</v>
      </c>
      <c r="B690">
        <v>7438</v>
      </c>
      <c r="C690">
        <v>3</v>
      </c>
      <c r="D690" t="s">
        <v>1143</v>
      </c>
      <c r="E690" t="s">
        <v>1144</v>
      </c>
      <c r="F690">
        <v>1200</v>
      </c>
      <c r="G690">
        <v>13.64</v>
      </c>
      <c r="H690">
        <v>45.12</v>
      </c>
      <c r="I690">
        <v>12.01</v>
      </c>
      <c r="J690">
        <v>39.72</v>
      </c>
      <c r="K690">
        <v>390</v>
      </c>
      <c r="T690">
        <v>2</v>
      </c>
      <c r="U690">
        <v>1</v>
      </c>
      <c r="V690" t="s">
        <v>233</v>
      </c>
      <c r="W690" t="s">
        <v>188</v>
      </c>
      <c r="X690">
        <v>5</v>
      </c>
      <c r="Y690">
        <v>5</v>
      </c>
      <c r="Z690" t="s">
        <v>1145</v>
      </c>
      <c r="AA690" t="s">
        <v>1146</v>
      </c>
      <c r="AB690" t="s">
        <v>229</v>
      </c>
      <c r="AC690" t="s">
        <v>230</v>
      </c>
      <c r="AD690" t="s">
        <v>231</v>
      </c>
      <c r="AE690" t="s">
        <v>1124</v>
      </c>
      <c r="AG690" t="s">
        <v>1147</v>
      </c>
      <c r="AH690">
        <v>0</v>
      </c>
      <c r="AI690">
        <v>0</v>
      </c>
      <c r="AJ690">
        <v>0</v>
      </c>
      <c r="AK690">
        <v>840</v>
      </c>
      <c r="AL690">
        <v>0.7</v>
      </c>
    </row>
    <row r="691" spans="1:38" x14ac:dyDescent="0.3">
      <c r="A691" t="s">
        <v>1120</v>
      </c>
      <c r="B691">
        <v>7438</v>
      </c>
      <c r="C691">
        <v>4</v>
      </c>
      <c r="D691" t="s">
        <v>1143</v>
      </c>
      <c r="E691" t="s">
        <v>1144</v>
      </c>
      <c r="F691">
        <v>1200</v>
      </c>
      <c r="G691">
        <v>15.88</v>
      </c>
      <c r="H691">
        <v>52.5</v>
      </c>
      <c r="I691">
        <v>14.24</v>
      </c>
      <c r="J691">
        <v>47.1</v>
      </c>
      <c r="K691">
        <v>151</v>
      </c>
      <c r="T691">
        <v>2</v>
      </c>
      <c r="U691">
        <v>1</v>
      </c>
      <c r="V691" t="s">
        <v>233</v>
      </c>
      <c r="W691" t="s">
        <v>167</v>
      </c>
      <c r="X691">
        <v>5</v>
      </c>
      <c r="Y691">
        <v>5</v>
      </c>
      <c r="Z691" t="s">
        <v>1145</v>
      </c>
      <c r="AA691" t="s">
        <v>1146</v>
      </c>
      <c r="AB691" t="s">
        <v>229</v>
      </c>
      <c r="AC691" t="s">
        <v>230</v>
      </c>
      <c r="AD691" t="s">
        <v>231</v>
      </c>
      <c r="AE691" t="s">
        <v>1124</v>
      </c>
      <c r="AG691" t="s">
        <v>1147</v>
      </c>
      <c r="AH691">
        <v>0</v>
      </c>
      <c r="AI691">
        <v>0</v>
      </c>
      <c r="AJ691">
        <v>0</v>
      </c>
      <c r="AK691">
        <v>840</v>
      </c>
      <c r="AL691">
        <v>0.7</v>
      </c>
    </row>
    <row r="692" spans="1:38" x14ac:dyDescent="0.3">
      <c r="A692" t="s">
        <v>1120</v>
      </c>
      <c r="B692">
        <v>7438</v>
      </c>
      <c r="C692">
        <v>5</v>
      </c>
      <c r="D692" t="s">
        <v>1143</v>
      </c>
      <c r="E692" t="s">
        <v>1144</v>
      </c>
      <c r="F692">
        <v>1200</v>
      </c>
      <c r="G692">
        <v>15.77</v>
      </c>
      <c r="H692">
        <v>52.14</v>
      </c>
      <c r="I692">
        <v>14.13</v>
      </c>
      <c r="J692">
        <v>46.74</v>
      </c>
      <c r="K692">
        <v>80</v>
      </c>
      <c r="T692">
        <v>2</v>
      </c>
      <c r="U692">
        <v>1</v>
      </c>
      <c r="V692" t="s">
        <v>233</v>
      </c>
      <c r="W692" t="s">
        <v>189</v>
      </c>
      <c r="X692">
        <v>5</v>
      </c>
      <c r="Y692">
        <v>5</v>
      </c>
      <c r="Z692" t="s">
        <v>1145</v>
      </c>
      <c r="AA692" t="s">
        <v>1146</v>
      </c>
      <c r="AB692" t="s">
        <v>229</v>
      </c>
      <c r="AC692" t="s">
        <v>230</v>
      </c>
      <c r="AD692" t="s">
        <v>231</v>
      </c>
      <c r="AE692" t="s">
        <v>1124</v>
      </c>
      <c r="AG692" t="s">
        <v>1147</v>
      </c>
      <c r="AH692">
        <v>0</v>
      </c>
      <c r="AI692">
        <v>0</v>
      </c>
      <c r="AJ692">
        <v>0</v>
      </c>
      <c r="AK692">
        <v>840</v>
      </c>
      <c r="AL692">
        <v>0.7</v>
      </c>
    </row>
    <row r="693" spans="1:38" x14ac:dyDescent="0.3">
      <c r="A693" t="s">
        <v>1120</v>
      </c>
      <c r="B693">
        <v>7438</v>
      </c>
      <c r="C693">
        <v>6</v>
      </c>
      <c r="D693" t="s">
        <v>1143</v>
      </c>
      <c r="E693" t="s">
        <v>1144</v>
      </c>
      <c r="F693">
        <v>1200</v>
      </c>
      <c r="G693">
        <v>15.96</v>
      </c>
      <c r="H693">
        <v>52.79</v>
      </c>
      <c r="I693">
        <v>14.16</v>
      </c>
      <c r="J693">
        <v>46.83</v>
      </c>
      <c r="K693">
        <v>4</v>
      </c>
      <c r="T693">
        <v>2</v>
      </c>
      <c r="U693">
        <v>1</v>
      </c>
      <c r="V693" t="s">
        <v>233</v>
      </c>
      <c r="W693" t="s">
        <v>168</v>
      </c>
      <c r="X693">
        <v>5</v>
      </c>
      <c r="Y693">
        <v>5</v>
      </c>
      <c r="Z693" t="s">
        <v>1145</v>
      </c>
      <c r="AA693" t="s">
        <v>1146</v>
      </c>
      <c r="AB693" t="s">
        <v>229</v>
      </c>
      <c r="AC693" t="s">
        <v>230</v>
      </c>
      <c r="AD693" t="s">
        <v>231</v>
      </c>
      <c r="AE693" t="s">
        <v>1124</v>
      </c>
      <c r="AG693" t="s">
        <v>1147</v>
      </c>
      <c r="AH693">
        <v>0</v>
      </c>
      <c r="AI693">
        <v>0</v>
      </c>
      <c r="AJ693">
        <v>0</v>
      </c>
      <c r="AK693">
        <v>840</v>
      </c>
      <c r="AL693">
        <v>0.7</v>
      </c>
    </row>
    <row r="694" spans="1:38" x14ac:dyDescent="0.3">
      <c r="A694" t="s">
        <v>1120</v>
      </c>
      <c r="B694">
        <v>7438</v>
      </c>
      <c r="C694">
        <v>7</v>
      </c>
      <c r="D694" t="s">
        <v>1143</v>
      </c>
      <c r="E694" t="s">
        <v>1144</v>
      </c>
      <c r="F694">
        <v>1200</v>
      </c>
      <c r="G694">
        <v>17.809999999999999</v>
      </c>
      <c r="H694">
        <v>58.88</v>
      </c>
      <c r="I694">
        <v>16.28</v>
      </c>
      <c r="J694">
        <v>53.85</v>
      </c>
      <c r="K694">
        <v>306</v>
      </c>
      <c r="T694">
        <v>2</v>
      </c>
      <c r="U694">
        <v>1</v>
      </c>
      <c r="V694" t="s">
        <v>233</v>
      </c>
      <c r="W694" t="s">
        <v>190</v>
      </c>
      <c r="X694">
        <v>5</v>
      </c>
      <c r="Y694">
        <v>5</v>
      </c>
      <c r="Z694" t="s">
        <v>1145</v>
      </c>
      <c r="AA694" t="s">
        <v>1146</v>
      </c>
      <c r="AB694" t="s">
        <v>229</v>
      </c>
      <c r="AC694" t="s">
        <v>230</v>
      </c>
      <c r="AD694" t="s">
        <v>231</v>
      </c>
      <c r="AE694" t="s">
        <v>1124</v>
      </c>
      <c r="AG694" t="s">
        <v>1147</v>
      </c>
      <c r="AH694">
        <v>0</v>
      </c>
      <c r="AI694">
        <v>0</v>
      </c>
      <c r="AJ694">
        <v>0</v>
      </c>
      <c r="AK694">
        <v>840</v>
      </c>
      <c r="AL694">
        <v>0.7</v>
      </c>
    </row>
    <row r="695" spans="1:38" x14ac:dyDescent="0.3">
      <c r="A695" t="s">
        <v>1120</v>
      </c>
      <c r="B695">
        <v>7438</v>
      </c>
      <c r="C695">
        <v>8</v>
      </c>
      <c r="D695" t="s">
        <v>1143</v>
      </c>
      <c r="E695" t="s">
        <v>1144</v>
      </c>
      <c r="F695">
        <v>1200</v>
      </c>
      <c r="G695">
        <v>17.95</v>
      </c>
      <c r="H695">
        <v>59.35</v>
      </c>
      <c r="I695">
        <v>16.32</v>
      </c>
      <c r="J695">
        <v>53.97</v>
      </c>
      <c r="K695">
        <v>2</v>
      </c>
      <c r="T695">
        <v>2</v>
      </c>
      <c r="U695">
        <v>1</v>
      </c>
      <c r="V695" t="s">
        <v>233</v>
      </c>
      <c r="W695" t="s">
        <v>169</v>
      </c>
      <c r="X695">
        <v>5</v>
      </c>
      <c r="Y695">
        <v>5</v>
      </c>
      <c r="Z695" t="s">
        <v>1145</v>
      </c>
      <c r="AA695" t="s">
        <v>1146</v>
      </c>
      <c r="AB695" t="s">
        <v>229</v>
      </c>
      <c r="AC695" t="s">
        <v>230</v>
      </c>
      <c r="AD695" t="s">
        <v>231</v>
      </c>
      <c r="AE695" t="s">
        <v>1124</v>
      </c>
      <c r="AG695" t="s">
        <v>1147</v>
      </c>
      <c r="AH695">
        <v>0</v>
      </c>
      <c r="AI695">
        <v>0</v>
      </c>
      <c r="AJ695">
        <v>0</v>
      </c>
      <c r="AK695">
        <v>840</v>
      </c>
      <c r="AL695">
        <v>0.7</v>
      </c>
    </row>
    <row r="696" spans="1:38" x14ac:dyDescent="0.3">
      <c r="A696" t="s">
        <v>1120</v>
      </c>
      <c r="B696">
        <v>7438</v>
      </c>
      <c r="C696">
        <v>9</v>
      </c>
      <c r="D696" t="s">
        <v>1143</v>
      </c>
      <c r="E696" t="s">
        <v>1144</v>
      </c>
      <c r="F696">
        <v>1200</v>
      </c>
      <c r="G696">
        <v>17.97</v>
      </c>
      <c r="H696">
        <v>59.41</v>
      </c>
      <c r="I696">
        <v>16.34</v>
      </c>
      <c r="J696">
        <v>54.02</v>
      </c>
      <c r="K696">
        <v>2</v>
      </c>
      <c r="T696">
        <v>2</v>
      </c>
      <c r="U696">
        <v>1</v>
      </c>
      <c r="V696" t="s">
        <v>233</v>
      </c>
      <c r="W696" t="s">
        <v>171</v>
      </c>
      <c r="X696">
        <v>5</v>
      </c>
      <c r="Y696">
        <v>5</v>
      </c>
      <c r="Z696" t="s">
        <v>1145</v>
      </c>
      <c r="AA696" t="s">
        <v>1146</v>
      </c>
      <c r="AB696" t="s">
        <v>229</v>
      </c>
      <c r="AC696" t="s">
        <v>230</v>
      </c>
      <c r="AD696" t="s">
        <v>231</v>
      </c>
      <c r="AE696" t="s">
        <v>1124</v>
      </c>
      <c r="AG696" t="s">
        <v>1147</v>
      </c>
      <c r="AH696">
        <v>0</v>
      </c>
      <c r="AI696">
        <v>0</v>
      </c>
      <c r="AJ696">
        <v>0</v>
      </c>
      <c r="AK696">
        <v>840</v>
      </c>
      <c r="AL696">
        <v>0.7</v>
      </c>
    </row>
    <row r="697" spans="1:38" x14ac:dyDescent="0.3">
      <c r="A697" t="s">
        <v>1120</v>
      </c>
      <c r="B697">
        <v>7438</v>
      </c>
      <c r="C697">
        <v>10</v>
      </c>
      <c r="D697" t="s">
        <v>1143</v>
      </c>
      <c r="E697" t="s">
        <v>1144</v>
      </c>
      <c r="F697">
        <v>1200</v>
      </c>
      <c r="G697">
        <v>20.43</v>
      </c>
      <c r="H697">
        <v>67.540000000000006</v>
      </c>
      <c r="I697">
        <v>18.68</v>
      </c>
      <c r="J697">
        <v>61.77</v>
      </c>
      <c r="K697">
        <v>246</v>
      </c>
      <c r="T697">
        <v>3</v>
      </c>
      <c r="U697">
        <v>1</v>
      </c>
      <c r="V697" t="s">
        <v>233</v>
      </c>
      <c r="W697" t="s">
        <v>191</v>
      </c>
      <c r="X697">
        <v>5</v>
      </c>
      <c r="Y697">
        <v>5</v>
      </c>
      <c r="Z697" t="s">
        <v>1145</v>
      </c>
      <c r="AA697" t="s">
        <v>1146</v>
      </c>
      <c r="AB697" t="s">
        <v>229</v>
      </c>
      <c r="AC697" t="s">
        <v>230</v>
      </c>
      <c r="AD697" t="s">
        <v>231</v>
      </c>
      <c r="AE697" t="s">
        <v>1124</v>
      </c>
      <c r="AG697" t="s">
        <v>1147</v>
      </c>
      <c r="AH697">
        <v>0</v>
      </c>
      <c r="AI697">
        <v>0</v>
      </c>
      <c r="AJ697">
        <v>0</v>
      </c>
      <c r="AK697">
        <v>840</v>
      </c>
      <c r="AL697">
        <v>0.7</v>
      </c>
    </row>
    <row r="698" spans="1:38" x14ac:dyDescent="0.3">
      <c r="A698" t="s">
        <v>1120</v>
      </c>
      <c r="B698">
        <v>7438</v>
      </c>
      <c r="C698">
        <v>11</v>
      </c>
      <c r="D698" t="s">
        <v>1143</v>
      </c>
      <c r="E698" t="s">
        <v>1144</v>
      </c>
      <c r="F698">
        <v>1200</v>
      </c>
      <c r="G698">
        <v>20.53</v>
      </c>
      <c r="H698">
        <v>67.88</v>
      </c>
      <c r="I698">
        <v>18.670000000000002</v>
      </c>
      <c r="J698">
        <v>61.72</v>
      </c>
      <c r="K698">
        <v>13</v>
      </c>
      <c r="T698">
        <v>3</v>
      </c>
      <c r="U698">
        <v>1</v>
      </c>
      <c r="V698" t="s">
        <v>233</v>
      </c>
      <c r="W698" t="s">
        <v>192</v>
      </c>
      <c r="X698">
        <v>5</v>
      </c>
      <c r="Y698">
        <v>5</v>
      </c>
      <c r="Z698" t="s">
        <v>1145</v>
      </c>
      <c r="AA698" t="s">
        <v>1146</v>
      </c>
      <c r="AB698" t="s">
        <v>229</v>
      </c>
      <c r="AC698" t="s">
        <v>230</v>
      </c>
      <c r="AD698" t="s">
        <v>231</v>
      </c>
      <c r="AE698" t="s">
        <v>1124</v>
      </c>
      <c r="AG698" t="s">
        <v>1147</v>
      </c>
      <c r="AH698">
        <v>0</v>
      </c>
      <c r="AI698">
        <v>0</v>
      </c>
      <c r="AJ698">
        <v>0</v>
      </c>
      <c r="AK698">
        <v>840</v>
      </c>
      <c r="AL698">
        <v>0.7</v>
      </c>
    </row>
    <row r="699" spans="1:38" x14ac:dyDescent="0.3">
      <c r="A699" t="s">
        <v>1120</v>
      </c>
      <c r="B699">
        <v>13906</v>
      </c>
      <c r="C699">
        <v>1</v>
      </c>
      <c r="D699" t="s">
        <v>958</v>
      </c>
      <c r="E699" t="s">
        <v>1148</v>
      </c>
      <c r="F699">
        <v>564</v>
      </c>
      <c r="G699">
        <v>23.37</v>
      </c>
      <c r="H699">
        <v>77.27</v>
      </c>
      <c r="I699">
        <v>18.13</v>
      </c>
      <c r="J699">
        <v>59.94</v>
      </c>
      <c r="K699">
        <v>264</v>
      </c>
      <c r="T699">
        <v>3</v>
      </c>
      <c r="U699">
        <v>1</v>
      </c>
      <c r="V699" t="s">
        <v>233</v>
      </c>
      <c r="W699">
        <v>77</v>
      </c>
      <c r="X699">
        <v>11</v>
      </c>
      <c r="Y699">
        <v>10</v>
      </c>
      <c r="Z699" t="s">
        <v>1149</v>
      </c>
      <c r="AA699" t="s">
        <v>1150</v>
      </c>
      <c r="AB699" t="s">
        <v>229</v>
      </c>
      <c r="AC699" t="s">
        <v>230</v>
      </c>
      <c r="AD699" t="s">
        <v>231</v>
      </c>
      <c r="AE699" t="s">
        <v>1124</v>
      </c>
      <c r="AG699" t="s">
        <v>1151</v>
      </c>
      <c r="AH699">
        <v>0</v>
      </c>
      <c r="AI699">
        <v>202</v>
      </c>
      <c r="AJ699">
        <v>27</v>
      </c>
      <c r="AK699">
        <v>509</v>
      </c>
      <c r="AL699">
        <v>0.9</v>
      </c>
    </row>
    <row r="700" spans="1:38" x14ac:dyDescent="0.3">
      <c r="A700" t="s">
        <v>1120</v>
      </c>
      <c r="B700">
        <v>13906</v>
      </c>
      <c r="C700">
        <v>2</v>
      </c>
      <c r="D700" t="s">
        <v>958</v>
      </c>
      <c r="E700" t="s">
        <v>1148</v>
      </c>
      <c r="F700">
        <v>564</v>
      </c>
      <c r="G700">
        <v>32.630000000000003</v>
      </c>
      <c r="H700">
        <v>107.87</v>
      </c>
      <c r="I700">
        <v>25.65</v>
      </c>
      <c r="J700">
        <v>84.81</v>
      </c>
      <c r="K700">
        <v>220</v>
      </c>
      <c r="T700">
        <v>3</v>
      </c>
      <c r="U700">
        <v>2</v>
      </c>
      <c r="V700" t="s">
        <v>233</v>
      </c>
      <c r="W700">
        <v>107</v>
      </c>
      <c r="X700">
        <v>11</v>
      </c>
      <c r="Y700">
        <v>10</v>
      </c>
      <c r="Z700" t="s">
        <v>1149</v>
      </c>
      <c r="AA700" t="s">
        <v>1150</v>
      </c>
      <c r="AB700" t="s">
        <v>229</v>
      </c>
      <c r="AC700" t="s">
        <v>230</v>
      </c>
      <c r="AD700" t="s">
        <v>231</v>
      </c>
      <c r="AE700" t="s">
        <v>1124</v>
      </c>
      <c r="AG700" t="s">
        <v>1151</v>
      </c>
      <c r="AH700">
        <v>0</v>
      </c>
      <c r="AI700">
        <v>202</v>
      </c>
      <c r="AJ700">
        <v>27</v>
      </c>
      <c r="AK700">
        <v>509</v>
      </c>
      <c r="AL700">
        <v>0.9</v>
      </c>
    </row>
    <row r="701" spans="1:38" x14ac:dyDescent="0.3">
      <c r="A701" t="s">
        <v>1120</v>
      </c>
      <c r="B701">
        <v>13906</v>
      </c>
      <c r="C701">
        <v>3</v>
      </c>
      <c r="D701" t="s">
        <v>958</v>
      </c>
      <c r="E701" t="s">
        <v>1148</v>
      </c>
      <c r="F701">
        <v>564</v>
      </c>
      <c r="G701">
        <v>48.23</v>
      </c>
      <c r="H701">
        <v>159.46</v>
      </c>
      <c r="I701">
        <v>38.94</v>
      </c>
      <c r="J701">
        <v>128.76</v>
      </c>
      <c r="K701">
        <v>40</v>
      </c>
      <c r="T701">
        <v>4</v>
      </c>
      <c r="U701">
        <v>2</v>
      </c>
      <c r="V701" t="s">
        <v>233</v>
      </c>
      <c r="W701">
        <v>159</v>
      </c>
      <c r="X701">
        <v>11</v>
      </c>
      <c r="Y701">
        <v>10</v>
      </c>
      <c r="Z701" t="s">
        <v>1149</v>
      </c>
      <c r="AA701" t="s">
        <v>1150</v>
      </c>
      <c r="AB701" t="s">
        <v>229</v>
      </c>
      <c r="AC701" t="s">
        <v>230</v>
      </c>
      <c r="AD701" t="s">
        <v>231</v>
      </c>
      <c r="AE701" t="s">
        <v>1124</v>
      </c>
      <c r="AG701" t="s">
        <v>1151</v>
      </c>
      <c r="AH701">
        <v>0</v>
      </c>
      <c r="AI701">
        <v>202</v>
      </c>
      <c r="AJ701">
        <v>27</v>
      </c>
      <c r="AK701">
        <v>509</v>
      </c>
      <c r="AL701">
        <v>0.9</v>
      </c>
    </row>
    <row r="702" spans="1:38" x14ac:dyDescent="0.3">
      <c r="A702" t="s">
        <v>1120</v>
      </c>
      <c r="B702">
        <v>13906</v>
      </c>
      <c r="C702">
        <v>4</v>
      </c>
      <c r="D702" t="s">
        <v>958</v>
      </c>
      <c r="E702" t="s">
        <v>1148</v>
      </c>
      <c r="F702">
        <v>564</v>
      </c>
      <c r="G702">
        <v>60.26</v>
      </c>
      <c r="H702">
        <v>199.21</v>
      </c>
      <c r="I702">
        <v>49.78</v>
      </c>
      <c r="J702">
        <v>164.58</v>
      </c>
      <c r="K702">
        <v>20</v>
      </c>
      <c r="T702">
        <v>4</v>
      </c>
      <c r="U702">
        <v>2</v>
      </c>
      <c r="V702" t="s">
        <v>233</v>
      </c>
      <c r="W702">
        <v>199</v>
      </c>
      <c r="X702">
        <v>11</v>
      </c>
      <c r="Y702">
        <v>10</v>
      </c>
      <c r="Z702" t="s">
        <v>1149</v>
      </c>
      <c r="AA702" t="s">
        <v>1150</v>
      </c>
      <c r="AB702" t="s">
        <v>229</v>
      </c>
      <c r="AC702" t="s">
        <v>230</v>
      </c>
      <c r="AD702" t="s">
        <v>231</v>
      </c>
      <c r="AE702" t="s">
        <v>1124</v>
      </c>
      <c r="AG702" t="s">
        <v>1151</v>
      </c>
      <c r="AH702">
        <v>0</v>
      </c>
      <c r="AI702">
        <v>202</v>
      </c>
      <c r="AJ702">
        <v>27</v>
      </c>
      <c r="AK702">
        <v>509</v>
      </c>
      <c r="AL702">
        <v>0.9</v>
      </c>
    </row>
    <row r="703" spans="1:38" x14ac:dyDescent="0.3">
      <c r="A703" t="s">
        <v>1120</v>
      </c>
      <c r="B703">
        <v>13906</v>
      </c>
      <c r="C703">
        <v>5</v>
      </c>
      <c r="D703" t="s">
        <v>958</v>
      </c>
      <c r="E703" t="s">
        <v>1148</v>
      </c>
      <c r="F703">
        <v>564</v>
      </c>
      <c r="G703">
        <v>73.72</v>
      </c>
      <c r="H703">
        <v>243.73</v>
      </c>
      <c r="I703">
        <v>61.45</v>
      </c>
      <c r="J703">
        <v>203.16</v>
      </c>
      <c r="K703">
        <v>20</v>
      </c>
      <c r="T703">
        <v>5</v>
      </c>
      <c r="U703">
        <v>3</v>
      </c>
      <c r="V703" t="s">
        <v>233</v>
      </c>
      <c r="W703">
        <v>243</v>
      </c>
      <c r="X703">
        <v>11</v>
      </c>
      <c r="Y703">
        <v>10</v>
      </c>
      <c r="Z703" t="s">
        <v>1149</v>
      </c>
      <c r="AA703" t="s">
        <v>1150</v>
      </c>
      <c r="AB703" t="s">
        <v>229</v>
      </c>
      <c r="AC703" t="s">
        <v>230</v>
      </c>
      <c r="AD703" t="s">
        <v>231</v>
      </c>
      <c r="AE703" t="s">
        <v>1124</v>
      </c>
      <c r="AG703" t="s">
        <v>1151</v>
      </c>
      <c r="AH703">
        <v>0</v>
      </c>
      <c r="AI703">
        <v>202</v>
      </c>
      <c r="AJ703">
        <v>27</v>
      </c>
      <c r="AK703">
        <v>509</v>
      </c>
      <c r="AL703">
        <v>0.9</v>
      </c>
    </row>
    <row r="704" spans="1:38" x14ac:dyDescent="0.3">
      <c r="A704" t="s">
        <v>1152</v>
      </c>
      <c r="B704">
        <v>26632</v>
      </c>
      <c r="C704">
        <v>1</v>
      </c>
      <c r="D704" t="s">
        <v>1153</v>
      </c>
      <c r="E704" t="s">
        <v>1154</v>
      </c>
      <c r="F704">
        <v>402</v>
      </c>
      <c r="G704">
        <v>43.9</v>
      </c>
      <c r="H704">
        <v>145.13</v>
      </c>
      <c r="I704">
        <v>33.130000000000003</v>
      </c>
      <c r="J704">
        <v>109.53</v>
      </c>
      <c r="K704">
        <v>132</v>
      </c>
      <c r="T704">
        <v>3</v>
      </c>
      <c r="U704">
        <v>2</v>
      </c>
      <c r="V704" t="s">
        <v>233</v>
      </c>
      <c r="W704">
        <v>145</v>
      </c>
      <c r="X704">
        <v>28</v>
      </c>
      <c r="Y704">
        <v>23</v>
      </c>
      <c r="Z704" t="s">
        <v>1155</v>
      </c>
      <c r="AA704" t="s">
        <v>1156</v>
      </c>
      <c r="AB704" t="s">
        <v>229</v>
      </c>
      <c r="AC704" t="s">
        <v>230</v>
      </c>
      <c r="AD704" t="s">
        <v>231</v>
      </c>
      <c r="AE704" t="s">
        <v>209</v>
      </c>
      <c r="AG704" t="s">
        <v>1157</v>
      </c>
      <c r="AH704">
        <v>0</v>
      </c>
      <c r="AI704">
        <v>159</v>
      </c>
      <c r="AJ704">
        <v>8</v>
      </c>
      <c r="AK704">
        <v>639</v>
      </c>
      <c r="AL704">
        <v>1.59</v>
      </c>
    </row>
    <row r="705" spans="1:38" x14ac:dyDescent="0.3">
      <c r="A705" t="s">
        <v>1152</v>
      </c>
      <c r="B705">
        <v>26632</v>
      </c>
      <c r="C705">
        <v>2</v>
      </c>
      <c r="D705" t="s">
        <v>1153</v>
      </c>
      <c r="E705" t="s">
        <v>1154</v>
      </c>
      <c r="F705">
        <v>402</v>
      </c>
      <c r="G705">
        <v>50.34</v>
      </c>
      <c r="H705">
        <v>166.43</v>
      </c>
      <c r="I705">
        <v>40.119999999999997</v>
      </c>
      <c r="J705">
        <v>132.63</v>
      </c>
      <c r="K705">
        <v>216</v>
      </c>
      <c r="T705">
        <v>3</v>
      </c>
      <c r="U705">
        <v>2</v>
      </c>
      <c r="V705" t="s">
        <v>233</v>
      </c>
      <c r="W705">
        <v>166</v>
      </c>
      <c r="X705">
        <v>28</v>
      </c>
      <c r="Y705">
        <v>23</v>
      </c>
      <c r="Z705" t="s">
        <v>1155</v>
      </c>
      <c r="AA705" t="s">
        <v>1156</v>
      </c>
      <c r="AB705" t="s">
        <v>229</v>
      </c>
      <c r="AC705" t="s">
        <v>230</v>
      </c>
      <c r="AD705" t="s">
        <v>231</v>
      </c>
      <c r="AE705" t="s">
        <v>209</v>
      </c>
      <c r="AG705" t="s">
        <v>1157</v>
      </c>
      <c r="AH705">
        <v>0</v>
      </c>
      <c r="AI705">
        <v>159</v>
      </c>
      <c r="AJ705">
        <v>8</v>
      </c>
      <c r="AK705">
        <v>639</v>
      </c>
      <c r="AL705">
        <v>1.59</v>
      </c>
    </row>
    <row r="706" spans="1:38" x14ac:dyDescent="0.3">
      <c r="A706" t="s">
        <v>1152</v>
      </c>
      <c r="B706">
        <v>26632</v>
      </c>
      <c r="C706">
        <v>3</v>
      </c>
      <c r="D706" t="s">
        <v>1153</v>
      </c>
      <c r="E706" t="s">
        <v>1154</v>
      </c>
      <c r="F706">
        <v>402</v>
      </c>
      <c r="G706">
        <v>64.290000000000006</v>
      </c>
      <c r="H706">
        <v>212.56</v>
      </c>
      <c r="I706">
        <v>52.87</v>
      </c>
      <c r="J706">
        <v>174.79</v>
      </c>
      <c r="K706">
        <v>54</v>
      </c>
      <c r="T706">
        <v>3</v>
      </c>
      <c r="U706">
        <v>3</v>
      </c>
      <c r="V706" t="s">
        <v>233</v>
      </c>
      <c r="W706">
        <v>212</v>
      </c>
      <c r="X706">
        <v>28</v>
      </c>
      <c r="Y706">
        <v>23</v>
      </c>
      <c r="Z706" t="s">
        <v>1155</v>
      </c>
      <c r="AA706" t="s">
        <v>1156</v>
      </c>
      <c r="AB706" t="s">
        <v>229</v>
      </c>
      <c r="AC706" t="s">
        <v>230</v>
      </c>
      <c r="AD706" t="s">
        <v>231</v>
      </c>
      <c r="AE706" t="s">
        <v>209</v>
      </c>
      <c r="AG706" t="s">
        <v>1157</v>
      </c>
      <c r="AH706">
        <v>0</v>
      </c>
      <c r="AI706">
        <v>159</v>
      </c>
      <c r="AJ706">
        <v>8</v>
      </c>
      <c r="AK706">
        <v>639</v>
      </c>
      <c r="AL706">
        <v>1.59</v>
      </c>
    </row>
    <row r="707" spans="1:38" x14ac:dyDescent="0.3">
      <c r="A707" t="s">
        <v>1152</v>
      </c>
      <c r="B707">
        <v>100700</v>
      </c>
      <c r="C707">
        <v>1</v>
      </c>
      <c r="D707" t="s">
        <v>1158</v>
      </c>
      <c r="E707" t="s">
        <v>1159</v>
      </c>
      <c r="F707">
        <v>671</v>
      </c>
      <c r="G707">
        <v>35.22</v>
      </c>
      <c r="H707">
        <v>116.43</v>
      </c>
      <c r="I707">
        <v>25.69</v>
      </c>
      <c r="J707">
        <v>84.93</v>
      </c>
      <c r="K707">
        <v>342</v>
      </c>
      <c r="T707">
        <v>3</v>
      </c>
      <c r="U707">
        <v>2</v>
      </c>
      <c r="V707" t="s">
        <v>233</v>
      </c>
      <c r="W707">
        <v>116</v>
      </c>
      <c r="X707">
        <v>27</v>
      </c>
      <c r="Y707">
        <v>18</v>
      </c>
      <c r="Z707" t="s">
        <v>1160</v>
      </c>
      <c r="AA707" t="s">
        <v>1161</v>
      </c>
      <c r="AB707" t="s">
        <v>229</v>
      </c>
      <c r="AC707" t="s">
        <v>230</v>
      </c>
      <c r="AD707" t="s">
        <v>231</v>
      </c>
      <c r="AE707" t="s">
        <v>209</v>
      </c>
      <c r="AG707" t="s">
        <v>1162</v>
      </c>
      <c r="AH707">
        <v>0</v>
      </c>
      <c r="AI707">
        <v>179</v>
      </c>
      <c r="AJ707">
        <v>13</v>
      </c>
      <c r="AK707">
        <v>889</v>
      </c>
      <c r="AL707">
        <v>1.32</v>
      </c>
    </row>
    <row r="708" spans="1:38" x14ac:dyDescent="0.3">
      <c r="A708" t="s">
        <v>1152</v>
      </c>
      <c r="B708">
        <v>100700</v>
      </c>
      <c r="C708">
        <v>2</v>
      </c>
      <c r="D708" t="s">
        <v>1158</v>
      </c>
      <c r="E708" t="s">
        <v>1159</v>
      </c>
      <c r="F708">
        <v>671</v>
      </c>
      <c r="G708">
        <v>35.51</v>
      </c>
      <c r="H708">
        <v>117.41</v>
      </c>
      <c r="I708">
        <v>25.69</v>
      </c>
      <c r="J708">
        <v>84.94</v>
      </c>
      <c r="K708">
        <v>329</v>
      </c>
      <c r="T708">
        <v>3</v>
      </c>
      <c r="U708">
        <v>2</v>
      </c>
      <c r="V708" t="s">
        <v>233</v>
      </c>
      <c r="W708">
        <v>117</v>
      </c>
      <c r="X708">
        <v>27</v>
      </c>
      <c r="Y708">
        <v>18</v>
      </c>
      <c r="Z708" t="s">
        <v>1160</v>
      </c>
      <c r="AA708" t="s">
        <v>1161</v>
      </c>
      <c r="AB708" t="s">
        <v>229</v>
      </c>
      <c r="AC708" t="s">
        <v>230</v>
      </c>
      <c r="AD708" t="s">
        <v>231</v>
      </c>
      <c r="AE708" t="s">
        <v>209</v>
      </c>
      <c r="AG708" t="s">
        <v>1162</v>
      </c>
      <c r="AH708">
        <v>0</v>
      </c>
      <c r="AI708">
        <v>179</v>
      </c>
      <c r="AJ708">
        <v>13</v>
      </c>
      <c r="AK708">
        <v>889</v>
      </c>
      <c r="AL708">
        <v>1.32</v>
      </c>
    </row>
    <row r="709" spans="1:38" x14ac:dyDescent="0.3">
      <c r="A709" t="s">
        <v>1152</v>
      </c>
      <c r="B709">
        <v>137220</v>
      </c>
      <c r="C709">
        <v>1</v>
      </c>
      <c r="D709" t="s">
        <v>1163</v>
      </c>
      <c r="F709">
        <v>1516</v>
      </c>
      <c r="G709">
        <v>25.44</v>
      </c>
      <c r="H709">
        <v>84.12</v>
      </c>
      <c r="I709">
        <v>18.13</v>
      </c>
      <c r="J709">
        <v>59.94</v>
      </c>
      <c r="K709">
        <v>1220</v>
      </c>
      <c r="T709">
        <v>3</v>
      </c>
      <c r="U709">
        <v>2</v>
      </c>
      <c r="V709" t="s">
        <v>233</v>
      </c>
      <c r="W709" t="s">
        <v>1031</v>
      </c>
      <c r="X709">
        <v>25</v>
      </c>
      <c r="Y709">
        <v>19</v>
      </c>
      <c r="Z709" t="s">
        <v>1164</v>
      </c>
      <c r="AA709" t="s">
        <v>1165</v>
      </c>
      <c r="AB709" t="s">
        <v>229</v>
      </c>
      <c r="AC709" t="s">
        <v>230</v>
      </c>
      <c r="AD709" t="s">
        <v>231</v>
      </c>
      <c r="AE709" t="s">
        <v>209</v>
      </c>
      <c r="AG709" t="s">
        <v>243</v>
      </c>
      <c r="AH709">
        <v>1516</v>
      </c>
      <c r="AI709">
        <v>199</v>
      </c>
      <c r="AJ709">
        <v>16</v>
      </c>
      <c r="AK709">
        <v>0</v>
      </c>
      <c r="AL709">
        <v>0</v>
      </c>
    </row>
    <row r="710" spans="1:38" x14ac:dyDescent="0.3">
      <c r="A710" t="s">
        <v>1152</v>
      </c>
      <c r="B710">
        <v>137220</v>
      </c>
      <c r="C710">
        <v>2</v>
      </c>
      <c r="D710" t="s">
        <v>1163</v>
      </c>
      <c r="F710">
        <v>1516</v>
      </c>
      <c r="G710">
        <v>25.6</v>
      </c>
      <c r="H710">
        <v>84.65</v>
      </c>
      <c r="I710">
        <v>18.11</v>
      </c>
      <c r="J710">
        <v>59.87</v>
      </c>
      <c r="K710">
        <v>149</v>
      </c>
      <c r="T710">
        <v>3</v>
      </c>
      <c r="U710">
        <v>2</v>
      </c>
      <c r="V710" t="s">
        <v>233</v>
      </c>
      <c r="W710" t="s">
        <v>1166</v>
      </c>
      <c r="X710">
        <v>25</v>
      </c>
      <c r="Y710">
        <v>19</v>
      </c>
      <c r="Z710" t="s">
        <v>1164</v>
      </c>
      <c r="AA710" t="s">
        <v>1165</v>
      </c>
      <c r="AB710" t="s">
        <v>229</v>
      </c>
      <c r="AC710" t="s">
        <v>230</v>
      </c>
      <c r="AD710" t="s">
        <v>231</v>
      </c>
      <c r="AE710" t="s">
        <v>209</v>
      </c>
      <c r="AG710" t="s">
        <v>243</v>
      </c>
      <c r="AH710">
        <v>1516</v>
      </c>
      <c r="AI710">
        <v>199</v>
      </c>
      <c r="AJ710">
        <v>16</v>
      </c>
      <c r="AK710">
        <v>0</v>
      </c>
      <c r="AL710">
        <v>0</v>
      </c>
    </row>
    <row r="711" spans="1:38" x14ac:dyDescent="0.3">
      <c r="A711" t="s">
        <v>1152</v>
      </c>
      <c r="B711">
        <v>137220</v>
      </c>
      <c r="C711">
        <v>3</v>
      </c>
      <c r="D711" t="s">
        <v>1163</v>
      </c>
      <c r="F711">
        <v>1516</v>
      </c>
      <c r="G711">
        <v>25.6</v>
      </c>
      <c r="H711">
        <v>84.66</v>
      </c>
      <c r="I711">
        <v>18.14</v>
      </c>
      <c r="J711">
        <v>59.99</v>
      </c>
      <c r="K711">
        <v>147</v>
      </c>
      <c r="T711">
        <v>3</v>
      </c>
      <c r="U711">
        <v>2</v>
      </c>
      <c r="V711" t="s">
        <v>233</v>
      </c>
      <c r="W711" t="s">
        <v>173</v>
      </c>
      <c r="X711">
        <v>25</v>
      </c>
      <c r="Y711">
        <v>19</v>
      </c>
      <c r="Z711" t="s">
        <v>1164</v>
      </c>
      <c r="AA711" t="s">
        <v>1165</v>
      </c>
      <c r="AB711" t="s">
        <v>229</v>
      </c>
      <c r="AC711" t="s">
        <v>230</v>
      </c>
      <c r="AD711" t="s">
        <v>231</v>
      </c>
      <c r="AE711" t="s">
        <v>209</v>
      </c>
      <c r="AG711" t="s">
        <v>243</v>
      </c>
      <c r="AH711">
        <v>1516</v>
      </c>
      <c r="AI711">
        <v>199</v>
      </c>
      <c r="AJ711">
        <v>16</v>
      </c>
      <c r="AK711">
        <v>0</v>
      </c>
      <c r="AL711">
        <v>0</v>
      </c>
    </row>
    <row r="712" spans="1:38" x14ac:dyDescent="0.3">
      <c r="A712" t="s">
        <v>1152</v>
      </c>
      <c r="B712">
        <v>101183</v>
      </c>
      <c r="C712">
        <v>1</v>
      </c>
      <c r="D712" t="s">
        <v>1167</v>
      </c>
      <c r="E712" t="s">
        <v>1168</v>
      </c>
      <c r="F712">
        <v>94</v>
      </c>
      <c r="G712">
        <v>16.3</v>
      </c>
      <c r="H712">
        <v>53.89</v>
      </c>
      <c r="I712">
        <v>11.76</v>
      </c>
      <c r="J712">
        <v>38.880000000000003</v>
      </c>
      <c r="K712">
        <v>28</v>
      </c>
      <c r="T712">
        <v>2</v>
      </c>
      <c r="U712">
        <v>1</v>
      </c>
      <c r="V712" t="s">
        <v>233</v>
      </c>
      <c r="W712">
        <v>53</v>
      </c>
      <c r="X712">
        <v>12</v>
      </c>
      <c r="Y712">
        <v>5</v>
      </c>
      <c r="Z712" t="s">
        <v>1169</v>
      </c>
      <c r="AA712" t="s">
        <v>1170</v>
      </c>
      <c r="AB712" t="s">
        <v>229</v>
      </c>
      <c r="AC712" t="s">
        <v>230</v>
      </c>
      <c r="AD712" t="s">
        <v>231</v>
      </c>
      <c r="AE712" t="s">
        <v>209</v>
      </c>
      <c r="AG712" t="s">
        <v>1171</v>
      </c>
      <c r="AH712">
        <v>0</v>
      </c>
      <c r="AI712">
        <v>176</v>
      </c>
      <c r="AJ712">
        <v>25</v>
      </c>
      <c r="AK712">
        <v>39</v>
      </c>
      <c r="AL712">
        <v>0.41</v>
      </c>
    </row>
    <row r="713" spans="1:38" x14ac:dyDescent="0.3">
      <c r="A713" t="s">
        <v>1152</v>
      </c>
      <c r="B713">
        <v>101183</v>
      </c>
      <c r="C713">
        <v>2</v>
      </c>
      <c r="D713" t="s">
        <v>1167</v>
      </c>
      <c r="E713" t="s">
        <v>1168</v>
      </c>
      <c r="F713">
        <v>94</v>
      </c>
      <c r="G713">
        <v>25.04</v>
      </c>
      <c r="H713">
        <v>82.79</v>
      </c>
      <c r="I713">
        <v>18.059999999999999</v>
      </c>
      <c r="J713">
        <v>59.73</v>
      </c>
      <c r="K713">
        <v>66</v>
      </c>
      <c r="T713">
        <v>3</v>
      </c>
      <c r="U713">
        <v>1</v>
      </c>
      <c r="V713" t="s">
        <v>233</v>
      </c>
      <c r="W713">
        <v>82</v>
      </c>
      <c r="X713">
        <v>12</v>
      </c>
      <c r="Y713">
        <v>5</v>
      </c>
      <c r="Z713" t="s">
        <v>1169</v>
      </c>
      <c r="AA713" t="s">
        <v>1170</v>
      </c>
      <c r="AB713" t="s">
        <v>229</v>
      </c>
      <c r="AC713" t="s">
        <v>230</v>
      </c>
      <c r="AD713" t="s">
        <v>231</v>
      </c>
      <c r="AE713" t="s">
        <v>209</v>
      </c>
      <c r="AG713" t="s">
        <v>1171</v>
      </c>
      <c r="AH713">
        <v>0</v>
      </c>
      <c r="AI713">
        <v>176</v>
      </c>
      <c r="AJ713">
        <v>25</v>
      </c>
      <c r="AK713">
        <v>39</v>
      </c>
      <c r="AL713">
        <v>0.41</v>
      </c>
    </row>
    <row r="714" spans="1:38" x14ac:dyDescent="0.3">
      <c r="A714" t="s">
        <v>1152</v>
      </c>
      <c r="B714">
        <v>102183</v>
      </c>
      <c r="C714">
        <v>1</v>
      </c>
      <c r="D714" t="s">
        <v>1172</v>
      </c>
      <c r="E714" t="s">
        <v>1173</v>
      </c>
      <c r="F714">
        <v>468</v>
      </c>
      <c r="G714">
        <v>33.19</v>
      </c>
      <c r="H714">
        <v>109.72</v>
      </c>
      <c r="I714">
        <v>25.68</v>
      </c>
      <c r="J714">
        <v>84.91</v>
      </c>
      <c r="K714">
        <v>194</v>
      </c>
      <c r="T714">
        <v>3</v>
      </c>
      <c r="U714">
        <v>2</v>
      </c>
      <c r="V714" t="s">
        <v>233</v>
      </c>
      <c r="W714" t="s">
        <v>67</v>
      </c>
      <c r="X714">
        <v>15</v>
      </c>
      <c r="Y714">
        <v>11</v>
      </c>
      <c r="Z714" t="s">
        <v>1174</v>
      </c>
      <c r="AA714" t="s">
        <v>1175</v>
      </c>
      <c r="AB714" t="s">
        <v>229</v>
      </c>
      <c r="AC714" t="s">
        <v>230</v>
      </c>
      <c r="AD714" t="s">
        <v>231</v>
      </c>
      <c r="AE714" t="s">
        <v>209</v>
      </c>
      <c r="AG714" t="s">
        <v>1176</v>
      </c>
      <c r="AH714">
        <v>0</v>
      </c>
      <c r="AI714">
        <v>170</v>
      </c>
      <c r="AJ714">
        <v>17</v>
      </c>
      <c r="AK714">
        <v>617</v>
      </c>
      <c r="AL714">
        <v>1.32</v>
      </c>
    </row>
    <row r="715" spans="1:38" x14ac:dyDescent="0.3">
      <c r="A715" t="s">
        <v>1152</v>
      </c>
      <c r="B715">
        <v>102183</v>
      </c>
      <c r="C715">
        <v>2</v>
      </c>
      <c r="D715" t="s">
        <v>1172</v>
      </c>
      <c r="E715" t="s">
        <v>1173</v>
      </c>
      <c r="F715">
        <v>468</v>
      </c>
      <c r="G715">
        <v>33.21</v>
      </c>
      <c r="H715">
        <v>109.8</v>
      </c>
      <c r="I715">
        <v>25.7</v>
      </c>
      <c r="J715">
        <v>84.97</v>
      </c>
      <c r="K715">
        <v>145</v>
      </c>
      <c r="T715">
        <v>3</v>
      </c>
      <c r="U715">
        <v>2</v>
      </c>
      <c r="V715" t="s">
        <v>233</v>
      </c>
      <c r="W715" t="s">
        <v>66</v>
      </c>
      <c r="X715">
        <v>15</v>
      </c>
      <c r="Y715">
        <v>11</v>
      </c>
      <c r="Z715" t="s">
        <v>1174</v>
      </c>
      <c r="AA715" t="s">
        <v>1175</v>
      </c>
      <c r="AB715" t="s">
        <v>229</v>
      </c>
      <c r="AC715" t="s">
        <v>230</v>
      </c>
      <c r="AD715" t="s">
        <v>231</v>
      </c>
      <c r="AE715" t="s">
        <v>209</v>
      </c>
      <c r="AG715" t="s">
        <v>1176</v>
      </c>
      <c r="AH715">
        <v>0</v>
      </c>
      <c r="AI715">
        <v>170</v>
      </c>
      <c r="AJ715">
        <v>17</v>
      </c>
      <c r="AK715">
        <v>617</v>
      </c>
      <c r="AL715">
        <v>1.32</v>
      </c>
    </row>
    <row r="716" spans="1:38" x14ac:dyDescent="0.3">
      <c r="A716" t="s">
        <v>1152</v>
      </c>
      <c r="B716">
        <v>102183</v>
      </c>
      <c r="C716">
        <v>3</v>
      </c>
      <c r="D716" t="s">
        <v>1172</v>
      </c>
      <c r="E716" t="s">
        <v>1173</v>
      </c>
      <c r="F716">
        <v>468</v>
      </c>
      <c r="G716">
        <v>33.200000000000003</v>
      </c>
      <c r="H716">
        <v>109.78</v>
      </c>
      <c r="I716">
        <v>25.69</v>
      </c>
      <c r="J716">
        <v>84.95</v>
      </c>
      <c r="K716">
        <v>69</v>
      </c>
      <c r="T716">
        <v>3</v>
      </c>
      <c r="U716">
        <v>2</v>
      </c>
      <c r="V716" t="s">
        <v>233</v>
      </c>
      <c r="W716" t="s">
        <v>139</v>
      </c>
      <c r="X716">
        <v>15</v>
      </c>
      <c r="Y716">
        <v>11</v>
      </c>
      <c r="Z716" t="s">
        <v>1174</v>
      </c>
      <c r="AA716" t="s">
        <v>1175</v>
      </c>
      <c r="AB716" t="s">
        <v>229</v>
      </c>
      <c r="AC716" t="s">
        <v>230</v>
      </c>
      <c r="AD716" t="s">
        <v>231</v>
      </c>
      <c r="AE716" t="s">
        <v>209</v>
      </c>
      <c r="AG716" t="s">
        <v>1176</v>
      </c>
      <c r="AH716">
        <v>0</v>
      </c>
      <c r="AI716">
        <v>170</v>
      </c>
      <c r="AJ716">
        <v>17</v>
      </c>
      <c r="AK716">
        <v>617</v>
      </c>
      <c r="AL716">
        <v>1.32</v>
      </c>
    </row>
    <row r="717" spans="1:38" x14ac:dyDescent="0.3">
      <c r="A717" t="s">
        <v>1152</v>
      </c>
      <c r="B717">
        <v>102183</v>
      </c>
      <c r="C717">
        <v>4</v>
      </c>
      <c r="D717" t="s">
        <v>1172</v>
      </c>
      <c r="E717" t="s">
        <v>1173</v>
      </c>
      <c r="F717">
        <v>468</v>
      </c>
      <c r="G717">
        <v>33.200000000000003</v>
      </c>
      <c r="H717">
        <v>109.76</v>
      </c>
      <c r="I717">
        <v>25.69</v>
      </c>
      <c r="J717">
        <v>84.94</v>
      </c>
      <c r="K717">
        <v>59</v>
      </c>
      <c r="T717">
        <v>3</v>
      </c>
      <c r="U717">
        <v>2</v>
      </c>
      <c r="V717" t="s">
        <v>233</v>
      </c>
      <c r="W717" t="s">
        <v>1177</v>
      </c>
      <c r="X717">
        <v>15</v>
      </c>
      <c r="Y717">
        <v>11</v>
      </c>
      <c r="Z717" t="s">
        <v>1174</v>
      </c>
      <c r="AA717" t="s">
        <v>1175</v>
      </c>
      <c r="AB717" t="s">
        <v>229</v>
      </c>
      <c r="AC717" t="s">
        <v>230</v>
      </c>
      <c r="AD717" t="s">
        <v>231</v>
      </c>
      <c r="AE717" t="s">
        <v>209</v>
      </c>
      <c r="AG717" t="s">
        <v>1176</v>
      </c>
      <c r="AH717">
        <v>0</v>
      </c>
      <c r="AI717">
        <v>170</v>
      </c>
      <c r="AJ717">
        <v>17</v>
      </c>
      <c r="AK717">
        <v>617</v>
      </c>
      <c r="AL717">
        <v>1.32</v>
      </c>
    </row>
    <row r="718" spans="1:38" x14ac:dyDescent="0.3">
      <c r="A718" t="s">
        <v>1152</v>
      </c>
      <c r="B718">
        <v>102183</v>
      </c>
      <c r="C718">
        <v>5</v>
      </c>
      <c r="D718" t="s">
        <v>1172</v>
      </c>
      <c r="E718" t="s">
        <v>1173</v>
      </c>
      <c r="F718">
        <v>468</v>
      </c>
      <c r="G718">
        <v>33.19</v>
      </c>
      <c r="H718">
        <v>109.75</v>
      </c>
      <c r="I718">
        <v>25.68</v>
      </c>
      <c r="J718">
        <v>84.91</v>
      </c>
      <c r="K718">
        <v>1</v>
      </c>
      <c r="T718">
        <v>3</v>
      </c>
      <c r="U718">
        <v>2</v>
      </c>
      <c r="V718" t="s">
        <v>233</v>
      </c>
      <c r="W718" t="s">
        <v>1178</v>
      </c>
      <c r="X718">
        <v>15</v>
      </c>
      <c r="Y718">
        <v>11</v>
      </c>
      <c r="Z718" t="s">
        <v>1174</v>
      </c>
      <c r="AA718" t="s">
        <v>1175</v>
      </c>
      <c r="AB718" t="s">
        <v>229</v>
      </c>
      <c r="AC718" t="s">
        <v>230</v>
      </c>
      <c r="AD718" t="s">
        <v>231</v>
      </c>
      <c r="AE718" t="s">
        <v>209</v>
      </c>
      <c r="AG718" t="s">
        <v>1176</v>
      </c>
      <c r="AH718">
        <v>0</v>
      </c>
      <c r="AI718">
        <v>170</v>
      </c>
      <c r="AJ718">
        <v>17</v>
      </c>
      <c r="AK718">
        <v>617</v>
      </c>
      <c r="AL718">
        <v>1.32</v>
      </c>
    </row>
    <row r="719" spans="1:38" x14ac:dyDescent="0.3">
      <c r="A719" t="s">
        <v>1152</v>
      </c>
      <c r="B719">
        <v>103910</v>
      </c>
      <c r="C719">
        <v>1</v>
      </c>
      <c r="D719" t="s">
        <v>1179</v>
      </c>
      <c r="E719" t="s">
        <v>946</v>
      </c>
      <c r="F719">
        <v>42</v>
      </c>
      <c r="G719">
        <v>18.45</v>
      </c>
      <c r="H719">
        <v>61</v>
      </c>
      <c r="I719">
        <v>16.2</v>
      </c>
      <c r="J719">
        <v>53.58</v>
      </c>
      <c r="K719">
        <v>6</v>
      </c>
      <c r="T719">
        <v>2</v>
      </c>
      <c r="U719">
        <v>1</v>
      </c>
      <c r="V719" t="s">
        <v>233</v>
      </c>
      <c r="W719">
        <v>61</v>
      </c>
      <c r="X719">
        <v>6</v>
      </c>
      <c r="Y719">
        <v>6</v>
      </c>
      <c r="Z719" t="s">
        <v>1180</v>
      </c>
      <c r="AA719" t="s">
        <v>1181</v>
      </c>
      <c r="AB719" t="s">
        <v>229</v>
      </c>
      <c r="AC719" t="s">
        <v>230</v>
      </c>
      <c r="AD719" t="s">
        <v>231</v>
      </c>
      <c r="AE719" t="s">
        <v>209</v>
      </c>
      <c r="AG719" t="s">
        <v>1182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38" x14ac:dyDescent="0.3">
      <c r="A720" t="s">
        <v>1152</v>
      </c>
      <c r="B720">
        <v>103910</v>
      </c>
      <c r="C720">
        <v>2</v>
      </c>
      <c r="D720" t="s">
        <v>1179</v>
      </c>
      <c r="E720" t="s">
        <v>946</v>
      </c>
      <c r="F720">
        <v>42</v>
      </c>
      <c r="G720">
        <v>19.57</v>
      </c>
      <c r="H720">
        <v>64.72</v>
      </c>
      <c r="I720">
        <v>17.440000000000001</v>
      </c>
      <c r="J720">
        <v>57.66</v>
      </c>
      <c r="K720">
        <v>12</v>
      </c>
      <c r="T720">
        <v>2</v>
      </c>
      <c r="U720">
        <v>1</v>
      </c>
      <c r="V720" t="s">
        <v>233</v>
      </c>
      <c r="W720" t="s">
        <v>1183</v>
      </c>
      <c r="X720">
        <v>6</v>
      </c>
      <c r="Y720">
        <v>6</v>
      </c>
      <c r="Z720" t="s">
        <v>1180</v>
      </c>
      <c r="AA720" t="s">
        <v>1181</v>
      </c>
      <c r="AB720" t="s">
        <v>229</v>
      </c>
      <c r="AC720" t="s">
        <v>230</v>
      </c>
      <c r="AD720" t="s">
        <v>231</v>
      </c>
      <c r="AE720" t="s">
        <v>209</v>
      </c>
      <c r="AG720" t="s">
        <v>1182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38" x14ac:dyDescent="0.3">
      <c r="A721" t="s">
        <v>1152</v>
      </c>
      <c r="B721">
        <v>103910</v>
      </c>
      <c r="C721">
        <v>3</v>
      </c>
      <c r="D721" t="s">
        <v>1179</v>
      </c>
      <c r="E721" t="s">
        <v>946</v>
      </c>
      <c r="F721">
        <v>42</v>
      </c>
      <c r="G721">
        <v>19.36</v>
      </c>
      <c r="H721">
        <v>64.010000000000005</v>
      </c>
      <c r="I721">
        <v>17.22</v>
      </c>
      <c r="J721">
        <v>56.95</v>
      </c>
      <c r="K721">
        <v>6</v>
      </c>
      <c r="T721">
        <v>2</v>
      </c>
      <c r="U721">
        <v>1</v>
      </c>
      <c r="V721" t="s">
        <v>233</v>
      </c>
      <c r="W721">
        <v>64</v>
      </c>
      <c r="X721">
        <v>6</v>
      </c>
      <c r="Y721">
        <v>6</v>
      </c>
      <c r="Z721" t="s">
        <v>1180</v>
      </c>
      <c r="AA721" t="s">
        <v>1181</v>
      </c>
      <c r="AB721" t="s">
        <v>229</v>
      </c>
      <c r="AC721" t="s">
        <v>230</v>
      </c>
      <c r="AD721" t="s">
        <v>231</v>
      </c>
      <c r="AE721" t="s">
        <v>209</v>
      </c>
      <c r="AG721" t="s">
        <v>1182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 x14ac:dyDescent="0.3">
      <c r="A722" t="s">
        <v>1152</v>
      </c>
      <c r="B722">
        <v>103910</v>
      </c>
      <c r="C722">
        <v>4</v>
      </c>
      <c r="D722" t="s">
        <v>1179</v>
      </c>
      <c r="E722" t="s">
        <v>946</v>
      </c>
      <c r="F722">
        <v>42</v>
      </c>
      <c r="G722">
        <v>20.23</v>
      </c>
      <c r="H722">
        <v>66.89</v>
      </c>
      <c r="I722">
        <v>18.09</v>
      </c>
      <c r="J722">
        <v>59.83</v>
      </c>
      <c r="K722">
        <v>6</v>
      </c>
      <c r="T722">
        <v>2</v>
      </c>
      <c r="U722">
        <v>1</v>
      </c>
      <c r="V722" t="s">
        <v>233</v>
      </c>
      <c r="W722" t="s">
        <v>402</v>
      </c>
      <c r="X722">
        <v>6</v>
      </c>
      <c r="Y722">
        <v>6</v>
      </c>
      <c r="Z722" t="s">
        <v>1180</v>
      </c>
      <c r="AA722" t="s">
        <v>1181</v>
      </c>
      <c r="AB722" t="s">
        <v>229</v>
      </c>
      <c r="AC722" t="s">
        <v>230</v>
      </c>
      <c r="AD722" t="s">
        <v>231</v>
      </c>
      <c r="AE722" t="s">
        <v>209</v>
      </c>
      <c r="AG722" t="s">
        <v>1182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1152</v>
      </c>
      <c r="B723">
        <v>103910</v>
      </c>
      <c r="C723">
        <v>5</v>
      </c>
      <c r="D723" t="s">
        <v>1179</v>
      </c>
      <c r="E723" t="s">
        <v>946</v>
      </c>
      <c r="F723">
        <v>42</v>
      </c>
      <c r="G723">
        <v>20.16</v>
      </c>
      <c r="H723">
        <v>66.67</v>
      </c>
      <c r="I723">
        <v>17.920000000000002</v>
      </c>
      <c r="J723">
        <v>59.25</v>
      </c>
      <c r="K723">
        <v>6</v>
      </c>
      <c r="T723">
        <v>2</v>
      </c>
      <c r="U723">
        <v>1</v>
      </c>
      <c r="V723" t="s">
        <v>233</v>
      </c>
      <c r="W723" t="s">
        <v>403</v>
      </c>
      <c r="X723">
        <v>6</v>
      </c>
      <c r="Y723">
        <v>6</v>
      </c>
      <c r="Z723" t="s">
        <v>1180</v>
      </c>
      <c r="AA723" t="s">
        <v>1181</v>
      </c>
      <c r="AB723" t="s">
        <v>229</v>
      </c>
      <c r="AC723" t="s">
        <v>230</v>
      </c>
      <c r="AD723" t="s">
        <v>231</v>
      </c>
      <c r="AE723" t="s">
        <v>209</v>
      </c>
      <c r="AG723" t="s">
        <v>1182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1152</v>
      </c>
      <c r="B724">
        <v>103910</v>
      </c>
      <c r="C724">
        <v>6</v>
      </c>
      <c r="D724" t="s">
        <v>1179</v>
      </c>
      <c r="E724" t="s">
        <v>946</v>
      </c>
      <c r="F724">
        <v>42</v>
      </c>
      <c r="G724">
        <v>22.01</v>
      </c>
      <c r="H724">
        <v>72.77</v>
      </c>
      <c r="I724">
        <v>17.77</v>
      </c>
      <c r="J724">
        <v>58.77</v>
      </c>
      <c r="K724">
        <v>6</v>
      </c>
      <c r="T724">
        <v>2</v>
      </c>
      <c r="U724">
        <v>1</v>
      </c>
      <c r="V724" t="s">
        <v>233</v>
      </c>
      <c r="W724">
        <v>72</v>
      </c>
      <c r="X724">
        <v>6</v>
      </c>
      <c r="Y724">
        <v>6</v>
      </c>
      <c r="Z724" t="s">
        <v>1180</v>
      </c>
      <c r="AA724" t="s">
        <v>1181</v>
      </c>
      <c r="AB724" t="s">
        <v>229</v>
      </c>
      <c r="AC724" t="s">
        <v>230</v>
      </c>
      <c r="AD724" t="s">
        <v>231</v>
      </c>
      <c r="AE724" t="s">
        <v>209</v>
      </c>
      <c r="AG724" t="s">
        <v>1182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 x14ac:dyDescent="0.3">
      <c r="A725" t="s">
        <v>1152</v>
      </c>
      <c r="B725">
        <v>15373</v>
      </c>
      <c r="C725">
        <v>1</v>
      </c>
      <c r="D725" t="s">
        <v>1184</v>
      </c>
      <c r="E725" t="s">
        <v>1185</v>
      </c>
      <c r="F725">
        <v>92</v>
      </c>
      <c r="G725">
        <v>24.17</v>
      </c>
      <c r="H725">
        <v>79.930000000000007</v>
      </c>
      <c r="I725">
        <v>18.13</v>
      </c>
      <c r="J725">
        <v>59.94</v>
      </c>
      <c r="K725">
        <v>92</v>
      </c>
      <c r="T725">
        <v>3</v>
      </c>
      <c r="U725">
        <v>1</v>
      </c>
      <c r="V725" t="s">
        <v>226</v>
      </c>
      <c r="W725">
        <v>79</v>
      </c>
      <c r="X725">
        <v>13</v>
      </c>
      <c r="Y725">
        <v>7</v>
      </c>
      <c r="Z725" t="s">
        <v>1186</v>
      </c>
      <c r="AA725" t="s">
        <v>1187</v>
      </c>
      <c r="AB725" t="s">
        <v>229</v>
      </c>
      <c r="AC725" t="s">
        <v>230</v>
      </c>
      <c r="AD725" t="s">
        <v>231</v>
      </c>
      <c r="AE725" t="s">
        <v>209</v>
      </c>
      <c r="AG725" t="s">
        <v>1188</v>
      </c>
      <c r="AH725">
        <v>0</v>
      </c>
      <c r="AI725">
        <v>253</v>
      </c>
      <c r="AJ725">
        <v>33</v>
      </c>
      <c r="AK725">
        <v>38</v>
      </c>
      <c r="AL725">
        <v>0.41</v>
      </c>
    </row>
    <row r="726" spans="1:38" x14ac:dyDescent="0.3">
      <c r="A726" t="s">
        <v>1152</v>
      </c>
      <c r="B726">
        <v>142018</v>
      </c>
      <c r="C726">
        <v>1</v>
      </c>
      <c r="D726" t="s">
        <v>1189</v>
      </c>
      <c r="E726" t="s">
        <v>1190</v>
      </c>
      <c r="F726">
        <v>2415</v>
      </c>
      <c r="G726">
        <v>25.82</v>
      </c>
      <c r="H726">
        <v>85.38</v>
      </c>
      <c r="I726">
        <v>18.100000000000001</v>
      </c>
      <c r="J726">
        <v>59.84</v>
      </c>
      <c r="K726">
        <v>890</v>
      </c>
      <c r="T726">
        <v>3</v>
      </c>
      <c r="U726">
        <v>2</v>
      </c>
      <c r="V726" t="s">
        <v>233</v>
      </c>
      <c r="W726" t="s">
        <v>1191</v>
      </c>
      <c r="X726">
        <v>25</v>
      </c>
      <c r="Y726">
        <v>13</v>
      </c>
      <c r="Z726" t="s">
        <v>1192</v>
      </c>
      <c r="AA726" t="s">
        <v>1193</v>
      </c>
      <c r="AB726" t="s">
        <v>229</v>
      </c>
      <c r="AC726" t="s">
        <v>230</v>
      </c>
      <c r="AD726" t="s">
        <v>231</v>
      </c>
      <c r="AE726" t="s">
        <v>209</v>
      </c>
      <c r="AG726" t="s">
        <v>243</v>
      </c>
      <c r="AH726">
        <v>0</v>
      </c>
      <c r="AI726">
        <v>199</v>
      </c>
      <c r="AJ726">
        <v>16</v>
      </c>
      <c r="AK726">
        <v>3275</v>
      </c>
      <c r="AL726">
        <v>1.36</v>
      </c>
    </row>
    <row r="727" spans="1:38" x14ac:dyDescent="0.3">
      <c r="A727" t="s">
        <v>1152</v>
      </c>
      <c r="B727">
        <v>142018</v>
      </c>
      <c r="C727">
        <v>2</v>
      </c>
      <c r="D727" t="s">
        <v>1189</v>
      </c>
      <c r="E727" t="s">
        <v>1190</v>
      </c>
      <c r="F727">
        <v>2415</v>
      </c>
      <c r="G727">
        <v>25.94</v>
      </c>
      <c r="H727">
        <v>85.78</v>
      </c>
      <c r="I727">
        <v>18.14</v>
      </c>
      <c r="J727">
        <v>59.98</v>
      </c>
      <c r="K727">
        <v>452</v>
      </c>
      <c r="T727">
        <v>2</v>
      </c>
      <c r="U727">
        <v>2</v>
      </c>
      <c r="V727" t="s">
        <v>233</v>
      </c>
      <c r="W727" t="s">
        <v>1194</v>
      </c>
      <c r="X727">
        <v>25</v>
      </c>
      <c r="Y727">
        <v>13</v>
      </c>
      <c r="Z727" t="s">
        <v>1192</v>
      </c>
      <c r="AA727" t="s">
        <v>1193</v>
      </c>
      <c r="AB727" t="s">
        <v>229</v>
      </c>
      <c r="AC727" t="s">
        <v>230</v>
      </c>
      <c r="AD727" t="s">
        <v>231</v>
      </c>
      <c r="AE727" t="s">
        <v>209</v>
      </c>
      <c r="AG727" t="s">
        <v>243</v>
      </c>
      <c r="AH727">
        <v>0</v>
      </c>
      <c r="AI727">
        <v>199</v>
      </c>
      <c r="AJ727">
        <v>16</v>
      </c>
      <c r="AK727">
        <v>3275</v>
      </c>
      <c r="AL727">
        <v>1.36</v>
      </c>
    </row>
    <row r="728" spans="1:38" x14ac:dyDescent="0.3">
      <c r="A728" t="s">
        <v>1152</v>
      </c>
      <c r="B728">
        <v>142018</v>
      </c>
      <c r="C728">
        <v>3</v>
      </c>
      <c r="D728" t="s">
        <v>1189</v>
      </c>
      <c r="E728" t="s">
        <v>1190</v>
      </c>
      <c r="F728">
        <v>2415</v>
      </c>
      <c r="G728">
        <v>25.9</v>
      </c>
      <c r="H728">
        <v>85.63</v>
      </c>
      <c r="I728">
        <v>18.059999999999999</v>
      </c>
      <c r="J728">
        <v>59.73</v>
      </c>
      <c r="K728">
        <v>451</v>
      </c>
      <c r="T728">
        <v>3</v>
      </c>
      <c r="U728">
        <v>2</v>
      </c>
      <c r="V728" t="s">
        <v>233</v>
      </c>
      <c r="W728" t="s">
        <v>1195</v>
      </c>
      <c r="X728">
        <v>25</v>
      </c>
      <c r="Y728">
        <v>13</v>
      </c>
      <c r="Z728" t="s">
        <v>1192</v>
      </c>
      <c r="AA728" t="s">
        <v>1193</v>
      </c>
      <c r="AB728" t="s">
        <v>229</v>
      </c>
      <c r="AC728" t="s">
        <v>230</v>
      </c>
      <c r="AD728" t="s">
        <v>231</v>
      </c>
      <c r="AE728" t="s">
        <v>209</v>
      </c>
      <c r="AG728" t="s">
        <v>243</v>
      </c>
      <c r="AH728">
        <v>0</v>
      </c>
      <c r="AI728">
        <v>199</v>
      </c>
      <c r="AJ728">
        <v>16</v>
      </c>
      <c r="AK728">
        <v>3275</v>
      </c>
      <c r="AL728">
        <v>1.36</v>
      </c>
    </row>
    <row r="729" spans="1:38" x14ac:dyDescent="0.3">
      <c r="A729" t="s">
        <v>1152</v>
      </c>
      <c r="B729">
        <v>142018</v>
      </c>
      <c r="C729">
        <v>4</v>
      </c>
      <c r="D729" t="s">
        <v>1189</v>
      </c>
      <c r="E729" t="s">
        <v>1190</v>
      </c>
      <c r="F729">
        <v>2415</v>
      </c>
      <c r="G729">
        <v>26.05</v>
      </c>
      <c r="H729">
        <v>86.12</v>
      </c>
      <c r="I729">
        <v>18.14</v>
      </c>
      <c r="J729">
        <v>59.98</v>
      </c>
      <c r="K729">
        <v>622</v>
      </c>
      <c r="T729">
        <v>2</v>
      </c>
      <c r="U729">
        <v>2</v>
      </c>
      <c r="V729" t="s">
        <v>233</v>
      </c>
      <c r="W729" t="s">
        <v>105</v>
      </c>
      <c r="X729">
        <v>25</v>
      </c>
      <c r="Y729">
        <v>13</v>
      </c>
      <c r="Z729" t="s">
        <v>1192</v>
      </c>
      <c r="AA729" t="s">
        <v>1193</v>
      </c>
      <c r="AB729" t="s">
        <v>229</v>
      </c>
      <c r="AC729" t="s">
        <v>230</v>
      </c>
      <c r="AD729" t="s">
        <v>231</v>
      </c>
      <c r="AE729" t="s">
        <v>209</v>
      </c>
      <c r="AG729" t="s">
        <v>243</v>
      </c>
      <c r="AH729">
        <v>0</v>
      </c>
      <c r="AI729">
        <v>199</v>
      </c>
      <c r="AJ729">
        <v>16</v>
      </c>
      <c r="AK729">
        <v>3275</v>
      </c>
      <c r="AL729">
        <v>1.36</v>
      </c>
    </row>
    <row r="730" spans="1:38" x14ac:dyDescent="0.3">
      <c r="A730" t="s">
        <v>1152</v>
      </c>
      <c r="B730">
        <v>25529</v>
      </c>
      <c r="C730">
        <v>1</v>
      </c>
      <c r="D730" t="s">
        <v>1196</v>
      </c>
      <c r="E730" t="s">
        <v>1197</v>
      </c>
      <c r="F730">
        <v>199</v>
      </c>
      <c r="G730">
        <v>10.84</v>
      </c>
      <c r="H730">
        <v>35.840000000000003</v>
      </c>
      <c r="I730">
        <v>8.66</v>
      </c>
      <c r="J730">
        <v>28.65</v>
      </c>
      <c r="K730">
        <v>100</v>
      </c>
      <c r="T730">
        <v>1</v>
      </c>
      <c r="U730">
        <v>1</v>
      </c>
      <c r="V730" t="s">
        <v>226</v>
      </c>
      <c r="W730">
        <v>35</v>
      </c>
      <c r="X730">
        <v>11</v>
      </c>
      <c r="Y730">
        <v>4</v>
      </c>
      <c r="Z730" t="s">
        <v>1198</v>
      </c>
      <c r="AA730" t="s">
        <v>1199</v>
      </c>
      <c r="AB730" t="s">
        <v>229</v>
      </c>
      <c r="AC730" t="s">
        <v>230</v>
      </c>
      <c r="AD730" t="s">
        <v>231</v>
      </c>
      <c r="AE730" t="s">
        <v>209</v>
      </c>
      <c r="AG730" t="s">
        <v>1200</v>
      </c>
      <c r="AH730">
        <v>0</v>
      </c>
      <c r="AI730">
        <v>234</v>
      </c>
      <c r="AJ730">
        <v>42</v>
      </c>
      <c r="AK730">
        <v>65</v>
      </c>
      <c r="AL730">
        <v>0.33</v>
      </c>
    </row>
    <row r="731" spans="1:38" x14ac:dyDescent="0.3">
      <c r="A731" t="s">
        <v>1152</v>
      </c>
      <c r="B731">
        <v>25529</v>
      </c>
      <c r="C731">
        <v>2</v>
      </c>
      <c r="D731" t="s">
        <v>1196</v>
      </c>
      <c r="E731" t="s">
        <v>1197</v>
      </c>
      <c r="F731">
        <v>199</v>
      </c>
      <c r="G731">
        <v>16.38</v>
      </c>
      <c r="H731">
        <v>54.15</v>
      </c>
      <c r="I731">
        <v>13.09</v>
      </c>
      <c r="J731">
        <v>43.29</v>
      </c>
      <c r="K731">
        <v>79</v>
      </c>
      <c r="T731">
        <v>1</v>
      </c>
      <c r="U731">
        <v>1</v>
      </c>
      <c r="V731" t="s">
        <v>226</v>
      </c>
      <c r="W731">
        <v>54</v>
      </c>
      <c r="X731">
        <v>11</v>
      </c>
      <c r="Y731">
        <v>4</v>
      </c>
      <c r="Z731" t="s">
        <v>1198</v>
      </c>
      <c r="AA731" t="s">
        <v>1199</v>
      </c>
      <c r="AB731" t="s">
        <v>229</v>
      </c>
      <c r="AC731" t="s">
        <v>230</v>
      </c>
      <c r="AD731" t="s">
        <v>231</v>
      </c>
      <c r="AE731" t="s">
        <v>209</v>
      </c>
      <c r="AG731" t="s">
        <v>1200</v>
      </c>
      <c r="AH731">
        <v>0</v>
      </c>
      <c r="AI731">
        <v>234</v>
      </c>
      <c r="AJ731">
        <v>42</v>
      </c>
      <c r="AK731">
        <v>65</v>
      </c>
      <c r="AL731">
        <v>0.33</v>
      </c>
    </row>
    <row r="732" spans="1:38" x14ac:dyDescent="0.3">
      <c r="A732" t="s">
        <v>1152</v>
      </c>
      <c r="B732">
        <v>25529</v>
      </c>
      <c r="C732">
        <v>3</v>
      </c>
      <c r="D732" t="s">
        <v>1196</v>
      </c>
      <c r="E732" t="s">
        <v>1197</v>
      </c>
      <c r="F732">
        <v>199</v>
      </c>
      <c r="G732">
        <v>33.75</v>
      </c>
      <c r="H732">
        <v>111.58</v>
      </c>
      <c r="I732">
        <v>31.29</v>
      </c>
      <c r="J732">
        <v>103.47</v>
      </c>
      <c r="K732">
        <v>20</v>
      </c>
      <c r="T732">
        <v>3</v>
      </c>
      <c r="U732">
        <v>1</v>
      </c>
      <c r="V732" t="s">
        <v>233</v>
      </c>
      <c r="W732">
        <v>111</v>
      </c>
      <c r="X732">
        <v>11</v>
      </c>
      <c r="Y732">
        <v>4</v>
      </c>
      <c r="Z732" t="s">
        <v>1198</v>
      </c>
      <c r="AA732" t="s">
        <v>1199</v>
      </c>
      <c r="AB732" t="s">
        <v>229</v>
      </c>
      <c r="AC732" t="s">
        <v>230</v>
      </c>
      <c r="AD732" t="s">
        <v>231</v>
      </c>
      <c r="AE732" t="s">
        <v>209</v>
      </c>
      <c r="AG732" t="s">
        <v>1200</v>
      </c>
      <c r="AH732">
        <v>0</v>
      </c>
      <c r="AI732">
        <v>234</v>
      </c>
      <c r="AJ732">
        <v>42</v>
      </c>
      <c r="AK732">
        <v>65</v>
      </c>
      <c r="AL732">
        <v>0.33</v>
      </c>
    </row>
    <row r="733" spans="1:38" x14ac:dyDescent="0.3">
      <c r="A733" t="s">
        <v>1152</v>
      </c>
      <c r="B733">
        <v>100391</v>
      </c>
      <c r="C733">
        <v>1</v>
      </c>
      <c r="D733" t="s">
        <v>1201</v>
      </c>
      <c r="E733" t="s">
        <v>1202</v>
      </c>
      <c r="F733">
        <v>400</v>
      </c>
      <c r="G733">
        <v>33.049999999999997</v>
      </c>
      <c r="H733">
        <v>109.26</v>
      </c>
      <c r="I733">
        <v>25.63</v>
      </c>
      <c r="J733">
        <v>84.76</v>
      </c>
      <c r="K733">
        <v>298</v>
      </c>
      <c r="T733">
        <v>3</v>
      </c>
      <c r="U733">
        <v>2</v>
      </c>
      <c r="V733" t="s">
        <v>233</v>
      </c>
      <c r="W733" t="s">
        <v>66</v>
      </c>
      <c r="X733">
        <v>30</v>
      </c>
      <c r="Y733">
        <v>24</v>
      </c>
      <c r="Z733" t="s">
        <v>1203</v>
      </c>
      <c r="AA733" t="s">
        <v>1204</v>
      </c>
      <c r="AB733" t="s">
        <v>229</v>
      </c>
      <c r="AC733" t="s">
        <v>230</v>
      </c>
      <c r="AD733" t="s">
        <v>231</v>
      </c>
      <c r="AE733" t="s">
        <v>209</v>
      </c>
      <c r="AG733" t="s">
        <v>1205</v>
      </c>
      <c r="AH733">
        <v>0</v>
      </c>
      <c r="AI733">
        <v>179</v>
      </c>
      <c r="AJ733">
        <v>14</v>
      </c>
      <c r="AK733">
        <v>589</v>
      </c>
      <c r="AL733">
        <v>1.47</v>
      </c>
    </row>
    <row r="734" spans="1:38" x14ac:dyDescent="0.3">
      <c r="A734" t="s">
        <v>1152</v>
      </c>
      <c r="B734">
        <v>100391</v>
      </c>
      <c r="C734">
        <v>2</v>
      </c>
      <c r="D734" t="s">
        <v>1201</v>
      </c>
      <c r="E734" t="s">
        <v>1202</v>
      </c>
      <c r="F734">
        <v>400</v>
      </c>
      <c r="G734">
        <v>33.130000000000003</v>
      </c>
      <c r="H734">
        <v>109.54</v>
      </c>
      <c r="I734">
        <v>25.67</v>
      </c>
      <c r="J734">
        <v>84.86</v>
      </c>
      <c r="K734">
        <v>102</v>
      </c>
      <c r="T734">
        <v>3</v>
      </c>
      <c r="U734">
        <v>2</v>
      </c>
      <c r="V734" t="s">
        <v>233</v>
      </c>
      <c r="W734" t="s">
        <v>67</v>
      </c>
      <c r="X734">
        <v>30</v>
      </c>
      <c r="Y734">
        <v>24</v>
      </c>
      <c r="Z734" t="s">
        <v>1203</v>
      </c>
      <c r="AA734" t="s">
        <v>1204</v>
      </c>
      <c r="AB734" t="s">
        <v>229</v>
      </c>
      <c r="AC734" t="s">
        <v>230</v>
      </c>
      <c r="AD734" t="s">
        <v>231</v>
      </c>
      <c r="AE734" t="s">
        <v>209</v>
      </c>
      <c r="AG734" t="s">
        <v>1205</v>
      </c>
      <c r="AH734">
        <v>0</v>
      </c>
      <c r="AI734">
        <v>179</v>
      </c>
      <c r="AJ734">
        <v>14</v>
      </c>
      <c r="AK734">
        <v>589</v>
      </c>
      <c r="AL734">
        <v>1.47</v>
      </c>
    </row>
    <row r="735" spans="1:38" x14ac:dyDescent="0.3">
      <c r="A735" t="s">
        <v>1152</v>
      </c>
      <c r="B735">
        <v>117313</v>
      </c>
      <c r="C735">
        <v>1</v>
      </c>
      <c r="D735" t="s">
        <v>1206</v>
      </c>
      <c r="E735" t="s">
        <v>1207</v>
      </c>
      <c r="F735">
        <v>970</v>
      </c>
      <c r="G735">
        <v>30.39</v>
      </c>
      <c r="H735">
        <v>100.49</v>
      </c>
      <c r="I735">
        <v>23.43</v>
      </c>
      <c r="J735">
        <v>77.47</v>
      </c>
      <c r="K735">
        <v>100</v>
      </c>
      <c r="T735">
        <v>3</v>
      </c>
      <c r="U735">
        <v>2</v>
      </c>
      <c r="V735" t="s">
        <v>233</v>
      </c>
      <c r="W735" t="s">
        <v>1208</v>
      </c>
      <c r="X735">
        <v>25</v>
      </c>
      <c r="Y735">
        <v>23</v>
      </c>
      <c r="Z735" t="s">
        <v>1209</v>
      </c>
      <c r="AA735" t="s">
        <v>1210</v>
      </c>
      <c r="AB735" t="s">
        <v>229</v>
      </c>
      <c r="AC735" t="s">
        <v>230</v>
      </c>
      <c r="AD735" t="s">
        <v>231</v>
      </c>
      <c r="AE735" t="s">
        <v>209</v>
      </c>
      <c r="AG735" t="s">
        <v>1211</v>
      </c>
      <c r="AH735">
        <v>970</v>
      </c>
      <c r="AI735">
        <v>0</v>
      </c>
      <c r="AJ735">
        <v>0</v>
      </c>
      <c r="AK735">
        <v>1249</v>
      </c>
      <c r="AL735">
        <v>1.29</v>
      </c>
    </row>
    <row r="736" spans="1:38" x14ac:dyDescent="0.3">
      <c r="A736" t="s">
        <v>1152</v>
      </c>
      <c r="B736">
        <v>117313</v>
      </c>
      <c r="C736">
        <v>2</v>
      </c>
      <c r="D736" t="s">
        <v>1206</v>
      </c>
      <c r="E736" t="s">
        <v>1207</v>
      </c>
      <c r="F736">
        <v>970</v>
      </c>
      <c r="G736">
        <v>30.68</v>
      </c>
      <c r="H736">
        <v>101.44</v>
      </c>
      <c r="I736">
        <v>23.54</v>
      </c>
      <c r="J736">
        <v>77.819999999999993</v>
      </c>
      <c r="K736">
        <v>90</v>
      </c>
      <c r="T736">
        <v>3</v>
      </c>
      <c r="U736">
        <v>2</v>
      </c>
      <c r="V736" t="s">
        <v>233</v>
      </c>
      <c r="W736" t="s">
        <v>150</v>
      </c>
      <c r="X736">
        <v>25</v>
      </c>
      <c r="Y736">
        <v>23</v>
      </c>
      <c r="Z736" t="s">
        <v>1209</v>
      </c>
      <c r="AA736" t="s">
        <v>1210</v>
      </c>
      <c r="AB736" t="s">
        <v>229</v>
      </c>
      <c r="AC736" t="s">
        <v>230</v>
      </c>
      <c r="AD736" t="s">
        <v>231</v>
      </c>
      <c r="AE736" t="s">
        <v>209</v>
      </c>
      <c r="AG736" t="s">
        <v>1211</v>
      </c>
      <c r="AH736">
        <v>970</v>
      </c>
      <c r="AI736">
        <v>0</v>
      </c>
      <c r="AJ736">
        <v>0</v>
      </c>
      <c r="AK736">
        <v>1249</v>
      </c>
      <c r="AL736">
        <v>1.29</v>
      </c>
    </row>
    <row r="737" spans="1:38" x14ac:dyDescent="0.3">
      <c r="A737" t="s">
        <v>1152</v>
      </c>
      <c r="B737">
        <v>117313</v>
      </c>
      <c r="C737">
        <v>3</v>
      </c>
      <c r="D737" t="s">
        <v>1206</v>
      </c>
      <c r="E737" t="s">
        <v>1207</v>
      </c>
      <c r="F737">
        <v>970</v>
      </c>
      <c r="G737">
        <v>33.380000000000003</v>
      </c>
      <c r="H737">
        <v>110.35</v>
      </c>
      <c r="I737">
        <v>25.7</v>
      </c>
      <c r="J737">
        <v>84.99</v>
      </c>
      <c r="K737">
        <v>780</v>
      </c>
      <c r="T737">
        <v>3</v>
      </c>
      <c r="U737">
        <v>2</v>
      </c>
      <c r="V737" t="s">
        <v>233</v>
      </c>
      <c r="W737">
        <v>110</v>
      </c>
      <c r="X737">
        <v>25</v>
      </c>
      <c r="Y737">
        <v>23</v>
      </c>
      <c r="Z737" t="s">
        <v>1209</v>
      </c>
      <c r="AA737" t="s">
        <v>1210</v>
      </c>
      <c r="AB737" t="s">
        <v>229</v>
      </c>
      <c r="AC737" t="s">
        <v>230</v>
      </c>
      <c r="AD737" t="s">
        <v>231</v>
      </c>
      <c r="AE737" t="s">
        <v>209</v>
      </c>
      <c r="AG737" t="s">
        <v>1211</v>
      </c>
      <c r="AH737">
        <v>970</v>
      </c>
      <c r="AI737">
        <v>0</v>
      </c>
      <c r="AJ737">
        <v>0</v>
      </c>
      <c r="AK737">
        <v>1249</v>
      </c>
      <c r="AL737">
        <v>1.29</v>
      </c>
    </row>
    <row r="738" spans="1:38" x14ac:dyDescent="0.3">
      <c r="A738" t="s">
        <v>1152</v>
      </c>
      <c r="B738">
        <v>26318</v>
      </c>
      <c r="C738">
        <v>1</v>
      </c>
      <c r="D738" t="s">
        <v>1212</v>
      </c>
      <c r="E738" t="s">
        <v>1213</v>
      </c>
      <c r="F738">
        <v>634</v>
      </c>
      <c r="G738">
        <v>33.49</v>
      </c>
      <c r="H738">
        <v>110.73</v>
      </c>
      <c r="I738">
        <v>25.67</v>
      </c>
      <c r="J738">
        <v>84.88</v>
      </c>
      <c r="K738">
        <v>224</v>
      </c>
      <c r="T738">
        <v>3</v>
      </c>
      <c r="U738">
        <v>2</v>
      </c>
      <c r="V738" t="s">
        <v>233</v>
      </c>
      <c r="W738" t="s">
        <v>135</v>
      </c>
      <c r="X738">
        <v>30</v>
      </c>
      <c r="Y738">
        <v>25</v>
      </c>
      <c r="Z738" t="s">
        <v>1214</v>
      </c>
      <c r="AA738" t="s">
        <v>1215</v>
      </c>
      <c r="AB738" t="s">
        <v>229</v>
      </c>
      <c r="AC738" t="s">
        <v>230</v>
      </c>
      <c r="AD738" t="s">
        <v>231</v>
      </c>
      <c r="AE738" t="s">
        <v>209</v>
      </c>
      <c r="AG738" t="s">
        <v>1216</v>
      </c>
      <c r="AH738">
        <v>0</v>
      </c>
      <c r="AI738">
        <v>179</v>
      </c>
      <c r="AJ738">
        <v>13</v>
      </c>
      <c r="AK738">
        <v>729</v>
      </c>
      <c r="AL738">
        <v>1.1499999999999999</v>
      </c>
    </row>
    <row r="739" spans="1:38" x14ac:dyDescent="0.3">
      <c r="A739" t="s">
        <v>1152</v>
      </c>
      <c r="B739">
        <v>26318</v>
      </c>
      <c r="C739">
        <v>2</v>
      </c>
      <c r="D739" t="s">
        <v>1212</v>
      </c>
      <c r="E739" t="s">
        <v>1213</v>
      </c>
      <c r="F739">
        <v>634</v>
      </c>
      <c r="G739">
        <v>33.61</v>
      </c>
      <c r="H739">
        <v>111.12</v>
      </c>
      <c r="I739">
        <v>25.67</v>
      </c>
      <c r="J739">
        <v>84.88</v>
      </c>
      <c r="K739">
        <v>270</v>
      </c>
      <c r="T739">
        <v>3</v>
      </c>
      <c r="U739">
        <v>2</v>
      </c>
      <c r="V739" t="s">
        <v>233</v>
      </c>
      <c r="W739" t="s">
        <v>180</v>
      </c>
      <c r="X739">
        <v>30</v>
      </c>
      <c r="Y739">
        <v>25</v>
      </c>
      <c r="Z739" t="s">
        <v>1214</v>
      </c>
      <c r="AA739" t="s">
        <v>1215</v>
      </c>
      <c r="AB739" t="s">
        <v>229</v>
      </c>
      <c r="AC739" t="s">
        <v>230</v>
      </c>
      <c r="AD739" t="s">
        <v>231</v>
      </c>
      <c r="AE739" t="s">
        <v>209</v>
      </c>
      <c r="AG739" t="s">
        <v>1216</v>
      </c>
      <c r="AH739">
        <v>0</v>
      </c>
      <c r="AI739">
        <v>179</v>
      </c>
      <c r="AJ739">
        <v>13</v>
      </c>
      <c r="AK739">
        <v>729</v>
      </c>
      <c r="AL739">
        <v>1.1499999999999999</v>
      </c>
    </row>
    <row r="740" spans="1:38" x14ac:dyDescent="0.3">
      <c r="A740" t="s">
        <v>1152</v>
      </c>
      <c r="B740">
        <v>26318</v>
      </c>
      <c r="C740">
        <v>3</v>
      </c>
      <c r="D740" t="s">
        <v>1212</v>
      </c>
      <c r="E740" t="s">
        <v>1213</v>
      </c>
      <c r="F740">
        <v>634</v>
      </c>
      <c r="G740">
        <v>33.89</v>
      </c>
      <c r="H740">
        <v>112.05</v>
      </c>
      <c r="I740">
        <v>25.7</v>
      </c>
      <c r="J740">
        <v>84.96</v>
      </c>
      <c r="K740">
        <v>140</v>
      </c>
      <c r="T740">
        <v>3</v>
      </c>
      <c r="U740">
        <v>2</v>
      </c>
      <c r="V740" t="s">
        <v>233</v>
      </c>
      <c r="W740" t="s">
        <v>113</v>
      </c>
      <c r="X740">
        <v>30</v>
      </c>
      <c r="Y740">
        <v>25</v>
      </c>
      <c r="Z740" t="s">
        <v>1214</v>
      </c>
      <c r="AA740" t="s">
        <v>1215</v>
      </c>
      <c r="AB740" t="s">
        <v>229</v>
      </c>
      <c r="AC740" t="s">
        <v>230</v>
      </c>
      <c r="AD740" t="s">
        <v>231</v>
      </c>
      <c r="AE740" t="s">
        <v>209</v>
      </c>
      <c r="AG740" t="s">
        <v>1216</v>
      </c>
      <c r="AH740">
        <v>0</v>
      </c>
      <c r="AI740">
        <v>179</v>
      </c>
      <c r="AJ740">
        <v>13</v>
      </c>
      <c r="AK740">
        <v>729</v>
      </c>
      <c r="AL740">
        <v>1.1499999999999999</v>
      </c>
    </row>
    <row r="741" spans="1:38" x14ac:dyDescent="0.3">
      <c r="A741" t="s">
        <v>1152</v>
      </c>
      <c r="B741">
        <v>101276</v>
      </c>
      <c r="C741">
        <v>1</v>
      </c>
      <c r="D741" t="s">
        <v>1217</v>
      </c>
      <c r="E741" t="s">
        <v>1218</v>
      </c>
      <c r="F741">
        <v>304</v>
      </c>
      <c r="G741">
        <v>34.22</v>
      </c>
      <c r="H741">
        <v>113.13</v>
      </c>
      <c r="I741">
        <v>25.7</v>
      </c>
      <c r="J741">
        <v>84.99</v>
      </c>
      <c r="K741">
        <v>184</v>
      </c>
      <c r="T741">
        <v>3</v>
      </c>
      <c r="U741">
        <v>2</v>
      </c>
      <c r="V741" t="s">
        <v>233</v>
      </c>
      <c r="W741" t="s">
        <v>153</v>
      </c>
      <c r="X741">
        <v>28</v>
      </c>
      <c r="Y741">
        <v>19</v>
      </c>
      <c r="Z741" t="s">
        <v>1219</v>
      </c>
      <c r="AA741" t="s">
        <v>1220</v>
      </c>
      <c r="AB741" t="s">
        <v>229</v>
      </c>
      <c r="AC741" t="s">
        <v>230</v>
      </c>
      <c r="AD741" t="s">
        <v>231</v>
      </c>
      <c r="AE741" t="s">
        <v>209</v>
      </c>
      <c r="AG741" t="s">
        <v>1221</v>
      </c>
      <c r="AH741">
        <v>0</v>
      </c>
      <c r="AI741">
        <v>179</v>
      </c>
      <c r="AJ741">
        <v>15</v>
      </c>
      <c r="AK741">
        <v>410</v>
      </c>
      <c r="AL741">
        <v>1.35</v>
      </c>
    </row>
    <row r="742" spans="1:38" x14ac:dyDescent="0.3">
      <c r="A742" t="s">
        <v>1152</v>
      </c>
      <c r="B742">
        <v>101276</v>
      </c>
      <c r="C742">
        <v>2</v>
      </c>
      <c r="D742" t="s">
        <v>1217</v>
      </c>
      <c r="E742" t="s">
        <v>1218</v>
      </c>
      <c r="F742">
        <v>304</v>
      </c>
      <c r="G742">
        <v>34.22</v>
      </c>
      <c r="H742">
        <v>113.13</v>
      </c>
      <c r="I742">
        <v>25.7</v>
      </c>
      <c r="J742">
        <v>84.99</v>
      </c>
      <c r="K742">
        <v>120</v>
      </c>
      <c r="T742">
        <v>3</v>
      </c>
      <c r="U742">
        <v>2</v>
      </c>
      <c r="V742" t="s">
        <v>233</v>
      </c>
      <c r="W742" t="s">
        <v>160</v>
      </c>
      <c r="X742">
        <v>28</v>
      </c>
      <c r="Y742">
        <v>19</v>
      </c>
      <c r="Z742" t="s">
        <v>1219</v>
      </c>
      <c r="AA742" t="s">
        <v>1220</v>
      </c>
      <c r="AB742" t="s">
        <v>229</v>
      </c>
      <c r="AC742" t="s">
        <v>230</v>
      </c>
      <c r="AD742" t="s">
        <v>231</v>
      </c>
      <c r="AE742" t="s">
        <v>209</v>
      </c>
      <c r="AG742" t="s">
        <v>1221</v>
      </c>
      <c r="AH742">
        <v>0</v>
      </c>
      <c r="AI742">
        <v>179</v>
      </c>
      <c r="AJ742">
        <v>15</v>
      </c>
      <c r="AK742">
        <v>410</v>
      </c>
      <c r="AL742">
        <v>1.35</v>
      </c>
    </row>
    <row r="743" spans="1:38" x14ac:dyDescent="0.3">
      <c r="A743" t="s">
        <v>1152</v>
      </c>
      <c r="B743">
        <v>15374</v>
      </c>
      <c r="C743">
        <v>1</v>
      </c>
      <c r="D743" t="s">
        <v>1222</v>
      </c>
      <c r="E743" t="s">
        <v>932</v>
      </c>
      <c r="F743">
        <v>110</v>
      </c>
      <c r="G743">
        <v>23.78</v>
      </c>
      <c r="H743">
        <v>78.63</v>
      </c>
      <c r="I743">
        <v>18.14</v>
      </c>
      <c r="J743">
        <v>59.99</v>
      </c>
      <c r="K743">
        <v>50</v>
      </c>
      <c r="T743">
        <v>3</v>
      </c>
      <c r="U743">
        <v>1</v>
      </c>
      <c r="V743" t="s">
        <v>233</v>
      </c>
      <c r="W743">
        <v>78</v>
      </c>
      <c r="X743">
        <v>15</v>
      </c>
      <c r="Y743">
        <v>8</v>
      </c>
      <c r="Z743" t="s">
        <v>1223</v>
      </c>
      <c r="AA743" t="s">
        <v>1224</v>
      </c>
      <c r="AB743" t="s">
        <v>229</v>
      </c>
      <c r="AC743" t="s">
        <v>230</v>
      </c>
      <c r="AD743" t="s">
        <v>231</v>
      </c>
      <c r="AE743" t="s">
        <v>209</v>
      </c>
      <c r="AG743" t="s">
        <v>1225</v>
      </c>
      <c r="AH743">
        <v>0</v>
      </c>
      <c r="AI743">
        <v>222</v>
      </c>
      <c r="AJ743">
        <v>23</v>
      </c>
      <c r="AK743">
        <v>83</v>
      </c>
      <c r="AL743">
        <v>0.75</v>
      </c>
    </row>
    <row r="744" spans="1:38" x14ac:dyDescent="0.3">
      <c r="A744" t="s">
        <v>1152</v>
      </c>
      <c r="B744">
        <v>15374</v>
      </c>
      <c r="C744">
        <v>2</v>
      </c>
      <c r="D744" t="s">
        <v>1222</v>
      </c>
      <c r="E744" t="s">
        <v>932</v>
      </c>
      <c r="F744">
        <v>110</v>
      </c>
      <c r="G744">
        <v>32.020000000000003</v>
      </c>
      <c r="H744">
        <v>105.87</v>
      </c>
      <c r="I744">
        <v>25.7</v>
      </c>
      <c r="J744">
        <v>84.96</v>
      </c>
      <c r="K744">
        <v>60</v>
      </c>
      <c r="T744">
        <v>3</v>
      </c>
      <c r="U744">
        <v>2</v>
      </c>
      <c r="V744" t="s">
        <v>233</v>
      </c>
      <c r="W744">
        <v>105</v>
      </c>
      <c r="X744">
        <v>15</v>
      </c>
      <c r="Y744">
        <v>8</v>
      </c>
      <c r="Z744" t="s">
        <v>1223</v>
      </c>
      <c r="AA744" t="s">
        <v>1224</v>
      </c>
      <c r="AB744" t="s">
        <v>229</v>
      </c>
      <c r="AC744" t="s">
        <v>230</v>
      </c>
      <c r="AD744" t="s">
        <v>231</v>
      </c>
      <c r="AE744" t="s">
        <v>209</v>
      </c>
      <c r="AG744" t="s">
        <v>1225</v>
      </c>
      <c r="AH744">
        <v>0</v>
      </c>
      <c r="AI744">
        <v>222</v>
      </c>
      <c r="AJ744">
        <v>23</v>
      </c>
      <c r="AK744">
        <v>83</v>
      </c>
      <c r="AL744">
        <v>0.75</v>
      </c>
    </row>
    <row r="745" spans="1:38" x14ac:dyDescent="0.3">
      <c r="A745" t="s">
        <v>1152</v>
      </c>
      <c r="B745">
        <v>24261</v>
      </c>
      <c r="C745">
        <v>1</v>
      </c>
      <c r="D745" t="s">
        <v>1226</v>
      </c>
      <c r="E745" t="s">
        <v>1227</v>
      </c>
      <c r="F745">
        <v>120</v>
      </c>
      <c r="G745">
        <v>21.84</v>
      </c>
      <c r="H745">
        <v>72.209999999999994</v>
      </c>
      <c r="I745">
        <v>18.03</v>
      </c>
      <c r="J745">
        <v>59.62</v>
      </c>
      <c r="K745">
        <v>120</v>
      </c>
      <c r="T745">
        <v>3</v>
      </c>
      <c r="U745">
        <v>1</v>
      </c>
      <c r="V745" t="s">
        <v>233</v>
      </c>
      <c r="W745">
        <v>72</v>
      </c>
      <c r="X745">
        <v>15</v>
      </c>
      <c r="Y745">
        <v>15</v>
      </c>
      <c r="Z745" t="s">
        <v>1228</v>
      </c>
      <c r="AA745" t="s">
        <v>1229</v>
      </c>
      <c r="AB745" t="s">
        <v>229</v>
      </c>
      <c r="AC745" t="s">
        <v>230</v>
      </c>
      <c r="AD745" t="s">
        <v>231</v>
      </c>
      <c r="AE745" t="s">
        <v>209</v>
      </c>
      <c r="AG745" t="s">
        <v>1230</v>
      </c>
      <c r="AH745">
        <v>0</v>
      </c>
      <c r="AI745">
        <v>0</v>
      </c>
      <c r="AJ745">
        <v>0</v>
      </c>
      <c r="AK745">
        <v>70</v>
      </c>
      <c r="AL745">
        <v>0.57999999999999996</v>
      </c>
    </row>
    <row r="746" spans="1:38" x14ac:dyDescent="0.3">
      <c r="A746" t="s">
        <v>1152</v>
      </c>
      <c r="B746">
        <v>109064</v>
      </c>
      <c r="C746">
        <v>1</v>
      </c>
      <c r="D746" t="s">
        <v>1231</v>
      </c>
      <c r="E746" t="s">
        <v>1232</v>
      </c>
      <c r="F746">
        <v>127</v>
      </c>
      <c r="G746">
        <v>10.15</v>
      </c>
      <c r="H746">
        <v>33.57</v>
      </c>
      <c r="I746">
        <v>6.44</v>
      </c>
      <c r="J746">
        <v>21.31</v>
      </c>
      <c r="K746">
        <v>87</v>
      </c>
      <c r="T746">
        <v>1</v>
      </c>
      <c r="U746">
        <v>1</v>
      </c>
      <c r="V746" t="s">
        <v>233</v>
      </c>
      <c r="W746">
        <v>33</v>
      </c>
      <c r="X746">
        <v>8</v>
      </c>
      <c r="Y746">
        <v>8</v>
      </c>
      <c r="Z746" t="s">
        <v>1233</v>
      </c>
      <c r="AA746" t="s">
        <v>1234</v>
      </c>
      <c r="AB746" t="s">
        <v>229</v>
      </c>
      <c r="AC746" t="s">
        <v>230</v>
      </c>
      <c r="AD746" t="s">
        <v>231</v>
      </c>
      <c r="AE746" t="s">
        <v>209</v>
      </c>
      <c r="AG746" t="s">
        <v>1235</v>
      </c>
      <c r="AH746">
        <v>0</v>
      </c>
      <c r="AI746">
        <v>96</v>
      </c>
      <c r="AJ746">
        <v>17</v>
      </c>
      <c r="AK746">
        <v>93</v>
      </c>
      <c r="AL746">
        <v>0.73</v>
      </c>
    </row>
    <row r="747" spans="1:38" x14ac:dyDescent="0.3">
      <c r="A747" t="s">
        <v>1152</v>
      </c>
      <c r="B747">
        <v>109064</v>
      </c>
      <c r="C747">
        <v>2</v>
      </c>
      <c r="D747" t="s">
        <v>1231</v>
      </c>
      <c r="E747" t="s">
        <v>1232</v>
      </c>
      <c r="F747">
        <v>127</v>
      </c>
      <c r="G747">
        <v>16.13</v>
      </c>
      <c r="H747">
        <v>53.34</v>
      </c>
      <c r="I747">
        <v>10.42</v>
      </c>
      <c r="J747">
        <v>34.450000000000003</v>
      </c>
      <c r="K747">
        <v>40</v>
      </c>
      <c r="T747">
        <v>1</v>
      </c>
      <c r="U747">
        <v>1</v>
      </c>
      <c r="V747" t="s">
        <v>233</v>
      </c>
      <c r="W747">
        <v>53</v>
      </c>
      <c r="X747">
        <v>8</v>
      </c>
      <c r="Y747">
        <v>8</v>
      </c>
      <c r="Z747" t="s">
        <v>1233</v>
      </c>
      <c r="AA747" t="s">
        <v>1234</v>
      </c>
      <c r="AB747" t="s">
        <v>229</v>
      </c>
      <c r="AC747" t="s">
        <v>230</v>
      </c>
      <c r="AD747" t="s">
        <v>231</v>
      </c>
      <c r="AE747" t="s">
        <v>209</v>
      </c>
      <c r="AG747" t="s">
        <v>1235</v>
      </c>
      <c r="AH747">
        <v>0</v>
      </c>
      <c r="AI747">
        <v>96</v>
      </c>
      <c r="AJ747">
        <v>17</v>
      </c>
      <c r="AK747">
        <v>93</v>
      </c>
      <c r="AL747">
        <v>0.73</v>
      </c>
    </row>
    <row r="748" spans="1:38" x14ac:dyDescent="0.3">
      <c r="A748" t="s">
        <v>1236</v>
      </c>
      <c r="B748">
        <v>15386</v>
      </c>
      <c r="C748">
        <v>1</v>
      </c>
      <c r="D748" t="s">
        <v>1237</v>
      </c>
      <c r="E748" t="s">
        <v>973</v>
      </c>
      <c r="F748">
        <v>288</v>
      </c>
      <c r="G748">
        <v>23.21</v>
      </c>
      <c r="H748">
        <v>76.75</v>
      </c>
      <c r="I748">
        <v>18.12</v>
      </c>
      <c r="J748">
        <v>59.93</v>
      </c>
      <c r="K748">
        <v>288</v>
      </c>
      <c r="T748">
        <v>3</v>
      </c>
      <c r="U748">
        <v>2</v>
      </c>
      <c r="V748" t="s">
        <v>233</v>
      </c>
      <c r="W748">
        <v>76</v>
      </c>
      <c r="X748">
        <v>12</v>
      </c>
      <c r="Y748">
        <v>12</v>
      </c>
      <c r="Z748" t="s">
        <v>1238</v>
      </c>
      <c r="AA748" t="s">
        <v>1239</v>
      </c>
      <c r="AB748" t="s">
        <v>229</v>
      </c>
      <c r="AC748" t="s">
        <v>230</v>
      </c>
      <c r="AD748" t="s">
        <v>231</v>
      </c>
      <c r="AE748" t="s">
        <v>1240</v>
      </c>
      <c r="AG748" t="s">
        <v>1241</v>
      </c>
      <c r="AH748">
        <v>0</v>
      </c>
      <c r="AI748">
        <v>154</v>
      </c>
      <c r="AJ748">
        <v>18</v>
      </c>
      <c r="AK748">
        <v>224</v>
      </c>
      <c r="AL748">
        <v>0.78</v>
      </c>
    </row>
    <row r="749" spans="1:38" x14ac:dyDescent="0.3">
      <c r="A749" t="s">
        <v>1236</v>
      </c>
      <c r="B749">
        <v>121170</v>
      </c>
      <c r="C749">
        <v>1</v>
      </c>
      <c r="D749" t="s">
        <v>1242</v>
      </c>
      <c r="E749" t="s">
        <v>1243</v>
      </c>
      <c r="F749">
        <v>49</v>
      </c>
      <c r="G749">
        <v>22.29</v>
      </c>
      <c r="H749">
        <v>73.7</v>
      </c>
      <c r="I749">
        <v>18.100000000000001</v>
      </c>
      <c r="J749">
        <v>59.85</v>
      </c>
      <c r="K749">
        <v>44</v>
      </c>
      <c r="T749">
        <v>3</v>
      </c>
      <c r="U749">
        <v>1</v>
      </c>
      <c r="V749" t="s">
        <v>226</v>
      </c>
      <c r="W749">
        <v>73</v>
      </c>
      <c r="X749">
        <v>6</v>
      </c>
      <c r="Y749">
        <v>5</v>
      </c>
      <c r="Z749" t="s">
        <v>1244</v>
      </c>
      <c r="AA749" t="s">
        <v>1245</v>
      </c>
      <c r="AB749" t="s">
        <v>229</v>
      </c>
      <c r="AC749" t="s">
        <v>230</v>
      </c>
      <c r="AD749" t="s">
        <v>231</v>
      </c>
      <c r="AE749" t="s">
        <v>1240</v>
      </c>
      <c r="AG749" t="s">
        <v>1246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">
      <c r="A750" t="s">
        <v>1236</v>
      </c>
      <c r="B750">
        <v>121170</v>
      </c>
      <c r="C750">
        <v>2</v>
      </c>
      <c r="D750" t="s">
        <v>1242</v>
      </c>
      <c r="E750" t="s">
        <v>1243</v>
      </c>
      <c r="F750">
        <v>49</v>
      </c>
      <c r="G750">
        <v>24.26</v>
      </c>
      <c r="H750">
        <v>80.2</v>
      </c>
      <c r="I750">
        <v>18.100000000000001</v>
      </c>
      <c r="J750">
        <v>59.85</v>
      </c>
      <c r="K750">
        <v>5</v>
      </c>
      <c r="T750">
        <v>3</v>
      </c>
      <c r="U750">
        <v>1</v>
      </c>
      <c r="V750" t="s">
        <v>226</v>
      </c>
      <c r="W750">
        <v>80</v>
      </c>
      <c r="X750">
        <v>6</v>
      </c>
      <c r="Y750">
        <v>5</v>
      </c>
      <c r="Z750" t="s">
        <v>1244</v>
      </c>
      <c r="AA750" t="s">
        <v>1245</v>
      </c>
      <c r="AB750" t="s">
        <v>229</v>
      </c>
      <c r="AC750" t="s">
        <v>230</v>
      </c>
      <c r="AD750" t="s">
        <v>231</v>
      </c>
      <c r="AE750" t="s">
        <v>1240</v>
      </c>
      <c r="AG750" t="s">
        <v>1246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1236</v>
      </c>
      <c r="B751">
        <v>107318</v>
      </c>
      <c r="C751">
        <v>1</v>
      </c>
      <c r="D751" t="s">
        <v>1247</v>
      </c>
      <c r="E751" t="s">
        <v>1248</v>
      </c>
      <c r="F751">
        <v>60</v>
      </c>
      <c r="G751">
        <v>17.04</v>
      </c>
      <c r="H751">
        <v>56.34</v>
      </c>
      <c r="I751">
        <v>13.06</v>
      </c>
      <c r="J751">
        <v>43.2</v>
      </c>
      <c r="K751">
        <v>60</v>
      </c>
      <c r="T751">
        <v>2</v>
      </c>
      <c r="U751">
        <v>1</v>
      </c>
      <c r="V751" t="s">
        <v>226</v>
      </c>
      <c r="W751">
        <v>56</v>
      </c>
      <c r="X751">
        <v>6</v>
      </c>
      <c r="Y751">
        <v>6</v>
      </c>
      <c r="Z751" t="s">
        <v>1249</v>
      </c>
      <c r="AA751" t="s">
        <v>1250</v>
      </c>
      <c r="AB751" t="s">
        <v>229</v>
      </c>
      <c r="AC751" t="s">
        <v>230</v>
      </c>
      <c r="AD751" t="s">
        <v>231</v>
      </c>
      <c r="AE751" t="s">
        <v>1240</v>
      </c>
      <c r="AG751" t="s">
        <v>1251</v>
      </c>
      <c r="AH751">
        <v>0</v>
      </c>
      <c r="AI751">
        <v>119</v>
      </c>
      <c r="AJ751">
        <v>25</v>
      </c>
      <c r="AK751">
        <v>0</v>
      </c>
      <c r="AL751">
        <v>0</v>
      </c>
    </row>
    <row r="752" spans="1:38" x14ac:dyDescent="0.3">
      <c r="A752" t="s">
        <v>1236</v>
      </c>
      <c r="B752">
        <v>17227</v>
      </c>
      <c r="C752">
        <v>1</v>
      </c>
      <c r="D752" t="s">
        <v>1252</v>
      </c>
      <c r="E752" t="s">
        <v>1253</v>
      </c>
      <c r="F752">
        <v>225</v>
      </c>
      <c r="G752">
        <v>12.59</v>
      </c>
      <c r="H752">
        <v>41.64</v>
      </c>
      <c r="I752">
        <v>9.39</v>
      </c>
      <c r="J752">
        <v>31.05</v>
      </c>
      <c r="K752">
        <v>225</v>
      </c>
      <c r="T752">
        <v>1</v>
      </c>
      <c r="U752">
        <v>1</v>
      </c>
      <c r="V752" t="s">
        <v>226</v>
      </c>
      <c r="W752">
        <v>41</v>
      </c>
      <c r="X752">
        <v>15</v>
      </c>
      <c r="Y752">
        <v>9</v>
      </c>
      <c r="Z752" t="s">
        <v>1254</v>
      </c>
      <c r="AA752" t="s">
        <v>1255</v>
      </c>
      <c r="AB752" t="s">
        <v>229</v>
      </c>
      <c r="AC752" t="s">
        <v>230</v>
      </c>
      <c r="AD752" t="s">
        <v>231</v>
      </c>
      <c r="AE752" t="s">
        <v>1240</v>
      </c>
      <c r="AG752" t="s">
        <v>1256</v>
      </c>
      <c r="AH752">
        <v>0</v>
      </c>
      <c r="AI752">
        <v>249</v>
      </c>
      <c r="AJ752">
        <v>23</v>
      </c>
      <c r="AK752">
        <v>111</v>
      </c>
      <c r="AL752">
        <v>0.49</v>
      </c>
    </row>
    <row r="753" spans="1:38" x14ac:dyDescent="0.3">
      <c r="A753" t="s">
        <v>1236</v>
      </c>
      <c r="B753">
        <v>120219</v>
      </c>
      <c r="C753">
        <v>1</v>
      </c>
      <c r="D753" t="s">
        <v>1257</v>
      </c>
      <c r="E753" t="s">
        <v>1258</v>
      </c>
      <c r="F753">
        <v>48</v>
      </c>
      <c r="G753">
        <v>23.05</v>
      </c>
      <c r="H753">
        <v>76.2</v>
      </c>
      <c r="I753">
        <v>18.100000000000001</v>
      </c>
      <c r="J753">
        <v>59.85</v>
      </c>
      <c r="K753">
        <v>48</v>
      </c>
      <c r="T753">
        <v>3</v>
      </c>
      <c r="U753">
        <v>1</v>
      </c>
      <c r="V753" t="s">
        <v>233</v>
      </c>
      <c r="W753">
        <v>76</v>
      </c>
      <c r="X753">
        <v>6</v>
      </c>
      <c r="Y753">
        <v>6</v>
      </c>
      <c r="Z753" t="s">
        <v>1259</v>
      </c>
      <c r="AA753" t="s">
        <v>1260</v>
      </c>
      <c r="AB753" t="s">
        <v>229</v>
      </c>
      <c r="AC753" t="s">
        <v>230</v>
      </c>
      <c r="AD753" t="s">
        <v>231</v>
      </c>
      <c r="AE753" t="s">
        <v>1240</v>
      </c>
      <c r="AG753" t="s">
        <v>1261</v>
      </c>
      <c r="AH753">
        <v>0</v>
      </c>
      <c r="AI753">
        <v>148</v>
      </c>
      <c r="AJ753">
        <v>28</v>
      </c>
      <c r="AK753">
        <v>19</v>
      </c>
      <c r="AL753">
        <v>0.4</v>
      </c>
    </row>
    <row r="754" spans="1:38" x14ac:dyDescent="0.3">
      <c r="A754" t="s">
        <v>1236</v>
      </c>
      <c r="B754">
        <v>17228</v>
      </c>
      <c r="C754">
        <v>1</v>
      </c>
      <c r="D754" t="s">
        <v>1262</v>
      </c>
      <c r="E754" t="s">
        <v>274</v>
      </c>
      <c r="F754">
        <v>618</v>
      </c>
      <c r="G754">
        <v>15.99</v>
      </c>
      <c r="H754">
        <v>52.89</v>
      </c>
      <c r="I754">
        <v>12.08</v>
      </c>
      <c r="J754">
        <v>39.96</v>
      </c>
      <c r="K754">
        <v>114</v>
      </c>
      <c r="T754">
        <v>2</v>
      </c>
      <c r="U754">
        <v>1</v>
      </c>
      <c r="V754" t="s">
        <v>226</v>
      </c>
      <c r="W754">
        <v>52</v>
      </c>
      <c r="X754">
        <v>15</v>
      </c>
      <c r="Y754">
        <v>8</v>
      </c>
      <c r="Z754" t="s">
        <v>1263</v>
      </c>
      <c r="AA754" t="s">
        <v>1264</v>
      </c>
      <c r="AB754" t="s">
        <v>229</v>
      </c>
      <c r="AC754" t="s">
        <v>230</v>
      </c>
      <c r="AD754" t="s">
        <v>231</v>
      </c>
      <c r="AE754" t="s">
        <v>1240</v>
      </c>
      <c r="AG754" t="s">
        <v>1265</v>
      </c>
      <c r="AH754">
        <v>0</v>
      </c>
      <c r="AI754">
        <v>189</v>
      </c>
      <c r="AJ754">
        <v>19</v>
      </c>
      <c r="AK754">
        <v>463</v>
      </c>
      <c r="AL754">
        <v>0.75</v>
      </c>
    </row>
    <row r="755" spans="1:38" x14ac:dyDescent="0.3">
      <c r="A755" t="s">
        <v>1236</v>
      </c>
      <c r="B755">
        <v>17228</v>
      </c>
      <c r="C755">
        <v>2</v>
      </c>
      <c r="D755" t="s">
        <v>1262</v>
      </c>
      <c r="E755" t="s">
        <v>274</v>
      </c>
      <c r="F755">
        <v>618</v>
      </c>
      <c r="G755">
        <v>17</v>
      </c>
      <c r="H755">
        <v>56.2</v>
      </c>
      <c r="I755">
        <v>12.08</v>
      </c>
      <c r="J755">
        <v>39.96</v>
      </c>
      <c r="K755">
        <v>78</v>
      </c>
      <c r="T755">
        <v>2</v>
      </c>
      <c r="U755">
        <v>1</v>
      </c>
      <c r="V755" t="s">
        <v>226</v>
      </c>
      <c r="W755">
        <v>56</v>
      </c>
      <c r="X755">
        <v>15</v>
      </c>
      <c r="Y755">
        <v>8</v>
      </c>
      <c r="Z755" t="s">
        <v>1263</v>
      </c>
      <c r="AA755" t="s">
        <v>1264</v>
      </c>
      <c r="AB755" t="s">
        <v>229</v>
      </c>
      <c r="AC755" t="s">
        <v>230</v>
      </c>
      <c r="AD755" t="s">
        <v>231</v>
      </c>
      <c r="AE755" t="s">
        <v>1240</v>
      </c>
      <c r="AG755" t="s">
        <v>1265</v>
      </c>
      <c r="AH755">
        <v>0</v>
      </c>
      <c r="AI755">
        <v>189</v>
      </c>
      <c r="AJ755">
        <v>19</v>
      </c>
      <c r="AK755">
        <v>463</v>
      </c>
      <c r="AL755">
        <v>0.75</v>
      </c>
    </row>
    <row r="756" spans="1:38" x14ac:dyDescent="0.3">
      <c r="A756" t="s">
        <v>1236</v>
      </c>
      <c r="B756">
        <v>17228</v>
      </c>
      <c r="C756">
        <v>3</v>
      </c>
      <c r="D756" t="s">
        <v>1262</v>
      </c>
      <c r="E756" t="s">
        <v>274</v>
      </c>
      <c r="F756">
        <v>618</v>
      </c>
      <c r="G756">
        <v>24</v>
      </c>
      <c r="H756">
        <v>79.34</v>
      </c>
      <c r="I756">
        <v>18.13</v>
      </c>
      <c r="J756">
        <v>59.94</v>
      </c>
      <c r="K756">
        <v>300</v>
      </c>
      <c r="T756">
        <v>3</v>
      </c>
      <c r="U756">
        <v>1</v>
      </c>
      <c r="V756" t="s">
        <v>226</v>
      </c>
      <c r="W756">
        <v>79</v>
      </c>
      <c r="X756">
        <v>15</v>
      </c>
      <c r="Y756">
        <v>8</v>
      </c>
      <c r="Z756" t="s">
        <v>1263</v>
      </c>
      <c r="AA756" t="s">
        <v>1264</v>
      </c>
      <c r="AB756" t="s">
        <v>229</v>
      </c>
      <c r="AC756" t="s">
        <v>230</v>
      </c>
      <c r="AD756" t="s">
        <v>231</v>
      </c>
      <c r="AE756" t="s">
        <v>1240</v>
      </c>
      <c r="AG756" t="s">
        <v>1265</v>
      </c>
      <c r="AH756">
        <v>0</v>
      </c>
      <c r="AI756">
        <v>189</v>
      </c>
      <c r="AJ756">
        <v>19</v>
      </c>
      <c r="AK756">
        <v>463</v>
      </c>
      <c r="AL756">
        <v>0.75</v>
      </c>
    </row>
    <row r="757" spans="1:38" x14ac:dyDescent="0.3">
      <c r="A757" t="s">
        <v>1236</v>
      </c>
      <c r="B757">
        <v>17228</v>
      </c>
      <c r="C757">
        <v>4</v>
      </c>
      <c r="D757" t="s">
        <v>1262</v>
      </c>
      <c r="E757" t="s">
        <v>274</v>
      </c>
      <c r="F757">
        <v>618</v>
      </c>
      <c r="G757">
        <v>25</v>
      </c>
      <c r="H757">
        <v>82.65</v>
      </c>
      <c r="I757">
        <v>18.13</v>
      </c>
      <c r="J757">
        <v>59.94</v>
      </c>
      <c r="K757">
        <v>90</v>
      </c>
      <c r="T757">
        <v>3</v>
      </c>
      <c r="U757">
        <v>1</v>
      </c>
      <c r="V757" t="s">
        <v>226</v>
      </c>
      <c r="W757">
        <v>82</v>
      </c>
      <c r="X757">
        <v>15</v>
      </c>
      <c r="Y757">
        <v>8</v>
      </c>
      <c r="Z757" t="s">
        <v>1263</v>
      </c>
      <c r="AA757" t="s">
        <v>1264</v>
      </c>
      <c r="AB757" t="s">
        <v>229</v>
      </c>
      <c r="AC757" t="s">
        <v>230</v>
      </c>
      <c r="AD757" t="s">
        <v>231</v>
      </c>
      <c r="AE757" t="s">
        <v>1240</v>
      </c>
      <c r="AG757" t="s">
        <v>1265</v>
      </c>
      <c r="AH757">
        <v>0</v>
      </c>
      <c r="AI757">
        <v>189</v>
      </c>
      <c r="AJ757">
        <v>19</v>
      </c>
      <c r="AK757">
        <v>463</v>
      </c>
      <c r="AL757">
        <v>0.75</v>
      </c>
    </row>
    <row r="758" spans="1:38" x14ac:dyDescent="0.3">
      <c r="A758" t="s">
        <v>1236</v>
      </c>
      <c r="B758">
        <v>17228</v>
      </c>
      <c r="C758">
        <v>5</v>
      </c>
      <c r="D758" t="s">
        <v>1262</v>
      </c>
      <c r="E758" t="s">
        <v>274</v>
      </c>
      <c r="F758">
        <v>618</v>
      </c>
      <c r="G758">
        <v>25.99</v>
      </c>
      <c r="H758">
        <v>85.95</v>
      </c>
      <c r="I758">
        <v>18.13</v>
      </c>
      <c r="J758">
        <v>59.94</v>
      </c>
      <c r="K758">
        <v>36</v>
      </c>
      <c r="T758">
        <v>3</v>
      </c>
      <c r="U758">
        <v>1</v>
      </c>
      <c r="V758" t="s">
        <v>226</v>
      </c>
      <c r="W758">
        <v>85</v>
      </c>
      <c r="X758">
        <v>15</v>
      </c>
      <c r="Y758">
        <v>8</v>
      </c>
      <c r="Z758" t="s">
        <v>1263</v>
      </c>
      <c r="AA758" t="s">
        <v>1264</v>
      </c>
      <c r="AB758" t="s">
        <v>229</v>
      </c>
      <c r="AC758" t="s">
        <v>230</v>
      </c>
      <c r="AD758" t="s">
        <v>231</v>
      </c>
      <c r="AE758" t="s">
        <v>1240</v>
      </c>
      <c r="AG758" t="s">
        <v>1265</v>
      </c>
      <c r="AH758">
        <v>0</v>
      </c>
      <c r="AI758">
        <v>189</v>
      </c>
      <c r="AJ758">
        <v>19</v>
      </c>
      <c r="AK758">
        <v>463</v>
      </c>
      <c r="AL758">
        <v>0.75</v>
      </c>
    </row>
    <row r="759" spans="1:38" x14ac:dyDescent="0.3">
      <c r="A759" t="s">
        <v>1236</v>
      </c>
      <c r="B759">
        <v>109403</v>
      </c>
      <c r="C759">
        <v>1</v>
      </c>
      <c r="D759" t="s">
        <v>1266</v>
      </c>
      <c r="E759" t="s">
        <v>1267</v>
      </c>
      <c r="F759">
        <v>1206</v>
      </c>
      <c r="G759">
        <v>25.69</v>
      </c>
      <c r="H759">
        <v>84.95</v>
      </c>
      <c r="I759">
        <v>18.12</v>
      </c>
      <c r="J759">
        <v>59.93</v>
      </c>
      <c r="K759">
        <v>604</v>
      </c>
      <c r="T759">
        <v>3</v>
      </c>
      <c r="U759">
        <v>2</v>
      </c>
      <c r="V759" t="s">
        <v>233</v>
      </c>
      <c r="W759">
        <v>84</v>
      </c>
      <c r="X759">
        <v>15</v>
      </c>
      <c r="Y759">
        <v>15</v>
      </c>
      <c r="Z759" t="s">
        <v>1268</v>
      </c>
      <c r="AA759" t="s">
        <v>1269</v>
      </c>
      <c r="AB759" t="s">
        <v>229</v>
      </c>
      <c r="AC759" t="s">
        <v>230</v>
      </c>
      <c r="AD759" t="s">
        <v>231</v>
      </c>
      <c r="AE759" t="s">
        <v>1240</v>
      </c>
      <c r="AG759" t="s">
        <v>1270</v>
      </c>
      <c r="AH759">
        <v>0</v>
      </c>
      <c r="AI759">
        <v>148</v>
      </c>
      <c r="AJ759">
        <v>16</v>
      </c>
      <c r="AK759">
        <v>1561</v>
      </c>
      <c r="AL759">
        <v>1.29</v>
      </c>
    </row>
    <row r="760" spans="1:38" x14ac:dyDescent="0.3">
      <c r="A760" t="s">
        <v>1236</v>
      </c>
      <c r="B760">
        <v>109403</v>
      </c>
      <c r="C760">
        <v>2</v>
      </c>
      <c r="D760" t="s">
        <v>1266</v>
      </c>
      <c r="E760" t="s">
        <v>1267</v>
      </c>
      <c r="F760">
        <v>1206</v>
      </c>
      <c r="G760">
        <v>34.380000000000003</v>
      </c>
      <c r="H760">
        <v>113.68</v>
      </c>
      <c r="I760">
        <v>25.7</v>
      </c>
      <c r="J760">
        <v>84.98</v>
      </c>
      <c r="K760">
        <v>477</v>
      </c>
      <c r="T760">
        <v>3</v>
      </c>
      <c r="U760">
        <v>2</v>
      </c>
      <c r="V760" t="s">
        <v>233</v>
      </c>
      <c r="W760" t="s">
        <v>153</v>
      </c>
      <c r="X760">
        <v>15</v>
      </c>
      <c r="Y760">
        <v>15</v>
      </c>
      <c r="Z760" t="s">
        <v>1268</v>
      </c>
      <c r="AA760" t="s">
        <v>1269</v>
      </c>
      <c r="AB760" t="s">
        <v>229</v>
      </c>
      <c r="AC760" t="s">
        <v>230</v>
      </c>
      <c r="AD760" t="s">
        <v>231</v>
      </c>
      <c r="AE760" t="s">
        <v>1240</v>
      </c>
      <c r="AG760" t="s">
        <v>1270</v>
      </c>
      <c r="AH760">
        <v>0</v>
      </c>
      <c r="AI760">
        <v>148</v>
      </c>
      <c r="AJ760">
        <v>16</v>
      </c>
      <c r="AK760">
        <v>1561</v>
      </c>
      <c r="AL760">
        <v>1.29</v>
      </c>
    </row>
    <row r="761" spans="1:38" x14ac:dyDescent="0.3">
      <c r="A761" t="s">
        <v>1236</v>
      </c>
      <c r="B761">
        <v>109403</v>
      </c>
      <c r="C761">
        <v>3</v>
      </c>
      <c r="D761" t="s">
        <v>1266</v>
      </c>
      <c r="E761" t="s">
        <v>1267</v>
      </c>
      <c r="F761">
        <v>1206</v>
      </c>
      <c r="G761">
        <v>34.200000000000003</v>
      </c>
      <c r="H761">
        <v>113.07</v>
      </c>
      <c r="I761">
        <v>25.67</v>
      </c>
      <c r="J761">
        <v>84.86</v>
      </c>
      <c r="K761">
        <v>125</v>
      </c>
      <c r="T761">
        <v>3</v>
      </c>
      <c r="U761">
        <v>2</v>
      </c>
      <c r="V761" t="s">
        <v>233</v>
      </c>
      <c r="W761" t="s">
        <v>160</v>
      </c>
      <c r="X761">
        <v>15</v>
      </c>
      <c r="Y761">
        <v>15</v>
      </c>
      <c r="Z761" t="s">
        <v>1268</v>
      </c>
      <c r="AA761" t="s">
        <v>1269</v>
      </c>
      <c r="AB761" t="s">
        <v>229</v>
      </c>
      <c r="AC761" t="s">
        <v>230</v>
      </c>
      <c r="AD761" t="s">
        <v>231</v>
      </c>
      <c r="AE761" t="s">
        <v>1240</v>
      </c>
      <c r="AG761" t="s">
        <v>1270</v>
      </c>
      <c r="AH761">
        <v>0</v>
      </c>
      <c r="AI761">
        <v>148</v>
      </c>
      <c r="AJ761">
        <v>16</v>
      </c>
      <c r="AK761">
        <v>1561</v>
      </c>
      <c r="AL761">
        <v>1.29</v>
      </c>
    </row>
    <row r="762" spans="1:38" x14ac:dyDescent="0.3">
      <c r="A762" t="s">
        <v>1236</v>
      </c>
      <c r="B762">
        <v>116749</v>
      </c>
      <c r="C762">
        <v>1</v>
      </c>
      <c r="D762" t="s">
        <v>1271</v>
      </c>
      <c r="E762" t="s">
        <v>1272</v>
      </c>
      <c r="F762">
        <v>2529</v>
      </c>
      <c r="G762">
        <v>27.89</v>
      </c>
      <c r="H762">
        <v>92.22</v>
      </c>
      <c r="I762">
        <v>20.25</v>
      </c>
      <c r="J762">
        <v>66.95</v>
      </c>
      <c r="K762">
        <v>337</v>
      </c>
      <c r="T762">
        <v>3</v>
      </c>
      <c r="U762">
        <v>2</v>
      </c>
      <c r="V762" t="s">
        <v>233</v>
      </c>
      <c r="W762">
        <v>92</v>
      </c>
      <c r="X762">
        <v>29</v>
      </c>
      <c r="Y762">
        <v>21</v>
      </c>
      <c r="Z762" t="s">
        <v>1273</v>
      </c>
      <c r="AA762" t="s">
        <v>1274</v>
      </c>
      <c r="AB762" t="s">
        <v>229</v>
      </c>
      <c r="AC762" t="s">
        <v>230</v>
      </c>
      <c r="AD762" t="s">
        <v>231</v>
      </c>
      <c r="AE762" t="s">
        <v>1240</v>
      </c>
      <c r="AG762" t="s">
        <v>1275</v>
      </c>
      <c r="AH762">
        <v>0</v>
      </c>
      <c r="AI762">
        <v>0</v>
      </c>
      <c r="AJ762">
        <v>0</v>
      </c>
      <c r="AK762">
        <v>3289</v>
      </c>
      <c r="AL762">
        <v>1.3</v>
      </c>
    </row>
    <row r="763" spans="1:38" x14ac:dyDescent="0.3">
      <c r="A763" t="s">
        <v>1236</v>
      </c>
      <c r="B763">
        <v>116749</v>
      </c>
      <c r="C763">
        <v>2</v>
      </c>
      <c r="D763" t="s">
        <v>1271</v>
      </c>
      <c r="E763" t="s">
        <v>1272</v>
      </c>
      <c r="F763">
        <v>2529</v>
      </c>
      <c r="G763">
        <v>31.92</v>
      </c>
      <c r="H763">
        <v>105.55</v>
      </c>
      <c r="I763">
        <v>23.37</v>
      </c>
      <c r="J763">
        <v>77.27</v>
      </c>
      <c r="K763">
        <v>586</v>
      </c>
      <c r="T763">
        <v>3</v>
      </c>
      <c r="U763">
        <v>2</v>
      </c>
      <c r="V763" t="s">
        <v>233</v>
      </c>
      <c r="W763">
        <v>105</v>
      </c>
      <c r="X763">
        <v>29</v>
      </c>
      <c r="Y763">
        <v>21</v>
      </c>
      <c r="Z763" t="s">
        <v>1273</v>
      </c>
      <c r="AA763" t="s">
        <v>1274</v>
      </c>
      <c r="AB763" t="s">
        <v>229</v>
      </c>
      <c r="AC763" t="s">
        <v>230</v>
      </c>
      <c r="AD763" t="s">
        <v>231</v>
      </c>
      <c r="AE763" t="s">
        <v>1240</v>
      </c>
      <c r="AG763" t="s">
        <v>1275</v>
      </c>
      <c r="AH763">
        <v>0</v>
      </c>
      <c r="AI763">
        <v>0</v>
      </c>
      <c r="AJ763">
        <v>0</v>
      </c>
      <c r="AK763">
        <v>3289</v>
      </c>
      <c r="AL763">
        <v>1.3</v>
      </c>
    </row>
    <row r="764" spans="1:38" x14ac:dyDescent="0.3">
      <c r="A764" t="s">
        <v>1236</v>
      </c>
      <c r="B764">
        <v>116749</v>
      </c>
      <c r="C764">
        <v>3</v>
      </c>
      <c r="D764" t="s">
        <v>1271</v>
      </c>
      <c r="E764" t="s">
        <v>1272</v>
      </c>
      <c r="F764">
        <v>2529</v>
      </c>
      <c r="G764">
        <v>35.049999999999997</v>
      </c>
      <c r="H764">
        <v>115.89</v>
      </c>
      <c r="I764">
        <v>25.7</v>
      </c>
      <c r="J764">
        <v>84.96</v>
      </c>
      <c r="K764">
        <v>459</v>
      </c>
      <c r="T764">
        <v>3</v>
      </c>
      <c r="U764">
        <v>2</v>
      </c>
      <c r="V764" t="s">
        <v>233</v>
      </c>
      <c r="W764" t="s">
        <v>1276</v>
      </c>
      <c r="X764">
        <v>29</v>
      </c>
      <c r="Y764">
        <v>21</v>
      </c>
      <c r="Z764" t="s">
        <v>1273</v>
      </c>
      <c r="AA764" t="s">
        <v>1274</v>
      </c>
      <c r="AB764" t="s">
        <v>229</v>
      </c>
      <c r="AC764" t="s">
        <v>230</v>
      </c>
      <c r="AD764" t="s">
        <v>231</v>
      </c>
      <c r="AE764" t="s">
        <v>1240</v>
      </c>
      <c r="AG764" t="s">
        <v>1275</v>
      </c>
      <c r="AH764">
        <v>0</v>
      </c>
      <c r="AI764">
        <v>0</v>
      </c>
      <c r="AJ764">
        <v>0</v>
      </c>
      <c r="AK764">
        <v>3289</v>
      </c>
      <c r="AL764">
        <v>1.3</v>
      </c>
    </row>
    <row r="765" spans="1:38" x14ac:dyDescent="0.3">
      <c r="A765" t="s">
        <v>1236</v>
      </c>
      <c r="B765">
        <v>116749</v>
      </c>
      <c r="C765">
        <v>4</v>
      </c>
      <c r="D765" t="s">
        <v>1271</v>
      </c>
      <c r="E765" t="s">
        <v>1272</v>
      </c>
      <c r="F765">
        <v>2529</v>
      </c>
      <c r="G765">
        <v>35.130000000000003</v>
      </c>
      <c r="H765">
        <v>116.15</v>
      </c>
      <c r="I765">
        <v>25.69</v>
      </c>
      <c r="J765">
        <v>84.93</v>
      </c>
      <c r="K765">
        <v>758</v>
      </c>
      <c r="T765">
        <v>3</v>
      </c>
      <c r="U765">
        <v>2</v>
      </c>
      <c r="V765" t="s">
        <v>233</v>
      </c>
      <c r="W765" t="s">
        <v>1277</v>
      </c>
      <c r="X765">
        <v>29</v>
      </c>
      <c r="Y765">
        <v>21</v>
      </c>
      <c r="Z765" t="s">
        <v>1273</v>
      </c>
      <c r="AA765" t="s">
        <v>1274</v>
      </c>
      <c r="AB765" t="s">
        <v>229</v>
      </c>
      <c r="AC765" t="s">
        <v>230</v>
      </c>
      <c r="AD765" t="s">
        <v>231</v>
      </c>
      <c r="AE765" t="s">
        <v>1240</v>
      </c>
      <c r="AG765" t="s">
        <v>1275</v>
      </c>
      <c r="AH765">
        <v>0</v>
      </c>
      <c r="AI765">
        <v>0</v>
      </c>
      <c r="AJ765">
        <v>0</v>
      </c>
      <c r="AK765">
        <v>3289</v>
      </c>
      <c r="AL765">
        <v>1.3</v>
      </c>
    </row>
    <row r="766" spans="1:38" x14ac:dyDescent="0.3">
      <c r="A766" t="s">
        <v>1236</v>
      </c>
      <c r="B766">
        <v>116749</v>
      </c>
      <c r="C766">
        <v>5</v>
      </c>
      <c r="D766" t="s">
        <v>1271</v>
      </c>
      <c r="E766" t="s">
        <v>1272</v>
      </c>
      <c r="F766">
        <v>2529</v>
      </c>
      <c r="G766">
        <v>35.35</v>
      </c>
      <c r="H766">
        <v>116.86</v>
      </c>
      <c r="I766">
        <v>25.7</v>
      </c>
      <c r="J766">
        <v>84.98</v>
      </c>
      <c r="K766">
        <v>389</v>
      </c>
      <c r="T766">
        <v>3</v>
      </c>
      <c r="U766">
        <v>2</v>
      </c>
      <c r="V766" t="s">
        <v>233</v>
      </c>
      <c r="W766" t="s">
        <v>1278</v>
      </c>
      <c r="X766">
        <v>29</v>
      </c>
      <c r="Y766">
        <v>21</v>
      </c>
      <c r="Z766" t="s">
        <v>1273</v>
      </c>
      <c r="AA766" t="s">
        <v>1274</v>
      </c>
      <c r="AB766" t="s">
        <v>229</v>
      </c>
      <c r="AC766" t="s">
        <v>230</v>
      </c>
      <c r="AD766" t="s">
        <v>231</v>
      </c>
      <c r="AE766" t="s">
        <v>1240</v>
      </c>
      <c r="AG766" t="s">
        <v>1275</v>
      </c>
      <c r="AH766">
        <v>0</v>
      </c>
      <c r="AI766">
        <v>0</v>
      </c>
      <c r="AJ766">
        <v>0</v>
      </c>
      <c r="AK766">
        <v>3289</v>
      </c>
      <c r="AL766">
        <v>1.3</v>
      </c>
    </row>
    <row r="767" spans="1:38" x14ac:dyDescent="0.3">
      <c r="A767" t="s">
        <v>1236</v>
      </c>
      <c r="B767">
        <v>15384</v>
      </c>
      <c r="C767">
        <v>1</v>
      </c>
      <c r="D767" t="s">
        <v>1279</v>
      </c>
      <c r="E767" t="s">
        <v>339</v>
      </c>
      <c r="F767">
        <v>119</v>
      </c>
      <c r="G767">
        <v>24.8</v>
      </c>
      <c r="H767">
        <v>81.99</v>
      </c>
      <c r="I767">
        <v>18.09</v>
      </c>
      <c r="J767">
        <v>59.82</v>
      </c>
      <c r="K767">
        <v>93</v>
      </c>
      <c r="T767">
        <v>2</v>
      </c>
      <c r="U767">
        <v>1</v>
      </c>
      <c r="V767" t="s">
        <v>226</v>
      </c>
      <c r="W767">
        <v>81</v>
      </c>
      <c r="X767">
        <v>15</v>
      </c>
      <c r="Y767">
        <v>7</v>
      </c>
      <c r="Z767" t="s">
        <v>1280</v>
      </c>
      <c r="AA767" t="s">
        <v>1281</v>
      </c>
      <c r="AB767" t="s">
        <v>229</v>
      </c>
      <c r="AC767" t="s">
        <v>230</v>
      </c>
      <c r="AD767" t="s">
        <v>231</v>
      </c>
      <c r="AE767" t="s">
        <v>1240</v>
      </c>
      <c r="AG767" t="s">
        <v>1282</v>
      </c>
      <c r="AH767">
        <v>0</v>
      </c>
      <c r="AI767">
        <v>281</v>
      </c>
      <c r="AJ767">
        <v>28</v>
      </c>
      <c r="AK767">
        <v>52</v>
      </c>
      <c r="AL767">
        <v>0.44</v>
      </c>
    </row>
    <row r="768" spans="1:38" x14ac:dyDescent="0.3">
      <c r="A768" t="s">
        <v>1236</v>
      </c>
      <c r="B768">
        <v>15384</v>
      </c>
      <c r="C768">
        <v>2</v>
      </c>
      <c r="D768" t="s">
        <v>1279</v>
      </c>
      <c r="E768" t="s">
        <v>339</v>
      </c>
      <c r="F768">
        <v>119</v>
      </c>
      <c r="G768">
        <v>31.37</v>
      </c>
      <c r="H768">
        <v>103.73</v>
      </c>
      <c r="I768">
        <v>25.69</v>
      </c>
      <c r="J768">
        <v>84.94</v>
      </c>
      <c r="K768">
        <v>26</v>
      </c>
      <c r="T768">
        <v>3</v>
      </c>
      <c r="U768">
        <v>2</v>
      </c>
      <c r="V768" t="s">
        <v>233</v>
      </c>
      <c r="W768">
        <v>103</v>
      </c>
      <c r="X768">
        <v>15</v>
      </c>
      <c r="Y768">
        <v>7</v>
      </c>
      <c r="Z768" t="s">
        <v>1280</v>
      </c>
      <c r="AA768" t="s">
        <v>1281</v>
      </c>
      <c r="AB768" t="s">
        <v>229</v>
      </c>
      <c r="AC768" t="s">
        <v>230</v>
      </c>
      <c r="AD768" t="s">
        <v>231</v>
      </c>
      <c r="AE768" t="s">
        <v>1240</v>
      </c>
      <c r="AG768" t="s">
        <v>1282</v>
      </c>
      <c r="AH768">
        <v>0</v>
      </c>
      <c r="AI768">
        <v>281</v>
      </c>
      <c r="AJ768">
        <v>28</v>
      </c>
      <c r="AK768">
        <v>52</v>
      </c>
      <c r="AL768">
        <v>0.44</v>
      </c>
    </row>
    <row r="769" spans="1:38" x14ac:dyDescent="0.3">
      <c r="A769" t="s">
        <v>1236</v>
      </c>
      <c r="B769">
        <v>11566</v>
      </c>
      <c r="C769">
        <v>1</v>
      </c>
      <c r="D769" t="s">
        <v>1283</v>
      </c>
      <c r="E769" t="s">
        <v>1253</v>
      </c>
      <c r="F769">
        <v>230</v>
      </c>
      <c r="G769">
        <v>14.28</v>
      </c>
      <c r="H769">
        <v>47.21</v>
      </c>
      <c r="I769">
        <v>12.03</v>
      </c>
      <c r="J769">
        <v>39.78</v>
      </c>
      <c r="K769">
        <v>20</v>
      </c>
      <c r="T769">
        <v>1</v>
      </c>
      <c r="U769">
        <v>1</v>
      </c>
      <c r="V769" t="s">
        <v>233</v>
      </c>
      <c r="W769">
        <v>47</v>
      </c>
      <c r="X769">
        <v>15</v>
      </c>
      <c r="Y769">
        <v>9</v>
      </c>
      <c r="Z769" t="s">
        <v>1284</v>
      </c>
      <c r="AA769" t="s">
        <v>1285</v>
      </c>
      <c r="AB769" t="s">
        <v>229</v>
      </c>
      <c r="AC769" t="s">
        <v>230</v>
      </c>
      <c r="AD769" t="s">
        <v>231</v>
      </c>
      <c r="AE769" t="s">
        <v>1240</v>
      </c>
      <c r="AG769" t="s">
        <v>1286</v>
      </c>
      <c r="AH769">
        <v>0</v>
      </c>
      <c r="AI769">
        <v>207</v>
      </c>
      <c r="AJ769">
        <v>26</v>
      </c>
      <c r="AK769">
        <v>187</v>
      </c>
      <c r="AL769">
        <v>0.81</v>
      </c>
    </row>
    <row r="770" spans="1:38" x14ac:dyDescent="0.3">
      <c r="A770" t="s">
        <v>1236</v>
      </c>
      <c r="B770">
        <v>11566</v>
      </c>
      <c r="C770">
        <v>2</v>
      </c>
      <c r="D770" t="s">
        <v>1283</v>
      </c>
      <c r="E770" t="s">
        <v>1253</v>
      </c>
      <c r="F770">
        <v>230</v>
      </c>
      <c r="G770">
        <v>21.51</v>
      </c>
      <c r="H770">
        <v>71.14</v>
      </c>
      <c r="I770">
        <v>18.13</v>
      </c>
      <c r="J770">
        <v>59.94</v>
      </c>
      <c r="K770">
        <v>210</v>
      </c>
      <c r="T770">
        <v>3</v>
      </c>
      <c r="U770">
        <v>1</v>
      </c>
      <c r="V770" t="s">
        <v>233</v>
      </c>
      <c r="W770">
        <v>71</v>
      </c>
      <c r="X770">
        <v>15</v>
      </c>
      <c r="Y770">
        <v>9</v>
      </c>
      <c r="Z770" t="s">
        <v>1284</v>
      </c>
      <c r="AA770" t="s">
        <v>1285</v>
      </c>
      <c r="AB770" t="s">
        <v>229</v>
      </c>
      <c r="AC770" t="s">
        <v>230</v>
      </c>
      <c r="AD770" t="s">
        <v>231</v>
      </c>
      <c r="AE770" t="s">
        <v>1240</v>
      </c>
      <c r="AG770" t="s">
        <v>1286</v>
      </c>
      <c r="AH770">
        <v>0</v>
      </c>
      <c r="AI770">
        <v>207</v>
      </c>
      <c r="AJ770">
        <v>26</v>
      </c>
      <c r="AK770">
        <v>187</v>
      </c>
      <c r="AL770">
        <v>0.81</v>
      </c>
    </row>
    <row r="771" spans="1:38" x14ac:dyDescent="0.3">
      <c r="A771" t="s">
        <v>1236</v>
      </c>
      <c r="B771">
        <v>15385</v>
      </c>
      <c r="C771">
        <v>1</v>
      </c>
      <c r="D771" t="s">
        <v>1287</v>
      </c>
      <c r="E771" t="s">
        <v>1288</v>
      </c>
      <c r="F771">
        <v>212</v>
      </c>
      <c r="G771">
        <v>24.78</v>
      </c>
      <c r="H771">
        <v>81.92</v>
      </c>
      <c r="I771">
        <v>18.09</v>
      </c>
      <c r="J771">
        <v>59.82</v>
      </c>
      <c r="K771">
        <v>203</v>
      </c>
      <c r="T771">
        <v>3</v>
      </c>
      <c r="U771">
        <v>1</v>
      </c>
      <c r="V771" t="s">
        <v>226</v>
      </c>
      <c r="W771">
        <v>81</v>
      </c>
      <c r="X771">
        <v>15</v>
      </c>
      <c r="Y771">
        <v>9</v>
      </c>
      <c r="Z771" t="s">
        <v>1289</v>
      </c>
      <c r="AA771" t="s">
        <v>1290</v>
      </c>
      <c r="AB771" t="s">
        <v>229</v>
      </c>
      <c r="AC771" t="s">
        <v>230</v>
      </c>
      <c r="AD771" t="s">
        <v>231</v>
      </c>
      <c r="AE771" t="s">
        <v>1240</v>
      </c>
      <c r="AG771" t="s">
        <v>1291</v>
      </c>
      <c r="AH771">
        <v>0</v>
      </c>
      <c r="AI771">
        <v>277</v>
      </c>
      <c r="AJ771">
        <v>24</v>
      </c>
      <c r="AK771">
        <v>95</v>
      </c>
      <c r="AL771">
        <v>0.45</v>
      </c>
    </row>
    <row r="772" spans="1:38" x14ac:dyDescent="0.3">
      <c r="A772" t="s">
        <v>1236</v>
      </c>
      <c r="B772">
        <v>15385</v>
      </c>
      <c r="C772">
        <v>2</v>
      </c>
      <c r="D772" t="s">
        <v>1287</v>
      </c>
      <c r="E772" t="s">
        <v>1288</v>
      </c>
      <c r="F772">
        <v>212</v>
      </c>
      <c r="G772">
        <v>24.85</v>
      </c>
      <c r="H772">
        <v>82.16</v>
      </c>
      <c r="I772">
        <v>18.149999999999999</v>
      </c>
      <c r="J772">
        <v>60</v>
      </c>
      <c r="K772">
        <v>9</v>
      </c>
      <c r="T772">
        <v>3</v>
      </c>
      <c r="U772">
        <v>1</v>
      </c>
      <c r="V772" t="s">
        <v>226</v>
      </c>
      <c r="W772">
        <v>82</v>
      </c>
      <c r="X772">
        <v>15</v>
      </c>
      <c r="Y772">
        <v>9</v>
      </c>
      <c r="Z772" t="s">
        <v>1289</v>
      </c>
      <c r="AA772" t="s">
        <v>1290</v>
      </c>
      <c r="AB772" t="s">
        <v>229</v>
      </c>
      <c r="AC772" t="s">
        <v>230</v>
      </c>
      <c r="AD772" t="s">
        <v>231</v>
      </c>
      <c r="AE772" t="s">
        <v>1240</v>
      </c>
      <c r="AG772" t="s">
        <v>1291</v>
      </c>
      <c r="AH772">
        <v>0</v>
      </c>
      <c r="AI772">
        <v>277</v>
      </c>
      <c r="AJ772">
        <v>24</v>
      </c>
      <c r="AK772">
        <v>95</v>
      </c>
      <c r="AL772">
        <v>0.45</v>
      </c>
    </row>
    <row r="773" spans="1:38" x14ac:dyDescent="0.3">
      <c r="A773" t="s">
        <v>1236</v>
      </c>
      <c r="B773">
        <v>15383</v>
      </c>
      <c r="C773">
        <v>1</v>
      </c>
      <c r="D773" t="s">
        <v>1292</v>
      </c>
      <c r="E773" t="s">
        <v>319</v>
      </c>
      <c r="F773">
        <v>110</v>
      </c>
      <c r="G773">
        <v>28.53</v>
      </c>
      <c r="H773">
        <v>94.32</v>
      </c>
      <c r="I773">
        <v>18.14</v>
      </c>
      <c r="J773">
        <v>59.99</v>
      </c>
      <c r="K773">
        <v>54</v>
      </c>
      <c r="T773">
        <v>3</v>
      </c>
      <c r="U773">
        <v>1</v>
      </c>
      <c r="V773" t="s">
        <v>226</v>
      </c>
      <c r="W773">
        <v>94</v>
      </c>
      <c r="X773">
        <v>15</v>
      </c>
      <c r="Y773">
        <v>12</v>
      </c>
      <c r="Z773" t="s">
        <v>1293</v>
      </c>
      <c r="AA773" t="s">
        <v>1294</v>
      </c>
      <c r="AB773" t="s">
        <v>229</v>
      </c>
      <c r="AC773" t="s">
        <v>230</v>
      </c>
      <c r="AD773" t="s">
        <v>231</v>
      </c>
      <c r="AE773" t="s">
        <v>1240</v>
      </c>
      <c r="AG773" t="s">
        <v>1295</v>
      </c>
      <c r="AH773">
        <v>0</v>
      </c>
      <c r="AI773">
        <v>0</v>
      </c>
      <c r="AJ773">
        <v>0</v>
      </c>
      <c r="AK773">
        <v>53</v>
      </c>
      <c r="AL773">
        <v>0.48</v>
      </c>
    </row>
    <row r="774" spans="1:38" x14ac:dyDescent="0.3">
      <c r="A774" t="s">
        <v>1236</v>
      </c>
      <c r="B774">
        <v>15383</v>
      </c>
      <c r="C774">
        <v>2</v>
      </c>
      <c r="D774" t="s">
        <v>1292</v>
      </c>
      <c r="E774" t="s">
        <v>319</v>
      </c>
      <c r="F774">
        <v>110</v>
      </c>
      <c r="G774">
        <v>35.159999999999997</v>
      </c>
      <c r="H774">
        <v>116.24</v>
      </c>
      <c r="I774">
        <v>25.69</v>
      </c>
      <c r="J774">
        <v>84.94</v>
      </c>
      <c r="K774">
        <v>56</v>
      </c>
      <c r="T774">
        <v>3</v>
      </c>
      <c r="U774">
        <v>2</v>
      </c>
      <c r="V774" t="s">
        <v>233</v>
      </c>
      <c r="W774">
        <v>116</v>
      </c>
      <c r="X774">
        <v>15</v>
      </c>
      <c r="Y774">
        <v>12</v>
      </c>
      <c r="Z774" t="s">
        <v>1293</v>
      </c>
      <c r="AA774" t="s">
        <v>1294</v>
      </c>
      <c r="AB774" t="s">
        <v>229</v>
      </c>
      <c r="AC774" t="s">
        <v>230</v>
      </c>
      <c r="AD774" t="s">
        <v>231</v>
      </c>
      <c r="AE774" t="s">
        <v>1240</v>
      </c>
      <c r="AG774" t="s">
        <v>1295</v>
      </c>
      <c r="AH774">
        <v>0</v>
      </c>
      <c r="AI774">
        <v>0</v>
      </c>
      <c r="AJ774">
        <v>0</v>
      </c>
      <c r="AK774">
        <v>53</v>
      </c>
      <c r="AL774">
        <v>0.48</v>
      </c>
    </row>
    <row r="775" spans="1:38" x14ac:dyDescent="0.3">
      <c r="A775" t="s">
        <v>1296</v>
      </c>
      <c r="B775">
        <v>127085</v>
      </c>
      <c r="C775">
        <v>1</v>
      </c>
      <c r="D775" t="s">
        <v>1297</v>
      </c>
      <c r="E775" t="s">
        <v>1298</v>
      </c>
      <c r="F775">
        <v>75</v>
      </c>
      <c r="G775">
        <v>15.13</v>
      </c>
      <c r="H775">
        <v>50.04</v>
      </c>
      <c r="I775">
        <v>13.31</v>
      </c>
      <c r="J775">
        <v>44.01</v>
      </c>
      <c r="K775">
        <v>75</v>
      </c>
      <c r="T775">
        <v>2</v>
      </c>
      <c r="U775">
        <v>1</v>
      </c>
      <c r="V775" t="s">
        <v>233</v>
      </c>
      <c r="W775">
        <v>50</v>
      </c>
      <c r="X775">
        <v>5</v>
      </c>
      <c r="Y775">
        <v>5</v>
      </c>
      <c r="Z775" t="s">
        <v>1299</v>
      </c>
      <c r="AA775" t="s">
        <v>1300</v>
      </c>
      <c r="AB775" t="s">
        <v>229</v>
      </c>
      <c r="AC775" t="s">
        <v>230</v>
      </c>
      <c r="AD775" t="s">
        <v>231</v>
      </c>
      <c r="AE775" t="s">
        <v>1301</v>
      </c>
      <c r="AG775" t="s">
        <v>1302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 x14ac:dyDescent="0.3">
      <c r="A776" t="s">
        <v>1296</v>
      </c>
      <c r="B776">
        <v>7461</v>
      </c>
      <c r="C776">
        <v>1</v>
      </c>
      <c r="D776" t="s">
        <v>1303</v>
      </c>
      <c r="E776" t="s">
        <v>1304</v>
      </c>
      <c r="F776">
        <v>290</v>
      </c>
      <c r="G776">
        <v>14.77</v>
      </c>
      <c r="H776">
        <v>48.85</v>
      </c>
      <c r="I776">
        <v>12</v>
      </c>
      <c r="J776">
        <v>39.69</v>
      </c>
      <c r="K776">
        <v>260</v>
      </c>
      <c r="T776">
        <v>2</v>
      </c>
      <c r="U776">
        <v>1</v>
      </c>
      <c r="V776" t="s">
        <v>233</v>
      </c>
      <c r="W776">
        <v>48</v>
      </c>
      <c r="X776">
        <v>5</v>
      </c>
      <c r="Y776">
        <v>5</v>
      </c>
      <c r="Z776" t="s">
        <v>1305</v>
      </c>
      <c r="AA776" t="s">
        <v>1306</v>
      </c>
      <c r="AB776" t="s">
        <v>229</v>
      </c>
      <c r="AC776" t="s">
        <v>230</v>
      </c>
      <c r="AD776" t="s">
        <v>231</v>
      </c>
      <c r="AE776" t="s">
        <v>1301</v>
      </c>
      <c r="AG776" t="s">
        <v>1307</v>
      </c>
      <c r="AH776">
        <v>0</v>
      </c>
      <c r="AI776">
        <v>0</v>
      </c>
      <c r="AJ776">
        <v>0</v>
      </c>
      <c r="AK776">
        <v>290</v>
      </c>
      <c r="AL776">
        <v>1</v>
      </c>
    </row>
    <row r="777" spans="1:38" x14ac:dyDescent="0.3">
      <c r="A777" t="s">
        <v>1296</v>
      </c>
      <c r="B777">
        <v>7461</v>
      </c>
      <c r="C777">
        <v>2</v>
      </c>
      <c r="D777" t="s">
        <v>1303</v>
      </c>
      <c r="E777" t="s">
        <v>1304</v>
      </c>
      <c r="F777">
        <v>290</v>
      </c>
      <c r="G777">
        <v>18.72</v>
      </c>
      <c r="H777">
        <v>61.9</v>
      </c>
      <c r="I777">
        <v>15.95</v>
      </c>
      <c r="J777">
        <v>52.74</v>
      </c>
      <c r="K777">
        <v>30</v>
      </c>
      <c r="T777">
        <v>3</v>
      </c>
      <c r="U777">
        <v>1</v>
      </c>
      <c r="V777" t="s">
        <v>233</v>
      </c>
      <c r="W777">
        <v>61</v>
      </c>
      <c r="X777">
        <v>5</v>
      </c>
      <c r="Y777">
        <v>5</v>
      </c>
      <c r="Z777" t="s">
        <v>1305</v>
      </c>
      <c r="AA777" t="s">
        <v>1306</v>
      </c>
      <c r="AB777" t="s">
        <v>229</v>
      </c>
      <c r="AC777" t="s">
        <v>230</v>
      </c>
      <c r="AD777" t="s">
        <v>231</v>
      </c>
      <c r="AE777" t="s">
        <v>1301</v>
      </c>
      <c r="AG777" t="s">
        <v>1307</v>
      </c>
      <c r="AH777">
        <v>0</v>
      </c>
      <c r="AI777">
        <v>0</v>
      </c>
      <c r="AJ777">
        <v>0</v>
      </c>
      <c r="AK777">
        <v>290</v>
      </c>
      <c r="AL777">
        <v>1</v>
      </c>
    </row>
    <row r="778" spans="1:38" x14ac:dyDescent="0.3">
      <c r="A778" t="s">
        <v>1296</v>
      </c>
      <c r="B778">
        <v>7454</v>
      </c>
      <c r="C778">
        <v>1</v>
      </c>
      <c r="D778" t="s">
        <v>835</v>
      </c>
      <c r="E778" t="s">
        <v>1308</v>
      </c>
      <c r="F778">
        <v>270</v>
      </c>
      <c r="G778">
        <v>17.47</v>
      </c>
      <c r="H778">
        <v>57.76</v>
      </c>
      <c r="I778">
        <v>15.05</v>
      </c>
      <c r="J778">
        <v>49.77</v>
      </c>
      <c r="K778">
        <v>50</v>
      </c>
      <c r="T778">
        <v>2</v>
      </c>
      <c r="U778">
        <v>1</v>
      </c>
      <c r="V778" t="s">
        <v>233</v>
      </c>
      <c r="W778">
        <v>57</v>
      </c>
      <c r="X778">
        <v>5</v>
      </c>
      <c r="Y778">
        <v>5</v>
      </c>
      <c r="Z778" t="s">
        <v>1309</v>
      </c>
      <c r="AA778" t="s">
        <v>1310</v>
      </c>
      <c r="AB778" t="s">
        <v>229</v>
      </c>
      <c r="AC778" t="s">
        <v>230</v>
      </c>
      <c r="AD778" t="s">
        <v>231</v>
      </c>
      <c r="AE778" t="s">
        <v>1301</v>
      </c>
      <c r="AG778" t="s">
        <v>1311</v>
      </c>
      <c r="AH778">
        <v>0</v>
      </c>
      <c r="AI778">
        <v>0</v>
      </c>
      <c r="AJ778">
        <v>0</v>
      </c>
      <c r="AK778">
        <v>135</v>
      </c>
      <c r="AL778">
        <v>0.5</v>
      </c>
    </row>
    <row r="779" spans="1:38" x14ac:dyDescent="0.3">
      <c r="A779" t="s">
        <v>1296</v>
      </c>
      <c r="B779">
        <v>7454</v>
      </c>
      <c r="C779">
        <v>2</v>
      </c>
      <c r="D779" t="s">
        <v>835</v>
      </c>
      <c r="E779" t="s">
        <v>1308</v>
      </c>
      <c r="F779">
        <v>270</v>
      </c>
      <c r="G779">
        <v>20.2</v>
      </c>
      <c r="H779">
        <v>66.78</v>
      </c>
      <c r="I779">
        <v>15.1</v>
      </c>
      <c r="J779">
        <v>49.95</v>
      </c>
      <c r="K779">
        <v>20</v>
      </c>
      <c r="T779">
        <v>2</v>
      </c>
      <c r="U779">
        <v>1</v>
      </c>
      <c r="V779" t="s">
        <v>226</v>
      </c>
      <c r="W779">
        <v>66</v>
      </c>
      <c r="X779">
        <v>5</v>
      </c>
      <c r="Y779">
        <v>5</v>
      </c>
      <c r="Z779" t="s">
        <v>1309</v>
      </c>
      <c r="AA779" t="s">
        <v>1310</v>
      </c>
      <c r="AB779" t="s">
        <v>229</v>
      </c>
      <c r="AC779" t="s">
        <v>230</v>
      </c>
      <c r="AD779" t="s">
        <v>231</v>
      </c>
      <c r="AE779" t="s">
        <v>1301</v>
      </c>
      <c r="AG779" t="s">
        <v>1311</v>
      </c>
      <c r="AH779">
        <v>0</v>
      </c>
      <c r="AI779">
        <v>0</v>
      </c>
      <c r="AJ779">
        <v>0</v>
      </c>
      <c r="AK779">
        <v>135</v>
      </c>
      <c r="AL779">
        <v>0.5</v>
      </c>
    </row>
    <row r="780" spans="1:38" x14ac:dyDescent="0.3">
      <c r="A780" t="s">
        <v>1296</v>
      </c>
      <c r="B780">
        <v>7454</v>
      </c>
      <c r="C780">
        <v>3</v>
      </c>
      <c r="D780" t="s">
        <v>835</v>
      </c>
      <c r="E780" t="s">
        <v>1308</v>
      </c>
      <c r="F780">
        <v>270</v>
      </c>
      <c r="G780">
        <v>20.52</v>
      </c>
      <c r="H780">
        <v>67.86</v>
      </c>
      <c r="I780">
        <v>18.07</v>
      </c>
      <c r="J780">
        <v>59.76</v>
      </c>
      <c r="K780">
        <v>200</v>
      </c>
      <c r="T780">
        <v>3</v>
      </c>
      <c r="U780">
        <v>1</v>
      </c>
      <c r="V780" t="s">
        <v>233</v>
      </c>
      <c r="W780">
        <v>67</v>
      </c>
      <c r="X780">
        <v>5</v>
      </c>
      <c r="Y780">
        <v>5</v>
      </c>
      <c r="Z780" t="s">
        <v>1309</v>
      </c>
      <c r="AA780" t="s">
        <v>1310</v>
      </c>
      <c r="AB780" t="s">
        <v>229</v>
      </c>
      <c r="AC780" t="s">
        <v>230</v>
      </c>
      <c r="AD780" t="s">
        <v>231</v>
      </c>
      <c r="AE780" t="s">
        <v>1301</v>
      </c>
      <c r="AG780" t="s">
        <v>1311</v>
      </c>
      <c r="AH780">
        <v>0</v>
      </c>
      <c r="AI780">
        <v>0</v>
      </c>
      <c r="AJ780">
        <v>0</v>
      </c>
      <c r="AK780">
        <v>135</v>
      </c>
      <c r="AL780">
        <v>0.5</v>
      </c>
    </row>
    <row r="781" spans="1:38" x14ac:dyDescent="0.3">
      <c r="A781" t="s">
        <v>1296</v>
      </c>
      <c r="B781">
        <v>120489</v>
      </c>
      <c r="C781">
        <v>1</v>
      </c>
      <c r="D781" t="s">
        <v>1312</v>
      </c>
      <c r="E781" t="s">
        <v>1313</v>
      </c>
      <c r="F781">
        <v>164</v>
      </c>
      <c r="G781">
        <v>5.78</v>
      </c>
      <c r="H781">
        <v>19.14</v>
      </c>
      <c r="I781">
        <v>4.29</v>
      </c>
      <c r="J781">
        <v>14.19</v>
      </c>
      <c r="K781">
        <v>4</v>
      </c>
      <c r="T781">
        <v>1</v>
      </c>
      <c r="U781">
        <v>1</v>
      </c>
      <c r="V781" t="s">
        <v>226</v>
      </c>
      <c r="W781" t="s">
        <v>1314</v>
      </c>
      <c r="X781">
        <v>10</v>
      </c>
      <c r="Y781">
        <v>9</v>
      </c>
      <c r="Z781" t="s">
        <v>1315</v>
      </c>
      <c r="AA781" t="s">
        <v>1316</v>
      </c>
      <c r="AB781" t="s">
        <v>229</v>
      </c>
      <c r="AC781" t="s">
        <v>230</v>
      </c>
      <c r="AD781" t="s">
        <v>231</v>
      </c>
      <c r="AE781" t="s">
        <v>1301</v>
      </c>
      <c r="AG781" t="s">
        <v>1317</v>
      </c>
      <c r="AH781">
        <v>0</v>
      </c>
      <c r="AI781">
        <v>249</v>
      </c>
      <c r="AJ781">
        <v>33</v>
      </c>
      <c r="AK781">
        <v>62</v>
      </c>
      <c r="AL781">
        <v>0.38</v>
      </c>
    </row>
    <row r="782" spans="1:38" x14ac:dyDescent="0.3">
      <c r="A782" t="s">
        <v>1296</v>
      </c>
      <c r="B782">
        <v>120489</v>
      </c>
      <c r="C782">
        <v>2</v>
      </c>
      <c r="D782" t="s">
        <v>1312</v>
      </c>
      <c r="E782" t="s">
        <v>1313</v>
      </c>
      <c r="F782">
        <v>164</v>
      </c>
      <c r="G782">
        <v>6.21</v>
      </c>
      <c r="H782">
        <v>20.55</v>
      </c>
      <c r="I782">
        <v>4.5999999999999996</v>
      </c>
      <c r="J782">
        <v>15.23</v>
      </c>
      <c r="K782">
        <v>9</v>
      </c>
      <c r="T782">
        <v>1</v>
      </c>
      <c r="U782">
        <v>1</v>
      </c>
      <c r="V782" t="s">
        <v>226</v>
      </c>
      <c r="W782" t="s">
        <v>1318</v>
      </c>
      <c r="X782">
        <v>10</v>
      </c>
      <c r="Y782">
        <v>9</v>
      </c>
      <c r="Z782" t="s">
        <v>1315</v>
      </c>
      <c r="AA782" t="s">
        <v>1316</v>
      </c>
      <c r="AB782" t="s">
        <v>229</v>
      </c>
      <c r="AC782" t="s">
        <v>230</v>
      </c>
      <c r="AD782" t="s">
        <v>231</v>
      </c>
      <c r="AE782" t="s">
        <v>1301</v>
      </c>
      <c r="AG782" t="s">
        <v>1317</v>
      </c>
      <c r="AH782">
        <v>0</v>
      </c>
      <c r="AI782">
        <v>249</v>
      </c>
      <c r="AJ782">
        <v>33</v>
      </c>
      <c r="AK782">
        <v>62</v>
      </c>
      <c r="AL782">
        <v>0.38</v>
      </c>
    </row>
    <row r="783" spans="1:38" x14ac:dyDescent="0.3">
      <c r="A783" t="s">
        <v>1296</v>
      </c>
      <c r="B783">
        <v>120489</v>
      </c>
      <c r="C783">
        <v>3</v>
      </c>
      <c r="D783" t="s">
        <v>1312</v>
      </c>
      <c r="E783" t="s">
        <v>1313</v>
      </c>
      <c r="F783">
        <v>164</v>
      </c>
      <c r="G783">
        <v>8.0500000000000007</v>
      </c>
      <c r="H783">
        <v>26.62</v>
      </c>
      <c r="I783">
        <v>5.96</v>
      </c>
      <c r="J783">
        <v>19.73</v>
      </c>
      <c r="K783">
        <v>63</v>
      </c>
      <c r="T783">
        <v>1</v>
      </c>
      <c r="U783">
        <v>1</v>
      </c>
      <c r="V783" t="s">
        <v>226</v>
      </c>
      <c r="W783" t="s">
        <v>1319</v>
      </c>
      <c r="X783">
        <v>10</v>
      </c>
      <c r="Y783">
        <v>9</v>
      </c>
      <c r="Z783" t="s">
        <v>1315</v>
      </c>
      <c r="AA783" t="s">
        <v>1316</v>
      </c>
      <c r="AB783" t="s">
        <v>229</v>
      </c>
      <c r="AC783" t="s">
        <v>230</v>
      </c>
      <c r="AD783" t="s">
        <v>231</v>
      </c>
      <c r="AE783" t="s">
        <v>1301</v>
      </c>
      <c r="AG783" t="s">
        <v>1317</v>
      </c>
      <c r="AH783">
        <v>0</v>
      </c>
      <c r="AI783">
        <v>249</v>
      </c>
      <c r="AJ783">
        <v>33</v>
      </c>
      <c r="AK783">
        <v>62</v>
      </c>
      <c r="AL783">
        <v>0.38</v>
      </c>
    </row>
    <row r="784" spans="1:38" x14ac:dyDescent="0.3">
      <c r="A784" t="s">
        <v>1296</v>
      </c>
      <c r="B784">
        <v>120489</v>
      </c>
      <c r="C784">
        <v>4</v>
      </c>
      <c r="D784" t="s">
        <v>1312</v>
      </c>
      <c r="E784" t="s">
        <v>1313</v>
      </c>
      <c r="F784">
        <v>164</v>
      </c>
      <c r="G784">
        <v>8.15</v>
      </c>
      <c r="H784">
        <v>26.95</v>
      </c>
      <c r="I784">
        <v>6.04</v>
      </c>
      <c r="J784">
        <v>19.97</v>
      </c>
      <c r="K784">
        <v>46</v>
      </c>
      <c r="T784">
        <v>1</v>
      </c>
      <c r="U784">
        <v>1</v>
      </c>
      <c r="V784" t="s">
        <v>226</v>
      </c>
      <c r="W784" t="s">
        <v>304</v>
      </c>
      <c r="X784">
        <v>10</v>
      </c>
      <c r="Y784">
        <v>9</v>
      </c>
      <c r="Z784" t="s">
        <v>1315</v>
      </c>
      <c r="AA784" t="s">
        <v>1316</v>
      </c>
      <c r="AB784" t="s">
        <v>229</v>
      </c>
      <c r="AC784" t="s">
        <v>230</v>
      </c>
      <c r="AD784" t="s">
        <v>231</v>
      </c>
      <c r="AE784" t="s">
        <v>1301</v>
      </c>
      <c r="AG784" t="s">
        <v>1317</v>
      </c>
      <c r="AH784">
        <v>0</v>
      </c>
      <c r="AI784">
        <v>249</v>
      </c>
      <c r="AJ784">
        <v>33</v>
      </c>
      <c r="AK784">
        <v>62</v>
      </c>
      <c r="AL784">
        <v>0.38</v>
      </c>
    </row>
    <row r="785" spans="1:38" x14ac:dyDescent="0.3">
      <c r="A785" t="s">
        <v>1296</v>
      </c>
      <c r="B785">
        <v>120489</v>
      </c>
      <c r="C785">
        <v>5</v>
      </c>
      <c r="D785" t="s">
        <v>1312</v>
      </c>
      <c r="E785" t="s">
        <v>1313</v>
      </c>
      <c r="F785">
        <v>164</v>
      </c>
      <c r="G785">
        <v>8.49</v>
      </c>
      <c r="H785">
        <v>28.07</v>
      </c>
      <c r="I785">
        <v>6.29</v>
      </c>
      <c r="J785">
        <v>20.8</v>
      </c>
      <c r="K785">
        <v>2</v>
      </c>
      <c r="T785">
        <v>1</v>
      </c>
      <c r="U785">
        <v>1</v>
      </c>
      <c r="V785" t="s">
        <v>226</v>
      </c>
      <c r="W785" t="s">
        <v>1320</v>
      </c>
      <c r="X785">
        <v>10</v>
      </c>
      <c r="Y785">
        <v>9</v>
      </c>
      <c r="Z785" t="s">
        <v>1315</v>
      </c>
      <c r="AA785" t="s">
        <v>1316</v>
      </c>
      <c r="AB785" t="s">
        <v>229</v>
      </c>
      <c r="AC785" t="s">
        <v>230</v>
      </c>
      <c r="AD785" t="s">
        <v>231</v>
      </c>
      <c r="AE785" t="s">
        <v>1301</v>
      </c>
      <c r="AG785" t="s">
        <v>1317</v>
      </c>
      <c r="AH785">
        <v>0</v>
      </c>
      <c r="AI785">
        <v>249</v>
      </c>
      <c r="AJ785">
        <v>33</v>
      </c>
      <c r="AK785">
        <v>62</v>
      </c>
      <c r="AL785">
        <v>0.38</v>
      </c>
    </row>
    <row r="786" spans="1:38" x14ac:dyDescent="0.3">
      <c r="A786" t="s">
        <v>1296</v>
      </c>
      <c r="B786">
        <v>120489</v>
      </c>
      <c r="C786">
        <v>6</v>
      </c>
      <c r="D786" t="s">
        <v>1312</v>
      </c>
      <c r="E786" t="s">
        <v>1313</v>
      </c>
      <c r="F786">
        <v>164</v>
      </c>
      <c r="G786">
        <v>8.99</v>
      </c>
      <c r="H786">
        <v>29.72</v>
      </c>
      <c r="I786">
        <v>6.66</v>
      </c>
      <c r="J786">
        <v>22.02</v>
      </c>
      <c r="K786">
        <v>3</v>
      </c>
      <c r="T786">
        <v>1</v>
      </c>
      <c r="U786">
        <v>1</v>
      </c>
      <c r="V786" t="s">
        <v>226</v>
      </c>
      <c r="W786">
        <v>29</v>
      </c>
      <c r="X786">
        <v>10</v>
      </c>
      <c r="Y786">
        <v>9</v>
      </c>
      <c r="Z786" t="s">
        <v>1315</v>
      </c>
      <c r="AA786" t="s">
        <v>1316</v>
      </c>
      <c r="AB786" t="s">
        <v>229</v>
      </c>
      <c r="AC786" t="s">
        <v>230</v>
      </c>
      <c r="AD786" t="s">
        <v>231</v>
      </c>
      <c r="AE786" t="s">
        <v>1301</v>
      </c>
      <c r="AG786" t="s">
        <v>1317</v>
      </c>
      <c r="AH786">
        <v>0</v>
      </c>
      <c r="AI786">
        <v>249</v>
      </c>
      <c r="AJ786">
        <v>33</v>
      </c>
      <c r="AK786">
        <v>62</v>
      </c>
      <c r="AL786">
        <v>0.38</v>
      </c>
    </row>
    <row r="787" spans="1:38" x14ac:dyDescent="0.3">
      <c r="A787" t="s">
        <v>1296</v>
      </c>
      <c r="B787">
        <v>120489</v>
      </c>
      <c r="C787">
        <v>7</v>
      </c>
      <c r="D787" t="s">
        <v>1312</v>
      </c>
      <c r="E787" t="s">
        <v>1313</v>
      </c>
      <c r="F787">
        <v>164</v>
      </c>
      <c r="G787">
        <v>11.11</v>
      </c>
      <c r="H787">
        <v>36.74</v>
      </c>
      <c r="I787">
        <v>8.23</v>
      </c>
      <c r="J787">
        <v>27.23</v>
      </c>
      <c r="K787">
        <v>18</v>
      </c>
      <c r="T787">
        <v>1</v>
      </c>
      <c r="U787">
        <v>1</v>
      </c>
      <c r="V787" t="s">
        <v>226</v>
      </c>
      <c r="W787">
        <v>36</v>
      </c>
      <c r="X787">
        <v>10</v>
      </c>
      <c r="Y787">
        <v>9</v>
      </c>
      <c r="Z787" t="s">
        <v>1315</v>
      </c>
      <c r="AA787" t="s">
        <v>1316</v>
      </c>
      <c r="AB787" t="s">
        <v>229</v>
      </c>
      <c r="AC787" t="s">
        <v>230</v>
      </c>
      <c r="AD787" t="s">
        <v>231</v>
      </c>
      <c r="AE787" t="s">
        <v>1301</v>
      </c>
      <c r="AG787" t="s">
        <v>1317</v>
      </c>
      <c r="AH787">
        <v>0</v>
      </c>
      <c r="AI787">
        <v>249</v>
      </c>
      <c r="AJ787">
        <v>33</v>
      </c>
      <c r="AK787">
        <v>62</v>
      </c>
      <c r="AL787">
        <v>0.38</v>
      </c>
    </row>
    <row r="788" spans="1:38" x14ac:dyDescent="0.3">
      <c r="A788" t="s">
        <v>1296</v>
      </c>
      <c r="B788">
        <v>120489</v>
      </c>
      <c r="C788">
        <v>8</v>
      </c>
      <c r="D788" t="s">
        <v>1312</v>
      </c>
      <c r="E788" t="s">
        <v>1313</v>
      </c>
      <c r="F788">
        <v>164</v>
      </c>
      <c r="G788">
        <v>13.21</v>
      </c>
      <c r="H788">
        <v>43.68</v>
      </c>
      <c r="I788">
        <v>9.7899999999999991</v>
      </c>
      <c r="J788">
        <v>32.380000000000003</v>
      </c>
      <c r="K788">
        <v>1</v>
      </c>
      <c r="T788">
        <v>1</v>
      </c>
      <c r="U788">
        <v>1</v>
      </c>
      <c r="V788" t="s">
        <v>226</v>
      </c>
      <c r="W788">
        <v>43</v>
      </c>
      <c r="X788">
        <v>10</v>
      </c>
      <c r="Y788">
        <v>9</v>
      </c>
      <c r="Z788" t="s">
        <v>1315</v>
      </c>
      <c r="AA788" t="s">
        <v>1316</v>
      </c>
      <c r="AB788" t="s">
        <v>229</v>
      </c>
      <c r="AC788" t="s">
        <v>230</v>
      </c>
      <c r="AD788" t="s">
        <v>231</v>
      </c>
      <c r="AE788" t="s">
        <v>1301</v>
      </c>
      <c r="AG788" t="s">
        <v>1317</v>
      </c>
      <c r="AH788">
        <v>0</v>
      </c>
      <c r="AI788">
        <v>249</v>
      </c>
      <c r="AJ788">
        <v>33</v>
      </c>
      <c r="AK788">
        <v>62</v>
      </c>
      <c r="AL788">
        <v>0.38</v>
      </c>
    </row>
    <row r="789" spans="1:38" x14ac:dyDescent="0.3">
      <c r="A789" t="s">
        <v>1296</v>
      </c>
      <c r="B789">
        <v>120489</v>
      </c>
      <c r="C789">
        <v>9</v>
      </c>
      <c r="D789" t="s">
        <v>1312</v>
      </c>
      <c r="E789" t="s">
        <v>1313</v>
      </c>
      <c r="F789">
        <v>164</v>
      </c>
      <c r="G789">
        <v>16.61</v>
      </c>
      <c r="H789">
        <v>54.93</v>
      </c>
      <c r="I789">
        <v>12.31</v>
      </c>
      <c r="J789">
        <v>40.71</v>
      </c>
      <c r="K789">
        <v>18</v>
      </c>
      <c r="T789">
        <v>2</v>
      </c>
      <c r="U789">
        <v>1</v>
      </c>
      <c r="V789" t="s">
        <v>226</v>
      </c>
      <c r="W789">
        <v>54</v>
      </c>
      <c r="X789">
        <v>10</v>
      </c>
      <c r="Y789">
        <v>9</v>
      </c>
      <c r="Z789" t="s">
        <v>1315</v>
      </c>
      <c r="AA789" t="s">
        <v>1316</v>
      </c>
      <c r="AB789" t="s">
        <v>229</v>
      </c>
      <c r="AC789" t="s">
        <v>230</v>
      </c>
      <c r="AD789" t="s">
        <v>231</v>
      </c>
      <c r="AE789" t="s">
        <v>1301</v>
      </c>
      <c r="AG789" t="s">
        <v>1317</v>
      </c>
      <c r="AH789">
        <v>0</v>
      </c>
      <c r="AI789">
        <v>249</v>
      </c>
      <c r="AJ789">
        <v>33</v>
      </c>
      <c r="AK789">
        <v>62</v>
      </c>
      <c r="AL789">
        <v>0.38</v>
      </c>
    </row>
    <row r="790" spans="1:38" x14ac:dyDescent="0.3">
      <c r="A790" t="s">
        <v>1296</v>
      </c>
      <c r="B790">
        <v>7459</v>
      </c>
      <c r="C790">
        <v>1</v>
      </c>
      <c r="D790" t="s">
        <v>1321</v>
      </c>
      <c r="E790" t="s">
        <v>1322</v>
      </c>
      <c r="F790">
        <v>420</v>
      </c>
      <c r="G790">
        <v>16.329999999999998</v>
      </c>
      <c r="H790">
        <v>54.01</v>
      </c>
      <c r="I790">
        <v>14.56</v>
      </c>
      <c r="J790">
        <v>48.15</v>
      </c>
      <c r="K790">
        <v>4</v>
      </c>
      <c r="T790">
        <v>2</v>
      </c>
      <c r="U790">
        <v>1</v>
      </c>
      <c r="V790" t="s">
        <v>226</v>
      </c>
      <c r="W790">
        <v>54</v>
      </c>
      <c r="X790">
        <v>5</v>
      </c>
      <c r="Y790">
        <v>5</v>
      </c>
      <c r="Z790" t="s">
        <v>1323</v>
      </c>
      <c r="AA790" t="s">
        <v>1324</v>
      </c>
      <c r="AB790" t="s">
        <v>229</v>
      </c>
      <c r="AC790" t="s">
        <v>230</v>
      </c>
      <c r="AD790" t="s">
        <v>231</v>
      </c>
      <c r="AE790" t="s">
        <v>1301</v>
      </c>
      <c r="AG790" t="s">
        <v>1325</v>
      </c>
      <c r="AH790">
        <v>0</v>
      </c>
      <c r="AI790">
        <v>0</v>
      </c>
      <c r="AJ790">
        <v>0</v>
      </c>
      <c r="AK790">
        <v>336</v>
      </c>
      <c r="AL790">
        <v>0.8</v>
      </c>
    </row>
    <row r="791" spans="1:38" x14ac:dyDescent="0.3">
      <c r="A791" t="s">
        <v>1296</v>
      </c>
      <c r="B791">
        <v>7459</v>
      </c>
      <c r="C791">
        <v>2</v>
      </c>
      <c r="D791" t="s">
        <v>1321</v>
      </c>
      <c r="E791" t="s">
        <v>1322</v>
      </c>
      <c r="F791">
        <v>420</v>
      </c>
      <c r="G791">
        <v>18.62</v>
      </c>
      <c r="H791">
        <v>61.56</v>
      </c>
      <c r="I791">
        <v>16.87</v>
      </c>
      <c r="J791">
        <v>55.8</v>
      </c>
      <c r="K791">
        <v>296</v>
      </c>
      <c r="T791">
        <v>2</v>
      </c>
      <c r="U791">
        <v>1</v>
      </c>
      <c r="V791" t="s">
        <v>233</v>
      </c>
      <c r="W791" t="s">
        <v>1326</v>
      </c>
      <c r="X791">
        <v>5</v>
      </c>
      <c r="Y791">
        <v>5</v>
      </c>
      <c r="Z791" t="s">
        <v>1323</v>
      </c>
      <c r="AA791" t="s">
        <v>1324</v>
      </c>
      <c r="AB791" t="s">
        <v>229</v>
      </c>
      <c r="AC791" t="s">
        <v>230</v>
      </c>
      <c r="AD791" t="s">
        <v>231</v>
      </c>
      <c r="AE791" t="s">
        <v>1301</v>
      </c>
      <c r="AG791" t="s">
        <v>1325</v>
      </c>
      <c r="AH791">
        <v>0</v>
      </c>
      <c r="AI791">
        <v>0</v>
      </c>
      <c r="AJ791">
        <v>0</v>
      </c>
      <c r="AK791">
        <v>336</v>
      </c>
      <c r="AL791">
        <v>0.8</v>
      </c>
    </row>
    <row r="792" spans="1:38" x14ac:dyDescent="0.3">
      <c r="A792" t="s">
        <v>1296</v>
      </c>
      <c r="B792">
        <v>7459</v>
      </c>
      <c r="C792">
        <v>3</v>
      </c>
      <c r="D792" t="s">
        <v>1321</v>
      </c>
      <c r="E792" t="s">
        <v>1322</v>
      </c>
      <c r="F792">
        <v>420</v>
      </c>
      <c r="G792">
        <v>20.059999999999999</v>
      </c>
      <c r="H792">
        <v>66.319999999999993</v>
      </c>
      <c r="I792">
        <v>18.13</v>
      </c>
      <c r="J792">
        <v>59.94</v>
      </c>
      <c r="K792">
        <v>120</v>
      </c>
      <c r="T792">
        <v>3</v>
      </c>
      <c r="U792">
        <v>1</v>
      </c>
      <c r="V792" t="s">
        <v>233</v>
      </c>
      <c r="W792" t="s">
        <v>402</v>
      </c>
      <c r="X792">
        <v>5</v>
      </c>
      <c r="Y792">
        <v>5</v>
      </c>
      <c r="Z792" t="s">
        <v>1323</v>
      </c>
      <c r="AA792" t="s">
        <v>1324</v>
      </c>
      <c r="AB792" t="s">
        <v>229</v>
      </c>
      <c r="AC792" t="s">
        <v>230</v>
      </c>
      <c r="AD792" t="s">
        <v>231</v>
      </c>
      <c r="AE792" t="s">
        <v>1301</v>
      </c>
      <c r="AG792" t="s">
        <v>1325</v>
      </c>
      <c r="AH792">
        <v>0</v>
      </c>
      <c r="AI792">
        <v>0</v>
      </c>
      <c r="AJ792">
        <v>0</v>
      </c>
      <c r="AK792">
        <v>336</v>
      </c>
      <c r="AL792">
        <v>0.8</v>
      </c>
    </row>
    <row r="793" spans="1:38" x14ac:dyDescent="0.3">
      <c r="A793" t="s">
        <v>1296</v>
      </c>
      <c r="B793">
        <v>7450</v>
      </c>
      <c r="C793">
        <v>1</v>
      </c>
      <c r="D793" t="s">
        <v>1327</v>
      </c>
      <c r="E793" t="s">
        <v>1328</v>
      </c>
      <c r="F793">
        <v>639</v>
      </c>
      <c r="G793">
        <v>12.24</v>
      </c>
      <c r="H793">
        <v>40.49</v>
      </c>
      <c r="I793">
        <v>9.1999999999999993</v>
      </c>
      <c r="J793">
        <v>30.42</v>
      </c>
      <c r="K793">
        <v>206</v>
      </c>
      <c r="T793">
        <v>1</v>
      </c>
      <c r="U793">
        <v>1</v>
      </c>
      <c r="V793" t="s">
        <v>226</v>
      </c>
      <c r="W793">
        <v>40</v>
      </c>
      <c r="X793">
        <v>15</v>
      </c>
      <c r="Y793">
        <v>11</v>
      </c>
      <c r="Z793" t="s">
        <v>1329</v>
      </c>
      <c r="AA793" t="s">
        <v>1330</v>
      </c>
      <c r="AB793" t="s">
        <v>229</v>
      </c>
      <c r="AC793" t="s">
        <v>230</v>
      </c>
      <c r="AD793" t="s">
        <v>231</v>
      </c>
      <c r="AE793" t="s">
        <v>1301</v>
      </c>
      <c r="AG793" t="s">
        <v>1331</v>
      </c>
      <c r="AH793">
        <v>0</v>
      </c>
      <c r="AI793">
        <v>284</v>
      </c>
      <c r="AJ793">
        <v>26</v>
      </c>
      <c r="AK793">
        <v>584</v>
      </c>
      <c r="AL793">
        <v>0.91</v>
      </c>
    </row>
    <row r="794" spans="1:38" x14ac:dyDescent="0.3">
      <c r="A794" t="s">
        <v>1296</v>
      </c>
      <c r="B794">
        <v>7450</v>
      </c>
      <c r="C794">
        <v>2</v>
      </c>
      <c r="D794" t="s">
        <v>1327</v>
      </c>
      <c r="E794" t="s">
        <v>1328</v>
      </c>
      <c r="F794">
        <v>639</v>
      </c>
      <c r="G794">
        <v>19.260000000000002</v>
      </c>
      <c r="H794">
        <v>63.7</v>
      </c>
      <c r="I794">
        <v>14.48</v>
      </c>
      <c r="J794">
        <v>47.88</v>
      </c>
      <c r="K794">
        <v>30</v>
      </c>
      <c r="T794">
        <v>2</v>
      </c>
      <c r="U794">
        <v>1</v>
      </c>
      <c r="V794" t="s">
        <v>226</v>
      </c>
      <c r="W794">
        <v>63</v>
      </c>
      <c r="X794">
        <v>15</v>
      </c>
      <c r="Y794">
        <v>11</v>
      </c>
      <c r="Z794" t="s">
        <v>1329</v>
      </c>
      <c r="AA794" t="s">
        <v>1330</v>
      </c>
      <c r="AB794" t="s">
        <v>229</v>
      </c>
      <c r="AC794" t="s">
        <v>230</v>
      </c>
      <c r="AD794" t="s">
        <v>231</v>
      </c>
      <c r="AE794" t="s">
        <v>1301</v>
      </c>
      <c r="AG794" t="s">
        <v>1331</v>
      </c>
      <c r="AH794">
        <v>0</v>
      </c>
      <c r="AI794">
        <v>284</v>
      </c>
      <c r="AJ794">
        <v>26</v>
      </c>
      <c r="AK794">
        <v>584</v>
      </c>
      <c r="AL794">
        <v>0.91</v>
      </c>
    </row>
    <row r="795" spans="1:38" x14ac:dyDescent="0.3">
      <c r="A795" t="s">
        <v>1296</v>
      </c>
      <c r="B795">
        <v>7450</v>
      </c>
      <c r="C795">
        <v>3</v>
      </c>
      <c r="D795" t="s">
        <v>1327</v>
      </c>
      <c r="E795" t="s">
        <v>1328</v>
      </c>
      <c r="F795">
        <v>639</v>
      </c>
      <c r="G795">
        <v>31.49</v>
      </c>
      <c r="H795">
        <v>104.1</v>
      </c>
      <c r="I795">
        <v>25.67</v>
      </c>
      <c r="J795">
        <v>84.89</v>
      </c>
      <c r="K795">
        <v>238</v>
      </c>
      <c r="T795">
        <v>3</v>
      </c>
      <c r="U795">
        <v>2</v>
      </c>
      <c r="V795" t="s">
        <v>233</v>
      </c>
      <c r="W795">
        <v>104</v>
      </c>
      <c r="X795">
        <v>15</v>
      </c>
      <c r="Y795">
        <v>11</v>
      </c>
      <c r="Z795" t="s">
        <v>1329</v>
      </c>
      <c r="AA795" t="s">
        <v>1330</v>
      </c>
      <c r="AB795" t="s">
        <v>229</v>
      </c>
      <c r="AC795" t="s">
        <v>230</v>
      </c>
      <c r="AD795" t="s">
        <v>231</v>
      </c>
      <c r="AE795" t="s">
        <v>1301</v>
      </c>
      <c r="AG795" t="s">
        <v>1331</v>
      </c>
      <c r="AH795">
        <v>0</v>
      </c>
      <c r="AI795">
        <v>284</v>
      </c>
      <c r="AJ795">
        <v>26</v>
      </c>
      <c r="AK795">
        <v>584</v>
      </c>
      <c r="AL795">
        <v>0.91</v>
      </c>
    </row>
    <row r="796" spans="1:38" x14ac:dyDescent="0.3">
      <c r="A796" t="s">
        <v>1296</v>
      </c>
      <c r="B796">
        <v>7450</v>
      </c>
      <c r="C796">
        <v>4</v>
      </c>
      <c r="D796" t="s">
        <v>1327</v>
      </c>
      <c r="E796" t="s">
        <v>1328</v>
      </c>
      <c r="F796">
        <v>639</v>
      </c>
      <c r="G796">
        <v>31.52</v>
      </c>
      <c r="H796">
        <v>104.23</v>
      </c>
      <c r="I796">
        <v>25.7</v>
      </c>
      <c r="J796">
        <v>84.99</v>
      </c>
      <c r="K796">
        <v>143</v>
      </c>
      <c r="T796">
        <v>3</v>
      </c>
      <c r="U796">
        <v>2</v>
      </c>
      <c r="V796" t="s">
        <v>226</v>
      </c>
      <c r="W796">
        <v>104</v>
      </c>
      <c r="X796">
        <v>15</v>
      </c>
      <c r="Y796">
        <v>11</v>
      </c>
      <c r="Z796" t="s">
        <v>1329</v>
      </c>
      <c r="AA796" t="s">
        <v>1330</v>
      </c>
      <c r="AB796" t="s">
        <v>229</v>
      </c>
      <c r="AC796" t="s">
        <v>230</v>
      </c>
      <c r="AD796" t="s">
        <v>231</v>
      </c>
      <c r="AE796" t="s">
        <v>1301</v>
      </c>
      <c r="AG796" t="s">
        <v>1331</v>
      </c>
      <c r="AH796">
        <v>0</v>
      </c>
      <c r="AI796">
        <v>284</v>
      </c>
      <c r="AJ796">
        <v>26</v>
      </c>
      <c r="AK796">
        <v>584</v>
      </c>
      <c r="AL796">
        <v>0.91</v>
      </c>
    </row>
    <row r="797" spans="1:38" x14ac:dyDescent="0.3">
      <c r="A797" t="s">
        <v>1296</v>
      </c>
      <c r="B797">
        <v>7450</v>
      </c>
      <c r="C797">
        <v>5</v>
      </c>
      <c r="D797" t="s">
        <v>1327</v>
      </c>
      <c r="E797" t="s">
        <v>1328</v>
      </c>
      <c r="F797">
        <v>639</v>
      </c>
      <c r="G797">
        <v>47.18</v>
      </c>
      <c r="H797">
        <v>155.97</v>
      </c>
      <c r="I797">
        <v>40.770000000000003</v>
      </c>
      <c r="J797">
        <v>134.78</v>
      </c>
      <c r="K797">
        <v>22</v>
      </c>
      <c r="T797">
        <v>4</v>
      </c>
      <c r="U797">
        <v>2</v>
      </c>
      <c r="V797" t="s">
        <v>233</v>
      </c>
      <c r="W797">
        <v>155</v>
      </c>
      <c r="X797">
        <v>15</v>
      </c>
      <c r="Y797">
        <v>11</v>
      </c>
      <c r="Z797" t="s">
        <v>1329</v>
      </c>
      <c r="AA797" t="s">
        <v>1330</v>
      </c>
      <c r="AB797" t="s">
        <v>229</v>
      </c>
      <c r="AC797" t="s">
        <v>230</v>
      </c>
      <c r="AD797" t="s">
        <v>231</v>
      </c>
      <c r="AE797" t="s">
        <v>1301</v>
      </c>
      <c r="AG797" t="s">
        <v>1331</v>
      </c>
      <c r="AH797">
        <v>0</v>
      </c>
      <c r="AI797">
        <v>284</v>
      </c>
      <c r="AJ797">
        <v>26</v>
      </c>
      <c r="AK797">
        <v>584</v>
      </c>
      <c r="AL797">
        <v>0.91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가경동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가경동 가로수마을선광로즈웰('08.07.,256^)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224</v>
      </c>
      <c r="B6" s="10" t="s">
        <v>1334</v>
      </c>
      <c r="C6" s="88">
        <v>256</v>
      </c>
      <c r="D6" s="86">
        <v>110</v>
      </c>
      <c r="E6" s="87">
        <v>33</v>
      </c>
      <c r="F6" s="86">
        <v>84.9</v>
      </c>
      <c r="G6" s="17">
        <v>26</v>
      </c>
      <c r="H6" s="88">
        <v>170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110</v>
      </c>
      <c r="U6" s="9"/>
      <c r="W6" s="86">
        <f>D6</f>
        <v>110</v>
      </c>
      <c r="X6" s="87">
        <f>E6</f>
        <v>33</v>
      </c>
      <c r="Y6" s="92">
        <f>H6</f>
        <v>170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복</v>
      </c>
      <c r="AF6" s="79" t="str">
        <f>Q6&amp;"/"&amp;R6</f>
        <v>3/2</v>
      </c>
      <c r="AH6" s="20" t="str">
        <f t="shared" si="1"/>
        <v>가로수마을선광로즈웰</v>
      </c>
      <c r="AI6" s="87">
        <f t="shared" si="0"/>
        <v>33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224</v>
      </c>
      <c r="B7" s="10" t="s">
        <v>1334</v>
      </c>
      <c r="C7" s="88">
        <v>256</v>
      </c>
      <c r="D7" s="86">
        <v>112.4</v>
      </c>
      <c r="E7" s="87">
        <v>34</v>
      </c>
      <c r="F7" s="86">
        <v>85</v>
      </c>
      <c r="G7" s="17">
        <v>26</v>
      </c>
      <c r="H7" s="88">
        <v>86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>
        <v>112</v>
      </c>
      <c r="U7" s="9"/>
      <c r="W7" s="86">
        <f>D7</f>
        <v>112.4</v>
      </c>
      <c r="X7" s="87">
        <f>E7</f>
        <v>34</v>
      </c>
      <c r="Y7" s="92">
        <f>H7</f>
        <v>86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가로수마을선광로즈웰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가경동 가경주공2단지('02.12.,704^)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234</v>
      </c>
      <c r="B9" s="10" t="s">
        <v>1335</v>
      </c>
      <c r="C9" s="88">
        <v>704</v>
      </c>
      <c r="D9" s="86">
        <v>67.900000000000006</v>
      </c>
      <c r="E9" s="87">
        <v>21</v>
      </c>
      <c r="F9" s="86">
        <v>49.8</v>
      </c>
      <c r="G9" s="17">
        <v>15</v>
      </c>
      <c r="H9" s="88">
        <v>82</v>
      </c>
      <c r="I9" s="89">
        <v>18500</v>
      </c>
      <c r="J9" s="89" t="s">
        <v>99</v>
      </c>
      <c r="K9" s="89"/>
      <c r="L9" s="89"/>
      <c r="M9" s="90">
        <f>I9-K9</f>
        <v>18500</v>
      </c>
      <c r="N9" s="4">
        <f>IF(ISERROR(K9/I9),"",K9/I9)</f>
        <v>0</v>
      </c>
      <c r="O9" s="91">
        <f>I9/E9</f>
        <v>880.95238095238096</v>
      </c>
      <c r="P9" s="91">
        <f>K9/E9</f>
        <v>0</v>
      </c>
      <c r="Q9" s="79">
        <v>2</v>
      </c>
      <c r="R9" s="79">
        <v>1</v>
      </c>
      <c r="S9" s="79" t="s">
        <v>62</v>
      </c>
      <c r="T9" s="5">
        <v>67</v>
      </c>
      <c r="U9" s="9"/>
      <c r="W9" s="86">
        <f>D9</f>
        <v>67.900000000000006</v>
      </c>
      <c r="X9" s="87">
        <f>E9</f>
        <v>21</v>
      </c>
      <c r="Y9" s="92">
        <f>H9</f>
        <v>82</v>
      </c>
      <c r="Z9" s="90">
        <f>I9</f>
        <v>18500</v>
      </c>
      <c r="AA9" s="90">
        <f>K9</f>
        <v>0</v>
      </c>
      <c r="AB9" s="90">
        <f t="shared" ref="AB9:AD10" si="3">M9</f>
        <v>18500</v>
      </c>
      <c r="AC9" s="4">
        <f t="shared" si="3"/>
        <v>0</v>
      </c>
      <c r="AD9" s="91">
        <f t="shared" si="3"/>
        <v>880.95238095238096</v>
      </c>
      <c r="AE9" s="79" t="str">
        <f>S9</f>
        <v>계</v>
      </c>
      <c r="AF9" s="79" t="str">
        <f>Q9&amp;"/"&amp;R9</f>
        <v>2/1</v>
      </c>
      <c r="AH9" s="20" t="str">
        <f t="shared" si="1"/>
        <v>가경주공2단지</v>
      </c>
      <c r="AI9" s="87">
        <f t="shared" si="0"/>
        <v>21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234</v>
      </c>
      <c r="B10" s="10" t="s">
        <v>1335</v>
      </c>
      <c r="C10" s="88">
        <v>704</v>
      </c>
      <c r="D10" s="86">
        <v>81.7</v>
      </c>
      <c r="E10" s="87">
        <v>25</v>
      </c>
      <c r="F10" s="86">
        <v>59.9</v>
      </c>
      <c r="G10" s="17">
        <v>18</v>
      </c>
      <c r="H10" s="88">
        <v>622</v>
      </c>
      <c r="I10" s="89">
        <v>22000</v>
      </c>
      <c r="J10" s="89" t="s">
        <v>88</v>
      </c>
      <c r="K10" s="89">
        <v>20000</v>
      </c>
      <c r="L10" s="89" t="s">
        <v>65</v>
      </c>
      <c r="M10" s="90">
        <f>I10-K10</f>
        <v>2000</v>
      </c>
      <c r="N10" s="4">
        <f>IF(ISERROR(K10/I10),"",K10/I10)</f>
        <v>0.90909090909090906</v>
      </c>
      <c r="O10" s="91">
        <f>I10/E10</f>
        <v>880</v>
      </c>
      <c r="P10" s="91">
        <f>K10/E10</f>
        <v>800</v>
      </c>
      <c r="Q10" s="79">
        <v>3</v>
      </c>
      <c r="R10" s="79">
        <v>2</v>
      </c>
      <c r="S10" s="79" t="s">
        <v>62</v>
      </c>
      <c r="T10" s="5">
        <v>81</v>
      </c>
      <c r="U10" s="9"/>
      <c r="W10" s="86">
        <f>D10</f>
        <v>81.7</v>
      </c>
      <c r="X10" s="87">
        <f>E10</f>
        <v>25</v>
      </c>
      <c r="Y10" s="92">
        <f>H10</f>
        <v>622</v>
      </c>
      <c r="Z10" s="90">
        <f>I10</f>
        <v>22000</v>
      </c>
      <c r="AA10" s="90">
        <f>K10</f>
        <v>20000</v>
      </c>
      <c r="AB10" s="90">
        <f t="shared" si="3"/>
        <v>2000</v>
      </c>
      <c r="AC10" s="4">
        <f t="shared" si="3"/>
        <v>0.90909090909090906</v>
      </c>
      <c r="AD10" s="91">
        <f t="shared" si="3"/>
        <v>880</v>
      </c>
      <c r="AE10" s="79" t="str">
        <f>S10</f>
        <v>계</v>
      </c>
      <c r="AF10" s="79" t="str">
        <f>Q10&amp;"/"&amp;R10</f>
        <v>3/2</v>
      </c>
      <c r="AH10" s="20" t="str">
        <f t="shared" si="1"/>
        <v>가경주공2단지</v>
      </c>
      <c r="AI10" s="87">
        <f t="shared" si="0"/>
        <v>25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가경동 청주가경아이파크4단지('22.03.,201^)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239</v>
      </c>
      <c r="B12" s="10" t="s">
        <v>1336</v>
      </c>
      <c r="C12" s="88">
        <v>201</v>
      </c>
      <c r="D12" s="86">
        <v>109.6</v>
      </c>
      <c r="E12" s="87">
        <v>33</v>
      </c>
      <c r="F12" s="86">
        <v>84.9</v>
      </c>
      <c r="G12" s="17">
        <v>26</v>
      </c>
      <c r="H12" s="88">
        <v>175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66</v>
      </c>
      <c r="U12" s="9"/>
      <c r="W12" s="86">
        <f>D12</f>
        <v>109.6</v>
      </c>
      <c r="X12" s="87">
        <f>E12</f>
        <v>33</v>
      </c>
      <c r="Y12" s="92">
        <f>H12</f>
        <v>175</v>
      </c>
      <c r="Z12" s="90">
        <f>I12</f>
        <v>0</v>
      </c>
      <c r="AA12" s="90">
        <f>K12</f>
        <v>0</v>
      </c>
      <c r="AB12" s="90">
        <f t="shared" ref="AB12:AD13" si="4">M12</f>
        <v>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청주가경아이파크4단지</v>
      </c>
      <c r="AI12" s="87">
        <f t="shared" si="0"/>
        <v>33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239</v>
      </c>
      <c r="B13" s="10" t="s">
        <v>1336</v>
      </c>
      <c r="C13" s="88">
        <v>201</v>
      </c>
      <c r="D13" s="86">
        <v>109.4</v>
      </c>
      <c r="E13" s="87">
        <v>33</v>
      </c>
      <c r="F13" s="86">
        <v>84.4</v>
      </c>
      <c r="G13" s="17">
        <v>26</v>
      </c>
      <c r="H13" s="88">
        <v>26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 t="s">
        <v>67</v>
      </c>
      <c r="U13" s="9"/>
      <c r="W13" s="86">
        <f>D13</f>
        <v>109.4</v>
      </c>
      <c r="X13" s="87">
        <f>E13</f>
        <v>33</v>
      </c>
      <c r="Y13" s="92">
        <f>H13</f>
        <v>26</v>
      </c>
      <c r="Z13" s="90">
        <f>I13</f>
        <v>0</v>
      </c>
      <c r="AA13" s="90">
        <f>K13</f>
        <v>0</v>
      </c>
      <c r="AB13" s="90">
        <f t="shared" si="4"/>
        <v>0</v>
      </c>
      <c r="AC13" s="4" t="str">
        <f t="shared" si="4"/>
        <v/>
      </c>
      <c r="AD13" s="91">
        <f t="shared" si="4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청주가경아이파크4단지</v>
      </c>
      <c r="AI13" s="87">
        <f t="shared" si="0"/>
        <v>33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가경동 가경자이('20.11.,992^)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244</v>
      </c>
      <c r="B15" s="10" t="s">
        <v>1337</v>
      </c>
      <c r="C15" s="88">
        <v>992</v>
      </c>
      <c r="D15" s="86">
        <v>99.9</v>
      </c>
      <c r="E15" s="87">
        <v>30</v>
      </c>
      <c r="F15" s="86">
        <v>75.8</v>
      </c>
      <c r="G15" s="17">
        <v>23</v>
      </c>
      <c r="H15" s="88">
        <v>468</v>
      </c>
      <c r="I15" s="89">
        <v>63000</v>
      </c>
      <c r="J15" s="89" t="s">
        <v>68</v>
      </c>
      <c r="K15" s="89">
        <v>38000</v>
      </c>
      <c r="L15" s="89" t="s">
        <v>69</v>
      </c>
      <c r="M15" s="90">
        <f>I15-K15</f>
        <v>25000</v>
      </c>
      <c r="N15" s="4">
        <f>IF(ISERROR(K15/I15),"",K15/I15)</f>
        <v>0.60317460317460314</v>
      </c>
      <c r="O15" s="91">
        <f>I15/E15</f>
        <v>2100</v>
      </c>
      <c r="P15" s="91">
        <f>K15/E15</f>
        <v>1266.6666666666667</v>
      </c>
      <c r="Q15" s="79">
        <v>4</v>
      </c>
      <c r="R15" s="79">
        <v>2</v>
      </c>
      <c r="S15" s="79" t="s">
        <v>62</v>
      </c>
      <c r="T15" s="5">
        <v>99</v>
      </c>
      <c r="U15" s="9"/>
      <c r="W15" s="86">
        <f t="shared" ref="W15:X17" si="5">D15</f>
        <v>99.9</v>
      </c>
      <c r="X15" s="87">
        <f t="shared" si="5"/>
        <v>30</v>
      </c>
      <c r="Y15" s="92">
        <f t="shared" ref="Y15:Z17" si="6">H15</f>
        <v>468</v>
      </c>
      <c r="Z15" s="90">
        <f t="shared" si="6"/>
        <v>63000</v>
      </c>
      <c r="AA15" s="90">
        <f>K15</f>
        <v>38000</v>
      </c>
      <c r="AB15" s="90">
        <f t="shared" ref="AB15:AD17" si="7">M15</f>
        <v>25000</v>
      </c>
      <c r="AC15" s="4">
        <f t="shared" si="7"/>
        <v>0.60317460317460314</v>
      </c>
      <c r="AD15" s="91">
        <f t="shared" si="7"/>
        <v>2100</v>
      </c>
      <c r="AE15" s="79" t="str">
        <f>S15</f>
        <v>계</v>
      </c>
      <c r="AF15" s="79" t="str">
        <f>Q15&amp;"/"&amp;R15</f>
        <v>4/2</v>
      </c>
      <c r="AH15" s="20" t="str">
        <f t="shared" si="1"/>
        <v>가경자이</v>
      </c>
      <c r="AI15" s="87">
        <f t="shared" si="0"/>
        <v>30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244</v>
      </c>
      <c r="B16" s="10" t="s">
        <v>1337</v>
      </c>
      <c r="C16" s="88">
        <v>992</v>
      </c>
      <c r="D16" s="86">
        <v>110.8</v>
      </c>
      <c r="E16" s="87">
        <v>34</v>
      </c>
      <c r="F16" s="86">
        <v>84.8</v>
      </c>
      <c r="G16" s="17">
        <v>26</v>
      </c>
      <c r="H16" s="88">
        <v>91</v>
      </c>
      <c r="I16" s="89">
        <v>75000</v>
      </c>
      <c r="J16" s="89" t="s">
        <v>70</v>
      </c>
      <c r="K16" s="89">
        <v>48000</v>
      </c>
      <c r="L16" s="89" t="s">
        <v>71</v>
      </c>
      <c r="M16" s="90">
        <f>I16-K16</f>
        <v>27000</v>
      </c>
      <c r="N16" s="4">
        <f>IF(ISERROR(K16/I16),"",K16/I16)</f>
        <v>0.64</v>
      </c>
      <c r="O16" s="91">
        <f>I16/E16</f>
        <v>2205.8823529411766</v>
      </c>
      <c r="P16" s="91">
        <f>K16/E16</f>
        <v>1411.7647058823529</v>
      </c>
      <c r="Q16" s="79">
        <v>4</v>
      </c>
      <c r="R16" s="79">
        <v>2</v>
      </c>
      <c r="S16" s="79" t="s">
        <v>62</v>
      </c>
      <c r="T16" s="5" t="s">
        <v>72</v>
      </c>
      <c r="U16" s="9"/>
      <c r="W16" s="86">
        <f t="shared" si="5"/>
        <v>110.8</v>
      </c>
      <c r="X16" s="87">
        <f t="shared" si="5"/>
        <v>34</v>
      </c>
      <c r="Y16" s="92">
        <f t="shared" si="6"/>
        <v>91</v>
      </c>
      <c r="Z16" s="90">
        <f t="shared" si="6"/>
        <v>75000</v>
      </c>
      <c r="AA16" s="90">
        <f>K16</f>
        <v>48000</v>
      </c>
      <c r="AB16" s="90">
        <f t="shared" si="7"/>
        <v>27000</v>
      </c>
      <c r="AC16" s="4">
        <f t="shared" si="7"/>
        <v>0.64</v>
      </c>
      <c r="AD16" s="91">
        <f t="shared" si="7"/>
        <v>2205.8823529411766</v>
      </c>
      <c r="AE16" s="79" t="str">
        <f>S16</f>
        <v>계</v>
      </c>
      <c r="AF16" s="79" t="str">
        <f>Q16&amp;"/"&amp;R16</f>
        <v>4/2</v>
      </c>
      <c r="AH16" s="20" t="str">
        <f t="shared" si="1"/>
        <v>가경자이</v>
      </c>
      <c r="AI16" s="87">
        <f t="shared" si="0"/>
        <v>34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244</v>
      </c>
      <c r="B17" s="10" t="s">
        <v>1337</v>
      </c>
      <c r="C17" s="88">
        <v>992</v>
      </c>
      <c r="D17" s="86">
        <v>111.2</v>
      </c>
      <c r="E17" s="87">
        <v>34</v>
      </c>
      <c r="F17" s="86">
        <v>84.8</v>
      </c>
      <c r="G17" s="17">
        <v>26</v>
      </c>
      <c r="H17" s="88">
        <v>433</v>
      </c>
      <c r="I17" s="89">
        <v>76000</v>
      </c>
      <c r="J17" s="89" t="s">
        <v>1338</v>
      </c>
      <c r="K17" s="89"/>
      <c r="L17" s="89"/>
      <c r="M17" s="90">
        <f>I17-K17</f>
        <v>76000</v>
      </c>
      <c r="N17" s="4">
        <f>IF(ISERROR(K17/I17),"",K17/I17)</f>
        <v>0</v>
      </c>
      <c r="O17" s="91">
        <f>I17/E17</f>
        <v>2235.294117647059</v>
      </c>
      <c r="P17" s="91">
        <f>K17/E17</f>
        <v>0</v>
      </c>
      <c r="Q17" s="79">
        <v>4</v>
      </c>
      <c r="R17" s="79">
        <v>2</v>
      </c>
      <c r="S17" s="79" t="s">
        <v>62</v>
      </c>
      <c r="T17" s="5" t="s">
        <v>73</v>
      </c>
      <c r="U17" s="9"/>
      <c r="W17" s="86">
        <f t="shared" si="5"/>
        <v>111.2</v>
      </c>
      <c r="X17" s="87">
        <f t="shared" si="5"/>
        <v>34</v>
      </c>
      <c r="Y17" s="92">
        <f t="shared" si="6"/>
        <v>433</v>
      </c>
      <c r="Z17" s="90">
        <f t="shared" si="6"/>
        <v>76000</v>
      </c>
      <c r="AA17" s="90">
        <f>K17</f>
        <v>0</v>
      </c>
      <c r="AB17" s="90">
        <f t="shared" si="7"/>
        <v>76000</v>
      </c>
      <c r="AC17" s="4">
        <f t="shared" si="7"/>
        <v>0</v>
      </c>
      <c r="AD17" s="91">
        <f t="shared" si="7"/>
        <v>2235.294117647059</v>
      </c>
      <c r="AE17" s="79" t="str">
        <f>S17</f>
        <v>계</v>
      </c>
      <c r="AF17" s="79" t="str">
        <f>Q17&amp;"/"&amp;R17</f>
        <v>4/2</v>
      </c>
      <c r="AH17" s="20" t="str">
        <f t="shared" si="1"/>
        <v>가경자이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가경동 가경e-편한세상('08.09.,385^)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249</v>
      </c>
      <c r="B19" s="10" t="s">
        <v>1339</v>
      </c>
      <c r="C19" s="88">
        <v>385</v>
      </c>
      <c r="D19" s="86">
        <v>159.4</v>
      </c>
      <c r="E19" s="87">
        <v>48</v>
      </c>
      <c r="F19" s="86">
        <v>133.6</v>
      </c>
      <c r="G19" s="17">
        <v>40</v>
      </c>
      <c r="H19" s="88">
        <v>83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4</v>
      </c>
      <c r="R19" s="79">
        <v>2</v>
      </c>
      <c r="S19" s="79" t="s">
        <v>62</v>
      </c>
      <c r="T19" s="5" t="s">
        <v>74</v>
      </c>
      <c r="U19" s="9"/>
      <c r="W19" s="86">
        <f t="shared" ref="W19:X23" si="8">D19</f>
        <v>159.4</v>
      </c>
      <c r="X19" s="87">
        <f t="shared" si="8"/>
        <v>48</v>
      </c>
      <c r="Y19" s="92">
        <f t="shared" ref="Y19:Z23" si="9">H19</f>
        <v>83</v>
      </c>
      <c r="Z19" s="90">
        <f t="shared" si="9"/>
        <v>0</v>
      </c>
      <c r="AA19" s="90">
        <f>K19</f>
        <v>0</v>
      </c>
      <c r="AB19" s="90">
        <f t="shared" ref="AB19:AD23" si="10">M19</f>
        <v>0</v>
      </c>
      <c r="AC19" s="4" t="str">
        <f t="shared" si="10"/>
        <v/>
      </c>
      <c r="AD19" s="91">
        <f t="shared" si="10"/>
        <v>0</v>
      </c>
      <c r="AE19" s="79" t="str">
        <f>S19</f>
        <v>계</v>
      </c>
      <c r="AF19" s="79" t="str">
        <f>Q19&amp;"/"&amp;R19</f>
        <v>4/2</v>
      </c>
      <c r="AH19" s="20" t="str">
        <f t="shared" si="1"/>
        <v>가경e-편한세상</v>
      </c>
      <c r="AI19" s="87">
        <f t="shared" si="0"/>
        <v>48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/>
      </c>
    </row>
    <row r="20" spans="1:48" x14ac:dyDescent="0.3">
      <c r="A20" s="9" t="s">
        <v>249</v>
      </c>
      <c r="B20" s="10" t="s">
        <v>1339</v>
      </c>
      <c r="C20" s="88">
        <v>385</v>
      </c>
      <c r="D20" s="86">
        <v>160.80000000000001</v>
      </c>
      <c r="E20" s="87">
        <v>49</v>
      </c>
      <c r="F20" s="86">
        <v>133.80000000000001</v>
      </c>
      <c r="G20" s="17">
        <v>40</v>
      </c>
      <c r="H20" s="88">
        <v>90</v>
      </c>
      <c r="I20" s="89">
        <v>73000</v>
      </c>
      <c r="J20" s="89" t="s">
        <v>71</v>
      </c>
      <c r="K20" s="89">
        <v>50000</v>
      </c>
      <c r="L20" s="89" t="s">
        <v>89</v>
      </c>
      <c r="M20" s="90">
        <f>I20-K20</f>
        <v>23000</v>
      </c>
      <c r="N20" s="4">
        <f>IF(ISERROR(K20/I20),"",K20/I20)</f>
        <v>0.68493150684931503</v>
      </c>
      <c r="O20" s="91">
        <f>I20/E20</f>
        <v>1489.795918367347</v>
      </c>
      <c r="P20" s="91">
        <f>K20/E20</f>
        <v>1020.4081632653061</v>
      </c>
      <c r="Q20" s="79">
        <v>4</v>
      </c>
      <c r="R20" s="79">
        <v>2</v>
      </c>
      <c r="S20" s="79" t="s">
        <v>62</v>
      </c>
      <c r="T20" s="5" t="s">
        <v>76</v>
      </c>
      <c r="U20" s="9"/>
      <c r="W20" s="86">
        <f t="shared" si="8"/>
        <v>160.80000000000001</v>
      </c>
      <c r="X20" s="87">
        <f t="shared" si="8"/>
        <v>49</v>
      </c>
      <c r="Y20" s="92">
        <f t="shared" si="9"/>
        <v>90</v>
      </c>
      <c r="Z20" s="90">
        <f t="shared" si="9"/>
        <v>73000</v>
      </c>
      <c r="AA20" s="90">
        <f>K20</f>
        <v>50000</v>
      </c>
      <c r="AB20" s="90">
        <f t="shared" si="10"/>
        <v>23000</v>
      </c>
      <c r="AC20" s="4">
        <f t="shared" si="10"/>
        <v>0.68493150684931503</v>
      </c>
      <c r="AD20" s="91">
        <f t="shared" si="10"/>
        <v>1489.795918367347</v>
      </c>
      <c r="AE20" s="79" t="str">
        <f>S20</f>
        <v>계</v>
      </c>
      <c r="AF20" s="79" t="str">
        <f>Q20&amp;"/"&amp;R20</f>
        <v>4/2</v>
      </c>
      <c r="AH20" s="20" t="str">
        <f t="shared" si="1"/>
        <v>가경e-편한세상</v>
      </c>
      <c r="AI20" s="87">
        <f t="shared" si="0"/>
        <v>49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249</v>
      </c>
      <c r="B21" s="10" t="s">
        <v>1339</v>
      </c>
      <c r="C21" s="88">
        <v>385</v>
      </c>
      <c r="D21" s="86">
        <v>163.9</v>
      </c>
      <c r="E21" s="87">
        <v>50</v>
      </c>
      <c r="F21" s="86">
        <v>133.6</v>
      </c>
      <c r="G21" s="17">
        <v>40</v>
      </c>
      <c r="H21" s="88">
        <v>42</v>
      </c>
      <c r="I21" s="89">
        <v>73000</v>
      </c>
      <c r="J21" s="89" t="s">
        <v>92</v>
      </c>
      <c r="K21" s="89"/>
      <c r="L21" s="89"/>
      <c r="M21" s="90">
        <f>I21-K21</f>
        <v>73000</v>
      </c>
      <c r="N21" s="4">
        <f>IF(ISERROR(K21/I21),"",K21/I21)</f>
        <v>0</v>
      </c>
      <c r="O21" s="91">
        <f>I21/E21</f>
        <v>1460</v>
      </c>
      <c r="P21" s="91">
        <f>K21/E21</f>
        <v>0</v>
      </c>
      <c r="Q21" s="79">
        <v>4</v>
      </c>
      <c r="R21" s="79">
        <v>2</v>
      </c>
      <c r="S21" s="79" t="s">
        <v>62</v>
      </c>
      <c r="T21" s="5" t="s">
        <v>77</v>
      </c>
      <c r="U21" s="9"/>
      <c r="W21" s="86">
        <f t="shared" si="8"/>
        <v>163.9</v>
      </c>
      <c r="X21" s="87">
        <f t="shared" si="8"/>
        <v>50</v>
      </c>
      <c r="Y21" s="92">
        <f t="shared" si="9"/>
        <v>42</v>
      </c>
      <c r="Z21" s="90">
        <f t="shared" si="9"/>
        <v>73000</v>
      </c>
      <c r="AA21" s="90">
        <f>K21</f>
        <v>0</v>
      </c>
      <c r="AB21" s="90">
        <f t="shared" si="10"/>
        <v>73000</v>
      </c>
      <c r="AC21" s="4">
        <f t="shared" si="10"/>
        <v>0</v>
      </c>
      <c r="AD21" s="91">
        <f t="shared" si="10"/>
        <v>1460</v>
      </c>
      <c r="AE21" s="79" t="str">
        <f>S21</f>
        <v>계</v>
      </c>
      <c r="AF21" s="79" t="str">
        <f>Q21&amp;"/"&amp;R21</f>
        <v>4/2</v>
      </c>
      <c r="AH21" s="20" t="str">
        <f t="shared" si="1"/>
        <v>가경e-편한세상</v>
      </c>
      <c r="AI21" s="87">
        <f t="shared" si="0"/>
        <v>50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X</v>
      </c>
      <c r="AQ21" s="79" t="str">
        <f>IF(O21="","",IF(O21&lt;=$AQ$1,"O","X"))</f>
        <v>O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249</v>
      </c>
      <c r="B22" s="10" t="s">
        <v>1339</v>
      </c>
      <c r="C22" s="88">
        <v>385</v>
      </c>
      <c r="D22" s="86">
        <v>165.3</v>
      </c>
      <c r="E22" s="87">
        <v>50</v>
      </c>
      <c r="F22" s="86">
        <v>133.80000000000001</v>
      </c>
      <c r="G22" s="17">
        <v>40</v>
      </c>
      <c r="H22" s="88">
        <v>90</v>
      </c>
      <c r="I22" s="89">
        <v>69000</v>
      </c>
      <c r="J22" s="89" t="s">
        <v>81</v>
      </c>
      <c r="K22" s="89">
        <v>50000</v>
      </c>
      <c r="L22" s="89" t="s">
        <v>75</v>
      </c>
      <c r="M22" s="90">
        <f>I22-K22</f>
        <v>19000</v>
      </c>
      <c r="N22" s="4">
        <f>IF(ISERROR(K22/I22),"",K22/I22)</f>
        <v>0.72463768115942029</v>
      </c>
      <c r="O22" s="91">
        <f>I22/E22</f>
        <v>1380</v>
      </c>
      <c r="P22" s="91">
        <f>K22/E22</f>
        <v>1000</v>
      </c>
      <c r="Q22" s="79">
        <v>4</v>
      </c>
      <c r="R22" s="79">
        <v>2</v>
      </c>
      <c r="S22" s="79" t="s">
        <v>62</v>
      </c>
      <c r="T22" s="5" t="s">
        <v>78</v>
      </c>
      <c r="U22" s="9"/>
      <c r="W22" s="86">
        <f t="shared" si="8"/>
        <v>165.3</v>
      </c>
      <c r="X22" s="87">
        <f t="shared" si="8"/>
        <v>50</v>
      </c>
      <c r="Y22" s="92">
        <f t="shared" si="9"/>
        <v>90</v>
      </c>
      <c r="Z22" s="90">
        <f t="shared" si="9"/>
        <v>69000</v>
      </c>
      <c r="AA22" s="90">
        <f>K22</f>
        <v>50000</v>
      </c>
      <c r="AB22" s="90">
        <f t="shared" si="10"/>
        <v>19000</v>
      </c>
      <c r="AC22" s="4">
        <f t="shared" si="10"/>
        <v>0.72463768115942029</v>
      </c>
      <c r="AD22" s="91">
        <f t="shared" si="10"/>
        <v>1380</v>
      </c>
      <c r="AE22" s="79" t="str">
        <f>S22</f>
        <v>계</v>
      </c>
      <c r="AF22" s="79" t="str">
        <f>Q22&amp;"/"&amp;R22</f>
        <v>4/2</v>
      </c>
      <c r="AH22" s="20" t="str">
        <f t="shared" si="1"/>
        <v>가경e-편한세상</v>
      </c>
      <c r="AI22" s="87">
        <f t="shared" si="0"/>
        <v>50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X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249</v>
      </c>
      <c r="B23" s="10" t="s">
        <v>1339</v>
      </c>
      <c r="C23" s="88">
        <v>385</v>
      </c>
      <c r="D23" s="86">
        <v>194.3</v>
      </c>
      <c r="E23" s="87">
        <v>59</v>
      </c>
      <c r="F23" s="86">
        <v>159.80000000000001</v>
      </c>
      <c r="G23" s="17">
        <v>48</v>
      </c>
      <c r="H23" s="88">
        <v>80</v>
      </c>
      <c r="I23" s="89">
        <v>85000</v>
      </c>
      <c r="J23" s="89" t="s">
        <v>71</v>
      </c>
      <c r="K23" s="89"/>
      <c r="L23" s="89"/>
      <c r="M23" s="90">
        <f>I23-K23</f>
        <v>85000</v>
      </c>
      <c r="N23" s="4">
        <f>IF(ISERROR(K23/I23),"",K23/I23)</f>
        <v>0</v>
      </c>
      <c r="O23" s="91">
        <f>I23/E23</f>
        <v>1440.6779661016949</v>
      </c>
      <c r="P23" s="91">
        <f>K23/E23</f>
        <v>0</v>
      </c>
      <c r="Q23" s="79">
        <v>4</v>
      </c>
      <c r="R23" s="79">
        <v>3</v>
      </c>
      <c r="S23" s="79" t="s">
        <v>62</v>
      </c>
      <c r="T23" s="5">
        <v>194</v>
      </c>
      <c r="U23" s="9"/>
      <c r="W23" s="86">
        <f t="shared" si="8"/>
        <v>194.3</v>
      </c>
      <c r="X23" s="87">
        <f t="shared" si="8"/>
        <v>59</v>
      </c>
      <c r="Y23" s="92">
        <f t="shared" si="9"/>
        <v>80</v>
      </c>
      <c r="Z23" s="90">
        <f t="shared" si="9"/>
        <v>85000</v>
      </c>
      <c r="AA23" s="90">
        <f>K23</f>
        <v>0</v>
      </c>
      <c r="AB23" s="90">
        <f t="shared" si="10"/>
        <v>85000</v>
      </c>
      <c r="AC23" s="4">
        <f t="shared" si="10"/>
        <v>0</v>
      </c>
      <c r="AD23" s="91">
        <f t="shared" si="10"/>
        <v>1440.6779661016949</v>
      </c>
      <c r="AE23" s="79" t="str">
        <f>S23</f>
        <v>계</v>
      </c>
      <c r="AF23" s="79" t="str">
        <f>Q23&amp;"/"&amp;R23</f>
        <v>4/3</v>
      </c>
      <c r="AH23" s="20" t="str">
        <f t="shared" si="1"/>
        <v>가경e-편한세상</v>
      </c>
      <c r="AI23" s="87">
        <f t="shared" si="0"/>
        <v>59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가경동 가경대원('97.07.,940^)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254</v>
      </c>
      <c r="B25" s="10" t="s">
        <v>1340</v>
      </c>
      <c r="C25" s="88">
        <v>940</v>
      </c>
      <c r="D25" s="86">
        <v>65.099999999999994</v>
      </c>
      <c r="E25" s="87">
        <v>20</v>
      </c>
      <c r="F25" s="86">
        <v>49.8</v>
      </c>
      <c r="G25" s="17">
        <v>15</v>
      </c>
      <c r="H25" s="88">
        <v>60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2</v>
      </c>
      <c r="R25" s="79">
        <v>1</v>
      </c>
      <c r="S25" s="79" t="s">
        <v>62</v>
      </c>
      <c r="T25" s="5">
        <v>65</v>
      </c>
      <c r="U25" s="9"/>
      <c r="W25" s="86">
        <f t="shared" ref="W25:X27" si="11">D25</f>
        <v>65.099999999999994</v>
      </c>
      <c r="X25" s="87">
        <f t="shared" si="11"/>
        <v>20</v>
      </c>
      <c r="Y25" s="92">
        <f t="shared" ref="Y25:Z27" si="12">H25</f>
        <v>60</v>
      </c>
      <c r="Z25" s="90">
        <f t="shared" si="12"/>
        <v>0</v>
      </c>
      <c r="AA25" s="90">
        <f>K25</f>
        <v>0</v>
      </c>
      <c r="AB25" s="90">
        <f t="shared" ref="AB25:AD27" si="13">M25</f>
        <v>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2/1</v>
      </c>
      <c r="AH25" s="20" t="str">
        <f t="shared" si="1"/>
        <v>가경대원</v>
      </c>
      <c r="AI25" s="87">
        <f t="shared" si="0"/>
        <v>20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254</v>
      </c>
      <c r="B26" s="10" t="s">
        <v>1340</v>
      </c>
      <c r="C26" s="88">
        <v>940</v>
      </c>
      <c r="D26" s="86">
        <v>75.5</v>
      </c>
      <c r="E26" s="87">
        <v>23</v>
      </c>
      <c r="F26" s="86">
        <v>59.9</v>
      </c>
      <c r="G26" s="17">
        <v>18</v>
      </c>
      <c r="H26" s="88">
        <v>600</v>
      </c>
      <c r="I26" s="89">
        <v>19000</v>
      </c>
      <c r="J26" s="89" t="s">
        <v>92</v>
      </c>
      <c r="K26" s="89">
        <v>19000</v>
      </c>
      <c r="L26" s="89" t="s">
        <v>63</v>
      </c>
      <c r="M26" s="90">
        <f>I26-K26</f>
        <v>0</v>
      </c>
      <c r="N26" s="4">
        <f>IF(ISERROR(K26/I26),"",K26/I26)</f>
        <v>1</v>
      </c>
      <c r="O26" s="91">
        <f>I26/E26</f>
        <v>826.08695652173913</v>
      </c>
      <c r="P26" s="91">
        <f>K26/E26</f>
        <v>826.08695652173913</v>
      </c>
      <c r="Q26" s="79">
        <v>3</v>
      </c>
      <c r="R26" s="79">
        <v>1</v>
      </c>
      <c r="S26" s="79" t="s">
        <v>62</v>
      </c>
      <c r="T26" s="5" t="s">
        <v>80</v>
      </c>
      <c r="U26" s="9"/>
      <c r="W26" s="86">
        <f t="shared" si="11"/>
        <v>75.5</v>
      </c>
      <c r="X26" s="87">
        <f t="shared" si="11"/>
        <v>23</v>
      </c>
      <c r="Y26" s="92">
        <f t="shared" si="12"/>
        <v>600</v>
      </c>
      <c r="Z26" s="90">
        <f t="shared" si="12"/>
        <v>19000</v>
      </c>
      <c r="AA26" s="90">
        <f>K26</f>
        <v>19000</v>
      </c>
      <c r="AB26" s="90">
        <f t="shared" si="13"/>
        <v>0</v>
      </c>
      <c r="AC26" s="4">
        <f t="shared" si="13"/>
        <v>1</v>
      </c>
      <c r="AD26" s="91">
        <f t="shared" si="13"/>
        <v>826.08695652173913</v>
      </c>
      <c r="AE26" s="79" t="str">
        <f>S26</f>
        <v>계</v>
      </c>
      <c r="AF26" s="79" t="str">
        <f>Q26&amp;"/"&amp;R26</f>
        <v>3/1</v>
      </c>
      <c r="AH26" s="20" t="str">
        <f t="shared" si="1"/>
        <v>가경대원</v>
      </c>
      <c r="AI26" s="87">
        <f t="shared" si="0"/>
        <v>23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O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후보</v>
      </c>
    </row>
    <row r="27" spans="1:48" x14ac:dyDescent="0.3">
      <c r="A27" s="9" t="s">
        <v>254</v>
      </c>
      <c r="B27" s="10" t="s">
        <v>1340</v>
      </c>
      <c r="C27" s="88">
        <v>940</v>
      </c>
      <c r="D27" s="86">
        <v>75.2</v>
      </c>
      <c r="E27" s="87">
        <v>23</v>
      </c>
      <c r="F27" s="86">
        <v>60</v>
      </c>
      <c r="G27" s="17">
        <v>18</v>
      </c>
      <c r="H27" s="88">
        <v>280</v>
      </c>
      <c r="I27" s="89">
        <v>19200</v>
      </c>
      <c r="J27" s="89" t="s">
        <v>81</v>
      </c>
      <c r="K27" s="89">
        <v>17000</v>
      </c>
      <c r="L27" s="89" t="s">
        <v>70</v>
      </c>
      <c r="M27" s="90">
        <f>I27-K27</f>
        <v>2200</v>
      </c>
      <c r="N27" s="4">
        <f>IF(ISERROR(K27/I27),"",K27/I27)</f>
        <v>0.88541666666666663</v>
      </c>
      <c r="O27" s="91">
        <f>I27/E27</f>
        <v>834.78260869565213</v>
      </c>
      <c r="P27" s="91">
        <f>K27/E27</f>
        <v>739.13043478260875</v>
      </c>
      <c r="Q27" s="79">
        <v>3</v>
      </c>
      <c r="R27" s="79">
        <v>1</v>
      </c>
      <c r="S27" s="79" t="s">
        <v>62</v>
      </c>
      <c r="T27" s="5" t="s">
        <v>82</v>
      </c>
      <c r="U27" s="9"/>
      <c r="W27" s="86">
        <f t="shared" si="11"/>
        <v>75.2</v>
      </c>
      <c r="X27" s="87">
        <f t="shared" si="11"/>
        <v>23</v>
      </c>
      <c r="Y27" s="92">
        <f t="shared" si="12"/>
        <v>280</v>
      </c>
      <c r="Z27" s="90">
        <f t="shared" si="12"/>
        <v>19200</v>
      </c>
      <c r="AA27" s="90">
        <f>K27</f>
        <v>17000</v>
      </c>
      <c r="AB27" s="90">
        <f t="shared" si="13"/>
        <v>2200</v>
      </c>
      <c r="AC27" s="4">
        <f t="shared" si="13"/>
        <v>0.88541666666666663</v>
      </c>
      <c r="AD27" s="91">
        <f t="shared" si="13"/>
        <v>834.78260869565213</v>
      </c>
      <c r="AE27" s="79" t="str">
        <f>S27</f>
        <v>계</v>
      </c>
      <c r="AF27" s="79" t="str">
        <f>Q27&amp;"/"&amp;R27</f>
        <v>3/1</v>
      </c>
      <c r="AH27" s="20" t="str">
        <f t="shared" si="1"/>
        <v>가경대원</v>
      </c>
      <c r="AI27" s="87">
        <f t="shared" si="0"/>
        <v>23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가경동 가경세원2차('92.11.,620^)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259</v>
      </c>
      <c r="B29" s="10" t="s">
        <v>1341</v>
      </c>
      <c r="C29" s="88">
        <v>620</v>
      </c>
      <c r="D29" s="86">
        <v>78.5</v>
      </c>
      <c r="E29" s="87">
        <v>24</v>
      </c>
      <c r="F29" s="86">
        <v>59.9</v>
      </c>
      <c r="G29" s="17">
        <v>18</v>
      </c>
      <c r="H29" s="88">
        <v>420</v>
      </c>
      <c r="I29" s="89">
        <v>15000</v>
      </c>
      <c r="J29" s="89" t="s">
        <v>63</v>
      </c>
      <c r="K29" s="89">
        <v>14500</v>
      </c>
      <c r="L29" s="89" t="s">
        <v>81</v>
      </c>
      <c r="M29" s="90">
        <f>I29-K29</f>
        <v>500</v>
      </c>
      <c r="N29" s="4">
        <f>IF(ISERROR(K29/I29),"",K29/I29)</f>
        <v>0.96666666666666667</v>
      </c>
      <c r="O29" s="91">
        <f>I29/E29</f>
        <v>625</v>
      </c>
      <c r="P29" s="91">
        <f>K29/E29</f>
        <v>604.16666666666663</v>
      </c>
      <c r="Q29" s="79">
        <v>2</v>
      </c>
      <c r="R29" s="79">
        <v>1</v>
      </c>
      <c r="S29" s="79" t="s">
        <v>59</v>
      </c>
      <c r="T29" s="5">
        <v>78</v>
      </c>
      <c r="U29" s="9"/>
      <c r="W29" s="86">
        <f>D29</f>
        <v>78.5</v>
      </c>
      <c r="X29" s="87">
        <f>E29</f>
        <v>24</v>
      </c>
      <c r="Y29" s="92">
        <f>H29</f>
        <v>420</v>
      </c>
      <c r="Z29" s="90">
        <f>I29</f>
        <v>15000</v>
      </c>
      <c r="AA29" s="90">
        <f>K29</f>
        <v>14500</v>
      </c>
      <c r="AB29" s="90">
        <f t="shared" ref="AB29:AD30" si="14">M29</f>
        <v>500</v>
      </c>
      <c r="AC29" s="4">
        <f t="shared" si="14"/>
        <v>0.96666666666666667</v>
      </c>
      <c r="AD29" s="91">
        <f t="shared" si="14"/>
        <v>625</v>
      </c>
      <c r="AE29" s="79" t="str">
        <f>S29</f>
        <v>복</v>
      </c>
      <c r="AF29" s="79" t="str">
        <f>Q29&amp;"/"&amp;R29</f>
        <v>2/1</v>
      </c>
      <c r="AH29" s="20" t="str">
        <f t="shared" si="1"/>
        <v>가경세원2차</v>
      </c>
      <c r="AI29" s="87">
        <f t="shared" si="0"/>
        <v>24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x14ac:dyDescent="0.3">
      <c r="A30" s="9" t="s">
        <v>259</v>
      </c>
      <c r="B30" s="10" t="s">
        <v>1341</v>
      </c>
      <c r="C30" s="88">
        <v>620</v>
      </c>
      <c r="D30" s="86">
        <v>105.5</v>
      </c>
      <c r="E30" s="87">
        <v>32</v>
      </c>
      <c r="F30" s="86">
        <v>85</v>
      </c>
      <c r="G30" s="17">
        <v>26</v>
      </c>
      <c r="H30" s="88">
        <v>200</v>
      </c>
      <c r="I30" s="89">
        <v>20000</v>
      </c>
      <c r="J30" s="89" t="s">
        <v>79</v>
      </c>
      <c r="K30" s="89"/>
      <c r="L30" s="89"/>
      <c r="M30" s="90">
        <f>I30-K30</f>
        <v>20000</v>
      </c>
      <c r="N30" s="4">
        <f>IF(ISERROR(K30/I30),"",K30/I30)</f>
        <v>0</v>
      </c>
      <c r="O30" s="91">
        <f>I30/E30</f>
        <v>625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>
        <v>105</v>
      </c>
      <c r="U30" s="9"/>
      <c r="W30" s="86">
        <f>D30</f>
        <v>105.5</v>
      </c>
      <c r="X30" s="87">
        <f>E30</f>
        <v>32</v>
      </c>
      <c r="Y30" s="92">
        <f>H30</f>
        <v>200</v>
      </c>
      <c r="Z30" s="90">
        <f>I30</f>
        <v>20000</v>
      </c>
      <c r="AA30" s="90">
        <f>K30</f>
        <v>0</v>
      </c>
      <c r="AB30" s="90">
        <f t="shared" si="14"/>
        <v>20000</v>
      </c>
      <c r="AC30" s="4">
        <f t="shared" si="14"/>
        <v>0</v>
      </c>
      <c r="AD30" s="91">
        <f t="shared" si="14"/>
        <v>625</v>
      </c>
      <c r="AE30" s="79" t="str">
        <f>S30</f>
        <v>계</v>
      </c>
      <c r="AF30" s="79" t="str">
        <f>Q30&amp;"/"&amp;R30</f>
        <v>3/2</v>
      </c>
      <c r="AH30" s="20" t="str">
        <f t="shared" si="1"/>
        <v>가경세원2차</v>
      </c>
      <c r="AI30" s="87">
        <f t="shared" si="0"/>
        <v>32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가경동 가경푸르지오('06.01.,575^)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264</v>
      </c>
      <c r="B32" s="10" t="s">
        <v>1342</v>
      </c>
      <c r="C32" s="88">
        <v>575</v>
      </c>
      <c r="D32" s="86">
        <v>130.80000000000001</v>
      </c>
      <c r="E32" s="87">
        <v>40</v>
      </c>
      <c r="F32" s="86">
        <v>104</v>
      </c>
      <c r="G32" s="17">
        <v>31</v>
      </c>
      <c r="H32" s="88">
        <v>80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 t="s">
        <v>84</v>
      </c>
      <c r="U32" s="9"/>
      <c r="W32" s="86">
        <f t="shared" ref="W32:X36" si="15">D32</f>
        <v>130.80000000000001</v>
      </c>
      <c r="X32" s="87">
        <f t="shared" si="15"/>
        <v>40</v>
      </c>
      <c r="Y32" s="92">
        <f t="shared" ref="Y32:Z36" si="16">H32</f>
        <v>80</v>
      </c>
      <c r="Z32" s="90">
        <f t="shared" si="16"/>
        <v>0</v>
      </c>
      <c r="AA32" s="90">
        <f>K32</f>
        <v>0</v>
      </c>
      <c r="AB32" s="90">
        <f t="shared" ref="AB32:AD36" si="17">M32</f>
        <v>0</v>
      </c>
      <c r="AC32" s="4" t="str">
        <f t="shared" si="17"/>
        <v/>
      </c>
      <c r="AD32" s="91">
        <f t="shared" si="17"/>
        <v>0</v>
      </c>
      <c r="AE32" s="79" t="str">
        <f>S32</f>
        <v>계</v>
      </c>
      <c r="AF32" s="79" t="str">
        <f>Q32&amp;"/"&amp;R32</f>
        <v>3/2</v>
      </c>
      <c r="AH32" s="20" t="str">
        <f t="shared" si="1"/>
        <v>가경푸르지오</v>
      </c>
      <c r="AI32" s="87">
        <f t="shared" si="0"/>
        <v>40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/>
      </c>
    </row>
    <row r="33" spans="1:48" x14ac:dyDescent="0.3">
      <c r="A33" s="9" t="s">
        <v>264</v>
      </c>
      <c r="B33" s="10" t="s">
        <v>1342</v>
      </c>
      <c r="C33" s="88">
        <v>575</v>
      </c>
      <c r="D33" s="86">
        <v>131.1</v>
      </c>
      <c r="E33" s="87">
        <v>40</v>
      </c>
      <c r="F33" s="86">
        <v>104</v>
      </c>
      <c r="G33" s="17">
        <v>31</v>
      </c>
      <c r="H33" s="88">
        <v>232</v>
      </c>
      <c r="I33" s="89">
        <v>43000</v>
      </c>
      <c r="J33" s="89" t="s">
        <v>71</v>
      </c>
      <c r="K33" s="89"/>
      <c r="L33" s="89"/>
      <c r="M33" s="90">
        <f>I33-K33</f>
        <v>43000</v>
      </c>
      <c r="N33" s="4">
        <f>IF(ISERROR(K33/I33),"",K33/I33)</f>
        <v>0</v>
      </c>
      <c r="O33" s="91">
        <f>I33/E33</f>
        <v>1075</v>
      </c>
      <c r="P33" s="91">
        <f>K33/E33</f>
        <v>0</v>
      </c>
      <c r="Q33" s="79">
        <v>3</v>
      </c>
      <c r="R33" s="79">
        <v>2</v>
      </c>
      <c r="S33" s="79" t="s">
        <v>62</v>
      </c>
      <c r="T33" s="5" t="s">
        <v>85</v>
      </c>
      <c r="U33" s="9"/>
      <c r="W33" s="86">
        <f t="shared" si="15"/>
        <v>131.1</v>
      </c>
      <c r="X33" s="87">
        <f t="shared" si="15"/>
        <v>40</v>
      </c>
      <c r="Y33" s="92">
        <f t="shared" si="16"/>
        <v>232</v>
      </c>
      <c r="Z33" s="90">
        <f t="shared" si="16"/>
        <v>43000</v>
      </c>
      <c r="AA33" s="90">
        <f>K33</f>
        <v>0</v>
      </c>
      <c r="AB33" s="90">
        <f t="shared" si="17"/>
        <v>43000</v>
      </c>
      <c r="AC33" s="4">
        <f t="shared" si="17"/>
        <v>0</v>
      </c>
      <c r="AD33" s="91">
        <f t="shared" si="17"/>
        <v>1075</v>
      </c>
      <c r="AE33" s="79" t="str">
        <f>S33</f>
        <v>계</v>
      </c>
      <c r="AF33" s="79" t="str">
        <f>Q33&amp;"/"&amp;R33</f>
        <v>3/2</v>
      </c>
      <c r="AH33" s="20" t="str">
        <f t="shared" si="1"/>
        <v>가경푸르지오</v>
      </c>
      <c r="AI33" s="87">
        <f t="shared" si="0"/>
        <v>40</v>
      </c>
      <c r="AJ33" s="79" t="str">
        <f>IF(AI33="","",$AJ$2)</f>
        <v>A-</v>
      </c>
      <c r="AK33" s="79" t="s">
        <v>13</v>
      </c>
      <c r="AL33" s="79" t="s">
        <v>60</v>
      </c>
      <c r="AM33" s="79" t="s">
        <v>61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X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264</v>
      </c>
      <c r="B34" s="10" t="s">
        <v>1342</v>
      </c>
      <c r="C34" s="88">
        <v>575</v>
      </c>
      <c r="D34" s="86">
        <v>156.6</v>
      </c>
      <c r="E34" s="87">
        <v>47</v>
      </c>
      <c r="F34" s="86">
        <v>125.1</v>
      </c>
      <c r="G34" s="17">
        <v>38</v>
      </c>
      <c r="H34" s="88">
        <v>150</v>
      </c>
      <c r="I34" s="89">
        <v>47000</v>
      </c>
      <c r="J34" s="89" t="s">
        <v>65</v>
      </c>
      <c r="K34" s="89">
        <v>43000</v>
      </c>
      <c r="L34" s="89" t="s">
        <v>69</v>
      </c>
      <c r="M34" s="90">
        <f>I34-K34</f>
        <v>4000</v>
      </c>
      <c r="N34" s="4">
        <f>IF(ISERROR(K34/I34),"",K34/I34)</f>
        <v>0.91489361702127658</v>
      </c>
      <c r="O34" s="91">
        <f>I34/E34</f>
        <v>1000</v>
      </c>
      <c r="P34" s="91">
        <f>K34/E34</f>
        <v>914.89361702127655</v>
      </c>
      <c r="Q34" s="79">
        <v>4</v>
      </c>
      <c r="R34" s="79">
        <v>2</v>
      </c>
      <c r="S34" s="79" t="s">
        <v>62</v>
      </c>
      <c r="T34" s="5">
        <v>156</v>
      </c>
      <c r="U34" s="9"/>
      <c r="W34" s="86">
        <f t="shared" si="15"/>
        <v>156.6</v>
      </c>
      <c r="X34" s="87">
        <f t="shared" si="15"/>
        <v>47</v>
      </c>
      <c r="Y34" s="92">
        <f t="shared" si="16"/>
        <v>150</v>
      </c>
      <c r="Z34" s="90">
        <f t="shared" si="16"/>
        <v>47000</v>
      </c>
      <c r="AA34" s="90">
        <f>K34</f>
        <v>43000</v>
      </c>
      <c r="AB34" s="90">
        <f t="shared" si="17"/>
        <v>4000</v>
      </c>
      <c r="AC34" s="4">
        <f t="shared" si="17"/>
        <v>0.91489361702127658</v>
      </c>
      <c r="AD34" s="91">
        <f t="shared" si="17"/>
        <v>1000</v>
      </c>
      <c r="AE34" s="79" t="str">
        <f>S34</f>
        <v>계</v>
      </c>
      <c r="AF34" s="79" t="str">
        <f>Q34&amp;"/"&amp;R34</f>
        <v>4/2</v>
      </c>
      <c r="AH34" s="20" t="str">
        <f t="shared" si="1"/>
        <v>가경푸르지오</v>
      </c>
      <c r="AI34" s="87">
        <f t="shared" si="0"/>
        <v>47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X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X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264</v>
      </c>
      <c r="B35" s="10" t="s">
        <v>1342</v>
      </c>
      <c r="C35" s="88">
        <v>575</v>
      </c>
      <c r="D35" s="86">
        <v>160</v>
      </c>
      <c r="E35" s="87">
        <v>48</v>
      </c>
      <c r="F35" s="86">
        <v>128.4</v>
      </c>
      <c r="G35" s="17">
        <v>39</v>
      </c>
      <c r="H35" s="88">
        <v>36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4</v>
      </c>
      <c r="R35" s="79">
        <v>2</v>
      </c>
      <c r="S35" s="79" t="s">
        <v>62</v>
      </c>
      <c r="T35" s="5">
        <v>159</v>
      </c>
      <c r="U35" s="9"/>
      <c r="W35" s="86">
        <f t="shared" si="15"/>
        <v>160</v>
      </c>
      <c r="X35" s="87">
        <f t="shared" si="15"/>
        <v>48</v>
      </c>
      <c r="Y35" s="92">
        <f t="shared" si="16"/>
        <v>36</v>
      </c>
      <c r="Z35" s="90">
        <f t="shared" si="16"/>
        <v>0</v>
      </c>
      <c r="AA35" s="90">
        <f>K35</f>
        <v>0</v>
      </c>
      <c r="AB35" s="90">
        <f t="shared" si="17"/>
        <v>0</v>
      </c>
      <c r="AC35" s="4" t="str">
        <f t="shared" si="17"/>
        <v/>
      </c>
      <c r="AD35" s="91">
        <f t="shared" si="17"/>
        <v>0</v>
      </c>
      <c r="AE35" s="79" t="str">
        <f>S35</f>
        <v>계</v>
      </c>
      <c r="AF35" s="79" t="str">
        <f>Q35&amp;"/"&amp;R35</f>
        <v>4/2</v>
      </c>
      <c r="AH35" s="20" t="str">
        <f t="shared" si="1"/>
        <v>가경푸르지오</v>
      </c>
      <c r="AI35" s="87">
        <f t="shared" ref="AI35:AI66" si="18">IF(E35="","",E35)</f>
        <v>48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X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x14ac:dyDescent="0.3">
      <c r="A36" s="9" t="s">
        <v>264</v>
      </c>
      <c r="B36" s="10" t="s">
        <v>1342</v>
      </c>
      <c r="C36" s="88">
        <v>575</v>
      </c>
      <c r="D36" s="86">
        <v>175.1</v>
      </c>
      <c r="E36" s="87">
        <v>53</v>
      </c>
      <c r="F36" s="86">
        <v>140.9</v>
      </c>
      <c r="G36" s="17">
        <v>43</v>
      </c>
      <c r="H36" s="88">
        <v>77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>
        <v>175</v>
      </c>
      <c r="U36" s="9"/>
      <c r="W36" s="86">
        <f t="shared" si="15"/>
        <v>175.1</v>
      </c>
      <c r="X36" s="87">
        <f t="shared" si="15"/>
        <v>53</v>
      </c>
      <c r="Y36" s="92">
        <f t="shared" si="16"/>
        <v>77</v>
      </c>
      <c r="Z36" s="90">
        <f t="shared" si="16"/>
        <v>0</v>
      </c>
      <c r="AA36" s="90">
        <f>K36</f>
        <v>0</v>
      </c>
      <c r="AB36" s="90">
        <f t="shared" si="17"/>
        <v>0</v>
      </c>
      <c r="AC36" s="4" t="str">
        <f t="shared" si="17"/>
        <v/>
      </c>
      <c r="AD36" s="91">
        <f t="shared" si="17"/>
        <v>0</v>
      </c>
      <c r="AE36" s="79" t="str">
        <f>S36</f>
        <v>계</v>
      </c>
      <c r="AF36" s="79" t="str">
        <f>Q36&amp;"/"&amp;R36</f>
        <v>4/2</v>
      </c>
      <c r="AH36" s="20" t="str">
        <f t="shared" si="1"/>
        <v>가경푸르지오</v>
      </c>
      <c r="AI36" s="87">
        <f t="shared" si="18"/>
        <v>53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x14ac:dyDescent="0.3">
      <c r="A37" s="9"/>
      <c r="B37" s="79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가경동 가경태암수정('97.07.,450^)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19">IF(A37="","",A37)</f>
        <v/>
      </c>
      <c r="AI37" s="111" t="str">
        <f t="shared" si="18"/>
        <v/>
      </c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</row>
    <row r="38" spans="1:48" x14ac:dyDescent="0.3">
      <c r="A38" s="9" t="s">
        <v>269</v>
      </c>
      <c r="B38" s="10" t="s">
        <v>1340</v>
      </c>
      <c r="C38" s="88">
        <v>450</v>
      </c>
      <c r="D38" s="86">
        <v>91.2</v>
      </c>
      <c r="E38" s="87">
        <v>28</v>
      </c>
      <c r="F38" s="86">
        <v>73.099999999999994</v>
      </c>
      <c r="G38" s="17">
        <v>22</v>
      </c>
      <c r="H38" s="88">
        <v>75</v>
      </c>
      <c r="I38" s="89">
        <v>19800</v>
      </c>
      <c r="J38" s="89" t="s">
        <v>81</v>
      </c>
      <c r="K38" s="89"/>
      <c r="L38" s="89"/>
      <c r="M38" s="90">
        <f>I38-K38</f>
        <v>19800</v>
      </c>
      <c r="N38" s="4">
        <f>IF(ISERROR(K38/I38),"",K38/I38)</f>
        <v>0</v>
      </c>
      <c r="O38" s="91">
        <f>I38/E38</f>
        <v>707.14285714285711</v>
      </c>
      <c r="P38" s="91">
        <f>K38/E38</f>
        <v>0</v>
      </c>
      <c r="Q38" s="79">
        <v>3</v>
      </c>
      <c r="R38" s="79">
        <v>1</v>
      </c>
      <c r="S38" s="79" t="s">
        <v>62</v>
      </c>
      <c r="T38" s="5">
        <v>91</v>
      </c>
      <c r="U38" s="9"/>
      <c r="W38" s="86">
        <f t="shared" ref="W38:X40" si="20">D38</f>
        <v>91.2</v>
      </c>
      <c r="X38" s="87">
        <f t="shared" si="20"/>
        <v>28</v>
      </c>
      <c r="Y38" s="92">
        <f t="shared" ref="Y38:Z40" si="21">H38</f>
        <v>75</v>
      </c>
      <c r="Z38" s="90">
        <f t="shared" si="21"/>
        <v>19800</v>
      </c>
      <c r="AA38" s="90">
        <f>K38</f>
        <v>0</v>
      </c>
      <c r="AB38" s="90">
        <f t="shared" ref="AB38:AD40" si="22">M38</f>
        <v>19800</v>
      </c>
      <c r="AC38" s="4">
        <f t="shared" si="22"/>
        <v>0</v>
      </c>
      <c r="AD38" s="91">
        <f t="shared" si="22"/>
        <v>707.14285714285711</v>
      </c>
      <c r="AE38" s="79" t="str">
        <f>S38</f>
        <v>계</v>
      </c>
      <c r="AF38" s="79" t="str">
        <f>Q38&amp;"/"&amp;R38</f>
        <v>3/1</v>
      </c>
      <c r="AH38" s="20" t="str">
        <f t="shared" si="19"/>
        <v>가경태암수정</v>
      </c>
      <c r="AI38" s="87">
        <f t="shared" si="18"/>
        <v>28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>X</v>
      </c>
      <c r="AP38" s="79" t="str">
        <f>IF(I38="","",IF(I38&lt;=$AP$1,"O","X"))</f>
        <v>O</v>
      </c>
      <c r="AQ38" s="79" t="str">
        <f>IF(O38="","",IF(O38&lt;=$AQ$1,"O","X"))</f>
        <v>O</v>
      </c>
      <c r="AR38" s="79" t="str">
        <f>IF(M38="","",IF(M38&lt;=$AR$1,"O","X"))</f>
        <v>X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O</v>
      </c>
      <c r="AV38" s="79" t="str">
        <f>IF(AO38="","",IF(AND(AO38="O",AP38="O",AR38="O",AT38="O",AU38="O"),"후보","X"))</f>
        <v>X</v>
      </c>
    </row>
    <row r="39" spans="1:48" x14ac:dyDescent="0.3">
      <c r="A39" s="9" t="s">
        <v>269</v>
      </c>
      <c r="B39" s="10" t="s">
        <v>1340</v>
      </c>
      <c r="C39" s="88">
        <v>450</v>
      </c>
      <c r="D39" s="86">
        <v>103.2</v>
      </c>
      <c r="E39" s="87">
        <v>31</v>
      </c>
      <c r="F39" s="86">
        <v>84.9</v>
      </c>
      <c r="G39" s="17">
        <v>26</v>
      </c>
      <c r="H39" s="88">
        <v>360</v>
      </c>
      <c r="I39" s="89">
        <v>22500</v>
      </c>
      <c r="J39" s="89" t="s">
        <v>64</v>
      </c>
      <c r="K39" s="89"/>
      <c r="L39" s="89"/>
      <c r="M39" s="90">
        <f>I39-K39</f>
        <v>22500</v>
      </c>
      <c r="N39" s="4">
        <f>IF(ISERROR(K39/I39),"",K39/I39)</f>
        <v>0</v>
      </c>
      <c r="O39" s="91">
        <f>I39/E39</f>
        <v>725.80645161290317</v>
      </c>
      <c r="P39" s="91">
        <f>K39/E39</f>
        <v>0</v>
      </c>
      <c r="Q39" s="79">
        <v>3</v>
      </c>
      <c r="R39" s="79">
        <v>2</v>
      </c>
      <c r="S39" s="79" t="s">
        <v>62</v>
      </c>
      <c r="T39" s="5" t="s">
        <v>86</v>
      </c>
      <c r="U39" s="9"/>
      <c r="W39" s="86">
        <f t="shared" si="20"/>
        <v>103.2</v>
      </c>
      <c r="X39" s="87">
        <f t="shared" si="20"/>
        <v>31</v>
      </c>
      <c r="Y39" s="92">
        <f t="shared" si="21"/>
        <v>360</v>
      </c>
      <c r="Z39" s="90">
        <f t="shared" si="21"/>
        <v>22500</v>
      </c>
      <c r="AA39" s="90">
        <f>K39</f>
        <v>0</v>
      </c>
      <c r="AB39" s="90">
        <f t="shared" si="22"/>
        <v>22500</v>
      </c>
      <c r="AC39" s="4">
        <f t="shared" si="22"/>
        <v>0</v>
      </c>
      <c r="AD39" s="91">
        <f t="shared" si="22"/>
        <v>725.80645161290317</v>
      </c>
      <c r="AE39" s="79" t="str">
        <f>S39</f>
        <v>계</v>
      </c>
      <c r="AF39" s="79" t="str">
        <f>Q39&amp;"/"&amp;R39</f>
        <v>3/2</v>
      </c>
      <c r="AH39" s="20" t="str">
        <f t="shared" si="19"/>
        <v>가경태암수정</v>
      </c>
      <c r="AI39" s="87">
        <f t="shared" si="18"/>
        <v>31</v>
      </c>
      <c r="AJ39" s="79" t="str">
        <f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>IF(AI39="","",$AN$2)</f>
        <v>C</v>
      </c>
      <c r="AO39" s="79" t="str">
        <f>IF(N39="","",IF(N39&gt;=$AO$1/100,"O","X"))</f>
        <v>X</v>
      </c>
      <c r="AP39" s="79" t="str">
        <f>IF(I39="","",IF(I39&lt;=$AP$1,"O","X"))</f>
        <v>O</v>
      </c>
      <c r="AQ39" s="79" t="str">
        <f>IF(O39="","",IF(O39&lt;=$AQ$1,"O","X"))</f>
        <v>O</v>
      </c>
      <c r="AR39" s="79" t="str">
        <f>IF(M39="","",IF(M39&lt;=$AR$1,"O","X"))</f>
        <v>X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>X</v>
      </c>
    </row>
    <row r="40" spans="1:48" x14ac:dyDescent="0.3">
      <c r="A40" s="9" t="s">
        <v>269</v>
      </c>
      <c r="B40" s="10" t="s">
        <v>1340</v>
      </c>
      <c r="C40" s="88">
        <v>450</v>
      </c>
      <c r="D40" s="86">
        <v>103.2</v>
      </c>
      <c r="E40" s="87">
        <v>31</v>
      </c>
      <c r="F40" s="86">
        <v>84.9</v>
      </c>
      <c r="G40" s="17">
        <v>26</v>
      </c>
      <c r="H40" s="88">
        <v>15</v>
      </c>
      <c r="I40" s="89">
        <v>22500</v>
      </c>
      <c r="J40" s="89" t="s">
        <v>64</v>
      </c>
      <c r="K40" s="89"/>
      <c r="L40" s="89"/>
      <c r="M40" s="90">
        <f>I40-K40</f>
        <v>22500</v>
      </c>
      <c r="N40" s="4">
        <f>IF(ISERROR(K40/I40),"",K40/I40)</f>
        <v>0</v>
      </c>
      <c r="O40" s="91">
        <f>I40/E40</f>
        <v>725.80645161290317</v>
      </c>
      <c r="P40" s="91">
        <f>K40/E40</f>
        <v>0</v>
      </c>
      <c r="Q40" s="79">
        <v>3</v>
      </c>
      <c r="R40" s="79">
        <v>2</v>
      </c>
      <c r="S40" s="79" t="s">
        <v>62</v>
      </c>
      <c r="T40" s="5" t="s">
        <v>87</v>
      </c>
      <c r="U40" s="9"/>
      <c r="W40" s="86">
        <f t="shared" si="20"/>
        <v>103.2</v>
      </c>
      <c r="X40" s="87">
        <f t="shared" si="20"/>
        <v>31</v>
      </c>
      <c r="Y40" s="92">
        <f t="shared" si="21"/>
        <v>15</v>
      </c>
      <c r="Z40" s="90">
        <f t="shared" si="21"/>
        <v>22500</v>
      </c>
      <c r="AA40" s="90">
        <f>K40</f>
        <v>0</v>
      </c>
      <c r="AB40" s="90">
        <f t="shared" si="22"/>
        <v>22500</v>
      </c>
      <c r="AC40" s="4">
        <f t="shared" si="22"/>
        <v>0</v>
      </c>
      <c r="AD40" s="91">
        <f t="shared" si="22"/>
        <v>725.80645161290317</v>
      </c>
      <c r="AE40" s="79" t="str">
        <f>S40</f>
        <v>계</v>
      </c>
      <c r="AF40" s="79" t="str">
        <f>Q40&amp;"/"&amp;R40</f>
        <v>3/2</v>
      </c>
      <c r="AH40" s="20" t="str">
        <f t="shared" si="19"/>
        <v>가경태암수정</v>
      </c>
      <c r="AI40" s="87">
        <f t="shared" si="18"/>
        <v>31</v>
      </c>
      <c r="AJ40" s="79" t="str">
        <f>IF(AI40="","",$AJ$2)</f>
        <v>A-</v>
      </c>
      <c r="AK40" s="79" t="s">
        <v>13</v>
      </c>
      <c r="AL40" s="79" t="s">
        <v>60</v>
      </c>
      <c r="AM40" s="79" t="s">
        <v>61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O</v>
      </c>
      <c r="AQ40" s="79" t="str">
        <f>IF(O40="","",IF(O40&lt;=$AQ$1,"O","X"))</f>
        <v>O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/>
      <c r="B41" s="79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가경동 동부('98.06.,455^)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9"/>
        <v/>
      </c>
      <c r="AI41" s="111" t="str">
        <f t="shared" si="18"/>
        <v/>
      </c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</row>
    <row r="42" spans="1:48" x14ac:dyDescent="0.3">
      <c r="A42" s="9" t="s">
        <v>273</v>
      </c>
      <c r="B42" s="10" t="s">
        <v>1343</v>
      </c>
      <c r="C42" s="88">
        <v>455</v>
      </c>
      <c r="D42" s="86">
        <v>93.5</v>
      </c>
      <c r="E42" s="87">
        <v>28</v>
      </c>
      <c r="F42" s="86">
        <v>72.599999999999994</v>
      </c>
      <c r="G42" s="17">
        <v>22</v>
      </c>
      <c r="H42" s="88">
        <v>227</v>
      </c>
      <c r="I42" s="89">
        <v>21500</v>
      </c>
      <c r="J42" s="89" t="s">
        <v>81</v>
      </c>
      <c r="K42" s="89">
        <v>20000</v>
      </c>
      <c r="L42" s="89" t="s">
        <v>70</v>
      </c>
      <c r="M42" s="90">
        <f>I42-K42</f>
        <v>1500</v>
      </c>
      <c r="N42" s="4">
        <f>IF(ISERROR(K42/I42),"",K42/I42)</f>
        <v>0.93023255813953487</v>
      </c>
      <c r="O42" s="91">
        <f>I42/E42</f>
        <v>767.85714285714289</v>
      </c>
      <c r="P42" s="91">
        <f>K42/E42</f>
        <v>714.28571428571433</v>
      </c>
      <c r="Q42" s="79">
        <v>3</v>
      </c>
      <c r="R42" s="79">
        <v>1</v>
      </c>
      <c r="S42" s="79" t="s">
        <v>62</v>
      </c>
      <c r="T42" s="5">
        <v>93</v>
      </c>
      <c r="U42" s="9"/>
      <c r="W42" s="86">
        <f>D42</f>
        <v>93.5</v>
      </c>
      <c r="X42" s="87">
        <f>E42</f>
        <v>28</v>
      </c>
      <c r="Y42" s="92">
        <f>H42</f>
        <v>227</v>
      </c>
      <c r="Z42" s="90">
        <f>I42</f>
        <v>21500</v>
      </c>
      <c r="AA42" s="90">
        <f>K42</f>
        <v>20000</v>
      </c>
      <c r="AB42" s="90">
        <f t="shared" ref="AB42:AD43" si="23">M42</f>
        <v>1500</v>
      </c>
      <c r="AC42" s="4">
        <f t="shared" si="23"/>
        <v>0.93023255813953487</v>
      </c>
      <c r="AD42" s="91">
        <f t="shared" si="23"/>
        <v>767.85714285714289</v>
      </c>
      <c r="AE42" s="79" t="str">
        <f>S42</f>
        <v>계</v>
      </c>
      <c r="AF42" s="79" t="str">
        <f>Q42&amp;"/"&amp;R42</f>
        <v>3/1</v>
      </c>
      <c r="AH42" s="20" t="str">
        <f t="shared" si="19"/>
        <v>동부</v>
      </c>
      <c r="AI42" s="87">
        <f t="shared" si="18"/>
        <v>28</v>
      </c>
      <c r="AJ42" s="79" t="str">
        <f>IF(AI42="","",$AJ$2)</f>
        <v>A-</v>
      </c>
      <c r="AK42" s="79" t="s">
        <v>13</v>
      </c>
      <c r="AL42" s="79" t="s">
        <v>60</v>
      </c>
      <c r="AM42" s="79" t="s">
        <v>61</v>
      </c>
      <c r="AN42" s="79" t="str">
        <f>IF(AI42="","",$AN$2)</f>
        <v>C</v>
      </c>
      <c r="AO42" s="79" t="str">
        <f>IF(N42="","",IF(N42&gt;=$AO$1/100,"O","X"))</f>
        <v>O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후보</v>
      </c>
    </row>
    <row r="43" spans="1:48" x14ac:dyDescent="0.3">
      <c r="A43" s="9" t="s">
        <v>273</v>
      </c>
      <c r="B43" s="10" t="s">
        <v>1343</v>
      </c>
      <c r="C43" s="88">
        <v>455</v>
      </c>
      <c r="D43" s="86">
        <v>109.7</v>
      </c>
      <c r="E43" s="87">
        <v>33</v>
      </c>
      <c r="F43" s="86">
        <v>84.9</v>
      </c>
      <c r="G43" s="17">
        <v>26</v>
      </c>
      <c r="H43" s="88">
        <v>228</v>
      </c>
      <c r="I43" s="89">
        <v>26500</v>
      </c>
      <c r="J43" s="89" t="s">
        <v>70</v>
      </c>
      <c r="K43" s="89"/>
      <c r="L43" s="89"/>
      <c r="M43" s="90">
        <f>I43-K43</f>
        <v>26500</v>
      </c>
      <c r="N43" s="4">
        <f>IF(ISERROR(K43/I43),"",K43/I43)</f>
        <v>0</v>
      </c>
      <c r="O43" s="91">
        <f>I43/E43</f>
        <v>803.030303030303</v>
      </c>
      <c r="P43" s="91">
        <f>K43/E43</f>
        <v>0</v>
      </c>
      <c r="Q43" s="79">
        <v>3</v>
      </c>
      <c r="R43" s="79">
        <v>2</v>
      </c>
      <c r="S43" s="79" t="s">
        <v>62</v>
      </c>
      <c r="T43" s="5">
        <v>109</v>
      </c>
      <c r="U43" s="9"/>
      <c r="W43" s="86">
        <f>D43</f>
        <v>109.7</v>
      </c>
      <c r="X43" s="87">
        <f>E43</f>
        <v>33</v>
      </c>
      <c r="Y43" s="92">
        <f>H43</f>
        <v>228</v>
      </c>
      <c r="Z43" s="90">
        <f>I43</f>
        <v>26500</v>
      </c>
      <c r="AA43" s="90">
        <f>K43</f>
        <v>0</v>
      </c>
      <c r="AB43" s="90">
        <f t="shared" si="23"/>
        <v>26500</v>
      </c>
      <c r="AC43" s="4">
        <f t="shared" si="23"/>
        <v>0</v>
      </c>
      <c r="AD43" s="91">
        <f t="shared" si="23"/>
        <v>803.030303030303</v>
      </c>
      <c r="AE43" s="79" t="str">
        <f>S43</f>
        <v>계</v>
      </c>
      <c r="AF43" s="79" t="str">
        <f>Q43&amp;"/"&amp;R43</f>
        <v>3/2</v>
      </c>
      <c r="AH43" s="20" t="str">
        <f t="shared" si="19"/>
        <v>동부</v>
      </c>
      <c r="AI43" s="87">
        <f t="shared" si="18"/>
        <v>33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/>
      <c r="B44" s="79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가경동 청주가경뜨란채8단지('05.10.,321^)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9"/>
        <v/>
      </c>
      <c r="AI44" s="111" t="str">
        <f t="shared" si="18"/>
        <v/>
      </c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</row>
    <row r="45" spans="1:48" x14ac:dyDescent="0.3">
      <c r="A45" s="9" t="s">
        <v>278</v>
      </c>
      <c r="B45" s="10" t="s">
        <v>1344</v>
      </c>
      <c r="C45" s="88">
        <v>321</v>
      </c>
      <c r="D45" s="86">
        <v>109.8</v>
      </c>
      <c r="E45" s="87">
        <v>33</v>
      </c>
      <c r="F45" s="86">
        <v>84.9</v>
      </c>
      <c r="G45" s="17">
        <v>26</v>
      </c>
      <c r="H45" s="88">
        <v>321</v>
      </c>
      <c r="I45" s="89">
        <v>34000</v>
      </c>
      <c r="J45" s="89" t="s">
        <v>88</v>
      </c>
      <c r="K45" s="89">
        <v>28000</v>
      </c>
      <c r="L45" s="89" t="s">
        <v>89</v>
      </c>
      <c r="M45" s="90">
        <f>I45-K45</f>
        <v>6000</v>
      </c>
      <c r="N45" s="4">
        <f>IF(ISERROR(K45/I45),"",K45/I45)</f>
        <v>0.82352941176470584</v>
      </c>
      <c r="O45" s="91">
        <f>I45/E45</f>
        <v>1030.3030303030303</v>
      </c>
      <c r="P45" s="91">
        <f>K45/E45</f>
        <v>848.4848484848485</v>
      </c>
      <c r="Q45" s="79">
        <v>3</v>
      </c>
      <c r="R45" s="79">
        <v>2</v>
      </c>
      <c r="S45" s="79" t="s">
        <v>62</v>
      </c>
      <c r="T45" s="5">
        <v>109</v>
      </c>
      <c r="U45" s="9"/>
      <c r="W45" s="86">
        <f>D45</f>
        <v>109.8</v>
      </c>
      <c r="X45" s="87">
        <f>E45</f>
        <v>33</v>
      </c>
      <c r="Y45" s="92">
        <f>H45</f>
        <v>321</v>
      </c>
      <c r="Z45" s="90">
        <f>I45</f>
        <v>34000</v>
      </c>
      <c r="AA45" s="90">
        <f>K45</f>
        <v>28000</v>
      </c>
      <c r="AB45" s="90">
        <f>M45</f>
        <v>6000</v>
      </c>
      <c r="AC45" s="4">
        <f>N45</f>
        <v>0.82352941176470584</v>
      </c>
      <c r="AD45" s="91">
        <f>O45</f>
        <v>1030.3030303030303</v>
      </c>
      <c r="AE45" s="79" t="str">
        <f>S45</f>
        <v>계</v>
      </c>
      <c r="AF45" s="79" t="str">
        <f>Q45&amp;"/"&amp;R45</f>
        <v>3/2</v>
      </c>
      <c r="AH45" s="20" t="str">
        <f t="shared" si="19"/>
        <v>청주가경뜨란채8단지</v>
      </c>
      <c r="AI45" s="87">
        <f t="shared" si="18"/>
        <v>33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O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후보</v>
      </c>
    </row>
    <row r="46" spans="1:48" x14ac:dyDescent="0.3">
      <c r="A46" s="9"/>
      <c r="B46" s="79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가경동 청주가경아이파크3단지('21.05.,983^)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9"/>
        <v/>
      </c>
      <c r="AI46" s="111" t="str">
        <f t="shared" si="18"/>
        <v/>
      </c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</row>
    <row r="47" spans="1:48" x14ac:dyDescent="0.3">
      <c r="A47" s="9" t="s">
        <v>283</v>
      </c>
      <c r="B47" s="10" t="s">
        <v>1345</v>
      </c>
      <c r="C47" s="88">
        <v>983</v>
      </c>
      <c r="D47" s="86">
        <v>109.3</v>
      </c>
      <c r="E47" s="87">
        <v>33</v>
      </c>
      <c r="F47" s="86">
        <v>84.8</v>
      </c>
      <c r="G47" s="17">
        <v>26</v>
      </c>
      <c r="H47" s="88">
        <v>397</v>
      </c>
      <c r="I47" s="89">
        <v>73000</v>
      </c>
      <c r="J47" s="89" t="s">
        <v>71</v>
      </c>
      <c r="K47" s="89">
        <v>50000</v>
      </c>
      <c r="L47" s="89" t="s">
        <v>89</v>
      </c>
      <c r="M47" s="90">
        <f>I47-K47</f>
        <v>23000</v>
      </c>
      <c r="N47" s="4">
        <f>IF(ISERROR(K47/I47),"",K47/I47)</f>
        <v>0.68493150684931503</v>
      </c>
      <c r="O47" s="91">
        <f>I47/E47</f>
        <v>2212.121212121212</v>
      </c>
      <c r="P47" s="91">
        <f>K47/E47</f>
        <v>1515.1515151515152</v>
      </c>
      <c r="Q47" s="79">
        <v>3</v>
      </c>
      <c r="R47" s="79">
        <v>2</v>
      </c>
      <c r="S47" s="79" t="s">
        <v>62</v>
      </c>
      <c r="T47" s="5" t="s">
        <v>66</v>
      </c>
      <c r="U47" s="9"/>
      <c r="W47" s="86">
        <f t="shared" ref="W47:X51" si="24">D47</f>
        <v>109.3</v>
      </c>
      <c r="X47" s="87">
        <f t="shared" si="24"/>
        <v>33</v>
      </c>
      <c r="Y47" s="92">
        <f t="shared" ref="Y47:Z51" si="25">H47</f>
        <v>397</v>
      </c>
      <c r="Z47" s="90">
        <f t="shared" si="25"/>
        <v>73000</v>
      </c>
      <c r="AA47" s="90">
        <f>K47</f>
        <v>50000</v>
      </c>
      <c r="AB47" s="90">
        <f t="shared" ref="AB47:AD51" si="26">M47</f>
        <v>23000</v>
      </c>
      <c r="AC47" s="4">
        <f t="shared" si="26"/>
        <v>0.68493150684931503</v>
      </c>
      <c r="AD47" s="91">
        <f t="shared" si="26"/>
        <v>2212.121212121212</v>
      </c>
      <c r="AE47" s="79" t="str">
        <f>S47</f>
        <v>계</v>
      </c>
      <c r="AF47" s="79" t="str">
        <f>Q47&amp;"/"&amp;R47</f>
        <v>3/2</v>
      </c>
      <c r="AH47" s="20" t="str">
        <f t="shared" si="19"/>
        <v>청주가경아이파크3단지</v>
      </c>
      <c r="AI47" s="87">
        <f t="shared" si="18"/>
        <v>33</v>
      </c>
      <c r="AJ47" s="79" t="str">
        <f>IF(AI47="","",$AJ$2)</f>
        <v>A-</v>
      </c>
      <c r="AK47" s="79" t="s">
        <v>13</v>
      </c>
      <c r="AL47" s="79" t="s">
        <v>60</v>
      </c>
      <c r="AM47" s="79" t="s">
        <v>61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 t="s">
        <v>283</v>
      </c>
      <c r="B48" s="10" t="s">
        <v>1345</v>
      </c>
      <c r="C48" s="88">
        <v>983</v>
      </c>
      <c r="D48" s="86">
        <v>109.8</v>
      </c>
      <c r="E48" s="87">
        <v>33</v>
      </c>
      <c r="F48" s="86">
        <v>85</v>
      </c>
      <c r="G48" s="17">
        <v>26</v>
      </c>
      <c r="H48" s="88">
        <v>152</v>
      </c>
      <c r="I48" s="89"/>
      <c r="J48" s="89"/>
      <c r="K48" s="89">
        <v>50000</v>
      </c>
      <c r="L48" s="89" t="s">
        <v>89</v>
      </c>
      <c r="M48" s="90">
        <f>I48-K48</f>
        <v>-50000</v>
      </c>
      <c r="N48" s="4" t="str">
        <f>IF(ISERROR(K48/I48),"",K48/I48)</f>
        <v/>
      </c>
      <c r="O48" s="91">
        <f>I48/E48</f>
        <v>0</v>
      </c>
      <c r="P48" s="91">
        <f>K48/E48</f>
        <v>1515.1515151515152</v>
      </c>
      <c r="Q48" s="79">
        <v>3</v>
      </c>
      <c r="R48" s="79">
        <v>2</v>
      </c>
      <c r="S48" s="79" t="s">
        <v>62</v>
      </c>
      <c r="T48" s="5" t="s">
        <v>67</v>
      </c>
      <c r="U48" s="9"/>
      <c r="W48" s="86">
        <f t="shared" si="24"/>
        <v>109.8</v>
      </c>
      <c r="X48" s="87">
        <f t="shared" si="24"/>
        <v>33</v>
      </c>
      <c r="Y48" s="92">
        <f t="shared" si="25"/>
        <v>152</v>
      </c>
      <c r="Z48" s="90">
        <f t="shared" si="25"/>
        <v>0</v>
      </c>
      <c r="AA48" s="90">
        <f>K48</f>
        <v>50000</v>
      </c>
      <c r="AB48" s="90">
        <f t="shared" si="26"/>
        <v>-50000</v>
      </c>
      <c r="AC48" s="4" t="str">
        <f t="shared" si="26"/>
        <v/>
      </c>
      <c r="AD48" s="91">
        <f t="shared" si="26"/>
        <v>0</v>
      </c>
      <c r="AE48" s="79" t="str">
        <f>S48</f>
        <v>계</v>
      </c>
      <c r="AF48" s="79" t="str">
        <f>Q48&amp;"/"&amp;R48</f>
        <v>3/2</v>
      </c>
      <c r="AH48" s="20" t="str">
        <f t="shared" si="19"/>
        <v>청주가경아이파크3단지</v>
      </c>
      <c r="AI48" s="87">
        <f t="shared" si="18"/>
        <v>33</v>
      </c>
      <c r="AJ48" s="79" t="str">
        <f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x14ac:dyDescent="0.3">
      <c r="A49" s="9" t="s">
        <v>283</v>
      </c>
      <c r="B49" s="10" t="s">
        <v>1345</v>
      </c>
      <c r="C49" s="88">
        <v>983</v>
      </c>
      <c r="D49" s="86">
        <v>110.1</v>
      </c>
      <c r="E49" s="87">
        <v>33</v>
      </c>
      <c r="F49" s="86">
        <v>85</v>
      </c>
      <c r="G49" s="17">
        <v>26</v>
      </c>
      <c r="H49" s="88">
        <v>86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62</v>
      </c>
      <c r="T49" s="5" t="s">
        <v>90</v>
      </c>
      <c r="U49" s="9"/>
      <c r="W49" s="86">
        <f t="shared" si="24"/>
        <v>110.1</v>
      </c>
      <c r="X49" s="87">
        <f t="shared" si="24"/>
        <v>33</v>
      </c>
      <c r="Y49" s="92">
        <f t="shared" si="25"/>
        <v>86</v>
      </c>
      <c r="Z49" s="90">
        <f t="shared" si="25"/>
        <v>0</v>
      </c>
      <c r="AA49" s="90">
        <f>K49</f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9" t="str">
        <f>S49</f>
        <v>계</v>
      </c>
      <c r="AF49" s="79" t="str">
        <f>Q49&amp;"/"&amp;R49</f>
        <v>3/2</v>
      </c>
      <c r="AH49" s="20" t="str">
        <f t="shared" si="19"/>
        <v>청주가경아이파크3단지</v>
      </c>
      <c r="AI49" s="87">
        <f t="shared" si="18"/>
        <v>33</v>
      </c>
      <c r="AJ49" s="79" t="str">
        <f>IF(AI49="","",$AJ$2)</f>
        <v>A-</v>
      </c>
      <c r="AK49" s="79" t="s">
        <v>13</v>
      </c>
      <c r="AL49" s="79" t="s">
        <v>60</v>
      </c>
      <c r="AM49" s="79" t="s">
        <v>61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x14ac:dyDescent="0.3">
      <c r="A50" s="9" t="s">
        <v>283</v>
      </c>
      <c r="B50" s="10" t="s">
        <v>1345</v>
      </c>
      <c r="C50" s="88">
        <v>983</v>
      </c>
      <c r="D50" s="86">
        <v>135.4</v>
      </c>
      <c r="E50" s="87">
        <v>41</v>
      </c>
      <c r="F50" s="86">
        <v>105.6</v>
      </c>
      <c r="G50" s="17">
        <v>32</v>
      </c>
      <c r="H50" s="88">
        <v>335</v>
      </c>
      <c r="I50" s="89">
        <v>95000</v>
      </c>
      <c r="J50" s="89" t="s">
        <v>89</v>
      </c>
      <c r="K50" s="89">
        <v>63000</v>
      </c>
      <c r="L50" s="89" t="s">
        <v>91</v>
      </c>
      <c r="M50" s="90">
        <f>I50-K50</f>
        <v>32000</v>
      </c>
      <c r="N50" s="4">
        <f>IF(ISERROR(K50/I50),"",K50/I50)</f>
        <v>0.66315789473684206</v>
      </c>
      <c r="O50" s="91">
        <f>I50/E50</f>
        <v>2317.0731707317073</v>
      </c>
      <c r="P50" s="91">
        <f>K50/E50</f>
        <v>1536.5853658536585</v>
      </c>
      <c r="Q50" s="79">
        <v>3</v>
      </c>
      <c r="R50" s="79">
        <v>2</v>
      </c>
      <c r="S50" s="79" t="s">
        <v>62</v>
      </c>
      <c r="T50" s="5">
        <v>135</v>
      </c>
      <c r="U50" s="9"/>
      <c r="W50" s="86">
        <f t="shared" si="24"/>
        <v>135.4</v>
      </c>
      <c r="X50" s="87">
        <f t="shared" si="24"/>
        <v>41</v>
      </c>
      <c r="Y50" s="92">
        <f t="shared" si="25"/>
        <v>335</v>
      </c>
      <c r="Z50" s="90">
        <f t="shared" si="25"/>
        <v>95000</v>
      </c>
      <c r="AA50" s="90">
        <f>K50</f>
        <v>63000</v>
      </c>
      <c r="AB50" s="90">
        <f t="shared" si="26"/>
        <v>32000</v>
      </c>
      <c r="AC50" s="4">
        <f t="shared" si="26"/>
        <v>0.66315789473684206</v>
      </c>
      <c r="AD50" s="91">
        <f t="shared" si="26"/>
        <v>2317.0731707317073</v>
      </c>
      <c r="AE50" s="79" t="str">
        <f>S50</f>
        <v>계</v>
      </c>
      <c r="AF50" s="79" t="str">
        <f>Q50&amp;"/"&amp;R50</f>
        <v>3/2</v>
      </c>
      <c r="AH50" s="20" t="str">
        <f t="shared" si="19"/>
        <v>청주가경아이파크3단지</v>
      </c>
      <c r="AI50" s="87">
        <f t="shared" si="18"/>
        <v>41</v>
      </c>
      <c r="AJ50" s="79" t="str">
        <f>IF(AI50="","",$AJ$2)</f>
        <v>A-</v>
      </c>
      <c r="AK50" s="79" t="s">
        <v>13</v>
      </c>
      <c r="AL50" s="79" t="s">
        <v>60</v>
      </c>
      <c r="AM50" s="79" t="s">
        <v>61</v>
      </c>
      <c r="AN50" s="79" t="str">
        <f>IF(AI50="","",$AN$2)</f>
        <v>C</v>
      </c>
      <c r="AO50" s="79" t="str">
        <f>IF(N50="","",IF(N50&gt;=$AO$1/100,"O","X"))</f>
        <v>X</v>
      </c>
      <c r="AP50" s="79" t="str">
        <f>IF(I50="","",IF(I50&lt;=$AP$1,"O","X"))</f>
        <v>X</v>
      </c>
      <c r="AQ50" s="79" t="str">
        <f>IF(O50="","",IF(O50&lt;=$AQ$1,"O","X"))</f>
        <v>X</v>
      </c>
      <c r="AR50" s="79" t="str">
        <f>IF(M50="","",IF(M50&lt;=$AR$1,"O","X"))</f>
        <v>X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>X</v>
      </c>
    </row>
    <row r="51" spans="1:48" x14ac:dyDescent="0.3">
      <c r="A51" s="9" t="s">
        <v>283</v>
      </c>
      <c r="B51" s="10" t="s">
        <v>1345</v>
      </c>
      <c r="C51" s="88">
        <v>983</v>
      </c>
      <c r="D51" s="86">
        <v>185</v>
      </c>
      <c r="E51" s="87">
        <v>56</v>
      </c>
      <c r="F51" s="86">
        <v>144.4</v>
      </c>
      <c r="G51" s="17">
        <v>44</v>
      </c>
      <c r="H51" s="88">
        <v>13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4</v>
      </c>
      <c r="R51" s="79">
        <v>3</v>
      </c>
      <c r="S51" s="79" t="s">
        <v>62</v>
      </c>
      <c r="T51" s="5">
        <v>184</v>
      </c>
      <c r="U51" s="9"/>
      <c r="W51" s="86">
        <f t="shared" si="24"/>
        <v>185</v>
      </c>
      <c r="X51" s="87">
        <f t="shared" si="24"/>
        <v>56</v>
      </c>
      <c r="Y51" s="92">
        <f t="shared" si="25"/>
        <v>13</v>
      </c>
      <c r="Z51" s="90">
        <f t="shared" si="25"/>
        <v>0</v>
      </c>
      <c r="AA51" s="90">
        <f>K51</f>
        <v>0</v>
      </c>
      <c r="AB51" s="90">
        <f t="shared" si="26"/>
        <v>0</v>
      </c>
      <c r="AC51" s="4" t="str">
        <f t="shared" si="26"/>
        <v/>
      </c>
      <c r="AD51" s="91">
        <f t="shared" si="26"/>
        <v>0</v>
      </c>
      <c r="AE51" s="79" t="str">
        <f>S51</f>
        <v>계</v>
      </c>
      <c r="AF51" s="79" t="str">
        <f>Q51&amp;"/"&amp;R51</f>
        <v>4/3</v>
      </c>
      <c r="AH51" s="20" t="str">
        <f t="shared" si="19"/>
        <v>청주가경아이파크3단지</v>
      </c>
      <c r="AI51" s="87">
        <f t="shared" si="18"/>
        <v>56</v>
      </c>
      <c r="AJ51" s="79" t="str">
        <f>IF(AI51="","",$AJ$2)</f>
        <v>A-</v>
      </c>
      <c r="AK51" s="79" t="s">
        <v>13</v>
      </c>
      <c r="AL51" s="79" t="s">
        <v>60</v>
      </c>
      <c r="AM51" s="79" t="s">
        <v>61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x14ac:dyDescent="0.3">
      <c r="A52" s="9"/>
      <c r="B52" s="79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7"/>
      <c r="U52" s="9"/>
      <c r="W52" s="67" t="str">
        <f>$A$4&amp;" "&amp;A53&amp;"("&amp;B53&amp;","&amp;C53&amp;"^)"</f>
        <v>가경동 청주가경아이파크2단지('20.02.,664^)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9"/>
        <v/>
      </c>
      <c r="AI52" s="111" t="str">
        <f t="shared" si="18"/>
        <v/>
      </c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</row>
    <row r="53" spans="1:48" x14ac:dyDescent="0.3">
      <c r="A53" s="9" t="s">
        <v>288</v>
      </c>
      <c r="B53" s="10" t="s">
        <v>1346</v>
      </c>
      <c r="C53" s="88">
        <v>664</v>
      </c>
      <c r="D53" s="86">
        <v>97.6</v>
      </c>
      <c r="E53" s="87">
        <v>30</v>
      </c>
      <c r="F53" s="86">
        <v>76</v>
      </c>
      <c r="G53" s="17">
        <v>23</v>
      </c>
      <c r="H53" s="88">
        <v>73</v>
      </c>
      <c r="I53" s="89">
        <v>60000</v>
      </c>
      <c r="J53" s="89" t="s">
        <v>92</v>
      </c>
      <c r="K53" s="89">
        <v>42000</v>
      </c>
      <c r="L53" s="89" t="s">
        <v>69</v>
      </c>
      <c r="M53" s="90">
        <f t="shared" ref="M53:M58" si="27">I53-K53</f>
        <v>18000</v>
      </c>
      <c r="N53" s="4">
        <f t="shared" ref="N53:N58" si="28">IF(ISERROR(K53/I53),"",K53/I53)</f>
        <v>0.7</v>
      </c>
      <c r="O53" s="91">
        <f t="shared" ref="O53:O58" si="29">I53/E53</f>
        <v>2000</v>
      </c>
      <c r="P53" s="91">
        <f t="shared" ref="P53:P58" si="30">K53/E53</f>
        <v>1400</v>
      </c>
      <c r="Q53" s="79">
        <v>3</v>
      </c>
      <c r="R53" s="79">
        <v>2</v>
      </c>
      <c r="S53" s="79" t="s">
        <v>62</v>
      </c>
      <c r="T53" s="5">
        <v>97</v>
      </c>
      <c r="U53" s="9"/>
      <c r="W53" s="86">
        <f t="shared" ref="W53:X58" si="31">D53</f>
        <v>97.6</v>
      </c>
      <c r="X53" s="87">
        <f t="shared" si="31"/>
        <v>30</v>
      </c>
      <c r="Y53" s="92">
        <f t="shared" ref="Y53:Z58" si="32">H53</f>
        <v>73</v>
      </c>
      <c r="Z53" s="90">
        <f t="shared" si="32"/>
        <v>60000</v>
      </c>
      <c r="AA53" s="90">
        <f t="shared" ref="AA53:AA58" si="33">K53</f>
        <v>42000</v>
      </c>
      <c r="AB53" s="90">
        <f t="shared" ref="AB53:AD58" si="34">M53</f>
        <v>18000</v>
      </c>
      <c r="AC53" s="4">
        <f t="shared" si="34"/>
        <v>0.7</v>
      </c>
      <c r="AD53" s="91">
        <f t="shared" si="34"/>
        <v>2000</v>
      </c>
      <c r="AE53" s="79" t="str">
        <f t="shared" ref="AE53:AE58" si="35">S53</f>
        <v>계</v>
      </c>
      <c r="AF53" s="79" t="str">
        <f t="shared" ref="AF53:AF58" si="36">Q53&amp;"/"&amp;R53</f>
        <v>3/2</v>
      </c>
      <c r="AH53" s="20" t="str">
        <f t="shared" si="19"/>
        <v>청주가경아이파크2단지</v>
      </c>
      <c r="AI53" s="87">
        <f t="shared" si="18"/>
        <v>30</v>
      </c>
      <c r="AJ53" s="79" t="str">
        <f t="shared" ref="AJ53:AJ58" si="37">IF(AI53="","",$AJ$2)</f>
        <v>A-</v>
      </c>
      <c r="AK53" s="79" t="s">
        <v>13</v>
      </c>
      <c r="AL53" s="79" t="s">
        <v>60</v>
      </c>
      <c r="AM53" s="79" t="s">
        <v>61</v>
      </c>
      <c r="AN53" s="79" t="str">
        <f t="shared" ref="AN53:AN58" si="38">IF(AI53="","",$AN$2)</f>
        <v>C</v>
      </c>
      <c r="AO53" s="79" t="str">
        <f t="shared" ref="AO53:AO58" si="39">IF(N53="","",IF(N53&gt;=$AO$1/100,"O","X"))</f>
        <v>X</v>
      </c>
      <c r="AP53" s="79" t="str">
        <f t="shared" ref="AP53:AP58" si="40">IF(I53="","",IF(I53&lt;=$AP$1,"O","X"))</f>
        <v>X</v>
      </c>
      <c r="AQ53" s="79" t="str">
        <f t="shared" ref="AQ53:AQ58" si="41">IF(O53="","",IF(O53&lt;=$AQ$1,"O","X"))</f>
        <v>X</v>
      </c>
      <c r="AR53" s="79" t="str">
        <f t="shared" ref="AR53:AR58" si="42">IF(M53="","",IF(M53&lt;=$AR$1,"O","X"))</f>
        <v>X</v>
      </c>
      <c r="AS53" s="79" t="s">
        <v>2</v>
      </c>
      <c r="AT53" s="79" t="str">
        <f t="shared" ref="AT53:AT58" si="43">IF(OR(F53="",AI53=""),"",IF(AND((F53&lt;=85),(AI53&gt;=15)),"O","X"))</f>
        <v>O</v>
      </c>
      <c r="AU53" s="79" t="str">
        <f t="shared" ref="AU53:AU58" si="44">IF(C53="","",IF(C53&gt;=$AU$1,"O","X"))</f>
        <v>O</v>
      </c>
      <c r="AV53" s="79" t="str">
        <f t="shared" ref="AV53:AV58" si="45">IF(AO53="","",IF(AND(AO53="O",AP53="O",AR53="O",AT53="O",AU53="O"),"후보","X"))</f>
        <v>X</v>
      </c>
    </row>
    <row r="54" spans="1:48" x14ac:dyDescent="0.3">
      <c r="A54" s="9" t="s">
        <v>288</v>
      </c>
      <c r="B54" s="10" t="s">
        <v>1346</v>
      </c>
      <c r="C54" s="88">
        <v>664</v>
      </c>
      <c r="D54" s="86">
        <v>108</v>
      </c>
      <c r="E54" s="87">
        <v>33</v>
      </c>
      <c r="F54" s="86">
        <v>85</v>
      </c>
      <c r="G54" s="17">
        <v>26</v>
      </c>
      <c r="H54" s="88">
        <v>346</v>
      </c>
      <c r="I54" s="89">
        <v>64900</v>
      </c>
      <c r="J54" s="89" t="s">
        <v>83</v>
      </c>
      <c r="K54" s="89">
        <v>45000</v>
      </c>
      <c r="L54" s="89" t="s">
        <v>79</v>
      </c>
      <c r="M54" s="90">
        <f t="shared" si="27"/>
        <v>19900</v>
      </c>
      <c r="N54" s="4">
        <f t="shared" si="28"/>
        <v>0.69337442218798151</v>
      </c>
      <c r="O54" s="91">
        <f t="shared" si="29"/>
        <v>1966.6666666666667</v>
      </c>
      <c r="P54" s="91">
        <f t="shared" si="30"/>
        <v>1363.6363636363637</v>
      </c>
      <c r="Q54" s="79">
        <v>3</v>
      </c>
      <c r="R54" s="79">
        <v>2</v>
      </c>
      <c r="S54" s="79" t="s">
        <v>62</v>
      </c>
      <c r="T54" s="5" t="s">
        <v>93</v>
      </c>
      <c r="U54" s="9"/>
      <c r="W54" s="86">
        <f t="shared" si="31"/>
        <v>108</v>
      </c>
      <c r="X54" s="87">
        <f t="shared" si="31"/>
        <v>33</v>
      </c>
      <c r="Y54" s="92">
        <f t="shared" si="32"/>
        <v>346</v>
      </c>
      <c r="Z54" s="90">
        <f t="shared" si="32"/>
        <v>64900</v>
      </c>
      <c r="AA54" s="90">
        <f t="shared" si="33"/>
        <v>45000</v>
      </c>
      <c r="AB54" s="90">
        <f t="shared" si="34"/>
        <v>19900</v>
      </c>
      <c r="AC54" s="4">
        <f t="shared" si="34"/>
        <v>0.69337442218798151</v>
      </c>
      <c r="AD54" s="91">
        <f t="shared" si="34"/>
        <v>1966.6666666666667</v>
      </c>
      <c r="AE54" s="79" t="str">
        <f t="shared" si="35"/>
        <v>계</v>
      </c>
      <c r="AF54" s="79" t="str">
        <f t="shared" si="36"/>
        <v>3/2</v>
      </c>
      <c r="AH54" s="20" t="str">
        <f t="shared" si="19"/>
        <v>청주가경아이파크2단지</v>
      </c>
      <c r="AI54" s="87">
        <f t="shared" si="18"/>
        <v>33</v>
      </c>
      <c r="AJ54" s="79" t="str">
        <f t="shared" si="37"/>
        <v>A-</v>
      </c>
      <c r="AK54" s="79" t="s">
        <v>13</v>
      </c>
      <c r="AL54" s="79" t="s">
        <v>60</v>
      </c>
      <c r="AM54" s="79" t="s">
        <v>61</v>
      </c>
      <c r="AN54" s="79" t="str">
        <f t="shared" si="38"/>
        <v>C</v>
      </c>
      <c r="AO54" s="79" t="str">
        <f t="shared" si="39"/>
        <v>X</v>
      </c>
      <c r="AP54" s="79" t="str">
        <f t="shared" si="40"/>
        <v>X</v>
      </c>
      <c r="AQ54" s="79" t="str">
        <f t="shared" si="41"/>
        <v>X</v>
      </c>
      <c r="AR54" s="79" t="str">
        <f t="shared" si="42"/>
        <v>X</v>
      </c>
      <c r="AS54" s="79" t="s">
        <v>2</v>
      </c>
      <c r="AT54" s="79" t="str">
        <f t="shared" si="43"/>
        <v>O</v>
      </c>
      <c r="AU54" s="79" t="str">
        <f t="shared" si="44"/>
        <v>O</v>
      </c>
      <c r="AV54" s="79" t="str">
        <f t="shared" si="45"/>
        <v>X</v>
      </c>
    </row>
    <row r="55" spans="1:48" x14ac:dyDescent="0.3">
      <c r="A55" s="9" t="s">
        <v>288</v>
      </c>
      <c r="B55" s="10" t="s">
        <v>1346</v>
      </c>
      <c r="C55" s="88">
        <v>664</v>
      </c>
      <c r="D55" s="86">
        <v>108.6</v>
      </c>
      <c r="E55" s="87">
        <v>33</v>
      </c>
      <c r="F55" s="86">
        <v>85</v>
      </c>
      <c r="G55" s="17">
        <v>26</v>
      </c>
      <c r="H55" s="88">
        <v>84</v>
      </c>
      <c r="I55" s="89">
        <v>67000</v>
      </c>
      <c r="J55" s="89" t="s">
        <v>75</v>
      </c>
      <c r="K55" s="89"/>
      <c r="L55" s="89"/>
      <c r="M55" s="90">
        <f t="shared" si="27"/>
        <v>67000</v>
      </c>
      <c r="N55" s="4">
        <f t="shared" si="28"/>
        <v>0</v>
      </c>
      <c r="O55" s="91">
        <f t="shared" si="29"/>
        <v>2030.3030303030303</v>
      </c>
      <c r="P55" s="91">
        <f t="shared" si="30"/>
        <v>0</v>
      </c>
      <c r="Q55" s="79">
        <v>3</v>
      </c>
      <c r="R55" s="79">
        <v>2</v>
      </c>
      <c r="S55" s="79" t="s">
        <v>62</v>
      </c>
      <c r="T55" s="5" t="s">
        <v>94</v>
      </c>
      <c r="U55" s="9"/>
      <c r="W55" s="86">
        <f t="shared" si="31"/>
        <v>108.6</v>
      </c>
      <c r="X55" s="87">
        <f t="shared" si="31"/>
        <v>33</v>
      </c>
      <c r="Y55" s="92">
        <f t="shared" si="32"/>
        <v>84</v>
      </c>
      <c r="Z55" s="90">
        <f t="shared" si="32"/>
        <v>67000</v>
      </c>
      <c r="AA55" s="90">
        <f t="shared" si="33"/>
        <v>0</v>
      </c>
      <c r="AB55" s="90">
        <f t="shared" si="34"/>
        <v>67000</v>
      </c>
      <c r="AC55" s="4">
        <f t="shared" si="34"/>
        <v>0</v>
      </c>
      <c r="AD55" s="91">
        <f t="shared" si="34"/>
        <v>2030.3030303030303</v>
      </c>
      <c r="AE55" s="79" t="str">
        <f t="shared" si="35"/>
        <v>계</v>
      </c>
      <c r="AF55" s="79" t="str">
        <f t="shared" si="36"/>
        <v>3/2</v>
      </c>
      <c r="AH55" s="20" t="str">
        <f t="shared" si="19"/>
        <v>청주가경아이파크2단지</v>
      </c>
      <c r="AI55" s="87">
        <f t="shared" si="18"/>
        <v>33</v>
      </c>
      <c r="AJ55" s="79" t="str">
        <f t="shared" si="37"/>
        <v>A-</v>
      </c>
      <c r="AK55" s="79" t="s">
        <v>13</v>
      </c>
      <c r="AL55" s="79" t="s">
        <v>60</v>
      </c>
      <c r="AM55" s="79" t="s">
        <v>61</v>
      </c>
      <c r="AN55" s="79" t="str">
        <f t="shared" si="38"/>
        <v>C</v>
      </c>
      <c r="AO55" s="79" t="str">
        <f t="shared" si="39"/>
        <v>X</v>
      </c>
      <c r="AP55" s="79" t="str">
        <f t="shared" si="40"/>
        <v>X</v>
      </c>
      <c r="AQ55" s="79" t="str">
        <f t="shared" si="41"/>
        <v>X</v>
      </c>
      <c r="AR55" s="79" t="str">
        <f t="shared" si="42"/>
        <v>X</v>
      </c>
      <c r="AS55" s="79" t="s">
        <v>2</v>
      </c>
      <c r="AT55" s="79" t="str">
        <f t="shared" si="43"/>
        <v>O</v>
      </c>
      <c r="AU55" s="79" t="str">
        <f t="shared" si="44"/>
        <v>O</v>
      </c>
      <c r="AV55" s="79" t="str">
        <f t="shared" si="45"/>
        <v>X</v>
      </c>
    </row>
    <row r="56" spans="1:48" x14ac:dyDescent="0.3">
      <c r="A56" s="9" t="s">
        <v>288</v>
      </c>
      <c r="B56" s="10" t="s">
        <v>1346</v>
      </c>
      <c r="C56" s="88">
        <v>664</v>
      </c>
      <c r="D56" s="86">
        <v>134</v>
      </c>
      <c r="E56" s="87">
        <v>41</v>
      </c>
      <c r="F56" s="86">
        <v>105.4</v>
      </c>
      <c r="G56" s="17">
        <v>32</v>
      </c>
      <c r="H56" s="88">
        <v>99</v>
      </c>
      <c r="I56" s="89"/>
      <c r="J56" s="89"/>
      <c r="K56" s="89"/>
      <c r="L56" s="89"/>
      <c r="M56" s="90">
        <f t="shared" si="27"/>
        <v>0</v>
      </c>
      <c r="N56" s="4" t="str">
        <f t="shared" si="28"/>
        <v/>
      </c>
      <c r="O56" s="91">
        <f t="shared" si="29"/>
        <v>0</v>
      </c>
      <c r="P56" s="91">
        <f t="shared" si="30"/>
        <v>0</v>
      </c>
      <c r="Q56" s="79">
        <v>3</v>
      </c>
      <c r="R56" s="79">
        <v>2</v>
      </c>
      <c r="S56" s="79" t="s">
        <v>62</v>
      </c>
      <c r="T56" s="5" t="s">
        <v>95</v>
      </c>
      <c r="U56" s="9"/>
      <c r="W56" s="86">
        <f t="shared" si="31"/>
        <v>134</v>
      </c>
      <c r="X56" s="87">
        <f t="shared" si="31"/>
        <v>41</v>
      </c>
      <c r="Y56" s="92">
        <f t="shared" si="32"/>
        <v>99</v>
      </c>
      <c r="Z56" s="90">
        <f t="shared" si="32"/>
        <v>0</v>
      </c>
      <c r="AA56" s="90">
        <f t="shared" si="33"/>
        <v>0</v>
      </c>
      <c r="AB56" s="90">
        <f t="shared" si="34"/>
        <v>0</v>
      </c>
      <c r="AC56" s="4" t="str">
        <f t="shared" si="34"/>
        <v/>
      </c>
      <c r="AD56" s="91">
        <f t="shared" si="34"/>
        <v>0</v>
      </c>
      <c r="AE56" s="79" t="str">
        <f t="shared" si="35"/>
        <v>계</v>
      </c>
      <c r="AF56" s="79" t="str">
        <f t="shared" si="36"/>
        <v>3/2</v>
      </c>
      <c r="AH56" s="20" t="str">
        <f t="shared" si="19"/>
        <v>청주가경아이파크2단지</v>
      </c>
      <c r="AI56" s="87">
        <f t="shared" si="18"/>
        <v>41</v>
      </c>
      <c r="AJ56" s="79" t="str">
        <f t="shared" si="37"/>
        <v>A-</v>
      </c>
      <c r="AK56" s="79" t="s">
        <v>13</v>
      </c>
      <c r="AL56" s="79" t="s">
        <v>60</v>
      </c>
      <c r="AM56" s="79" t="s">
        <v>61</v>
      </c>
      <c r="AN56" s="79" t="str">
        <f t="shared" si="38"/>
        <v>C</v>
      </c>
      <c r="AO56" s="79" t="str">
        <f t="shared" si="39"/>
        <v/>
      </c>
      <c r="AP56" s="79" t="str">
        <f t="shared" si="40"/>
        <v/>
      </c>
      <c r="AQ56" s="79" t="str">
        <f t="shared" si="41"/>
        <v>O</v>
      </c>
      <c r="AR56" s="79" t="str">
        <f t="shared" si="42"/>
        <v>O</v>
      </c>
      <c r="AS56" s="79" t="s">
        <v>2</v>
      </c>
      <c r="AT56" s="79" t="str">
        <f t="shared" si="43"/>
        <v>X</v>
      </c>
      <c r="AU56" s="79" t="str">
        <f t="shared" si="44"/>
        <v>O</v>
      </c>
      <c r="AV56" s="79" t="str">
        <f t="shared" si="45"/>
        <v/>
      </c>
    </row>
    <row r="57" spans="1:48" x14ac:dyDescent="0.3">
      <c r="A57" s="9" t="s">
        <v>288</v>
      </c>
      <c r="B57" s="10" t="s">
        <v>1346</v>
      </c>
      <c r="C57" s="88">
        <v>664</v>
      </c>
      <c r="D57" s="86">
        <v>134.30000000000001</v>
      </c>
      <c r="E57" s="87">
        <v>41</v>
      </c>
      <c r="F57" s="86">
        <v>105.6</v>
      </c>
      <c r="G57" s="17">
        <v>32</v>
      </c>
      <c r="H57" s="88">
        <v>57</v>
      </c>
      <c r="I57" s="89">
        <v>87500</v>
      </c>
      <c r="J57" s="89" t="s">
        <v>81</v>
      </c>
      <c r="K57" s="89">
        <v>58000</v>
      </c>
      <c r="L57" s="89" t="s">
        <v>89</v>
      </c>
      <c r="M57" s="90">
        <f t="shared" si="27"/>
        <v>29500</v>
      </c>
      <c r="N57" s="4">
        <f t="shared" si="28"/>
        <v>0.66285714285714281</v>
      </c>
      <c r="O57" s="91">
        <f t="shared" si="29"/>
        <v>2134.1463414634145</v>
      </c>
      <c r="P57" s="91">
        <f t="shared" si="30"/>
        <v>1414.6341463414635</v>
      </c>
      <c r="Q57" s="79">
        <v>3</v>
      </c>
      <c r="R57" s="79">
        <v>2</v>
      </c>
      <c r="S57" s="79" t="s">
        <v>62</v>
      </c>
      <c r="T57" s="5" t="s">
        <v>96</v>
      </c>
      <c r="U57" s="9"/>
      <c r="W57" s="86">
        <f t="shared" si="31"/>
        <v>134.30000000000001</v>
      </c>
      <c r="X57" s="87">
        <f t="shared" si="31"/>
        <v>41</v>
      </c>
      <c r="Y57" s="92">
        <f t="shared" si="32"/>
        <v>57</v>
      </c>
      <c r="Z57" s="90">
        <f t="shared" si="32"/>
        <v>87500</v>
      </c>
      <c r="AA57" s="90">
        <f t="shared" si="33"/>
        <v>58000</v>
      </c>
      <c r="AB57" s="90">
        <f t="shared" si="34"/>
        <v>29500</v>
      </c>
      <c r="AC57" s="4">
        <f t="shared" si="34"/>
        <v>0.66285714285714281</v>
      </c>
      <c r="AD57" s="91">
        <f t="shared" si="34"/>
        <v>2134.1463414634145</v>
      </c>
      <c r="AE57" s="79" t="str">
        <f t="shared" si="35"/>
        <v>계</v>
      </c>
      <c r="AF57" s="79" t="str">
        <f t="shared" si="36"/>
        <v>3/2</v>
      </c>
      <c r="AH57" s="20" t="str">
        <f t="shared" si="19"/>
        <v>청주가경아이파크2단지</v>
      </c>
      <c r="AI57" s="87">
        <f t="shared" si="18"/>
        <v>41</v>
      </c>
      <c r="AJ57" s="79" t="str">
        <f t="shared" si="37"/>
        <v>A-</v>
      </c>
      <c r="AK57" s="79" t="s">
        <v>13</v>
      </c>
      <c r="AL57" s="79" t="s">
        <v>60</v>
      </c>
      <c r="AM57" s="79" t="s">
        <v>61</v>
      </c>
      <c r="AN57" s="79" t="str">
        <f t="shared" si="38"/>
        <v>C</v>
      </c>
      <c r="AO57" s="79" t="str">
        <f t="shared" si="39"/>
        <v>X</v>
      </c>
      <c r="AP57" s="79" t="str">
        <f t="shared" si="40"/>
        <v>X</v>
      </c>
      <c r="AQ57" s="79" t="str">
        <f t="shared" si="41"/>
        <v>X</v>
      </c>
      <c r="AR57" s="79" t="str">
        <f t="shared" si="42"/>
        <v>X</v>
      </c>
      <c r="AS57" s="79" t="s">
        <v>2</v>
      </c>
      <c r="AT57" s="79" t="str">
        <f t="shared" si="43"/>
        <v>X</v>
      </c>
      <c r="AU57" s="79" t="str">
        <f t="shared" si="44"/>
        <v>O</v>
      </c>
      <c r="AV57" s="79" t="str">
        <f t="shared" si="45"/>
        <v>X</v>
      </c>
    </row>
    <row r="58" spans="1:48" x14ac:dyDescent="0.3">
      <c r="A58" s="9" t="s">
        <v>288</v>
      </c>
      <c r="B58" s="10" t="s">
        <v>1346</v>
      </c>
      <c r="C58" s="88">
        <v>664</v>
      </c>
      <c r="D58" s="86">
        <v>154.1</v>
      </c>
      <c r="E58" s="87">
        <v>47</v>
      </c>
      <c r="F58" s="86">
        <v>119.8</v>
      </c>
      <c r="G58" s="17">
        <v>36</v>
      </c>
      <c r="H58" s="88">
        <v>5</v>
      </c>
      <c r="I58" s="89">
        <v>125000</v>
      </c>
      <c r="J58" s="89" t="s">
        <v>89</v>
      </c>
      <c r="K58" s="89"/>
      <c r="L58" s="89"/>
      <c r="M58" s="90">
        <f t="shared" si="27"/>
        <v>125000</v>
      </c>
      <c r="N58" s="4">
        <f t="shared" si="28"/>
        <v>0</v>
      </c>
      <c r="O58" s="91">
        <f t="shared" si="29"/>
        <v>2659.5744680851062</v>
      </c>
      <c r="P58" s="91">
        <f t="shared" si="30"/>
        <v>0</v>
      </c>
      <c r="Q58" s="79">
        <v>4</v>
      </c>
      <c r="R58" s="79">
        <v>3</v>
      </c>
      <c r="S58" s="79" t="s">
        <v>62</v>
      </c>
      <c r="T58" s="5">
        <v>154</v>
      </c>
      <c r="U58" s="9"/>
      <c r="W58" s="86">
        <f t="shared" si="31"/>
        <v>154.1</v>
      </c>
      <c r="X58" s="87">
        <f t="shared" si="31"/>
        <v>47</v>
      </c>
      <c r="Y58" s="92">
        <f t="shared" si="32"/>
        <v>5</v>
      </c>
      <c r="Z58" s="90">
        <f t="shared" si="32"/>
        <v>125000</v>
      </c>
      <c r="AA58" s="90">
        <f t="shared" si="33"/>
        <v>0</v>
      </c>
      <c r="AB58" s="90">
        <f t="shared" si="34"/>
        <v>125000</v>
      </c>
      <c r="AC58" s="4">
        <f t="shared" si="34"/>
        <v>0</v>
      </c>
      <c r="AD58" s="91">
        <f t="shared" si="34"/>
        <v>2659.5744680851062</v>
      </c>
      <c r="AE58" s="79" t="str">
        <f t="shared" si="35"/>
        <v>계</v>
      </c>
      <c r="AF58" s="79" t="str">
        <f t="shared" si="36"/>
        <v>4/3</v>
      </c>
      <c r="AH58" s="20" t="str">
        <f t="shared" si="19"/>
        <v>청주가경아이파크2단지</v>
      </c>
      <c r="AI58" s="87">
        <f t="shared" si="18"/>
        <v>47</v>
      </c>
      <c r="AJ58" s="79" t="str">
        <f t="shared" si="37"/>
        <v>A-</v>
      </c>
      <c r="AK58" s="79" t="s">
        <v>13</v>
      </c>
      <c r="AL58" s="79" t="s">
        <v>60</v>
      </c>
      <c r="AM58" s="79" t="s">
        <v>61</v>
      </c>
      <c r="AN58" s="79" t="str">
        <f t="shared" si="38"/>
        <v>C</v>
      </c>
      <c r="AO58" s="79" t="str">
        <f t="shared" si="39"/>
        <v>X</v>
      </c>
      <c r="AP58" s="79" t="str">
        <f t="shared" si="40"/>
        <v>X</v>
      </c>
      <c r="AQ58" s="79" t="str">
        <f t="shared" si="41"/>
        <v>X</v>
      </c>
      <c r="AR58" s="79" t="str">
        <f t="shared" si="42"/>
        <v>X</v>
      </c>
      <c r="AS58" s="79" t="s">
        <v>2</v>
      </c>
      <c r="AT58" s="79" t="str">
        <f t="shared" si="43"/>
        <v>X</v>
      </c>
      <c r="AU58" s="79" t="str">
        <f t="shared" si="44"/>
        <v>O</v>
      </c>
      <c r="AV58" s="79" t="str">
        <f t="shared" si="45"/>
        <v>X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가경동 청주가경뜨란채7단지('05.09.,370^)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9"/>
        <v/>
      </c>
      <c r="AI59" s="111" t="str">
        <f t="shared" si="18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293</v>
      </c>
      <c r="B60" s="10" t="s">
        <v>1347</v>
      </c>
      <c r="C60" s="88">
        <v>370</v>
      </c>
      <c r="D60" s="86">
        <v>98</v>
      </c>
      <c r="E60" s="87">
        <v>30</v>
      </c>
      <c r="F60" s="86">
        <v>75.2</v>
      </c>
      <c r="G60" s="17">
        <v>23</v>
      </c>
      <c r="H60" s="88">
        <v>30</v>
      </c>
      <c r="I60" s="89">
        <v>31500</v>
      </c>
      <c r="J60" s="89" t="s">
        <v>81</v>
      </c>
      <c r="K60" s="89"/>
      <c r="L60" s="89"/>
      <c r="M60" s="90">
        <f>I60-K60</f>
        <v>31500</v>
      </c>
      <c r="N60" s="4">
        <f>IF(ISERROR(K60/I60),"",K60/I60)</f>
        <v>0</v>
      </c>
      <c r="O60" s="91">
        <f>I60/E60</f>
        <v>1050</v>
      </c>
      <c r="P60" s="91">
        <f>K60/E60</f>
        <v>0</v>
      </c>
      <c r="Q60" s="79">
        <v>3</v>
      </c>
      <c r="R60" s="79">
        <v>2</v>
      </c>
      <c r="S60" s="79" t="s">
        <v>62</v>
      </c>
      <c r="T60" s="5">
        <v>97</v>
      </c>
      <c r="U60" s="9"/>
      <c r="W60" s="86">
        <f>D60</f>
        <v>98</v>
      </c>
      <c r="X60" s="87">
        <f>E60</f>
        <v>30</v>
      </c>
      <c r="Y60" s="92">
        <f>H60</f>
        <v>30</v>
      </c>
      <c r="Z60" s="90">
        <f>I60</f>
        <v>31500</v>
      </c>
      <c r="AA60" s="90">
        <f>K60</f>
        <v>0</v>
      </c>
      <c r="AB60" s="90">
        <f t="shared" ref="AB60:AD61" si="46">M60</f>
        <v>31500</v>
      </c>
      <c r="AC60" s="4">
        <f t="shared" si="46"/>
        <v>0</v>
      </c>
      <c r="AD60" s="91">
        <f t="shared" si="46"/>
        <v>1050</v>
      </c>
      <c r="AE60" s="79" t="str">
        <f>S60</f>
        <v>계</v>
      </c>
      <c r="AF60" s="79" t="str">
        <f>Q60&amp;"/"&amp;R60</f>
        <v>3/2</v>
      </c>
      <c r="AH60" s="20" t="str">
        <f t="shared" si="19"/>
        <v>청주가경뜨란채7단지</v>
      </c>
      <c r="AI60" s="87">
        <f t="shared" si="18"/>
        <v>30</v>
      </c>
      <c r="AJ60" s="79" t="str">
        <f>IF(AI60="","",$AJ$2)</f>
        <v>A-</v>
      </c>
      <c r="AK60" s="79" t="s">
        <v>13</v>
      </c>
      <c r="AL60" s="79" t="s">
        <v>60</v>
      </c>
      <c r="AM60" s="79" t="s">
        <v>61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x14ac:dyDescent="0.3">
      <c r="A61" s="9" t="s">
        <v>293</v>
      </c>
      <c r="B61" s="10" t="s">
        <v>1347</v>
      </c>
      <c r="C61" s="88">
        <v>370</v>
      </c>
      <c r="D61" s="86">
        <v>110.6</v>
      </c>
      <c r="E61" s="87">
        <v>33</v>
      </c>
      <c r="F61" s="86">
        <v>84.9</v>
      </c>
      <c r="G61" s="17">
        <v>26</v>
      </c>
      <c r="H61" s="88">
        <v>340</v>
      </c>
      <c r="I61" s="89">
        <v>33500</v>
      </c>
      <c r="J61" s="89" t="s">
        <v>97</v>
      </c>
      <c r="K61" s="89">
        <v>29000</v>
      </c>
      <c r="L61" s="89" t="s">
        <v>88</v>
      </c>
      <c r="M61" s="90">
        <f>I61-K61</f>
        <v>4500</v>
      </c>
      <c r="N61" s="4">
        <f>IF(ISERROR(K61/I61),"",K61/I61)</f>
        <v>0.86567164179104472</v>
      </c>
      <c r="O61" s="91">
        <f>I61/E61</f>
        <v>1015.1515151515151</v>
      </c>
      <c r="P61" s="91">
        <f>K61/E61</f>
        <v>878.78787878787875</v>
      </c>
      <c r="Q61" s="79">
        <v>3</v>
      </c>
      <c r="R61" s="79">
        <v>2</v>
      </c>
      <c r="S61" s="79" t="s">
        <v>62</v>
      </c>
      <c r="T61" s="5">
        <v>110</v>
      </c>
      <c r="U61" s="9"/>
      <c r="W61" s="86">
        <f>D61</f>
        <v>110.6</v>
      </c>
      <c r="X61" s="87">
        <f>E61</f>
        <v>33</v>
      </c>
      <c r="Y61" s="92">
        <f>H61</f>
        <v>340</v>
      </c>
      <c r="Z61" s="90">
        <f>I61</f>
        <v>33500</v>
      </c>
      <c r="AA61" s="90">
        <f>K61</f>
        <v>29000</v>
      </c>
      <c r="AB61" s="90">
        <f t="shared" si="46"/>
        <v>4500</v>
      </c>
      <c r="AC61" s="4">
        <f t="shared" si="46"/>
        <v>0.86567164179104472</v>
      </c>
      <c r="AD61" s="91">
        <f t="shared" si="46"/>
        <v>1015.1515151515151</v>
      </c>
      <c r="AE61" s="79" t="str">
        <f>S61</f>
        <v>계</v>
      </c>
      <c r="AF61" s="79" t="str">
        <f>Q61&amp;"/"&amp;R61</f>
        <v>3/2</v>
      </c>
      <c r="AH61" s="20" t="str">
        <f t="shared" si="19"/>
        <v>청주가경뜨란채7단지</v>
      </c>
      <c r="AI61" s="87">
        <f t="shared" si="18"/>
        <v>33</v>
      </c>
      <c r="AJ61" s="79" t="str">
        <f>IF(AI61="","",$AJ$2)</f>
        <v>A-</v>
      </c>
      <c r="AK61" s="79" t="s">
        <v>13</v>
      </c>
      <c r="AL61" s="79" t="s">
        <v>60</v>
      </c>
      <c r="AM61" s="79" t="s">
        <v>61</v>
      </c>
      <c r="AN61" s="79" t="str">
        <f>IF(AI61="","",$AN$2)</f>
        <v>C</v>
      </c>
      <c r="AO61" s="79" t="str">
        <f>IF(N61="","",IF(N61&gt;=$AO$1/100,"O","X"))</f>
        <v>O</v>
      </c>
      <c r="AP61" s="79" t="str">
        <f>IF(I61="","",IF(I61&lt;=$AP$1,"O","X"))</f>
        <v>O</v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>후보</v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가경동 가경아이파크5단지('23.02.,925^)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19"/>
        <v/>
      </c>
      <c r="AI62" s="111" t="str">
        <f t="shared" si="18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314</v>
      </c>
      <c r="B63" s="10" t="s">
        <v>1348</v>
      </c>
      <c r="C63" s="88">
        <v>925</v>
      </c>
      <c r="D63" s="86">
        <v>109.4</v>
      </c>
      <c r="E63" s="87">
        <v>33</v>
      </c>
      <c r="F63" s="86">
        <v>84.9</v>
      </c>
      <c r="G63" s="17">
        <v>26</v>
      </c>
      <c r="H63" s="88">
        <v>206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3</v>
      </c>
      <c r="R63" s="79">
        <v>2</v>
      </c>
      <c r="S63" s="79" t="s">
        <v>62</v>
      </c>
      <c r="T63" s="5" t="s">
        <v>67</v>
      </c>
      <c r="U63" s="9"/>
      <c r="W63" s="86">
        <f t="shared" ref="W63:X67" si="47">D63</f>
        <v>109.4</v>
      </c>
      <c r="X63" s="87">
        <f t="shared" si="47"/>
        <v>33</v>
      </c>
      <c r="Y63" s="92">
        <f t="shared" ref="Y63:Z67" si="48">H63</f>
        <v>206</v>
      </c>
      <c r="Z63" s="90">
        <f t="shared" si="48"/>
        <v>0</v>
      </c>
      <c r="AA63" s="90">
        <f>K63</f>
        <v>0</v>
      </c>
      <c r="AB63" s="90">
        <f t="shared" ref="AB63:AD67" si="49">M63</f>
        <v>0</v>
      </c>
      <c r="AC63" s="4" t="str">
        <f t="shared" si="49"/>
        <v/>
      </c>
      <c r="AD63" s="91">
        <f t="shared" si="49"/>
        <v>0</v>
      </c>
      <c r="AE63" s="79" t="str">
        <f>S63</f>
        <v>계</v>
      </c>
      <c r="AF63" s="79" t="str">
        <f>Q63&amp;"/"&amp;R63</f>
        <v>3/2</v>
      </c>
      <c r="AH63" s="20" t="str">
        <f t="shared" si="19"/>
        <v>가경아이파크5단지</v>
      </c>
      <c r="AI63" s="87">
        <f t="shared" si="18"/>
        <v>33</v>
      </c>
      <c r="AJ63" s="79" t="str">
        <f>IF(AI63="","",$AJ$2)</f>
        <v>A-</v>
      </c>
      <c r="AK63" s="79" t="s">
        <v>13</v>
      </c>
      <c r="AL63" s="79" t="s">
        <v>60</v>
      </c>
      <c r="AM63" s="79" t="s">
        <v>61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x14ac:dyDescent="0.3">
      <c r="A64" s="9" t="s">
        <v>314</v>
      </c>
      <c r="B64" s="10" t="s">
        <v>1348</v>
      </c>
      <c r="C64" s="88">
        <v>925</v>
      </c>
      <c r="D64" s="86">
        <v>109.3</v>
      </c>
      <c r="E64" s="87">
        <v>33</v>
      </c>
      <c r="F64" s="86">
        <v>84.8</v>
      </c>
      <c r="G64" s="17">
        <v>26</v>
      </c>
      <c r="H64" s="88">
        <v>199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3</v>
      </c>
      <c r="R64" s="79">
        <v>2</v>
      </c>
      <c r="S64" s="79" t="s">
        <v>62</v>
      </c>
      <c r="T64" s="5" t="s">
        <v>98</v>
      </c>
      <c r="U64" s="9"/>
      <c r="W64" s="86">
        <f t="shared" si="47"/>
        <v>109.3</v>
      </c>
      <c r="X64" s="87">
        <f t="shared" si="47"/>
        <v>33</v>
      </c>
      <c r="Y64" s="92">
        <f t="shared" si="48"/>
        <v>199</v>
      </c>
      <c r="Z64" s="90">
        <f t="shared" si="48"/>
        <v>0</v>
      </c>
      <c r="AA64" s="90">
        <f>K64</f>
        <v>0</v>
      </c>
      <c r="AB64" s="90">
        <f t="shared" si="49"/>
        <v>0</v>
      </c>
      <c r="AC64" s="4" t="str">
        <f t="shared" si="49"/>
        <v/>
      </c>
      <c r="AD64" s="91">
        <f t="shared" si="49"/>
        <v>0</v>
      </c>
      <c r="AE64" s="79" t="str">
        <f>S64</f>
        <v>계</v>
      </c>
      <c r="AF64" s="79" t="str">
        <f>Q64&amp;"/"&amp;R64</f>
        <v>3/2</v>
      </c>
      <c r="AH64" s="20" t="str">
        <f t="shared" si="19"/>
        <v>가경아이파크5단지</v>
      </c>
      <c r="AI64" s="87">
        <f t="shared" si="18"/>
        <v>33</v>
      </c>
      <c r="AJ64" s="79" t="str">
        <f>IF(AI64="","",$AJ$2)</f>
        <v>A-</v>
      </c>
      <c r="AK64" s="79" t="s">
        <v>13</v>
      </c>
      <c r="AL64" s="79" t="s">
        <v>60</v>
      </c>
      <c r="AM64" s="79" t="s">
        <v>61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x14ac:dyDescent="0.3">
      <c r="A65" s="9" t="s">
        <v>314</v>
      </c>
      <c r="B65" s="10" t="s">
        <v>1348</v>
      </c>
      <c r="C65" s="88">
        <v>925</v>
      </c>
      <c r="D65" s="86">
        <v>109.1</v>
      </c>
      <c r="E65" s="87">
        <v>33</v>
      </c>
      <c r="F65" s="86">
        <v>84.9</v>
      </c>
      <c r="G65" s="17">
        <v>26</v>
      </c>
      <c r="H65" s="88">
        <v>177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3</v>
      </c>
      <c r="R65" s="79">
        <v>2</v>
      </c>
      <c r="S65" s="79" t="s">
        <v>62</v>
      </c>
      <c r="T65" s="5" t="s">
        <v>66</v>
      </c>
      <c r="U65" s="9"/>
      <c r="W65" s="86">
        <f t="shared" si="47"/>
        <v>109.1</v>
      </c>
      <c r="X65" s="87">
        <f t="shared" si="47"/>
        <v>33</v>
      </c>
      <c r="Y65" s="92">
        <f t="shared" si="48"/>
        <v>177</v>
      </c>
      <c r="Z65" s="90">
        <f t="shared" si="48"/>
        <v>0</v>
      </c>
      <c r="AA65" s="90">
        <f>K65</f>
        <v>0</v>
      </c>
      <c r="AB65" s="90">
        <f t="shared" si="49"/>
        <v>0</v>
      </c>
      <c r="AC65" s="4" t="str">
        <f t="shared" si="49"/>
        <v/>
      </c>
      <c r="AD65" s="91">
        <f t="shared" si="49"/>
        <v>0</v>
      </c>
      <c r="AE65" s="79" t="str">
        <f>S65</f>
        <v>계</v>
      </c>
      <c r="AF65" s="79" t="str">
        <f>Q65&amp;"/"&amp;R65</f>
        <v>3/2</v>
      </c>
      <c r="AH65" s="20" t="str">
        <f t="shared" si="19"/>
        <v>가경아이파크5단지</v>
      </c>
      <c r="AI65" s="87">
        <f t="shared" si="18"/>
        <v>33</v>
      </c>
      <c r="AJ65" s="79" t="str">
        <f>IF(AI65="","",$AJ$2)</f>
        <v>A-</v>
      </c>
      <c r="AK65" s="79" t="s">
        <v>13</v>
      </c>
      <c r="AL65" s="79" t="s">
        <v>60</v>
      </c>
      <c r="AM65" s="79" t="s">
        <v>61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/>
      </c>
    </row>
    <row r="66" spans="1:48" x14ac:dyDescent="0.3">
      <c r="A66" s="9" t="s">
        <v>314</v>
      </c>
      <c r="B66" s="10" t="s">
        <v>1348</v>
      </c>
      <c r="C66" s="88">
        <v>925</v>
      </c>
      <c r="D66" s="86">
        <v>130.4</v>
      </c>
      <c r="E66" s="87">
        <v>39</v>
      </c>
      <c r="F66" s="86">
        <v>101.6</v>
      </c>
      <c r="G66" s="17">
        <v>31</v>
      </c>
      <c r="H66" s="88">
        <v>237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3</v>
      </c>
      <c r="R66" s="79">
        <v>2</v>
      </c>
      <c r="S66" s="79" t="s">
        <v>62</v>
      </c>
      <c r="T66" s="5">
        <v>130</v>
      </c>
      <c r="U66" s="9"/>
      <c r="W66" s="86">
        <f t="shared" si="47"/>
        <v>130.4</v>
      </c>
      <c r="X66" s="87">
        <f t="shared" si="47"/>
        <v>39</v>
      </c>
      <c r="Y66" s="92">
        <f t="shared" si="48"/>
        <v>237</v>
      </c>
      <c r="Z66" s="90">
        <f t="shared" si="48"/>
        <v>0</v>
      </c>
      <c r="AA66" s="90">
        <f>K66</f>
        <v>0</v>
      </c>
      <c r="AB66" s="90">
        <f t="shared" si="49"/>
        <v>0</v>
      </c>
      <c r="AC66" s="4" t="str">
        <f t="shared" si="49"/>
        <v/>
      </c>
      <c r="AD66" s="91">
        <f t="shared" si="49"/>
        <v>0</v>
      </c>
      <c r="AE66" s="79" t="str">
        <f>S66</f>
        <v>계</v>
      </c>
      <c r="AF66" s="79" t="str">
        <f>Q66&amp;"/"&amp;R66</f>
        <v>3/2</v>
      </c>
      <c r="AH66" s="20" t="str">
        <f t="shared" si="19"/>
        <v>가경아이파크5단지</v>
      </c>
      <c r="AI66" s="87">
        <f t="shared" si="18"/>
        <v>39</v>
      </c>
      <c r="AJ66" s="79" t="str">
        <f>IF(AI66="","",$AJ$2)</f>
        <v>A-</v>
      </c>
      <c r="AK66" s="79" t="s">
        <v>13</v>
      </c>
      <c r="AL66" s="79" t="s">
        <v>60</v>
      </c>
      <c r="AM66" s="79" t="s">
        <v>61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/>
      </c>
    </row>
    <row r="67" spans="1:48" x14ac:dyDescent="0.3">
      <c r="A67" s="9" t="s">
        <v>314</v>
      </c>
      <c r="B67" s="10" t="s">
        <v>1348</v>
      </c>
      <c r="C67" s="88">
        <v>925</v>
      </c>
      <c r="D67" s="86">
        <v>148.9</v>
      </c>
      <c r="E67" s="87">
        <v>45</v>
      </c>
      <c r="F67" s="86">
        <v>117</v>
      </c>
      <c r="G67" s="17">
        <v>35</v>
      </c>
      <c r="H67" s="88">
        <v>106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3</v>
      </c>
      <c r="R67" s="79">
        <v>2</v>
      </c>
      <c r="S67" s="79" t="s">
        <v>62</v>
      </c>
      <c r="T67" s="5">
        <v>148</v>
      </c>
      <c r="U67" s="9"/>
      <c r="W67" s="86">
        <f t="shared" si="47"/>
        <v>148.9</v>
      </c>
      <c r="X67" s="87">
        <f t="shared" si="47"/>
        <v>45</v>
      </c>
      <c r="Y67" s="92">
        <f t="shared" si="48"/>
        <v>106</v>
      </c>
      <c r="Z67" s="90">
        <f t="shared" si="48"/>
        <v>0</v>
      </c>
      <c r="AA67" s="90">
        <f>K67</f>
        <v>0</v>
      </c>
      <c r="AB67" s="90">
        <f t="shared" si="49"/>
        <v>0</v>
      </c>
      <c r="AC67" s="4" t="str">
        <f t="shared" si="49"/>
        <v/>
      </c>
      <c r="AD67" s="91">
        <f t="shared" si="49"/>
        <v>0</v>
      </c>
      <c r="AE67" s="79" t="str">
        <f>S67</f>
        <v>계</v>
      </c>
      <c r="AF67" s="79" t="str">
        <f>Q67&amp;"/"&amp;R67</f>
        <v>3/2</v>
      </c>
      <c r="AH67" s="20" t="str">
        <f t="shared" si="19"/>
        <v>가경아이파크5단지</v>
      </c>
      <c r="AI67" s="87">
        <f t="shared" ref="AI67:AI98" si="50">IF(E67="","",E67)</f>
        <v>45</v>
      </c>
      <c r="AJ67" s="79" t="str">
        <f>IF(AI67="","",$AJ$2)</f>
        <v>A-</v>
      </c>
      <c r="AK67" s="79" t="s">
        <v>13</v>
      </c>
      <c r="AL67" s="79" t="s">
        <v>60</v>
      </c>
      <c r="AM67" s="79" t="s">
        <v>61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X</v>
      </c>
      <c r="AU67" s="79" t="str">
        <f>IF(C67="","",IF(C67&gt;=$AU$1,"O","X"))</f>
        <v>O</v>
      </c>
      <c r="AV67" s="79" t="str">
        <f>IF(AO67="","",IF(AND(AO67="O",AP67="O",AR67="O",AT67="O",AU67="O"),"후보","X"))</f>
        <v/>
      </c>
    </row>
    <row r="68" spans="1:48" x14ac:dyDescent="0.3">
      <c r="A68" s="9"/>
      <c r="B68" s="79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가경동 대림가경('93.01.,386^)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9"/>
        <v/>
      </c>
      <c r="AI68" s="111" t="str">
        <f t="shared" si="50"/>
        <v/>
      </c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</row>
    <row r="69" spans="1:48" x14ac:dyDescent="0.3">
      <c r="A69" s="9" t="s">
        <v>318</v>
      </c>
      <c r="B69" s="10" t="s">
        <v>1349</v>
      </c>
      <c r="C69" s="88">
        <v>386</v>
      </c>
      <c r="D69" s="86">
        <v>80.5</v>
      </c>
      <c r="E69" s="87">
        <v>24</v>
      </c>
      <c r="F69" s="86">
        <v>64.7</v>
      </c>
      <c r="G69" s="17">
        <v>20</v>
      </c>
      <c r="H69" s="88">
        <v>60</v>
      </c>
      <c r="I69" s="89">
        <v>19000</v>
      </c>
      <c r="J69" s="89" t="s">
        <v>71</v>
      </c>
      <c r="K69" s="89"/>
      <c r="L69" s="89"/>
      <c r="M69" s="90">
        <f>I69-K69</f>
        <v>19000</v>
      </c>
      <c r="N69" s="4">
        <f>IF(ISERROR(K69/I69),"",K69/I69)</f>
        <v>0</v>
      </c>
      <c r="O69" s="91">
        <f>I69/E69</f>
        <v>791.66666666666663</v>
      </c>
      <c r="P69" s="91">
        <f>K69/E69</f>
        <v>0</v>
      </c>
      <c r="Q69" s="79">
        <v>3</v>
      </c>
      <c r="R69" s="79">
        <v>1</v>
      </c>
      <c r="S69" s="79" t="s">
        <v>62</v>
      </c>
      <c r="T69" s="5">
        <v>80</v>
      </c>
      <c r="U69" s="9"/>
      <c r="W69" s="86">
        <f t="shared" ref="W69:X71" si="51">D69</f>
        <v>80.5</v>
      </c>
      <c r="X69" s="87">
        <f t="shared" si="51"/>
        <v>24</v>
      </c>
      <c r="Y69" s="92">
        <f t="shared" ref="Y69:Z71" si="52">H69</f>
        <v>60</v>
      </c>
      <c r="Z69" s="90">
        <f t="shared" si="52"/>
        <v>19000</v>
      </c>
      <c r="AA69" s="90">
        <f>K69</f>
        <v>0</v>
      </c>
      <c r="AB69" s="90">
        <f t="shared" ref="AB69:AD71" si="53">M69</f>
        <v>19000</v>
      </c>
      <c r="AC69" s="4">
        <f t="shared" si="53"/>
        <v>0</v>
      </c>
      <c r="AD69" s="91">
        <f t="shared" si="53"/>
        <v>791.66666666666663</v>
      </c>
      <c r="AE69" s="79" t="str">
        <f>S69</f>
        <v>계</v>
      </c>
      <c r="AF69" s="79" t="str">
        <f>Q69&amp;"/"&amp;R69</f>
        <v>3/1</v>
      </c>
      <c r="AH69" s="20" t="str">
        <f t="shared" ref="AH69:AH100" si="54">IF(A69="","",A69)</f>
        <v>대림가경</v>
      </c>
      <c r="AI69" s="87">
        <f t="shared" si="50"/>
        <v>24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 t="s">
        <v>318</v>
      </c>
      <c r="B70" s="10" t="s">
        <v>1349</v>
      </c>
      <c r="C70" s="88">
        <v>386</v>
      </c>
      <c r="D70" s="86">
        <v>106.2</v>
      </c>
      <c r="E70" s="87">
        <v>32</v>
      </c>
      <c r="F70" s="86">
        <v>84.8</v>
      </c>
      <c r="G70" s="17">
        <v>26</v>
      </c>
      <c r="H70" s="88">
        <v>84</v>
      </c>
      <c r="I70" s="89"/>
      <c r="J70" s="89"/>
      <c r="K70" s="89"/>
      <c r="L70" s="89"/>
      <c r="M70" s="90">
        <f>I70-K70</f>
        <v>0</v>
      </c>
      <c r="N70" s="4" t="str">
        <f>IF(ISERROR(K70/I70),"",K70/I70)</f>
        <v/>
      </c>
      <c r="O70" s="91">
        <f>I70/E70</f>
        <v>0</v>
      </c>
      <c r="P70" s="91">
        <f>K70/E70</f>
        <v>0</v>
      </c>
      <c r="Q70" s="79">
        <v>3</v>
      </c>
      <c r="R70" s="79">
        <v>2</v>
      </c>
      <c r="S70" s="79" t="s">
        <v>62</v>
      </c>
      <c r="T70" s="5">
        <v>106</v>
      </c>
      <c r="U70" s="9"/>
      <c r="W70" s="86">
        <f t="shared" si="51"/>
        <v>106.2</v>
      </c>
      <c r="X70" s="87">
        <f t="shared" si="51"/>
        <v>32</v>
      </c>
      <c r="Y70" s="92">
        <f t="shared" si="52"/>
        <v>84</v>
      </c>
      <c r="Z70" s="90">
        <f t="shared" si="52"/>
        <v>0</v>
      </c>
      <c r="AA70" s="90">
        <f>K70</f>
        <v>0</v>
      </c>
      <c r="AB70" s="90">
        <f t="shared" si="53"/>
        <v>0</v>
      </c>
      <c r="AC70" s="4" t="str">
        <f t="shared" si="53"/>
        <v/>
      </c>
      <c r="AD70" s="91">
        <f t="shared" si="53"/>
        <v>0</v>
      </c>
      <c r="AE70" s="79" t="str">
        <f>S70</f>
        <v>계</v>
      </c>
      <c r="AF70" s="79" t="str">
        <f>Q70&amp;"/"&amp;R70</f>
        <v>3/2</v>
      </c>
      <c r="AH70" s="20" t="str">
        <f t="shared" si="54"/>
        <v>대림가경</v>
      </c>
      <c r="AI70" s="87">
        <f t="shared" si="50"/>
        <v>32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/>
      </c>
      <c r="AP70" s="79" t="str">
        <f>IF(I70="","",IF(I70&lt;=$AP$1,"O","X"))</f>
        <v/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/>
      </c>
    </row>
    <row r="71" spans="1:48" x14ac:dyDescent="0.3">
      <c r="A71" s="9" t="s">
        <v>318</v>
      </c>
      <c r="B71" s="10" t="s">
        <v>1349</v>
      </c>
      <c r="C71" s="88">
        <v>386</v>
      </c>
      <c r="D71" s="86">
        <v>122</v>
      </c>
      <c r="E71" s="87">
        <v>37</v>
      </c>
      <c r="F71" s="86">
        <v>101.8</v>
      </c>
      <c r="G71" s="17">
        <v>31</v>
      </c>
      <c r="H71" s="88">
        <v>242</v>
      </c>
      <c r="I71" s="89">
        <v>22000</v>
      </c>
      <c r="J71" s="89" t="s">
        <v>71</v>
      </c>
      <c r="K71" s="89"/>
      <c r="L71" s="89"/>
      <c r="M71" s="90">
        <f>I71-K71</f>
        <v>22000</v>
      </c>
      <c r="N71" s="4">
        <f>IF(ISERROR(K71/I71),"",K71/I71)</f>
        <v>0</v>
      </c>
      <c r="O71" s="91">
        <f>I71/E71</f>
        <v>594.59459459459458</v>
      </c>
      <c r="P71" s="91">
        <f>K71/E71</f>
        <v>0</v>
      </c>
      <c r="Q71" s="79">
        <v>4</v>
      </c>
      <c r="R71" s="79">
        <v>2</v>
      </c>
      <c r="S71" s="79" t="s">
        <v>62</v>
      </c>
      <c r="T71" s="5">
        <v>122</v>
      </c>
      <c r="U71" s="9"/>
      <c r="W71" s="86">
        <f t="shared" si="51"/>
        <v>122</v>
      </c>
      <c r="X71" s="87">
        <f t="shared" si="51"/>
        <v>37</v>
      </c>
      <c r="Y71" s="92">
        <f t="shared" si="52"/>
        <v>242</v>
      </c>
      <c r="Z71" s="90">
        <f t="shared" si="52"/>
        <v>22000</v>
      </c>
      <c r="AA71" s="90">
        <f>K71</f>
        <v>0</v>
      </c>
      <c r="AB71" s="90">
        <f t="shared" si="53"/>
        <v>22000</v>
      </c>
      <c r="AC71" s="4">
        <f t="shared" si="53"/>
        <v>0</v>
      </c>
      <c r="AD71" s="91">
        <f t="shared" si="53"/>
        <v>594.59459459459458</v>
      </c>
      <c r="AE71" s="79" t="str">
        <f>S71</f>
        <v>계</v>
      </c>
      <c r="AF71" s="79" t="str">
        <f>Q71&amp;"/"&amp;R71</f>
        <v>4/2</v>
      </c>
      <c r="AH71" s="20" t="str">
        <f t="shared" si="54"/>
        <v>대림가경</v>
      </c>
      <c r="AI71" s="87">
        <f t="shared" si="50"/>
        <v>37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X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가경동 청주가경아이파크('19.04.,905^)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54"/>
        <v/>
      </c>
      <c r="AI72" s="111" t="str">
        <f t="shared" si="50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323</v>
      </c>
      <c r="B73" s="10" t="s">
        <v>1350</v>
      </c>
      <c r="C73" s="88">
        <v>905</v>
      </c>
      <c r="D73" s="86">
        <v>79.3</v>
      </c>
      <c r="E73" s="87">
        <v>24</v>
      </c>
      <c r="F73" s="86">
        <v>59.8</v>
      </c>
      <c r="G73" s="17">
        <v>18</v>
      </c>
      <c r="H73" s="88">
        <v>240</v>
      </c>
      <c r="I73" s="89">
        <v>46000</v>
      </c>
      <c r="J73" s="89" t="s">
        <v>63</v>
      </c>
      <c r="K73" s="89">
        <v>33000</v>
      </c>
      <c r="L73" s="89" t="s">
        <v>193</v>
      </c>
      <c r="M73" s="90">
        <f t="shared" ref="M73:M79" si="55">I73-K73</f>
        <v>13000</v>
      </c>
      <c r="N73" s="4">
        <f t="shared" ref="N73:N79" si="56">IF(ISERROR(K73/I73),"",K73/I73)</f>
        <v>0.71739130434782605</v>
      </c>
      <c r="O73" s="91">
        <f t="shared" ref="O73:O79" si="57">I73/E73</f>
        <v>1916.6666666666667</v>
      </c>
      <c r="P73" s="91">
        <f t="shared" ref="P73:P79" si="58">K73/E73</f>
        <v>1375</v>
      </c>
      <c r="Q73" s="79">
        <v>3</v>
      </c>
      <c r="R73" s="79">
        <v>2</v>
      </c>
      <c r="S73" s="79" t="s">
        <v>62</v>
      </c>
      <c r="T73" s="5">
        <v>79</v>
      </c>
      <c r="U73" s="9"/>
      <c r="W73" s="86">
        <f t="shared" ref="W73:X79" si="59">D73</f>
        <v>79.3</v>
      </c>
      <c r="X73" s="87">
        <f t="shared" si="59"/>
        <v>24</v>
      </c>
      <c r="Y73" s="92">
        <f t="shared" ref="Y73:Z79" si="60">H73</f>
        <v>240</v>
      </c>
      <c r="Z73" s="90">
        <f t="shared" si="60"/>
        <v>46000</v>
      </c>
      <c r="AA73" s="90">
        <f t="shared" ref="AA73:AA79" si="61">K73</f>
        <v>33000</v>
      </c>
      <c r="AB73" s="90">
        <f t="shared" ref="AB73:AD79" si="62">M73</f>
        <v>13000</v>
      </c>
      <c r="AC73" s="4">
        <f t="shared" si="62"/>
        <v>0.71739130434782605</v>
      </c>
      <c r="AD73" s="91">
        <f t="shared" si="62"/>
        <v>1916.6666666666667</v>
      </c>
      <c r="AE73" s="79" t="str">
        <f t="shared" ref="AE73:AE79" si="63">S73</f>
        <v>계</v>
      </c>
      <c r="AF73" s="79" t="str">
        <f t="shared" ref="AF73:AF79" si="64">Q73&amp;"/"&amp;R73</f>
        <v>3/2</v>
      </c>
      <c r="AH73" s="20" t="str">
        <f t="shared" si="54"/>
        <v>청주가경아이파크</v>
      </c>
      <c r="AI73" s="87">
        <f t="shared" si="50"/>
        <v>24</v>
      </c>
      <c r="AJ73" s="79" t="str">
        <f t="shared" ref="AJ73:AJ79" si="65"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 t="shared" ref="AN73:AN79" si="66">IF(AI73="","",$AN$2)</f>
        <v>C</v>
      </c>
      <c r="AO73" s="79" t="str">
        <f t="shared" ref="AO73:AO79" si="67">IF(N73="","",IF(N73&gt;=$AO$1/100,"O","X"))</f>
        <v>X</v>
      </c>
      <c r="AP73" s="79" t="str">
        <f t="shared" ref="AP73:AP79" si="68">IF(I73="","",IF(I73&lt;=$AP$1,"O","X"))</f>
        <v>X</v>
      </c>
      <c r="AQ73" s="79" t="str">
        <f t="shared" ref="AQ73:AQ79" si="69">IF(O73="","",IF(O73&lt;=$AQ$1,"O","X"))</f>
        <v>X</v>
      </c>
      <c r="AR73" s="79" t="str">
        <f t="shared" ref="AR73:AR79" si="70">IF(M73="","",IF(M73&lt;=$AR$1,"O","X"))</f>
        <v>X</v>
      </c>
      <c r="AS73" s="79" t="s">
        <v>2</v>
      </c>
      <c r="AT73" s="79" t="str">
        <f t="shared" ref="AT73:AT79" si="71">IF(OR(F73="",AI73=""),"",IF(AND((F73&lt;=85),(AI73&gt;=15)),"O","X"))</f>
        <v>O</v>
      </c>
      <c r="AU73" s="79" t="str">
        <f t="shared" ref="AU73:AU79" si="72">IF(C73="","",IF(C73&gt;=$AU$1,"O","X"))</f>
        <v>O</v>
      </c>
      <c r="AV73" s="79" t="str">
        <f t="shared" ref="AV73:AV79" si="73">IF(AO73="","",IF(AND(AO73="O",AP73="O",AR73="O",AT73="O",AU73="O"),"후보","X"))</f>
        <v>X</v>
      </c>
    </row>
    <row r="74" spans="1:48" x14ac:dyDescent="0.3">
      <c r="A74" s="9" t="s">
        <v>323</v>
      </c>
      <c r="B74" s="10" t="s">
        <v>1350</v>
      </c>
      <c r="C74" s="88">
        <v>905</v>
      </c>
      <c r="D74" s="86">
        <v>95.7</v>
      </c>
      <c r="E74" s="87">
        <v>29</v>
      </c>
      <c r="F74" s="86">
        <v>72.5</v>
      </c>
      <c r="G74" s="17">
        <v>22</v>
      </c>
      <c r="H74" s="88">
        <v>152</v>
      </c>
      <c r="I74" s="89">
        <v>54000</v>
      </c>
      <c r="J74" s="89" t="s">
        <v>99</v>
      </c>
      <c r="K74" s="89">
        <v>39000</v>
      </c>
      <c r="L74" s="89" t="s">
        <v>71</v>
      </c>
      <c r="M74" s="90">
        <f t="shared" si="55"/>
        <v>15000</v>
      </c>
      <c r="N74" s="4">
        <f t="shared" si="56"/>
        <v>0.72222222222222221</v>
      </c>
      <c r="O74" s="91">
        <f t="shared" si="57"/>
        <v>1862.0689655172414</v>
      </c>
      <c r="P74" s="91">
        <f t="shared" si="58"/>
        <v>1344.8275862068965</v>
      </c>
      <c r="Q74" s="79">
        <v>3</v>
      </c>
      <c r="R74" s="79">
        <v>2</v>
      </c>
      <c r="S74" s="79" t="s">
        <v>62</v>
      </c>
      <c r="T74" s="5">
        <v>95</v>
      </c>
      <c r="U74" s="9"/>
      <c r="W74" s="86">
        <f t="shared" si="59"/>
        <v>95.7</v>
      </c>
      <c r="X74" s="87">
        <f t="shared" si="59"/>
        <v>29</v>
      </c>
      <c r="Y74" s="92">
        <f t="shared" si="60"/>
        <v>152</v>
      </c>
      <c r="Z74" s="90">
        <f t="shared" si="60"/>
        <v>54000</v>
      </c>
      <c r="AA74" s="90">
        <f t="shared" si="61"/>
        <v>39000</v>
      </c>
      <c r="AB74" s="90">
        <f t="shared" si="62"/>
        <v>15000</v>
      </c>
      <c r="AC74" s="4">
        <f t="shared" si="62"/>
        <v>0.72222222222222221</v>
      </c>
      <c r="AD74" s="91">
        <f t="shared" si="62"/>
        <v>1862.0689655172414</v>
      </c>
      <c r="AE74" s="79" t="str">
        <f t="shared" si="63"/>
        <v>계</v>
      </c>
      <c r="AF74" s="79" t="str">
        <f t="shared" si="64"/>
        <v>3/2</v>
      </c>
      <c r="AH74" s="20" t="str">
        <f t="shared" si="54"/>
        <v>청주가경아이파크</v>
      </c>
      <c r="AI74" s="87">
        <f t="shared" si="50"/>
        <v>29</v>
      </c>
      <c r="AJ74" s="79" t="str">
        <f t="shared" si="65"/>
        <v>A-</v>
      </c>
      <c r="AK74" s="79" t="s">
        <v>13</v>
      </c>
      <c r="AL74" s="79" t="s">
        <v>60</v>
      </c>
      <c r="AM74" s="79" t="s">
        <v>61</v>
      </c>
      <c r="AN74" s="79" t="str">
        <f t="shared" si="66"/>
        <v>C</v>
      </c>
      <c r="AO74" s="79" t="str">
        <f t="shared" si="67"/>
        <v>X</v>
      </c>
      <c r="AP74" s="79" t="str">
        <f t="shared" si="68"/>
        <v>X</v>
      </c>
      <c r="AQ74" s="79" t="str">
        <f t="shared" si="69"/>
        <v>X</v>
      </c>
      <c r="AR74" s="79" t="str">
        <f t="shared" si="70"/>
        <v>X</v>
      </c>
      <c r="AS74" s="79" t="s">
        <v>2</v>
      </c>
      <c r="AT74" s="79" t="str">
        <f t="shared" si="71"/>
        <v>O</v>
      </c>
      <c r="AU74" s="79" t="str">
        <f t="shared" si="72"/>
        <v>O</v>
      </c>
      <c r="AV74" s="79" t="str">
        <f t="shared" si="73"/>
        <v>X</v>
      </c>
    </row>
    <row r="75" spans="1:48" x14ac:dyDescent="0.3">
      <c r="A75" s="9" t="s">
        <v>323</v>
      </c>
      <c r="B75" s="10" t="s">
        <v>1350</v>
      </c>
      <c r="C75" s="88">
        <v>905</v>
      </c>
      <c r="D75" s="86">
        <v>110.3</v>
      </c>
      <c r="E75" s="87">
        <v>33</v>
      </c>
      <c r="F75" s="86">
        <v>84.7</v>
      </c>
      <c r="G75" s="17">
        <v>26</v>
      </c>
      <c r="H75" s="88">
        <v>413</v>
      </c>
      <c r="I75" s="89"/>
      <c r="J75" s="89"/>
      <c r="K75" s="89"/>
      <c r="L75" s="89"/>
      <c r="M75" s="90">
        <f t="shared" si="55"/>
        <v>0</v>
      </c>
      <c r="N75" s="4" t="str">
        <f t="shared" si="56"/>
        <v/>
      </c>
      <c r="O75" s="91">
        <f t="shared" si="57"/>
        <v>0</v>
      </c>
      <c r="P75" s="91">
        <f t="shared" si="58"/>
        <v>0</v>
      </c>
      <c r="Q75" s="79">
        <v>4</v>
      </c>
      <c r="R75" s="79">
        <v>2</v>
      </c>
      <c r="S75" s="79" t="s">
        <v>62</v>
      </c>
      <c r="T75" s="5">
        <v>110</v>
      </c>
      <c r="U75" s="9"/>
      <c r="W75" s="86">
        <f t="shared" si="59"/>
        <v>110.3</v>
      </c>
      <c r="X75" s="87">
        <f t="shared" si="59"/>
        <v>33</v>
      </c>
      <c r="Y75" s="92">
        <f t="shared" si="60"/>
        <v>413</v>
      </c>
      <c r="Z75" s="90">
        <f t="shared" si="60"/>
        <v>0</v>
      </c>
      <c r="AA75" s="90">
        <f t="shared" si="61"/>
        <v>0</v>
      </c>
      <c r="AB75" s="90">
        <f t="shared" si="62"/>
        <v>0</v>
      </c>
      <c r="AC75" s="4" t="str">
        <f t="shared" si="62"/>
        <v/>
      </c>
      <c r="AD75" s="91">
        <f t="shared" si="62"/>
        <v>0</v>
      </c>
      <c r="AE75" s="79" t="str">
        <f t="shared" si="63"/>
        <v>계</v>
      </c>
      <c r="AF75" s="79" t="str">
        <f t="shared" si="64"/>
        <v>4/2</v>
      </c>
      <c r="AH75" s="20" t="str">
        <f t="shared" si="54"/>
        <v>청주가경아이파크</v>
      </c>
      <c r="AI75" s="87">
        <f t="shared" si="50"/>
        <v>33</v>
      </c>
      <c r="AJ75" s="79" t="str">
        <f t="shared" si="65"/>
        <v>A-</v>
      </c>
      <c r="AK75" s="79" t="s">
        <v>13</v>
      </c>
      <c r="AL75" s="79" t="s">
        <v>60</v>
      </c>
      <c r="AM75" s="79" t="s">
        <v>61</v>
      </c>
      <c r="AN75" s="79" t="str">
        <f t="shared" si="66"/>
        <v>C</v>
      </c>
      <c r="AO75" s="79" t="str">
        <f t="shared" si="67"/>
        <v/>
      </c>
      <c r="AP75" s="79" t="str">
        <f t="shared" si="68"/>
        <v/>
      </c>
      <c r="AQ75" s="79" t="str">
        <f t="shared" si="69"/>
        <v>O</v>
      </c>
      <c r="AR75" s="79" t="str">
        <f t="shared" si="70"/>
        <v>O</v>
      </c>
      <c r="AS75" s="79" t="s">
        <v>2</v>
      </c>
      <c r="AT75" s="79" t="str">
        <f t="shared" si="71"/>
        <v>O</v>
      </c>
      <c r="AU75" s="79" t="str">
        <f t="shared" si="72"/>
        <v>O</v>
      </c>
      <c r="AV75" s="79" t="str">
        <f t="shared" si="73"/>
        <v/>
      </c>
    </row>
    <row r="76" spans="1:48" x14ac:dyDescent="0.3">
      <c r="A76" s="9" t="s">
        <v>323</v>
      </c>
      <c r="B76" s="10" t="s">
        <v>1350</v>
      </c>
      <c r="C76" s="88">
        <v>905</v>
      </c>
      <c r="D76" s="86">
        <v>128.30000000000001</v>
      </c>
      <c r="E76" s="87">
        <v>39</v>
      </c>
      <c r="F76" s="86">
        <v>98.8</v>
      </c>
      <c r="G76" s="17">
        <v>30</v>
      </c>
      <c r="H76" s="88">
        <v>47</v>
      </c>
      <c r="I76" s="89">
        <v>83000</v>
      </c>
      <c r="J76" s="89" t="s">
        <v>83</v>
      </c>
      <c r="K76" s="89"/>
      <c r="L76" s="89"/>
      <c r="M76" s="90">
        <f t="shared" si="55"/>
        <v>83000</v>
      </c>
      <c r="N76" s="4">
        <f t="shared" si="56"/>
        <v>0</v>
      </c>
      <c r="O76" s="91">
        <f t="shared" si="57"/>
        <v>2128.2051282051284</v>
      </c>
      <c r="P76" s="91">
        <f t="shared" si="58"/>
        <v>0</v>
      </c>
      <c r="Q76" s="79">
        <v>4</v>
      </c>
      <c r="R76" s="79">
        <v>2</v>
      </c>
      <c r="S76" s="79" t="s">
        <v>62</v>
      </c>
      <c r="T76" s="5">
        <v>128</v>
      </c>
      <c r="U76" s="9"/>
      <c r="W76" s="86">
        <f t="shared" si="59"/>
        <v>128.30000000000001</v>
      </c>
      <c r="X76" s="87">
        <f t="shared" si="59"/>
        <v>39</v>
      </c>
      <c r="Y76" s="92">
        <f t="shared" si="60"/>
        <v>47</v>
      </c>
      <c r="Z76" s="90">
        <f t="shared" si="60"/>
        <v>83000</v>
      </c>
      <c r="AA76" s="90">
        <f t="shared" si="61"/>
        <v>0</v>
      </c>
      <c r="AB76" s="90">
        <f t="shared" si="62"/>
        <v>83000</v>
      </c>
      <c r="AC76" s="4">
        <f t="shared" si="62"/>
        <v>0</v>
      </c>
      <c r="AD76" s="91">
        <f t="shared" si="62"/>
        <v>2128.2051282051284</v>
      </c>
      <c r="AE76" s="79" t="str">
        <f t="shared" si="63"/>
        <v>계</v>
      </c>
      <c r="AF76" s="79" t="str">
        <f t="shared" si="64"/>
        <v>4/2</v>
      </c>
      <c r="AH76" s="20" t="str">
        <f t="shared" si="54"/>
        <v>청주가경아이파크</v>
      </c>
      <c r="AI76" s="87">
        <f t="shared" si="50"/>
        <v>39</v>
      </c>
      <c r="AJ76" s="79" t="str">
        <f t="shared" si="65"/>
        <v>A-</v>
      </c>
      <c r="AK76" s="79" t="s">
        <v>13</v>
      </c>
      <c r="AL76" s="79" t="s">
        <v>60</v>
      </c>
      <c r="AM76" s="79" t="s">
        <v>61</v>
      </c>
      <c r="AN76" s="79" t="str">
        <f t="shared" si="66"/>
        <v>C</v>
      </c>
      <c r="AO76" s="79" t="str">
        <f t="shared" si="67"/>
        <v>X</v>
      </c>
      <c r="AP76" s="79" t="str">
        <f t="shared" si="68"/>
        <v>X</v>
      </c>
      <c r="AQ76" s="79" t="str">
        <f t="shared" si="69"/>
        <v>X</v>
      </c>
      <c r="AR76" s="79" t="str">
        <f t="shared" si="70"/>
        <v>X</v>
      </c>
      <c r="AS76" s="79" t="s">
        <v>2</v>
      </c>
      <c r="AT76" s="79" t="str">
        <f t="shared" si="71"/>
        <v>X</v>
      </c>
      <c r="AU76" s="79" t="str">
        <f t="shared" si="72"/>
        <v>O</v>
      </c>
      <c r="AV76" s="79" t="str">
        <f t="shared" si="73"/>
        <v>X</v>
      </c>
    </row>
    <row r="77" spans="1:48" x14ac:dyDescent="0.3">
      <c r="A77" s="9" t="s">
        <v>323</v>
      </c>
      <c r="B77" s="10" t="s">
        <v>1350</v>
      </c>
      <c r="C77" s="88">
        <v>905</v>
      </c>
      <c r="D77" s="86">
        <v>145</v>
      </c>
      <c r="E77" s="87">
        <v>44</v>
      </c>
      <c r="F77" s="86">
        <v>112.5</v>
      </c>
      <c r="G77" s="17">
        <v>34</v>
      </c>
      <c r="H77" s="88">
        <v>39</v>
      </c>
      <c r="I77" s="89">
        <v>86500</v>
      </c>
      <c r="J77" s="89" t="s">
        <v>92</v>
      </c>
      <c r="K77" s="89">
        <v>50000</v>
      </c>
      <c r="L77" s="89" t="s">
        <v>92</v>
      </c>
      <c r="M77" s="90">
        <f t="shared" si="55"/>
        <v>36500</v>
      </c>
      <c r="N77" s="4">
        <f t="shared" si="56"/>
        <v>0.5780346820809249</v>
      </c>
      <c r="O77" s="91">
        <f t="shared" si="57"/>
        <v>1965.909090909091</v>
      </c>
      <c r="P77" s="91">
        <f t="shared" si="58"/>
        <v>1136.3636363636363</v>
      </c>
      <c r="Q77" s="79">
        <v>4</v>
      </c>
      <c r="R77" s="79">
        <v>2</v>
      </c>
      <c r="S77" s="79" t="s">
        <v>62</v>
      </c>
      <c r="T77" s="5" t="s">
        <v>100</v>
      </c>
      <c r="U77" s="9"/>
      <c r="W77" s="86">
        <f t="shared" si="59"/>
        <v>145</v>
      </c>
      <c r="X77" s="87">
        <f t="shared" si="59"/>
        <v>44</v>
      </c>
      <c r="Y77" s="92">
        <f t="shared" si="60"/>
        <v>39</v>
      </c>
      <c r="Z77" s="90">
        <f t="shared" si="60"/>
        <v>86500</v>
      </c>
      <c r="AA77" s="90">
        <f t="shared" si="61"/>
        <v>50000</v>
      </c>
      <c r="AB77" s="90">
        <f t="shared" si="62"/>
        <v>36500</v>
      </c>
      <c r="AC77" s="4">
        <f t="shared" si="62"/>
        <v>0.5780346820809249</v>
      </c>
      <c r="AD77" s="91">
        <f t="shared" si="62"/>
        <v>1965.909090909091</v>
      </c>
      <c r="AE77" s="79" t="str">
        <f t="shared" si="63"/>
        <v>계</v>
      </c>
      <c r="AF77" s="79" t="str">
        <f t="shared" si="64"/>
        <v>4/2</v>
      </c>
      <c r="AH77" s="20" t="str">
        <f t="shared" si="54"/>
        <v>청주가경아이파크</v>
      </c>
      <c r="AI77" s="87">
        <f t="shared" si="50"/>
        <v>44</v>
      </c>
      <c r="AJ77" s="79" t="str">
        <f t="shared" si="65"/>
        <v>A-</v>
      </c>
      <c r="AK77" s="79" t="s">
        <v>13</v>
      </c>
      <c r="AL77" s="79" t="s">
        <v>60</v>
      </c>
      <c r="AM77" s="79" t="s">
        <v>61</v>
      </c>
      <c r="AN77" s="79" t="str">
        <f t="shared" si="66"/>
        <v>C</v>
      </c>
      <c r="AO77" s="79" t="str">
        <f t="shared" si="67"/>
        <v>X</v>
      </c>
      <c r="AP77" s="79" t="str">
        <f t="shared" si="68"/>
        <v>X</v>
      </c>
      <c r="AQ77" s="79" t="str">
        <f t="shared" si="69"/>
        <v>X</v>
      </c>
      <c r="AR77" s="79" t="str">
        <f t="shared" si="70"/>
        <v>X</v>
      </c>
      <c r="AS77" s="79" t="s">
        <v>2</v>
      </c>
      <c r="AT77" s="79" t="str">
        <f t="shared" si="71"/>
        <v>X</v>
      </c>
      <c r="AU77" s="79" t="str">
        <f t="shared" si="72"/>
        <v>O</v>
      </c>
      <c r="AV77" s="79" t="str">
        <f t="shared" si="73"/>
        <v>X</v>
      </c>
    </row>
    <row r="78" spans="1:48" x14ac:dyDescent="0.3">
      <c r="A78" s="9" t="s">
        <v>323</v>
      </c>
      <c r="B78" s="10" t="s">
        <v>1350</v>
      </c>
      <c r="C78" s="88">
        <v>905</v>
      </c>
      <c r="D78" s="86">
        <v>145.80000000000001</v>
      </c>
      <c r="E78" s="87">
        <v>44</v>
      </c>
      <c r="F78" s="86">
        <v>112</v>
      </c>
      <c r="G78" s="17">
        <v>34</v>
      </c>
      <c r="H78" s="88">
        <v>2</v>
      </c>
      <c r="I78" s="89"/>
      <c r="J78" s="89"/>
      <c r="K78" s="89"/>
      <c r="L78" s="89"/>
      <c r="M78" s="90">
        <f t="shared" si="55"/>
        <v>0</v>
      </c>
      <c r="N78" s="4" t="str">
        <f t="shared" si="56"/>
        <v/>
      </c>
      <c r="O78" s="91">
        <f t="shared" si="57"/>
        <v>0</v>
      </c>
      <c r="P78" s="91">
        <f t="shared" si="58"/>
        <v>0</v>
      </c>
      <c r="Q78" s="79">
        <v>5</v>
      </c>
      <c r="R78" s="79">
        <v>3</v>
      </c>
      <c r="S78" s="79" t="s">
        <v>62</v>
      </c>
      <c r="T78" s="5" t="s">
        <v>101</v>
      </c>
      <c r="U78" s="9"/>
      <c r="W78" s="86">
        <f t="shared" si="59"/>
        <v>145.80000000000001</v>
      </c>
      <c r="X78" s="87">
        <f t="shared" si="59"/>
        <v>44</v>
      </c>
      <c r="Y78" s="92">
        <f t="shared" si="60"/>
        <v>2</v>
      </c>
      <c r="Z78" s="90">
        <f t="shared" si="60"/>
        <v>0</v>
      </c>
      <c r="AA78" s="90">
        <f t="shared" si="61"/>
        <v>0</v>
      </c>
      <c r="AB78" s="90">
        <f t="shared" si="62"/>
        <v>0</v>
      </c>
      <c r="AC78" s="4" t="str">
        <f t="shared" si="62"/>
        <v/>
      </c>
      <c r="AD78" s="91">
        <f t="shared" si="62"/>
        <v>0</v>
      </c>
      <c r="AE78" s="79" t="str">
        <f t="shared" si="63"/>
        <v>계</v>
      </c>
      <c r="AF78" s="79" t="str">
        <f t="shared" si="64"/>
        <v>5/3</v>
      </c>
      <c r="AH78" s="20" t="str">
        <f t="shared" si="54"/>
        <v>청주가경아이파크</v>
      </c>
      <c r="AI78" s="87">
        <f t="shared" si="50"/>
        <v>44</v>
      </c>
      <c r="AJ78" s="79" t="str">
        <f t="shared" si="65"/>
        <v>A-</v>
      </c>
      <c r="AK78" s="79" t="s">
        <v>13</v>
      </c>
      <c r="AL78" s="79" t="s">
        <v>60</v>
      </c>
      <c r="AM78" s="79" t="s">
        <v>61</v>
      </c>
      <c r="AN78" s="79" t="str">
        <f t="shared" si="66"/>
        <v>C</v>
      </c>
      <c r="AO78" s="79" t="str">
        <f t="shared" si="67"/>
        <v/>
      </c>
      <c r="AP78" s="79" t="str">
        <f t="shared" si="68"/>
        <v/>
      </c>
      <c r="AQ78" s="79" t="str">
        <f t="shared" si="69"/>
        <v>O</v>
      </c>
      <c r="AR78" s="79" t="str">
        <f t="shared" si="70"/>
        <v>O</v>
      </c>
      <c r="AS78" s="79" t="s">
        <v>2</v>
      </c>
      <c r="AT78" s="79" t="str">
        <f t="shared" si="71"/>
        <v>X</v>
      </c>
      <c r="AU78" s="79" t="str">
        <f t="shared" si="72"/>
        <v>O</v>
      </c>
      <c r="AV78" s="79" t="str">
        <f t="shared" si="73"/>
        <v/>
      </c>
    </row>
    <row r="79" spans="1:48" x14ac:dyDescent="0.3">
      <c r="A79" s="9" t="s">
        <v>323</v>
      </c>
      <c r="B79" s="10" t="s">
        <v>1350</v>
      </c>
      <c r="C79" s="88">
        <v>905</v>
      </c>
      <c r="D79" s="86">
        <v>149</v>
      </c>
      <c r="E79" s="87">
        <v>45</v>
      </c>
      <c r="F79" s="86">
        <v>114.5</v>
      </c>
      <c r="G79" s="17">
        <v>35</v>
      </c>
      <c r="H79" s="88">
        <v>12</v>
      </c>
      <c r="I79" s="89">
        <v>93000</v>
      </c>
      <c r="J79" s="89" t="s">
        <v>89</v>
      </c>
      <c r="K79" s="89"/>
      <c r="L79" s="89"/>
      <c r="M79" s="90">
        <f t="shared" si="55"/>
        <v>93000</v>
      </c>
      <c r="N79" s="4">
        <f t="shared" si="56"/>
        <v>0</v>
      </c>
      <c r="O79" s="91">
        <f t="shared" si="57"/>
        <v>2066.6666666666665</v>
      </c>
      <c r="P79" s="91">
        <f t="shared" si="58"/>
        <v>0</v>
      </c>
      <c r="Q79" s="79">
        <v>5</v>
      </c>
      <c r="R79" s="79">
        <v>3</v>
      </c>
      <c r="S79" s="79" t="s">
        <v>62</v>
      </c>
      <c r="T79" s="5">
        <v>149</v>
      </c>
      <c r="U79" s="9"/>
      <c r="W79" s="86">
        <f t="shared" si="59"/>
        <v>149</v>
      </c>
      <c r="X79" s="87">
        <f t="shared" si="59"/>
        <v>45</v>
      </c>
      <c r="Y79" s="92">
        <f t="shared" si="60"/>
        <v>12</v>
      </c>
      <c r="Z79" s="90">
        <f t="shared" si="60"/>
        <v>93000</v>
      </c>
      <c r="AA79" s="90">
        <f t="shared" si="61"/>
        <v>0</v>
      </c>
      <c r="AB79" s="90">
        <f t="shared" si="62"/>
        <v>93000</v>
      </c>
      <c r="AC79" s="4">
        <f t="shared" si="62"/>
        <v>0</v>
      </c>
      <c r="AD79" s="91">
        <f t="shared" si="62"/>
        <v>2066.6666666666665</v>
      </c>
      <c r="AE79" s="79" t="str">
        <f t="shared" si="63"/>
        <v>계</v>
      </c>
      <c r="AF79" s="79" t="str">
        <f t="shared" si="64"/>
        <v>5/3</v>
      </c>
      <c r="AH79" s="20" t="str">
        <f t="shared" si="54"/>
        <v>청주가경아이파크</v>
      </c>
      <c r="AI79" s="87">
        <f t="shared" si="50"/>
        <v>45</v>
      </c>
      <c r="AJ79" s="79" t="str">
        <f t="shared" si="65"/>
        <v>A-</v>
      </c>
      <c r="AK79" s="79" t="s">
        <v>13</v>
      </c>
      <c r="AL79" s="79" t="s">
        <v>60</v>
      </c>
      <c r="AM79" s="79" t="s">
        <v>61</v>
      </c>
      <c r="AN79" s="79" t="str">
        <f t="shared" si="66"/>
        <v>C</v>
      </c>
      <c r="AO79" s="79" t="str">
        <f t="shared" si="67"/>
        <v>X</v>
      </c>
      <c r="AP79" s="79" t="str">
        <f t="shared" si="68"/>
        <v>X</v>
      </c>
      <c r="AQ79" s="79" t="str">
        <f t="shared" si="69"/>
        <v>X</v>
      </c>
      <c r="AR79" s="79" t="str">
        <f t="shared" si="70"/>
        <v>X</v>
      </c>
      <c r="AS79" s="79" t="s">
        <v>2</v>
      </c>
      <c r="AT79" s="79" t="str">
        <f t="shared" si="71"/>
        <v>X</v>
      </c>
      <c r="AU79" s="79" t="str">
        <f t="shared" si="72"/>
        <v>O</v>
      </c>
      <c r="AV79" s="79" t="str">
        <f t="shared" si="73"/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가경동 가경형석2차('93.11.,370^)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4"/>
        <v/>
      </c>
      <c r="AI80" s="111" t="str">
        <f t="shared" si="50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328</v>
      </c>
      <c r="B81" s="10" t="s">
        <v>1351</v>
      </c>
      <c r="C81" s="88">
        <v>370</v>
      </c>
      <c r="D81" s="86">
        <v>77.5</v>
      </c>
      <c r="E81" s="87">
        <v>23</v>
      </c>
      <c r="F81" s="86">
        <v>62.1</v>
      </c>
      <c r="G81" s="17">
        <v>19</v>
      </c>
      <c r="H81" s="88">
        <v>78</v>
      </c>
      <c r="I81" s="89">
        <v>16700</v>
      </c>
      <c r="J81" s="89" t="s">
        <v>83</v>
      </c>
      <c r="K81" s="89">
        <v>17000</v>
      </c>
      <c r="L81" s="89" t="s">
        <v>89</v>
      </c>
      <c r="M81" s="90">
        <f>I81-K81</f>
        <v>-300</v>
      </c>
      <c r="N81" s="4">
        <f>IF(ISERROR(K81/I81),"",K81/I81)</f>
        <v>1.0179640718562875</v>
      </c>
      <c r="O81" s="91">
        <f>I81/E81</f>
        <v>726.08695652173913</v>
      </c>
      <c r="P81" s="91">
        <f>K81/E81</f>
        <v>739.13043478260875</v>
      </c>
      <c r="Q81" s="79">
        <v>3</v>
      </c>
      <c r="R81" s="79">
        <v>1</v>
      </c>
      <c r="S81" s="79" t="s">
        <v>62</v>
      </c>
      <c r="T81" s="5">
        <v>77</v>
      </c>
      <c r="U81" s="9"/>
      <c r="W81" s="86">
        <f>D81</f>
        <v>77.5</v>
      </c>
      <c r="X81" s="87">
        <f>E81</f>
        <v>23</v>
      </c>
      <c r="Y81" s="92">
        <f>H81</f>
        <v>78</v>
      </c>
      <c r="Z81" s="90">
        <f>I81</f>
        <v>16700</v>
      </c>
      <c r="AA81" s="90">
        <f>K81</f>
        <v>17000</v>
      </c>
      <c r="AB81" s="90">
        <f t="shared" ref="AB81:AD82" si="74">M81</f>
        <v>-300</v>
      </c>
      <c r="AC81" s="4">
        <f t="shared" si="74"/>
        <v>1.0179640718562875</v>
      </c>
      <c r="AD81" s="91">
        <f t="shared" si="74"/>
        <v>726.08695652173913</v>
      </c>
      <c r="AE81" s="79" t="str">
        <f>S81</f>
        <v>계</v>
      </c>
      <c r="AF81" s="79" t="str">
        <f>Q81&amp;"/"&amp;R81</f>
        <v>3/1</v>
      </c>
      <c r="AH81" s="20" t="str">
        <f t="shared" si="54"/>
        <v>가경형석2차</v>
      </c>
      <c r="AI81" s="87">
        <f t="shared" si="50"/>
        <v>23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O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후보</v>
      </c>
    </row>
    <row r="82" spans="1:48" x14ac:dyDescent="0.3">
      <c r="A82" s="9" t="s">
        <v>328</v>
      </c>
      <c r="B82" s="10" t="s">
        <v>1351</v>
      </c>
      <c r="C82" s="88">
        <v>370</v>
      </c>
      <c r="D82" s="86">
        <v>102.2</v>
      </c>
      <c r="E82" s="87">
        <v>31</v>
      </c>
      <c r="F82" s="86">
        <v>83.3</v>
      </c>
      <c r="G82" s="17">
        <v>25</v>
      </c>
      <c r="H82" s="88">
        <v>292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102</v>
      </c>
      <c r="U82" s="9"/>
      <c r="W82" s="86">
        <f>D82</f>
        <v>102.2</v>
      </c>
      <c r="X82" s="87">
        <f>E82</f>
        <v>31</v>
      </c>
      <c r="Y82" s="92">
        <f>H82</f>
        <v>292</v>
      </c>
      <c r="Z82" s="90">
        <f>I82</f>
        <v>0</v>
      </c>
      <c r="AA82" s="90">
        <f>K82</f>
        <v>0</v>
      </c>
      <c r="AB82" s="90">
        <f t="shared" si="74"/>
        <v>0</v>
      </c>
      <c r="AC82" s="4" t="str">
        <f t="shared" si="74"/>
        <v/>
      </c>
      <c r="AD82" s="91">
        <f t="shared" si="74"/>
        <v>0</v>
      </c>
      <c r="AE82" s="79" t="str">
        <f>S82</f>
        <v>계</v>
      </c>
      <c r="AF82" s="79" t="str">
        <f>Q82&amp;"/"&amp;R82</f>
        <v>3/2</v>
      </c>
      <c r="AH82" s="20" t="str">
        <f t="shared" si="54"/>
        <v>가경형석2차</v>
      </c>
      <c r="AI82" s="87">
        <f t="shared" si="50"/>
        <v>31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/>
      </c>
      <c r="AP82" s="79" t="str">
        <f>IF(I82="","",IF(I82&lt;=$AP$1,"O","X"))</f>
        <v/>
      </c>
      <c r="AQ82" s="79" t="str">
        <f>IF(O82="","",IF(O82&lt;=$AQ$1,"O","X"))</f>
        <v>O</v>
      </c>
      <c r="AR82" s="79" t="str">
        <f>IF(M82="","",IF(M82&lt;=$AR$1,"O","X"))</f>
        <v>O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/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가경동 세원가경골('97.08.,952^)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4"/>
        <v/>
      </c>
      <c r="AI83" s="111" t="str">
        <f t="shared" si="50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333</v>
      </c>
      <c r="B84" s="10" t="s">
        <v>1352</v>
      </c>
      <c r="C84" s="88">
        <v>952</v>
      </c>
      <c r="D84" s="86">
        <v>61.6</v>
      </c>
      <c r="E84" s="87">
        <v>19</v>
      </c>
      <c r="F84" s="86">
        <v>41.9</v>
      </c>
      <c r="G84" s="17">
        <v>13</v>
      </c>
      <c r="H84" s="88">
        <v>126</v>
      </c>
      <c r="I84" s="89">
        <v>14000</v>
      </c>
      <c r="J84" s="89" t="s">
        <v>83</v>
      </c>
      <c r="K84" s="89">
        <v>12000</v>
      </c>
      <c r="L84" s="89" t="s">
        <v>92</v>
      </c>
      <c r="M84" s="90">
        <f>I84-K84</f>
        <v>2000</v>
      </c>
      <c r="N84" s="4">
        <f>IF(ISERROR(K84/I84),"",K84/I84)</f>
        <v>0.8571428571428571</v>
      </c>
      <c r="O84" s="91">
        <f>I84/E84</f>
        <v>736.84210526315792</v>
      </c>
      <c r="P84" s="91">
        <f>K84/E84</f>
        <v>631.57894736842104</v>
      </c>
      <c r="Q84" s="79">
        <v>2</v>
      </c>
      <c r="R84" s="79">
        <v>1</v>
      </c>
      <c r="S84" s="79" t="s">
        <v>59</v>
      </c>
      <c r="T84" s="5">
        <v>61</v>
      </c>
      <c r="U84" s="9"/>
      <c r="W84" s="86">
        <f>D84</f>
        <v>61.6</v>
      </c>
      <c r="X84" s="87">
        <f>E84</f>
        <v>19</v>
      </c>
      <c r="Y84" s="92">
        <f>H84</f>
        <v>126</v>
      </c>
      <c r="Z84" s="90">
        <f>I84</f>
        <v>14000</v>
      </c>
      <c r="AA84" s="90">
        <f>K84</f>
        <v>12000</v>
      </c>
      <c r="AB84" s="90">
        <f t="shared" ref="AB84:AD85" si="75">M84</f>
        <v>2000</v>
      </c>
      <c r="AC84" s="4">
        <f t="shared" si="75"/>
        <v>0.8571428571428571</v>
      </c>
      <c r="AD84" s="91">
        <f t="shared" si="75"/>
        <v>736.84210526315792</v>
      </c>
      <c r="AE84" s="79" t="str">
        <f>S84</f>
        <v>복</v>
      </c>
      <c r="AF84" s="79" t="str">
        <f>Q84&amp;"/"&amp;R84</f>
        <v>2/1</v>
      </c>
      <c r="AH84" s="20" t="str">
        <f t="shared" si="54"/>
        <v>세원가경골</v>
      </c>
      <c r="AI84" s="87">
        <f t="shared" si="50"/>
        <v>19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O</v>
      </c>
      <c r="AP84" s="79" t="str">
        <f>IF(I84="","",IF(I84&lt;=$AP$1,"O","X"))</f>
        <v>O</v>
      </c>
      <c r="AQ84" s="79" t="str">
        <f>IF(O84="","",IF(O84&lt;=$AQ$1,"O","X"))</f>
        <v>O</v>
      </c>
      <c r="AR84" s="79" t="str">
        <f>IF(M84="","",IF(M84&lt;=$AR$1,"O","X"))</f>
        <v>O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후보</v>
      </c>
    </row>
    <row r="85" spans="1:48" x14ac:dyDescent="0.3">
      <c r="A85" s="9" t="s">
        <v>333</v>
      </c>
      <c r="B85" s="10" t="s">
        <v>1352</v>
      </c>
      <c r="C85" s="88">
        <v>952</v>
      </c>
      <c r="D85" s="86">
        <v>75.599999999999994</v>
      </c>
      <c r="E85" s="87">
        <v>23</v>
      </c>
      <c r="F85" s="86">
        <v>59.8</v>
      </c>
      <c r="G85" s="17">
        <v>18</v>
      </c>
      <c r="H85" s="88">
        <v>826</v>
      </c>
      <c r="I85" s="89">
        <v>19000</v>
      </c>
      <c r="J85" s="89" t="s">
        <v>70</v>
      </c>
      <c r="K85" s="89">
        <v>17000</v>
      </c>
      <c r="L85" s="89" t="s">
        <v>97</v>
      </c>
      <c r="M85" s="90">
        <f>I85-K85</f>
        <v>2000</v>
      </c>
      <c r="N85" s="4">
        <f>IF(ISERROR(K85/I85),"",K85/I85)</f>
        <v>0.89473684210526316</v>
      </c>
      <c r="O85" s="91">
        <f>I85/E85</f>
        <v>826.08695652173913</v>
      </c>
      <c r="P85" s="91">
        <f>K85/E85</f>
        <v>739.13043478260875</v>
      </c>
      <c r="Q85" s="79">
        <v>3</v>
      </c>
      <c r="R85" s="79">
        <v>1</v>
      </c>
      <c r="S85" s="79" t="s">
        <v>62</v>
      </c>
      <c r="T85" s="5">
        <v>75</v>
      </c>
      <c r="U85" s="9"/>
      <c r="W85" s="86">
        <f>D85</f>
        <v>75.599999999999994</v>
      </c>
      <c r="X85" s="87">
        <f>E85</f>
        <v>23</v>
      </c>
      <c r="Y85" s="92">
        <f>H85</f>
        <v>826</v>
      </c>
      <c r="Z85" s="90">
        <f>I85</f>
        <v>19000</v>
      </c>
      <c r="AA85" s="90">
        <f>K85</f>
        <v>17000</v>
      </c>
      <c r="AB85" s="90">
        <f t="shared" si="75"/>
        <v>2000</v>
      </c>
      <c r="AC85" s="4">
        <f t="shared" si="75"/>
        <v>0.89473684210526316</v>
      </c>
      <c r="AD85" s="91">
        <f t="shared" si="75"/>
        <v>826.08695652173913</v>
      </c>
      <c r="AE85" s="79" t="str">
        <f>S85</f>
        <v>계</v>
      </c>
      <c r="AF85" s="79" t="str">
        <f>Q85&amp;"/"&amp;R85</f>
        <v>3/1</v>
      </c>
      <c r="AH85" s="20" t="str">
        <f t="shared" si="54"/>
        <v>세원가경골</v>
      </c>
      <c r="AI85" s="87">
        <f t="shared" si="50"/>
        <v>23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가경동 형석1차('92.12.,600^)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54"/>
        <v/>
      </c>
      <c r="AI86" s="111" t="str">
        <f t="shared" si="50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338</v>
      </c>
      <c r="B87" s="10" t="s">
        <v>1353</v>
      </c>
      <c r="C87" s="88">
        <v>600</v>
      </c>
      <c r="D87" s="86">
        <v>80.599999999999994</v>
      </c>
      <c r="E87" s="87">
        <v>24</v>
      </c>
      <c r="F87" s="86">
        <v>59.3</v>
      </c>
      <c r="G87" s="17">
        <v>18</v>
      </c>
      <c r="H87" s="88">
        <v>300</v>
      </c>
      <c r="I87" s="89">
        <v>15700</v>
      </c>
      <c r="J87" s="89" t="s">
        <v>97</v>
      </c>
      <c r="K87" s="89">
        <v>15000</v>
      </c>
      <c r="L87" s="89" t="s">
        <v>88</v>
      </c>
      <c r="M87" s="90">
        <f>I87-K87</f>
        <v>700</v>
      </c>
      <c r="N87" s="4">
        <f>IF(ISERROR(K87/I87),"",K87/I87)</f>
        <v>0.95541401273885351</v>
      </c>
      <c r="O87" s="91">
        <f>I87/E87</f>
        <v>654.16666666666663</v>
      </c>
      <c r="P87" s="91">
        <f>K87/E87</f>
        <v>625</v>
      </c>
      <c r="Q87" s="79">
        <v>3</v>
      </c>
      <c r="R87" s="79">
        <v>1</v>
      </c>
      <c r="S87" s="79" t="s">
        <v>62</v>
      </c>
      <c r="T87" s="5">
        <v>80</v>
      </c>
      <c r="U87" s="9"/>
      <c r="W87" s="86">
        <f>D87</f>
        <v>80.599999999999994</v>
      </c>
      <c r="X87" s="87">
        <f>E87</f>
        <v>24</v>
      </c>
      <c r="Y87" s="92">
        <f>H87</f>
        <v>300</v>
      </c>
      <c r="Z87" s="90">
        <f>I87</f>
        <v>15700</v>
      </c>
      <c r="AA87" s="90">
        <f>K87</f>
        <v>15000</v>
      </c>
      <c r="AB87" s="90">
        <f t="shared" ref="AB87:AD88" si="76">M87</f>
        <v>700</v>
      </c>
      <c r="AC87" s="4">
        <f t="shared" si="76"/>
        <v>0.95541401273885351</v>
      </c>
      <c r="AD87" s="91">
        <f t="shared" si="76"/>
        <v>654.16666666666663</v>
      </c>
      <c r="AE87" s="79" t="str">
        <f>S87</f>
        <v>계</v>
      </c>
      <c r="AF87" s="79" t="str">
        <f>Q87&amp;"/"&amp;R87</f>
        <v>3/1</v>
      </c>
      <c r="AH87" s="20" t="str">
        <f t="shared" si="54"/>
        <v>형석1차</v>
      </c>
      <c r="AI87" s="87">
        <f t="shared" si="50"/>
        <v>24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O</v>
      </c>
      <c r="AP87" s="79" t="str">
        <f>IF(I87="","",IF(I87&lt;=$AP$1,"O","X"))</f>
        <v>O</v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O</v>
      </c>
      <c r="AU87" s="79" t="str">
        <f>IF(C87="","",IF(C87&gt;=$AU$1,"O","X"))</f>
        <v>O</v>
      </c>
      <c r="AV87" s="79" t="str">
        <f>IF(AO87="","",IF(AND(AO87="O",AP87="O",AR87="O",AT87="O",AU87="O"),"후보","X"))</f>
        <v>후보</v>
      </c>
    </row>
    <row r="88" spans="1:48" x14ac:dyDescent="0.3">
      <c r="A88" s="9" t="s">
        <v>338</v>
      </c>
      <c r="B88" s="10" t="s">
        <v>1353</v>
      </c>
      <c r="C88" s="88">
        <v>600</v>
      </c>
      <c r="D88" s="86">
        <v>87.8</v>
      </c>
      <c r="E88" s="87">
        <v>27</v>
      </c>
      <c r="F88" s="86">
        <v>72.599999999999994</v>
      </c>
      <c r="G88" s="17">
        <v>22</v>
      </c>
      <c r="H88" s="88">
        <v>300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3</v>
      </c>
      <c r="R88" s="79">
        <v>1</v>
      </c>
      <c r="S88" s="79" t="s">
        <v>62</v>
      </c>
      <c r="T88" s="5">
        <v>87</v>
      </c>
      <c r="U88" s="9"/>
      <c r="W88" s="86">
        <f>D88</f>
        <v>87.8</v>
      </c>
      <c r="X88" s="87">
        <f>E88</f>
        <v>27</v>
      </c>
      <c r="Y88" s="92">
        <f>H88</f>
        <v>300</v>
      </c>
      <c r="Z88" s="90">
        <f>I88</f>
        <v>0</v>
      </c>
      <c r="AA88" s="90">
        <f>K88</f>
        <v>0</v>
      </c>
      <c r="AB88" s="90">
        <f t="shared" si="76"/>
        <v>0</v>
      </c>
      <c r="AC88" s="4" t="str">
        <f t="shared" si="76"/>
        <v/>
      </c>
      <c r="AD88" s="91">
        <f t="shared" si="76"/>
        <v>0</v>
      </c>
      <c r="AE88" s="79" t="str">
        <f>S88</f>
        <v>계</v>
      </c>
      <c r="AF88" s="79" t="str">
        <f>Q88&amp;"/"&amp;R88</f>
        <v>3/1</v>
      </c>
      <c r="AH88" s="20" t="str">
        <f t="shared" si="54"/>
        <v>형석1차</v>
      </c>
      <c r="AI88" s="87">
        <f t="shared" si="50"/>
        <v>27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O</v>
      </c>
      <c r="AV88" s="79" t="str">
        <f>IF(AO88="","",IF(AND(AO88="O",AP88="O",AR88="O",AT88="O",AU88="O"),"후보","X"))</f>
        <v/>
      </c>
    </row>
    <row r="89" spans="1:48" x14ac:dyDescent="0.3">
      <c r="A89" s="9"/>
      <c r="B89" s="79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가경동 벽산('92.12.,380^)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54"/>
        <v/>
      </c>
      <c r="AI89" s="111" t="str">
        <f t="shared" si="50"/>
        <v/>
      </c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</row>
    <row r="90" spans="1:48" x14ac:dyDescent="0.3">
      <c r="A90" s="9" t="s">
        <v>343</v>
      </c>
      <c r="B90" s="10" t="s">
        <v>1353</v>
      </c>
      <c r="C90" s="88">
        <v>380</v>
      </c>
      <c r="D90" s="86">
        <v>114.2</v>
      </c>
      <c r="E90" s="87">
        <v>35</v>
      </c>
      <c r="F90" s="86">
        <v>95.6</v>
      </c>
      <c r="G90" s="17">
        <v>29</v>
      </c>
      <c r="H90" s="88">
        <v>240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9">
        <v>3</v>
      </c>
      <c r="R90" s="79">
        <v>2</v>
      </c>
      <c r="S90" s="79" t="s">
        <v>62</v>
      </c>
      <c r="T90" s="5">
        <v>114</v>
      </c>
      <c r="U90" s="9"/>
      <c r="W90" s="86">
        <f>D90</f>
        <v>114.2</v>
      </c>
      <c r="X90" s="87">
        <f>E90</f>
        <v>35</v>
      </c>
      <c r="Y90" s="92">
        <f>H90</f>
        <v>240</v>
      </c>
      <c r="Z90" s="90">
        <f>I90</f>
        <v>0</v>
      </c>
      <c r="AA90" s="90">
        <f>K90</f>
        <v>0</v>
      </c>
      <c r="AB90" s="90">
        <f t="shared" ref="AB90:AD91" si="77">M90</f>
        <v>0</v>
      </c>
      <c r="AC90" s="4" t="str">
        <f t="shared" si="77"/>
        <v/>
      </c>
      <c r="AD90" s="91">
        <f t="shared" si="77"/>
        <v>0</v>
      </c>
      <c r="AE90" s="79" t="str">
        <f>S90</f>
        <v>계</v>
      </c>
      <c r="AF90" s="79" t="str">
        <f>Q90&amp;"/"&amp;R90</f>
        <v>3/2</v>
      </c>
      <c r="AH90" s="20" t="str">
        <f t="shared" si="54"/>
        <v>벽산</v>
      </c>
      <c r="AI90" s="87">
        <f t="shared" si="50"/>
        <v>35</v>
      </c>
      <c r="AJ90" s="79" t="str">
        <f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>IF(AI90="","",$AN$2)</f>
        <v>C</v>
      </c>
      <c r="AO90" s="79" t="str">
        <f>IF(N90="","",IF(N90&gt;=$AO$1/100,"O","X"))</f>
        <v/>
      </c>
      <c r="AP90" s="79" t="str">
        <f>IF(I90="","",IF(I90&lt;=$AP$1,"O","X"))</f>
        <v/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X</v>
      </c>
      <c r="AU90" s="79" t="str">
        <f>IF(C90="","",IF(C90&gt;=$AU$1,"O","X"))</f>
        <v>O</v>
      </c>
      <c r="AV90" s="79" t="str">
        <f>IF(AO90="","",IF(AND(AO90="O",AP90="O",AR90="O",AT90="O",AU90="O"),"후보","X"))</f>
        <v/>
      </c>
    </row>
    <row r="91" spans="1:48" x14ac:dyDescent="0.3">
      <c r="A91" s="9" t="s">
        <v>343</v>
      </c>
      <c r="B91" s="10" t="s">
        <v>1353</v>
      </c>
      <c r="C91" s="88">
        <v>380</v>
      </c>
      <c r="D91" s="86">
        <v>145.5</v>
      </c>
      <c r="E91" s="87">
        <v>44</v>
      </c>
      <c r="F91" s="86">
        <v>124.7</v>
      </c>
      <c r="G91" s="17">
        <v>38</v>
      </c>
      <c r="H91" s="88">
        <v>140</v>
      </c>
      <c r="I91" s="89">
        <v>29000</v>
      </c>
      <c r="J91" s="89" t="s">
        <v>88</v>
      </c>
      <c r="K91" s="89"/>
      <c r="L91" s="89"/>
      <c r="M91" s="90">
        <f>I91-K91</f>
        <v>29000</v>
      </c>
      <c r="N91" s="4">
        <f>IF(ISERROR(K91/I91),"",K91/I91)</f>
        <v>0</v>
      </c>
      <c r="O91" s="91">
        <f>I91/E91</f>
        <v>659.09090909090912</v>
      </c>
      <c r="P91" s="91">
        <f>K91/E91</f>
        <v>0</v>
      </c>
      <c r="Q91" s="79">
        <v>4</v>
      </c>
      <c r="R91" s="79">
        <v>2</v>
      </c>
      <c r="S91" s="79" t="s">
        <v>62</v>
      </c>
      <c r="T91" s="5">
        <v>145</v>
      </c>
      <c r="U91" s="9"/>
      <c r="W91" s="86">
        <f>D91</f>
        <v>145.5</v>
      </c>
      <c r="X91" s="87">
        <f>E91</f>
        <v>44</v>
      </c>
      <c r="Y91" s="92">
        <f>H91</f>
        <v>140</v>
      </c>
      <c r="Z91" s="90">
        <f>I91</f>
        <v>29000</v>
      </c>
      <c r="AA91" s="90">
        <f>K91</f>
        <v>0</v>
      </c>
      <c r="AB91" s="90">
        <f t="shared" si="77"/>
        <v>29000</v>
      </c>
      <c r="AC91" s="4">
        <f t="shared" si="77"/>
        <v>0</v>
      </c>
      <c r="AD91" s="91">
        <f t="shared" si="77"/>
        <v>659.09090909090912</v>
      </c>
      <c r="AE91" s="79" t="str">
        <f>S91</f>
        <v>계</v>
      </c>
      <c r="AF91" s="79" t="str">
        <f>Q91&amp;"/"&amp;R91</f>
        <v>4/2</v>
      </c>
      <c r="AH91" s="20" t="str">
        <f t="shared" si="54"/>
        <v>벽산</v>
      </c>
      <c r="AI91" s="87">
        <f t="shared" si="50"/>
        <v>44</v>
      </c>
      <c r="AJ91" s="79" t="str">
        <f>IF(AI91="","",$AJ$2)</f>
        <v>A-</v>
      </c>
      <c r="AK91" s="79" t="s">
        <v>13</v>
      </c>
      <c r="AL91" s="79" t="s">
        <v>60</v>
      </c>
      <c r="AM91" s="79" t="s">
        <v>61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X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x14ac:dyDescent="0.3">
      <c r="A92" s="9"/>
      <c r="B92" s="79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가경동 삼일원앙('97.06.,520^)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54"/>
        <v/>
      </c>
      <c r="AI92" s="111" t="str">
        <f t="shared" si="50"/>
        <v/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</row>
    <row r="93" spans="1:48" x14ac:dyDescent="0.3">
      <c r="A93" s="9" t="s">
        <v>347</v>
      </c>
      <c r="B93" s="10" t="s">
        <v>1354</v>
      </c>
      <c r="C93" s="88">
        <v>520</v>
      </c>
      <c r="D93" s="86">
        <v>74.8</v>
      </c>
      <c r="E93" s="87">
        <v>23</v>
      </c>
      <c r="F93" s="86">
        <v>59.9</v>
      </c>
      <c r="G93" s="17">
        <v>18</v>
      </c>
      <c r="H93" s="88">
        <v>400</v>
      </c>
      <c r="I93" s="89">
        <v>18500</v>
      </c>
      <c r="J93" s="89" t="s">
        <v>70</v>
      </c>
      <c r="K93" s="89">
        <v>18000</v>
      </c>
      <c r="L93" s="89" t="s">
        <v>102</v>
      </c>
      <c r="M93" s="90">
        <f>I93-K93</f>
        <v>500</v>
      </c>
      <c r="N93" s="4">
        <f>IF(ISERROR(K93/I93),"",K93/I93)</f>
        <v>0.97297297297297303</v>
      </c>
      <c r="O93" s="91">
        <f>I93/E93</f>
        <v>804.3478260869565</v>
      </c>
      <c r="P93" s="91">
        <f>K93/E93</f>
        <v>782.60869565217388</v>
      </c>
      <c r="Q93" s="79">
        <v>3</v>
      </c>
      <c r="R93" s="79">
        <v>1</v>
      </c>
      <c r="S93" s="79" t="s">
        <v>62</v>
      </c>
      <c r="T93" s="5" t="s">
        <v>103</v>
      </c>
      <c r="U93" s="9"/>
      <c r="W93" s="86">
        <f>D93</f>
        <v>74.8</v>
      </c>
      <c r="X93" s="87">
        <f>E93</f>
        <v>23</v>
      </c>
      <c r="Y93" s="92">
        <f>H93</f>
        <v>400</v>
      </c>
      <c r="Z93" s="90">
        <f>I93</f>
        <v>18500</v>
      </c>
      <c r="AA93" s="90">
        <f>K93</f>
        <v>18000</v>
      </c>
      <c r="AB93" s="90">
        <f t="shared" ref="AB93:AD94" si="78">M93</f>
        <v>500</v>
      </c>
      <c r="AC93" s="4">
        <f t="shared" si="78"/>
        <v>0.97297297297297303</v>
      </c>
      <c r="AD93" s="91">
        <f t="shared" si="78"/>
        <v>804.3478260869565</v>
      </c>
      <c r="AE93" s="79" t="str">
        <f>S93</f>
        <v>계</v>
      </c>
      <c r="AF93" s="79" t="str">
        <f>Q93&amp;"/"&amp;R93</f>
        <v>3/1</v>
      </c>
      <c r="AH93" s="20" t="str">
        <f t="shared" si="54"/>
        <v>삼일원앙</v>
      </c>
      <c r="AI93" s="87">
        <f t="shared" si="50"/>
        <v>23</v>
      </c>
      <c r="AJ93" s="79" t="str">
        <f>IF(AI93="","",$AJ$2)</f>
        <v>A-</v>
      </c>
      <c r="AK93" s="79" t="s">
        <v>13</v>
      </c>
      <c r="AL93" s="79" t="s">
        <v>60</v>
      </c>
      <c r="AM93" s="79" t="s">
        <v>61</v>
      </c>
      <c r="AN93" s="79" t="str">
        <f>IF(AI93="","",$AN$2)</f>
        <v>C</v>
      </c>
      <c r="AO93" s="79" t="str">
        <f>IF(N93="","",IF(N93&gt;=$AO$1/100,"O","X"))</f>
        <v>O</v>
      </c>
      <c r="AP93" s="79" t="str">
        <f>IF(I93="","",IF(I93&lt;=$AP$1,"O","X"))</f>
        <v>O</v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후보</v>
      </c>
    </row>
    <row r="94" spans="1:48" x14ac:dyDescent="0.3">
      <c r="A94" s="9" t="s">
        <v>347</v>
      </c>
      <c r="B94" s="10" t="s">
        <v>1354</v>
      </c>
      <c r="C94" s="88">
        <v>520</v>
      </c>
      <c r="D94" s="86">
        <v>74.900000000000006</v>
      </c>
      <c r="E94" s="87">
        <v>23</v>
      </c>
      <c r="F94" s="86">
        <v>59.9</v>
      </c>
      <c r="G94" s="17">
        <v>18</v>
      </c>
      <c r="H94" s="88">
        <v>120</v>
      </c>
      <c r="I94" s="89">
        <v>18000</v>
      </c>
      <c r="J94" s="89" t="s">
        <v>97</v>
      </c>
      <c r="K94" s="89">
        <v>17500</v>
      </c>
      <c r="L94" s="89" t="s">
        <v>83</v>
      </c>
      <c r="M94" s="90">
        <f>I94-K94</f>
        <v>500</v>
      </c>
      <c r="N94" s="4">
        <f>IF(ISERROR(K94/I94),"",K94/I94)</f>
        <v>0.97222222222222221</v>
      </c>
      <c r="O94" s="91">
        <f>I94/E94</f>
        <v>782.60869565217388</v>
      </c>
      <c r="P94" s="91">
        <f>K94/E94</f>
        <v>760.86956521739125</v>
      </c>
      <c r="Q94" s="79">
        <v>2</v>
      </c>
      <c r="R94" s="79">
        <v>2</v>
      </c>
      <c r="S94" s="79" t="s">
        <v>62</v>
      </c>
      <c r="T94" s="5" t="s">
        <v>104</v>
      </c>
      <c r="U94" s="9"/>
      <c r="W94" s="86">
        <f>D94</f>
        <v>74.900000000000006</v>
      </c>
      <c r="X94" s="87">
        <f>E94</f>
        <v>23</v>
      </c>
      <c r="Y94" s="92">
        <f>H94</f>
        <v>120</v>
      </c>
      <c r="Z94" s="90">
        <f>I94</f>
        <v>18000</v>
      </c>
      <c r="AA94" s="90">
        <f>K94</f>
        <v>17500</v>
      </c>
      <c r="AB94" s="90">
        <f t="shared" si="78"/>
        <v>500</v>
      </c>
      <c r="AC94" s="4">
        <f t="shared" si="78"/>
        <v>0.97222222222222221</v>
      </c>
      <c r="AD94" s="91">
        <f t="shared" si="78"/>
        <v>782.60869565217388</v>
      </c>
      <c r="AE94" s="79" t="str">
        <f>S94</f>
        <v>계</v>
      </c>
      <c r="AF94" s="79" t="str">
        <f>Q94&amp;"/"&amp;R94</f>
        <v>2/2</v>
      </c>
      <c r="AH94" s="20" t="str">
        <f t="shared" si="54"/>
        <v>삼일원앙</v>
      </c>
      <c r="AI94" s="87">
        <f t="shared" si="50"/>
        <v>23</v>
      </c>
      <c r="AJ94" s="79" t="str">
        <f>IF(AI94="","",$AJ$2)</f>
        <v>A-</v>
      </c>
      <c r="AK94" s="79" t="s">
        <v>13</v>
      </c>
      <c r="AL94" s="79" t="s">
        <v>60</v>
      </c>
      <c r="AM94" s="79" t="s">
        <v>61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가경동 가경신라('93.05.,324^)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4"/>
        <v/>
      </c>
      <c r="AI95" s="111" t="str">
        <f t="shared" si="50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352</v>
      </c>
      <c r="B96" s="10" t="s">
        <v>1355</v>
      </c>
      <c r="C96" s="88">
        <v>324</v>
      </c>
      <c r="D96" s="86">
        <v>83</v>
      </c>
      <c r="E96" s="87">
        <v>25</v>
      </c>
      <c r="F96" s="86">
        <v>64.900000000000006</v>
      </c>
      <c r="G96" s="17">
        <v>20</v>
      </c>
      <c r="H96" s="88">
        <v>48</v>
      </c>
      <c r="I96" s="89">
        <v>16500</v>
      </c>
      <c r="J96" s="89" t="s">
        <v>83</v>
      </c>
      <c r="K96" s="89">
        <v>15000</v>
      </c>
      <c r="L96" s="89" t="s">
        <v>88</v>
      </c>
      <c r="M96" s="90">
        <f>I96-K96</f>
        <v>1500</v>
      </c>
      <c r="N96" s="4">
        <f>IF(ISERROR(K96/I96),"",K96/I96)</f>
        <v>0.90909090909090906</v>
      </c>
      <c r="O96" s="91">
        <f>I96/E96</f>
        <v>660</v>
      </c>
      <c r="P96" s="91">
        <f>K96/E96</f>
        <v>600</v>
      </c>
      <c r="Q96" s="79">
        <v>2</v>
      </c>
      <c r="R96" s="79">
        <v>1</v>
      </c>
      <c r="S96" s="79" t="s">
        <v>62</v>
      </c>
      <c r="T96" s="5">
        <v>82</v>
      </c>
      <c r="U96" s="9"/>
      <c r="W96" s="86">
        <f t="shared" ref="W96:X99" si="79">D96</f>
        <v>83</v>
      </c>
      <c r="X96" s="87">
        <f t="shared" si="79"/>
        <v>25</v>
      </c>
      <c r="Y96" s="92">
        <f t="shared" ref="Y96:Z99" si="80">H96</f>
        <v>48</v>
      </c>
      <c r="Z96" s="90">
        <f t="shared" si="80"/>
        <v>16500</v>
      </c>
      <c r="AA96" s="90">
        <f>K96</f>
        <v>15000</v>
      </c>
      <c r="AB96" s="90">
        <f t="shared" ref="AB96:AD99" si="81">M96</f>
        <v>1500</v>
      </c>
      <c r="AC96" s="4">
        <f t="shared" si="81"/>
        <v>0.90909090909090906</v>
      </c>
      <c r="AD96" s="91">
        <f t="shared" si="81"/>
        <v>660</v>
      </c>
      <c r="AE96" s="79" t="str">
        <f>S96</f>
        <v>계</v>
      </c>
      <c r="AF96" s="79" t="str">
        <f>Q96&amp;"/"&amp;R96</f>
        <v>2/1</v>
      </c>
      <c r="AH96" s="20" t="str">
        <f t="shared" si="54"/>
        <v>가경신라</v>
      </c>
      <c r="AI96" s="87">
        <f t="shared" si="50"/>
        <v>25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>O</v>
      </c>
      <c r="AP96" s="79" t="str">
        <f>IF(I96="","",IF(I96&lt;=$AP$1,"O","X"))</f>
        <v>O</v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O</v>
      </c>
      <c r="AV96" s="79" t="str">
        <f>IF(AO96="","",IF(AND(AO96="O",AP96="O",AR96="O",AT96="O",AU96="O"),"후보","X"))</f>
        <v>후보</v>
      </c>
    </row>
    <row r="97" spans="1:48" x14ac:dyDescent="0.3">
      <c r="A97" s="9" t="s">
        <v>352</v>
      </c>
      <c r="B97" s="10" t="s">
        <v>1355</v>
      </c>
      <c r="C97" s="88">
        <v>324</v>
      </c>
      <c r="D97" s="86">
        <v>86.7</v>
      </c>
      <c r="E97" s="87">
        <v>26</v>
      </c>
      <c r="F97" s="86">
        <v>68.400000000000006</v>
      </c>
      <c r="G97" s="17">
        <v>21</v>
      </c>
      <c r="H97" s="88">
        <v>60</v>
      </c>
      <c r="I97" s="89">
        <v>16000</v>
      </c>
      <c r="J97" s="89" t="s">
        <v>79</v>
      </c>
      <c r="K97" s="89"/>
      <c r="L97" s="89"/>
      <c r="M97" s="90">
        <f>I97-K97</f>
        <v>16000</v>
      </c>
      <c r="N97" s="4">
        <f>IF(ISERROR(K97/I97),"",K97/I97)</f>
        <v>0</v>
      </c>
      <c r="O97" s="91">
        <f>I97/E97</f>
        <v>615.38461538461536</v>
      </c>
      <c r="P97" s="91">
        <f>K97/E97</f>
        <v>0</v>
      </c>
      <c r="Q97" s="79">
        <v>2</v>
      </c>
      <c r="R97" s="79">
        <v>1</v>
      </c>
      <c r="S97" s="79" t="s">
        <v>62</v>
      </c>
      <c r="T97" s="5" t="s">
        <v>105</v>
      </c>
      <c r="U97" s="9"/>
      <c r="W97" s="86">
        <f t="shared" si="79"/>
        <v>86.7</v>
      </c>
      <c r="X97" s="87">
        <f t="shared" si="79"/>
        <v>26</v>
      </c>
      <c r="Y97" s="92">
        <f t="shared" si="80"/>
        <v>60</v>
      </c>
      <c r="Z97" s="90">
        <f t="shared" si="80"/>
        <v>16000</v>
      </c>
      <c r="AA97" s="90">
        <f>K97</f>
        <v>0</v>
      </c>
      <c r="AB97" s="90">
        <f t="shared" si="81"/>
        <v>16000</v>
      </c>
      <c r="AC97" s="4">
        <f t="shared" si="81"/>
        <v>0</v>
      </c>
      <c r="AD97" s="91">
        <f t="shared" si="81"/>
        <v>615.38461538461536</v>
      </c>
      <c r="AE97" s="79" t="str">
        <f>S97</f>
        <v>계</v>
      </c>
      <c r="AF97" s="79" t="str">
        <f>Q97&amp;"/"&amp;R97</f>
        <v>2/1</v>
      </c>
      <c r="AH97" s="20" t="str">
        <f t="shared" si="54"/>
        <v>가경신라</v>
      </c>
      <c r="AI97" s="87">
        <f t="shared" si="50"/>
        <v>26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>X</v>
      </c>
      <c r="AP97" s="79" t="str">
        <f>IF(I97="","",IF(I97&lt;=$AP$1,"O","X"))</f>
        <v>O</v>
      </c>
      <c r="AQ97" s="79" t="str">
        <f>IF(O97="","",IF(O97&lt;=$AQ$1,"O","X"))</f>
        <v>O</v>
      </c>
      <c r="AR97" s="79" t="str">
        <f>IF(M97="","",IF(M97&lt;=$AR$1,"O","X"))</f>
        <v>X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O</v>
      </c>
      <c r="AV97" s="79" t="str">
        <f>IF(AO97="","",IF(AND(AO97="O",AP97="O",AR97="O",AT97="O",AU97="O"),"후보","X"))</f>
        <v>X</v>
      </c>
    </row>
    <row r="98" spans="1:48" x14ac:dyDescent="0.3">
      <c r="A98" s="9" t="s">
        <v>352</v>
      </c>
      <c r="B98" s="10" t="s">
        <v>1355</v>
      </c>
      <c r="C98" s="88">
        <v>324</v>
      </c>
      <c r="D98" s="86">
        <v>103.6</v>
      </c>
      <c r="E98" s="87">
        <v>31</v>
      </c>
      <c r="F98" s="86">
        <v>85</v>
      </c>
      <c r="G98" s="17">
        <v>26</v>
      </c>
      <c r="H98" s="88">
        <v>120</v>
      </c>
      <c r="I98" s="89">
        <v>22000</v>
      </c>
      <c r="J98" s="89" t="s">
        <v>92</v>
      </c>
      <c r="K98" s="89"/>
      <c r="L98" s="89"/>
      <c r="M98" s="90">
        <f>I98-K98</f>
        <v>22000</v>
      </c>
      <c r="N98" s="4">
        <f>IF(ISERROR(K98/I98),"",K98/I98)</f>
        <v>0</v>
      </c>
      <c r="O98" s="91">
        <f>I98/E98</f>
        <v>709.67741935483866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 t="s">
        <v>87</v>
      </c>
      <c r="U98" s="9"/>
      <c r="W98" s="86">
        <f t="shared" si="79"/>
        <v>103.6</v>
      </c>
      <c r="X98" s="87">
        <f t="shared" si="79"/>
        <v>31</v>
      </c>
      <c r="Y98" s="92">
        <f t="shared" si="80"/>
        <v>120</v>
      </c>
      <c r="Z98" s="90">
        <f t="shared" si="80"/>
        <v>22000</v>
      </c>
      <c r="AA98" s="90">
        <f>K98</f>
        <v>0</v>
      </c>
      <c r="AB98" s="90">
        <f t="shared" si="81"/>
        <v>22000</v>
      </c>
      <c r="AC98" s="4">
        <f t="shared" si="81"/>
        <v>0</v>
      </c>
      <c r="AD98" s="91">
        <f t="shared" si="81"/>
        <v>709.67741935483866</v>
      </c>
      <c r="AE98" s="79" t="str">
        <f>S98</f>
        <v>계</v>
      </c>
      <c r="AF98" s="79" t="str">
        <f>Q98&amp;"/"&amp;R98</f>
        <v>3/2</v>
      </c>
      <c r="AH98" s="20" t="str">
        <f t="shared" si="54"/>
        <v>가경신라</v>
      </c>
      <c r="AI98" s="87">
        <f t="shared" si="50"/>
        <v>31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>X</v>
      </c>
      <c r="AP98" s="79" t="str">
        <f>IF(I98="","",IF(I98&lt;=$AP$1,"O","X"))</f>
        <v>O</v>
      </c>
      <c r="AQ98" s="79" t="str">
        <f>IF(O98="","",IF(O98&lt;=$AQ$1,"O","X"))</f>
        <v>O</v>
      </c>
      <c r="AR98" s="79" t="str">
        <f>IF(M98="","",IF(M98&lt;=$AR$1,"O","X"))</f>
        <v>X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O</v>
      </c>
      <c r="AV98" s="79" t="str">
        <f>IF(AO98="","",IF(AND(AO98="O",AP98="O",AR98="O",AT98="O",AU98="O"),"후보","X"))</f>
        <v>X</v>
      </c>
    </row>
    <row r="99" spans="1:48" x14ac:dyDescent="0.3">
      <c r="A99" s="9" t="s">
        <v>352</v>
      </c>
      <c r="B99" s="10" t="s">
        <v>1355</v>
      </c>
      <c r="C99" s="88">
        <v>324</v>
      </c>
      <c r="D99" s="86">
        <v>103.3</v>
      </c>
      <c r="E99" s="87">
        <v>31</v>
      </c>
      <c r="F99" s="86">
        <v>84.9</v>
      </c>
      <c r="G99" s="17">
        <v>26</v>
      </c>
      <c r="H99" s="88">
        <v>96</v>
      </c>
      <c r="I99" s="89">
        <v>23000</v>
      </c>
      <c r="J99" s="89" t="s">
        <v>92</v>
      </c>
      <c r="K99" s="89"/>
      <c r="L99" s="89"/>
      <c r="M99" s="90">
        <f>I99-K99</f>
        <v>23000</v>
      </c>
      <c r="N99" s="4">
        <f>IF(ISERROR(K99/I99),"",K99/I99)</f>
        <v>0</v>
      </c>
      <c r="O99" s="91">
        <f>I99/E99</f>
        <v>741.93548387096769</v>
      </c>
      <c r="P99" s="91">
        <f>K99/E99</f>
        <v>0</v>
      </c>
      <c r="Q99" s="79">
        <v>3</v>
      </c>
      <c r="R99" s="79">
        <v>2</v>
      </c>
      <c r="S99" s="79" t="s">
        <v>62</v>
      </c>
      <c r="T99" s="5" t="s">
        <v>86</v>
      </c>
      <c r="U99" s="9"/>
      <c r="W99" s="86">
        <f t="shared" si="79"/>
        <v>103.3</v>
      </c>
      <c r="X99" s="87">
        <f t="shared" si="79"/>
        <v>31</v>
      </c>
      <c r="Y99" s="92">
        <f t="shared" si="80"/>
        <v>96</v>
      </c>
      <c r="Z99" s="90">
        <f t="shared" si="80"/>
        <v>23000</v>
      </c>
      <c r="AA99" s="90">
        <f>K99</f>
        <v>0</v>
      </c>
      <c r="AB99" s="90">
        <f t="shared" si="81"/>
        <v>23000</v>
      </c>
      <c r="AC99" s="4">
        <f t="shared" si="81"/>
        <v>0</v>
      </c>
      <c r="AD99" s="91">
        <f t="shared" si="81"/>
        <v>741.93548387096769</v>
      </c>
      <c r="AE99" s="79" t="str">
        <f>S99</f>
        <v>계</v>
      </c>
      <c r="AF99" s="79" t="str">
        <f>Q99&amp;"/"&amp;R99</f>
        <v>3/2</v>
      </c>
      <c r="AH99" s="20" t="str">
        <f t="shared" si="54"/>
        <v>가경신라</v>
      </c>
      <c r="AI99" s="87">
        <f t="shared" ref="AI99:AI125" si="82">IF(E99="","",E99)</f>
        <v>31</v>
      </c>
      <c r="AJ99" s="79" t="str">
        <f>IF(AI99="","",$AJ$2)</f>
        <v>A-</v>
      </c>
      <c r="AK99" s="79" t="s">
        <v>13</v>
      </c>
      <c r="AL99" s="79" t="s">
        <v>60</v>
      </c>
      <c r="AM99" s="79" t="s">
        <v>61</v>
      </c>
      <c r="AN99" s="79" t="str">
        <f>IF(AI99="","",$AN$2)</f>
        <v>C</v>
      </c>
      <c r="AO99" s="79" t="str">
        <f>IF(N99="","",IF(N99&gt;=$AO$1/100,"O","X"))</f>
        <v>X</v>
      </c>
      <c r="AP99" s="79" t="str">
        <f>IF(I99="","",IF(I99&lt;=$AP$1,"O","X"))</f>
        <v>O</v>
      </c>
      <c r="AQ99" s="79" t="str">
        <f>IF(O99="","",IF(O99&lt;=$AQ$1,"O","X"))</f>
        <v>O</v>
      </c>
      <c r="AR99" s="79" t="str">
        <f>IF(M99="","",IF(M99&lt;=$AR$1,"O","X"))</f>
        <v>X</v>
      </c>
      <c r="AS99" s="79" t="s">
        <v>2</v>
      </c>
      <c r="AT99" s="79" t="str">
        <f>IF(OR(F99="",AI99=""),"",IF(AND((F99&lt;=85),(AI99&gt;=15)),"O","X"))</f>
        <v>O</v>
      </c>
      <c r="AU99" s="79" t="str">
        <f>IF(C99="","",IF(C99&gt;=$AU$1,"O","X"))</f>
        <v>O</v>
      </c>
      <c r="AV99" s="79" t="str">
        <f>IF(AO99="","",IF(AND(AO99="O",AP99="O",AR99="O",AT99="O",AU99="O"),"후보","X"))</f>
        <v>X</v>
      </c>
    </row>
    <row r="100" spans="1:48" x14ac:dyDescent="0.3">
      <c r="A100" s="9"/>
      <c r="B100" s="79"/>
      <c r="C100" s="6"/>
      <c r="D100" s="9"/>
      <c r="E100" s="14"/>
      <c r="F100" s="86"/>
      <c r="G100" s="9"/>
      <c r="H100" s="9"/>
      <c r="I100" s="9"/>
      <c r="J100" s="9"/>
      <c r="K100" s="9"/>
      <c r="L100" s="9"/>
      <c r="M100" s="9"/>
      <c r="N100" s="9"/>
      <c r="O100" s="91"/>
      <c r="P100" s="91"/>
      <c r="Q100" s="87"/>
      <c r="R100" s="87"/>
      <c r="S100" s="9"/>
      <c r="T100" s="47"/>
      <c r="U100" s="9"/>
      <c r="W100" s="67" t="str">
        <f>$A$4&amp;" "&amp;A101&amp;"("&amp;B101&amp;","&amp;C101&amp;"^)"</f>
        <v>가경동 가로수마을호반베르디움('08.08.,459^)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4"/>
        <v/>
      </c>
      <c r="AI100" s="111" t="str">
        <f t="shared" si="82"/>
        <v/>
      </c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</row>
    <row r="101" spans="1:48" x14ac:dyDescent="0.3">
      <c r="A101" s="9" t="s">
        <v>357</v>
      </c>
      <c r="B101" s="10" t="s">
        <v>1356</v>
      </c>
      <c r="C101" s="88">
        <v>459</v>
      </c>
      <c r="D101" s="86">
        <v>111.6</v>
      </c>
      <c r="E101" s="87">
        <v>34</v>
      </c>
      <c r="F101" s="86">
        <v>84.9</v>
      </c>
      <c r="G101" s="17">
        <v>26</v>
      </c>
      <c r="H101" s="88">
        <v>80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9">
        <v>3</v>
      </c>
      <c r="R101" s="79">
        <v>2</v>
      </c>
      <c r="S101" s="79" t="s">
        <v>62</v>
      </c>
      <c r="T101" s="5">
        <v>111</v>
      </c>
      <c r="U101" s="9"/>
      <c r="W101" s="86">
        <f t="shared" ref="W101:X103" si="83">D101</f>
        <v>111.6</v>
      </c>
      <c r="X101" s="87">
        <f t="shared" si="83"/>
        <v>34</v>
      </c>
      <c r="Y101" s="92">
        <f t="shared" ref="Y101:Z103" si="84">H101</f>
        <v>80</v>
      </c>
      <c r="Z101" s="90">
        <f t="shared" si="84"/>
        <v>0</v>
      </c>
      <c r="AA101" s="90">
        <f>K101</f>
        <v>0</v>
      </c>
      <c r="AB101" s="90">
        <f t="shared" ref="AB101:AD103" si="85">M101</f>
        <v>0</v>
      </c>
      <c r="AC101" s="4" t="str">
        <f t="shared" si="85"/>
        <v/>
      </c>
      <c r="AD101" s="91">
        <f t="shared" si="85"/>
        <v>0</v>
      </c>
      <c r="AE101" s="79" t="str">
        <f>S101</f>
        <v>계</v>
      </c>
      <c r="AF101" s="79" t="str">
        <f>Q101&amp;"/"&amp;R101</f>
        <v>3/2</v>
      </c>
      <c r="AH101" s="20" t="str">
        <f t="shared" ref="AH101:AH125" si="86">IF(A101="","",A101)</f>
        <v>가로수마을호반베르디움</v>
      </c>
      <c r="AI101" s="87">
        <f t="shared" si="82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/>
      </c>
      <c r="AP101" s="79" t="str">
        <f>IF(I101="","",IF(I101&lt;=$AP$1,"O","X"))</f>
        <v/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/>
      </c>
    </row>
    <row r="102" spans="1:48" x14ac:dyDescent="0.3">
      <c r="A102" s="9" t="s">
        <v>357</v>
      </c>
      <c r="B102" s="10" t="s">
        <v>1356</v>
      </c>
      <c r="C102" s="88">
        <v>459</v>
      </c>
      <c r="D102" s="86">
        <v>112.7</v>
      </c>
      <c r="E102" s="87">
        <v>34</v>
      </c>
      <c r="F102" s="86">
        <v>85</v>
      </c>
      <c r="G102" s="17">
        <v>26</v>
      </c>
      <c r="H102" s="88">
        <v>259</v>
      </c>
      <c r="I102" s="89">
        <v>42500</v>
      </c>
      <c r="J102" s="89" t="s">
        <v>92</v>
      </c>
      <c r="K102" s="89"/>
      <c r="L102" s="89"/>
      <c r="M102" s="90">
        <f>I102-K102</f>
        <v>42500</v>
      </c>
      <c r="N102" s="4">
        <f>IF(ISERROR(K102/I102),"",K102/I102)</f>
        <v>0</v>
      </c>
      <c r="O102" s="91">
        <f>I102/E102</f>
        <v>1250</v>
      </c>
      <c r="P102" s="91">
        <f>K102/E102</f>
        <v>0</v>
      </c>
      <c r="Q102" s="79">
        <v>3</v>
      </c>
      <c r="R102" s="79">
        <v>2</v>
      </c>
      <c r="S102" s="79" t="s">
        <v>62</v>
      </c>
      <c r="T102" s="5" t="s">
        <v>106</v>
      </c>
      <c r="U102" s="9"/>
      <c r="W102" s="86">
        <f t="shared" si="83"/>
        <v>112.7</v>
      </c>
      <c r="X102" s="87">
        <f t="shared" si="83"/>
        <v>34</v>
      </c>
      <c r="Y102" s="92">
        <f t="shared" si="84"/>
        <v>259</v>
      </c>
      <c r="Z102" s="90">
        <f t="shared" si="84"/>
        <v>42500</v>
      </c>
      <c r="AA102" s="90">
        <f>K102</f>
        <v>0</v>
      </c>
      <c r="AB102" s="90">
        <f t="shared" si="85"/>
        <v>42500</v>
      </c>
      <c r="AC102" s="4">
        <f t="shared" si="85"/>
        <v>0</v>
      </c>
      <c r="AD102" s="91">
        <f t="shared" si="85"/>
        <v>1250</v>
      </c>
      <c r="AE102" s="79" t="str">
        <f>S102</f>
        <v>계</v>
      </c>
      <c r="AF102" s="79" t="str">
        <f>Q102&amp;"/"&amp;R102</f>
        <v>3/2</v>
      </c>
      <c r="AH102" s="20" t="str">
        <f t="shared" si="86"/>
        <v>가로수마을호반베르디움</v>
      </c>
      <c r="AI102" s="87">
        <f t="shared" si="82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>X</v>
      </c>
      <c r="AP102" s="79" t="str">
        <f>IF(I102="","",IF(I102&lt;=$AP$1,"O","X"))</f>
        <v>O</v>
      </c>
      <c r="AQ102" s="79" t="str">
        <f>IF(O102="","",IF(O102&lt;=$AQ$1,"O","X"))</f>
        <v>O</v>
      </c>
      <c r="AR102" s="79" t="str">
        <f>IF(M102="","",IF(M102&lt;=$AR$1,"O","X"))</f>
        <v>X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x14ac:dyDescent="0.3">
      <c r="A103" s="9" t="s">
        <v>357</v>
      </c>
      <c r="B103" s="10" t="s">
        <v>1356</v>
      </c>
      <c r="C103" s="88">
        <v>459</v>
      </c>
      <c r="D103" s="86">
        <v>112.8</v>
      </c>
      <c r="E103" s="87">
        <v>34</v>
      </c>
      <c r="F103" s="86">
        <v>85</v>
      </c>
      <c r="G103" s="17">
        <v>26</v>
      </c>
      <c r="H103" s="88">
        <v>120</v>
      </c>
      <c r="I103" s="89">
        <v>44000</v>
      </c>
      <c r="J103" s="89" t="s">
        <v>81</v>
      </c>
      <c r="K103" s="89">
        <v>37000</v>
      </c>
      <c r="L103" s="89" t="s">
        <v>92</v>
      </c>
      <c r="M103" s="90">
        <f>I103-K103</f>
        <v>7000</v>
      </c>
      <c r="N103" s="4">
        <f>IF(ISERROR(K103/I103),"",K103/I103)</f>
        <v>0.84090909090909094</v>
      </c>
      <c r="O103" s="91">
        <f>I103/E103</f>
        <v>1294.1176470588234</v>
      </c>
      <c r="P103" s="91">
        <f>K103/E103</f>
        <v>1088.2352941176471</v>
      </c>
      <c r="Q103" s="79">
        <v>3</v>
      </c>
      <c r="R103" s="79">
        <v>2</v>
      </c>
      <c r="S103" s="79" t="s">
        <v>62</v>
      </c>
      <c r="T103" s="5" t="s">
        <v>107</v>
      </c>
      <c r="U103" s="9"/>
      <c r="W103" s="86">
        <f t="shared" si="83"/>
        <v>112.8</v>
      </c>
      <c r="X103" s="87">
        <f t="shared" si="83"/>
        <v>34</v>
      </c>
      <c r="Y103" s="92">
        <f t="shared" si="84"/>
        <v>120</v>
      </c>
      <c r="Z103" s="90">
        <f t="shared" si="84"/>
        <v>44000</v>
      </c>
      <c r="AA103" s="90">
        <f>K103</f>
        <v>37000</v>
      </c>
      <c r="AB103" s="90">
        <f t="shared" si="85"/>
        <v>7000</v>
      </c>
      <c r="AC103" s="4">
        <f t="shared" si="85"/>
        <v>0.84090909090909094</v>
      </c>
      <c r="AD103" s="91">
        <f t="shared" si="85"/>
        <v>1294.1176470588234</v>
      </c>
      <c r="AE103" s="79" t="str">
        <f>S103</f>
        <v>계</v>
      </c>
      <c r="AF103" s="79" t="str">
        <f>Q103&amp;"/"&amp;R103</f>
        <v>3/2</v>
      </c>
      <c r="AH103" s="20" t="str">
        <f t="shared" si="86"/>
        <v>가로수마을호반베르디움</v>
      </c>
      <c r="AI103" s="87">
        <f t="shared" si="82"/>
        <v>34</v>
      </c>
      <c r="AJ103" s="79" t="str">
        <f>IF(AI103="","",$AJ$2)</f>
        <v>A-</v>
      </c>
      <c r="AK103" s="79" t="s">
        <v>13</v>
      </c>
      <c r="AL103" s="79" t="s">
        <v>60</v>
      </c>
      <c r="AM103" s="79" t="s">
        <v>61</v>
      </c>
      <c r="AN103" s="79" t="str">
        <f>IF(AI103="","",$AN$2)</f>
        <v>C</v>
      </c>
      <c r="AO103" s="79" t="str">
        <f>IF(N103="","",IF(N103&gt;=$AO$1/100,"O","X"))</f>
        <v>O</v>
      </c>
      <c r="AP103" s="79" t="str">
        <f>IF(I103="","",IF(I103&lt;=$AP$1,"O","X"))</f>
        <v>O</v>
      </c>
      <c r="AQ103" s="79" t="str">
        <f>IF(O103="","",IF(O103&lt;=$AQ$1,"O","X"))</f>
        <v>O</v>
      </c>
      <c r="AR103" s="79" t="str">
        <f>IF(M103="","",IF(M103&lt;=$AR$1,"O","X"))</f>
        <v>X</v>
      </c>
      <c r="AS103" s="79" t="s">
        <v>2</v>
      </c>
      <c r="AT103" s="79" t="str">
        <f>IF(OR(F103="",AI103=""),"",IF(AND((F103&lt;=85),(AI103&gt;=15)),"O","X"))</f>
        <v>O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>X</v>
      </c>
    </row>
    <row r="104" spans="1:48" x14ac:dyDescent="0.3">
      <c r="A104" s="9"/>
      <c r="B104" s="79"/>
      <c r="C104" s="6"/>
      <c r="D104" s="9"/>
      <c r="E104" s="14"/>
      <c r="F104" s="86"/>
      <c r="G104" s="9"/>
      <c r="H104" s="9"/>
      <c r="I104" s="9"/>
      <c r="J104" s="9"/>
      <c r="K104" s="9"/>
      <c r="L104" s="9"/>
      <c r="M104" s="9"/>
      <c r="N104" s="9"/>
      <c r="O104" s="91"/>
      <c r="P104" s="91"/>
      <c r="Q104" s="87"/>
      <c r="R104" s="87"/>
      <c r="S104" s="9"/>
      <c r="T104" s="47"/>
      <c r="U104" s="9"/>
      <c r="W104" s="67" t="str">
        <f>$A$4&amp;" "&amp;A105&amp;"("&amp;B105&amp;","&amp;C105&amp;"^)"</f>
        <v>가경동 진로('99.01.,320^)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86"/>
        <v/>
      </c>
      <c r="AI104" s="111" t="str">
        <f t="shared" si="82"/>
        <v/>
      </c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</row>
    <row r="105" spans="1:48" x14ac:dyDescent="0.3">
      <c r="A105" s="9" t="s">
        <v>362</v>
      </c>
      <c r="B105" s="10" t="s">
        <v>1357</v>
      </c>
      <c r="C105" s="88">
        <v>320</v>
      </c>
      <c r="D105" s="86">
        <v>119</v>
      </c>
      <c r="E105" s="87">
        <v>36</v>
      </c>
      <c r="F105" s="86">
        <v>99.8</v>
      </c>
      <c r="G105" s="17">
        <v>30</v>
      </c>
      <c r="H105" s="88">
        <v>148</v>
      </c>
      <c r="I105" s="89">
        <v>31000</v>
      </c>
      <c r="J105" s="89" t="s">
        <v>81</v>
      </c>
      <c r="K105" s="89"/>
      <c r="L105" s="89"/>
      <c r="M105" s="90">
        <f>I105-K105</f>
        <v>31000</v>
      </c>
      <c r="N105" s="4">
        <f>IF(ISERROR(K105/I105),"",K105/I105)</f>
        <v>0</v>
      </c>
      <c r="O105" s="91">
        <f>I105/E105</f>
        <v>861.11111111111109</v>
      </c>
      <c r="P105" s="91">
        <f>K105/E105</f>
        <v>0</v>
      </c>
      <c r="Q105" s="79">
        <v>3</v>
      </c>
      <c r="R105" s="79">
        <v>2</v>
      </c>
      <c r="S105" s="79" t="s">
        <v>62</v>
      </c>
      <c r="T105" s="5">
        <v>119</v>
      </c>
      <c r="U105" s="9"/>
      <c r="W105" s="86">
        <f>D105</f>
        <v>119</v>
      </c>
      <c r="X105" s="87">
        <f>E105</f>
        <v>36</v>
      </c>
      <c r="Y105" s="92">
        <f>H105</f>
        <v>148</v>
      </c>
      <c r="Z105" s="90">
        <f>I105</f>
        <v>31000</v>
      </c>
      <c r="AA105" s="90">
        <f>K105</f>
        <v>0</v>
      </c>
      <c r="AB105" s="90">
        <f t="shared" ref="AB105:AD106" si="87">M105</f>
        <v>31000</v>
      </c>
      <c r="AC105" s="4">
        <f t="shared" si="87"/>
        <v>0</v>
      </c>
      <c r="AD105" s="91">
        <f t="shared" si="87"/>
        <v>861.11111111111109</v>
      </c>
      <c r="AE105" s="79" t="str">
        <f>S105</f>
        <v>계</v>
      </c>
      <c r="AF105" s="79" t="str">
        <f>Q105&amp;"/"&amp;R105</f>
        <v>3/2</v>
      </c>
      <c r="AH105" s="20" t="str">
        <f t="shared" si="86"/>
        <v>진로</v>
      </c>
      <c r="AI105" s="87">
        <f t="shared" si="82"/>
        <v>36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>X</v>
      </c>
      <c r="AP105" s="79" t="str">
        <f>IF(I105="","",IF(I105&lt;=$AP$1,"O","X"))</f>
        <v>O</v>
      </c>
      <c r="AQ105" s="79" t="str">
        <f>IF(O105="","",IF(O105&lt;=$AQ$1,"O","X"))</f>
        <v>O</v>
      </c>
      <c r="AR105" s="79" t="str">
        <f>IF(M105="","",IF(M105&lt;=$AR$1,"O","X"))</f>
        <v>X</v>
      </c>
      <c r="AS105" s="79" t="s">
        <v>2</v>
      </c>
      <c r="AT105" s="79" t="str">
        <f>IF(OR(F105="",AI105=""),"",IF(AND((F105&lt;=85),(AI105&gt;=15)),"O","X"))</f>
        <v>X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>X</v>
      </c>
    </row>
    <row r="106" spans="1:48" x14ac:dyDescent="0.3">
      <c r="A106" s="9" t="s">
        <v>362</v>
      </c>
      <c r="B106" s="10" t="s">
        <v>1357</v>
      </c>
      <c r="C106" s="88">
        <v>320</v>
      </c>
      <c r="D106" s="86">
        <v>156.5</v>
      </c>
      <c r="E106" s="87">
        <v>47</v>
      </c>
      <c r="F106" s="86">
        <v>134.9</v>
      </c>
      <c r="G106" s="17">
        <v>41</v>
      </c>
      <c r="H106" s="88">
        <v>172</v>
      </c>
      <c r="I106" s="89">
        <v>36000</v>
      </c>
      <c r="J106" s="89" t="s">
        <v>97</v>
      </c>
      <c r="K106" s="89"/>
      <c r="L106" s="89"/>
      <c r="M106" s="90">
        <f>I106-K106</f>
        <v>36000</v>
      </c>
      <c r="N106" s="4">
        <f>IF(ISERROR(K106/I106),"",K106/I106)</f>
        <v>0</v>
      </c>
      <c r="O106" s="91">
        <f>I106/E106</f>
        <v>765.95744680851067</v>
      </c>
      <c r="P106" s="91">
        <f>K106/E106</f>
        <v>0</v>
      </c>
      <c r="Q106" s="79">
        <v>4</v>
      </c>
      <c r="R106" s="79">
        <v>2</v>
      </c>
      <c r="S106" s="79" t="s">
        <v>62</v>
      </c>
      <c r="T106" s="5">
        <v>156</v>
      </c>
      <c r="U106" s="9"/>
      <c r="W106" s="86">
        <f>D106</f>
        <v>156.5</v>
      </c>
      <c r="X106" s="87">
        <f>E106</f>
        <v>47</v>
      </c>
      <c r="Y106" s="92">
        <f>H106</f>
        <v>172</v>
      </c>
      <c r="Z106" s="90">
        <f>I106</f>
        <v>36000</v>
      </c>
      <c r="AA106" s="90">
        <f>K106</f>
        <v>0</v>
      </c>
      <c r="AB106" s="90">
        <f t="shared" si="87"/>
        <v>36000</v>
      </c>
      <c r="AC106" s="4">
        <f t="shared" si="87"/>
        <v>0</v>
      </c>
      <c r="AD106" s="91">
        <f t="shared" si="87"/>
        <v>765.95744680851067</v>
      </c>
      <c r="AE106" s="79" t="str">
        <f>S106</f>
        <v>계</v>
      </c>
      <c r="AF106" s="79" t="str">
        <f>Q106&amp;"/"&amp;R106</f>
        <v>4/2</v>
      </c>
      <c r="AH106" s="20" t="str">
        <f t="shared" si="86"/>
        <v>진로</v>
      </c>
      <c r="AI106" s="87">
        <f t="shared" si="82"/>
        <v>47</v>
      </c>
      <c r="AJ106" s="79" t="str">
        <f>IF(AI106="","",$AJ$2)</f>
        <v>A-</v>
      </c>
      <c r="AK106" s="79" t="s">
        <v>13</v>
      </c>
      <c r="AL106" s="79" t="s">
        <v>60</v>
      </c>
      <c r="AM106" s="79" t="s">
        <v>61</v>
      </c>
      <c r="AN106" s="79" t="str">
        <f>IF(AI106="","",$AN$2)</f>
        <v>C</v>
      </c>
      <c r="AO106" s="79" t="str">
        <f>IF(N106="","",IF(N106&gt;=$AO$1/100,"O","X"))</f>
        <v>X</v>
      </c>
      <c r="AP106" s="79" t="str">
        <f>IF(I106="","",IF(I106&lt;=$AP$1,"O","X"))</f>
        <v>O</v>
      </c>
      <c r="AQ106" s="79" t="str">
        <f>IF(O106="","",IF(O106&lt;=$AQ$1,"O","X"))</f>
        <v>O</v>
      </c>
      <c r="AR106" s="79" t="str">
        <f>IF(M106="","",IF(M106&lt;=$AR$1,"O","X"))</f>
        <v>X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O</v>
      </c>
      <c r="AV106" s="79" t="str">
        <f>IF(AO106="","",IF(AND(AO106="O",AP106="O",AR106="O",AT106="O",AU106="O"),"후보","X"))</f>
        <v>X</v>
      </c>
    </row>
    <row r="107" spans="1:48" x14ac:dyDescent="0.3">
      <c r="A107" s="9"/>
      <c r="B107" s="79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가경동 가로수마을대원칸타빌('08.09.,310^)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86"/>
        <v/>
      </c>
      <c r="AI107" s="111" t="str">
        <f t="shared" si="82"/>
        <v/>
      </c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</row>
    <row r="108" spans="1:48" x14ac:dyDescent="0.3">
      <c r="A108" s="9" t="s">
        <v>377</v>
      </c>
      <c r="B108" s="10" t="s">
        <v>1339</v>
      </c>
      <c r="C108" s="88">
        <v>310</v>
      </c>
      <c r="D108" s="86">
        <v>140.30000000000001</v>
      </c>
      <c r="E108" s="87">
        <v>42</v>
      </c>
      <c r="F108" s="86">
        <v>115.5</v>
      </c>
      <c r="G108" s="17">
        <v>35</v>
      </c>
      <c r="H108" s="88">
        <v>48</v>
      </c>
      <c r="I108" s="89">
        <v>55000</v>
      </c>
      <c r="J108" s="89" t="s">
        <v>64</v>
      </c>
      <c r="K108" s="89">
        <v>45000</v>
      </c>
      <c r="L108" s="89" t="s">
        <v>64</v>
      </c>
      <c r="M108" s="90">
        <f>I108-K108</f>
        <v>10000</v>
      </c>
      <c r="N108" s="4">
        <f>IF(ISERROR(K108/I108),"",K108/I108)</f>
        <v>0.81818181818181823</v>
      </c>
      <c r="O108" s="91">
        <f>I108/E108</f>
        <v>1309.5238095238096</v>
      </c>
      <c r="P108" s="91">
        <f>K108/E108</f>
        <v>1071.4285714285713</v>
      </c>
      <c r="Q108" s="79">
        <v>3</v>
      </c>
      <c r="R108" s="79">
        <v>2</v>
      </c>
      <c r="S108" s="79" t="s">
        <v>62</v>
      </c>
      <c r="T108" s="5">
        <v>140</v>
      </c>
      <c r="U108" s="9"/>
      <c r="W108" s="86">
        <f t="shared" ref="W108:X111" si="88">D108</f>
        <v>140.30000000000001</v>
      </c>
      <c r="X108" s="87">
        <f t="shared" si="88"/>
        <v>42</v>
      </c>
      <c r="Y108" s="92">
        <f t="shared" ref="Y108:Z111" si="89">H108</f>
        <v>48</v>
      </c>
      <c r="Z108" s="90">
        <f t="shared" si="89"/>
        <v>55000</v>
      </c>
      <c r="AA108" s="90">
        <f>K108</f>
        <v>45000</v>
      </c>
      <c r="AB108" s="90">
        <f t="shared" ref="AB108:AD111" si="90">M108</f>
        <v>10000</v>
      </c>
      <c r="AC108" s="4">
        <f t="shared" si="90"/>
        <v>0.81818181818181823</v>
      </c>
      <c r="AD108" s="91">
        <f t="shared" si="90"/>
        <v>1309.5238095238096</v>
      </c>
      <c r="AE108" s="79" t="str">
        <f>S108</f>
        <v>계</v>
      </c>
      <c r="AF108" s="79" t="str">
        <f>Q108&amp;"/"&amp;R108</f>
        <v>3/2</v>
      </c>
      <c r="AH108" s="20" t="str">
        <f t="shared" si="86"/>
        <v>가로수마을대원칸타빌</v>
      </c>
      <c r="AI108" s="87">
        <f t="shared" si="82"/>
        <v>42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>O</v>
      </c>
      <c r="AP108" s="79" t="str">
        <f>IF(I108="","",IF(I108&lt;=$AP$1,"O","X"))</f>
        <v>X</v>
      </c>
      <c r="AQ108" s="79" t="str">
        <f>IF(O108="","",IF(O108&lt;=$AQ$1,"O","X"))</f>
        <v>O</v>
      </c>
      <c r="AR108" s="79" t="str">
        <f>IF(M108="","",IF(M108&lt;=$AR$1,"O","X"))</f>
        <v>X</v>
      </c>
      <c r="AS108" s="79" t="s">
        <v>2</v>
      </c>
      <c r="AT108" s="79" t="str">
        <f>IF(OR(F108="",AI108=""),"",IF(AND((F108&lt;=85),(AI108&gt;=15)),"O","X"))</f>
        <v>X</v>
      </c>
      <c r="AU108" s="79" t="str">
        <f>IF(C108="","",IF(C108&gt;=$AU$1,"O","X"))</f>
        <v>O</v>
      </c>
      <c r="AV108" s="79" t="str">
        <f>IF(AO108="","",IF(AND(AO108="O",AP108="O",AR108="O",AT108="O",AU108="O"),"후보","X"))</f>
        <v>X</v>
      </c>
    </row>
    <row r="109" spans="1:48" x14ac:dyDescent="0.3">
      <c r="A109" s="9" t="s">
        <v>377</v>
      </c>
      <c r="B109" s="10" t="s">
        <v>1339</v>
      </c>
      <c r="C109" s="88">
        <v>310</v>
      </c>
      <c r="D109" s="86">
        <v>163.69999999999999</v>
      </c>
      <c r="E109" s="87">
        <v>50</v>
      </c>
      <c r="F109" s="86">
        <v>138.9</v>
      </c>
      <c r="G109" s="17">
        <v>42</v>
      </c>
      <c r="H109" s="88">
        <v>142</v>
      </c>
      <c r="I109" s="89">
        <v>62000</v>
      </c>
      <c r="J109" s="89" t="s">
        <v>81</v>
      </c>
      <c r="K109" s="89"/>
      <c r="L109" s="89"/>
      <c r="M109" s="90">
        <f>I109-K109</f>
        <v>62000</v>
      </c>
      <c r="N109" s="4">
        <f>IF(ISERROR(K109/I109),"",K109/I109)</f>
        <v>0</v>
      </c>
      <c r="O109" s="91">
        <f>I109/E109</f>
        <v>1240</v>
      </c>
      <c r="P109" s="91">
        <f>K109/E109</f>
        <v>0</v>
      </c>
      <c r="Q109" s="79">
        <v>4</v>
      </c>
      <c r="R109" s="79">
        <v>2</v>
      </c>
      <c r="S109" s="79" t="s">
        <v>62</v>
      </c>
      <c r="T109" s="5">
        <v>163</v>
      </c>
      <c r="U109" s="9"/>
      <c r="W109" s="86">
        <f t="shared" si="88"/>
        <v>163.69999999999999</v>
      </c>
      <c r="X109" s="87">
        <f t="shared" si="88"/>
        <v>50</v>
      </c>
      <c r="Y109" s="92">
        <f t="shared" si="89"/>
        <v>142</v>
      </c>
      <c r="Z109" s="90">
        <f t="shared" si="89"/>
        <v>62000</v>
      </c>
      <c r="AA109" s="90">
        <f>K109</f>
        <v>0</v>
      </c>
      <c r="AB109" s="90">
        <f t="shared" si="90"/>
        <v>62000</v>
      </c>
      <c r="AC109" s="4">
        <f t="shared" si="90"/>
        <v>0</v>
      </c>
      <c r="AD109" s="91">
        <f t="shared" si="90"/>
        <v>1240</v>
      </c>
      <c r="AE109" s="79" t="str">
        <f>S109</f>
        <v>계</v>
      </c>
      <c r="AF109" s="79" t="str">
        <f>Q109&amp;"/"&amp;R109</f>
        <v>4/2</v>
      </c>
      <c r="AH109" s="20" t="str">
        <f t="shared" si="86"/>
        <v>가로수마을대원칸타빌</v>
      </c>
      <c r="AI109" s="87">
        <f t="shared" si="82"/>
        <v>50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>X</v>
      </c>
      <c r="AP109" s="79" t="str">
        <f>IF(I109="","",IF(I109&lt;=$AP$1,"O","X"))</f>
        <v>X</v>
      </c>
      <c r="AQ109" s="79" t="str">
        <f>IF(O109="","",IF(O109&lt;=$AQ$1,"O","X"))</f>
        <v>O</v>
      </c>
      <c r="AR109" s="79" t="str">
        <f>IF(M109="","",IF(M109&lt;=$AR$1,"O","X"))</f>
        <v>X</v>
      </c>
      <c r="AS109" s="79" t="s">
        <v>2</v>
      </c>
      <c r="AT109" s="79" t="str">
        <f>IF(OR(F109="",AI109=""),"",IF(AND((F109&lt;=85),(AI109&gt;=15)),"O","X"))</f>
        <v>X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>X</v>
      </c>
    </row>
    <row r="110" spans="1:48" x14ac:dyDescent="0.3">
      <c r="A110" s="9" t="s">
        <v>377</v>
      </c>
      <c r="B110" s="10" t="s">
        <v>1339</v>
      </c>
      <c r="C110" s="88">
        <v>310</v>
      </c>
      <c r="D110" s="86">
        <v>174.8</v>
      </c>
      <c r="E110" s="87">
        <v>53</v>
      </c>
      <c r="F110" s="86">
        <v>147.9</v>
      </c>
      <c r="G110" s="17">
        <v>45</v>
      </c>
      <c r="H110" s="88">
        <v>60</v>
      </c>
      <c r="I110" s="89">
        <v>65000</v>
      </c>
      <c r="J110" s="89" t="s">
        <v>88</v>
      </c>
      <c r="K110" s="89"/>
      <c r="L110" s="89"/>
      <c r="M110" s="90">
        <f>I110-K110</f>
        <v>65000</v>
      </c>
      <c r="N110" s="4">
        <f>IF(ISERROR(K110/I110),"",K110/I110)</f>
        <v>0</v>
      </c>
      <c r="O110" s="91">
        <f>I110/E110</f>
        <v>1226.4150943396226</v>
      </c>
      <c r="P110" s="91">
        <f>K110/E110</f>
        <v>0</v>
      </c>
      <c r="Q110" s="79">
        <v>4</v>
      </c>
      <c r="R110" s="79">
        <v>2</v>
      </c>
      <c r="S110" s="79" t="s">
        <v>62</v>
      </c>
      <c r="T110" s="5" t="s">
        <v>108</v>
      </c>
      <c r="U110" s="9"/>
      <c r="W110" s="86">
        <f t="shared" si="88"/>
        <v>174.8</v>
      </c>
      <c r="X110" s="87">
        <f t="shared" si="88"/>
        <v>53</v>
      </c>
      <c r="Y110" s="92">
        <f t="shared" si="89"/>
        <v>60</v>
      </c>
      <c r="Z110" s="90">
        <f t="shared" si="89"/>
        <v>65000</v>
      </c>
      <c r="AA110" s="90">
        <f>K110</f>
        <v>0</v>
      </c>
      <c r="AB110" s="90">
        <f t="shared" si="90"/>
        <v>65000</v>
      </c>
      <c r="AC110" s="4">
        <f t="shared" si="90"/>
        <v>0</v>
      </c>
      <c r="AD110" s="91">
        <f t="shared" si="90"/>
        <v>1226.4150943396226</v>
      </c>
      <c r="AE110" s="79" t="str">
        <f>S110</f>
        <v>계</v>
      </c>
      <c r="AF110" s="79" t="str">
        <f>Q110&amp;"/"&amp;R110</f>
        <v>4/2</v>
      </c>
      <c r="AH110" s="20" t="str">
        <f t="shared" si="86"/>
        <v>가로수마을대원칸타빌</v>
      </c>
      <c r="AI110" s="87">
        <f t="shared" si="82"/>
        <v>53</v>
      </c>
      <c r="AJ110" s="79" t="str">
        <f>IF(AI110="","",$AJ$2)</f>
        <v>A-</v>
      </c>
      <c r="AK110" s="79" t="s">
        <v>13</v>
      </c>
      <c r="AL110" s="79" t="s">
        <v>60</v>
      </c>
      <c r="AM110" s="79" t="s">
        <v>61</v>
      </c>
      <c r="AN110" s="79" t="str">
        <f>IF(AI110="","",$AN$2)</f>
        <v>C</v>
      </c>
      <c r="AO110" s="79" t="str">
        <f>IF(N110="","",IF(N110&gt;=$AO$1/100,"O","X"))</f>
        <v>X</v>
      </c>
      <c r="AP110" s="79" t="str">
        <f>IF(I110="","",IF(I110&lt;=$AP$1,"O","X"))</f>
        <v>X</v>
      </c>
      <c r="AQ110" s="79" t="str">
        <f>IF(O110="","",IF(O110&lt;=$AQ$1,"O","X"))</f>
        <v>O</v>
      </c>
      <c r="AR110" s="79" t="str">
        <f>IF(M110="","",IF(M110&lt;=$AR$1,"O","X"))</f>
        <v>X</v>
      </c>
      <c r="AS110" s="79" t="s">
        <v>2</v>
      </c>
      <c r="AT110" s="79" t="str">
        <f>IF(OR(F110="",AI110=""),"",IF(AND((F110&lt;=85),(AI110&gt;=15)),"O","X"))</f>
        <v>X</v>
      </c>
      <c r="AU110" s="79" t="str">
        <f>IF(C110="","",IF(C110&gt;=$AU$1,"O","X"))</f>
        <v>O</v>
      </c>
      <c r="AV110" s="79" t="str">
        <f>IF(AO110="","",IF(AND(AO110="O",AP110="O",AR110="O",AT110="O",AU110="O"),"후보","X"))</f>
        <v>X</v>
      </c>
    </row>
    <row r="111" spans="1:48" x14ac:dyDescent="0.3">
      <c r="A111" s="9" t="s">
        <v>377</v>
      </c>
      <c r="B111" s="10" t="s">
        <v>1339</v>
      </c>
      <c r="C111" s="88">
        <v>310</v>
      </c>
      <c r="D111" s="86">
        <v>176</v>
      </c>
      <c r="E111" s="87">
        <v>53</v>
      </c>
      <c r="F111" s="86">
        <v>150.30000000000001</v>
      </c>
      <c r="G111" s="17">
        <v>45</v>
      </c>
      <c r="H111" s="88">
        <v>60</v>
      </c>
      <c r="I111" s="89">
        <v>70000</v>
      </c>
      <c r="J111" s="89" t="s">
        <v>75</v>
      </c>
      <c r="K111" s="89"/>
      <c r="L111" s="89"/>
      <c r="M111" s="90">
        <f>I111-K111</f>
        <v>70000</v>
      </c>
      <c r="N111" s="4">
        <f>IF(ISERROR(K111/I111),"",K111/I111)</f>
        <v>0</v>
      </c>
      <c r="O111" s="91">
        <f>I111/E111</f>
        <v>1320.7547169811321</v>
      </c>
      <c r="P111" s="91">
        <f>K111/E111</f>
        <v>0</v>
      </c>
      <c r="Q111" s="79">
        <v>4</v>
      </c>
      <c r="R111" s="79">
        <v>2</v>
      </c>
      <c r="S111" s="79" t="s">
        <v>62</v>
      </c>
      <c r="T111" s="5" t="s">
        <v>109</v>
      </c>
      <c r="U111" s="9"/>
      <c r="W111" s="86">
        <f t="shared" si="88"/>
        <v>176</v>
      </c>
      <c r="X111" s="87">
        <f t="shared" si="88"/>
        <v>53</v>
      </c>
      <c r="Y111" s="92">
        <f t="shared" si="89"/>
        <v>60</v>
      </c>
      <c r="Z111" s="90">
        <f t="shared" si="89"/>
        <v>70000</v>
      </c>
      <c r="AA111" s="90">
        <f>K111</f>
        <v>0</v>
      </c>
      <c r="AB111" s="90">
        <f t="shared" si="90"/>
        <v>70000</v>
      </c>
      <c r="AC111" s="4">
        <f t="shared" si="90"/>
        <v>0</v>
      </c>
      <c r="AD111" s="91">
        <f t="shared" si="90"/>
        <v>1320.7547169811321</v>
      </c>
      <c r="AE111" s="79" t="str">
        <f>S111</f>
        <v>계</v>
      </c>
      <c r="AF111" s="79" t="str">
        <f>Q111&amp;"/"&amp;R111</f>
        <v>4/2</v>
      </c>
      <c r="AH111" s="20" t="str">
        <f t="shared" si="86"/>
        <v>가로수마을대원칸타빌</v>
      </c>
      <c r="AI111" s="87">
        <f t="shared" si="82"/>
        <v>53</v>
      </c>
      <c r="AJ111" s="79" t="str">
        <f>IF(AI111="","",$AJ$2)</f>
        <v>A-</v>
      </c>
      <c r="AK111" s="79" t="s">
        <v>13</v>
      </c>
      <c r="AL111" s="79" t="s">
        <v>60</v>
      </c>
      <c r="AM111" s="79" t="s">
        <v>61</v>
      </c>
      <c r="AN111" s="79" t="str">
        <f>IF(AI111="","",$AN$2)</f>
        <v>C</v>
      </c>
      <c r="AO111" s="79" t="str">
        <f>IF(N111="","",IF(N111&gt;=$AO$1/100,"O","X"))</f>
        <v>X</v>
      </c>
      <c r="AP111" s="79" t="str">
        <f>IF(I111="","",IF(I111&lt;=$AP$1,"O","X"))</f>
        <v>X</v>
      </c>
      <c r="AQ111" s="79" t="str">
        <f>IF(O111="","",IF(O111&lt;=$AQ$1,"O","X"))</f>
        <v>O</v>
      </c>
      <c r="AR111" s="79" t="str">
        <f>IF(M111="","",IF(M111&lt;=$AR$1,"O","X"))</f>
        <v>X</v>
      </c>
      <c r="AS111" s="79" t="s">
        <v>2</v>
      </c>
      <c r="AT111" s="79" t="str">
        <f>IF(OR(F111="",AI111=""),"",IF(AND((F111&lt;=85),(AI111&gt;=15)),"O","X"))</f>
        <v>X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X</v>
      </c>
    </row>
    <row r="112" spans="1:48" x14ac:dyDescent="0.3">
      <c r="A112" s="9"/>
      <c r="B112" s="79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가경동 덕일한마음('97.06.,448^)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6"/>
        <v/>
      </c>
      <c r="AI112" s="111" t="str">
        <f t="shared" si="82"/>
        <v/>
      </c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</row>
    <row r="113" spans="1:48" x14ac:dyDescent="0.3">
      <c r="A113" s="9" t="s">
        <v>381</v>
      </c>
      <c r="B113" s="10" t="s">
        <v>1354</v>
      </c>
      <c r="C113" s="88">
        <v>448</v>
      </c>
      <c r="D113" s="86">
        <v>76.7</v>
      </c>
      <c r="E113" s="87">
        <v>23</v>
      </c>
      <c r="F113" s="86">
        <v>60</v>
      </c>
      <c r="G113" s="17">
        <v>18</v>
      </c>
      <c r="H113" s="88">
        <v>423</v>
      </c>
      <c r="I113" s="89">
        <v>17400</v>
      </c>
      <c r="J113" s="89" t="s">
        <v>79</v>
      </c>
      <c r="K113" s="89">
        <v>17000</v>
      </c>
      <c r="L113" s="89" t="s">
        <v>63</v>
      </c>
      <c r="M113" s="90">
        <f>I113-K113</f>
        <v>400</v>
      </c>
      <c r="N113" s="4">
        <f>IF(ISERROR(K113/I113),"",K113/I113)</f>
        <v>0.97701149425287359</v>
      </c>
      <c r="O113" s="91">
        <f>I113/E113</f>
        <v>756.52173913043475</v>
      </c>
      <c r="P113" s="91">
        <f>K113/E113</f>
        <v>739.13043478260875</v>
      </c>
      <c r="Q113" s="79">
        <v>3</v>
      </c>
      <c r="R113" s="79">
        <v>1</v>
      </c>
      <c r="S113" s="79" t="s">
        <v>62</v>
      </c>
      <c r="T113" s="5" t="s">
        <v>110</v>
      </c>
      <c r="U113" s="9"/>
      <c r="W113" s="86">
        <f>D113</f>
        <v>76.7</v>
      </c>
      <c r="X113" s="87">
        <f>E113</f>
        <v>23</v>
      </c>
      <c r="Y113" s="92">
        <f>H113</f>
        <v>423</v>
      </c>
      <c r="Z113" s="90">
        <f>I113</f>
        <v>17400</v>
      </c>
      <c r="AA113" s="90">
        <f>K113</f>
        <v>17000</v>
      </c>
      <c r="AB113" s="90">
        <f t="shared" ref="AB113:AD114" si="91">M113</f>
        <v>400</v>
      </c>
      <c r="AC113" s="4">
        <f t="shared" si="91"/>
        <v>0.97701149425287359</v>
      </c>
      <c r="AD113" s="91">
        <f t="shared" si="91"/>
        <v>756.52173913043475</v>
      </c>
      <c r="AE113" s="79" t="str">
        <f>S113</f>
        <v>계</v>
      </c>
      <c r="AF113" s="79" t="str">
        <f>Q113&amp;"/"&amp;R113</f>
        <v>3/1</v>
      </c>
      <c r="AH113" s="20" t="str">
        <f t="shared" si="86"/>
        <v>덕일한마음</v>
      </c>
      <c r="AI113" s="87">
        <f t="shared" si="82"/>
        <v>23</v>
      </c>
      <c r="AJ113" s="79" t="str">
        <f>IF(AI113="","",$AJ$2)</f>
        <v>A-</v>
      </c>
      <c r="AK113" s="79" t="s">
        <v>13</v>
      </c>
      <c r="AL113" s="79" t="s">
        <v>60</v>
      </c>
      <c r="AM113" s="79" t="s">
        <v>61</v>
      </c>
      <c r="AN113" s="79" t="str">
        <f>IF(AI113="","",$AN$2)</f>
        <v>C</v>
      </c>
      <c r="AO113" s="79" t="str">
        <f>IF(N113="","",IF(N113&gt;=$AO$1/100,"O","X"))</f>
        <v>O</v>
      </c>
      <c r="AP113" s="79" t="str">
        <f>IF(I113="","",IF(I113&lt;=$AP$1,"O","X"))</f>
        <v>O</v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후보</v>
      </c>
    </row>
    <row r="114" spans="1:48" x14ac:dyDescent="0.3">
      <c r="A114" s="9" t="s">
        <v>381</v>
      </c>
      <c r="B114" s="10" t="s">
        <v>1354</v>
      </c>
      <c r="C114" s="88">
        <v>448</v>
      </c>
      <c r="D114" s="86">
        <v>76.7</v>
      </c>
      <c r="E114" s="87">
        <v>23</v>
      </c>
      <c r="F114" s="86">
        <v>60</v>
      </c>
      <c r="G114" s="17">
        <v>18</v>
      </c>
      <c r="H114" s="88">
        <v>25</v>
      </c>
      <c r="I114" s="89">
        <v>17400</v>
      </c>
      <c r="J114" s="89" t="s">
        <v>79</v>
      </c>
      <c r="K114" s="89">
        <v>17000</v>
      </c>
      <c r="L114" s="89" t="s">
        <v>63</v>
      </c>
      <c r="M114" s="90">
        <f>I114-K114</f>
        <v>400</v>
      </c>
      <c r="N114" s="4">
        <f>IF(ISERROR(K114/I114),"",K114/I114)</f>
        <v>0.97701149425287359</v>
      </c>
      <c r="O114" s="91">
        <f>I114/E114</f>
        <v>756.52173913043475</v>
      </c>
      <c r="P114" s="91">
        <f>K114/E114</f>
        <v>739.13043478260875</v>
      </c>
      <c r="Q114" s="79">
        <v>3</v>
      </c>
      <c r="R114" s="79">
        <v>1</v>
      </c>
      <c r="S114" s="79" t="s">
        <v>62</v>
      </c>
      <c r="T114" s="5" t="s">
        <v>111</v>
      </c>
      <c r="U114" s="9"/>
      <c r="W114" s="86">
        <f>D114</f>
        <v>76.7</v>
      </c>
      <c r="X114" s="87">
        <f>E114</f>
        <v>23</v>
      </c>
      <c r="Y114" s="92">
        <f>H114</f>
        <v>25</v>
      </c>
      <c r="Z114" s="90">
        <f>I114</f>
        <v>17400</v>
      </c>
      <c r="AA114" s="90">
        <f>K114</f>
        <v>17000</v>
      </c>
      <c r="AB114" s="90">
        <f t="shared" si="91"/>
        <v>400</v>
      </c>
      <c r="AC114" s="4">
        <f t="shared" si="91"/>
        <v>0.97701149425287359</v>
      </c>
      <c r="AD114" s="91">
        <f t="shared" si="91"/>
        <v>756.52173913043475</v>
      </c>
      <c r="AE114" s="79" t="str">
        <f>S114</f>
        <v>계</v>
      </c>
      <c r="AF114" s="79" t="str">
        <f>Q114&amp;"/"&amp;R114</f>
        <v>3/1</v>
      </c>
      <c r="AH114" s="20" t="str">
        <f t="shared" si="86"/>
        <v>덕일한마음</v>
      </c>
      <c r="AI114" s="87">
        <f t="shared" si="82"/>
        <v>23</v>
      </c>
      <c r="AJ114" s="79" t="str">
        <f>IF(AI114="","",$AJ$2)</f>
        <v>A-</v>
      </c>
      <c r="AK114" s="79" t="s">
        <v>13</v>
      </c>
      <c r="AL114" s="79" t="s">
        <v>60</v>
      </c>
      <c r="AM114" s="79" t="s">
        <v>61</v>
      </c>
      <c r="AN114" s="79" t="str">
        <f>IF(AI114="","",$AN$2)</f>
        <v>C</v>
      </c>
      <c r="AO114" s="79" t="str">
        <f>IF(N114="","",IF(N114&gt;=$AO$1/100,"O","X"))</f>
        <v>O</v>
      </c>
      <c r="AP114" s="79" t="str">
        <f>IF(I114="","",IF(I114&lt;=$AP$1,"O","X"))</f>
        <v>O</v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후보</v>
      </c>
    </row>
    <row r="115" spans="1:48" x14ac:dyDescent="0.3">
      <c r="A115" s="9"/>
      <c r="B115" s="79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가경동 효성('97.12.,320^)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6"/>
        <v/>
      </c>
      <c r="AI115" s="111" t="str">
        <f t="shared" si="82"/>
        <v/>
      </c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</row>
    <row r="116" spans="1:48" x14ac:dyDescent="0.3">
      <c r="A116" s="9" t="s">
        <v>385</v>
      </c>
      <c r="B116" s="10" t="s">
        <v>1358</v>
      </c>
      <c r="C116" s="88">
        <v>320</v>
      </c>
      <c r="D116" s="86">
        <v>125.4</v>
      </c>
      <c r="E116" s="87">
        <v>38</v>
      </c>
      <c r="F116" s="86">
        <v>100</v>
      </c>
      <c r="G116" s="17">
        <v>30</v>
      </c>
      <c r="H116" s="88">
        <v>170</v>
      </c>
      <c r="I116" s="89">
        <v>34000</v>
      </c>
      <c r="J116" s="89" t="s">
        <v>97</v>
      </c>
      <c r="K116" s="89">
        <v>30000</v>
      </c>
      <c r="L116" s="89" t="s">
        <v>97</v>
      </c>
      <c r="M116" s="90">
        <f>I116-K116</f>
        <v>4000</v>
      </c>
      <c r="N116" s="4">
        <f>IF(ISERROR(K116/I116),"",K116/I116)</f>
        <v>0.88235294117647056</v>
      </c>
      <c r="O116" s="91">
        <f>I116/E116</f>
        <v>894.73684210526312</v>
      </c>
      <c r="P116" s="91">
        <f>K116/E116</f>
        <v>789.47368421052636</v>
      </c>
      <c r="Q116" s="79">
        <v>3</v>
      </c>
      <c r="R116" s="79">
        <v>2</v>
      </c>
      <c r="S116" s="79" t="s">
        <v>62</v>
      </c>
      <c r="T116" s="5">
        <v>125</v>
      </c>
      <c r="U116" s="9"/>
      <c r="W116" s="86">
        <f t="shared" ref="W116:X118" si="92">D116</f>
        <v>125.4</v>
      </c>
      <c r="X116" s="87">
        <f t="shared" si="92"/>
        <v>38</v>
      </c>
      <c r="Y116" s="92">
        <f t="shared" ref="Y116:Z118" si="93">H116</f>
        <v>170</v>
      </c>
      <c r="Z116" s="90">
        <f t="shared" si="93"/>
        <v>34000</v>
      </c>
      <c r="AA116" s="90">
        <f>K116</f>
        <v>30000</v>
      </c>
      <c r="AB116" s="90">
        <f t="shared" ref="AB116:AD118" si="94">M116</f>
        <v>4000</v>
      </c>
      <c r="AC116" s="4">
        <f t="shared" si="94"/>
        <v>0.88235294117647056</v>
      </c>
      <c r="AD116" s="91">
        <f t="shared" si="94"/>
        <v>894.73684210526312</v>
      </c>
      <c r="AE116" s="79" t="str">
        <f>S116</f>
        <v>계</v>
      </c>
      <c r="AF116" s="79" t="str">
        <f>Q116&amp;"/"&amp;R116</f>
        <v>3/2</v>
      </c>
      <c r="AH116" s="20" t="str">
        <f t="shared" si="86"/>
        <v>효성</v>
      </c>
      <c r="AI116" s="87">
        <f t="shared" si="82"/>
        <v>38</v>
      </c>
      <c r="AJ116" s="79" t="str">
        <f>IF(AI116="","",$AJ$2)</f>
        <v>A-</v>
      </c>
      <c r="AK116" s="79" t="s">
        <v>13</v>
      </c>
      <c r="AL116" s="79" t="s">
        <v>60</v>
      </c>
      <c r="AM116" s="79" t="s">
        <v>61</v>
      </c>
      <c r="AN116" s="79" t="str">
        <f>IF(AI116="","",$AN$2)</f>
        <v>C</v>
      </c>
      <c r="AO116" s="79" t="str">
        <f>IF(N116="","",IF(N116&gt;=$AO$1/100,"O","X"))</f>
        <v>O</v>
      </c>
      <c r="AP116" s="79" t="str">
        <f>IF(I116="","",IF(I116&lt;=$AP$1,"O","X"))</f>
        <v>O</v>
      </c>
      <c r="AQ116" s="79" t="str">
        <f>IF(O116="","",IF(O116&lt;=$AQ$1,"O","X"))</f>
        <v>O</v>
      </c>
      <c r="AR116" s="79" t="str">
        <f>IF(M116="","",IF(M116&lt;=$AR$1,"O","X"))</f>
        <v>O</v>
      </c>
      <c r="AS116" s="79" t="s">
        <v>2</v>
      </c>
      <c r="AT116" s="79" t="str">
        <f>IF(OR(F116="",AI116=""),"",IF(AND((F116&lt;=85),(AI116&gt;=15)),"O","X"))</f>
        <v>X</v>
      </c>
      <c r="AU116" s="79" t="str">
        <f>IF(C116="","",IF(C116&gt;=$AU$1,"O","X"))</f>
        <v>O</v>
      </c>
      <c r="AV116" s="79" t="str">
        <f>IF(AO116="","",IF(AND(AO116="O",AP116="O",AR116="O",AT116="O",AU116="O"),"후보","X"))</f>
        <v>X</v>
      </c>
    </row>
    <row r="117" spans="1:48" x14ac:dyDescent="0.3">
      <c r="A117" s="9" t="s">
        <v>385</v>
      </c>
      <c r="B117" s="10" t="s">
        <v>1358</v>
      </c>
      <c r="C117" s="88">
        <v>320</v>
      </c>
      <c r="D117" s="86">
        <v>145</v>
      </c>
      <c r="E117" s="87">
        <v>44</v>
      </c>
      <c r="F117" s="86">
        <v>117.4</v>
      </c>
      <c r="G117" s="17">
        <v>36</v>
      </c>
      <c r="H117" s="88">
        <v>120</v>
      </c>
      <c r="I117" s="89">
        <v>36500</v>
      </c>
      <c r="J117" s="89" t="s">
        <v>64</v>
      </c>
      <c r="K117" s="89">
        <v>35000</v>
      </c>
      <c r="L117" s="89" t="s">
        <v>92</v>
      </c>
      <c r="M117" s="90">
        <f>I117-K117</f>
        <v>1500</v>
      </c>
      <c r="N117" s="4">
        <f>IF(ISERROR(K117/I117),"",K117/I117)</f>
        <v>0.95890410958904104</v>
      </c>
      <c r="O117" s="91">
        <f>I117/E117</f>
        <v>829.5454545454545</v>
      </c>
      <c r="P117" s="91">
        <f>K117/E117</f>
        <v>795.4545454545455</v>
      </c>
      <c r="Q117" s="79">
        <v>4</v>
      </c>
      <c r="R117" s="79">
        <v>3</v>
      </c>
      <c r="S117" s="79" t="s">
        <v>62</v>
      </c>
      <c r="T117" s="5">
        <v>145</v>
      </c>
      <c r="U117" s="9"/>
      <c r="W117" s="86">
        <f t="shared" si="92"/>
        <v>145</v>
      </c>
      <c r="X117" s="87">
        <f t="shared" si="92"/>
        <v>44</v>
      </c>
      <c r="Y117" s="92">
        <f t="shared" si="93"/>
        <v>120</v>
      </c>
      <c r="Z117" s="90">
        <f t="shared" si="93"/>
        <v>36500</v>
      </c>
      <c r="AA117" s="90">
        <f>K117</f>
        <v>35000</v>
      </c>
      <c r="AB117" s="90">
        <f t="shared" si="94"/>
        <v>1500</v>
      </c>
      <c r="AC117" s="4">
        <f t="shared" si="94"/>
        <v>0.95890410958904104</v>
      </c>
      <c r="AD117" s="91">
        <f t="shared" si="94"/>
        <v>829.5454545454545</v>
      </c>
      <c r="AE117" s="79" t="str">
        <f>S117</f>
        <v>계</v>
      </c>
      <c r="AF117" s="79" t="str">
        <f>Q117&amp;"/"&amp;R117</f>
        <v>4/3</v>
      </c>
      <c r="AH117" s="20" t="str">
        <f t="shared" si="86"/>
        <v>효성</v>
      </c>
      <c r="AI117" s="87">
        <f t="shared" si="82"/>
        <v>44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>O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X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X</v>
      </c>
    </row>
    <row r="118" spans="1:48" x14ac:dyDescent="0.3">
      <c r="A118" s="9" t="s">
        <v>385</v>
      </c>
      <c r="B118" s="10" t="s">
        <v>1358</v>
      </c>
      <c r="C118" s="88">
        <v>320</v>
      </c>
      <c r="D118" s="86">
        <v>174.6</v>
      </c>
      <c r="E118" s="87">
        <v>53</v>
      </c>
      <c r="F118" s="86">
        <v>144.6</v>
      </c>
      <c r="G118" s="17">
        <v>44</v>
      </c>
      <c r="H118" s="88">
        <v>30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4</v>
      </c>
      <c r="R118" s="79">
        <v>3</v>
      </c>
      <c r="S118" s="79" t="s">
        <v>62</v>
      </c>
      <c r="T118" s="5">
        <v>174</v>
      </c>
      <c r="U118" s="9"/>
      <c r="W118" s="86">
        <f t="shared" si="92"/>
        <v>174.6</v>
      </c>
      <c r="X118" s="87">
        <f t="shared" si="92"/>
        <v>53</v>
      </c>
      <c r="Y118" s="92">
        <f t="shared" si="93"/>
        <v>30</v>
      </c>
      <c r="Z118" s="90">
        <f t="shared" si="93"/>
        <v>0</v>
      </c>
      <c r="AA118" s="90">
        <f>K118</f>
        <v>0</v>
      </c>
      <c r="AB118" s="90">
        <f t="shared" si="94"/>
        <v>0</v>
      </c>
      <c r="AC118" s="4" t="str">
        <f t="shared" si="94"/>
        <v/>
      </c>
      <c r="AD118" s="91">
        <f t="shared" si="94"/>
        <v>0</v>
      </c>
      <c r="AE118" s="79" t="str">
        <f>S118</f>
        <v>계</v>
      </c>
      <c r="AF118" s="79" t="str">
        <f>Q118&amp;"/"&amp;R118</f>
        <v>4/3</v>
      </c>
      <c r="AH118" s="20" t="str">
        <f t="shared" si="86"/>
        <v>효성</v>
      </c>
      <c r="AI118" s="87">
        <f t="shared" si="82"/>
        <v>53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X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/>
      </c>
    </row>
    <row r="119" spans="1:48" x14ac:dyDescent="0.3">
      <c r="A119" s="9"/>
      <c r="B119" s="79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가경동 가로수마을한라비발디('08.08.,416^)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86"/>
        <v/>
      </c>
      <c r="AI119" s="111" t="str">
        <f t="shared" si="82"/>
        <v/>
      </c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</row>
    <row r="120" spans="1:48" x14ac:dyDescent="0.3">
      <c r="A120" s="9" t="s">
        <v>390</v>
      </c>
      <c r="B120" s="10" t="s">
        <v>1356</v>
      </c>
      <c r="C120" s="88">
        <v>416</v>
      </c>
      <c r="D120" s="86">
        <v>112.6</v>
      </c>
      <c r="E120" s="87">
        <v>34</v>
      </c>
      <c r="F120" s="86">
        <v>85</v>
      </c>
      <c r="G120" s="17">
        <v>26</v>
      </c>
      <c r="H120" s="88">
        <v>193</v>
      </c>
      <c r="I120" s="89">
        <v>42000</v>
      </c>
      <c r="J120" s="89" t="s">
        <v>70</v>
      </c>
      <c r="K120" s="89">
        <v>36000</v>
      </c>
      <c r="L120" s="89" t="s">
        <v>102</v>
      </c>
      <c r="M120" s="90">
        <f t="shared" ref="M120:M125" si="95">I120-K120</f>
        <v>6000</v>
      </c>
      <c r="N120" s="4">
        <f t="shared" ref="N120:N125" si="96">IF(ISERROR(K120/I120),"",K120/I120)</f>
        <v>0.8571428571428571</v>
      </c>
      <c r="O120" s="91">
        <f t="shared" ref="O120:O125" si="97">I120/E120</f>
        <v>1235.2941176470588</v>
      </c>
      <c r="P120" s="91">
        <f t="shared" ref="P120:P125" si="98">K120/E120</f>
        <v>1058.8235294117646</v>
      </c>
      <c r="Q120" s="79">
        <v>3</v>
      </c>
      <c r="R120" s="79">
        <v>2</v>
      </c>
      <c r="S120" s="79" t="s">
        <v>62</v>
      </c>
      <c r="T120" s="5" t="s">
        <v>106</v>
      </c>
      <c r="U120" s="9"/>
      <c r="W120" s="86">
        <f t="shared" ref="W120:X125" si="99">D120</f>
        <v>112.6</v>
      </c>
      <c r="X120" s="87">
        <f t="shared" si="99"/>
        <v>34</v>
      </c>
      <c r="Y120" s="92">
        <f t="shared" ref="Y120:Z125" si="100">H120</f>
        <v>193</v>
      </c>
      <c r="Z120" s="90">
        <f t="shared" si="100"/>
        <v>42000</v>
      </c>
      <c r="AA120" s="90">
        <f t="shared" ref="AA120:AA125" si="101">K120</f>
        <v>36000</v>
      </c>
      <c r="AB120" s="90">
        <f t="shared" ref="AB120:AD125" si="102">M120</f>
        <v>6000</v>
      </c>
      <c r="AC120" s="4">
        <f t="shared" si="102"/>
        <v>0.8571428571428571</v>
      </c>
      <c r="AD120" s="91">
        <f t="shared" si="102"/>
        <v>1235.2941176470588</v>
      </c>
      <c r="AE120" s="79" t="str">
        <f t="shared" ref="AE120:AE125" si="103">S120</f>
        <v>계</v>
      </c>
      <c r="AF120" s="79" t="str">
        <f t="shared" ref="AF120:AF125" si="104">Q120&amp;"/"&amp;R120</f>
        <v>3/2</v>
      </c>
      <c r="AH120" s="20" t="str">
        <f t="shared" si="86"/>
        <v>가로수마을한라비발디</v>
      </c>
      <c r="AI120" s="87">
        <f t="shared" si="82"/>
        <v>34</v>
      </c>
      <c r="AJ120" s="79" t="str">
        <f t="shared" ref="AJ120:AJ125" si="105">IF(AI120="","",$AJ$2)</f>
        <v>A-</v>
      </c>
      <c r="AK120" s="79" t="s">
        <v>13</v>
      </c>
      <c r="AL120" s="79" t="s">
        <v>60</v>
      </c>
      <c r="AM120" s="79" t="s">
        <v>61</v>
      </c>
      <c r="AN120" s="79" t="str">
        <f t="shared" ref="AN120:AN125" si="106">IF(AI120="","",$AN$2)</f>
        <v>C</v>
      </c>
      <c r="AO120" s="79" t="str">
        <f t="shared" ref="AO120:AO125" si="107">IF(N120="","",IF(N120&gt;=$AO$1/100,"O","X"))</f>
        <v>O</v>
      </c>
      <c r="AP120" s="79" t="str">
        <f t="shared" ref="AP120:AP125" si="108">IF(I120="","",IF(I120&lt;=$AP$1,"O","X"))</f>
        <v>O</v>
      </c>
      <c r="AQ120" s="79" t="str">
        <f t="shared" ref="AQ120:AQ125" si="109">IF(O120="","",IF(O120&lt;=$AQ$1,"O","X"))</f>
        <v>O</v>
      </c>
      <c r="AR120" s="79" t="str">
        <f t="shared" ref="AR120:AR125" si="110">IF(M120="","",IF(M120&lt;=$AR$1,"O","X"))</f>
        <v>O</v>
      </c>
      <c r="AS120" s="79" t="s">
        <v>2</v>
      </c>
      <c r="AT120" s="79" t="str">
        <f t="shared" ref="AT120:AT125" si="111">IF(OR(F120="",AI120=""),"",IF(AND((F120&lt;=85),(AI120&gt;=15)),"O","X"))</f>
        <v>O</v>
      </c>
      <c r="AU120" s="79" t="str">
        <f t="shared" ref="AU120:AU125" si="112">IF(C120="","",IF(C120&gt;=$AU$1,"O","X"))</f>
        <v>O</v>
      </c>
      <c r="AV120" s="79" t="str">
        <f t="shared" ref="AV120:AV125" si="113">IF(AO120="","",IF(AND(AO120="O",AP120="O",AR120="O",AT120="O",AU120="O"),"후보","X"))</f>
        <v>후보</v>
      </c>
    </row>
    <row r="121" spans="1:48" x14ac:dyDescent="0.3">
      <c r="A121" s="9" t="s">
        <v>390</v>
      </c>
      <c r="B121" s="10" t="s">
        <v>1356</v>
      </c>
      <c r="C121" s="88">
        <v>416</v>
      </c>
      <c r="D121" s="86">
        <v>112.9</v>
      </c>
      <c r="E121" s="87">
        <v>34</v>
      </c>
      <c r="F121" s="86">
        <v>85</v>
      </c>
      <c r="G121" s="17">
        <v>26</v>
      </c>
      <c r="H121" s="88">
        <v>60</v>
      </c>
      <c r="I121" s="89"/>
      <c r="J121" s="89"/>
      <c r="K121" s="89"/>
      <c r="L121" s="89"/>
      <c r="M121" s="90">
        <f t="shared" si="95"/>
        <v>0</v>
      </c>
      <c r="N121" s="4" t="str">
        <f t="shared" si="96"/>
        <v/>
      </c>
      <c r="O121" s="91">
        <f t="shared" si="97"/>
        <v>0</v>
      </c>
      <c r="P121" s="91">
        <f t="shared" si="98"/>
        <v>0</v>
      </c>
      <c r="Q121" s="79">
        <v>3</v>
      </c>
      <c r="R121" s="79">
        <v>2</v>
      </c>
      <c r="S121" s="79" t="s">
        <v>62</v>
      </c>
      <c r="T121" s="5" t="s">
        <v>112</v>
      </c>
      <c r="U121" s="9"/>
      <c r="W121" s="86">
        <f t="shared" si="99"/>
        <v>112.9</v>
      </c>
      <c r="X121" s="87">
        <f t="shared" si="99"/>
        <v>34</v>
      </c>
      <c r="Y121" s="92">
        <f t="shared" si="100"/>
        <v>60</v>
      </c>
      <c r="Z121" s="90">
        <f t="shared" si="100"/>
        <v>0</v>
      </c>
      <c r="AA121" s="90">
        <f t="shared" si="101"/>
        <v>0</v>
      </c>
      <c r="AB121" s="90">
        <f t="shared" si="102"/>
        <v>0</v>
      </c>
      <c r="AC121" s="4" t="str">
        <f t="shared" si="102"/>
        <v/>
      </c>
      <c r="AD121" s="91">
        <f t="shared" si="102"/>
        <v>0</v>
      </c>
      <c r="AE121" s="79" t="str">
        <f t="shared" si="103"/>
        <v>계</v>
      </c>
      <c r="AF121" s="79" t="str">
        <f t="shared" si="104"/>
        <v>3/2</v>
      </c>
      <c r="AH121" s="20" t="str">
        <f t="shared" si="86"/>
        <v>가로수마을한라비발디</v>
      </c>
      <c r="AI121" s="87">
        <f t="shared" si="82"/>
        <v>34</v>
      </c>
      <c r="AJ121" s="79" t="str">
        <f t="shared" si="105"/>
        <v>A-</v>
      </c>
      <c r="AK121" s="79" t="s">
        <v>13</v>
      </c>
      <c r="AL121" s="79" t="s">
        <v>60</v>
      </c>
      <c r="AM121" s="79" t="s">
        <v>61</v>
      </c>
      <c r="AN121" s="79" t="str">
        <f t="shared" si="106"/>
        <v>C</v>
      </c>
      <c r="AO121" s="79" t="str">
        <f t="shared" si="107"/>
        <v/>
      </c>
      <c r="AP121" s="79" t="str">
        <f t="shared" si="108"/>
        <v/>
      </c>
      <c r="AQ121" s="79" t="str">
        <f t="shared" si="109"/>
        <v>O</v>
      </c>
      <c r="AR121" s="79" t="str">
        <f t="shared" si="110"/>
        <v>O</v>
      </c>
      <c r="AS121" s="79" t="s">
        <v>2</v>
      </c>
      <c r="AT121" s="79" t="str">
        <f t="shared" si="111"/>
        <v>O</v>
      </c>
      <c r="AU121" s="79" t="str">
        <f t="shared" si="112"/>
        <v>O</v>
      </c>
      <c r="AV121" s="79" t="str">
        <f t="shared" si="113"/>
        <v/>
      </c>
    </row>
    <row r="122" spans="1:48" x14ac:dyDescent="0.3">
      <c r="A122" s="9" t="s">
        <v>390</v>
      </c>
      <c r="B122" s="10" t="s">
        <v>1356</v>
      </c>
      <c r="C122" s="88">
        <v>416</v>
      </c>
      <c r="D122" s="86">
        <v>112.9</v>
      </c>
      <c r="E122" s="87">
        <v>34</v>
      </c>
      <c r="F122" s="86">
        <v>85</v>
      </c>
      <c r="G122" s="17">
        <v>26</v>
      </c>
      <c r="H122" s="88">
        <v>59</v>
      </c>
      <c r="I122" s="89"/>
      <c r="J122" s="89"/>
      <c r="K122" s="89"/>
      <c r="L122" s="89"/>
      <c r="M122" s="90">
        <f t="shared" si="95"/>
        <v>0</v>
      </c>
      <c r="N122" s="4" t="str">
        <f t="shared" si="96"/>
        <v/>
      </c>
      <c r="O122" s="91">
        <f t="shared" si="97"/>
        <v>0</v>
      </c>
      <c r="P122" s="91">
        <f t="shared" si="98"/>
        <v>0</v>
      </c>
      <c r="Q122" s="79">
        <v>3</v>
      </c>
      <c r="R122" s="79">
        <v>2</v>
      </c>
      <c r="S122" s="79" t="s">
        <v>62</v>
      </c>
      <c r="T122" s="5" t="s">
        <v>113</v>
      </c>
      <c r="U122" s="9"/>
      <c r="W122" s="86">
        <f t="shared" si="99"/>
        <v>112.9</v>
      </c>
      <c r="X122" s="87">
        <f t="shared" si="99"/>
        <v>34</v>
      </c>
      <c r="Y122" s="92">
        <f t="shared" si="100"/>
        <v>59</v>
      </c>
      <c r="Z122" s="90">
        <f t="shared" si="100"/>
        <v>0</v>
      </c>
      <c r="AA122" s="90">
        <f t="shared" si="101"/>
        <v>0</v>
      </c>
      <c r="AB122" s="90">
        <f t="shared" si="102"/>
        <v>0</v>
      </c>
      <c r="AC122" s="4" t="str">
        <f t="shared" si="102"/>
        <v/>
      </c>
      <c r="AD122" s="91">
        <f t="shared" si="102"/>
        <v>0</v>
      </c>
      <c r="AE122" s="79" t="str">
        <f t="shared" si="103"/>
        <v>계</v>
      </c>
      <c r="AF122" s="79" t="str">
        <f t="shared" si="104"/>
        <v>3/2</v>
      </c>
      <c r="AH122" s="20" t="str">
        <f t="shared" si="86"/>
        <v>가로수마을한라비발디</v>
      </c>
      <c r="AI122" s="87">
        <f t="shared" si="82"/>
        <v>34</v>
      </c>
      <c r="AJ122" s="79" t="str">
        <f t="shared" si="105"/>
        <v>A-</v>
      </c>
      <c r="AK122" s="79" t="s">
        <v>13</v>
      </c>
      <c r="AL122" s="79" t="s">
        <v>60</v>
      </c>
      <c r="AM122" s="79" t="s">
        <v>61</v>
      </c>
      <c r="AN122" s="79" t="str">
        <f t="shared" si="106"/>
        <v>C</v>
      </c>
      <c r="AO122" s="79" t="str">
        <f t="shared" si="107"/>
        <v/>
      </c>
      <c r="AP122" s="79" t="str">
        <f t="shared" si="108"/>
        <v/>
      </c>
      <c r="AQ122" s="79" t="str">
        <f t="shared" si="109"/>
        <v>O</v>
      </c>
      <c r="AR122" s="79" t="str">
        <f t="shared" si="110"/>
        <v>O</v>
      </c>
      <c r="AS122" s="79" t="s">
        <v>2</v>
      </c>
      <c r="AT122" s="79" t="str">
        <f t="shared" si="111"/>
        <v>O</v>
      </c>
      <c r="AU122" s="79" t="str">
        <f t="shared" si="112"/>
        <v>O</v>
      </c>
      <c r="AV122" s="79" t="str">
        <f t="shared" si="113"/>
        <v/>
      </c>
    </row>
    <row r="123" spans="1:48" x14ac:dyDescent="0.3">
      <c r="A123" s="9" t="s">
        <v>390</v>
      </c>
      <c r="B123" s="10" t="s">
        <v>1356</v>
      </c>
      <c r="C123" s="88">
        <v>416</v>
      </c>
      <c r="D123" s="86">
        <v>114.2</v>
      </c>
      <c r="E123" s="87">
        <v>35</v>
      </c>
      <c r="F123" s="86">
        <v>85</v>
      </c>
      <c r="G123" s="17">
        <v>26</v>
      </c>
      <c r="H123" s="88">
        <v>59</v>
      </c>
      <c r="I123" s="89">
        <v>45000</v>
      </c>
      <c r="J123" s="89" t="s">
        <v>81</v>
      </c>
      <c r="K123" s="89"/>
      <c r="L123" s="89"/>
      <c r="M123" s="90">
        <f t="shared" si="95"/>
        <v>45000</v>
      </c>
      <c r="N123" s="4">
        <f t="shared" si="96"/>
        <v>0</v>
      </c>
      <c r="O123" s="91">
        <f t="shared" si="97"/>
        <v>1285.7142857142858</v>
      </c>
      <c r="P123" s="91">
        <f t="shared" si="98"/>
        <v>0</v>
      </c>
      <c r="Q123" s="79">
        <v>3</v>
      </c>
      <c r="R123" s="79">
        <v>2</v>
      </c>
      <c r="S123" s="79" t="s">
        <v>62</v>
      </c>
      <c r="T123" s="5" t="s">
        <v>114</v>
      </c>
      <c r="U123" s="9"/>
      <c r="W123" s="86">
        <f t="shared" si="99"/>
        <v>114.2</v>
      </c>
      <c r="X123" s="87">
        <f t="shared" si="99"/>
        <v>35</v>
      </c>
      <c r="Y123" s="92">
        <f t="shared" si="100"/>
        <v>59</v>
      </c>
      <c r="Z123" s="90">
        <f t="shared" si="100"/>
        <v>45000</v>
      </c>
      <c r="AA123" s="90">
        <f t="shared" si="101"/>
        <v>0</v>
      </c>
      <c r="AB123" s="90">
        <f t="shared" si="102"/>
        <v>45000</v>
      </c>
      <c r="AC123" s="4">
        <f t="shared" si="102"/>
        <v>0</v>
      </c>
      <c r="AD123" s="91">
        <f t="shared" si="102"/>
        <v>1285.7142857142858</v>
      </c>
      <c r="AE123" s="79" t="str">
        <f t="shared" si="103"/>
        <v>계</v>
      </c>
      <c r="AF123" s="79" t="str">
        <f t="shared" si="104"/>
        <v>3/2</v>
      </c>
      <c r="AH123" s="20" t="str">
        <f t="shared" si="86"/>
        <v>가로수마을한라비발디</v>
      </c>
      <c r="AI123" s="87">
        <f t="shared" si="82"/>
        <v>35</v>
      </c>
      <c r="AJ123" s="79" t="str">
        <f t="shared" si="105"/>
        <v>A-</v>
      </c>
      <c r="AK123" s="79" t="s">
        <v>13</v>
      </c>
      <c r="AL123" s="79" t="s">
        <v>60</v>
      </c>
      <c r="AM123" s="79" t="s">
        <v>61</v>
      </c>
      <c r="AN123" s="79" t="str">
        <f t="shared" si="106"/>
        <v>C</v>
      </c>
      <c r="AO123" s="79" t="str">
        <f t="shared" si="107"/>
        <v>X</v>
      </c>
      <c r="AP123" s="79" t="str">
        <f t="shared" si="108"/>
        <v>O</v>
      </c>
      <c r="AQ123" s="79" t="str">
        <f t="shared" si="109"/>
        <v>O</v>
      </c>
      <c r="AR123" s="79" t="str">
        <f t="shared" si="110"/>
        <v>X</v>
      </c>
      <c r="AS123" s="79" t="s">
        <v>2</v>
      </c>
      <c r="AT123" s="79" t="str">
        <f t="shared" si="111"/>
        <v>O</v>
      </c>
      <c r="AU123" s="79" t="str">
        <f t="shared" si="112"/>
        <v>O</v>
      </c>
      <c r="AV123" s="79" t="str">
        <f t="shared" si="113"/>
        <v>X</v>
      </c>
    </row>
    <row r="124" spans="1:48" x14ac:dyDescent="0.3">
      <c r="A124" s="9" t="s">
        <v>390</v>
      </c>
      <c r="B124" s="10" t="s">
        <v>1356</v>
      </c>
      <c r="C124" s="88">
        <v>416</v>
      </c>
      <c r="D124" s="86">
        <v>116.3</v>
      </c>
      <c r="E124" s="87">
        <v>35</v>
      </c>
      <c r="F124" s="86">
        <v>85</v>
      </c>
      <c r="G124" s="17">
        <v>26</v>
      </c>
      <c r="H124" s="88">
        <v>15</v>
      </c>
      <c r="I124" s="89">
        <v>47000</v>
      </c>
      <c r="J124" s="89" t="s">
        <v>71</v>
      </c>
      <c r="K124" s="89"/>
      <c r="L124" s="89"/>
      <c r="M124" s="90">
        <f t="shared" si="95"/>
        <v>47000</v>
      </c>
      <c r="N124" s="4">
        <f t="shared" si="96"/>
        <v>0</v>
      </c>
      <c r="O124" s="91">
        <f t="shared" si="97"/>
        <v>1342.8571428571429</v>
      </c>
      <c r="P124" s="91">
        <f t="shared" si="98"/>
        <v>0</v>
      </c>
      <c r="Q124" s="79">
        <v>3</v>
      </c>
      <c r="R124" s="79">
        <v>2</v>
      </c>
      <c r="S124" s="79" t="s">
        <v>62</v>
      </c>
      <c r="T124" s="5" t="s">
        <v>115</v>
      </c>
      <c r="U124" s="9"/>
      <c r="W124" s="86">
        <f t="shared" si="99"/>
        <v>116.3</v>
      </c>
      <c r="X124" s="87">
        <f t="shared" si="99"/>
        <v>35</v>
      </c>
      <c r="Y124" s="92">
        <f t="shared" si="100"/>
        <v>15</v>
      </c>
      <c r="Z124" s="90">
        <f t="shared" si="100"/>
        <v>47000</v>
      </c>
      <c r="AA124" s="90">
        <f t="shared" si="101"/>
        <v>0</v>
      </c>
      <c r="AB124" s="90">
        <f t="shared" si="102"/>
        <v>47000</v>
      </c>
      <c r="AC124" s="4">
        <f t="shared" si="102"/>
        <v>0</v>
      </c>
      <c r="AD124" s="91">
        <f t="shared" si="102"/>
        <v>1342.8571428571429</v>
      </c>
      <c r="AE124" s="79" t="str">
        <f t="shared" si="103"/>
        <v>계</v>
      </c>
      <c r="AF124" s="79" t="str">
        <f t="shared" si="104"/>
        <v>3/2</v>
      </c>
      <c r="AH124" s="20" t="str">
        <f t="shared" si="86"/>
        <v>가로수마을한라비발디</v>
      </c>
      <c r="AI124" s="87">
        <f t="shared" si="82"/>
        <v>35</v>
      </c>
      <c r="AJ124" s="79" t="str">
        <f t="shared" si="105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06"/>
        <v>C</v>
      </c>
      <c r="AO124" s="79" t="str">
        <f t="shared" si="107"/>
        <v>X</v>
      </c>
      <c r="AP124" s="79" t="str">
        <f t="shared" si="108"/>
        <v>X</v>
      </c>
      <c r="AQ124" s="79" t="str">
        <f t="shared" si="109"/>
        <v>O</v>
      </c>
      <c r="AR124" s="79" t="str">
        <f t="shared" si="110"/>
        <v>X</v>
      </c>
      <c r="AS124" s="79" t="s">
        <v>2</v>
      </c>
      <c r="AT124" s="79" t="str">
        <f t="shared" si="111"/>
        <v>O</v>
      </c>
      <c r="AU124" s="79" t="str">
        <f t="shared" si="112"/>
        <v>O</v>
      </c>
      <c r="AV124" s="79" t="str">
        <f t="shared" si="113"/>
        <v>X</v>
      </c>
    </row>
    <row r="125" spans="1:48" x14ac:dyDescent="0.3">
      <c r="A125" s="9" t="s">
        <v>390</v>
      </c>
      <c r="B125" s="10" t="s">
        <v>1356</v>
      </c>
      <c r="C125" s="88">
        <v>416</v>
      </c>
      <c r="D125" s="86">
        <v>117.5</v>
      </c>
      <c r="E125" s="87">
        <v>36</v>
      </c>
      <c r="F125" s="86">
        <v>85</v>
      </c>
      <c r="G125" s="17">
        <v>26</v>
      </c>
      <c r="H125" s="88">
        <v>30</v>
      </c>
      <c r="I125" s="89">
        <v>45000</v>
      </c>
      <c r="J125" s="89" t="s">
        <v>79</v>
      </c>
      <c r="K125" s="89">
        <v>39000</v>
      </c>
      <c r="L125" s="89" t="s">
        <v>79</v>
      </c>
      <c r="M125" s="90">
        <f t="shared" si="95"/>
        <v>6000</v>
      </c>
      <c r="N125" s="4">
        <f t="shared" si="96"/>
        <v>0.8666666666666667</v>
      </c>
      <c r="O125" s="91">
        <f t="shared" si="97"/>
        <v>1250</v>
      </c>
      <c r="P125" s="91">
        <f t="shared" si="98"/>
        <v>1083.3333333333333</v>
      </c>
      <c r="Q125" s="79">
        <v>3</v>
      </c>
      <c r="R125" s="79">
        <v>2</v>
      </c>
      <c r="S125" s="79" t="s">
        <v>62</v>
      </c>
      <c r="T125" s="5" t="s">
        <v>116</v>
      </c>
      <c r="U125" s="9"/>
      <c r="W125" s="86">
        <f t="shared" si="99"/>
        <v>117.5</v>
      </c>
      <c r="X125" s="87">
        <f t="shared" si="99"/>
        <v>36</v>
      </c>
      <c r="Y125" s="92">
        <f t="shared" si="100"/>
        <v>30</v>
      </c>
      <c r="Z125" s="90">
        <f t="shared" si="100"/>
        <v>45000</v>
      </c>
      <c r="AA125" s="90">
        <f t="shared" si="101"/>
        <v>39000</v>
      </c>
      <c r="AB125" s="90">
        <f t="shared" si="102"/>
        <v>6000</v>
      </c>
      <c r="AC125" s="4">
        <f t="shared" si="102"/>
        <v>0.8666666666666667</v>
      </c>
      <c r="AD125" s="91">
        <f t="shared" si="102"/>
        <v>1250</v>
      </c>
      <c r="AE125" s="79" t="str">
        <f t="shared" si="103"/>
        <v>계</v>
      </c>
      <c r="AF125" s="79" t="str">
        <f t="shared" si="104"/>
        <v>3/2</v>
      </c>
      <c r="AH125" s="20" t="str">
        <f t="shared" si="86"/>
        <v>가로수마을한라비발디</v>
      </c>
      <c r="AI125" s="87">
        <f t="shared" si="82"/>
        <v>36</v>
      </c>
      <c r="AJ125" s="79" t="str">
        <f t="shared" si="105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06"/>
        <v>C</v>
      </c>
      <c r="AO125" s="79" t="str">
        <f t="shared" si="107"/>
        <v>O</v>
      </c>
      <c r="AP125" s="79" t="str">
        <f t="shared" si="108"/>
        <v>O</v>
      </c>
      <c r="AQ125" s="79" t="str">
        <f t="shared" si="109"/>
        <v>O</v>
      </c>
      <c r="AR125" s="79" t="str">
        <f t="shared" si="110"/>
        <v>O</v>
      </c>
      <c r="AS125" s="79" t="s">
        <v>2</v>
      </c>
      <c r="AT125" s="79" t="str">
        <f t="shared" si="111"/>
        <v>O</v>
      </c>
      <c r="AU125" s="79" t="str">
        <f t="shared" si="112"/>
        <v>O</v>
      </c>
      <c r="AV125" s="79" t="str">
        <f t="shared" si="113"/>
        <v>후보</v>
      </c>
    </row>
  </sheetData>
  <mergeCells count="1">
    <mergeCell ref="AJ1:AN1"/>
  </mergeCells>
  <phoneticPr fontId="2" type="noConversion"/>
  <conditionalFormatting sqref="AV4:AV6">
    <cfRule type="expression" dxfId="6713" priority="1889">
      <formula>AV4="X"</formula>
    </cfRule>
    <cfRule type="expression" dxfId="6712" priority="1890">
      <formula>AV4="후보"</formula>
    </cfRule>
  </conditionalFormatting>
  <conditionalFormatting sqref="AC1:AC2 AC4:AC6 N4:N5">
    <cfRule type="cellIs" dxfId="6711" priority="1886" operator="greaterThan">
      <formula>0.9</formula>
    </cfRule>
    <cfRule type="cellIs" dxfId="6710" priority="1887" operator="greaterThan">
      <formula>0.85</formula>
    </cfRule>
  </conditionalFormatting>
  <conditionalFormatting sqref="N1:N2">
    <cfRule type="cellIs" dxfId="6709" priority="1884" operator="greaterThan">
      <formula>0.9</formula>
    </cfRule>
    <cfRule type="cellIs" dxfId="6708" priority="1885" operator="greaterThan">
      <formula>0.85</formula>
    </cfRule>
  </conditionalFormatting>
  <conditionalFormatting sqref="N6">
    <cfRule type="cellIs" dxfId="6707" priority="1882" operator="greaterThan">
      <formula>0.9</formula>
    </cfRule>
    <cfRule type="cellIs" dxfId="6706" priority="1883" operator="greaterThan">
      <formula>0.85</formula>
    </cfRule>
  </conditionalFormatting>
  <conditionalFormatting sqref="E6">
    <cfRule type="expression" dxfId="6705" priority="1878">
      <formula>AND(IF(OR($Q6=1,$Q6=2),1,0),IF($X6&lt;=20,1,0))</formula>
    </cfRule>
    <cfRule type="expression" dxfId="6704" priority="1879">
      <formula>AND(IF($Q6=2,1,0),IF($X6&lt;30,1,0))</formula>
    </cfRule>
    <cfRule type="expression" dxfId="6703" priority="1880">
      <formula>AND(IF($Q6=3,1,0),IF($X6&lt;30,1,0))</formula>
    </cfRule>
    <cfRule type="expression" dxfId="6702" priority="1881">
      <formula>AND(IF($Q6=3,1,IF($Q6=4,1,0)),IF($F6&lt;=85,1,0))</formula>
    </cfRule>
  </conditionalFormatting>
  <conditionalFormatting sqref="X6">
    <cfRule type="expression" dxfId="6701" priority="1874">
      <formula>AND(IF(OR($Q6=1,$Q6=2),1,0),IF($X6&lt;=20,1,0))</formula>
    </cfRule>
    <cfRule type="expression" dxfId="6700" priority="1875">
      <formula>AND(IF($Q6=2,1,0),IF($X6&lt;30,1,0))</formula>
    </cfRule>
    <cfRule type="expression" dxfId="6699" priority="1876">
      <formula>AND(IF($Q6=3,1,0),IF($X6&lt;30,1,0))</formula>
    </cfRule>
    <cfRule type="expression" dxfId="6698" priority="1877">
      <formula>AND(IF($Q6=3,1,IF($Q6=4,1,0)),IF($F6&lt;=85,1,0))</formula>
    </cfRule>
  </conditionalFormatting>
  <conditionalFormatting sqref="AI6">
    <cfRule type="expression" dxfId="6697" priority="1870">
      <formula>AND(IF(OR($Q6=1,$Q6=2),1,0),IF($X6&lt;=20,1,0))</formula>
    </cfRule>
    <cfRule type="expression" dxfId="6696" priority="1871">
      <formula>AND(IF($Q6=2,1,0),IF($X6&lt;30,1,0))</formula>
    </cfRule>
    <cfRule type="expression" dxfId="6695" priority="1872">
      <formula>AND(IF($Q6=3,1,0),IF($X6&lt;30,1,0))</formula>
    </cfRule>
    <cfRule type="expression" dxfId="6694" priority="1873">
      <formula>AND(IF($Q6=3,1,IF($Q6=4,1,0)),IF($F6&lt;=85,1,0))</formula>
    </cfRule>
  </conditionalFormatting>
  <conditionalFormatting sqref="AV7">
    <cfRule type="expression" dxfId="6693" priority="1868">
      <formula>AV7="X"</formula>
    </cfRule>
    <cfRule type="expression" dxfId="6692" priority="1869">
      <formula>AV7="후보"</formula>
    </cfRule>
  </conditionalFormatting>
  <conditionalFormatting sqref="AC7">
    <cfRule type="cellIs" dxfId="6691" priority="1865" operator="greaterThan">
      <formula>0.9</formula>
    </cfRule>
    <cfRule type="cellIs" dxfId="6690" priority="1866" operator="greaterThan">
      <formula>0.85</formula>
    </cfRule>
  </conditionalFormatting>
  <conditionalFormatting sqref="N7">
    <cfRule type="cellIs" dxfId="6689" priority="1863" operator="greaterThan">
      <formula>0.9</formula>
    </cfRule>
    <cfRule type="cellIs" dxfId="6688" priority="1864" operator="greaterThan">
      <formula>0.85</formula>
    </cfRule>
  </conditionalFormatting>
  <conditionalFormatting sqref="E7">
    <cfRule type="expression" dxfId="6687" priority="1859">
      <formula>AND(IF(OR($Q7=1,$Q7=2),1,0),IF($X7&lt;=20,1,0))</formula>
    </cfRule>
    <cfRule type="expression" dxfId="6686" priority="1860">
      <formula>AND(IF($Q7=2,1,0),IF($X7&lt;30,1,0))</formula>
    </cfRule>
    <cfRule type="expression" dxfId="6685" priority="1861">
      <formula>AND(IF($Q7=3,1,0),IF($X7&lt;30,1,0))</formula>
    </cfRule>
    <cfRule type="expression" dxfId="6684" priority="1862">
      <formula>AND(IF($Q7=3,1,IF($Q7=4,1,0)),IF($F7&lt;=85,1,0))</formula>
    </cfRule>
  </conditionalFormatting>
  <conditionalFormatting sqref="X7">
    <cfRule type="expression" dxfId="6683" priority="1855">
      <formula>AND(IF(OR($Q7=1,$Q7=2),1,0),IF($X7&lt;=20,1,0))</formula>
    </cfRule>
    <cfRule type="expression" dxfId="6682" priority="1856">
      <formula>AND(IF($Q7=2,1,0),IF($X7&lt;30,1,0))</formula>
    </cfRule>
    <cfRule type="expression" dxfId="6681" priority="1857">
      <formula>AND(IF($Q7=3,1,0),IF($X7&lt;30,1,0))</formula>
    </cfRule>
    <cfRule type="expression" dxfId="6680" priority="1858">
      <formula>AND(IF($Q7=3,1,IF($Q7=4,1,0)),IF($F7&lt;=85,1,0))</formula>
    </cfRule>
  </conditionalFormatting>
  <conditionalFormatting sqref="AI7">
    <cfRule type="expression" dxfId="6679" priority="1851">
      <formula>AND(IF(OR($Q7=1,$Q7=2),1,0),IF($X7&lt;=20,1,0))</formula>
    </cfRule>
    <cfRule type="expression" dxfId="6678" priority="1852">
      <formula>AND(IF($Q7=2,1,0),IF($X7&lt;30,1,0))</formula>
    </cfRule>
    <cfRule type="expression" dxfId="6677" priority="1853">
      <formula>AND(IF($Q7=3,1,0),IF($X7&lt;30,1,0))</formula>
    </cfRule>
    <cfRule type="expression" dxfId="6676" priority="1854">
      <formula>AND(IF($Q7=3,1,IF($Q7=4,1,0)),IF($F7&lt;=85,1,0))</formula>
    </cfRule>
  </conditionalFormatting>
  <conditionalFormatting sqref="AV8">
    <cfRule type="expression" dxfId="6675" priority="1849">
      <formula>AV8="X"</formula>
    </cfRule>
    <cfRule type="expression" dxfId="6674" priority="1850">
      <formula>AV8="후보"</formula>
    </cfRule>
  </conditionalFormatting>
  <conditionalFormatting sqref="AC8 N8">
    <cfRule type="cellIs" dxfId="6673" priority="1846" operator="greaterThan">
      <formula>0.9</formula>
    </cfRule>
    <cfRule type="cellIs" dxfId="6672" priority="1847" operator="greaterThan">
      <formula>0.85</formula>
    </cfRule>
  </conditionalFormatting>
  <conditionalFormatting sqref="AV9">
    <cfRule type="expression" dxfId="6671" priority="1844">
      <formula>AV9="X"</formula>
    </cfRule>
    <cfRule type="expression" dxfId="6670" priority="1845">
      <formula>AV9="후보"</formula>
    </cfRule>
  </conditionalFormatting>
  <conditionalFormatting sqref="AC9">
    <cfRule type="cellIs" dxfId="6669" priority="1841" operator="greaterThan">
      <formula>0.9</formula>
    </cfRule>
    <cfRule type="cellIs" dxfId="6668" priority="1842" operator="greaterThan">
      <formula>0.85</formula>
    </cfRule>
  </conditionalFormatting>
  <conditionalFormatting sqref="N9">
    <cfRule type="cellIs" dxfId="6667" priority="1839" operator="greaterThan">
      <formula>0.9</formula>
    </cfRule>
    <cfRule type="cellIs" dxfId="6666" priority="1840" operator="greaterThan">
      <formula>0.85</formula>
    </cfRule>
  </conditionalFormatting>
  <conditionalFormatting sqref="E9">
    <cfRule type="expression" dxfId="6665" priority="1835">
      <formula>AND(IF(OR($Q9=1,$Q9=2),1,0),IF($X9&lt;=20,1,0))</formula>
    </cfRule>
    <cfRule type="expression" dxfId="6664" priority="1836">
      <formula>AND(IF($Q9=2,1,0),IF($X9&lt;30,1,0))</formula>
    </cfRule>
    <cfRule type="expression" dxfId="6663" priority="1837">
      <formula>AND(IF($Q9=3,1,0),IF($X9&lt;30,1,0))</formula>
    </cfRule>
    <cfRule type="expression" dxfId="6662" priority="1838">
      <formula>AND(IF($Q9=3,1,IF($Q9=4,1,0)),IF($F9&lt;=85,1,0))</formula>
    </cfRule>
  </conditionalFormatting>
  <conditionalFormatting sqref="X9">
    <cfRule type="expression" dxfId="6661" priority="1831">
      <formula>AND(IF(OR($Q9=1,$Q9=2),1,0),IF($X9&lt;=20,1,0))</formula>
    </cfRule>
    <cfRule type="expression" dxfId="6660" priority="1832">
      <formula>AND(IF($Q9=2,1,0),IF($X9&lt;30,1,0))</formula>
    </cfRule>
    <cfRule type="expression" dxfId="6659" priority="1833">
      <formula>AND(IF($Q9=3,1,0),IF($X9&lt;30,1,0))</formula>
    </cfRule>
    <cfRule type="expression" dxfId="6658" priority="1834">
      <formula>AND(IF($Q9=3,1,IF($Q9=4,1,0)),IF($F9&lt;=85,1,0))</formula>
    </cfRule>
  </conditionalFormatting>
  <conditionalFormatting sqref="AI9">
    <cfRule type="expression" dxfId="6657" priority="1827">
      <formula>AND(IF(OR($Q9=1,$Q9=2),1,0),IF($X9&lt;=20,1,0))</formula>
    </cfRule>
    <cfRule type="expression" dxfId="6656" priority="1828">
      <formula>AND(IF($Q9=2,1,0),IF($X9&lt;30,1,0))</formula>
    </cfRule>
    <cfRule type="expression" dxfId="6655" priority="1829">
      <formula>AND(IF($Q9=3,1,0),IF($X9&lt;30,1,0))</formula>
    </cfRule>
    <cfRule type="expression" dxfId="6654" priority="1830">
      <formula>AND(IF($Q9=3,1,IF($Q9=4,1,0)),IF($F9&lt;=85,1,0))</formula>
    </cfRule>
  </conditionalFormatting>
  <conditionalFormatting sqref="AV10">
    <cfRule type="expression" dxfId="6653" priority="1825">
      <formula>AV10="X"</formula>
    </cfRule>
    <cfRule type="expression" dxfId="6652" priority="1826">
      <formula>AV10="후보"</formula>
    </cfRule>
  </conditionalFormatting>
  <conditionalFormatting sqref="AC10">
    <cfRule type="cellIs" dxfId="6651" priority="1822" operator="greaterThan">
      <formula>0.9</formula>
    </cfRule>
    <cfRule type="cellIs" dxfId="6650" priority="1823" operator="greaterThan">
      <formula>0.85</formula>
    </cfRule>
  </conditionalFormatting>
  <conditionalFormatting sqref="N10">
    <cfRule type="cellIs" dxfId="6649" priority="1820" operator="greaterThan">
      <formula>0.9</formula>
    </cfRule>
    <cfRule type="cellIs" dxfId="6648" priority="1821" operator="greaterThan">
      <formula>0.85</formula>
    </cfRule>
  </conditionalFormatting>
  <conditionalFormatting sqref="E10">
    <cfRule type="expression" dxfId="6647" priority="1816">
      <formula>AND(IF(OR($Q10=1,$Q10=2),1,0),IF($X10&lt;=20,1,0))</formula>
    </cfRule>
    <cfRule type="expression" dxfId="6646" priority="1817">
      <formula>AND(IF($Q10=2,1,0),IF($X10&lt;30,1,0))</formula>
    </cfRule>
    <cfRule type="expression" dxfId="6645" priority="1818">
      <formula>AND(IF($Q10=3,1,0),IF($X10&lt;30,1,0))</formula>
    </cfRule>
    <cfRule type="expression" dxfId="6644" priority="1819">
      <formula>AND(IF($Q10=3,1,IF($Q10=4,1,0)),IF($F10&lt;=85,1,0))</formula>
    </cfRule>
  </conditionalFormatting>
  <conditionalFormatting sqref="X10">
    <cfRule type="expression" dxfId="6643" priority="1812">
      <formula>AND(IF(OR($Q10=1,$Q10=2),1,0),IF($X10&lt;=20,1,0))</formula>
    </cfRule>
    <cfRule type="expression" dxfId="6642" priority="1813">
      <formula>AND(IF($Q10=2,1,0),IF($X10&lt;30,1,0))</formula>
    </cfRule>
    <cfRule type="expression" dxfId="6641" priority="1814">
      <formula>AND(IF($Q10=3,1,0),IF($X10&lt;30,1,0))</formula>
    </cfRule>
    <cfRule type="expression" dxfId="6640" priority="1815">
      <formula>AND(IF($Q10=3,1,IF($Q10=4,1,0)),IF($F10&lt;=85,1,0))</formula>
    </cfRule>
  </conditionalFormatting>
  <conditionalFormatting sqref="AI10">
    <cfRule type="expression" dxfId="6639" priority="1808">
      <formula>AND(IF(OR($Q10=1,$Q10=2),1,0),IF($X10&lt;=20,1,0))</formula>
    </cfRule>
    <cfRule type="expression" dxfId="6638" priority="1809">
      <formula>AND(IF($Q10=2,1,0),IF($X10&lt;30,1,0))</formula>
    </cfRule>
    <cfRule type="expression" dxfId="6637" priority="1810">
      <formula>AND(IF($Q10=3,1,0),IF($X10&lt;30,1,0))</formula>
    </cfRule>
    <cfRule type="expression" dxfId="6636" priority="1811">
      <formula>AND(IF($Q10=3,1,IF($Q10=4,1,0)),IF($F10&lt;=85,1,0))</formula>
    </cfRule>
  </conditionalFormatting>
  <conditionalFormatting sqref="AV11">
    <cfRule type="expression" dxfId="6635" priority="1806">
      <formula>AV11="X"</formula>
    </cfRule>
    <cfRule type="expression" dxfId="6634" priority="1807">
      <formula>AV11="후보"</formula>
    </cfRule>
  </conditionalFormatting>
  <conditionalFormatting sqref="AC11 N11">
    <cfRule type="cellIs" dxfId="6633" priority="1803" operator="greaterThan">
      <formula>0.9</formula>
    </cfRule>
    <cfRule type="cellIs" dxfId="6632" priority="1804" operator="greaterThan">
      <formula>0.85</formula>
    </cfRule>
  </conditionalFormatting>
  <conditionalFormatting sqref="AV12">
    <cfRule type="expression" dxfId="6631" priority="1801">
      <formula>AV12="X"</formula>
    </cfRule>
    <cfRule type="expression" dxfId="6630" priority="1802">
      <formula>AV12="후보"</formula>
    </cfRule>
  </conditionalFormatting>
  <conditionalFormatting sqref="AC12">
    <cfRule type="cellIs" dxfId="6629" priority="1798" operator="greaterThan">
      <formula>0.9</formula>
    </cfRule>
    <cfRule type="cellIs" dxfId="6628" priority="1799" operator="greaterThan">
      <formula>0.85</formula>
    </cfRule>
  </conditionalFormatting>
  <conditionalFormatting sqref="N12">
    <cfRule type="cellIs" dxfId="6627" priority="1796" operator="greaterThan">
      <formula>0.9</formula>
    </cfRule>
    <cfRule type="cellIs" dxfId="6626" priority="1797" operator="greaterThan">
      <formula>0.85</formula>
    </cfRule>
  </conditionalFormatting>
  <conditionalFormatting sqref="E12">
    <cfRule type="expression" dxfId="6625" priority="1792">
      <formula>AND(IF(OR($Q12=1,$Q12=2),1,0),IF($X12&lt;=20,1,0))</formula>
    </cfRule>
    <cfRule type="expression" dxfId="6624" priority="1793">
      <formula>AND(IF($Q12=2,1,0),IF($X12&lt;30,1,0))</formula>
    </cfRule>
    <cfRule type="expression" dxfId="6623" priority="1794">
      <formula>AND(IF($Q12=3,1,0),IF($X12&lt;30,1,0))</formula>
    </cfRule>
    <cfRule type="expression" dxfId="6622" priority="1795">
      <formula>AND(IF($Q12=3,1,IF($Q12=4,1,0)),IF($F12&lt;=85,1,0))</formula>
    </cfRule>
  </conditionalFormatting>
  <conditionalFormatting sqref="X12">
    <cfRule type="expression" dxfId="6621" priority="1788">
      <formula>AND(IF(OR($Q12=1,$Q12=2),1,0),IF($X12&lt;=20,1,0))</formula>
    </cfRule>
    <cfRule type="expression" dxfId="6620" priority="1789">
      <formula>AND(IF($Q12=2,1,0),IF($X12&lt;30,1,0))</formula>
    </cfRule>
    <cfRule type="expression" dxfId="6619" priority="1790">
      <formula>AND(IF($Q12=3,1,0),IF($X12&lt;30,1,0))</formula>
    </cfRule>
    <cfRule type="expression" dxfId="6618" priority="1791">
      <formula>AND(IF($Q12=3,1,IF($Q12=4,1,0)),IF($F12&lt;=85,1,0))</formula>
    </cfRule>
  </conditionalFormatting>
  <conditionalFormatting sqref="AI12">
    <cfRule type="expression" dxfId="6617" priority="1784">
      <formula>AND(IF(OR($Q12=1,$Q12=2),1,0),IF($X12&lt;=20,1,0))</formula>
    </cfRule>
    <cfRule type="expression" dxfId="6616" priority="1785">
      <formula>AND(IF($Q12=2,1,0),IF($X12&lt;30,1,0))</formula>
    </cfRule>
    <cfRule type="expression" dxfId="6615" priority="1786">
      <formula>AND(IF($Q12=3,1,0),IF($X12&lt;30,1,0))</formula>
    </cfRule>
    <cfRule type="expression" dxfId="6614" priority="1787">
      <formula>AND(IF($Q12=3,1,IF($Q12=4,1,0)),IF($F12&lt;=85,1,0))</formula>
    </cfRule>
  </conditionalFormatting>
  <conditionalFormatting sqref="AV13">
    <cfRule type="expression" dxfId="6613" priority="1782">
      <formula>AV13="X"</formula>
    </cfRule>
    <cfRule type="expression" dxfId="6612" priority="1783">
      <formula>AV13="후보"</formula>
    </cfRule>
  </conditionalFormatting>
  <conditionalFormatting sqref="AC13">
    <cfRule type="cellIs" dxfId="6611" priority="1779" operator="greaterThan">
      <formula>0.9</formula>
    </cfRule>
    <cfRule type="cellIs" dxfId="6610" priority="1780" operator="greaterThan">
      <formula>0.85</formula>
    </cfRule>
  </conditionalFormatting>
  <conditionalFormatting sqref="N13">
    <cfRule type="cellIs" dxfId="6609" priority="1777" operator="greaterThan">
      <formula>0.9</formula>
    </cfRule>
    <cfRule type="cellIs" dxfId="6608" priority="1778" operator="greaterThan">
      <formula>0.85</formula>
    </cfRule>
  </conditionalFormatting>
  <conditionalFormatting sqref="E13">
    <cfRule type="expression" dxfId="6607" priority="1773">
      <formula>AND(IF(OR($Q13=1,$Q13=2),1,0),IF($X13&lt;=20,1,0))</formula>
    </cfRule>
    <cfRule type="expression" dxfId="6606" priority="1774">
      <formula>AND(IF($Q13=2,1,0),IF($X13&lt;30,1,0))</formula>
    </cfRule>
    <cfRule type="expression" dxfId="6605" priority="1775">
      <formula>AND(IF($Q13=3,1,0),IF($X13&lt;30,1,0))</formula>
    </cfRule>
    <cfRule type="expression" dxfId="6604" priority="1776">
      <formula>AND(IF($Q13=3,1,IF($Q13=4,1,0)),IF($F13&lt;=85,1,0))</formula>
    </cfRule>
  </conditionalFormatting>
  <conditionalFormatting sqref="X13">
    <cfRule type="expression" dxfId="6603" priority="1769">
      <formula>AND(IF(OR($Q13=1,$Q13=2),1,0),IF($X13&lt;=20,1,0))</formula>
    </cfRule>
    <cfRule type="expression" dxfId="6602" priority="1770">
      <formula>AND(IF($Q13=2,1,0),IF($X13&lt;30,1,0))</formula>
    </cfRule>
    <cfRule type="expression" dxfId="6601" priority="1771">
      <formula>AND(IF($Q13=3,1,0),IF($X13&lt;30,1,0))</formula>
    </cfRule>
    <cfRule type="expression" dxfId="6600" priority="1772">
      <formula>AND(IF($Q13=3,1,IF($Q13=4,1,0)),IF($F13&lt;=85,1,0))</formula>
    </cfRule>
  </conditionalFormatting>
  <conditionalFormatting sqref="AI13">
    <cfRule type="expression" dxfId="6599" priority="1765">
      <formula>AND(IF(OR($Q13=1,$Q13=2),1,0),IF($X13&lt;=20,1,0))</formula>
    </cfRule>
    <cfRule type="expression" dxfId="6598" priority="1766">
      <formula>AND(IF($Q13=2,1,0),IF($X13&lt;30,1,0))</formula>
    </cfRule>
    <cfRule type="expression" dxfId="6597" priority="1767">
      <formula>AND(IF($Q13=3,1,0),IF($X13&lt;30,1,0))</formula>
    </cfRule>
    <cfRule type="expression" dxfId="6596" priority="1768">
      <formula>AND(IF($Q13=3,1,IF($Q13=4,1,0)),IF($F13&lt;=85,1,0))</formula>
    </cfRule>
  </conditionalFormatting>
  <conditionalFormatting sqref="AV14">
    <cfRule type="expression" dxfId="6595" priority="1763">
      <formula>AV14="X"</formula>
    </cfRule>
    <cfRule type="expression" dxfId="6594" priority="1764">
      <formula>AV14="후보"</formula>
    </cfRule>
  </conditionalFormatting>
  <conditionalFormatting sqref="AC14 N14">
    <cfRule type="cellIs" dxfId="6593" priority="1760" operator="greaterThan">
      <formula>0.9</formula>
    </cfRule>
    <cfRule type="cellIs" dxfId="6592" priority="1761" operator="greaterThan">
      <formula>0.85</formula>
    </cfRule>
  </conditionalFormatting>
  <conditionalFormatting sqref="AV15">
    <cfRule type="expression" dxfId="6591" priority="1758">
      <formula>AV15="X"</formula>
    </cfRule>
    <cfRule type="expression" dxfId="6590" priority="1759">
      <formula>AV15="후보"</formula>
    </cfRule>
  </conditionalFormatting>
  <conditionalFormatting sqref="AC15">
    <cfRule type="cellIs" dxfId="6589" priority="1755" operator="greaterThan">
      <formula>0.9</formula>
    </cfRule>
    <cfRule type="cellIs" dxfId="6588" priority="1756" operator="greaterThan">
      <formula>0.85</formula>
    </cfRule>
  </conditionalFormatting>
  <conditionalFormatting sqref="N15">
    <cfRule type="cellIs" dxfId="6587" priority="1753" operator="greaterThan">
      <formula>0.9</formula>
    </cfRule>
    <cfRule type="cellIs" dxfId="6586" priority="1754" operator="greaterThan">
      <formula>0.85</formula>
    </cfRule>
  </conditionalFormatting>
  <conditionalFormatting sqref="E15">
    <cfRule type="expression" dxfId="6585" priority="1749">
      <formula>AND(IF(OR($Q15=1,$Q15=2),1,0),IF($X15&lt;=20,1,0))</formula>
    </cfRule>
    <cfRule type="expression" dxfId="6584" priority="1750">
      <formula>AND(IF($Q15=2,1,0),IF($X15&lt;30,1,0))</formula>
    </cfRule>
    <cfRule type="expression" dxfId="6583" priority="1751">
      <formula>AND(IF($Q15=3,1,0),IF($X15&lt;30,1,0))</formula>
    </cfRule>
    <cfRule type="expression" dxfId="6582" priority="1752">
      <formula>AND(IF($Q15=3,1,IF($Q15=4,1,0)),IF($F15&lt;=85,1,0))</formula>
    </cfRule>
  </conditionalFormatting>
  <conditionalFormatting sqref="X15">
    <cfRule type="expression" dxfId="6581" priority="1745">
      <formula>AND(IF(OR($Q15=1,$Q15=2),1,0),IF($X15&lt;=20,1,0))</formula>
    </cfRule>
    <cfRule type="expression" dxfId="6580" priority="1746">
      <formula>AND(IF($Q15=2,1,0),IF($X15&lt;30,1,0))</formula>
    </cfRule>
    <cfRule type="expression" dxfId="6579" priority="1747">
      <formula>AND(IF($Q15=3,1,0),IF($X15&lt;30,1,0))</formula>
    </cfRule>
    <cfRule type="expression" dxfId="6578" priority="1748">
      <formula>AND(IF($Q15=3,1,IF($Q15=4,1,0)),IF($F15&lt;=85,1,0))</formula>
    </cfRule>
  </conditionalFormatting>
  <conditionalFormatting sqref="AI15">
    <cfRule type="expression" dxfId="6577" priority="1741">
      <formula>AND(IF(OR($Q15=1,$Q15=2),1,0),IF($X15&lt;=20,1,0))</formula>
    </cfRule>
    <cfRule type="expression" dxfId="6576" priority="1742">
      <formula>AND(IF($Q15=2,1,0),IF($X15&lt;30,1,0))</formula>
    </cfRule>
    <cfRule type="expression" dxfId="6575" priority="1743">
      <formula>AND(IF($Q15=3,1,0),IF($X15&lt;30,1,0))</formula>
    </cfRule>
    <cfRule type="expression" dxfId="6574" priority="1744">
      <formula>AND(IF($Q15=3,1,IF($Q15=4,1,0)),IF($F15&lt;=85,1,0))</formula>
    </cfRule>
  </conditionalFormatting>
  <conditionalFormatting sqref="AV16">
    <cfRule type="expression" dxfId="6573" priority="1739">
      <formula>AV16="X"</formula>
    </cfRule>
    <cfRule type="expression" dxfId="6572" priority="1740">
      <formula>AV16="후보"</formula>
    </cfRule>
  </conditionalFormatting>
  <conditionalFormatting sqref="AC16">
    <cfRule type="cellIs" dxfId="6571" priority="1736" operator="greaterThan">
      <formula>0.9</formula>
    </cfRule>
    <cfRule type="cellIs" dxfId="6570" priority="1737" operator="greaterThan">
      <formula>0.85</formula>
    </cfRule>
  </conditionalFormatting>
  <conditionalFormatting sqref="N16">
    <cfRule type="cellIs" dxfId="6569" priority="1734" operator="greaterThan">
      <formula>0.9</formula>
    </cfRule>
    <cfRule type="cellIs" dxfId="6568" priority="1735" operator="greaterThan">
      <formula>0.85</formula>
    </cfRule>
  </conditionalFormatting>
  <conditionalFormatting sqref="E16">
    <cfRule type="expression" dxfId="6567" priority="1730">
      <formula>AND(IF(OR($Q16=1,$Q16=2),1,0),IF($X16&lt;=20,1,0))</formula>
    </cfRule>
    <cfRule type="expression" dxfId="6566" priority="1731">
      <formula>AND(IF($Q16=2,1,0),IF($X16&lt;30,1,0))</formula>
    </cfRule>
    <cfRule type="expression" dxfId="6565" priority="1732">
      <formula>AND(IF($Q16=3,1,0),IF($X16&lt;30,1,0))</formula>
    </cfRule>
    <cfRule type="expression" dxfId="6564" priority="1733">
      <formula>AND(IF($Q16=3,1,IF($Q16=4,1,0)),IF($F16&lt;=85,1,0))</formula>
    </cfRule>
  </conditionalFormatting>
  <conditionalFormatting sqref="X16">
    <cfRule type="expression" dxfId="6563" priority="1726">
      <formula>AND(IF(OR($Q16=1,$Q16=2),1,0),IF($X16&lt;=20,1,0))</formula>
    </cfRule>
    <cfRule type="expression" dxfId="6562" priority="1727">
      <formula>AND(IF($Q16=2,1,0),IF($X16&lt;30,1,0))</formula>
    </cfRule>
    <cfRule type="expression" dxfId="6561" priority="1728">
      <formula>AND(IF($Q16=3,1,0),IF($X16&lt;30,1,0))</formula>
    </cfRule>
    <cfRule type="expression" dxfId="6560" priority="1729">
      <formula>AND(IF($Q16=3,1,IF($Q16=4,1,0)),IF($F16&lt;=85,1,0))</formula>
    </cfRule>
  </conditionalFormatting>
  <conditionalFormatting sqref="AI16">
    <cfRule type="expression" dxfId="6559" priority="1722">
      <formula>AND(IF(OR($Q16=1,$Q16=2),1,0),IF($X16&lt;=20,1,0))</formula>
    </cfRule>
    <cfRule type="expression" dxfId="6558" priority="1723">
      <formula>AND(IF($Q16=2,1,0),IF($X16&lt;30,1,0))</formula>
    </cfRule>
    <cfRule type="expression" dxfId="6557" priority="1724">
      <formula>AND(IF($Q16=3,1,0),IF($X16&lt;30,1,0))</formula>
    </cfRule>
    <cfRule type="expression" dxfId="6556" priority="1725">
      <formula>AND(IF($Q16=3,1,IF($Q16=4,1,0)),IF($F16&lt;=85,1,0))</formula>
    </cfRule>
  </conditionalFormatting>
  <conditionalFormatting sqref="AV17">
    <cfRule type="expression" dxfId="6555" priority="1720">
      <formula>AV17="X"</formula>
    </cfRule>
    <cfRule type="expression" dxfId="6554" priority="1721">
      <formula>AV17="후보"</formula>
    </cfRule>
  </conditionalFormatting>
  <conditionalFormatting sqref="AC17">
    <cfRule type="cellIs" dxfId="6553" priority="1717" operator="greaterThan">
      <formula>0.9</formula>
    </cfRule>
    <cfRule type="cellIs" dxfId="6552" priority="1718" operator="greaterThan">
      <formula>0.85</formula>
    </cfRule>
  </conditionalFormatting>
  <conditionalFormatting sqref="N17">
    <cfRule type="cellIs" dxfId="6551" priority="1715" operator="greaterThan">
      <formula>0.9</formula>
    </cfRule>
    <cfRule type="cellIs" dxfId="6550" priority="1716" operator="greaterThan">
      <formula>0.85</formula>
    </cfRule>
  </conditionalFormatting>
  <conditionalFormatting sqref="E17">
    <cfRule type="expression" dxfId="6549" priority="1711">
      <formula>AND(IF(OR($Q17=1,$Q17=2),1,0),IF($X17&lt;=20,1,0))</formula>
    </cfRule>
    <cfRule type="expression" dxfId="6548" priority="1712">
      <formula>AND(IF($Q17=2,1,0),IF($X17&lt;30,1,0))</formula>
    </cfRule>
    <cfRule type="expression" dxfId="6547" priority="1713">
      <formula>AND(IF($Q17=3,1,0),IF($X17&lt;30,1,0))</formula>
    </cfRule>
    <cfRule type="expression" dxfId="6546" priority="1714">
      <formula>AND(IF($Q17=3,1,IF($Q17=4,1,0)),IF($F17&lt;=85,1,0))</formula>
    </cfRule>
  </conditionalFormatting>
  <conditionalFormatting sqref="X17">
    <cfRule type="expression" dxfId="6545" priority="1707">
      <formula>AND(IF(OR($Q17=1,$Q17=2),1,0),IF($X17&lt;=20,1,0))</formula>
    </cfRule>
    <cfRule type="expression" dxfId="6544" priority="1708">
      <formula>AND(IF($Q17=2,1,0),IF($X17&lt;30,1,0))</formula>
    </cfRule>
    <cfRule type="expression" dxfId="6543" priority="1709">
      <formula>AND(IF($Q17=3,1,0),IF($X17&lt;30,1,0))</formula>
    </cfRule>
    <cfRule type="expression" dxfId="6542" priority="1710">
      <formula>AND(IF($Q17=3,1,IF($Q17=4,1,0)),IF($F17&lt;=85,1,0))</formula>
    </cfRule>
  </conditionalFormatting>
  <conditionalFormatting sqref="AI17">
    <cfRule type="expression" dxfId="6541" priority="1703">
      <formula>AND(IF(OR($Q17=1,$Q17=2),1,0),IF($X17&lt;=20,1,0))</formula>
    </cfRule>
    <cfRule type="expression" dxfId="6540" priority="1704">
      <formula>AND(IF($Q17=2,1,0),IF($X17&lt;30,1,0))</formula>
    </cfRule>
    <cfRule type="expression" dxfId="6539" priority="1705">
      <formula>AND(IF($Q17=3,1,0),IF($X17&lt;30,1,0))</formula>
    </cfRule>
    <cfRule type="expression" dxfId="6538" priority="1706">
      <formula>AND(IF($Q17=3,1,IF($Q17=4,1,0)),IF($F17&lt;=85,1,0))</formula>
    </cfRule>
  </conditionalFormatting>
  <conditionalFormatting sqref="AV18">
    <cfRule type="expression" dxfId="6537" priority="1701">
      <formula>AV18="X"</formula>
    </cfRule>
    <cfRule type="expression" dxfId="6536" priority="1702">
      <formula>AV18="후보"</formula>
    </cfRule>
  </conditionalFormatting>
  <conditionalFormatting sqref="AC18 N18">
    <cfRule type="cellIs" dxfId="6535" priority="1698" operator="greaterThan">
      <formula>0.9</formula>
    </cfRule>
    <cfRule type="cellIs" dxfId="6534" priority="1699" operator="greaterThan">
      <formula>0.85</formula>
    </cfRule>
  </conditionalFormatting>
  <conditionalFormatting sqref="AV19">
    <cfRule type="expression" dxfId="6533" priority="1696">
      <formula>AV19="X"</formula>
    </cfRule>
    <cfRule type="expression" dxfId="6532" priority="1697">
      <formula>AV19="후보"</formula>
    </cfRule>
  </conditionalFormatting>
  <conditionalFormatting sqref="AC19">
    <cfRule type="cellIs" dxfId="6531" priority="1693" operator="greaterThan">
      <formula>0.9</formula>
    </cfRule>
    <cfRule type="cellIs" dxfId="6530" priority="1694" operator="greaterThan">
      <formula>0.85</formula>
    </cfRule>
  </conditionalFormatting>
  <conditionalFormatting sqref="N19">
    <cfRule type="cellIs" dxfId="6529" priority="1691" operator="greaterThan">
      <formula>0.9</formula>
    </cfRule>
    <cfRule type="cellIs" dxfId="6528" priority="1692" operator="greaterThan">
      <formula>0.85</formula>
    </cfRule>
  </conditionalFormatting>
  <conditionalFormatting sqref="E19">
    <cfRule type="expression" dxfId="6527" priority="1687">
      <formula>AND(IF(OR($Q19=1,$Q19=2),1,0),IF($X19&lt;=20,1,0))</formula>
    </cfRule>
    <cfRule type="expression" dxfId="6526" priority="1688">
      <formula>AND(IF($Q19=2,1,0),IF($X19&lt;30,1,0))</formula>
    </cfRule>
    <cfRule type="expression" dxfId="6525" priority="1689">
      <formula>AND(IF($Q19=3,1,0),IF($X19&lt;30,1,0))</formula>
    </cfRule>
    <cfRule type="expression" dxfId="6524" priority="1690">
      <formula>AND(IF($Q19=3,1,IF($Q19=4,1,0)),IF($F19&lt;=85,1,0))</formula>
    </cfRule>
  </conditionalFormatting>
  <conditionalFormatting sqref="X19">
    <cfRule type="expression" dxfId="6523" priority="1683">
      <formula>AND(IF(OR($Q19=1,$Q19=2),1,0),IF($X19&lt;=20,1,0))</formula>
    </cfRule>
    <cfRule type="expression" dxfId="6522" priority="1684">
      <formula>AND(IF($Q19=2,1,0),IF($X19&lt;30,1,0))</formula>
    </cfRule>
    <cfRule type="expression" dxfId="6521" priority="1685">
      <formula>AND(IF($Q19=3,1,0),IF($X19&lt;30,1,0))</formula>
    </cfRule>
    <cfRule type="expression" dxfId="6520" priority="1686">
      <formula>AND(IF($Q19=3,1,IF($Q19=4,1,0)),IF($F19&lt;=85,1,0))</formula>
    </cfRule>
  </conditionalFormatting>
  <conditionalFormatting sqref="AI19">
    <cfRule type="expression" dxfId="6519" priority="1679">
      <formula>AND(IF(OR($Q19=1,$Q19=2),1,0),IF($X19&lt;=20,1,0))</formula>
    </cfRule>
    <cfRule type="expression" dxfId="6518" priority="1680">
      <formula>AND(IF($Q19=2,1,0),IF($X19&lt;30,1,0))</formula>
    </cfRule>
    <cfRule type="expression" dxfId="6517" priority="1681">
      <formula>AND(IF($Q19=3,1,0),IF($X19&lt;30,1,0))</formula>
    </cfRule>
    <cfRule type="expression" dxfId="6516" priority="1682">
      <formula>AND(IF($Q19=3,1,IF($Q19=4,1,0)),IF($F19&lt;=85,1,0))</formula>
    </cfRule>
  </conditionalFormatting>
  <conditionalFormatting sqref="AV20">
    <cfRule type="expression" dxfId="6515" priority="1677">
      <formula>AV20="X"</formula>
    </cfRule>
    <cfRule type="expression" dxfId="6514" priority="1678">
      <formula>AV20="후보"</formula>
    </cfRule>
  </conditionalFormatting>
  <conditionalFormatting sqref="AC20">
    <cfRule type="cellIs" dxfId="6513" priority="1674" operator="greaterThan">
      <formula>0.9</formula>
    </cfRule>
    <cfRule type="cellIs" dxfId="6512" priority="1675" operator="greaterThan">
      <formula>0.85</formula>
    </cfRule>
  </conditionalFormatting>
  <conditionalFormatting sqref="N20">
    <cfRule type="cellIs" dxfId="6511" priority="1672" operator="greaterThan">
      <formula>0.9</formula>
    </cfRule>
    <cfRule type="cellIs" dxfId="6510" priority="1673" operator="greaterThan">
      <formula>0.85</formula>
    </cfRule>
  </conditionalFormatting>
  <conditionalFormatting sqref="E20">
    <cfRule type="expression" dxfId="6509" priority="1668">
      <formula>AND(IF(OR($Q20=1,$Q20=2),1,0),IF($X20&lt;=20,1,0))</formula>
    </cfRule>
    <cfRule type="expression" dxfId="6508" priority="1669">
      <formula>AND(IF($Q20=2,1,0),IF($X20&lt;30,1,0))</formula>
    </cfRule>
    <cfRule type="expression" dxfId="6507" priority="1670">
      <formula>AND(IF($Q20=3,1,0),IF($X20&lt;30,1,0))</formula>
    </cfRule>
    <cfRule type="expression" dxfId="6506" priority="1671">
      <formula>AND(IF($Q20=3,1,IF($Q20=4,1,0)),IF($F20&lt;=85,1,0))</formula>
    </cfRule>
  </conditionalFormatting>
  <conditionalFormatting sqref="X20">
    <cfRule type="expression" dxfId="6505" priority="1664">
      <formula>AND(IF(OR($Q20=1,$Q20=2),1,0),IF($X20&lt;=20,1,0))</formula>
    </cfRule>
    <cfRule type="expression" dxfId="6504" priority="1665">
      <formula>AND(IF($Q20=2,1,0),IF($X20&lt;30,1,0))</formula>
    </cfRule>
    <cfRule type="expression" dxfId="6503" priority="1666">
      <formula>AND(IF($Q20=3,1,0),IF($X20&lt;30,1,0))</formula>
    </cfRule>
    <cfRule type="expression" dxfId="6502" priority="1667">
      <formula>AND(IF($Q20=3,1,IF($Q20=4,1,0)),IF($F20&lt;=85,1,0))</formula>
    </cfRule>
  </conditionalFormatting>
  <conditionalFormatting sqref="AI20">
    <cfRule type="expression" dxfId="6501" priority="1660">
      <formula>AND(IF(OR($Q20=1,$Q20=2),1,0),IF($X20&lt;=20,1,0))</formula>
    </cfRule>
    <cfRule type="expression" dxfId="6500" priority="1661">
      <formula>AND(IF($Q20=2,1,0),IF($X20&lt;30,1,0))</formula>
    </cfRule>
    <cfRule type="expression" dxfId="6499" priority="1662">
      <formula>AND(IF($Q20=3,1,0),IF($X20&lt;30,1,0))</formula>
    </cfRule>
    <cfRule type="expression" dxfId="6498" priority="1663">
      <formula>AND(IF($Q20=3,1,IF($Q20=4,1,0)),IF($F20&lt;=85,1,0))</formula>
    </cfRule>
  </conditionalFormatting>
  <conditionalFormatting sqref="AV21">
    <cfRule type="expression" dxfId="6497" priority="1658">
      <formula>AV21="X"</formula>
    </cfRule>
    <cfRule type="expression" dxfId="6496" priority="1659">
      <formula>AV21="후보"</formula>
    </cfRule>
  </conditionalFormatting>
  <conditionalFormatting sqref="AC21">
    <cfRule type="cellIs" dxfId="6495" priority="1655" operator="greaterThan">
      <formula>0.9</formula>
    </cfRule>
    <cfRule type="cellIs" dxfId="6494" priority="1656" operator="greaterThan">
      <formula>0.85</formula>
    </cfRule>
  </conditionalFormatting>
  <conditionalFormatting sqref="N21">
    <cfRule type="cellIs" dxfId="6493" priority="1653" operator="greaterThan">
      <formula>0.9</formula>
    </cfRule>
    <cfRule type="cellIs" dxfId="6492" priority="1654" operator="greaterThan">
      <formula>0.85</formula>
    </cfRule>
  </conditionalFormatting>
  <conditionalFormatting sqref="E21">
    <cfRule type="expression" dxfId="6491" priority="1649">
      <formula>AND(IF(OR($Q21=1,$Q21=2),1,0),IF($X21&lt;=20,1,0))</formula>
    </cfRule>
    <cfRule type="expression" dxfId="6490" priority="1650">
      <formula>AND(IF($Q21=2,1,0),IF($X21&lt;30,1,0))</formula>
    </cfRule>
    <cfRule type="expression" dxfId="6489" priority="1651">
      <formula>AND(IF($Q21=3,1,0),IF($X21&lt;30,1,0))</formula>
    </cfRule>
    <cfRule type="expression" dxfId="6488" priority="1652">
      <formula>AND(IF($Q21=3,1,IF($Q21=4,1,0)),IF($F21&lt;=85,1,0))</formula>
    </cfRule>
  </conditionalFormatting>
  <conditionalFormatting sqref="X21">
    <cfRule type="expression" dxfId="6487" priority="1645">
      <formula>AND(IF(OR($Q21=1,$Q21=2),1,0),IF($X21&lt;=20,1,0))</formula>
    </cfRule>
    <cfRule type="expression" dxfId="6486" priority="1646">
      <formula>AND(IF($Q21=2,1,0),IF($X21&lt;30,1,0))</formula>
    </cfRule>
    <cfRule type="expression" dxfId="6485" priority="1647">
      <formula>AND(IF($Q21=3,1,0),IF($X21&lt;30,1,0))</formula>
    </cfRule>
    <cfRule type="expression" dxfId="6484" priority="1648">
      <formula>AND(IF($Q21=3,1,IF($Q21=4,1,0)),IF($F21&lt;=85,1,0))</formula>
    </cfRule>
  </conditionalFormatting>
  <conditionalFormatting sqref="AI21">
    <cfRule type="expression" dxfId="6483" priority="1641">
      <formula>AND(IF(OR($Q21=1,$Q21=2),1,0),IF($X21&lt;=20,1,0))</formula>
    </cfRule>
    <cfRule type="expression" dxfId="6482" priority="1642">
      <formula>AND(IF($Q21=2,1,0),IF($X21&lt;30,1,0))</formula>
    </cfRule>
    <cfRule type="expression" dxfId="6481" priority="1643">
      <formula>AND(IF($Q21=3,1,0),IF($X21&lt;30,1,0))</formula>
    </cfRule>
    <cfRule type="expression" dxfId="6480" priority="1644">
      <formula>AND(IF($Q21=3,1,IF($Q21=4,1,0)),IF($F21&lt;=85,1,0))</formula>
    </cfRule>
  </conditionalFormatting>
  <conditionalFormatting sqref="AV22">
    <cfRule type="expression" dxfId="6479" priority="1639">
      <formula>AV22="X"</formula>
    </cfRule>
    <cfRule type="expression" dxfId="6478" priority="1640">
      <formula>AV22="후보"</formula>
    </cfRule>
  </conditionalFormatting>
  <conditionalFormatting sqref="AC22">
    <cfRule type="cellIs" dxfId="6477" priority="1636" operator="greaterThan">
      <formula>0.9</formula>
    </cfRule>
    <cfRule type="cellIs" dxfId="6476" priority="1637" operator="greaterThan">
      <formula>0.85</formula>
    </cfRule>
  </conditionalFormatting>
  <conditionalFormatting sqref="N22">
    <cfRule type="cellIs" dxfId="6475" priority="1634" operator="greaterThan">
      <formula>0.9</formula>
    </cfRule>
    <cfRule type="cellIs" dxfId="6474" priority="1635" operator="greaterThan">
      <formula>0.85</formula>
    </cfRule>
  </conditionalFormatting>
  <conditionalFormatting sqref="E22">
    <cfRule type="expression" dxfId="6473" priority="1630">
      <formula>AND(IF(OR($Q22=1,$Q22=2),1,0),IF($X22&lt;=20,1,0))</formula>
    </cfRule>
    <cfRule type="expression" dxfId="6472" priority="1631">
      <formula>AND(IF($Q22=2,1,0),IF($X22&lt;30,1,0))</formula>
    </cfRule>
    <cfRule type="expression" dxfId="6471" priority="1632">
      <formula>AND(IF($Q22=3,1,0),IF($X22&lt;30,1,0))</formula>
    </cfRule>
    <cfRule type="expression" dxfId="6470" priority="1633">
      <formula>AND(IF($Q22=3,1,IF($Q22=4,1,0)),IF($F22&lt;=85,1,0))</formula>
    </cfRule>
  </conditionalFormatting>
  <conditionalFormatting sqref="X22">
    <cfRule type="expression" dxfId="6469" priority="1626">
      <formula>AND(IF(OR($Q22=1,$Q22=2),1,0),IF($X22&lt;=20,1,0))</formula>
    </cfRule>
    <cfRule type="expression" dxfId="6468" priority="1627">
      <formula>AND(IF($Q22=2,1,0),IF($X22&lt;30,1,0))</formula>
    </cfRule>
    <cfRule type="expression" dxfId="6467" priority="1628">
      <formula>AND(IF($Q22=3,1,0),IF($X22&lt;30,1,0))</formula>
    </cfRule>
    <cfRule type="expression" dxfId="6466" priority="1629">
      <formula>AND(IF($Q22=3,1,IF($Q22=4,1,0)),IF($F22&lt;=85,1,0))</formula>
    </cfRule>
  </conditionalFormatting>
  <conditionalFormatting sqref="AI22">
    <cfRule type="expression" dxfId="6465" priority="1622">
      <formula>AND(IF(OR($Q22=1,$Q22=2),1,0),IF($X22&lt;=20,1,0))</formula>
    </cfRule>
    <cfRule type="expression" dxfId="6464" priority="1623">
      <formula>AND(IF($Q22=2,1,0),IF($X22&lt;30,1,0))</formula>
    </cfRule>
    <cfRule type="expression" dxfId="6463" priority="1624">
      <formula>AND(IF($Q22=3,1,0),IF($X22&lt;30,1,0))</formula>
    </cfRule>
    <cfRule type="expression" dxfId="6462" priority="1625">
      <formula>AND(IF($Q22=3,1,IF($Q22=4,1,0)),IF($F22&lt;=85,1,0))</formula>
    </cfRule>
  </conditionalFormatting>
  <conditionalFormatting sqref="AV23">
    <cfRule type="expression" dxfId="6461" priority="1620">
      <formula>AV23="X"</formula>
    </cfRule>
    <cfRule type="expression" dxfId="6460" priority="1621">
      <formula>AV23="후보"</formula>
    </cfRule>
  </conditionalFormatting>
  <conditionalFormatting sqref="AC23">
    <cfRule type="cellIs" dxfId="6459" priority="1617" operator="greaterThan">
      <formula>0.9</formula>
    </cfRule>
    <cfRule type="cellIs" dxfId="6458" priority="1618" operator="greaterThan">
      <formula>0.85</formula>
    </cfRule>
  </conditionalFormatting>
  <conditionalFormatting sqref="N23">
    <cfRule type="cellIs" dxfId="6457" priority="1615" operator="greaterThan">
      <formula>0.9</formula>
    </cfRule>
    <cfRule type="cellIs" dxfId="6456" priority="1616" operator="greaterThan">
      <formula>0.85</formula>
    </cfRule>
  </conditionalFormatting>
  <conditionalFormatting sqref="E23">
    <cfRule type="expression" dxfId="6455" priority="1611">
      <formula>AND(IF(OR($Q23=1,$Q23=2),1,0),IF($X23&lt;=20,1,0))</formula>
    </cfRule>
    <cfRule type="expression" dxfId="6454" priority="1612">
      <formula>AND(IF($Q23=2,1,0),IF($X23&lt;30,1,0))</formula>
    </cfRule>
    <cfRule type="expression" dxfId="6453" priority="1613">
      <formula>AND(IF($Q23=3,1,0),IF($X23&lt;30,1,0))</formula>
    </cfRule>
    <cfRule type="expression" dxfId="6452" priority="1614">
      <formula>AND(IF($Q23=3,1,IF($Q23=4,1,0)),IF($F23&lt;=85,1,0))</formula>
    </cfRule>
  </conditionalFormatting>
  <conditionalFormatting sqref="X23">
    <cfRule type="expression" dxfId="6451" priority="1607">
      <formula>AND(IF(OR($Q23=1,$Q23=2),1,0),IF($X23&lt;=20,1,0))</formula>
    </cfRule>
    <cfRule type="expression" dxfId="6450" priority="1608">
      <formula>AND(IF($Q23=2,1,0),IF($X23&lt;30,1,0))</formula>
    </cfRule>
    <cfRule type="expression" dxfId="6449" priority="1609">
      <formula>AND(IF($Q23=3,1,0),IF($X23&lt;30,1,0))</formula>
    </cfRule>
    <cfRule type="expression" dxfId="6448" priority="1610">
      <formula>AND(IF($Q23=3,1,IF($Q23=4,1,0)),IF($F23&lt;=85,1,0))</formula>
    </cfRule>
  </conditionalFormatting>
  <conditionalFormatting sqref="AI23">
    <cfRule type="expression" dxfId="6447" priority="1603">
      <formula>AND(IF(OR($Q23=1,$Q23=2),1,0),IF($X23&lt;=20,1,0))</formula>
    </cfRule>
    <cfRule type="expression" dxfId="6446" priority="1604">
      <formula>AND(IF($Q23=2,1,0),IF($X23&lt;30,1,0))</formula>
    </cfRule>
    <cfRule type="expression" dxfId="6445" priority="1605">
      <formula>AND(IF($Q23=3,1,0),IF($X23&lt;30,1,0))</formula>
    </cfRule>
    <cfRule type="expression" dxfId="6444" priority="1606">
      <formula>AND(IF($Q23=3,1,IF($Q23=4,1,0)),IF($F23&lt;=85,1,0))</formula>
    </cfRule>
  </conditionalFormatting>
  <conditionalFormatting sqref="AV24">
    <cfRule type="expression" dxfId="6443" priority="1601">
      <formula>AV24="X"</formula>
    </cfRule>
    <cfRule type="expression" dxfId="6442" priority="1602">
      <formula>AV24="후보"</formula>
    </cfRule>
  </conditionalFormatting>
  <conditionalFormatting sqref="AC24 N24">
    <cfRule type="cellIs" dxfId="6441" priority="1598" operator="greaterThan">
      <formula>0.9</formula>
    </cfRule>
    <cfRule type="cellIs" dxfId="6440" priority="1599" operator="greaterThan">
      <formula>0.85</formula>
    </cfRule>
  </conditionalFormatting>
  <conditionalFormatting sqref="AV25">
    <cfRule type="expression" dxfId="6439" priority="1596">
      <formula>AV25="X"</formula>
    </cfRule>
    <cfRule type="expression" dxfId="6438" priority="1597">
      <formula>AV25="후보"</formula>
    </cfRule>
  </conditionalFormatting>
  <conditionalFormatting sqref="AC25">
    <cfRule type="cellIs" dxfId="6437" priority="1593" operator="greaterThan">
      <formula>0.9</formula>
    </cfRule>
    <cfRule type="cellIs" dxfId="6436" priority="1594" operator="greaterThan">
      <formula>0.85</formula>
    </cfRule>
  </conditionalFormatting>
  <conditionalFormatting sqref="N25">
    <cfRule type="cellIs" dxfId="6435" priority="1591" operator="greaterThan">
      <formula>0.9</formula>
    </cfRule>
    <cfRule type="cellIs" dxfId="6434" priority="1592" operator="greaterThan">
      <formula>0.85</formula>
    </cfRule>
  </conditionalFormatting>
  <conditionalFormatting sqref="E25">
    <cfRule type="expression" dxfId="6433" priority="1587">
      <formula>AND(IF(OR($Q25=1,$Q25=2),1,0),IF($X25&lt;=20,1,0))</formula>
    </cfRule>
    <cfRule type="expression" dxfId="6432" priority="1588">
      <formula>AND(IF($Q25=2,1,0),IF($X25&lt;30,1,0))</formula>
    </cfRule>
    <cfRule type="expression" dxfId="6431" priority="1589">
      <formula>AND(IF($Q25=3,1,0),IF($X25&lt;30,1,0))</formula>
    </cfRule>
    <cfRule type="expression" dxfId="6430" priority="1590">
      <formula>AND(IF($Q25=3,1,IF($Q25=4,1,0)),IF($F25&lt;=85,1,0))</formula>
    </cfRule>
  </conditionalFormatting>
  <conditionalFormatting sqref="X25">
    <cfRule type="expression" dxfId="6429" priority="1583">
      <formula>AND(IF(OR($Q25=1,$Q25=2),1,0),IF($X25&lt;=20,1,0))</formula>
    </cfRule>
    <cfRule type="expression" dxfId="6428" priority="1584">
      <formula>AND(IF($Q25=2,1,0),IF($X25&lt;30,1,0))</formula>
    </cfRule>
    <cfRule type="expression" dxfId="6427" priority="1585">
      <formula>AND(IF($Q25=3,1,0),IF($X25&lt;30,1,0))</formula>
    </cfRule>
    <cfRule type="expression" dxfId="6426" priority="1586">
      <formula>AND(IF($Q25=3,1,IF($Q25=4,1,0)),IF($F25&lt;=85,1,0))</formula>
    </cfRule>
  </conditionalFormatting>
  <conditionalFormatting sqref="AI25">
    <cfRule type="expression" dxfId="6425" priority="1579">
      <formula>AND(IF(OR($Q25=1,$Q25=2),1,0),IF($X25&lt;=20,1,0))</formula>
    </cfRule>
    <cfRule type="expression" dxfId="6424" priority="1580">
      <formula>AND(IF($Q25=2,1,0),IF($X25&lt;30,1,0))</formula>
    </cfRule>
    <cfRule type="expression" dxfId="6423" priority="1581">
      <formula>AND(IF($Q25=3,1,0),IF($X25&lt;30,1,0))</formula>
    </cfRule>
    <cfRule type="expression" dxfId="6422" priority="1582">
      <formula>AND(IF($Q25=3,1,IF($Q25=4,1,0)),IF($F25&lt;=85,1,0))</formula>
    </cfRule>
  </conditionalFormatting>
  <conditionalFormatting sqref="AV26">
    <cfRule type="expression" dxfId="6421" priority="1577">
      <formula>AV26="X"</formula>
    </cfRule>
    <cfRule type="expression" dxfId="6420" priority="1578">
      <formula>AV26="후보"</formula>
    </cfRule>
  </conditionalFormatting>
  <conditionalFormatting sqref="AC26">
    <cfRule type="cellIs" dxfId="6419" priority="1574" operator="greaterThan">
      <formula>0.9</formula>
    </cfRule>
    <cfRule type="cellIs" dxfId="6418" priority="1575" operator="greaterThan">
      <formula>0.85</formula>
    </cfRule>
  </conditionalFormatting>
  <conditionalFormatting sqref="N26">
    <cfRule type="cellIs" dxfId="6417" priority="1572" operator="greaterThan">
      <formula>0.9</formula>
    </cfRule>
    <cfRule type="cellIs" dxfId="6416" priority="1573" operator="greaterThan">
      <formula>0.85</formula>
    </cfRule>
  </conditionalFormatting>
  <conditionalFormatting sqref="E26">
    <cfRule type="expression" dxfId="6415" priority="1568">
      <formula>AND(IF(OR($Q26=1,$Q26=2),1,0),IF($X26&lt;=20,1,0))</formula>
    </cfRule>
    <cfRule type="expression" dxfId="6414" priority="1569">
      <formula>AND(IF($Q26=2,1,0),IF($X26&lt;30,1,0))</formula>
    </cfRule>
    <cfRule type="expression" dxfId="6413" priority="1570">
      <formula>AND(IF($Q26=3,1,0),IF($X26&lt;30,1,0))</formula>
    </cfRule>
    <cfRule type="expression" dxfId="6412" priority="1571">
      <formula>AND(IF($Q26=3,1,IF($Q26=4,1,0)),IF($F26&lt;=85,1,0))</formula>
    </cfRule>
  </conditionalFormatting>
  <conditionalFormatting sqref="X26">
    <cfRule type="expression" dxfId="6411" priority="1564">
      <formula>AND(IF(OR($Q26=1,$Q26=2),1,0),IF($X26&lt;=20,1,0))</formula>
    </cfRule>
    <cfRule type="expression" dxfId="6410" priority="1565">
      <formula>AND(IF($Q26=2,1,0),IF($X26&lt;30,1,0))</formula>
    </cfRule>
    <cfRule type="expression" dxfId="6409" priority="1566">
      <formula>AND(IF($Q26=3,1,0),IF($X26&lt;30,1,0))</formula>
    </cfRule>
    <cfRule type="expression" dxfId="6408" priority="1567">
      <formula>AND(IF($Q26=3,1,IF($Q26=4,1,0)),IF($F26&lt;=85,1,0))</formula>
    </cfRule>
  </conditionalFormatting>
  <conditionalFormatting sqref="AI26">
    <cfRule type="expression" dxfId="6407" priority="1560">
      <formula>AND(IF(OR($Q26=1,$Q26=2),1,0),IF($X26&lt;=20,1,0))</formula>
    </cfRule>
    <cfRule type="expression" dxfId="6406" priority="1561">
      <formula>AND(IF($Q26=2,1,0),IF($X26&lt;30,1,0))</formula>
    </cfRule>
    <cfRule type="expression" dxfId="6405" priority="1562">
      <formula>AND(IF($Q26=3,1,0),IF($X26&lt;30,1,0))</formula>
    </cfRule>
    <cfRule type="expression" dxfId="6404" priority="1563">
      <formula>AND(IF($Q26=3,1,IF($Q26=4,1,0)),IF($F26&lt;=85,1,0))</formula>
    </cfRule>
  </conditionalFormatting>
  <conditionalFormatting sqref="AV27">
    <cfRule type="expression" dxfId="6403" priority="1558">
      <formula>AV27="X"</formula>
    </cfRule>
    <cfRule type="expression" dxfId="6402" priority="1559">
      <formula>AV27="후보"</formula>
    </cfRule>
  </conditionalFormatting>
  <conditionalFormatting sqref="AC27">
    <cfRule type="cellIs" dxfId="6401" priority="1555" operator="greaterThan">
      <formula>0.9</formula>
    </cfRule>
    <cfRule type="cellIs" dxfId="6400" priority="1556" operator="greaterThan">
      <formula>0.85</formula>
    </cfRule>
  </conditionalFormatting>
  <conditionalFormatting sqref="N27">
    <cfRule type="cellIs" dxfId="6399" priority="1553" operator="greaterThan">
      <formula>0.9</formula>
    </cfRule>
    <cfRule type="cellIs" dxfId="6398" priority="1554" operator="greaterThan">
      <formula>0.85</formula>
    </cfRule>
  </conditionalFormatting>
  <conditionalFormatting sqref="E27">
    <cfRule type="expression" dxfId="6397" priority="1549">
      <formula>AND(IF(OR($Q27=1,$Q27=2),1,0),IF($X27&lt;=20,1,0))</formula>
    </cfRule>
    <cfRule type="expression" dxfId="6396" priority="1550">
      <formula>AND(IF($Q27=2,1,0),IF($X27&lt;30,1,0))</formula>
    </cfRule>
    <cfRule type="expression" dxfId="6395" priority="1551">
      <formula>AND(IF($Q27=3,1,0),IF($X27&lt;30,1,0))</formula>
    </cfRule>
    <cfRule type="expression" dxfId="6394" priority="1552">
      <formula>AND(IF($Q27=3,1,IF($Q27=4,1,0)),IF($F27&lt;=85,1,0))</formula>
    </cfRule>
  </conditionalFormatting>
  <conditionalFormatting sqref="X27">
    <cfRule type="expression" dxfId="6393" priority="1545">
      <formula>AND(IF(OR($Q27=1,$Q27=2),1,0),IF($X27&lt;=20,1,0))</formula>
    </cfRule>
    <cfRule type="expression" dxfId="6392" priority="1546">
      <formula>AND(IF($Q27=2,1,0),IF($X27&lt;30,1,0))</formula>
    </cfRule>
    <cfRule type="expression" dxfId="6391" priority="1547">
      <formula>AND(IF($Q27=3,1,0),IF($X27&lt;30,1,0))</formula>
    </cfRule>
    <cfRule type="expression" dxfId="6390" priority="1548">
      <formula>AND(IF($Q27=3,1,IF($Q27=4,1,0)),IF($F27&lt;=85,1,0))</formula>
    </cfRule>
  </conditionalFormatting>
  <conditionalFormatting sqref="AI27">
    <cfRule type="expression" dxfId="6389" priority="1541">
      <formula>AND(IF(OR($Q27=1,$Q27=2),1,0),IF($X27&lt;=20,1,0))</formula>
    </cfRule>
    <cfRule type="expression" dxfId="6388" priority="1542">
      <formula>AND(IF($Q27=2,1,0),IF($X27&lt;30,1,0))</formula>
    </cfRule>
    <cfRule type="expression" dxfId="6387" priority="1543">
      <formula>AND(IF($Q27=3,1,0),IF($X27&lt;30,1,0))</formula>
    </cfRule>
    <cfRule type="expression" dxfId="6386" priority="1544">
      <formula>AND(IF($Q27=3,1,IF($Q27=4,1,0)),IF($F27&lt;=85,1,0))</formula>
    </cfRule>
  </conditionalFormatting>
  <conditionalFormatting sqref="AV28">
    <cfRule type="expression" dxfId="6385" priority="1539">
      <formula>AV28="X"</formula>
    </cfRule>
    <cfRule type="expression" dxfId="6384" priority="1540">
      <formula>AV28="후보"</formula>
    </cfRule>
  </conditionalFormatting>
  <conditionalFormatting sqref="AC28 N28">
    <cfRule type="cellIs" dxfId="6383" priority="1536" operator="greaterThan">
      <formula>0.9</formula>
    </cfRule>
    <cfRule type="cellIs" dxfId="6382" priority="1537" operator="greaterThan">
      <formula>0.85</formula>
    </cfRule>
  </conditionalFormatting>
  <conditionalFormatting sqref="AV29">
    <cfRule type="expression" dxfId="6381" priority="1534">
      <formula>AV29="X"</formula>
    </cfRule>
    <cfRule type="expression" dxfId="6380" priority="1535">
      <formula>AV29="후보"</formula>
    </cfRule>
  </conditionalFormatting>
  <conditionalFormatting sqref="AC29">
    <cfRule type="cellIs" dxfId="6379" priority="1531" operator="greaterThan">
      <formula>0.9</formula>
    </cfRule>
    <cfRule type="cellIs" dxfId="6378" priority="1532" operator="greaterThan">
      <formula>0.85</formula>
    </cfRule>
  </conditionalFormatting>
  <conditionalFormatting sqref="N29">
    <cfRule type="cellIs" dxfId="6377" priority="1529" operator="greaterThan">
      <formula>0.9</formula>
    </cfRule>
    <cfRule type="cellIs" dxfId="6376" priority="1530" operator="greaterThan">
      <formula>0.85</formula>
    </cfRule>
  </conditionalFormatting>
  <conditionalFormatting sqref="E29">
    <cfRule type="expression" dxfId="6375" priority="1525">
      <formula>AND(IF(OR($Q29=1,$Q29=2),1,0),IF($X29&lt;=20,1,0))</formula>
    </cfRule>
    <cfRule type="expression" dxfId="6374" priority="1526">
      <formula>AND(IF($Q29=2,1,0),IF($X29&lt;30,1,0))</formula>
    </cfRule>
    <cfRule type="expression" dxfId="6373" priority="1527">
      <formula>AND(IF($Q29=3,1,0),IF($X29&lt;30,1,0))</formula>
    </cfRule>
    <cfRule type="expression" dxfId="6372" priority="1528">
      <formula>AND(IF($Q29=3,1,IF($Q29=4,1,0)),IF($F29&lt;=85,1,0))</formula>
    </cfRule>
  </conditionalFormatting>
  <conditionalFormatting sqref="X29">
    <cfRule type="expression" dxfId="6371" priority="1521">
      <formula>AND(IF(OR($Q29=1,$Q29=2),1,0),IF($X29&lt;=20,1,0))</formula>
    </cfRule>
    <cfRule type="expression" dxfId="6370" priority="1522">
      <formula>AND(IF($Q29=2,1,0),IF($X29&lt;30,1,0))</formula>
    </cfRule>
    <cfRule type="expression" dxfId="6369" priority="1523">
      <formula>AND(IF($Q29=3,1,0),IF($X29&lt;30,1,0))</formula>
    </cfRule>
    <cfRule type="expression" dxfId="6368" priority="1524">
      <formula>AND(IF($Q29=3,1,IF($Q29=4,1,0)),IF($F29&lt;=85,1,0))</formula>
    </cfRule>
  </conditionalFormatting>
  <conditionalFormatting sqref="AI29">
    <cfRule type="expression" dxfId="6367" priority="1517">
      <formula>AND(IF(OR($Q29=1,$Q29=2),1,0),IF($X29&lt;=20,1,0))</formula>
    </cfRule>
    <cfRule type="expression" dxfId="6366" priority="1518">
      <formula>AND(IF($Q29=2,1,0),IF($X29&lt;30,1,0))</formula>
    </cfRule>
    <cfRule type="expression" dxfId="6365" priority="1519">
      <formula>AND(IF($Q29=3,1,0),IF($X29&lt;30,1,0))</formula>
    </cfRule>
    <cfRule type="expression" dxfId="6364" priority="1520">
      <formula>AND(IF($Q29=3,1,IF($Q29=4,1,0)),IF($F29&lt;=85,1,0))</formula>
    </cfRule>
  </conditionalFormatting>
  <conditionalFormatting sqref="AV30">
    <cfRule type="expression" dxfId="6363" priority="1515">
      <formula>AV30="X"</formula>
    </cfRule>
    <cfRule type="expression" dxfId="6362" priority="1516">
      <formula>AV30="후보"</formula>
    </cfRule>
  </conditionalFormatting>
  <conditionalFormatting sqref="AC30">
    <cfRule type="cellIs" dxfId="6361" priority="1512" operator="greaterThan">
      <formula>0.9</formula>
    </cfRule>
    <cfRule type="cellIs" dxfId="6360" priority="1513" operator="greaterThan">
      <formula>0.85</formula>
    </cfRule>
  </conditionalFormatting>
  <conditionalFormatting sqref="N30">
    <cfRule type="cellIs" dxfId="6359" priority="1510" operator="greaterThan">
      <formula>0.9</formula>
    </cfRule>
    <cfRule type="cellIs" dxfId="6358" priority="1511" operator="greaterThan">
      <formula>0.85</formula>
    </cfRule>
  </conditionalFormatting>
  <conditionalFormatting sqref="E30">
    <cfRule type="expression" dxfId="6357" priority="1506">
      <formula>AND(IF(OR($Q30=1,$Q30=2),1,0),IF($X30&lt;=20,1,0))</formula>
    </cfRule>
    <cfRule type="expression" dxfId="6356" priority="1507">
      <formula>AND(IF($Q30=2,1,0),IF($X30&lt;30,1,0))</formula>
    </cfRule>
    <cfRule type="expression" dxfId="6355" priority="1508">
      <formula>AND(IF($Q30=3,1,0),IF($X30&lt;30,1,0))</formula>
    </cfRule>
    <cfRule type="expression" dxfId="6354" priority="1509">
      <formula>AND(IF($Q30=3,1,IF($Q30=4,1,0)),IF($F30&lt;=85,1,0))</formula>
    </cfRule>
  </conditionalFormatting>
  <conditionalFormatting sqref="X30">
    <cfRule type="expression" dxfId="6353" priority="1502">
      <formula>AND(IF(OR($Q30=1,$Q30=2),1,0),IF($X30&lt;=20,1,0))</formula>
    </cfRule>
    <cfRule type="expression" dxfId="6352" priority="1503">
      <formula>AND(IF($Q30=2,1,0),IF($X30&lt;30,1,0))</formula>
    </cfRule>
    <cfRule type="expression" dxfId="6351" priority="1504">
      <formula>AND(IF($Q30=3,1,0),IF($X30&lt;30,1,0))</formula>
    </cfRule>
    <cfRule type="expression" dxfId="6350" priority="1505">
      <formula>AND(IF($Q30=3,1,IF($Q30=4,1,0)),IF($F30&lt;=85,1,0))</formula>
    </cfRule>
  </conditionalFormatting>
  <conditionalFormatting sqref="AI30">
    <cfRule type="expression" dxfId="6349" priority="1498">
      <formula>AND(IF(OR($Q30=1,$Q30=2),1,0),IF($X30&lt;=20,1,0))</formula>
    </cfRule>
    <cfRule type="expression" dxfId="6348" priority="1499">
      <formula>AND(IF($Q30=2,1,0),IF($X30&lt;30,1,0))</formula>
    </cfRule>
    <cfRule type="expression" dxfId="6347" priority="1500">
      <formula>AND(IF($Q30=3,1,0),IF($X30&lt;30,1,0))</formula>
    </cfRule>
    <cfRule type="expression" dxfId="6346" priority="1501">
      <formula>AND(IF($Q30=3,1,IF($Q30=4,1,0)),IF($F30&lt;=85,1,0))</formula>
    </cfRule>
  </conditionalFormatting>
  <conditionalFormatting sqref="AV31">
    <cfRule type="expression" dxfId="6345" priority="1496">
      <formula>AV31="X"</formula>
    </cfRule>
    <cfRule type="expression" dxfId="6344" priority="1497">
      <formula>AV31="후보"</formula>
    </cfRule>
  </conditionalFormatting>
  <conditionalFormatting sqref="AC31 N31">
    <cfRule type="cellIs" dxfId="6343" priority="1493" operator="greaterThan">
      <formula>0.9</formula>
    </cfRule>
    <cfRule type="cellIs" dxfId="6342" priority="1494" operator="greaterThan">
      <formula>0.85</formula>
    </cfRule>
  </conditionalFormatting>
  <conditionalFormatting sqref="AV32">
    <cfRule type="expression" dxfId="6341" priority="1491">
      <formula>AV32="X"</formula>
    </cfRule>
    <cfRule type="expression" dxfId="6340" priority="1492">
      <formula>AV32="후보"</formula>
    </cfRule>
  </conditionalFormatting>
  <conditionalFormatting sqref="AC32">
    <cfRule type="cellIs" dxfId="6339" priority="1488" operator="greaterThan">
      <formula>0.9</formula>
    </cfRule>
    <cfRule type="cellIs" dxfId="6338" priority="1489" operator="greaterThan">
      <formula>0.85</formula>
    </cfRule>
  </conditionalFormatting>
  <conditionalFormatting sqref="N32">
    <cfRule type="cellIs" dxfId="6337" priority="1486" operator="greaterThan">
      <formula>0.9</formula>
    </cfRule>
    <cfRule type="cellIs" dxfId="6336" priority="1487" operator="greaterThan">
      <formula>0.85</formula>
    </cfRule>
  </conditionalFormatting>
  <conditionalFormatting sqref="E32">
    <cfRule type="expression" dxfId="6335" priority="1482">
      <formula>AND(IF(OR($Q32=1,$Q32=2),1,0),IF($X32&lt;=20,1,0))</formula>
    </cfRule>
    <cfRule type="expression" dxfId="6334" priority="1483">
      <formula>AND(IF($Q32=2,1,0),IF($X32&lt;30,1,0))</formula>
    </cfRule>
    <cfRule type="expression" dxfId="6333" priority="1484">
      <formula>AND(IF($Q32=3,1,0),IF($X32&lt;30,1,0))</formula>
    </cfRule>
    <cfRule type="expression" dxfId="6332" priority="1485">
      <formula>AND(IF($Q32=3,1,IF($Q32=4,1,0)),IF($F32&lt;=85,1,0))</formula>
    </cfRule>
  </conditionalFormatting>
  <conditionalFormatting sqref="X32">
    <cfRule type="expression" dxfId="6331" priority="1478">
      <formula>AND(IF(OR($Q32=1,$Q32=2),1,0),IF($X32&lt;=20,1,0))</formula>
    </cfRule>
    <cfRule type="expression" dxfId="6330" priority="1479">
      <formula>AND(IF($Q32=2,1,0),IF($X32&lt;30,1,0))</formula>
    </cfRule>
    <cfRule type="expression" dxfId="6329" priority="1480">
      <formula>AND(IF($Q32=3,1,0),IF($X32&lt;30,1,0))</formula>
    </cfRule>
    <cfRule type="expression" dxfId="6328" priority="1481">
      <formula>AND(IF($Q32=3,1,IF($Q32=4,1,0)),IF($F32&lt;=85,1,0))</formula>
    </cfRule>
  </conditionalFormatting>
  <conditionalFormatting sqref="AI32">
    <cfRule type="expression" dxfId="6327" priority="1474">
      <formula>AND(IF(OR($Q32=1,$Q32=2),1,0),IF($X32&lt;=20,1,0))</formula>
    </cfRule>
    <cfRule type="expression" dxfId="6326" priority="1475">
      <formula>AND(IF($Q32=2,1,0),IF($X32&lt;30,1,0))</formula>
    </cfRule>
    <cfRule type="expression" dxfId="6325" priority="1476">
      <formula>AND(IF($Q32=3,1,0),IF($X32&lt;30,1,0))</formula>
    </cfRule>
    <cfRule type="expression" dxfId="6324" priority="1477">
      <formula>AND(IF($Q32=3,1,IF($Q32=4,1,0)),IF($F32&lt;=85,1,0))</formula>
    </cfRule>
  </conditionalFormatting>
  <conditionalFormatting sqref="AV33">
    <cfRule type="expression" dxfId="6323" priority="1472">
      <formula>AV33="X"</formula>
    </cfRule>
    <cfRule type="expression" dxfId="6322" priority="1473">
      <formula>AV33="후보"</formula>
    </cfRule>
  </conditionalFormatting>
  <conditionalFormatting sqref="AC33">
    <cfRule type="cellIs" dxfId="6321" priority="1469" operator="greaterThan">
      <formula>0.9</formula>
    </cfRule>
    <cfRule type="cellIs" dxfId="6320" priority="1470" operator="greaterThan">
      <formula>0.85</formula>
    </cfRule>
  </conditionalFormatting>
  <conditionalFormatting sqref="N33">
    <cfRule type="cellIs" dxfId="6319" priority="1467" operator="greaterThan">
      <formula>0.9</formula>
    </cfRule>
    <cfRule type="cellIs" dxfId="6318" priority="1468" operator="greaterThan">
      <formula>0.85</formula>
    </cfRule>
  </conditionalFormatting>
  <conditionalFormatting sqref="E33">
    <cfRule type="expression" dxfId="6317" priority="1463">
      <formula>AND(IF(OR($Q33=1,$Q33=2),1,0),IF($X33&lt;=20,1,0))</formula>
    </cfRule>
    <cfRule type="expression" dxfId="6316" priority="1464">
      <formula>AND(IF($Q33=2,1,0),IF($X33&lt;30,1,0))</formula>
    </cfRule>
    <cfRule type="expression" dxfId="6315" priority="1465">
      <formula>AND(IF($Q33=3,1,0),IF($X33&lt;30,1,0))</formula>
    </cfRule>
    <cfRule type="expression" dxfId="6314" priority="1466">
      <formula>AND(IF($Q33=3,1,IF($Q33=4,1,0)),IF($F33&lt;=85,1,0))</formula>
    </cfRule>
  </conditionalFormatting>
  <conditionalFormatting sqref="X33">
    <cfRule type="expression" dxfId="6313" priority="1459">
      <formula>AND(IF(OR($Q33=1,$Q33=2),1,0),IF($X33&lt;=20,1,0))</formula>
    </cfRule>
    <cfRule type="expression" dxfId="6312" priority="1460">
      <formula>AND(IF($Q33=2,1,0),IF($X33&lt;30,1,0))</formula>
    </cfRule>
    <cfRule type="expression" dxfId="6311" priority="1461">
      <formula>AND(IF($Q33=3,1,0),IF($X33&lt;30,1,0))</formula>
    </cfRule>
    <cfRule type="expression" dxfId="6310" priority="1462">
      <formula>AND(IF($Q33=3,1,IF($Q33=4,1,0)),IF($F33&lt;=85,1,0))</formula>
    </cfRule>
  </conditionalFormatting>
  <conditionalFormatting sqref="AI33">
    <cfRule type="expression" dxfId="6309" priority="1455">
      <formula>AND(IF(OR($Q33=1,$Q33=2),1,0),IF($X33&lt;=20,1,0))</formula>
    </cfRule>
    <cfRule type="expression" dxfId="6308" priority="1456">
      <formula>AND(IF($Q33=2,1,0),IF($X33&lt;30,1,0))</formula>
    </cfRule>
    <cfRule type="expression" dxfId="6307" priority="1457">
      <formula>AND(IF($Q33=3,1,0),IF($X33&lt;30,1,0))</formula>
    </cfRule>
    <cfRule type="expression" dxfId="6306" priority="1458">
      <formula>AND(IF($Q33=3,1,IF($Q33=4,1,0)),IF($F33&lt;=85,1,0))</formula>
    </cfRule>
  </conditionalFormatting>
  <conditionalFormatting sqref="AV34">
    <cfRule type="expression" dxfId="6305" priority="1453">
      <formula>AV34="X"</formula>
    </cfRule>
    <cfRule type="expression" dxfId="6304" priority="1454">
      <formula>AV34="후보"</formula>
    </cfRule>
  </conditionalFormatting>
  <conditionalFormatting sqref="AC34">
    <cfRule type="cellIs" dxfId="6303" priority="1450" operator="greaterThan">
      <formula>0.9</formula>
    </cfRule>
    <cfRule type="cellIs" dxfId="6302" priority="1451" operator="greaterThan">
      <formula>0.85</formula>
    </cfRule>
  </conditionalFormatting>
  <conditionalFormatting sqref="N34">
    <cfRule type="cellIs" dxfId="6301" priority="1448" operator="greaterThan">
      <formula>0.9</formula>
    </cfRule>
    <cfRule type="cellIs" dxfId="6300" priority="1449" operator="greaterThan">
      <formula>0.85</formula>
    </cfRule>
  </conditionalFormatting>
  <conditionalFormatting sqref="E34">
    <cfRule type="expression" dxfId="6299" priority="1444">
      <formula>AND(IF(OR($Q34=1,$Q34=2),1,0),IF($X34&lt;=20,1,0))</formula>
    </cfRule>
    <cfRule type="expression" dxfId="6298" priority="1445">
      <formula>AND(IF($Q34=2,1,0),IF($X34&lt;30,1,0))</formula>
    </cfRule>
    <cfRule type="expression" dxfId="6297" priority="1446">
      <formula>AND(IF($Q34=3,1,0),IF($X34&lt;30,1,0))</formula>
    </cfRule>
    <cfRule type="expression" dxfId="6296" priority="1447">
      <formula>AND(IF($Q34=3,1,IF($Q34=4,1,0)),IF($F34&lt;=85,1,0))</formula>
    </cfRule>
  </conditionalFormatting>
  <conditionalFormatting sqref="X34">
    <cfRule type="expression" dxfId="6295" priority="1440">
      <formula>AND(IF(OR($Q34=1,$Q34=2),1,0),IF($X34&lt;=20,1,0))</formula>
    </cfRule>
    <cfRule type="expression" dxfId="6294" priority="1441">
      <formula>AND(IF($Q34=2,1,0),IF($X34&lt;30,1,0))</formula>
    </cfRule>
    <cfRule type="expression" dxfId="6293" priority="1442">
      <formula>AND(IF($Q34=3,1,0),IF($X34&lt;30,1,0))</formula>
    </cfRule>
    <cfRule type="expression" dxfId="6292" priority="1443">
      <formula>AND(IF($Q34=3,1,IF($Q34=4,1,0)),IF($F34&lt;=85,1,0))</formula>
    </cfRule>
  </conditionalFormatting>
  <conditionalFormatting sqref="AI34">
    <cfRule type="expression" dxfId="6291" priority="1436">
      <formula>AND(IF(OR($Q34=1,$Q34=2),1,0),IF($X34&lt;=20,1,0))</formula>
    </cfRule>
    <cfRule type="expression" dxfId="6290" priority="1437">
      <formula>AND(IF($Q34=2,1,0),IF($X34&lt;30,1,0))</formula>
    </cfRule>
    <cfRule type="expression" dxfId="6289" priority="1438">
      <formula>AND(IF($Q34=3,1,0),IF($X34&lt;30,1,0))</formula>
    </cfRule>
    <cfRule type="expression" dxfId="6288" priority="1439">
      <formula>AND(IF($Q34=3,1,IF($Q34=4,1,0)),IF($F34&lt;=85,1,0))</formula>
    </cfRule>
  </conditionalFormatting>
  <conditionalFormatting sqref="AV35">
    <cfRule type="expression" dxfId="6287" priority="1434">
      <formula>AV35="X"</formula>
    </cfRule>
    <cfRule type="expression" dxfId="6286" priority="1435">
      <formula>AV35="후보"</formula>
    </cfRule>
  </conditionalFormatting>
  <conditionalFormatting sqref="AC35">
    <cfRule type="cellIs" dxfId="6285" priority="1431" operator="greaterThan">
      <formula>0.9</formula>
    </cfRule>
    <cfRule type="cellIs" dxfId="6284" priority="1432" operator="greaterThan">
      <formula>0.85</formula>
    </cfRule>
  </conditionalFormatting>
  <conditionalFormatting sqref="N35">
    <cfRule type="cellIs" dxfId="6283" priority="1429" operator="greaterThan">
      <formula>0.9</formula>
    </cfRule>
    <cfRule type="cellIs" dxfId="6282" priority="1430" operator="greaterThan">
      <formula>0.85</formula>
    </cfRule>
  </conditionalFormatting>
  <conditionalFormatting sqref="E35">
    <cfRule type="expression" dxfId="6281" priority="1425">
      <formula>AND(IF(OR($Q35=1,$Q35=2),1,0),IF($X35&lt;=20,1,0))</formula>
    </cfRule>
    <cfRule type="expression" dxfId="6280" priority="1426">
      <formula>AND(IF($Q35=2,1,0),IF($X35&lt;30,1,0))</formula>
    </cfRule>
    <cfRule type="expression" dxfId="6279" priority="1427">
      <formula>AND(IF($Q35=3,1,0),IF($X35&lt;30,1,0))</formula>
    </cfRule>
    <cfRule type="expression" dxfId="6278" priority="1428">
      <formula>AND(IF($Q35=3,1,IF($Q35=4,1,0)),IF($F35&lt;=85,1,0))</formula>
    </cfRule>
  </conditionalFormatting>
  <conditionalFormatting sqref="X35">
    <cfRule type="expression" dxfId="6277" priority="1421">
      <formula>AND(IF(OR($Q35=1,$Q35=2),1,0),IF($X35&lt;=20,1,0))</formula>
    </cfRule>
    <cfRule type="expression" dxfId="6276" priority="1422">
      <formula>AND(IF($Q35=2,1,0),IF($X35&lt;30,1,0))</formula>
    </cfRule>
    <cfRule type="expression" dxfId="6275" priority="1423">
      <formula>AND(IF($Q35=3,1,0),IF($X35&lt;30,1,0))</formula>
    </cfRule>
    <cfRule type="expression" dxfId="6274" priority="1424">
      <formula>AND(IF($Q35=3,1,IF($Q35=4,1,0)),IF($F35&lt;=85,1,0))</formula>
    </cfRule>
  </conditionalFormatting>
  <conditionalFormatting sqref="AI35">
    <cfRule type="expression" dxfId="6273" priority="1417">
      <formula>AND(IF(OR($Q35=1,$Q35=2),1,0),IF($X35&lt;=20,1,0))</formula>
    </cfRule>
    <cfRule type="expression" dxfId="6272" priority="1418">
      <formula>AND(IF($Q35=2,1,0),IF($X35&lt;30,1,0))</formula>
    </cfRule>
    <cfRule type="expression" dxfId="6271" priority="1419">
      <formula>AND(IF($Q35=3,1,0),IF($X35&lt;30,1,0))</formula>
    </cfRule>
    <cfRule type="expression" dxfId="6270" priority="1420">
      <formula>AND(IF($Q35=3,1,IF($Q35=4,1,0)),IF($F35&lt;=85,1,0))</formula>
    </cfRule>
  </conditionalFormatting>
  <conditionalFormatting sqref="AV36">
    <cfRule type="expression" dxfId="6269" priority="1415">
      <formula>AV36="X"</formula>
    </cfRule>
    <cfRule type="expression" dxfId="6268" priority="1416">
      <formula>AV36="후보"</formula>
    </cfRule>
  </conditionalFormatting>
  <conditionalFormatting sqref="AC36">
    <cfRule type="cellIs" dxfId="6267" priority="1412" operator="greaterThan">
      <formula>0.9</formula>
    </cfRule>
    <cfRule type="cellIs" dxfId="6266" priority="1413" operator="greaterThan">
      <formula>0.85</formula>
    </cfRule>
  </conditionalFormatting>
  <conditionalFormatting sqref="N36">
    <cfRule type="cellIs" dxfId="6265" priority="1410" operator="greaterThan">
      <formula>0.9</formula>
    </cfRule>
    <cfRule type="cellIs" dxfId="6264" priority="1411" operator="greaterThan">
      <formula>0.85</formula>
    </cfRule>
  </conditionalFormatting>
  <conditionalFormatting sqref="E36">
    <cfRule type="expression" dxfId="6263" priority="1406">
      <formula>AND(IF(OR($Q36=1,$Q36=2),1,0),IF($X36&lt;=20,1,0))</formula>
    </cfRule>
    <cfRule type="expression" dxfId="6262" priority="1407">
      <formula>AND(IF($Q36=2,1,0),IF($X36&lt;30,1,0))</formula>
    </cfRule>
    <cfRule type="expression" dxfId="6261" priority="1408">
      <formula>AND(IF($Q36=3,1,0),IF($X36&lt;30,1,0))</formula>
    </cfRule>
    <cfRule type="expression" dxfId="6260" priority="1409">
      <formula>AND(IF($Q36=3,1,IF($Q36=4,1,0)),IF($F36&lt;=85,1,0))</formula>
    </cfRule>
  </conditionalFormatting>
  <conditionalFormatting sqref="X36">
    <cfRule type="expression" dxfId="6259" priority="1402">
      <formula>AND(IF(OR($Q36=1,$Q36=2),1,0),IF($X36&lt;=20,1,0))</formula>
    </cfRule>
    <cfRule type="expression" dxfId="6258" priority="1403">
      <formula>AND(IF($Q36=2,1,0),IF($X36&lt;30,1,0))</formula>
    </cfRule>
    <cfRule type="expression" dxfId="6257" priority="1404">
      <formula>AND(IF($Q36=3,1,0),IF($X36&lt;30,1,0))</formula>
    </cfRule>
    <cfRule type="expression" dxfId="6256" priority="1405">
      <formula>AND(IF($Q36=3,1,IF($Q36=4,1,0)),IF($F36&lt;=85,1,0))</formula>
    </cfRule>
  </conditionalFormatting>
  <conditionalFormatting sqref="AI36">
    <cfRule type="expression" dxfId="6255" priority="1398">
      <formula>AND(IF(OR($Q36=1,$Q36=2),1,0),IF($X36&lt;=20,1,0))</formula>
    </cfRule>
    <cfRule type="expression" dxfId="6254" priority="1399">
      <formula>AND(IF($Q36=2,1,0),IF($X36&lt;30,1,0))</formula>
    </cfRule>
    <cfRule type="expression" dxfId="6253" priority="1400">
      <formula>AND(IF($Q36=3,1,0),IF($X36&lt;30,1,0))</formula>
    </cfRule>
    <cfRule type="expression" dxfId="6252" priority="1401">
      <formula>AND(IF($Q36=3,1,IF($Q36=4,1,0)),IF($F36&lt;=85,1,0))</formula>
    </cfRule>
  </conditionalFormatting>
  <conditionalFormatting sqref="AV37">
    <cfRule type="expression" dxfId="6251" priority="1396">
      <formula>AV37="X"</formula>
    </cfRule>
    <cfRule type="expression" dxfId="6250" priority="1397">
      <formula>AV37="후보"</formula>
    </cfRule>
  </conditionalFormatting>
  <conditionalFormatting sqref="AC37 N37">
    <cfRule type="cellIs" dxfId="6249" priority="1393" operator="greaterThan">
      <formula>0.9</formula>
    </cfRule>
    <cfRule type="cellIs" dxfId="6248" priority="1394" operator="greaterThan">
      <formula>0.85</formula>
    </cfRule>
  </conditionalFormatting>
  <conditionalFormatting sqref="AV38">
    <cfRule type="expression" dxfId="6247" priority="1391">
      <formula>AV38="X"</formula>
    </cfRule>
    <cfRule type="expression" dxfId="6246" priority="1392">
      <formula>AV38="후보"</formula>
    </cfRule>
  </conditionalFormatting>
  <conditionalFormatting sqref="AC38">
    <cfRule type="cellIs" dxfId="6245" priority="1388" operator="greaterThan">
      <formula>0.9</formula>
    </cfRule>
    <cfRule type="cellIs" dxfId="6244" priority="1389" operator="greaterThan">
      <formula>0.85</formula>
    </cfRule>
  </conditionalFormatting>
  <conditionalFormatting sqref="N38">
    <cfRule type="cellIs" dxfId="6243" priority="1386" operator="greaterThan">
      <formula>0.9</formula>
    </cfRule>
    <cfRule type="cellIs" dxfId="6242" priority="1387" operator="greaterThan">
      <formula>0.85</formula>
    </cfRule>
  </conditionalFormatting>
  <conditionalFormatting sqref="E38">
    <cfRule type="expression" dxfId="6241" priority="1382">
      <formula>AND(IF(OR($Q38=1,$Q38=2),1,0),IF($X38&lt;=20,1,0))</formula>
    </cfRule>
    <cfRule type="expression" dxfId="6240" priority="1383">
      <formula>AND(IF($Q38=2,1,0),IF($X38&lt;30,1,0))</formula>
    </cfRule>
    <cfRule type="expression" dxfId="6239" priority="1384">
      <formula>AND(IF($Q38=3,1,0),IF($X38&lt;30,1,0))</formula>
    </cfRule>
    <cfRule type="expression" dxfId="6238" priority="1385">
      <formula>AND(IF($Q38=3,1,IF($Q38=4,1,0)),IF($F38&lt;=85,1,0))</formula>
    </cfRule>
  </conditionalFormatting>
  <conditionalFormatting sqref="X38">
    <cfRule type="expression" dxfId="6237" priority="1378">
      <formula>AND(IF(OR($Q38=1,$Q38=2),1,0),IF($X38&lt;=20,1,0))</formula>
    </cfRule>
    <cfRule type="expression" dxfId="6236" priority="1379">
      <formula>AND(IF($Q38=2,1,0),IF($X38&lt;30,1,0))</formula>
    </cfRule>
    <cfRule type="expression" dxfId="6235" priority="1380">
      <formula>AND(IF($Q38=3,1,0),IF($X38&lt;30,1,0))</formula>
    </cfRule>
    <cfRule type="expression" dxfId="6234" priority="1381">
      <formula>AND(IF($Q38=3,1,IF($Q38=4,1,0)),IF($F38&lt;=85,1,0))</formula>
    </cfRule>
  </conditionalFormatting>
  <conditionalFormatting sqref="AI38">
    <cfRule type="expression" dxfId="6233" priority="1374">
      <formula>AND(IF(OR($Q38=1,$Q38=2),1,0),IF($X38&lt;=20,1,0))</formula>
    </cfRule>
    <cfRule type="expression" dxfId="6232" priority="1375">
      <formula>AND(IF($Q38=2,1,0),IF($X38&lt;30,1,0))</formula>
    </cfRule>
    <cfRule type="expression" dxfId="6231" priority="1376">
      <formula>AND(IF($Q38=3,1,0),IF($X38&lt;30,1,0))</formula>
    </cfRule>
    <cfRule type="expression" dxfId="6230" priority="1377">
      <formula>AND(IF($Q38=3,1,IF($Q38=4,1,0)),IF($F38&lt;=85,1,0))</formula>
    </cfRule>
  </conditionalFormatting>
  <conditionalFormatting sqref="AV39">
    <cfRule type="expression" dxfId="6229" priority="1372">
      <formula>AV39="X"</formula>
    </cfRule>
    <cfRule type="expression" dxfId="6228" priority="1373">
      <formula>AV39="후보"</formula>
    </cfRule>
  </conditionalFormatting>
  <conditionalFormatting sqref="AC39">
    <cfRule type="cellIs" dxfId="6227" priority="1369" operator="greaterThan">
      <formula>0.9</formula>
    </cfRule>
    <cfRule type="cellIs" dxfId="6226" priority="1370" operator="greaterThan">
      <formula>0.85</formula>
    </cfRule>
  </conditionalFormatting>
  <conditionalFormatting sqref="N39">
    <cfRule type="cellIs" dxfId="6225" priority="1367" operator="greaterThan">
      <formula>0.9</formula>
    </cfRule>
    <cfRule type="cellIs" dxfId="6224" priority="1368" operator="greaterThan">
      <formula>0.85</formula>
    </cfRule>
  </conditionalFormatting>
  <conditionalFormatting sqref="E39">
    <cfRule type="expression" dxfId="6223" priority="1363">
      <formula>AND(IF(OR($Q39=1,$Q39=2),1,0),IF($X39&lt;=20,1,0))</formula>
    </cfRule>
    <cfRule type="expression" dxfId="6222" priority="1364">
      <formula>AND(IF($Q39=2,1,0),IF($X39&lt;30,1,0))</formula>
    </cfRule>
    <cfRule type="expression" dxfId="6221" priority="1365">
      <formula>AND(IF($Q39=3,1,0),IF($X39&lt;30,1,0))</formula>
    </cfRule>
    <cfRule type="expression" dxfId="6220" priority="1366">
      <formula>AND(IF($Q39=3,1,IF($Q39=4,1,0)),IF($F39&lt;=85,1,0))</formula>
    </cfRule>
  </conditionalFormatting>
  <conditionalFormatting sqref="X39">
    <cfRule type="expression" dxfId="6219" priority="1359">
      <formula>AND(IF(OR($Q39=1,$Q39=2),1,0),IF($X39&lt;=20,1,0))</formula>
    </cfRule>
    <cfRule type="expression" dxfId="6218" priority="1360">
      <formula>AND(IF($Q39=2,1,0),IF($X39&lt;30,1,0))</formula>
    </cfRule>
    <cfRule type="expression" dxfId="6217" priority="1361">
      <formula>AND(IF($Q39=3,1,0),IF($X39&lt;30,1,0))</formula>
    </cfRule>
    <cfRule type="expression" dxfId="6216" priority="1362">
      <formula>AND(IF($Q39=3,1,IF($Q39=4,1,0)),IF($F39&lt;=85,1,0))</formula>
    </cfRule>
  </conditionalFormatting>
  <conditionalFormatting sqref="AI39">
    <cfRule type="expression" dxfId="6215" priority="1355">
      <formula>AND(IF(OR($Q39=1,$Q39=2),1,0),IF($X39&lt;=20,1,0))</formula>
    </cfRule>
    <cfRule type="expression" dxfId="6214" priority="1356">
      <formula>AND(IF($Q39=2,1,0),IF($X39&lt;30,1,0))</formula>
    </cfRule>
    <cfRule type="expression" dxfId="6213" priority="1357">
      <formula>AND(IF($Q39=3,1,0),IF($X39&lt;30,1,0))</formula>
    </cfRule>
    <cfRule type="expression" dxfId="6212" priority="1358">
      <formula>AND(IF($Q39=3,1,IF($Q39=4,1,0)),IF($F39&lt;=85,1,0))</formula>
    </cfRule>
  </conditionalFormatting>
  <conditionalFormatting sqref="AV40">
    <cfRule type="expression" dxfId="6211" priority="1353">
      <formula>AV40="X"</formula>
    </cfRule>
    <cfRule type="expression" dxfId="6210" priority="1354">
      <formula>AV40="후보"</formula>
    </cfRule>
  </conditionalFormatting>
  <conditionalFormatting sqref="AC40">
    <cfRule type="cellIs" dxfId="6209" priority="1350" operator="greaterThan">
      <formula>0.9</formula>
    </cfRule>
    <cfRule type="cellIs" dxfId="6208" priority="1351" operator="greaterThan">
      <formula>0.85</formula>
    </cfRule>
  </conditionalFormatting>
  <conditionalFormatting sqref="N40">
    <cfRule type="cellIs" dxfId="6207" priority="1348" operator="greaterThan">
      <formula>0.9</formula>
    </cfRule>
    <cfRule type="cellIs" dxfId="6206" priority="1349" operator="greaterThan">
      <formula>0.85</formula>
    </cfRule>
  </conditionalFormatting>
  <conditionalFormatting sqref="E40">
    <cfRule type="expression" dxfId="6205" priority="1344">
      <formula>AND(IF(OR($Q40=1,$Q40=2),1,0),IF($X40&lt;=20,1,0))</formula>
    </cfRule>
    <cfRule type="expression" dxfId="6204" priority="1345">
      <formula>AND(IF($Q40=2,1,0),IF($X40&lt;30,1,0))</formula>
    </cfRule>
    <cfRule type="expression" dxfId="6203" priority="1346">
      <formula>AND(IF($Q40=3,1,0),IF($X40&lt;30,1,0))</formula>
    </cfRule>
    <cfRule type="expression" dxfId="6202" priority="1347">
      <formula>AND(IF($Q40=3,1,IF($Q40=4,1,0)),IF($F40&lt;=85,1,0))</formula>
    </cfRule>
  </conditionalFormatting>
  <conditionalFormatting sqref="X40">
    <cfRule type="expression" dxfId="6201" priority="1340">
      <formula>AND(IF(OR($Q40=1,$Q40=2),1,0),IF($X40&lt;=20,1,0))</formula>
    </cfRule>
    <cfRule type="expression" dxfId="6200" priority="1341">
      <formula>AND(IF($Q40=2,1,0),IF($X40&lt;30,1,0))</formula>
    </cfRule>
    <cfRule type="expression" dxfId="6199" priority="1342">
      <formula>AND(IF($Q40=3,1,0),IF($X40&lt;30,1,0))</formula>
    </cfRule>
    <cfRule type="expression" dxfId="6198" priority="1343">
      <formula>AND(IF($Q40=3,1,IF($Q40=4,1,0)),IF($F40&lt;=85,1,0))</formula>
    </cfRule>
  </conditionalFormatting>
  <conditionalFormatting sqref="AI40">
    <cfRule type="expression" dxfId="6197" priority="1336">
      <formula>AND(IF(OR($Q40=1,$Q40=2),1,0),IF($X40&lt;=20,1,0))</formula>
    </cfRule>
    <cfRule type="expression" dxfId="6196" priority="1337">
      <formula>AND(IF($Q40=2,1,0),IF($X40&lt;30,1,0))</formula>
    </cfRule>
    <cfRule type="expression" dxfId="6195" priority="1338">
      <formula>AND(IF($Q40=3,1,0),IF($X40&lt;30,1,0))</formula>
    </cfRule>
    <cfRule type="expression" dxfId="6194" priority="1339">
      <formula>AND(IF($Q40=3,1,IF($Q40=4,1,0)),IF($F40&lt;=85,1,0))</formula>
    </cfRule>
  </conditionalFormatting>
  <conditionalFormatting sqref="AV41">
    <cfRule type="expression" dxfId="6193" priority="1334">
      <formula>AV41="X"</formula>
    </cfRule>
    <cfRule type="expression" dxfId="6192" priority="1335">
      <formula>AV41="후보"</formula>
    </cfRule>
  </conditionalFormatting>
  <conditionalFormatting sqref="AC41 N41">
    <cfRule type="cellIs" dxfId="6191" priority="1331" operator="greaterThan">
      <formula>0.9</formula>
    </cfRule>
    <cfRule type="cellIs" dxfId="6190" priority="1332" operator="greaterThan">
      <formula>0.85</formula>
    </cfRule>
  </conditionalFormatting>
  <conditionalFormatting sqref="AV42">
    <cfRule type="expression" dxfId="6189" priority="1329">
      <formula>AV42="X"</formula>
    </cfRule>
    <cfRule type="expression" dxfId="6188" priority="1330">
      <formula>AV42="후보"</formula>
    </cfRule>
  </conditionalFormatting>
  <conditionalFormatting sqref="AC42">
    <cfRule type="cellIs" dxfId="6187" priority="1326" operator="greaterThan">
      <formula>0.9</formula>
    </cfRule>
    <cfRule type="cellIs" dxfId="6186" priority="1327" operator="greaterThan">
      <formula>0.85</formula>
    </cfRule>
  </conditionalFormatting>
  <conditionalFormatting sqref="N42">
    <cfRule type="cellIs" dxfId="6185" priority="1324" operator="greaterThan">
      <formula>0.9</formula>
    </cfRule>
    <cfRule type="cellIs" dxfId="6184" priority="1325" operator="greaterThan">
      <formula>0.85</formula>
    </cfRule>
  </conditionalFormatting>
  <conditionalFormatting sqref="E42">
    <cfRule type="expression" dxfId="6183" priority="1320">
      <formula>AND(IF(OR($Q42=1,$Q42=2),1,0),IF($X42&lt;=20,1,0))</formula>
    </cfRule>
    <cfRule type="expression" dxfId="6182" priority="1321">
      <formula>AND(IF($Q42=2,1,0),IF($X42&lt;30,1,0))</formula>
    </cfRule>
    <cfRule type="expression" dxfId="6181" priority="1322">
      <formula>AND(IF($Q42=3,1,0),IF($X42&lt;30,1,0))</formula>
    </cfRule>
    <cfRule type="expression" dxfId="6180" priority="1323">
      <formula>AND(IF($Q42=3,1,IF($Q42=4,1,0)),IF($F42&lt;=85,1,0))</formula>
    </cfRule>
  </conditionalFormatting>
  <conditionalFormatting sqref="X42">
    <cfRule type="expression" dxfId="6179" priority="1316">
      <formula>AND(IF(OR($Q42=1,$Q42=2),1,0),IF($X42&lt;=20,1,0))</formula>
    </cfRule>
    <cfRule type="expression" dxfId="6178" priority="1317">
      <formula>AND(IF($Q42=2,1,0),IF($X42&lt;30,1,0))</formula>
    </cfRule>
    <cfRule type="expression" dxfId="6177" priority="1318">
      <formula>AND(IF($Q42=3,1,0),IF($X42&lt;30,1,0))</formula>
    </cfRule>
    <cfRule type="expression" dxfId="6176" priority="1319">
      <formula>AND(IF($Q42=3,1,IF($Q42=4,1,0)),IF($F42&lt;=85,1,0))</formula>
    </cfRule>
  </conditionalFormatting>
  <conditionalFormatting sqref="AI42">
    <cfRule type="expression" dxfId="6175" priority="1312">
      <formula>AND(IF(OR($Q42=1,$Q42=2),1,0),IF($X42&lt;=20,1,0))</formula>
    </cfRule>
    <cfRule type="expression" dxfId="6174" priority="1313">
      <formula>AND(IF($Q42=2,1,0),IF($X42&lt;30,1,0))</formula>
    </cfRule>
    <cfRule type="expression" dxfId="6173" priority="1314">
      <formula>AND(IF($Q42=3,1,0),IF($X42&lt;30,1,0))</formula>
    </cfRule>
    <cfRule type="expression" dxfId="6172" priority="1315">
      <formula>AND(IF($Q42=3,1,IF($Q42=4,1,0)),IF($F42&lt;=85,1,0))</formula>
    </cfRule>
  </conditionalFormatting>
  <conditionalFormatting sqref="AV43">
    <cfRule type="expression" dxfId="6171" priority="1310">
      <formula>AV43="X"</formula>
    </cfRule>
    <cfRule type="expression" dxfId="6170" priority="1311">
      <formula>AV43="후보"</formula>
    </cfRule>
  </conditionalFormatting>
  <conditionalFormatting sqref="AC43">
    <cfRule type="cellIs" dxfId="6169" priority="1307" operator="greaterThan">
      <formula>0.9</formula>
    </cfRule>
    <cfRule type="cellIs" dxfId="6168" priority="1308" operator="greaterThan">
      <formula>0.85</formula>
    </cfRule>
  </conditionalFormatting>
  <conditionalFormatting sqref="N43">
    <cfRule type="cellIs" dxfId="6167" priority="1305" operator="greaterThan">
      <formula>0.9</formula>
    </cfRule>
    <cfRule type="cellIs" dxfId="6166" priority="1306" operator="greaterThan">
      <formula>0.85</formula>
    </cfRule>
  </conditionalFormatting>
  <conditionalFormatting sqref="E43">
    <cfRule type="expression" dxfId="6165" priority="1301">
      <formula>AND(IF(OR($Q43=1,$Q43=2),1,0),IF($X43&lt;=20,1,0))</formula>
    </cfRule>
    <cfRule type="expression" dxfId="6164" priority="1302">
      <formula>AND(IF($Q43=2,1,0),IF($X43&lt;30,1,0))</formula>
    </cfRule>
    <cfRule type="expression" dxfId="6163" priority="1303">
      <formula>AND(IF($Q43=3,1,0),IF($X43&lt;30,1,0))</formula>
    </cfRule>
    <cfRule type="expression" dxfId="6162" priority="1304">
      <formula>AND(IF($Q43=3,1,IF($Q43=4,1,0)),IF($F43&lt;=85,1,0))</formula>
    </cfRule>
  </conditionalFormatting>
  <conditionalFormatting sqref="X43">
    <cfRule type="expression" dxfId="6161" priority="1297">
      <formula>AND(IF(OR($Q43=1,$Q43=2),1,0),IF($X43&lt;=20,1,0))</formula>
    </cfRule>
    <cfRule type="expression" dxfId="6160" priority="1298">
      <formula>AND(IF($Q43=2,1,0),IF($X43&lt;30,1,0))</formula>
    </cfRule>
    <cfRule type="expression" dxfId="6159" priority="1299">
      <formula>AND(IF($Q43=3,1,0),IF($X43&lt;30,1,0))</formula>
    </cfRule>
    <cfRule type="expression" dxfId="6158" priority="1300">
      <formula>AND(IF($Q43=3,1,IF($Q43=4,1,0)),IF($F43&lt;=85,1,0))</formula>
    </cfRule>
  </conditionalFormatting>
  <conditionalFormatting sqref="AI43">
    <cfRule type="expression" dxfId="6157" priority="1293">
      <formula>AND(IF(OR($Q43=1,$Q43=2),1,0),IF($X43&lt;=20,1,0))</formula>
    </cfRule>
    <cfRule type="expression" dxfId="6156" priority="1294">
      <formula>AND(IF($Q43=2,1,0),IF($X43&lt;30,1,0))</formula>
    </cfRule>
    <cfRule type="expression" dxfId="6155" priority="1295">
      <formula>AND(IF($Q43=3,1,0),IF($X43&lt;30,1,0))</formula>
    </cfRule>
    <cfRule type="expression" dxfId="6154" priority="1296">
      <formula>AND(IF($Q43=3,1,IF($Q43=4,1,0)),IF($F43&lt;=85,1,0))</formula>
    </cfRule>
  </conditionalFormatting>
  <conditionalFormatting sqref="AV44">
    <cfRule type="expression" dxfId="6153" priority="1291">
      <formula>AV44="X"</formula>
    </cfRule>
    <cfRule type="expression" dxfId="6152" priority="1292">
      <formula>AV44="후보"</formula>
    </cfRule>
  </conditionalFormatting>
  <conditionalFormatting sqref="AC44 N44">
    <cfRule type="cellIs" dxfId="6151" priority="1288" operator="greaterThan">
      <formula>0.9</formula>
    </cfRule>
    <cfRule type="cellIs" dxfId="6150" priority="1289" operator="greaterThan">
      <formula>0.85</formula>
    </cfRule>
  </conditionalFormatting>
  <conditionalFormatting sqref="AV45">
    <cfRule type="expression" dxfId="6149" priority="1286">
      <formula>AV45="X"</formula>
    </cfRule>
    <cfRule type="expression" dxfId="6148" priority="1287">
      <formula>AV45="후보"</formula>
    </cfRule>
  </conditionalFormatting>
  <conditionalFormatting sqref="AC45">
    <cfRule type="cellIs" dxfId="6147" priority="1283" operator="greaterThan">
      <formula>0.9</formula>
    </cfRule>
    <cfRule type="cellIs" dxfId="6146" priority="1284" operator="greaterThan">
      <formula>0.85</formula>
    </cfRule>
  </conditionalFormatting>
  <conditionalFormatting sqref="N45">
    <cfRule type="cellIs" dxfId="6145" priority="1281" operator="greaterThan">
      <formula>0.9</formula>
    </cfRule>
    <cfRule type="cellIs" dxfId="6144" priority="1282" operator="greaterThan">
      <formula>0.85</formula>
    </cfRule>
  </conditionalFormatting>
  <conditionalFormatting sqref="E45">
    <cfRule type="expression" dxfId="6143" priority="1277">
      <formula>AND(IF(OR($Q45=1,$Q45=2),1,0),IF($X45&lt;=20,1,0))</formula>
    </cfRule>
    <cfRule type="expression" dxfId="6142" priority="1278">
      <formula>AND(IF($Q45=2,1,0),IF($X45&lt;30,1,0))</formula>
    </cfRule>
    <cfRule type="expression" dxfId="6141" priority="1279">
      <formula>AND(IF($Q45=3,1,0),IF($X45&lt;30,1,0))</formula>
    </cfRule>
    <cfRule type="expression" dxfId="6140" priority="1280">
      <formula>AND(IF($Q45=3,1,IF($Q45=4,1,0)),IF($F45&lt;=85,1,0))</formula>
    </cfRule>
  </conditionalFormatting>
  <conditionalFormatting sqref="X45">
    <cfRule type="expression" dxfId="6139" priority="1273">
      <formula>AND(IF(OR($Q45=1,$Q45=2),1,0),IF($X45&lt;=20,1,0))</formula>
    </cfRule>
    <cfRule type="expression" dxfId="6138" priority="1274">
      <formula>AND(IF($Q45=2,1,0),IF($X45&lt;30,1,0))</formula>
    </cfRule>
    <cfRule type="expression" dxfId="6137" priority="1275">
      <formula>AND(IF($Q45=3,1,0),IF($X45&lt;30,1,0))</formula>
    </cfRule>
    <cfRule type="expression" dxfId="6136" priority="1276">
      <formula>AND(IF($Q45=3,1,IF($Q45=4,1,0)),IF($F45&lt;=85,1,0))</formula>
    </cfRule>
  </conditionalFormatting>
  <conditionalFormatting sqref="AI45">
    <cfRule type="expression" dxfId="6135" priority="1269">
      <formula>AND(IF(OR($Q45=1,$Q45=2),1,0),IF($X45&lt;=20,1,0))</formula>
    </cfRule>
    <cfRule type="expression" dxfId="6134" priority="1270">
      <formula>AND(IF($Q45=2,1,0),IF($X45&lt;30,1,0))</formula>
    </cfRule>
    <cfRule type="expression" dxfId="6133" priority="1271">
      <formula>AND(IF($Q45=3,1,0),IF($X45&lt;30,1,0))</formula>
    </cfRule>
    <cfRule type="expression" dxfId="6132" priority="1272">
      <formula>AND(IF($Q45=3,1,IF($Q45=4,1,0)),IF($F45&lt;=85,1,0))</formula>
    </cfRule>
  </conditionalFormatting>
  <conditionalFormatting sqref="AV46">
    <cfRule type="expression" dxfId="6131" priority="1267">
      <formula>AV46="X"</formula>
    </cfRule>
    <cfRule type="expression" dxfId="6130" priority="1268">
      <formula>AV46="후보"</formula>
    </cfRule>
  </conditionalFormatting>
  <conditionalFormatting sqref="AC46 N46">
    <cfRule type="cellIs" dxfId="6129" priority="1264" operator="greaterThan">
      <formula>0.9</formula>
    </cfRule>
    <cfRule type="cellIs" dxfId="6128" priority="1265" operator="greaterThan">
      <formula>0.85</formula>
    </cfRule>
  </conditionalFormatting>
  <conditionalFormatting sqref="AV47">
    <cfRule type="expression" dxfId="6127" priority="1262">
      <formula>AV47="X"</formula>
    </cfRule>
    <cfRule type="expression" dxfId="6126" priority="1263">
      <formula>AV47="후보"</formula>
    </cfRule>
  </conditionalFormatting>
  <conditionalFormatting sqref="AC47">
    <cfRule type="cellIs" dxfId="6125" priority="1259" operator="greaterThan">
      <formula>0.9</formula>
    </cfRule>
    <cfRule type="cellIs" dxfId="6124" priority="1260" operator="greaterThan">
      <formula>0.85</formula>
    </cfRule>
  </conditionalFormatting>
  <conditionalFormatting sqref="N47">
    <cfRule type="cellIs" dxfId="6123" priority="1257" operator="greaterThan">
      <formula>0.9</formula>
    </cfRule>
    <cfRule type="cellIs" dxfId="6122" priority="1258" operator="greaterThan">
      <formula>0.85</formula>
    </cfRule>
  </conditionalFormatting>
  <conditionalFormatting sqref="E47">
    <cfRule type="expression" dxfId="6121" priority="1253">
      <formula>AND(IF(OR($Q47=1,$Q47=2),1,0),IF($X47&lt;=20,1,0))</formula>
    </cfRule>
    <cfRule type="expression" dxfId="6120" priority="1254">
      <formula>AND(IF($Q47=2,1,0),IF($X47&lt;30,1,0))</formula>
    </cfRule>
    <cfRule type="expression" dxfId="6119" priority="1255">
      <formula>AND(IF($Q47=3,1,0),IF($X47&lt;30,1,0))</formula>
    </cfRule>
    <cfRule type="expression" dxfId="6118" priority="1256">
      <formula>AND(IF($Q47=3,1,IF($Q47=4,1,0)),IF($F47&lt;=85,1,0))</formula>
    </cfRule>
  </conditionalFormatting>
  <conditionalFormatting sqref="X47">
    <cfRule type="expression" dxfId="6117" priority="1249">
      <formula>AND(IF(OR($Q47=1,$Q47=2),1,0),IF($X47&lt;=20,1,0))</formula>
    </cfRule>
    <cfRule type="expression" dxfId="6116" priority="1250">
      <formula>AND(IF($Q47=2,1,0),IF($X47&lt;30,1,0))</formula>
    </cfRule>
    <cfRule type="expression" dxfId="6115" priority="1251">
      <formula>AND(IF($Q47=3,1,0),IF($X47&lt;30,1,0))</formula>
    </cfRule>
    <cfRule type="expression" dxfId="6114" priority="1252">
      <formula>AND(IF($Q47=3,1,IF($Q47=4,1,0)),IF($F47&lt;=85,1,0))</formula>
    </cfRule>
  </conditionalFormatting>
  <conditionalFormatting sqref="AI47">
    <cfRule type="expression" dxfId="6113" priority="1245">
      <formula>AND(IF(OR($Q47=1,$Q47=2),1,0),IF($X47&lt;=20,1,0))</formula>
    </cfRule>
    <cfRule type="expression" dxfId="6112" priority="1246">
      <formula>AND(IF($Q47=2,1,0),IF($X47&lt;30,1,0))</formula>
    </cfRule>
    <cfRule type="expression" dxfId="6111" priority="1247">
      <formula>AND(IF($Q47=3,1,0),IF($X47&lt;30,1,0))</formula>
    </cfRule>
    <cfRule type="expression" dxfId="6110" priority="1248">
      <formula>AND(IF($Q47=3,1,IF($Q47=4,1,0)),IF($F47&lt;=85,1,0))</formula>
    </cfRule>
  </conditionalFormatting>
  <conditionalFormatting sqref="AV48">
    <cfRule type="expression" dxfId="6109" priority="1243">
      <formula>AV48="X"</formula>
    </cfRule>
    <cfRule type="expression" dxfId="6108" priority="1244">
      <formula>AV48="후보"</formula>
    </cfRule>
  </conditionalFormatting>
  <conditionalFormatting sqref="AC48">
    <cfRule type="cellIs" dxfId="6107" priority="1240" operator="greaterThan">
      <formula>0.9</formula>
    </cfRule>
    <cfRule type="cellIs" dxfId="6106" priority="1241" operator="greaterThan">
      <formula>0.85</formula>
    </cfRule>
  </conditionalFormatting>
  <conditionalFormatting sqref="N48">
    <cfRule type="cellIs" dxfId="6105" priority="1238" operator="greaterThan">
      <formula>0.9</formula>
    </cfRule>
    <cfRule type="cellIs" dxfId="6104" priority="1239" operator="greaterThan">
      <formula>0.85</formula>
    </cfRule>
  </conditionalFormatting>
  <conditionalFormatting sqref="E48">
    <cfRule type="expression" dxfId="6103" priority="1234">
      <formula>AND(IF(OR($Q48=1,$Q48=2),1,0),IF($X48&lt;=20,1,0))</formula>
    </cfRule>
    <cfRule type="expression" dxfId="6102" priority="1235">
      <formula>AND(IF($Q48=2,1,0),IF($X48&lt;30,1,0))</formula>
    </cfRule>
    <cfRule type="expression" dxfId="6101" priority="1236">
      <formula>AND(IF($Q48=3,1,0),IF($X48&lt;30,1,0))</formula>
    </cfRule>
    <cfRule type="expression" dxfId="6100" priority="1237">
      <formula>AND(IF($Q48=3,1,IF($Q48=4,1,0)),IF($F48&lt;=85,1,0))</formula>
    </cfRule>
  </conditionalFormatting>
  <conditionalFormatting sqref="X48">
    <cfRule type="expression" dxfId="6099" priority="1230">
      <formula>AND(IF(OR($Q48=1,$Q48=2),1,0),IF($X48&lt;=20,1,0))</formula>
    </cfRule>
    <cfRule type="expression" dxfId="6098" priority="1231">
      <formula>AND(IF($Q48=2,1,0),IF($X48&lt;30,1,0))</formula>
    </cfRule>
    <cfRule type="expression" dxfId="6097" priority="1232">
      <formula>AND(IF($Q48=3,1,0),IF($X48&lt;30,1,0))</formula>
    </cfRule>
    <cfRule type="expression" dxfId="6096" priority="1233">
      <formula>AND(IF($Q48=3,1,IF($Q48=4,1,0)),IF($F48&lt;=85,1,0))</formula>
    </cfRule>
  </conditionalFormatting>
  <conditionalFormatting sqref="AI48">
    <cfRule type="expression" dxfId="6095" priority="1226">
      <formula>AND(IF(OR($Q48=1,$Q48=2),1,0),IF($X48&lt;=20,1,0))</formula>
    </cfRule>
    <cfRule type="expression" dxfId="6094" priority="1227">
      <formula>AND(IF($Q48=2,1,0),IF($X48&lt;30,1,0))</formula>
    </cfRule>
    <cfRule type="expression" dxfId="6093" priority="1228">
      <formula>AND(IF($Q48=3,1,0),IF($X48&lt;30,1,0))</formula>
    </cfRule>
    <cfRule type="expression" dxfId="6092" priority="1229">
      <formula>AND(IF($Q48=3,1,IF($Q48=4,1,0)),IF($F48&lt;=85,1,0))</formula>
    </cfRule>
  </conditionalFormatting>
  <conditionalFormatting sqref="AV49">
    <cfRule type="expression" dxfId="6091" priority="1224">
      <formula>AV49="X"</formula>
    </cfRule>
    <cfRule type="expression" dxfId="6090" priority="1225">
      <formula>AV49="후보"</formula>
    </cfRule>
  </conditionalFormatting>
  <conditionalFormatting sqref="AC49">
    <cfRule type="cellIs" dxfId="6089" priority="1221" operator="greaterThan">
      <formula>0.9</formula>
    </cfRule>
    <cfRule type="cellIs" dxfId="6088" priority="1222" operator="greaterThan">
      <formula>0.85</formula>
    </cfRule>
  </conditionalFormatting>
  <conditionalFormatting sqref="N49">
    <cfRule type="cellIs" dxfId="6087" priority="1219" operator="greaterThan">
      <formula>0.9</formula>
    </cfRule>
    <cfRule type="cellIs" dxfId="6086" priority="1220" operator="greaterThan">
      <formula>0.85</formula>
    </cfRule>
  </conditionalFormatting>
  <conditionalFormatting sqref="E49">
    <cfRule type="expression" dxfId="6085" priority="1215">
      <formula>AND(IF(OR($Q49=1,$Q49=2),1,0),IF($X49&lt;=20,1,0))</formula>
    </cfRule>
    <cfRule type="expression" dxfId="6084" priority="1216">
      <formula>AND(IF($Q49=2,1,0),IF($X49&lt;30,1,0))</formula>
    </cfRule>
    <cfRule type="expression" dxfId="6083" priority="1217">
      <formula>AND(IF($Q49=3,1,0),IF($X49&lt;30,1,0))</formula>
    </cfRule>
    <cfRule type="expression" dxfId="6082" priority="1218">
      <formula>AND(IF($Q49=3,1,IF($Q49=4,1,0)),IF($F49&lt;=85,1,0))</formula>
    </cfRule>
  </conditionalFormatting>
  <conditionalFormatting sqref="X49">
    <cfRule type="expression" dxfId="6081" priority="1211">
      <formula>AND(IF(OR($Q49=1,$Q49=2),1,0),IF($X49&lt;=20,1,0))</formula>
    </cfRule>
    <cfRule type="expression" dxfId="6080" priority="1212">
      <formula>AND(IF($Q49=2,1,0),IF($X49&lt;30,1,0))</formula>
    </cfRule>
    <cfRule type="expression" dxfId="6079" priority="1213">
      <formula>AND(IF($Q49=3,1,0),IF($X49&lt;30,1,0))</formula>
    </cfRule>
    <cfRule type="expression" dxfId="6078" priority="1214">
      <formula>AND(IF($Q49=3,1,IF($Q49=4,1,0)),IF($F49&lt;=85,1,0))</formula>
    </cfRule>
  </conditionalFormatting>
  <conditionalFormatting sqref="AI49">
    <cfRule type="expression" dxfId="6077" priority="1207">
      <formula>AND(IF(OR($Q49=1,$Q49=2),1,0),IF($X49&lt;=20,1,0))</formula>
    </cfRule>
    <cfRule type="expression" dxfId="6076" priority="1208">
      <formula>AND(IF($Q49=2,1,0),IF($X49&lt;30,1,0))</formula>
    </cfRule>
    <cfRule type="expression" dxfId="6075" priority="1209">
      <formula>AND(IF($Q49=3,1,0),IF($X49&lt;30,1,0))</formula>
    </cfRule>
    <cfRule type="expression" dxfId="6074" priority="1210">
      <formula>AND(IF($Q49=3,1,IF($Q49=4,1,0)),IF($F49&lt;=85,1,0))</formula>
    </cfRule>
  </conditionalFormatting>
  <conditionalFormatting sqref="AV50">
    <cfRule type="expression" dxfId="6073" priority="1205">
      <formula>AV50="X"</formula>
    </cfRule>
    <cfRule type="expression" dxfId="6072" priority="1206">
      <formula>AV50="후보"</formula>
    </cfRule>
  </conditionalFormatting>
  <conditionalFormatting sqref="AC50">
    <cfRule type="cellIs" dxfId="6071" priority="1202" operator="greaterThan">
      <formula>0.9</formula>
    </cfRule>
    <cfRule type="cellIs" dxfId="6070" priority="1203" operator="greaterThan">
      <formula>0.85</formula>
    </cfRule>
  </conditionalFormatting>
  <conditionalFormatting sqref="N50">
    <cfRule type="cellIs" dxfId="6069" priority="1200" operator="greaterThan">
      <formula>0.9</formula>
    </cfRule>
    <cfRule type="cellIs" dxfId="6068" priority="1201" operator="greaterThan">
      <formula>0.85</formula>
    </cfRule>
  </conditionalFormatting>
  <conditionalFormatting sqref="E50">
    <cfRule type="expression" dxfId="6067" priority="1196">
      <formula>AND(IF(OR($Q50=1,$Q50=2),1,0),IF($X50&lt;=20,1,0))</formula>
    </cfRule>
    <cfRule type="expression" dxfId="6066" priority="1197">
      <formula>AND(IF($Q50=2,1,0),IF($X50&lt;30,1,0))</formula>
    </cfRule>
    <cfRule type="expression" dxfId="6065" priority="1198">
      <formula>AND(IF($Q50=3,1,0),IF($X50&lt;30,1,0))</formula>
    </cfRule>
    <cfRule type="expression" dxfId="6064" priority="1199">
      <formula>AND(IF($Q50=3,1,IF($Q50=4,1,0)),IF($F50&lt;=85,1,0))</formula>
    </cfRule>
  </conditionalFormatting>
  <conditionalFormatting sqref="X50">
    <cfRule type="expression" dxfId="6063" priority="1192">
      <formula>AND(IF(OR($Q50=1,$Q50=2),1,0),IF($X50&lt;=20,1,0))</formula>
    </cfRule>
    <cfRule type="expression" dxfId="6062" priority="1193">
      <formula>AND(IF($Q50=2,1,0),IF($X50&lt;30,1,0))</formula>
    </cfRule>
    <cfRule type="expression" dxfId="6061" priority="1194">
      <formula>AND(IF($Q50=3,1,0),IF($X50&lt;30,1,0))</formula>
    </cfRule>
    <cfRule type="expression" dxfId="6060" priority="1195">
      <formula>AND(IF($Q50=3,1,IF($Q50=4,1,0)),IF($F50&lt;=85,1,0))</formula>
    </cfRule>
  </conditionalFormatting>
  <conditionalFormatting sqref="AI50">
    <cfRule type="expression" dxfId="6059" priority="1188">
      <formula>AND(IF(OR($Q50=1,$Q50=2),1,0),IF($X50&lt;=20,1,0))</formula>
    </cfRule>
    <cfRule type="expression" dxfId="6058" priority="1189">
      <formula>AND(IF($Q50=2,1,0),IF($X50&lt;30,1,0))</formula>
    </cfRule>
    <cfRule type="expression" dxfId="6057" priority="1190">
      <formula>AND(IF($Q50=3,1,0),IF($X50&lt;30,1,0))</formula>
    </cfRule>
    <cfRule type="expression" dxfId="6056" priority="1191">
      <formula>AND(IF($Q50=3,1,IF($Q50=4,1,0)),IF($F50&lt;=85,1,0))</formula>
    </cfRule>
  </conditionalFormatting>
  <conditionalFormatting sqref="AV51">
    <cfRule type="expression" dxfId="6055" priority="1186">
      <formula>AV51="X"</formula>
    </cfRule>
    <cfRule type="expression" dxfId="6054" priority="1187">
      <formula>AV51="후보"</formula>
    </cfRule>
  </conditionalFormatting>
  <conditionalFormatting sqref="AC51">
    <cfRule type="cellIs" dxfId="6053" priority="1183" operator="greaterThan">
      <formula>0.9</formula>
    </cfRule>
    <cfRule type="cellIs" dxfId="6052" priority="1184" operator="greaterThan">
      <formula>0.85</formula>
    </cfRule>
  </conditionalFormatting>
  <conditionalFormatting sqref="N51">
    <cfRule type="cellIs" dxfId="6051" priority="1181" operator="greaterThan">
      <formula>0.9</formula>
    </cfRule>
    <cfRule type="cellIs" dxfId="6050" priority="1182" operator="greaterThan">
      <formula>0.85</formula>
    </cfRule>
  </conditionalFormatting>
  <conditionalFormatting sqref="E51">
    <cfRule type="expression" dxfId="6049" priority="1177">
      <formula>AND(IF(OR($Q51=1,$Q51=2),1,0),IF($X51&lt;=20,1,0))</formula>
    </cfRule>
    <cfRule type="expression" dxfId="6048" priority="1178">
      <formula>AND(IF($Q51=2,1,0),IF($X51&lt;30,1,0))</formula>
    </cfRule>
    <cfRule type="expression" dxfId="6047" priority="1179">
      <formula>AND(IF($Q51=3,1,0),IF($X51&lt;30,1,0))</formula>
    </cfRule>
    <cfRule type="expression" dxfId="6046" priority="1180">
      <formula>AND(IF($Q51=3,1,IF($Q51=4,1,0)),IF($F51&lt;=85,1,0))</formula>
    </cfRule>
  </conditionalFormatting>
  <conditionalFormatting sqref="X51">
    <cfRule type="expression" dxfId="6045" priority="1173">
      <formula>AND(IF(OR($Q51=1,$Q51=2),1,0),IF($X51&lt;=20,1,0))</formula>
    </cfRule>
    <cfRule type="expression" dxfId="6044" priority="1174">
      <formula>AND(IF($Q51=2,1,0),IF($X51&lt;30,1,0))</formula>
    </cfRule>
    <cfRule type="expression" dxfId="6043" priority="1175">
      <formula>AND(IF($Q51=3,1,0),IF($X51&lt;30,1,0))</formula>
    </cfRule>
    <cfRule type="expression" dxfId="6042" priority="1176">
      <formula>AND(IF($Q51=3,1,IF($Q51=4,1,0)),IF($F51&lt;=85,1,0))</formula>
    </cfRule>
  </conditionalFormatting>
  <conditionalFormatting sqref="AI51">
    <cfRule type="expression" dxfId="6041" priority="1169">
      <formula>AND(IF(OR($Q51=1,$Q51=2),1,0),IF($X51&lt;=20,1,0))</formula>
    </cfRule>
    <cfRule type="expression" dxfId="6040" priority="1170">
      <formula>AND(IF($Q51=2,1,0),IF($X51&lt;30,1,0))</formula>
    </cfRule>
    <cfRule type="expression" dxfId="6039" priority="1171">
      <formula>AND(IF($Q51=3,1,0),IF($X51&lt;30,1,0))</formula>
    </cfRule>
    <cfRule type="expression" dxfId="6038" priority="1172">
      <formula>AND(IF($Q51=3,1,IF($Q51=4,1,0)),IF($F51&lt;=85,1,0))</formula>
    </cfRule>
  </conditionalFormatting>
  <conditionalFormatting sqref="AV52">
    <cfRule type="expression" dxfId="6037" priority="1167">
      <formula>AV52="X"</formula>
    </cfRule>
    <cfRule type="expression" dxfId="6036" priority="1168">
      <formula>AV52="후보"</formula>
    </cfRule>
  </conditionalFormatting>
  <conditionalFormatting sqref="AC52 N52">
    <cfRule type="cellIs" dxfId="6035" priority="1164" operator="greaterThan">
      <formula>0.9</formula>
    </cfRule>
    <cfRule type="cellIs" dxfId="6034" priority="1165" operator="greaterThan">
      <formula>0.85</formula>
    </cfRule>
  </conditionalFormatting>
  <conditionalFormatting sqref="AV53">
    <cfRule type="expression" dxfId="6033" priority="1162">
      <formula>AV53="X"</formula>
    </cfRule>
    <cfRule type="expression" dxfId="6032" priority="1163">
      <formula>AV53="후보"</formula>
    </cfRule>
  </conditionalFormatting>
  <conditionalFormatting sqref="AC53">
    <cfRule type="cellIs" dxfId="6031" priority="1159" operator="greaterThan">
      <formula>0.9</formula>
    </cfRule>
    <cfRule type="cellIs" dxfId="6030" priority="1160" operator="greaterThan">
      <formula>0.85</formula>
    </cfRule>
  </conditionalFormatting>
  <conditionalFormatting sqref="N53">
    <cfRule type="cellIs" dxfId="6029" priority="1157" operator="greaterThan">
      <formula>0.9</formula>
    </cfRule>
    <cfRule type="cellIs" dxfId="6028" priority="1158" operator="greaterThan">
      <formula>0.85</formula>
    </cfRule>
  </conditionalFormatting>
  <conditionalFormatting sqref="E53">
    <cfRule type="expression" dxfId="6027" priority="1153">
      <formula>AND(IF(OR($Q53=1,$Q53=2),1,0),IF($X53&lt;=20,1,0))</formula>
    </cfRule>
    <cfRule type="expression" dxfId="6026" priority="1154">
      <formula>AND(IF($Q53=2,1,0),IF($X53&lt;30,1,0))</formula>
    </cfRule>
    <cfRule type="expression" dxfId="6025" priority="1155">
      <formula>AND(IF($Q53=3,1,0),IF($X53&lt;30,1,0))</formula>
    </cfRule>
    <cfRule type="expression" dxfId="6024" priority="1156">
      <formula>AND(IF($Q53=3,1,IF($Q53=4,1,0)),IF($F53&lt;=85,1,0))</formula>
    </cfRule>
  </conditionalFormatting>
  <conditionalFormatting sqref="X53">
    <cfRule type="expression" dxfId="6023" priority="1149">
      <formula>AND(IF(OR($Q53=1,$Q53=2),1,0),IF($X53&lt;=20,1,0))</formula>
    </cfRule>
    <cfRule type="expression" dxfId="6022" priority="1150">
      <formula>AND(IF($Q53=2,1,0),IF($X53&lt;30,1,0))</formula>
    </cfRule>
    <cfRule type="expression" dxfId="6021" priority="1151">
      <formula>AND(IF($Q53=3,1,0),IF($X53&lt;30,1,0))</formula>
    </cfRule>
    <cfRule type="expression" dxfId="6020" priority="1152">
      <formula>AND(IF($Q53=3,1,IF($Q53=4,1,0)),IF($F53&lt;=85,1,0))</formula>
    </cfRule>
  </conditionalFormatting>
  <conditionalFormatting sqref="AI53">
    <cfRule type="expression" dxfId="6019" priority="1145">
      <formula>AND(IF(OR($Q53=1,$Q53=2),1,0),IF($X53&lt;=20,1,0))</formula>
    </cfRule>
    <cfRule type="expression" dxfId="6018" priority="1146">
      <formula>AND(IF($Q53=2,1,0),IF($X53&lt;30,1,0))</formula>
    </cfRule>
    <cfRule type="expression" dxfId="6017" priority="1147">
      <formula>AND(IF($Q53=3,1,0),IF($X53&lt;30,1,0))</formula>
    </cfRule>
    <cfRule type="expression" dxfId="6016" priority="1148">
      <formula>AND(IF($Q53=3,1,IF($Q53=4,1,0)),IF($F53&lt;=85,1,0))</formula>
    </cfRule>
  </conditionalFormatting>
  <conditionalFormatting sqref="AV54">
    <cfRule type="expression" dxfId="6015" priority="1143">
      <formula>AV54="X"</formula>
    </cfRule>
    <cfRule type="expression" dxfId="6014" priority="1144">
      <formula>AV54="후보"</formula>
    </cfRule>
  </conditionalFormatting>
  <conditionalFormatting sqref="AC54">
    <cfRule type="cellIs" dxfId="6013" priority="1140" operator="greaterThan">
      <formula>0.9</formula>
    </cfRule>
    <cfRule type="cellIs" dxfId="6012" priority="1141" operator="greaterThan">
      <formula>0.85</formula>
    </cfRule>
  </conditionalFormatting>
  <conditionalFormatting sqref="N54">
    <cfRule type="cellIs" dxfId="6011" priority="1138" operator="greaterThan">
      <formula>0.9</formula>
    </cfRule>
    <cfRule type="cellIs" dxfId="6010" priority="1139" operator="greaterThan">
      <formula>0.85</formula>
    </cfRule>
  </conditionalFormatting>
  <conditionalFormatting sqref="E54">
    <cfRule type="expression" dxfId="6009" priority="1134">
      <formula>AND(IF(OR($Q54=1,$Q54=2),1,0),IF($X54&lt;=20,1,0))</formula>
    </cfRule>
    <cfRule type="expression" dxfId="6008" priority="1135">
      <formula>AND(IF($Q54=2,1,0),IF($X54&lt;30,1,0))</formula>
    </cfRule>
    <cfRule type="expression" dxfId="6007" priority="1136">
      <formula>AND(IF($Q54=3,1,0),IF($X54&lt;30,1,0))</formula>
    </cfRule>
    <cfRule type="expression" dxfId="6006" priority="1137">
      <formula>AND(IF($Q54=3,1,IF($Q54=4,1,0)),IF($F54&lt;=85,1,0))</formula>
    </cfRule>
  </conditionalFormatting>
  <conditionalFormatting sqref="X54">
    <cfRule type="expression" dxfId="6005" priority="1130">
      <formula>AND(IF(OR($Q54=1,$Q54=2),1,0),IF($X54&lt;=20,1,0))</formula>
    </cfRule>
    <cfRule type="expression" dxfId="6004" priority="1131">
      <formula>AND(IF($Q54=2,1,0),IF($X54&lt;30,1,0))</formula>
    </cfRule>
    <cfRule type="expression" dxfId="6003" priority="1132">
      <formula>AND(IF($Q54=3,1,0),IF($X54&lt;30,1,0))</formula>
    </cfRule>
    <cfRule type="expression" dxfId="6002" priority="1133">
      <formula>AND(IF($Q54=3,1,IF($Q54=4,1,0)),IF($F54&lt;=85,1,0))</formula>
    </cfRule>
  </conditionalFormatting>
  <conditionalFormatting sqref="AI54">
    <cfRule type="expression" dxfId="6001" priority="1126">
      <formula>AND(IF(OR($Q54=1,$Q54=2),1,0),IF($X54&lt;=20,1,0))</formula>
    </cfRule>
    <cfRule type="expression" dxfId="6000" priority="1127">
      <formula>AND(IF($Q54=2,1,0),IF($X54&lt;30,1,0))</formula>
    </cfRule>
    <cfRule type="expression" dxfId="5999" priority="1128">
      <formula>AND(IF($Q54=3,1,0),IF($X54&lt;30,1,0))</formula>
    </cfRule>
    <cfRule type="expression" dxfId="5998" priority="1129">
      <formula>AND(IF($Q54=3,1,IF($Q54=4,1,0)),IF($F54&lt;=85,1,0))</formula>
    </cfRule>
  </conditionalFormatting>
  <conditionalFormatting sqref="AV55">
    <cfRule type="expression" dxfId="5997" priority="1124">
      <formula>AV55="X"</formula>
    </cfRule>
    <cfRule type="expression" dxfId="5996" priority="1125">
      <formula>AV55="후보"</formula>
    </cfRule>
  </conditionalFormatting>
  <conditionalFormatting sqref="AC55">
    <cfRule type="cellIs" dxfId="5995" priority="1121" operator="greaterThan">
      <formula>0.9</formula>
    </cfRule>
    <cfRule type="cellIs" dxfId="5994" priority="1122" operator="greaterThan">
      <formula>0.85</formula>
    </cfRule>
  </conditionalFormatting>
  <conditionalFormatting sqref="N55">
    <cfRule type="cellIs" dxfId="5993" priority="1119" operator="greaterThan">
      <formula>0.9</formula>
    </cfRule>
    <cfRule type="cellIs" dxfId="5992" priority="1120" operator="greaterThan">
      <formula>0.85</formula>
    </cfRule>
  </conditionalFormatting>
  <conditionalFormatting sqref="E55">
    <cfRule type="expression" dxfId="5991" priority="1115">
      <formula>AND(IF(OR($Q55=1,$Q55=2),1,0),IF($X55&lt;=20,1,0))</formula>
    </cfRule>
    <cfRule type="expression" dxfId="5990" priority="1116">
      <formula>AND(IF($Q55=2,1,0),IF($X55&lt;30,1,0))</formula>
    </cfRule>
    <cfRule type="expression" dxfId="5989" priority="1117">
      <formula>AND(IF($Q55=3,1,0),IF($X55&lt;30,1,0))</formula>
    </cfRule>
    <cfRule type="expression" dxfId="5988" priority="1118">
      <formula>AND(IF($Q55=3,1,IF($Q55=4,1,0)),IF($F55&lt;=85,1,0))</formula>
    </cfRule>
  </conditionalFormatting>
  <conditionalFormatting sqref="X55">
    <cfRule type="expression" dxfId="5987" priority="1111">
      <formula>AND(IF(OR($Q55=1,$Q55=2),1,0),IF($X55&lt;=20,1,0))</formula>
    </cfRule>
    <cfRule type="expression" dxfId="5986" priority="1112">
      <formula>AND(IF($Q55=2,1,0),IF($X55&lt;30,1,0))</formula>
    </cfRule>
    <cfRule type="expression" dxfId="5985" priority="1113">
      <formula>AND(IF($Q55=3,1,0),IF($X55&lt;30,1,0))</formula>
    </cfRule>
    <cfRule type="expression" dxfId="5984" priority="1114">
      <formula>AND(IF($Q55=3,1,IF($Q55=4,1,0)),IF($F55&lt;=85,1,0))</formula>
    </cfRule>
  </conditionalFormatting>
  <conditionalFormatting sqref="AI55">
    <cfRule type="expression" dxfId="5983" priority="1107">
      <formula>AND(IF(OR($Q55=1,$Q55=2),1,0),IF($X55&lt;=20,1,0))</formula>
    </cfRule>
    <cfRule type="expression" dxfId="5982" priority="1108">
      <formula>AND(IF($Q55=2,1,0),IF($X55&lt;30,1,0))</formula>
    </cfRule>
    <cfRule type="expression" dxfId="5981" priority="1109">
      <formula>AND(IF($Q55=3,1,0),IF($X55&lt;30,1,0))</formula>
    </cfRule>
    <cfRule type="expression" dxfId="5980" priority="1110">
      <formula>AND(IF($Q55=3,1,IF($Q55=4,1,0)),IF($F55&lt;=85,1,0))</formula>
    </cfRule>
  </conditionalFormatting>
  <conditionalFormatting sqref="AV56">
    <cfRule type="expression" dxfId="5979" priority="1105">
      <formula>AV56="X"</formula>
    </cfRule>
    <cfRule type="expression" dxfId="5978" priority="1106">
      <formula>AV56="후보"</formula>
    </cfRule>
  </conditionalFormatting>
  <conditionalFormatting sqref="AC56">
    <cfRule type="cellIs" dxfId="5977" priority="1102" operator="greaterThan">
      <formula>0.9</formula>
    </cfRule>
    <cfRule type="cellIs" dxfId="5976" priority="1103" operator="greaterThan">
      <formula>0.85</formula>
    </cfRule>
  </conditionalFormatting>
  <conditionalFormatting sqref="N56">
    <cfRule type="cellIs" dxfId="5975" priority="1100" operator="greaterThan">
      <formula>0.9</formula>
    </cfRule>
    <cfRule type="cellIs" dxfId="5974" priority="1101" operator="greaterThan">
      <formula>0.85</formula>
    </cfRule>
  </conditionalFormatting>
  <conditionalFormatting sqref="E56">
    <cfRule type="expression" dxfId="5973" priority="1096">
      <formula>AND(IF(OR($Q56=1,$Q56=2),1,0),IF($X56&lt;=20,1,0))</formula>
    </cfRule>
    <cfRule type="expression" dxfId="5972" priority="1097">
      <formula>AND(IF($Q56=2,1,0),IF($X56&lt;30,1,0))</formula>
    </cfRule>
    <cfRule type="expression" dxfId="5971" priority="1098">
      <formula>AND(IF($Q56=3,1,0),IF($X56&lt;30,1,0))</formula>
    </cfRule>
    <cfRule type="expression" dxfId="5970" priority="1099">
      <formula>AND(IF($Q56=3,1,IF($Q56=4,1,0)),IF($F56&lt;=85,1,0))</formula>
    </cfRule>
  </conditionalFormatting>
  <conditionalFormatting sqref="X56">
    <cfRule type="expression" dxfId="5969" priority="1092">
      <formula>AND(IF(OR($Q56=1,$Q56=2),1,0),IF($X56&lt;=20,1,0))</formula>
    </cfRule>
    <cfRule type="expression" dxfId="5968" priority="1093">
      <formula>AND(IF($Q56=2,1,0),IF($X56&lt;30,1,0))</formula>
    </cfRule>
    <cfRule type="expression" dxfId="5967" priority="1094">
      <formula>AND(IF($Q56=3,1,0),IF($X56&lt;30,1,0))</formula>
    </cfRule>
    <cfRule type="expression" dxfId="5966" priority="1095">
      <formula>AND(IF($Q56=3,1,IF($Q56=4,1,0)),IF($F56&lt;=85,1,0))</formula>
    </cfRule>
  </conditionalFormatting>
  <conditionalFormatting sqref="AI56">
    <cfRule type="expression" dxfId="5965" priority="1088">
      <formula>AND(IF(OR($Q56=1,$Q56=2),1,0),IF($X56&lt;=20,1,0))</formula>
    </cfRule>
    <cfRule type="expression" dxfId="5964" priority="1089">
      <formula>AND(IF($Q56=2,1,0),IF($X56&lt;30,1,0))</formula>
    </cfRule>
    <cfRule type="expression" dxfId="5963" priority="1090">
      <formula>AND(IF($Q56=3,1,0),IF($X56&lt;30,1,0))</formula>
    </cfRule>
    <cfRule type="expression" dxfId="5962" priority="1091">
      <formula>AND(IF($Q56=3,1,IF($Q56=4,1,0)),IF($F56&lt;=85,1,0))</formula>
    </cfRule>
  </conditionalFormatting>
  <conditionalFormatting sqref="AV57">
    <cfRule type="expression" dxfId="5961" priority="1086">
      <formula>AV57="X"</formula>
    </cfRule>
    <cfRule type="expression" dxfId="5960" priority="1087">
      <formula>AV57="후보"</formula>
    </cfRule>
  </conditionalFormatting>
  <conditionalFormatting sqref="AC57">
    <cfRule type="cellIs" dxfId="5959" priority="1083" operator="greaterThan">
      <formula>0.9</formula>
    </cfRule>
    <cfRule type="cellIs" dxfId="5958" priority="1084" operator="greaterThan">
      <formula>0.85</formula>
    </cfRule>
  </conditionalFormatting>
  <conditionalFormatting sqref="N57">
    <cfRule type="cellIs" dxfId="5957" priority="1081" operator="greaterThan">
      <formula>0.9</formula>
    </cfRule>
    <cfRule type="cellIs" dxfId="5956" priority="1082" operator="greaterThan">
      <formula>0.85</formula>
    </cfRule>
  </conditionalFormatting>
  <conditionalFormatting sqref="E57">
    <cfRule type="expression" dxfId="5955" priority="1077">
      <formula>AND(IF(OR($Q57=1,$Q57=2),1,0),IF($X57&lt;=20,1,0))</formula>
    </cfRule>
    <cfRule type="expression" dxfId="5954" priority="1078">
      <formula>AND(IF($Q57=2,1,0),IF($X57&lt;30,1,0))</formula>
    </cfRule>
    <cfRule type="expression" dxfId="5953" priority="1079">
      <formula>AND(IF($Q57=3,1,0),IF($X57&lt;30,1,0))</formula>
    </cfRule>
    <cfRule type="expression" dxfId="5952" priority="1080">
      <formula>AND(IF($Q57=3,1,IF($Q57=4,1,0)),IF($F57&lt;=85,1,0))</formula>
    </cfRule>
  </conditionalFormatting>
  <conditionalFormatting sqref="X57">
    <cfRule type="expression" dxfId="5951" priority="1073">
      <formula>AND(IF(OR($Q57=1,$Q57=2),1,0),IF($X57&lt;=20,1,0))</formula>
    </cfRule>
    <cfRule type="expression" dxfId="5950" priority="1074">
      <formula>AND(IF($Q57=2,1,0),IF($X57&lt;30,1,0))</formula>
    </cfRule>
    <cfRule type="expression" dxfId="5949" priority="1075">
      <formula>AND(IF($Q57=3,1,0),IF($X57&lt;30,1,0))</formula>
    </cfRule>
    <cfRule type="expression" dxfId="5948" priority="1076">
      <formula>AND(IF($Q57=3,1,IF($Q57=4,1,0)),IF($F57&lt;=85,1,0))</formula>
    </cfRule>
  </conditionalFormatting>
  <conditionalFormatting sqref="AI57">
    <cfRule type="expression" dxfId="5947" priority="1069">
      <formula>AND(IF(OR($Q57=1,$Q57=2),1,0),IF($X57&lt;=20,1,0))</formula>
    </cfRule>
    <cfRule type="expression" dxfId="5946" priority="1070">
      <formula>AND(IF($Q57=2,1,0),IF($X57&lt;30,1,0))</formula>
    </cfRule>
    <cfRule type="expression" dxfId="5945" priority="1071">
      <formula>AND(IF($Q57=3,1,0),IF($X57&lt;30,1,0))</formula>
    </cfRule>
    <cfRule type="expression" dxfId="5944" priority="1072">
      <formula>AND(IF($Q57=3,1,IF($Q57=4,1,0)),IF($F57&lt;=85,1,0))</formula>
    </cfRule>
  </conditionalFormatting>
  <conditionalFormatting sqref="AV58">
    <cfRule type="expression" dxfId="5943" priority="1067">
      <formula>AV58="X"</formula>
    </cfRule>
    <cfRule type="expression" dxfId="5942" priority="1068">
      <formula>AV58="후보"</formula>
    </cfRule>
  </conditionalFormatting>
  <conditionalFormatting sqref="AC58">
    <cfRule type="cellIs" dxfId="5941" priority="1064" operator="greaterThan">
      <formula>0.9</formula>
    </cfRule>
    <cfRule type="cellIs" dxfId="5940" priority="1065" operator="greaterThan">
      <formula>0.85</formula>
    </cfRule>
  </conditionalFormatting>
  <conditionalFormatting sqref="N58">
    <cfRule type="cellIs" dxfId="5939" priority="1062" operator="greaterThan">
      <formula>0.9</formula>
    </cfRule>
    <cfRule type="cellIs" dxfId="5938" priority="1063" operator="greaterThan">
      <formula>0.85</formula>
    </cfRule>
  </conditionalFormatting>
  <conditionalFormatting sqref="E58">
    <cfRule type="expression" dxfId="5937" priority="1058">
      <formula>AND(IF(OR($Q58=1,$Q58=2),1,0),IF($X58&lt;=20,1,0))</formula>
    </cfRule>
    <cfRule type="expression" dxfId="5936" priority="1059">
      <formula>AND(IF($Q58=2,1,0),IF($X58&lt;30,1,0))</formula>
    </cfRule>
    <cfRule type="expression" dxfId="5935" priority="1060">
      <formula>AND(IF($Q58=3,1,0),IF($X58&lt;30,1,0))</formula>
    </cfRule>
    <cfRule type="expression" dxfId="5934" priority="1061">
      <formula>AND(IF($Q58=3,1,IF($Q58=4,1,0)),IF($F58&lt;=85,1,0))</formula>
    </cfRule>
  </conditionalFormatting>
  <conditionalFormatting sqref="X58">
    <cfRule type="expression" dxfId="5933" priority="1054">
      <formula>AND(IF(OR($Q58=1,$Q58=2),1,0),IF($X58&lt;=20,1,0))</formula>
    </cfRule>
    <cfRule type="expression" dxfId="5932" priority="1055">
      <formula>AND(IF($Q58=2,1,0),IF($X58&lt;30,1,0))</formula>
    </cfRule>
    <cfRule type="expression" dxfId="5931" priority="1056">
      <formula>AND(IF($Q58=3,1,0),IF($X58&lt;30,1,0))</formula>
    </cfRule>
    <cfRule type="expression" dxfId="5930" priority="1057">
      <formula>AND(IF($Q58=3,1,IF($Q58=4,1,0)),IF($F58&lt;=85,1,0))</formula>
    </cfRule>
  </conditionalFormatting>
  <conditionalFormatting sqref="AI58">
    <cfRule type="expression" dxfId="5929" priority="1050">
      <formula>AND(IF(OR($Q58=1,$Q58=2),1,0),IF($X58&lt;=20,1,0))</formula>
    </cfRule>
    <cfRule type="expression" dxfId="5928" priority="1051">
      <formula>AND(IF($Q58=2,1,0),IF($X58&lt;30,1,0))</formula>
    </cfRule>
    <cfRule type="expression" dxfId="5927" priority="1052">
      <formula>AND(IF($Q58=3,1,0),IF($X58&lt;30,1,0))</formula>
    </cfRule>
    <cfRule type="expression" dxfId="5926" priority="1053">
      <formula>AND(IF($Q58=3,1,IF($Q58=4,1,0)),IF($F58&lt;=85,1,0))</formula>
    </cfRule>
  </conditionalFormatting>
  <conditionalFormatting sqref="AV59">
    <cfRule type="expression" dxfId="5925" priority="1048">
      <formula>AV59="X"</formula>
    </cfRule>
    <cfRule type="expression" dxfId="5924" priority="1049">
      <formula>AV59="후보"</formula>
    </cfRule>
  </conditionalFormatting>
  <conditionalFormatting sqref="AC59 N59">
    <cfRule type="cellIs" dxfId="5923" priority="1045" operator="greaterThan">
      <formula>0.9</formula>
    </cfRule>
    <cfRule type="cellIs" dxfId="5922" priority="1046" operator="greaterThan">
      <formula>0.85</formula>
    </cfRule>
  </conditionalFormatting>
  <conditionalFormatting sqref="AV60">
    <cfRule type="expression" dxfId="5921" priority="1043">
      <formula>AV60="X"</formula>
    </cfRule>
    <cfRule type="expression" dxfId="5920" priority="1044">
      <formula>AV60="후보"</formula>
    </cfRule>
  </conditionalFormatting>
  <conditionalFormatting sqref="AC60">
    <cfRule type="cellIs" dxfId="5919" priority="1040" operator="greaterThan">
      <formula>0.9</formula>
    </cfRule>
    <cfRule type="cellIs" dxfId="5918" priority="1041" operator="greaterThan">
      <formula>0.85</formula>
    </cfRule>
  </conditionalFormatting>
  <conditionalFormatting sqref="N60">
    <cfRule type="cellIs" dxfId="5917" priority="1038" operator="greaterThan">
      <formula>0.9</formula>
    </cfRule>
    <cfRule type="cellIs" dxfId="5916" priority="1039" operator="greaterThan">
      <formula>0.85</formula>
    </cfRule>
  </conditionalFormatting>
  <conditionalFormatting sqref="E60">
    <cfRule type="expression" dxfId="5915" priority="1034">
      <formula>AND(IF(OR($Q60=1,$Q60=2),1,0),IF($X60&lt;=20,1,0))</formula>
    </cfRule>
    <cfRule type="expression" dxfId="5914" priority="1035">
      <formula>AND(IF($Q60=2,1,0),IF($X60&lt;30,1,0))</formula>
    </cfRule>
    <cfRule type="expression" dxfId="5913" priority="1036">
      <formula>AND(IF($Q60=3,1,0),IF($X60&lt;30,1,0))</formula>
    </cfRule>
    <cfRule type="expression" dxfId="5912" priority="1037">
      <formula>AND(IF($Q60=3,1,IF($Q60=4,1,0)),IF($F60&lt;=85,1,0))</formula>
    </cfRule>
  </conditionalFormatting>
  <conditionalFormatting sqref="X60">
    <cfRule type="expression" dxfId="5911" priority="1030">
      <formula>AND(IF(OR($Q60=1,$Q60=2),1,0),IF($X60&lt;=20,1,0))</formula>
    </cfRule>
    <cfRule type="expression" dxfId="5910" priority="1031">
      <formula>AND(IF($Q60=2,1,0),IF($X60&lt;30,1,0))</formula>
    </cfRule>
    <cfRule type="expression" dxfId="5909" priority="1032">
      <formula>AND(IF($Q60=3,1,0),IF($X60&lt;30,1,0))</formula>
    </cfRule>
    <cfRule type="expression" dxfId="5908" priority="1033">
      <formula>AND(IF($Q60=3,1,IF($Q60=4,1,0)),IF($F60&lt;=85,1,0))</formula>
    </cfRule>
  </conditionalFormatting>
  <conditionalFormatting sqref="AI60">
    <cfRule type="expression" dxfId="5907" priority="1026">
      <formula>AND(IF(OR($Q60=1,$Q60=2),1,0),IF($X60&lt;=20,1,0))</formula>
    </cfRule>
    <cfRule type="expression" dxfId="5906" priority="1027">
      <formula>AND(IF($Q60=2,1,0),IF($X60&lt;30,1,0))</formula>
    </cfRule>
    <cfRule type="expression" dxfId="5905" priority="1028">
      <formula>AND(IF($Q60=3,1,0),IF($X60&lt;30,1,0))</formula>
    </cfRule>
    <cfRule type="expression" dxfId="5904" priority="1029">
      <formula>AND(IF($Q60=3,1,IF($Q60=4,1,0)),IF($F60&lt;=85,1,0))</formula>
    </cfRule>
  </conditionalFormatting>
  <conditionalFormatting sqref="AV61">
    <cfRule type="expression" dxfId="5903" priority="1024">
      <formula>AV61="X"</formula>
    </cfRule>
    <cfRule type="expression" dxfId="5902" priority="1025">
      <formula>AV61="후보"</formula>
    </cfRule>
  </conditionalFormatting>
  <conditionalFormatting sqref="AC61">
    <cfRule type="cellIs" dxfId="5901" priority="1021" operator="greaterThan">
      <formula>0.9</formula>
    </cfRule>
    <cfRule type="cellIs" dxfId="5900" priority="1022" operator="greaterThan">
      <formula>0.85</formula>
    </cfRule>
  </conditionalFormatting>
  <conditionalFormatting sqref="N61">
    <cfRule type="cellIs" dxfId="5899" priority="1019" operator="greaterThan">
      <formula>0.9</formula>
    </cfRule>
    <cfRule type="cellIs" dxfId="5898" priority="1020" operator="greaterThan">
      <formula>0.85</formula>
    </cfRule>
  </conditionalFormatting>
  <conditionalFormatting sqref="E61">
    <cfRule type="expression" dxfId="5897" priority="1015">
      <formula>AND(IF(OR($Q61=1,$Q61=2),1,0),IF($X61&lt;=20,1,0))</formula>
    </cfRule>
    <cfRule type="expression" dxfId="5896" priority="1016">
      <formula>AND(IF($Q61=2,1,0),IF($X61&lt;30,1,0))</formula>
    </cfRule>
    <cfRule type="expression" dxfId="5895" priority="1017">
      <formula>AND(IF($Q61=3,1,0),IF($X61&lt;30,1,0))</formula>
    </cfRule>
    <cfRule type="expression" dxfId="5894" priority="1018">
      <formula>AND(IF($Q61=3,1,IF($Q61=4,1,0)),IF($F61&lt;=85,1,0))</formula>
    </cfRule>
  </conditionalFormatting>
  <conditionalFormatting sqref="X61">
    <cfRule type="expression" dxfId="5893" priority="1011">
      <formula>AND(IF(OR($Q61=1,$Q61=2),1,0),IF($X61&lt;=20,1,0))</formula>
    </cfRule>
    <cfRule type="expression" dxfId="5892" priority="1012">
      <formula>AND(IF($Q61=2,1,0),IF($X61&lt;30,1,0))</formula>
    </cfRule>
    <cfRule type="expression" dxfId="5891" priority="1013">
      <formula>AND(IF($Q61=3,1,0),IF($X61&lt;30,1,0))</formula>
    </cfRule>
    <cfRule type="expression" dxfId="5890" priority="1014">
      <formula>AND(IF($Q61=3,1,IF($Q61=4,1,0)),IF($F61&lt;=85,1,0))</formula>
    </cfRule>
  </conditionalFormatting>
  <conditionalFormatting sqref="AI61">
    <cfRule type="expression" dxfId="5889" priority="1007">
      <formula>AND(IF(OR($Q61=1,$Q61=2),1,0),IF($X61&lt;=20,1,0))</formula>
    </cfRule>
    <cfRule type="expression" dxfId="5888" priority="1008">
      <formula>AND(IF($Q61=2,1,0),IF($X61&lt;30,1,0))</formula>
    </cfRule>
    <cfRule type="expression" dxfId="5887" priority="1009">
      <formula>AND(IF($Q61=3,1,0),IF($X61&lt;30,1,0))</formula>
    </cfRule>
    <cfRule type="expression" dxfId="5886" priority="1010">
      <formula>AND(IF($Q61=3,1,IF($Q61=4,1,0)),IF($F61&lt;=85,1,0))</formula>
    </cfRule>
  </conditionalFormatting>
  <conditionalFormatting sqref="AV62">
    <cfRule type="expression" dxfId="5885" priority="1005">
      <formula>AV62="X"</formula>
    </cfRule>
    <cfRule type="expression" dxfId="5884" priority="1006">
      <formula>AV62="후보"</formula>
    </cfRule>
  </conditionalFormatting>
  <conditionalFormatting sqref="AC62 N62">
    <cfRule type="cellIs" dxfId="5883" priority="1002" operator="greaterThan">
      <formula>0.9</formula>
    </cfRule>
    <cfRule type="cellIs" dxfId="5882" priority="1003" operator="greaterThan">
      <formula>0.85</formula>
    </cfRule>
  </conditionalFormatting>
  <conditionalFormatting sqref="AV63">
    <cfRule type="expression" dxfId="5881" priority="1000">
      <formula>AV63="X"</formula>
    </cfRule>
    <cfRule type="expression" dxfId="5880" priority="1001">
      <formula>AV63="후보"</formula>
    </cfRule>
  </conditionalFormatting>
  <conditionalFormatting sqref="AC63">
    <cfRule type="cellIs" dxfId="5879" priority="997" operator="greaterThan">
      <formula>0.9</formula>
    </cfRule>
    <cfRule type="cellIs" dxfId="5878" priority="998" operator="greaterThan">
      <formula>0.85</formula>
    </cfRule>
  </conditionalFormatting>
  <conditionalFormatting sqref="N63">
    <cfRule type="cellIs" dxfId="5877" priority="995" operator="greaterThan">
      <formula>0.9</formula>
    </cfRule>
    <cfRule type="cellIs" dxfId="5876" priority="996" operator="greaterThan">
      <formula>0.85</formula>
    </cfRule>
  </conditionalFormatting>
  <conditionalFormatting sqref="E63">
    <cfRule type="expression" dxfId="5875" priority="991">
      <formula>AND(IF(OR($Q63=1,$Q63=2),1,0),IF($X63&lt;=20,1,0))</formula>
    </cfRule>
    <cfRule type="expression" dxfId="5874" priority="992">
      <formula>AND(IF($Q63=2,1,0),IF($X63&lt;30,1,0))</formula>
    </cfRule>
    <cfRule type="expression" dxfId="5873" priority="993">
      <formula>AND(IF($Q63=3,1,0),IF($X63&lt;30,1,0))</formula>
    </cfRule>
    <cfRule type="expression" dxfId="5872" priority="994">
      <formula>AND(IF($Q63=3,1,IF($Q63=4,1,0)),IF($F63&lt;=85,1,0))</formula>
    </cfRule>
  </conditionalFormatting>
  <conditionalFormatting sqref="X63">
    <cfRule type="expression" dxfId="5871" priority="987">
      <formula>AND(IF(OR($Q63=1,$Q63=2),1,0),IF($X63&lt;=20,1,0))</formula>
    </cfRule>
    <cfRule type="expression" dxfId="5870" priority="988">
      <formula>AND(IF($Q63=2,1,0),IF($X63&lt;30,1,0))</formula>
    </cfRule>
    <cfRule type="expression" dxfId="5869" priority="989">
      <formula>AND(IF($Q63=3,1,0),IF($X63&lt;30,1,0))</formula>
    </cfRule>
    <cfRule type="expression" dxfId="5868" priority="990">
      <formula>AND(IF($Q63=3,1,IF($Q63=4,1,0)),IF($F63&lt;=85,1,0))</formula>
    </cfRule>
  </conditionalFormatting>
  <conditionalFormatting sqref="AI63">
    <cfRule type="expression" dxfId="5867" priority="983">
      <formula>AND(IF(OR($Q63=1,$Q63=2),1,0),IF($X63&lt;=20,1,0))</formula>
    </cfRule>
    <cfRule type="expression" dxfId="5866" priority="984">
      <formula>AND(IF($Q63=2,1,0),IF($X63&lt;30,1,0))</formula>
    </cfRule>
    <cfRule type="expression" dxfId="5865" priority="985">
      <formula>AND(IF($Q63=3,1,0),IF($X63&lt;30,1,0))</formula>
    </cfRule>
    <cfRule type="expression" dxfId="5864" priority="986">
      <formula>AND(IF($Q63=3,1,IF($Q63=4,1,0)),IF($F63&lt;=85,1,0))</formula>
    </cfRule>
  </conditionalFormatting>
  <conditionalFormatting sqref="AV64">
    <cfRule type="expression" dxfId="5863" priority="981">
      <formula>AV64="X"</formula>
    </cfRule>
    <cfRule type="expression" dxfId="5862" priority="982">
      <formula>AV64="후보"</formula>
    </cfRule>
  </conditionalFormatting>
  <conditionalFormatting sqref="AC64">
    <cfRule type="cellIs" dxfId="5861" priority="978" operator="greaterThan">
      <formula>0.9</formula>
    </cfRule>
    <cfRule type="cellIs" dxfId="5860" priority="979" operator="greaterThan">
      <formula>0.85</formula>
    </cfRule>
  </conditionalFormatting>
  <conditionalFormatting sqref="N64">
    <cfRule type="cellIs" dxfId="5859" priority="976" operator="greaterThan">
      <formula>0.9</formula>
    </cfRule>
    <cfRule type="cellIs" dxfId="5858" priority="977" operator="greaterThan">
      <formula>0.85</formula>
    </cfRule>
  </conditionalFormatting>
  <conditionalFormatting sqref="E64">
    <cfRule type="expression" dxfId="5857" priority="972">
      <formula>AND(IF(OR($Q64=1,$Q64=2),1,0),IF($X64&lt;=20,1,0))</formula>
    </cfRule>
    <cfRule type="expression" dxfId="5856" priority="973">
      <formula>AND(IF($Q64=2,1,0),IF($X64&lt;30,1,0))</formula>
    </cfRule>
    <cfRule type="expression" dxfId="5855" priority="974">
      <formula>AND(IF($Q64=3,1,0),IF($X64&lt;30,1,0))</formula>
    </cfRule>
    <cfRule type="expression" dxfId="5854" priority="975">
      <formula>AND(IF($Q64=3,1,IF($Q64=4,1,0)),IF($F64&lt;=85,1,0))</formula>
    </cfRule>
  </conditionalFormatting>
  <conditionalFormatting sqref="X64">
    <cfRule type="expression" dxfId="5853" priority="968">
      <formula>AND(IF(OR($Q64=1,$Q64=2),1,0),IF($X64&lt;=20,1,0))</formula>
    </cfRule>
    <cfRule type="expression" dxfId="5852" priority="969">
      <formula>AND(IF($Q64=2,1,0),IF($X64&lt;30,1,0))</formula>
    </cfRule>
    <cfRule type="expression" dxfId="5851" priority="970">
      <formula>AND(IF($Q64=3,1,0),IF($X64&lt;30,1,0))</formula>
    </cfRule>
    <cfRule type="expression" dxfId="5850" priority="971">
      <formula>AND(IF($Q64=3,1,IF($Q64=4,1,0)),IF($F64&lt;=85,1,0))</formula>
    </cfRule>
  </conditionalFormatting>
  <conditionalFormatting sqref="AI64">
    <cfRule type="expression" dxfId="5849" priority="964">
      <formula>AND(IF(OR($Q64=1,$Q64=2),1,0),IF($X64&lt;=20,1,0))</formula>
    </cfRule>
    <cfRule type="expression" dxfId="5848" priority="965">
      <formula>AND(IF($Q64=2,1,0),IF($X64&lt;30,1,0))</formula>
    </cfRule>
    <cfRule type="expression" dxfId="5847" priority="966">
      <formula>AND(IF($Q64=3,1,0),IF($X64&lt;30,1,0))</formula>
    </cfRule>
    <cfRule type="expression" dxfId="5846" priority="967">
      <formula>AND(IF($Q64=3,1,IF($Q64=4,1,0)),IF($F64&lt;=85,1,0))</formula>
    </cfRule>
  </conditionalFormatting>
  <conditionalFormatting sqref="AV65">
    <cfRule type="expression" dxfId="5845" priority="962">
      <formula>AV65="X"</formula>
    </cfRule>
    <cfRule type="expression" dxfId="5844" priority="963">
      <formula>AV65="후보"</formula>
    </cfRule>
  </conditionalFormatting>
  <conditionalFormatting sqref="AC65">
    <cfRule type="cellIs" dxfId="5843" priority="959" operator="greaterThan">
      <formula>0.9</formula>
    </cfRule>
    <cfRule type="cellIs" dxfId="5842" priority="960" operator="greaterThan">
      <formula>0.85</formula>
    </cfRule>
  </conditionalFormatting>
  <conditionalFormatting sqref="N65">
    <cfRule type="cellIs" dxfId="5841" priority="957" operator="greaterThan">
      <formula>0.9</formula>
    </cfRule>
    <cfRule type="cellIs" dxfId="5840" priority="958" operator="greaterThan">
      <formula>0.85</formula>
    </cfRule>
  </conditionalFormatting>
  <conditionalFormatting sqref="E65">
    <cfRule type="expression" dxfId="5839" priority="953">
      <formula>AND(IF(OR($Q65=1,$Q65=2),1,0),IF($X65&lt;=20,1,0))</formula>
    </cfRule>
    <cfRule type="expression" dxfId="5838" priority="954">
      <formula>AND(IF($Q65=2,1,0),IF($X65&lt;30,1,0))</formula>
    </cfRule>
    <cfRule type="expression" dxfId="5837" priority="955">
      <formula>AND(IF($Q65=3,1,0),IF($X65&lt;30,1,0))</formula>
    </cfRule>
    <cfRule type="expression" dxfId="5836" priority="956">
      <formula>AND(IF($Q65=3,1,IF($Q65=4,1,0)),IF($F65&lt;=85,1,0))</formula>
    </cfRule>
  </conditionalFormatting>
  <conditionalFormatting sqref="X65">
    <cfRule type="expression" dxfId="5835" priority="949">
      <formula>AND(IF(OR($Q65=1,$Q65=2),1,0),IF($X65&lt;=20,1,0))</formula>
    </cfRule>
    <cfRule type="expression" dxfId="5834" priority="950">
      <formula>AND(IF($Q65=2,1,0),IF($X65&lt;30,1,0))</formula>
    </cfRule>
    <cfRule type="expression" dxfId="5833" priority="951">
      <formula>AND(IF($Q65=3,1,0),IF($X65&lt;30,1,0))</formula>
    </cfRule>
    <cfRule type="expression" dxfId="5832" priority="952">
      <formula>AND(IF($Q65=3,1,IF($Q65=4,1,0)),IF($F65&lt;=85,1,0))</formula>
    </cfRule>
  </conditionalFormatting>
  <conditionalFormatting sqref="AI65">
    <cfRule type="expression" dxfId="5831" priority="945">
      <formula>AND(IF(OR($Q65=1,$Q65=2),1,0),IF($X65&lt;=20,1,0))</formula>
    </cfRule>
    <cfRule type="expression" dxfId="5830" priority="946">
      <formula>AND(IF($Q65=2,1,0),IF($X65&lt;30,1,0))</formula>
    </cfRule>
    <cfRule type="expression" dxfId="5829" priority="947">
      <formula>AND(IF($Q65=3,1,0),IF($X65&lt;30,1,0))</formula>
    </cfRule>
    <cfRule type="expression" dxfId="5828" priority="948">
      <formula>AND(IF($Q65=3,1,IF($Q65=4,1,0)),IF($F65&lt;=85,1,0))</formula>
    </cfRule>
  </conditionalFormatting>
  <conditionalFormatting sqref="AV66">
    <cfRule type="expression" dxfId="5827" priority="943">
      <formula>AV66="X"</formula>
    </cfRule>
    <cfRule type="expression" dxfId="5826" priority="944">
      <formula>AV66="후보"</formula>
    </cfRule>
  </conditionalFormatting>
  <conditionalFormatting sqref="AC66">
    <cfRule type="cellIs" dxfId="5825" priority="940" operator="greaterThan">
      <formula>0.9</formula>
    </cfRule>
    <cfRule type="cellIs" dxfId="5824" priority="941" operator="greaterThan">
      <formula>0.85</formula>
    </cfRule>
  </conditionalFormatting>
  <conditionalFormatting sqref="N66">
    <cfRule type="cellIs" dxfId="5823" priority="938" operator="greaterThan">
      <formula>0.9</formula>
    </cfRule>
    <cfRule type="cellIs" dxfId="5822" priority="939" operator="greaterThan">
      <formula>0.85</formula>
    </cfRule>
  </conditionalFormatting>
  <conditionalFormatting sqref="E66">
    <cfRule type="expression" dxfId="5821" priority="934">
      <formula>AND(IF(OR($Q66=1,$Q66=2),1,0),IF($X66&lt;=20,1,0))</formula>
    </cfRule>
    <cfRule type="expression" dxfId="5820" priority="935">
      <formula>AND(IF($Q66=2,1,0),IF($X66&lt;30,1,0))</formula>
    </cfRule>
    <cfRule type="expression" dxfId="5819" priority="936">
      <formula>AND(IF($Q66=3,1,0),IF($X66&lt;30,1,0))</formula>
    </cfRule>
    <cfRule type="expression" dxfId="5818" priority="937">
      <formula>AND(IF($Q66=3,1,IF($Q66=4,1,0)),IF($F66&lt;=85,1,0))</formula>
    </cfRule>
  </conditionalFormatting>
  <conditionalFormatting sqref="X66">
    <cfRule type="expression" dxfId="5817" priority="930">
      <formula>AND(IF(OR($Q66=1,$Q66=2),1,0),IF($X66&lt;=20,1,0))</formula>
    </cfRule>
    <cfRule type="expression" dxfId="5816" priority="931">
      <formula>AND(IF($Q66=2,1,0),IF($X66&lt;30,1,0))</formula>
    </cfRule>
    <cfRule type="expression" dxfId="5815" priority="932">
      <formula>AND(IF($Q66=3,1,0),IF($X66&lt;30,1,0))</formula>
    </cfRule>
    <cfRule type="expression" dxfId="5814" priority="933">
      <formula>AND(IF($Q66=3,1,IF($Q66=4,1,0)),IF($F66&lt;=85,1,0))</formula>
    </cfRule>
  </conditionalFormatting>
  <conditionalFormatting sqref="AI66">
    <cfRule type="expression" dxfId="5813" priority="926">
      <formula>AND(IF(OR($Q66=1,$Q66=2),1,0),IF($X66&lt;=20,1,0))</formula>
    </cfRule>
    <cfRule type="expression" dxfId="5812" priority="927">
      <formula>AND(IF($Q66=2,1,0),IF($X66&lt;30,1,0))</formula>
    </cfRule>
    <cfRule type="expression" dxfId="5811" priority="928">
      <formula>AND(IF($Q66=3,1,0),IF($X66&lt;30,1,0))</formula>
    </cfRule>
    <cfRule type="expression" dxfId="5810" priority="929">
      <formula>AND(IF($Q66=3,1,IF($Q66=4,1,0)),IF($F66&lt;=85,1,0))</formula>
    </cfRule>
  </conditionalFormatting>
  <conditionalFormatting sqref="AV67">
    <cfRule type="expression" dxfId="5809" priority="924">
      <formula>AV67="X"</formula>
    </cfRule>
    <cfRule type="expression" dxfId="5808" priority="925">
      <formula>AV67="후보"</formula>
    </cfRule>
  </conditionalFormatting>
  <conditionalFormatting sqref="AC67">
    <cfRule type="cellIs" dxfId="5807" priority="921" operator="greaterThan">
      <formula>0.9</formula>
    </cfRule>
    <cfRule type="cellIs" dxfId="5806" priority="922" operator="greaterThan">
      <formula>0.85</formula>
    </cfRule>
  </conditionalFormatting>
  <conditionalFormatting sqref="N67">
    <cfRule type="cellIs" dxfId="5805" priority="919" operator="greaterThan">
      <formula>0.9</formula>
    </cfRule>
    <cfRule type="cellIs" dxfId="5804" priority="920" operator="greaterThan">
      <formula>0.85</formula>
    </cfRule>
  </conditionalFormatting>
  <conditionalFormatting sqref="E67">
    <cfRule type="expression" dxfId="5803" priority="915">
      <formula>AND(IF(OR($Q67=1,$Q67=2),1,0),IF($X67&lt;=20,1,0))</formula>
    </cfRule>
    <cfRule type="expression" dxfId="5802" priority="916">
      <formula>AND(IF($Q67=2,1,0),IF($X67&lt;30,1,0))</formula>
    </cfRule>
    <cfRule type="expression" dxfId="5801" priority="917">
      <formula>AND(IF($Q67=3,1,0),IF($X67&lt;30,1,0))</formula>
    </cfRule>
    <cfRule type="expression" dxfId="5800" priority="918">
      <formula>AND(IF($Q67=3,1,IF($Q67=4,1,0)),IF($F67&lt;=85,1,0))</formula>
    </cfRule>
  </conditionalFormatting>
  <conditionalFormatting sqref="X67">
    <cfRule type="expression" dxfId="5799" priority="911">
      <formula>AND(IF(OR($Q67=1,$Q67=2),1,0),IF($X67&lt;=20,1,0))</formula>
    </cfRule>
    <cfRule type="expression" dxfId="5798" priority="912">
      <formula>AND(IF($Q67=2,1,0),IF($X67&lt;30,1,0))</formula>
    </cfRule>
    <cfRule type="expression" dxfId="5797" priority="913">
      <formula>AND(IF($Q67=3,1,0),IF($X67&lt;30,1,0))</formula>
    </cfRule>
    <cfRule type="expression" dxfId="5796" priority="914">
      <formula>AND(IF($Q67=3,1,IF($Q67=4,1,0)),IF($F67&lt;=85,1,0))</formula>
    </cfRule>
  </conditionalFormatting>
  <conditionalFormatting sqref="AI67">
    <cfRule type="expression" dxfId="5795" priority="907">
      <formula>AND(IF(OR($Q67=1,$Q67=2),1,0),IF($X67&lt;=20,1,0))</formula>
    </cfRule>
    <cfRule type="expression" dxfId="5794" priority="908">
      <formula>AND(IF($Q67=2,1,0),IF($X67&lt;30,1,0))</formula>
    </cfRule>
    <cfRule type="expression" dxfId="5793" priority="909">
      <formula>AND(IF($Q67=3,1,0),IF($X67&lt;30,1,0))</formula>
    </cfRule>
    <cfRule type="expression" dxfId="5792" priority="910">
      <formula>AND(IF($Q67=3,1,IF($Q67=4,1,0)),IF($F67&lt;=85,1,0))</formula>
    </cfRule>
  </conditionalFormatting>
  <conditionalFormatting sqref="AV68">
    <cfRule type="expression" dxfId="5791" priority="905">
      <formula>AV68="X"</formula>
    </cfRule>
    <cfRule type="expression" dxfId="5790" priority="906">
      <formula>AV68="후보"</formula>
    </cfRule>
  </conditionalFormatting>
  <conditionalFormatting sqref="AC68 N68">
    <cfRule type="cellIs" dxfId="5789" priority="902" operator="greaterThan">
      <formula>0.9</formula>
    </cfRule>
    <cfRule type="cellIs" dxfId="5788" priority="903" operator="greaterThan">
      <formula>0.85</formula>
    </cfRule>
  </conditionalFormatting>
  <conditionalFormatting sqref="AV69">
    <cfRule type="expression" dxfId="5787" priority="900">
      <formula>AV69="X"</formula>
    </cfRule>
    <cfRule type="expression" dxfId="5786" priority="901">
      <formula>AV69="후보"</formula>
    </cfRule>
  </conditionalFormatting>
  <conditionalFormatting sqref="AC69">
    <cfRule type="cellIs" dxfId="5785" priority="897" operator="greaterThan">
      <formula>0.9</formula>
    </cfRule>
    <cfRule type="cellIs" dxfId="5784" priority="898" operator="greaterThan">
      <formula>0.85</formula>
    </cfRule>
  </conditionalFormatting>
  <conditionalFormatting sqref="N69">
    <cfRule type="cellIs" dxfId="5783" priority="895" operator="greaterThan">
      <formula>0.9</formula>
    </cfRule>
    <cfRule type="cellIs" dxfId="5782" priority="896" operator="greaterThan">
      <formula>0.85</formula>
    </cfRule>
  </conditionalFormatting>
  <conditionalFormatting sqref="E69">
    <cfRule type="expression" dxfId="5781" priority="891">
      <formula>AND(IF(OR($Q69=1,$Q69=2),1,0),IF($X69&lt;=20,1,0))</formula>
    </cfRule>
    <cfRule type="expression" dxfId="5780" priority="892">
      <formula>AND(IF($Q69=2,1,0),IF($X69&lt;30,1,0))</formula>
    </cfRule>
    <cfRule type="expression" dxfId="5779" priority="893">
      <formula>AND(IF($Q69=3,1,0),IF($X69&lt;30,1,0))</formula>
    </cfRule>
    <cfRule type="expression" dxfId="5778" priority="894">
      <formula>AND(IF($Q69=3,1,IF($Q69=4,1,0)),IF($F69&lt;=85,1,0))</formula>
    </cfRule>
  </conditionalFormatting>
  <conditionalFormatting sqref="X69">
    <cfRule type="expression" dxfId="5777" priority="887">
      <formula>AND(IF(OR($Q69=1,$Q69=2),1,0),IF($X69&lt;=20,1,0))</formula>
    </cfRule>
    <cfRule type="expression" dxfId="5776" priority="888">
      <formula>AND(IF($Q69=2,1,0),IF($X69&lt;30,1,0))</formula>
    </cfRule>
    <cfRule type="expression" dxfId="5775" priority="889">
      <formula>AND(IF($Q69=3,1,0),IF($X69&lt;30,1,0))</formula>
    </cfRule>
    <cfRule type="expression" dxfId="5774" priority="890">
      <formula>AND(IF($Q69=3,1,IF($Q69=4,1,0)),IF($F69&lt;=85,1,0))</formula>
    </cfRule>
  </conditionalFormatting>
  <conditionalFormatting sqref="AI69">
    <cfRule type="expression" dxfId="5773" priority="883">
      <formula>AND(IF(OR($Q69=1,$Q69=2),1,0),IF($X69&lt;=20,1,0))</formula>
    </cfRule>
    <cfRule type="expression" dxfId="5772" priority="884">
      <formula>AND(IF($Q69=2,1,0),IF($X69&lt;30,1,0))</formula>
    </cfRule>
    <cfRule type="expression" dxfId="5771" priority="885">
      <formula>AND(IF($Q69=3,1,0),IF($X69&lt;30,1,0))</formula>
    </cfRule>
    <cfRule type="expression" dxfId="5770" priority="886">
      <formula>AND(IF($Q69=3,1,IF($Q69=4,1,0)),IF($F69&lt;=85,1,0))</formula>
    </cfRule>
  </conditionalFormatting>
  <conditionalFormatting sqref="AV70">
    <cfRule type="expression" dxfId="5769" priority="881">
      <formula>AV70="X"</formula>
    </cfRule>
    <cfRule type="expression" dxfId="5768" priority="882">
      <formula>AV70="후보"</formula>
    </cfRule>
  </conditionalFormatting>
  <conditionalFormatting sqref="AC70">
    <cfRule type="cellIs" dxfId="5767" priority="878" operator="greaterThan">
      <formula>0.9</formula>
    </cfRule>
    <cfRule type="cellIs" dxfId="5766" priority="879" operator="greaterThan">
      <formula>0.85</formula>
    </cfRule>
  </conditionalFormatting>
  <conditionalFormatting sqref="N70">
    <cfRule type="cellIs" dxfId="5765" priority="876" operator="greaterThan">
      <formula>0.9</formula>
    </cfRule>
    <cfRule type="cellIs" dxfId="5764" priority="877" operator="greaterThan">
      <formula>0.85</formula>
    </cfRule>
  </conditionalFormatting>
  <conditionalFormatting sqref="E70">
    <cfRule type="expression" dxfId="5763" priority="872">
      <formula>AND(IF(OR($Q70=1,$Q70=2),1,0),IF($X70&lt;=20,1,0))</formula>
    </cfRule>
    <cfRule type="expression" dxfId="5762" priority="873">
      <formula>AND(IF($Q70=2,1,0),IF($X70&lt;30,1,0))</formula>
    </cfRule>
    <cfRule type="expression" dxfId="5761" priority="874">
      <formula>AND(IF($Q70=3,1,0),IF($X70&lt;30,1,0))</formula>
    </cfRule>
    <cfRule type="expression" dxfId="5760" priority="875">
      <formula>AND(IF($Q70=3,1,IF($Q70=4,1,0)),IF($F70&lt;=85,1,0))</formula>
    </cfRule>
  </conditionalFormatting>
  <conditionalFormatting sqref="X70">
    <cfRule type="expression" dxfId="5759" priority="868">
      <formula>AND(IF(OR($Q70=1,$Q70=2),1,0),IF($X70&lt;=20,1,0))</formula>
    </cfRule>
    <cfRule type="expression" dxfId="5758" priority="869">
      <formula>AND(IF($Q70=2,1,0),IF($X70&lt;30,1,0))</formula>
    </cfRule>
    <cfRule type="expression" dxfId="5757" priority="870">
      <formula>AND(IF($Q70=3,1,0),IF($X70&lt;30,1,0))</formula>
    </cfRule>
    <cfRule type="expression" dxfId="5756" priority="871">
      <formula>AND(IF($Q70=3,1,IF($Q70=4,1,0)),IF($F70&lt;=85,1,0))</formula>
    </cfRule>
  </conditionalFormatting>
  <conditionalFormatting sqref="AI70">
    <cfRule type="expression" dxfId="5755" priority="864">
      <formula>AND(IF(OR($Q70=1,$Q70=2),1,0),IF($X70&lt;=20,1,0))</formula>
    </cfRule>
    <cfRule type="expression" dxfId="5754" priority="865">
      <formula>AND(IF($Q70=2,1,0),IF($X70&lt;30,1,0))</formula>
    </cfRule>
    <cfRule type="expression" dxfId="5753" priority="866">
      <formula>AND(IF($Q70=3,1,0),IF($X70&lt;30,1,0))</formula>
    </cfRule>
    <cfRule type="expression" dxfId="5752" priority="867">
      <formula>AND(IF($Q70=3,1,IF($Q70=4,1,0)),IF($F70&lt;=85,1,0))</formula>
    </cfRule>
  </conditionalFormatting>
  <conditionalFormatting sqref="AV71">
    <cfRule type="expression" dxfId="5751" priority="862">
      <formula>AV71="X"</formula>
    </cfRule>
    <cfRule type="expression" dxfId="5750" priority="863">
      <formula>AV71="후보"</formula>
    </cfRule>
  </conditionalFormatting>
  <conditionalFormatting sqref="AC71">
    <cfRule type="cellIs" dxfId="5749" priority="859" operator="greaterThan">
      <formula>0.9</formula>
    </cfRule>
    <cfRule type="cellIs" dxfId="5748" priority="860" operator="greaterThan">
      <formula>0.85</formula>
    </cfRule>
  </conditionalFormatting>
  <conditionalFormatting sqref="N71">
    <cfRule type="cellIs" dxfId="5747" priority="857" operator="greaterThan">
      <formula>0.9</formula>
    </cfRule>
    <cfRule type="cellIs" dxfId="5746" priority="858" operator="greaterThan">
      <formula>0.85</formula>
    </cfRule>
  </conditionalFormatting>
  <conditionalFormatting sqref="E71">
    <cfRule type="expression" dxfId="5745" priority="853">
      <formula>AND(IF(OR($Q71=1,$Q71=2),1,0),IF($X71&lt;=20,1,0))</formula>
    </cfRule>
    <cfRule type="expression" dxfId="5744" priority="854">
      <formula>AND(IF($Q71=2,1,0),IF($X71&lt;30,1,0))</formula>
    </cfRule>
    <cfRule type="expression" dxfId="5743" priority="855">
      <formula>AND(IF($Q71=3,1,0),IF($X71&lt;30,1,0))</formula>
    </cfRule>
    <cfRule type="expression" dxfId="5742" priority="856">
      <formula>AND(IF($Q71=3,1,IF($Q71=4,1,0)),IF($F71&lt;=85,1,0))</formula>
    </cfRule>
  </conditionalFormatting>
  <conditionalFormatting sqref="X71">
    <cfRule type="expression" dxfId="5741" priority="849">
      <formula>AND(IF(OR($Q71=1,$Q71=2),1,0),IF($X71&lt;=20,1,0))</formula>
    </cfRule>
    <cfRule type="expression" dxfId="5740" priority="850">
      <formula>AND(IF($Q71=2,1,0),IF($X71&lt;30,1,0))</formula>
    </cfRule>
    <cfRule type="expression" dxfId="5739" priority="851">
      <formula>AND(IF($Q71=3,1,0),IF($X71&lt;30,1,0))</formula>
    </cfRule>
    <cfRule type="expression" dxfId="5738" priority="852">
      <formula>AND(IF($Q71=3,1,IF($Q71=4,1,0)),IF($F71&lt;=85,1,0))</formula>
    </cfRule>
  </conditionalFormatting>
  <conditionalFormatting sqref="AI71">
    <cfRule type="expression" dxfId="5737" priority="845">
      <formula>AND(IF(OR($Q71=1,$Q71=2),1,0),IF($X71&lt;=20,1,0))</formula>
    </cfRule>
    <cfRule type="expression" dxfId="5736" priority="846">
      <formula>AND(IF($Q71=2,1,0),IF($X71&lt;30,1,0))</formula>
    </cfRule>
    <cfRule type="expression" dxfId="5735" priority="847">
      <formula>AND(IF($Q71=3,1,0),IF($X71&lt;30,1,0))</formula>
    </cfRule>
    <cfRule type="expression" dxfId="5734" priority="848">
      <formula>AND(IF($Q71=3,1,IF($Q71=4,1,0)),IF($F71&lt;=85,1,0))</formula>
    </cfRule>
  </conditionalFormatting>
  <conditionalFormatting sqref="AV72">
    <cfRule type="expression" dxfId="5733" priority="843">
      <formula>AV72="X"</formula>
    </cfRule>
    <cfRule type="expression" dxfId="5732" priority="844">
      <formula>AV72="후보"</formula>
    </cfRule>
  </conditionalFormatting>
  <conditionalFormatting sqref="AC72 N72">
    <cfRule type="cellIs" dxfId="5731" priority="840" operator="greaterThan">
      <formula>0.9</formula>
    </cfRule>
    <cfRule type="cellIs" dxfId="5730" priority="841" operator="greaterThan">
      <formula>0.85</formula>
    </cfRule>
  </conditionalFormatting>
  <conditionalFormatting sqref="AV73">
    <cfRule type="expression" dxfId="5729" priority="838">
      <formula>AV73="X"</formula>
    </cfRule>
    <cfRule type="expression" dxfId="5728" priority="839">
      <formula>AV73="후보"</formula>
    </cfRule>
  </conditionalFormatting>
  <conditionalFormatting sqref="AC73">
    <cfRule type="cellIs" dxfId="5727" priority="835" operator="greaterThan">
      <formula>0.9</formula>
    </cfRule>
    <cfRule type="cellIs" dxfId="5726" priority="836" operator="greaterThan">
      <formula>0.85</formula>
    </cfRule>
  </conditionalFormatting>
  <conditionalFormatting sqref="N73">
    <cfRule type="cellIs" dxfId="5725" priority="833" operator="greaterThan">
      <formula>0.9</formula>
    </cfRule>
    <cfRule type="cellIs" dxfId="5724" priority="834" operator="greaterThan">
      <formula>0.85</formula>
    </cfRule>
  </conditionalFormatting>
  <conditionalFormatting sqref="E73">
    <cfRule type="expression" dxfId="5723" priority="829">
      <formula>AND(IF(OR($Q73=1,$Q73=2),1,0),IF($X73&lt;=20,1,0))</formula>
    </cfRule>
    <cfRule type="expression" dxfId="5722" priority="830">
      <formula>AND(IF($Q73=2,1,0),IF($X73&lt;30,1,0))</formula>
    </cfRule>
    <cfRule type="expression" dxfId="5721" priority="831">
      <formula>AND(IF($Q73=3,1,0),IF($X73&lt;30,1,0))</formula>
    </cfRule>
    <cfRule type="expression" dxfId="5720" priority="832">
      <formula>AND(IF($Q73=3,1,IF($Q73=4,1,0)),IF($F73&lt;=85,1,0))</formula>
    </cfRule>
  </conditionalFormatting>
  <conditionalFormatting sqref="X73">
    <cfRule type="expression" dxfId="5719" priority="825">
      <formula>AND(IF(OR($Q73=1,$Q73=2),1,0),IF($X73&lt;=20,1,0))</formula>
    </cfRule>
    <cfRule type="expression" dxfId="5718" priority="826">
      <formula>AND(IF($Q73=2,1,0),IF($X73&lt;30,1,0))</formula>
    </cfRule>
    <cfRule type="expression" dxfId="5717" priority="827">
      <formula>AND(IF($Q73=3,1,0),IF($X73&lt;30,1,0))</formula>
    </cfRule>
    <cfRule type="expression" dxfId="5716" priority="828">
      <formula>AND(IF($Q73=3,1,IF($Q73=4,1,0)),IF($F73&lt;=85,1,0))</formula>
    </cfRule>
  </conditionalFormatting>
  <conditionalFormatting sqref="AI73">
    <cfRule type="expression" dxfId="5715" priority="821">
      <formula>AND(IF(OR($Q73=1,$Q73=2),1,0),IF($X73&lt;=20,1,0))</formula>
    </cfRule>
    <cfRule type="expression" dxfId="5714" priority="822">
      <formula>AND(IF($Q73=2,1,0),IF($X73&lt;30,1,0))</formula>
    </cfRule>
    <cfRule type="expression" dxfId="5713" priority="823">
      <formula>AND(IF($Q73=3,1,0),IF($X73&lt;30,1,0))</formula>
    </cfRule>
    <cfRule type="expression" dxfId="5712" priority="824">
      <formula>AND(IF($Q73=3,1,IF($Q73=4,1,0)),IF($F73&lt;=85,1,0))</formula>
    </cfRule>
  </conditionalFormatting>
  <conditionalFormatting sqref="AV74">
    <cfRule type="expression" dxfId="5711" priority="819">
      <formula>AV74="X"</formula>
    </cfRule>
    <cfRule type="expression" dxfId="5710" priority="820">
      <formula>AV74="후보"</formula>
    </cfRule>
  </conditionalFormatting>
  <conditionalFormatting sqref="AC74">
    <cfRule type="cellIs" dxfId="5709" priority="816" operator="greaterThan">
      <formula>0.9</formula>
    </cfRule>
    <cfRule type="cellIs" dxfId="5708" priority="817" operator="greaterThan">
      <formula>0.85</formula>
    </cfRule>
  </conditionalFormatting>
  <conditionalFormatting sqref="N74">
    <cfRule type="cellIs" dxfId="5707" priority="814" operator="greaterThan">
      <formula>0.9</formula>
    </cfRule>
    <cfRule type="cellIs" dxfId="5706" priority="815" operator="greaterThan">
      <formula>0.85</formula>
    </cfRule>
  </conditionalFormatting>
  <conditionalFormatting sqref="E74">
    <cfRule type="expression" dxfId="5705" priority="810">
      <formula>AND(IF(OR($Q74=1,$Q74=2),1,0),IF($X74&lt;=20,1,0))</formula>
    </cfRule>
    <cfRule type="expression" dxfId="5704" priority="811">
      <formula>AND(IF($Q74=2,1,0),IF($X74&lt;30,1,0))</formula>
    </cfRule>
    <cfRule type="expression" dxfId="5703" priority="812">
      <formula>AND(IF($Q74=3,1,0),IF($X74&lt;30,1,0))</formula>
    </cfRule>
    <cfRule type="expression" dxfId="5702" priority="813">
      <formula>AND(IF($Q74=3,1,IF($Q74=4,1,0)),IF($F74&lt;=85,1,0))</formula>
    </cfRule>
  </conditionalFormatting>
  <conditionalFormatting sqref="X74">
    <cfRule type="expression" dxfId="5701" priority="806">
      <formula>AND(IF(OR($Q74=1,$Q74=2),1,0),IF($X74&lt;=20,1,0))</formula>
    </cfRule>
    <cfRule type="expression" dxfId="5700" priority="807">
      <formula>AND(IF($Q74=2,1,0),IF($X74&lt;30,1,0))</formula>
    </cfRule>
    <cfRule type="expression" dxfId="5699" priority="808">
      <formula>AND(IF($Q74=3,1,0),IF($X74&lt;30,1,0))</formula>
    </cfRule>
    <cfRule type="expression" dxfId="5698" priority="809">
      <formula>AND(IF($Q74=3,1,IF($Q74=4,1,0)),IF($F74&lt;=85,1,0))</formula>
    </cfRule>
  </conditionalFormatting>
  <conditionalFormatting sqref="AI74">
    <cfRule type="expression" dxfId="5697" priority="802">
      <formula>AND(IF(OR($Q74=1,$Q74=2),1,0),IF($X74&lt;=20,1,0))</formula>
    </cfRule>
    <cfRule type="expression" dxfId="5696" priority="803">
      <formula>AND(IF($Q74=2,1,0),IF($X74&lt;30,1,0))</formula>
    </cfRule>
    <cfRule type="expression" dxfId="5695" priority="804">
      <formula>AND(IF($Q74=3,1,0),IF($X74&lt;30,1,0))</formula>
    </cfRule>
    <cfRule type="expression" dxfId="5694" priority="805">
      <formula>AND(IF($Q74=3,1,IF($Q74=4,1,0)),IF($F74&lt;=85,1,0))</formula>
    </cfRule>
  </conditionalFormatting>
  <conditionalFormatting sqref="AV75">
    <cfRule type="expression" dxfId="5693" priority="800">
      <formula>AV75="X"</formula>
    </cfRule>
    <cfRule type="expression" dxfId="5692" priority="801">
      <formula>AV75="후보"</formula>
    </cfRule>
  </conditionalFormatting>
  <conditionalFormatting sqref="AC75">
    <cfRule type="cellIs" dxfId="5691" priority="797" operator="greaterThan">
      <formula>0.9</formula>
    </cfRule>
    <cfRule type="cellIs" dxfId="5690" priority="798" operator="greaterThan">
      <formula>0.85</formula>
    </cfRule>
  </conditionalFormatting>
  <conditionalFormatting sqref="N75">
    <cfRule type="cellIs" dxfId="5689" priority="795" operator="greaterThan">
      <formula>0.9</formula>
    </cfRule>
    <cfRule type="cellIs" dxfId="5688" priority="796" operator="greaterThan">
      <formula>0.85</formula>
    </cfRule>
  </conditionalFormatting>
  <conditionalFormatting sqref="E75">
    <cfRule type="expression" dxfId="5687" priority="791">
      <formula>AND(IF(OR($Q75=1,$Q75=2),1,0),IF($X75&lt;=20,1,0))</formula>
    </cfRule>
    <cfRule type="expression" dxfId="5686" priority="792">
      <formula>AND(IF($Q75=2,1,0),IF($X75&lt;30,1,0))</formula>
    </cfRule>
    <cfRule type="expression" dxfId="5685" priority="793">
      <formula>AND(IF($Q75=3,1,0),IF($X75&lt;30,1,0))</formula>
    </cfRule>
    <cfRule type="expression" dxfId="5684" priority="794">
      <formula>AND(IF($Q75=3,1,IF($Q75=4,1,0)),IF($F75&lt;=85,1,0))</formula>
    </cfRule>
  </conditionalFormatting>
  <conditionalFormatting sqref="X75">
    <cfRule type="expression" dxfId="5683" priority="787">
      <formula>AND(IF(OR($Q75=1,$Q75=2),1,0),IF($X75&lt;=20,1,0))</formula>
    </cfRule>
    <cfRule type="expression" dxfId="5682" priority="788">
      <formula>AND(IF($Q75=2,1,0),IF($X75&lt;30,1,0))</formula>
    </cfRule>
    <cfRule type="expression" dxfId="5681" priority="789">
      <formula>AND(IF($Q75=3,1,0),IF($X75&lt;30,1,0))</formula>
    </cfRule>
    <cfRule type="expression" dxfId="5680" priority="790">
      <formula>AND(IF($Q75=3,1,IF($Q75=4,1,0)),IF($F75&lt;=85,1,0))</formula>
    </cfRule>
  </conditionalFormatting>
  <conditionalFormatting sqref="AI75">
    <cfRule type="expression" dxfId="5679" priority="783">
      <formula>AND(IF(OR($Q75=1,$Q75=2),1,0),IF($X75&lt;=20,1,0))</formula>
    </cfRule>
    <cfRule type="expression" dxfId="5678" priority="784">
      <formula>AND(IF($Q75=2,1,0),IF($X75&lt;30,1,0))</formula>
    </cfRule>
    <cfRule type="expression" dxfId="5677" priority="785">
      <formula>AND(IF($Q75=3,1,0),IF($X75&lt;30,1,0))</formula>
    </cfRule>
    <cfRule type="expression" dxfId="5676" priority="786">
      <formula>AND(IF($Q75=3,1,IF($Q75=4,1,0)),IF($F75&lt;=85,1,0))</formula>
    </cfRule>
  </conditionalFormatting>
  <conditionalFormatting sqref="AV76">
    <cfRule type="expression" dxfId="5675" priority="781">
      <formula>AV76="X"</formula>
    </cfRule>
    <cfRule type="expression" dxfId="5674" priority="782">
      <formula>AV76="후보"</formula>
    </cfRule>
  </conditionalFormatting>
  <conditionalFormatting sqref="AC76">
    <cfRule type="cellIs" dxfId="5673" priority="778" operator="greaterThan">
      <formula>0.9</formula>
    </cfRule>
    <cfRule type="cellIs" dxfId="5672" priority="779" operator="greaterThan">
      <formula>0.85</formula>
    </cfRule>
  </conditionalFormatting>
  <conditionalFormatting sqref="N76">
    <cfRule type="cellIs" dxfId="5671" priority="776" operator="greaterThan">
      <formula>0.9</formula>
    </cfRule>
    <cfRule type="cellIs" dxfId="5670" priority="777" operator="greaterThan">
      <formula>0.85</formula>
    </cfRule>
  </conditionalFormatting>
  <conditionalFormatting sqref="E76">
    <cfRule type="expression" dxfId="5669" priority="772">
      <formula>AND(IF(OR($Q76=1,$Q76=2),1,0),IF($X76&lt;=20,1,0))</formula>
    </cfRule>
    <cfRule type="expression" dxfId="5668" priority="773">
      <formula>AND(IF($Q76=2,1,0),IF($X76&lt;30,1,0))</formula>
    </cfRule>
    <cfRule type="expression" dxfId="5667" priority="774">
      <formula>AND(IF($Q76=3,1,0),IF($X76&lt;30,1,0))</formula>
    </cfRule>
    <cfRule type="expression" dxfId="5666" priority="775">
      <formula>AND(IF($Q76=3,1,IF($Q76=4,1,0)),IF($F76&lt;=85,1,0))</formula>
    </cfRule>
  </conditionalFormatting>
  <conditionalFormatting sqref="X76">
    <cfRule type="expression" dxfId="5665" priority="768">
      <formula>AND(IF(OR($Q76=1,$Q76=2),1,0),IF($X76&lt;=20,1,0))</formula>
    </cfRule>
    <cfRule type="expression" dxfId="5664" priority="769">
      <formula>AND(IF($Q76=2,1,0),IF($X76&lt;30,1,0))</formula>
    </cfRule>
    <cfRule type="expression" dxfId="5663" priority="770">
      <formula>AND(IF($Q76=3,1,0),IF($X76&lt;30,1,0))</formula>
    </cfRule>
    <cfRule type="expression" dxfId="5662" priority="771">
      <formula>AND(IF($Q76=3,1,IF($Q76=4,1,0)),IF($F76&lt;=85,1,0))</formula>
    </cfRule>
  </conditionalFormatting>
  <conditionalFormatting sqref="AI76">
    <cfRule type="expression" dxfId="5661" priority="764">
      <formula>AND(IF(OR($Q76=1,$Q76=2),1,0),IF($X76&lt;=20,1,0))</formula>
    </cfRule>
    <cfRule type="expression" dxfId="5660" priority="765">
      <formula>AND(IF($Q76=2,1,0),IF($X76&lt;30,1,0))</formula>
    </cfRule>
    <cfRule type="expression" dxfId="5659" priority="766">
      <formula>AND(IF($Q76=3,1,0),IF($X76&lt;30,1,0))</formula>
    </cfRule>
    <cfRule type="expression" dxfId="5658" priority="767">
      <formula>AND(IF($Q76=3,1,IF($Q76=4,1,0)),IF($F76&lt;=85,1,0))</formula>
    </cfRule>
  </conditionalFormatting>
  <conditionalFormatting sqref="AV77">
    <cfRule type="expression" dxfId="5657" priority="762">
      <formula>AV77="X"</formula>
    </cfRule>
    <cfRule type="expression" dxfId="5656" priority="763">
      <formula>AV77="후보"</formula>
    </cfRule>
  </conditionalFormatting>
  <conditionalFormatting sqref="AC77">
    <cfRule type="cellIs" dxfId="5655" priority="759" operator="greaterThan">
      <formula>0.9</formula>
    </cfRule>
    <cfRule type="cellIs" dxfId="5654" priority="760" operator="greaterThan">
      <formula>0.85</formula>
    </cfRule>
  </conditionalFormatting>
  <conditionalFormatting sqref="N77">
    <cfRule type="cellIs" dxfId="5653" priority="757" operator="greaterThan">
      <formula>0.9</formula>
    </cfRule>
    <cfRule type="cellIs" dxfId="5652" priority="758" operator="greaterThan">
      <formula>0.85</formula>
    </cfRule>
  </conditionalFormatting>
  <conditionalFormatting sqref="E77">
    <cfRule type="expression" dxfId="5651" priority="753">
      <formula>AND(IF(OR($Q77=1,$Q77=2),1,0),IF($X77&lt;=20,1,0))</formula>
    </cfRule>
    <cfRule type="expression" dxfId="5650" priority="754">
      <formula>AND(IF($Q77=2,1,0),IF($X77&lt;30,1,0))</formula>
    </cfRule>
    <cfRule type="expression" dxfId="5649" priority="755">
      <formula>AND(IF($Q77=3,1,0),IF($X77&lt;30,1,0))</formula>
    </cfRule>
    <cfRule type="expression" dxfId="5648" priority="756">
      <formula>AND(IF($Q77=3,1,IF($Q77=4,1,0)),IF($F77&lt;=85,1,0))</formula>
    </cfRule>
  </conditionalFormatting>
  <conditionalFormatting sqref="X77">
    <cfRule type="expression" dxfId="5647" priority="749">
      <formula>AND(IF(OR($Q77=1,$Q77=2),1,0),IF($X77&lt;=20,1,0))</formula>
    </cfRule>
    <cfRule type="expression" dxfId="5646" priority="750">
      <formula>AND(IF($Q77=2,1,0),IF($X77&lt;30,1,0))</formula>
    </cfRule>
    <cfRule type="expression" dxfId="5645" priority="751">
      <formula>AND(IF($Q77=3,1,0),IF($X77&lt;30,1,0))</formula>
    </cfRule>
    <cfRule type="expression" dxfId="5644" priority="752">
      <formula>AND(IF($Q77=3,1,IF($Q77=4,1,0)),IF($F77&lt;=85,1,0))</formula>
    </cfRule>
  </conditionalFormatting>
  <conditionalFormatting sqref="AI77">
    <cfRule type="expression" dxfId="5643" priority="745">
      <formula>AND(IF(OR($Q77=1,$Q77=2),1,0),IF($X77&lt;=20,1,0))</formula>
    </cfRule>
    <cfRule type="expression" dxfId="5642" priority="746">
      <formula>AND(IF($Q77=2,1,0),IF($X77&lt;30,1,0))</formula>
    </cfRule>
    <cfRule type="expression" dxfId="5641" priority="747">
      <formula>AND(IF($Q77=3,1,0),IF($X77&lt;30,1,0))</formula>
    </cfRule>
    <cfRule type="expression" dxfId="5640" priority="748">
      <formula>AND(IF($Q77=3,1,IF($Q77=4,1,0)),IF($F77&lt;=85,1,0))</formula>
    </cfRule>
  </conditionalFormatting>
  <conditionalFormatting sqref="AV78">
    <cfRule type="expression" dxfId="5639" priority="743">
      <formula>AV78="X"</formula>
    </cfRule>
    <cfRule type="expression" dxfId="5638" priority="744">
      <formula>AV78="후보"</formula>
    </cfRule>
  </conditionalFormatting>
  <conditionalFormatting sqref="AC78">
    <cfRule type="cellIs" dxfId="5637" priority="740" operator="greaterThan">
      <formula>0.9</formula>
    </cfRule>
    <cfRule type="cellIs" dxfId="5636" priority="741" operator="greaterThan">
      <formula>0.85</formula>
    </cfRule>
  </conditionalFormatting>
  <conditionalFormatting sqref="N78">
    <cfRule type="cellIs" dxfId="5635" priority="738" operator="greaterThan">
      <formula>0.9</formula>
    </cfRule>
    <cfRule type="cellIs" dxfId="5634" priority="739" operator="greaterThan">
      <formula>0.85</formula>
    </cfRule>
  </conditionalFormatting>
  <conditionalFormatting sqref="E78">
    <cfRule type="expression" dxfId="5633" priority="734">
      <formula>AND(IF(OR($Q78=1,$Q78=2),1,0),IF($X78&lt;=20,1,0))</formula>
    </cfRule>
    <cfRule type="expression" dxfId="5632" priority="735">
      <formula>AND(IF($Q78=2,1,0),IF($X78&lt;30,1,0))</formula>
    </cfRule>
    <cfRule type="expression" dxfId="5631" priority="736">
      <formula>AND(IF($Q78=3,1,0),IF($X78&lt;30,1,0))</formula>
    </cfRule>
    <cfRule type="expression" dxfId="5630" priority="737">
      <formula>AND(IF($Q78=3,1,IF($Q78=4,1,0)),IF($F78&lt;=85,1,0))</formula>
    </cfRule>
  </conditionalFormatting>
  <conditionalFormatting sqref="X78">
    <cfRule type="expression" dxfId="5629" priority="730">
      <formula>AND(IF(OR($Q78=1,$Q78=2),1,0),IF($X78&lt;=20,1,0))</formula>
    </cfRule>
    <cfRule type="expression" dxfId="5628" priority="731">
      <formula>AND(IF($Q78=2,1,0),IF($X78&lt;30,1,0))</formula>
    </cfRule>
    <cfRule type="expression" dxfId="5627" priority="732">
      <formula>AND(IF($Q78=3,1,0),IF($X78&lt;30,1,0))</formula>
    </cfRule>
    <cfRule type="expression" dxfId="5626" priority="733">
      <formula>AND(IF($Q78=3,1,IF($Q78=4,1,0)),IF($F78&lt;=85,1,0))</formula>
    </cfRule>
  </conditionalFormatting>
  <conditionalFormatting sqref="AI78">
    <cfRule type="expression" dxfId="5625" priority="726">
      <formula>AND(IF(OR($Q78=1,$Q78=2),1,0),IF($X78&lt;=20,1,0))</formula>
    </cfRule>
    <cfRule type="expression" dxfId="5624" priority="727">
      <formula>AND(IF($Q78=2,1,0),IF($X78&lt;30,1,0))</formula>
    </cfRule>
    <cfRule type="expression" dxfId="5623" priority="728">
      <formula>AND(IF($Q78=3,1,0),IF($X78&lt;30,1,0))</formula>
    </cfRule>
    <cfRule type="expression" dxfId="5622" priority="729">
      <formula>AND(IF($Q78=3,1,IF($Q78=4,1,0)),IF($F78&lt;=85,1,0))</formula>
    </cfRule>
  </conditionalFormatting>
  <conditionalFormatting sqref="AV79">
    <cfRule type="expression" dxfId="5621" priority="724">
      <formula>AV79="X"</formula>
    </cfRule>
    <cfRule type="expression" dxfId="5620" priority="725">
      <formula>AV79="후보"</formula>
    </cfRule>
  </conditionalFormatting>
  <conditionalFormatting sqref="AC79">
    <cfRule type="cellIs" dxfId="5619" priority="721" operator="greaterThan">
      <formula>0.9</formula>
    </cfRule>
    <cfRule type="cellIs" dxfId="5618" priority="722" operator="greaterThan">
      <formula>0.85</formula>
    </cfRule>
  </conditionalFormatting>
  <conditionalFormatting sqref="N79">
    <cfRule type="cellIs" dxfId="5617" priority="719" operator="greaterThan">
      <formula>0.9</formula>
    </cfRule>
    <cfRule type="cellIs" dxfId="5616" priority="720" operator="greaterThan">
      <formula>0.85</formula>
    </cfRule>
  </conditionalFormatting>
  <conditionalFormatting sqref="E79">
    <cfRule type="expression" dxfId="5615" priority="715">
      <formula>AND(IF(OR($Q79=1,$Q79=2),1,0),IF($X79&lt;=20,1,0))</formula>
    </cfRule>
    <cfRule type="expression" dxfId="5614" priority="716">
      <formula>AND(IF($Q79=2,1,0),IF($X79&lt;30,1,0))</formula>
    </cfRule>
    <cfRule type="expression" dxfId="5613" priority="717">
      <formula>AND(IF($Q79=3,1,0),IF($X79&lt;30,1,0))</formula>
    </cfRule>
    <cfRule type="expression" dxfId="5612" priority="718">
      <formula>AND(IF($Q79=3,1,IF($Q79=4,1,0)),IF($F79&lt;=85,1,0))</formula>
    </cfRule>
  </conditionalFormatting>
  <conditionalFormatting sqref="X79">
    <cfRule type="expression" dxfId="5611" priority="711">
      <formula>AND(IF(OR($Q79=1,$Q79=2),1,0),IF($X79&lt;=20,1,0))</formula>
    </cfRule>
    <cfRule type="expression" dxfId="5610" priority="712">
      <formula>AND(IF($Q79=2,1,0),IF($X79&lt;30,1,0))</formula>
    </cfRule>
    <cfRule type="expression" dxfId="5609" priority="713">
      <formula>AND(IF($Q79=3,1,0),IF($X79&lt;30,1,0))</formula>
    </cfRule>
    <cfRule type="expression" dxfId="5608" priority="714">
      <formula>AND(IF($Q79=3,1,IF($Q79=4,1,0)),IF($F79&lt;=85,1,0))</formula>
    </cfRule>
  </conditionalFormatting>
  <conditionalFormatting sqref="AI79">
    <cfRule type="expression" dxfId="5607" priority="707">
      <formula>AND(IF(OR($Q79=1,$Q79=2),1,0),IF($X79&lt;=20,1,0))</formula>
    </cfRule>
    <cfRule type="expression" dxfId="5606" priority="708">
      <formula>AND(IF($Q79=2,1,0),IF($X79&lt;30,1,0))</formula>
    </cfRule>
    <cfRule type="expression" dxfId="5605" priority="709">
      <formula>AND(IF($Q79=3,1,0),IF($X79&lt;30,1,0))</formula>
    </cfRule>
    <cfRule type="expression" dxfId="5604" priority="710">
      <formula>AND(IF($Q79=3,1,IF($Q79=4,1,0)),IF($F79&lt;=85,1,0))</formula>
    </cfRule>
  </conditionalFormatting>
  <conditionalFormatting sqref="AV80">
    <cfRule type="expression" dxfId="5603" priority="705">
      <formula>AV80="X"</formula>
    </cfRule>
    <cfRule type="expression" dxfId="5602" priority="706">
      <formula>AV80="후보"</formula>
    </cfRule>
  </conditionalFormatting>
  <conditionalFormatting sqref="AC80 N80">
    <cfRule type="cellIs" dxfId="5601" priority="702" operator="greaterThan">
      <formula>0.9</formula>
    </cfRule>
    <cfRule type="cellIs" dxfId="5600" priority="703" operator="greaterThan">
      <formula>0.85</formula>
    </cfRule>
  </conditionalFormatting>
  <conditionalFormatting sqref="AV81">
    <cfRule type="expression" dxfId="5599" priority="700">
      <formula>AV81="X"</formula>
    </cfRule>
    <cfRule type="expression" dxfId="5598" priority="701">
      <formula>AV81="후보"</formula>
    </cfRule>
  </conditionalFormatting>
  <conditionalFormatting sqref="AC81">
    <cfRule type="cellIs" dxfId="5597" priority="697" operator="greaterThan">
      <formula>0.9</formula>
    </cfRule>
    <cfRule type="cellIs" dxfId="5596" priority="698" operator="greaterThan">
      <formula>0.85</formula>
    </cfRule>
  </conditionalFormatting>
  <conditionalFormatting sqref="N81">
    <cfRule type="cellIs" dxfId="5595" priority="695" operator="greaterThan">
      <formula>0.9</formula>
    </cfRule>
    <cfRule type="cellIs" dxfId="5594" priority="696" operator="greaterThan">
      <formula>0.85</formula>
    </cfRule>
  </conditionalFormatting>
  <conditionalFormatting sqref="E81">
    <cfRule type="expression" dxfId="5593" priority="691">
      <formula>AND(IF(OR($Q81=1,$Q81=2),1,0),IF($X81&lt;=20,1,0))</formula>
    </cfRule>
    <cfRule type="expression" dxfId="5592" priority="692">
      <formula>AND(IF($Q81=2,1,0),IF($X81&lt;30,1,0))</formula>
    </cfRule>
    <cfRule type="expression" dxfId="5591" priority="693">
      <formula>AND(IF($Q81=3,1,0),IF($X81&lt;30,1,0))</formula>
    </cfRule>
    <cfRule type="expression" dxfId="5590" priority="694">
      <formula>AND(IF($Q81=3,1,IF($Q81=4,1,0)),IF($F81&lt;=85,1,0))</formula>
    </cfRule>
  </conditionalFormatting>
  <conditionalFormatting sqref="X81">
    <cfRule type="expression" dxfId="5589" priority="687">
      <formula>AND(IF(OR($Q81=1,$Q81=2),1,0),IF($X81&lt;=20,1,0))</formula>
    </cfRule>
    <cfRule type="expression" dxfId="5588" priority="688">
      <formula>AND(IF($Q81=2,1,0),IF($X81&lt;30,1,0))</formula>
    </cfRule>
    <cfRule type="expression" dxfId="5587" priority="689">
      <formula>AND(IF($Q81=3,1,0),IF($X81&lt;30,1,0))</formula>
    </cfRule>
    <cfRule type="expression" dxfId="5586" priority="690">
      <formula>AND(IF($Q81=3,1,IF($Q81=4,1,0)),IF($F81&lt;=85,1,0))</formula>
    </cfRule>
  </conditionalFormatting>
  <conditionalFormatting sqref="AI81">
    <cfRule type="expression" dxfId="5585" priority="683">
      <formula>AND(IF(OR($Q81=1,$Q81=2),1,0),IF($X81&lt;=20,1,0))</formula>
    </cfRule>
    <cfRule type="expression" dxfId="5584" priority="684">
      <formula>AND(IF($Q81=2,1,0),IF($X81&lt;30,1,0))</formula>
    </cfRule>
    <cfRule type="expression" dxfId="5583" priority="685">
      <formula>AND(IF($Q81=3,1,0),IF($X81&lt;30,1,0))</formula>
    </cfRule>
    <cfRule type="expression" dxfId="5582" priority="686">
      <formula>AND(IF($Q81=3,1,IF($Q81=4,1,0)),IF($F81&lt;=85,1,0))</formula>
    </cfRule>
  </conditionalFormatting>
  <conditionalFormatting sqref="AV82">
    <cfRule type="expression" dxfId="5581" priority="681">
      <formula>AV82="X"</formula>
    </cfRule>
    <cfRule type="expression" dxfId="5580" priority="682">
      <formula>AV82="후보"</formula>
    </cfRule>
  </conditionalFormatting>
  <conditionalFormatting sqref="AC82">
    <cfRule type="cellIs" dxfId="5579" priority="678" operator="greaterThan">
      <formula>0.9</formula>
    </cfRule>
    <cfRule type="cellIs" dxfId="5578" priority="679" operator="greaterThan">
      <formula>0.85</formula>
    </cfRule>
  </conditionalFormatting>
  <conditionalFormatting sqref="N82">
    <cfRule type="cellIs" dxfId="5577" priority="676" operator="greaterThan">
      <formula>0.9</formula>
    </cfRule>
    <cfRule type="cellIs" dxfId="5576" priority="677" operator="greaterThan">
      <formula>0.85</formula>
    </cfRule>
  </conditionalFormatting>
  <conditionalFormatting sqref="E82">
    <cfRule type="expression" dxfId="5575" priority="672">
      <formula>AND(IF(OR($Q82=1,$Q82=2),1,0),IF($X82&lt;=20,1,0))</formula>
    </cfRule>
    <cfRule type="expression" dxfId="5574" priority="673">
      <formula>AND(IF($Q82=2,1,0),IF($X82&lt;30,1,0))</formula>
    </cfRule>
    <cfRule type="expression" dxfId="5573" priority="674">
      <formula>AND(IF($Q82=3,1,0),IF($X82&lt;30,1,0))</formula>
    </cfRule>
    <cfRule type="expression" dxfId="5572" priority="675">
      <formula>AND(IF($Q82=3,1,IF($Q82=4,1,0)),IF($F82&lt;=85,1,0))</formula>
    </cfRule>
  </conditionalFormatting>
  <conditionalFormatting sqref="X82">
    <cfRule type="expression" dxfId="5571" priority="668">
      <formula>AND(IF(OR($Q82=1,$Q82=2),1,0),IF($X82&lt;=20,1,0))</formula>
    </cfRule>
    <cfRule type="expression" dxfId="5570" priority="669">
      <formula>AND(IF($Q82=2,1,0),IF($X82&lt;30,1,0))</formula>
    </cfRule>
    <cfRule type="expression" dxfId="5569" priority="670">
      <formula>AND(IF($Q82=3,1,0),IF($X82&lt;30,1,0))</formula>
    </cfRule>
    <cfRule type="expression" dxfId="5568" priority="671">
      <formula>AND(IF($Q82=3,1,IF($Q82=4,1,0)),IF($F82&lt;=85,1,0))</formula>
    </cfRule>
  </conditionalFormatting>
  <conditionalFormatting sqref="AI82">
    <cfRule type="expression" dxfId="5567" priority="664">
      <formula>AND(IF(OR($Q82=1,$Q82=2),1,0),IF($X82&lt;=20,1,0))</formula>
    </cfRule>
    <cfRule type="expression" dxfId="5566" priority="665">
      <formula>AND(IF($Q82=2,1,0),IF($X82&lt;30,1,0))</formula>
    </cfRule>
    <cfRule type="expression" dxfId="5565" priority="666">
      <formula>AND(IF($Q82=3,1,0),IF($X82&lt;30,1,0))</formula>
    </cfRule>
    <cfRule type="expression" dxfId="5564" priority="667">
      <formula>AND(IF($Q82=3,1,IF($Q82=4,1,0)),IF($F82&lt;=85,1,0))</formula>
    </cfRule>
  </conditionalFormatting>
  <conditionalFormatting sqref="AV83">
    <cfRule type="expression" dxfId="5563" priority="662">
      <formula>AV83="X"</formula>
    </cfRule>
    <cfRule type="expression" dxfId="5562" priority="663">
      <formula>AV83="후보"</formula>
    </cfRule>
  </conditionalFormatting>
  <conditionalFormatting sqref="AC83 N83">
    <cfRule type="cellIs" dxfId="5561" priority="659" operator="greaterThan">
      <formula>0.9</formula>
    </cfRule>
    <cfRule type="cellIs" dxfId="5560" priority="660" operator="greaterThan">
      <formula>0.85</formula>
    </cfRule>
  </conditionalFormatting>
  <conditionalFormatting sqref="AV84">
    <cfRule type="expression" dxfId="5559" priority="657">
      <formula>AV84="X"</formula>
    </cfRule>
    <cfRule type="expression" dxfId="5558" priority="658">
      <formula>AV84="후보"</formula>
    </cfRule>
  </conditionalFormatting>
  <conditionalFormatting sqref="AC84">
    <cfRule type="cellIs" dxfId="5557" priority="654" operator="greaterThan">
      <formula>0.9</formula>
    </cfRule>
    <cfRule type="cellIs" dxfId="5556" priority="655" operator="greaterThan">
      <formula>0.85</formula>
    </cfRule>
  </conditionalFormatting>
  <conditionalFormatting sqref="N84">
    <cfRule type="cellIs" dxfId="5555" priority="652" operator="greaterThan">
      <formula>0.9</formula>
    </cfRule>
    <cfRule type="cellIs" dxfId="5554" priority="653" operator="greaterThan">
      <formula>0.85</formula>
    </cfRule>
  </conditionalFormatting>
  <conditionalFormatting sqref="E84">
    <cfRule type="expression" dxfId="5553" priority="648">
      <formula>AND(IF(OR($Q84=1,$Q84=2),1,0),IF($X84&lt;=20,1,0))</formula>
    </cfRule>
    <cfRule type="expression" dxfId="5552" priority="649">
      <formula>AND(IF($Q84=2,1,0),IF($X84&lt;30,1,0))</formula>
    </cfRule>
    <cfRule type="expression" dxfId="5551" priority="650">
      <formula>AND(IF($Q84=3,1,0),IF($X84&lt;30,1,0))</formula>
    </cfRule>
    <cfRule type="expression" dxfId="5550" priority="651">
      <formula>AND(IF($Q84=3,1,IF($Q84=4,1,0)),IF($F84&lt;=85,1,0))</formula>
    </cfRule>
  </conditionalFormatting>
  <conditionalFormatting sqref="X84">
    <cfRule type="expression" dxfId="5549" priority="644">
      <formula>AND(IF(OR($Q84=1,$Q84=2),1,0),IF($X84&lt;=20,1,0))</formula>
    </cfRule>
    <cfRule type="expression" dxfId="5548" priority="645">
      <formula>AND(IF($Q84=2,1,0),IF($X84&lt;30,1,0))</formula>
    </cfRule>
    <cfRule type="expression" dxfId="5547" priority="646">
      <formula>AND(IF($Q84=3,1,0),IF($X84&lt;30,1,0))</formula>
    </cfRule>
    <cfRule type="expression" dxfId="5546" priority="647">
      <formula>AND(IF($Q84=3,1,IF($Q84=4,1,0)),IF($F84&lt;=85,1,0))</formula>
    </cfRule>
  </conditionalFormatting>
  <conditionalFormatting sqref="AI84">
    <cfRule type="expression" dxfId="5545" priority="640">
      <formula>AND(IF(OR($Q84=1,$Q84=2),1,0),IF($X84&lt;=20,1,0))</formula>
    </cfRule>
    <cfRule type="expression" dxfId="5544" priority="641">
      <formula>AND(IF($Q84=2,1,0),IF($X84&lt;30,1,0))</formula>
    </cfRule>
    <cfRule type="expression" dxfId="5543" priority="642">
      <formula>AND(IF($Q84=3,1,0),IF($X84&lt;30,1,0))</formula>
    </cfRule>
    <cfRule type="expression" dxfId="5542" priority="643">
      <formula>AND(IF($Q84=3,1,IF($Q84=4,1,0)),IF($F84&lt;=85,1,0))</formula>
    </cfRule>
  </conditionalFormatting>
  <conditionalFormatting sqref="AV85">
    <cfRule type="expression" dxfId="5541" priority="638">
      <formula>AV85="X"</formula>
    </cfRule>
    <cfRule type="expression" dxfId="5540" priority="639">
      <formula>AV85="후보"</formula>
    </cfRule>
  </conditionalFormatting>
  <conditionalFormatting sqref="AC85">
    <cfRule type="cellIs" dxfId="5539" priority="635" operator="greaterThan">
      <formula>0.9</formula>
    </cfRule>
    <cfRule type="cellIs" dxfId="5538" priority="636" operator="greaterThan">
      <formula>0.85</formula>
    </cfRule>
  </conditionalFormatting>
  <conditionalFormatting sqref="N85">
    <cfRule type="cellIs" dxfId="5537" priority="633" operator="greaterThan">
      <formula>0.9</formula>
    </cfRule>
    <cfRule type="cellIs" dxfId="5536" priority="634" operator="greaterThan">
      <formula>0.85</formula>
    </cfRule>
  </conditionalFormatting>
  <conditionalFormatting sqref="E85">
    <cfRule type="expression" dxfId="5535" priority="629">
      <formula>AND(IF(OR($Q85=1,$Q85=2),1,0),IF($X85&lt;=20,1,0))</formula>
    </cfRule>
    <cfRule type="expression" dxfId="5534" priority="630">
      <formula>AND(IF($Q85=2,1,0),IF($X85&lt;30,1,0))</formula>
    </cfRule>
    <cfRule type="expression" dxfId="5533" priority="631">
      <formula>AND(IF($Q85=3,1,0),IF($X85&lt;30,1,0))</formula>
    </cfRule>
    <cfRule type="expression" dxfId="5532" priority="632">
      <formula>AND(IF($Q85=3,1,IF($Q85=4,1,0)),IF($F85&lt;=85,1,0))</formula>
    </cfRule>
  </conditionalFormatting>
  <conditionalFormatting sqref="X85">
    <cfRule type="expression" dxfId="5531" priority="625">
      <formula>AND(IF(OR($Q85=1,$Q85=2),1,0),IF($X85&lt;=20,1,0))</formula>
    </cfRule>
    <cfRule type="expression" dxfId="5530" priority="626">
      <formula>AND(IF($Q85=2,1,0),IF($X85&lt;30,1,0))</formula>
    </cfRule>
    <cfRule type="expression" dxfId="5529" priority="627">
      <formula>AND(IF($Q85=3,1,0),IF($X85&lt;30,1,0))</formula>
    </cfRule>
    <cfRule type="expression" dxfId="5528" priority="628">
      <formula>AND(IF($Q85=3,1,IF($Q85=4,1,0)),IF($F85&lt;=85,1,0))</formula>
    </cfRule>
  </conditionalFormatting>
  <conditionalFormatting sqref="AI85">
    <cfRule type="expression" dxfId="5527" priority="621">
      <formula>AND(IF(OR($Q85=1,$Q85=2),1,0),IF($X85&lt;=20,1,0))</formula>
    </cfRule>
    <cfRule type="expression" dxfId="5526" priority="622">
      <formula>AND(IF($Q85=2,1,0),IF($X85&lt;30,1,0))</formula>
    </cfRule>
    <cfRule type="expression" dxfId="5525" priority="623">
      <formula>AND(IF($Q85=3,1,0),IF($X85&lt;30,1,0))</formula>
    </cfRule>
    <cfRule type="expression" dxfId="5524" priority="624">
      <formula>AND(IF($Q85=3,1,IF($Q85=4,1,0)),IF($F85&lt;=85,1,0))</formula>
    </cfRule>
  </conditionalFormatting>
  <conditionalFormatting sqref="AV86">
    <cfRule type="expression" dxfId="5523" priority="619">
      <formula>AV86="X"</formula>
    </cfRule>
    <cfRule type="expression" dxfId="5522" priority="620">
      <formula>AV86="후보"</formula>
    </cfRule>
  </conditionalFormatting>
  <conditionalFormatting sqref="AC86 N86">
    <cfRule type="cellIs" dxfId="5521" priority="616" operator="greaterThan">
      <formula>0.9</formula>
    </cfRule>
    <cfRule type="cellIs" dxfId="5520" priority="617" operator="greaterThan">
      <formula>0.85</formula>
    </cfRule>
  </conditionalFormatting>
  <conditionalFormatting sqref="AV87">
    <cfRule type="expression" dxfId="5519" priority="614">
      <formula>AV87="X"</formula>
    </cfRule>
    <cfRule type="expression" dxfId="5518" priority="615">
      <formula>AV87="후보"</formula>
    </cfRule>
  </conditionalFormatting>
  <conditionalFormatting sqref="AC87">
    <cfRule type="cellIs" dxfId="5517" priority="611" operator="greaterThan">
      <formula>0.9</formula>
    </cfRule>
    <cfRule type="cellIs" dxfId="5516" priority="612" operator="greaterThan">
      <formula>0.85</formula>
    </cfRule>
  </conditionalFormatting>
  <conditionalFormatting sqref="N87">
    <cfRule type="cellIs" dxfId="5515" priority="609" operator="greaterThan">
      <formula>0.9</formula>
    </cfRule>
    <cfRule type="cellIs" dxfId="5514" priority="610" operator="greaterThan">
      <formula>0.85</formula>
    </cfRule>
  </conditionalFormatting>
  <conditionalFormatting sqref="E87">
    <cfRule type="expression" dxfId="5513" priority="605">
      <formula>AND(IF(OR($Q87=1,$Q87=2),1,0),IF($X87&lt;=20,1,0))</formula>
    </cfRule>
    <cfRule type="expression" dxfId="5512" priority="606">
      <formula>AND(IF($Q87=2,1,0),IF($X87&lt;30,1,0))</formula>
    </cfRule>
    <cfRule type="expression" dxfId="5511" priority="607">
      <formula>AND(IF($Q87=3,1,0),IF($X87&lt;30,1,0))</formula>
    </cfRule>
    <cfRule type="expression" dxfId="5510" priority="608">
      <formula>AND(IF($Q87=3,1,IF($Q87=4,1,0)),IF($F87&lt;=85,1,0))</formula>
    </cfRule>
  </conditionalFormatting>
  <conditionalFormatting sqref="X87">
    <cfRule type="expression" dxfId="5509" priority="601">
      <formula>AND(IF(OR($Q87=1,$Q87=2),1,0),IF($X87&lt;=20,1,0))</formula>
    </cfRule>
    <cfRule type="expression" dxfId="5508" priority="602">
      <formula>AND(IF($Q87=2,1,0),IF($X87&lt;30,1,0))</formula>
    </cfRule>
    <cfRule type="expression" dxfId="5507" priority="603">
      <formula>AND(IF($Q87=3,1,0),IF($X87&lt;30,1,0))</formula>
    </cfRule>
    <cfRule type="expression" dxfId="5506" priority="604">
      <formula>AND(IF($Q87=3,1,IF($Q87=4,1,0)),IF($F87&lt;=85,1,0))</formula>
    </cfRule>
  </conditionalFormatting>
  <conditionalFormatting sqref="AI87">
    <cfRule type="expression" dxfId="5505" priority="597">
      <formula>AND(IF(OR($Q87=1,$Q87=2),1,0),IF($X87&lt;=20,1,0))</formula>
    </cfRule>
    <cfRule type="expression" dxfId="5504" priority="598">
      <formula>AND(IF($Q87=2,1,0),IF($X87&lt;30,1,0))</formula>
    </cfRule>
    <cfRule type="expression" dxfId="5503" priority="599">
      <formula>AND(IF($Q87=3,1,0),IF($X87&lt;30,1,0))</formula>
    </cfRule>
    <cfRule type="expression" dxfId="5502" priority="600">
      <formula>AND(IF($Q87=3,1,IF($Q87=4,1,0)),IF($F87&lt;=85,1,0))</formula>
    </cfRule>
  </conditionalFormatting>
  <conditionalFormatting sqref="AV88">
    <cfRule type="expression" dxfId="5501" priority="595">
      <formula>AV88="X"</formula>
    </cfRule>
    <cfRule type="expression" dxfId="5500" priority="596">
      <formula>AV88="후보"</formula>
    </cfRule>
  </conditionalFormatting>
  <conditionalFormatting sqref="AC88">
    <cfRule type="cellIs" dxfId="5499" priority="592" operator="greaterThan">
      <formula>0.9</formula>
    </cfRule>
    <cfRule type="cellIs" dxfId="5498" priority="593" operator="greaterThan">
      <formula>0.85</formula>
    </cfRule>
  </conditionalFormatting>
  <conditionalFormatting sqref="N88">
    <cfRule type="cellIs" dxfId="5497" priority="590" operator="greaterThan">
      <formula>0.9</formula>
    </cfRule>
    <cfRule type="cellIs" dxfId="5496" priority="591" operator="greaterThan">
      <formula>0.85</formula>
    </cfRule>
  </conditionalFormatting>
  <conditionalFormatting sqref="E88">
    <cfRule type="expression" dxfId="5495" priority="586">
      <formula>AND(IF(OR($Q88=1,$Q88=2),1,0),IF($X88&lt;=20,1,0))</formula>
    </cfRule>
    <cfRule type="expression" dxfId="5494" priority="587">
      <formula>AND(IF($Q88=2,1,0),IF($X88&lt;30,1,0))</formula>
    </cfRule>
    <cfRule type="expression" dxfId="5493" priority="588">
      <formula>AND(IF($Q88=3,1,0),IF($X88&lt;30,1,0))</formula>
    </cfRule>
    <cfRule type="expression" dxfId="5492" priority="589">
      <formula>AND(IF($Q88=3,1,IF($Q88=4,1,0)),IF($F88&lt;=85,1,0))</formula>
    </cfRule>
  </conditionalFormatting>
  <conditionalFormatting sqref="X88">
    <cfRule type="expression" dxfId="5491" priority="582">
      <formula>AND(IF(OR($Q88=1,$Q88=2),1,0),IF($X88&lt;=20,1,0))</formula>
    </cfRule>
    <cfRule type="expression" dxfId="5490" priority="583">
      <formula>AND(IF($Q88=2,1,0),IF($X88&lt;30,1,0))</formula>
    </cfRule>
    <cfRule type="expression" dxfId="5489" priority="584">
      <formula>AND(IF($Q88=3,1,0),IF($X88&lt;30,1,0))</formula>
    </cfRule>
    <cfRule type="expression" dxfId="5488" priority="585">
      <formula>AND(IF($Q88=3,1,IF($Q88=4,1,0)),IF($F88&lt;=85,1,0))</formula>
    </cfRule>
  </conditionalFormatting>
  <conditionalFormatting sqref="AI88">
    <cfRule type="expression" dxfId="5487" priority="578">
      <formula>AND(IF(OR($Q88=1,$Q88=2),1,0),IF($X88&lt;=20,1,0))</formula>
    </cfRule>
    <cfRule type="expression" dxfId="5486" priority="579">
      <formula>AND(IF($Q88=2,1,0),IF($X88&lt;30,1,0))</formula>
    </cfRule>
    <cfRule type="expression" dxfId="5485" priority="580">
      <formula>AND(IF($Q88=3,1,0),IF($X88&lt;30,1,0))</formula>
    </cfRule>
    <cfRule type="expression" dxfId="5484" priority="581">
      <formula>AND(IF($Q88=3,1,IF($Q88=4,1,0)),IF($F88&lt;=85,1,0))</formula>
    </cfRule>
  </conditionalFormatting>
  <conditionalFormatting sqref="AV89">
    <cfRule type="expression" dxfId="5483" priority="576">
      <formula>AV89="X"</formula>
    </cfRule>
    <cfRule type="expression" dxfId="5482" priority="577">
      <formula>AV89="후보"</formula>
    </cfRule>
  </conditionalFormatting>
  <conditionalFormatting sqref="AC89 N89">
    <cfRule type="cellIs" dxfId="5481" priority="573" operator="greaterThan">
      <formula>0.9</formula>
    </cfRule>
    <cfRule type="cellIs" dxfId="5480" priority="574" operator="greaterThan">
      <formula>0.85</formula>
    </cfRule>
  </conditionalFormatting>
  <conditionalFormatting sqref="AV90">
    <cfRule type="expression" dxfId="5479" priority="571">
      <formula>AV90="X"</formula>
    </cfRule>
    <cfRule type="expression" dxfId="5478" priority="572">
      <formula>AV90="후보"</formula>
    </cfRule>
  </conditionalFormatting>
  <conditionalFormatting sqref="AC90">
    <cfRule type="cellIs" dxfId="5477" priority="568" operator="greaterThan">
      <formula>0.9</formula>
    </cfRule>
    <cfRule type="cellIs" dxfId="5476" priority="569" operator="greaterThan">
      <formula>0.85</formula>
    </cfRule>
  </conditionalFormatting>
  <conditionalFormatting sqref="N90">
    <cfRule type="cellIs" dxfId="5475" priority="566" operator="greaterThan">
      <formula>0.9</formula>
    </cfRule>
    <cfRule type="cellIs" dxfId="5474" priority="567" operator="greaterThan">
      <formula>0.85</formula>
    </cfRule>
  </conditionalFormatting>
  <conditionalFormatting sqref="E90">
    <cfRule type="expression" dxfId="5473" priority="562">
      <formula>AND(IF(OR($Q90=1,$Q90=2),1,0),IF($X90&lt;=20,1,0))</formula>
    </cfRule>
    <cfRule type="expression" dxfId="5472" priority="563">
      <formula>AND(IF($Q90=2,1,0),IF($X90&lt;30,1,0))</formula>
    </cfRule>
    <cfRule type="expression" dxfId="5471" priority="564">
      <formula>AND(IF($Q90=3,1,0),IF($X90&lt;30,1,0))</formula>
    </cfRule>
    <cfRule type="expression" dxfId="5470" priority="565">
      <formula>AND(IF($Q90=3,1,IF($Q90=4,1,0)),IF($F90&lt;=85,1,0))</formula>
    </cfRule>
  </conditionalFormatting>
  <conditionalFormatting sqref="X90">
    <cfRule type="expression" dxfId="5469" priority="558">
      <formula>AND(IF(OR($Q90=1,$Q90=2),1,0),IF($X90&lt;=20,1,0))</formula>
    </cfRule>
    <cfRule type="expression" dxfId="5468" priority="559">
      <formula>AND(IF($Q90=2,1,0),IF($X90&lt;30,1,0))</formula>
    </cfRule>
    <cfRule type="expression" dxfId="5467" priority="560">
      <formula>AND(IF($Q90=3,1,0),IF($X90&lt;30,1,0))</formula>
    </cfRule>
    <cfRule type="expression" dxfId="5466" priority="561">
      <formula>AND(IF($Q90=3,1,IF($Q90=4,1,0)),IF($F90&lt;=85,1,0))</formula>
    </cfRule>
  </conditionalFormatting>
  <conditionalFormatting sqref="AI90">
    <cfRule type="expression" dxfId="5465" priority="554">
      <formula>AND(IF(OR($Q90=1,$Q90=2),1,0),IF($X90&lt;=20,1,0))</formula>
    </cfRule>
    <cfRule type="expression" dxfId="5464" priority="555">
      <formula>AND(IF($Q90=2,1,0),IF($X90&lt;30,1,0))</formula>
    </cfRule>
    <cfRule type="expression" dxfId="5463" priority="556">
      <formula>AND(IF($Q90=3,1,0),IF($X90&lt;30,1,0))</formula>
    </cfRule>
    <cfRule type="expression" dxfId="5462" priority="557">
      <formula>AND(IF($Q90=3,1,IF($Q90=4,1,0)),IF($F90&lt;=85,1,0))</formula>
    </cfRule>
  </conditionalFormatting>
  <conditionalFormatting sqref="AV91">
    <cfRule type="expression" dxfId="5461" priority="552">
      <formula>AV91="X"</formula>
    </cfRule>
    <cfRule type="expression" dxfId="5460" priority="553">
      <formula>AV91="후보"</formula>
    </cfRule>
  </conditionalFormatting>
  <conditionalFormatting sqref="AC91">
    <cfRule type="cellIs" dxfId="5459" priority="549" operator="greaterThan">
      <formula>0.9</formula>
    </cfRule>
    <cfRule type="cellIs" dxfId="5458" priority="550" operator="greaterThan">
      <formula>0.85</formula>
    </cfRule>
  </conditionalFormatting>
  <conditionalFormatting sqref="N91">
    <cfRule type="cellIs" dxfId="5457" priority="547" operator="greaterThan">
      <formula>0.9</formula>
    </cfRule>
    <cfRule type="cellIs" dxfId="5456" priority="548" operator="greaterThan">
      <formula>0.85</formula>
    </cfRule>
  </conditionalFormatting>
  <conditionalFormatting sqref="E91">
    <cfRule type="expression" dxfId="5455" priority="543">
      <formula>AND(IF(OR($Q91=1,$Q91=2),1,0),IF($X91&lt;=20,1,0))</formula>
    </cfRule>
    <cfRule type="expression" dxfId="5454" priority="544">
      <formula>AND(IF($Q91=2,1,0),IF($X91&lt;30,1,0))</formula>
    </cfRule>
    <cfRule type="expression" dxfId="5453" priority="545">
      <formula>AND(IF($Q91=3,1,0),IF($X91&lt;30,1,0))</formula>
    </cfRule>
    <cfRule type="expression" dxfId="5452" priority="546">
      <formula>AND(IF($Q91=3,1,IF($Q91=4,1,0)),IF($F91&lt;=85,1,0))</formula>
    </cfRule>
  </conditionalFormatting>
  <conditionalFormatting sqref="X91">
    <cfRule type="expression" dxfId="5451" priority="539">
      <formula>AND(IF(OR($Q91=1,$Q91=2),1,0),IF($X91&lt;=20,1,0))</formula>
    </cfRule>
    <cfRule type="expression" dxfId="5450" priority="540">
      <formula>AND(IF($Q91=2,1,0),IF($X91&lt;30,1,0))</formula>
    </cfRule>
    <cfRule type="expression" dxfId="5449" priority="541">
      <formula>AND(IF($Q91=3,1,0),IF($X91&lt;30,1,0))</formula>
    </cfRule>
    <cfRule type="expression" dxfId="5448" priority="542">
      <formula>AND(IF($Q91=3,1,IF($Q91=4,1,0)),IF($F91&lt;=85,1,0))</formula>
    </cfRule>
  </conditionalFormatting>
  <conditionalFormatting sqref="AI91">
    <cfRule type="expression" dxfId="5447" priority="535">
      <formula>AND(IF(OR($Q91=1,$Q91=2),1,0),IF($X91&lt;=20,1,0))</formula>
    </cfRule>
    <cfRule type="expression" dxfId="5446" priority="536">
      <formula>AND(IF($Q91=2,1,0),IF($X91&lt;30,1,0))</formula>
    </cfRule>
    <cfRule type="expression" dxfId="5445" priority="537">
      <formula>AND(IF($Q91=3,1,0),IF($X91&lt;30,1,0))</formula>
    </cfRule>
    <cfRule type="expression" dxfId="5444" priority="538">
      <formula>AND(IF($Q91=3,1,IF($Q91=4,1,0)),IF($F91&lt;=85,1,0))</formula>
    </cfRule>
  </conditionalFormatting>
  <conditionalFormatting sqref="AV92">
    <cfRule type="expression" dxfId="5443" priority="533">
      <formula>AV92="X"</formula>
    </cfRule>
    <cfRule type="expression" dxfId="5442" priority="534">
      <formula>AV92="후보"</formula>
    </cfRule>
  </conditionalFormatting>
  <conditionalFormatting sqref="AC92 N92">
    <cfRule type="cellIs" dxfId="5441" priority="530" operator="greaterThan">
      <formula>0.9</formula>
    </cfRule>
    <cfRule type="cellIs" dxfId="5440" priority="531" operator="greaterThan">
      <formula>0.85</formula>
    </cfRule>
  </conditionalFormatting>
  <conditionalFormatting sqref="AV93">
    <cfRule type="expression" dxfId="5439" priority="528">
      <formula>AV93="X"</formula>
    </cfRule>
    <cfRule type="expression" dxfId="5438" priority="529">
      <formula>AV93="후보"</formula>
    </cfRule>
  </conditionalFormatting>
  <conditionalFormatting sqref="AC93">
    <cfRule type="cellIs" dxfId="5437" priority="525" operator="greaterThan">
      <formula>0.9</formula>
    </cfRule>
    <cfRule type="cellIs" dxfId="5436" priority="526" operator="greaterThan">
      <formula>0.85</formula>
    </cfRule>
  </conditionalFormatting>
  <conditionalFormatting sqref="N93">
    <cfRule type="cellIs" dxfId="5435" priority="523" operator="greaterThan">
      <formula>0.9</formula>
    </cfRule>
    <cfRule type="cellIs" dxfId="5434" priority="524" operator="greaterThan">
      <formula>0.85</formula>
    </cfRule>
  </conditionalFormatting>
  <conditionalFormatting sqref="E93">
    <cfRule type="expression" dxfId="5433" priority="519">
      <formula>AND(IF(OR($Q93=1,$Q93=2),1,0),IF($X93&lt;=20,1,0))</formula>
    </cfRule>
    <cfRule type="expression" dxfId="5432" priority="520">
      <formula>AND(IF($Q93=2,1,0),IF($X93&lt;30,1,0))</formula>
    </cfRule>
    <cfRule type="expression" dxfId="5431" priority="521">
      <formula>AND(IF($Q93=3,1,0),IF($X93&lt;30,1,0))</formula>
    </cfRule>
    <cfRule type="expression" dxfId="5430" priority="522">
      <formula>AND(IF($Q93=3,1,IF($Q93=4,1,0)),IF($F93&lt;=85,1,0))</formula>
    </cfRule>
  </conditionalFormatting>
  <conditionalFormatting sqref="X93">
    <cfRule type="expression" dxfId="5429" priority="515">
      <formula>AND(IF(OR($Q93=1,$Q93=2),1,0),IF($X93&lt;=20,1,0))</formula>
    </cfRule>
    <cfRule type="expression" dxfId="5428" priority="516">
      <formula>AND(IF($Q93=2,1,0),IF($X93&lt;30,1,0))</formula>
    </cfRule>
    <cfRule type="expression" dxfId="5427" priority="517">
      <formula>AND(IF($Q93=3,1,0),IF($X93&lt;30,1,0))</formula>
    </cfRule>
    <cfRule type="expression" dxfId="5426" priority="518">
      <formula>AND(IF($Q93=3,1,IF($Q93=4,1,0)),IF($F93&lt;=85,1,0))</formula>
    </cfRule>
  </conditionalFormatting>
  <conditionalFormatting sqref="AI93">
    <cfRule type="expression" dxfId="5425" priority="511">
      <formula>AND(IF(OR($Q93=1,$Q93=2),1,0),IF($X93&lt;=20,1,0))</formula>
    </cfRule>
    <cfRule type="expression" dxfId="5424" priority="512">
      <formula>AND(IF($Q93=2,1,0),IF($X93&lt;30,1,0))</formula>
    </cfRule>
    <cfRule type="expression" dxfId="5423" priority="513">
      <formula>AND(IF($Q93=3,1,0),IF($X93&lt;30,1,0))</formula>
    </cfRule>
    <cfRule type="expression" dxfId="5422" priority="514">
      <formula>AND(IF($Q93=3,1,IF($Q93=4,1,0)),IF($F93&lt;=85,1,0))</formula>
    </cfRule>
  </conditionalFormatting>
  <conditionalFormatting sqref="AV94">
    <cfRule type="expression" dxfId="5421" priority="509">
      <formula>AV94="X"</formula>
    </cfRule>
    <cfRule type="expression" dxfId="5420" priority="510">
      <formula>AV94="후보"</formula>
    </cfRule>
  </conditionalFormatting>
  <conditionalFormatting sqref="AC94">
    <cfRule type="cellIs" dxfId="5419" priority="506" operator="greaterThan">
      <formula>0.9</formula>
    </cfRule>
    <cfRule type="cellIs" dxfId="5418" priority="507" operator="greaterThan">
      <formula>0.85</formula>
    </cfRule>
  </conditionalFormatting>
  <conditionalFormatting sqref="N94">
    <cfRule type="cellIs" dxfId="5417" priority="504" operator="greaterThan">
      <formula>0.9</formula>
    </cfRule>
    <cfRule type="cellIs" dxfId="5416" priority="505" operator="greaterThan">
      <formula>0.85</formula>
    </cfRule>
  </conditionalFormatting>
  <conditionalFormatting sqref="E94">
    <cfRule type="expression" dxfId="5415" priority="500">
      <formula>AND(IF(OR($Q94=1,$Q94=2),1,0),IF($X94&lt;=20,1,0))</formula>
    </cfRule>
    <cfRule type="expression" dxfId="5414" priority="501">
      <formula>AND(IF($Q94=2,1,0),IF($X94&lt;30,1,0))</formula>
    </cfRule>
    <cfRule type="expression" dxfId="5413" priority="502">
      <formula>AND(IF($Q94=3,1,0),IF($X94&lt;30,1,0))</formula>
    </cfRule>
    <cfRule type="expression" dxfId="5412" priority="503">
      <formula>AND(IF($Q94=3,1,IF($Q94=4,1,0)),IF($F94&lt;=85,1,0))</formula>
    </cfRule>
  </conditionalFormatting>
  <conditionalFormatting sqref="X94">
    <cfRule type="expression" dxfId="5411" priority="496">
      <formula>AND(IF(OR($Q94=1,$Q94=2),1,0),IF($X94&lt;=20,1,0))</formula>
    </cfRule>
    <cfRule type="expression" dxfId="5410" priority="497">
      <formula>AND(IF($Q94=2,1,0),IF($X94&lt;30,1,0))</formula>
    </cfRule>
    <cfRule type="expression" dxfId="5409" priority="498">
      <formula>AND(IF($Q94=3,1,0),IF($X94&lt;30,1,0))</formula>
    </cfRule>
    <cfRule type="expression" dxfId="5408" priority="499">
      <formula>AND(IF($Q94=3,1,IF($Q94=4,1,0)),IF($F94&lt;=85,1,0))</formula>
    </cfRule>
  </conditionalFormatting>
  <conditionalFormatting sqref="AI94">
    <cfRule type="expression" dxfId="5407" priority="492">
      <formula>AND(IF(OR($Q94=1,$Q94=2),1,0),IF($X94&lt;=20,1,0))</formula>
    </cfRule>
    <cfRule type="expression" dxfId="5406" priority="493">
      <formula>AND(IF($Q94=2,1,0),IF($X94&lt;30,1,0))</formula>
    </cfRule>
    <cfRule type="expression" dxfId="5405" priority="494">
      <formula>AND(IF($Q94=3,1,0),IF($X94&lt;30,1,0))</formula>
    </cfRule>
    <cfRule type="expression" dxfId="5404" priority="495">
      <formula>AND(IF($Q94=3,1,IF($Q94=4,1,0)),IF($F94&lt;=85,1,0))</formula>
    </cfRule>
  </conditionalFormatting>
  <conditionalFormatting sqref="AV95">
    <cfRule type="expression" dxfId="5403" priority="490">
      <formula>AV95="X"</formula>
    </cfRule>
    <cfRule type="expression" dxfId="5402" priority="491">
      <formula>AV95="후보"</formula>
    </cfRule>
  </conditionalFormatting>
  <conditionalFormatting sqref="AC95 N95">
    <cfRule type="cellIs" dxfId="5401" priority="487" operator="greaterThan">
      <formula>0.9</formula>
    </cfRule>
    <cfRule type="cellIs" dxfId="5400" priority="488" operator="greaterThan">
      <formula>0.85</formula>
    </cfRule>
  </conditionalFormatting>
  <conditionalFormatting sqref="AV96">
    <cfRule type="expression" dxfId="5399" priority="485">
      <formula>AV96="X"</formula>
    </cfRule>
    <cfRule type="expression" dxfId="5398" priority="486">
      <formula>AV96="후보"</formula>
    </cfRule>
  </conditionalFormatting>
  <conditionalFormatting sqref="AC96">
    <cfRule type="cellIs" dxfId="5397" priority="482" operator="greaterThan">
      <formula>0.9</formula>
    </cfRule>
    <cfRule type="cellIs" dxfId="5396" priority="483" operator="greaterThan">
      <formula>0.85</formula>
    </cfRule>
  </conditionalFormatting>
  <conditionalFormatting sqref="N96">
    <cfRule type="cellIs" dxfId="5395" priority="480" operator="greaterThan">
      <formula>0.9</formula>
    </cfRule>
    <cfRule type="cellIs" dxfId="5394" priority="481" operator="greaterThan">
      <formula>0.85</formula>
    </cfRule>
  </conditionalFormatting>
  <conditionalFormatting sqref="E96">
    <cfRule type="expression" dxfId="5393" priority="476">
      <formula>AND(IF(OR($Q96=1,$Q96=2),1,0),IF($X96&lt;=20,1,0))</formula>
    </cfRule>
    <cfRule type="expression" dxfId="5392" priority="477">
      <formula>AND(IF($Q96=2,1,0),IF($X96&lt;30,1,0))</formula>
    </cfRule>
    <cfRule type="expression" dxfId="5391" priority="478">
      <formula>AND(IF($Q96=3,1,0),IF($X96&lt;30,1,0))</formula>
    </cfRule>
    <cfRule type="expression" dxfId="5390" priority="479">
      <formula>AND(IF($Q96=3,1,IF($Q96=4,1,0)),IF($F96&lt;=85,1,0))</formula>
    </cfRule>
  </conditionalFormatting>
  <conditionalFormatting sqref="X96">
    <cfRule type="expression" dxfId="5389" priority="472">
      <formula>AND(IF(OR($Q96=1,$Q96=2),1,0),IF($X96&lt;=20,1,0))</formula>
    </cfRule>
    <cfRule type="expression" dxfId="5388" priority="473">
      <formula>AND(IF($Q96=2,1,0),IF($X96&lt;30,1,0))</formula>
    </cfRule>
    <cfRule type="expression" dxfId="5387" priority="474">
      <formula>AND(IF($Q96=3,1,0),IF($X96&lt;30,1,0))</formula>
    </cfRule>
    <cfRule type="expression" dxfId="5386" priority="475">
      <formula>AND(IF($Q96=3,1,IF($Q96=4,1,0)),IF($F96&lt;=85,1,0))</formula>
    </cfRule>
  </conditionalFormatting>
  <conditionalFormatting sqref="AI96">
    <cfRule type="expression" dxfId="5385" priority="468">
      <formula>AND(IF(OR($Q96=1,$Q96=2),1,0),IF($X96&lt;=20,1,0))</formula>
    </cfRule>
    <cfRule type="expression" dxfId="5384" priority="469">
      <formula>AND(IF($Q96=2,1,0),IF($X96&lt;30,1,0))</formula>
    </cfRule>
    <cfRule type="expression" dxfId="5383" priority="470">
      <formula>AND(IF($Q96=3,1,0),IF($X96&lt;30,1,0))</formula>
    </cfRule>
    <cfRule type="expression" dxfId="5382" priority="471">
      <formula>AND(IF($Q96=3,1,IF($Q96=4,1,0)),IF($F96&lt;=85,1,0))</formula>
    </cfRule>
  </conditionalFormatting>
  <conditionalFormatting sqref="AV97">
    <cfRule type="expression" dxfId="5381" priority="466">
      <formula>AV97="X"</formula>
    </cfRule>
    <cfRule type="expression" dxfId="5380" priority="467">
      <formula>AV97="후보"</formula>
    </cfRule>
  </conditionalFormatting>
  <conditionalFormatting sqref="AC97">
    <cfRule type="cellIs" dxfId="5379" priority="463" operator="greaterThan">
      <formula>0.9</formula>
    </cfRule>
    <cfRule type="cellIs" dxfId="5378" priority="464" operator="greaterThan">
      <formula>0.85</formula>
    </cfRule>
  </conditionalFormatting>
  <conditionalFormatting sqref="N97">
    <cfRule type="cellIs" dxfId="5377" priority="461" operator="greaterThan">
      <formula>0.9</formula>
    </cfRule>
    <cfRule type="cellIs" dxfId="5376" priority="462" operator="greaterThan">
      <formula>0.85</formula>
    </cfRule>
  </conditionalFormatting>
  <conditionalFormatting sqref="E97">
    <cfRule type="expression" dxfId="5375" priority="457">
      <formula>AND(IF(OR($Q97=1,$Q97=2),1,0),IF($X97&lt;=20,1,0))</formula>
    </cfRule>
    <cfRule type="expression" dxfId="5374" priority="458">
      <formula>AND(IF($Q97=2,1,0),IF($X97&lt;30,1,0))</formula>
    </cfRule>
    <cfRule type="expression" dxfId="5373" priority="459">
      <formula>AND(IF($Q97=3,1,0),IF($X97&lt;30,1,0))</formula>
    </cfRule>
    <cfRule type="expression" dxfId="5372" priority="460">
      <formula>AND(IF($Q97=3,1,IF($Q97=4,1,0)),IF($F97&lt;=85,1,0))</formula>
    </cfRule>
  </conditionalFormatting>
  <conditionalFormatting sqref="X97">
    <cfRule type="expression" dxfId="5371" priority="453">
      <formula>AND(IF(OR($Q97=1,$Q97=2),1,0),IF($X97&lt;=20,1,0))</formula>
    </cfRule>
    <cfRule type="expression" dxfId="5370" priority="454">
      <formula>AND(IF($Q97=2,1,0),IF($X97&lt;30,1,0))</formula>
    </cfRule>
    <cfRule type="expression" dxfId="5369" priority="455">
      <formula>AND(IF($Q97=3,1,0),IF($X97&lt;30,1,0))</formula>
    </cfRule>
    <cfRule type="expression" dxfId="5368" priority="456">
      <formula>AND(IF($Q97=3,1,IF($Q97=4,1,0)),IF($F97&lt;=85,1,0))</formula>
    </cfRule>
  </conditionalFormatting>
  <conditionalFormatting sqref="AI97">
    <cfRule type="expression" dxfId="5367" priority="449">
      <formula>AND(IF(OR($Q97=1,$Q97=2),1,0),IF($X97&lt;=20,1,0))</formula>
    </cfRule>
    <cfRule type="expression" dxfId="5366" priority="450">
      <formula>AND(IF($Q97=2,1,0),IF($X97&lt;30,1,0))</formula>
    </cfRule>
    <cfRule type="expression" dxfId="5365" priority="451">
      <formula>AND(IF($Q97=3,1,0),IF($X97&lt;30,1,0))</formula>
    </cfRule>
    <cfRule type="expression" dxfId="5364" priority="452">
      <formula>AND(IF($Q97=3,1,IF($Q97=4,1,0)),IF($F97&lt;=85,1,0))</formula>
    </cfRule>
  </conditionalFormatting>
  <conditionalFormatting sqref="AV98">
    <cfRule type="expression" dxfId="5363" priority="447">
      <formula>AV98="X"</formula>
    </cfRule>
    <cfRule type="expression" dxfId="5362" priority="448">
      <formula>AV98="후보"</formula>
    </cfRule>
  </conditionalFormatting>
  <conditionalFormatting sqref="AC98">
    <cfRule type="cellIs" dxfId="5361" priority="444" operator="greaterThan">
      <formula>0.9</formula>
    </cfRule>
    <cfRule type="cellIs" dxfId="5360" priority="445" operator="greaterThan">
      <formula>0.85</formula>
    </cfRule>
  </conditionalFormatting>
  <conditionalFormatting sqref="N98">
    <cfRule type="cellIs" dxfId="5359" priority="442" operator="greaterThan">
      <formula>0.9</formula>
    </cfRule>
    <cfRule type="cellIs" dxfId="5358" priority="443" operator="greaterThan">
      <formula>0.85</formula>
    </cfRule>
  </conditionalFormatting>
  <conditionalFormatting sqref="E98">
    <cfRule type="expression" dxfId="5357" priority="438">
      <formula>AND(IF(OR($Q98=1,$Q98=2),1,0),IF($X98&lt;=20,1,0))</formula>
    </cfRule>
    <cfRule type="expression" dxfId="5356" priority="439">
      <formula>AND(IF($Q98=2,1,0),IF($X98&lt;30,1,0))</formula>
    </cfRule>
    <cfRule type="expression" dxfId="5355" priority="440">
      <formula>AND(IF($Q98=3,1,0),IF($X98&lt;30,1,0))</formula>
    </cfRule>
    <cfRule type="expression" dxfId="5354" priority="441">
      <formula>AND(IF($Q98=3,1,IF($Q98=4,1,0)),IF($F98&lt;=85,1,0))</formula>
    </cfRule>
  </conditionalFormatting>
  <conditionalFormatting sqref="X98">
    <cfRule type="expression" dxfId="5353" priority="434">
      <formula>AND(IF(OR($Q98=1,$Q98=2),1,0),IF($X98&lt;=20,1,0))</formula>
    </cfRule>
    <cfRule type="expression" dxfId="5352" priority="435">
      <formula>AND(IF($Q98=2,1,0),IF($X98&lt;30,1,0))</formula>
    </cfRule>
    <cfRule type="expression" dxfId="5351" priority="436">
      <formula>AND(IF($Q98=3,1,0),IF($X98&lt;30,1,0))</formula>
    </cfRule>
    <cfRule type="expression" dxfId="5350" priority="437">
      <formula>AND(IF($Q98=3,1,IF($Q98=4,1,0)),IF($F98&lt;=85,1,0))</formula>
    </cfRule>
  </conditionalFormatting>
  <conditionalFormatting sqref="AI98">
    <cfRule type="expression" dxfId="5349" priority="430">
      <formula>AND(IF(OR($Q98=1,$Q98=2),1,0),IF($X98&lt;=20,1,0))</formula>
    </cfRule>
    <cfRule type="expression" dxfId="5348" priority="431">
      <formula>AND(IF($Q98=2,1,0),IF($X98&lt;30,1,0))</formula>
    </cfRule>
    <cfRule type="expression" dxfId="5347" priority="432">
      <formula>AND(IF($Q98=3,1,0),IF($X98&lt;30,1,0))</formula>
    </cfRule>
    <cfRule type="expression" dxfId="5346" priority="433">
      <formula>AND(IF($Q98=3,1,IF($Q98=4,1,0)),IF($F98&lt;=85,1,0))</formula>
    </cfRule>
  </conditionalFormatting>
  <conditionalFormatting sqref="AV99">
    <cfRule type="expression" dxfId="5345" priority="428">
      <formula>AV99="X"</formula>
    </cfRule>
    <cfRule type="expression" dxfId="5344" priority="429">
      <formula>AV99="후보"</formula>
    </cfRule>
  </conditionalFormatting>
  <conditionalFormatting sqref="AC99">
    <cfRule type="cellIs" dxfId="5343" priority="425" operator="greaterThan">
      <formula>0.9</formula>
    </cfRule>
    <cfRule type="cellIs" dxfId="5342" priority="426" operator="greaterThan">
      <formula>0.85</formula>
    </cfRule>
  </conditionalFormatting>
  <conditionalFormatting sqref="N99">
    <cfRule type="cellIs" dxfId="5341" priority="423" operator="greaterThan">
      <formula>0.9</formula>
    </cfRule>
    <cfRule type="cellIs" dxfId="5340" priority="424" operator="greaterThan">
      <formula>0.85</formula>
    </cfRule>
  </conditionalFormatting>
  <conditionalFormatting sqref="E99">
    <cfRule type="expression" dxfId="5339" priority="419">
      <formula>AND(IF(OR($Q99=1,$Q99=2),1,0),IF($X99&lt;=20,1,0))</formula>
    </cfRule>
    <cfRule type="expression" dxfId="5338" priority="420">
      <formula>AND(IF($Q99=2,1,0),IF($X99&lt;30,1,0))</formula>
    </cfRule>
    <cfRule type="expression" dxfId="5337" priority="421">
      <formula>AND(IF($Q99=3,1,0),IF($X99&lt;30,1,0))</formula>
    </cfRule>
    <cfRule type="expression" dxfId="5336" priority="422">
      <formula>AND(IF($Q99=3,1,IF($Q99=4,1,0)),IF($F99&lt;=85,1,0))</formula>
    </cfRule>
  </conditionalFormatting>
  <conditionalFormatting sqref="X99">
    <cfRule type="expression" dxfId="5335" priority="415">
      <formula>AND(IF(OR($Q99=1,$Q99=2),1,0),IF($X99&lt;=20,1,0))</formula>
    </cfRule>
    <cfRule type="expression" dxfId="5334" priority="416">
      <formula>AND(IF($Q99=2,1,0),IF($X99&lt;30,1,0))</formula>
    </cfRule>
    <cfRule type="expression" dxfId="5333" priority="417">
      <formula>AND(IF($Q99=3,1,0),IF($X99&lt;30,1,0))</formula>
    </cfRule>
    <cfRule type="expression" dxfId="5332" priority="418">
      <formula>AND(IF($Q99=3,1,IF($Q99=4,1,0)),IF($F99&lt;=85,1,0))</formula>
    </cfRule>
  </conditionalFormatting>
  <conditionalFormatting sqref="AI99">
    <cfRule type="expression" dxfId="5331" priority="411">
      <formula>AND(IF(OR($Q99=1,$Q99=2),1,0),IF($X99&lt;=20,1,0))</formula>
    </cfRule>
    <cfRule type="expression" dxfId="5330" priority="412">
      <formula>AND(IF($Q99=2,1,0),IF($X99&lt;30,1,0))</formula>
    </cfRule>
    <cfRule type="expression" dxfId="5329" priority="413">
      <formula>AND(IF($Q99=3,1,0),IF($X99&lt;30,1,0))</formula>
    </cfRule>
    <cfRule type="expression" dxfId="5328" priority="414">
      <formula>AND(IF($Q99=3,1,IF($Q99=4,1,0)),IF($F99&lt;=85,1,0))</formula>
    </cfRule>
  </conditionalFormatting>
  <conditionalFormatting sqref="AV100">
    <cfRule type="expression" dxfId="5327" priority="409">
      <formula>AV100="X"</formula>
    </cfRule>
    <cfRule type="expression" dxfId="5326" priority="410">
      <formula>AV100="후보"</formula>
    </cfRule>
  </conditionalFormatting>
  <conditionalFormatting sqref="AC100 N100">
    <cfRule type="cellIs" dxfId="5325" priority="406" operator="greaterThan">
      <formula>0.9</formula>
    </cfRule>
    <cfRule type="cellIs" dxfId="5324" priority="407" operator="greaterThan">
      <formula>0.85</formula>
    </cfRule>
  </conditionalFormatting>
  <conditionalFormatting sqref="AV101">
    <cfRule type="expression" dxfId="5323" priority="404">
      <formula>AV101="X"</formula>
    </cfRule>
    <cfRule type="expression" dxfId="5322" priority="405">
      <formula>AV101="후보"</formula>
    </cfRule>
  </conditionalFormatting>
  <conditionalFormatting sqref="AC101">
    <cfRule type="cellIs" dxfId="5321" priority="401" operator="greaterThan">
      <formula>0.9</formula>
    </cfRule>
    <cfRule type="cellIs" dxfId="5320" priority="402" operator="greaterThan">
      <formula>0.85</formula>
    </cfRule>
  </conditionalFormatting>
  <conditionalFormatting sqref="N101">
    <cfRule type="cellIs" dxfId="5319" priority="399" operator="greaterThan">
      <formula>0.9</formula>
    </cfRule>
    <cfRule type="cellIs" dxfId="5318" priority="400" operator="greaterThan">
      <formula>0.85</formula>
    </cfRule>
  </conditionalFormatting>
  <conditionalFormatting sqref="E101">
    <cfRule type="expression" dxfId="5317" priority="395">
      <formula>AND(IF(OR($Q101=1,$Q101=2),1,0),IF($X101&lt;=20,1,0))</formula>
    </cfRule>
    <cfRule type="expression" dxfId="5316" priority="396">
      <formula>AND(IF($Q101=2,1,0),IF($X101&lt;30,1,0))</formula>
    </cfRule>
    <cfRule type="expression" dxfId="5315" priority="397">
      <formula>AND(IF($Q101=3,1,0),IF($X101&lt;30,1,0))</formula>
    </cfRule>
    <cfRule type="expression" dxfId="5314" priority="398">
      <formula>AND(IF($Q101=3,1,IF($Q101=4,1,0)),IF($F101&lt;=85,1,0))</formula>
    </cfRule>
  </conditionalFormatting>
  <conditionalFormatting sqref="X101">
    <cfRule type="expression" dxfId="5313" priority="391">
      <formula>AND(IF(OR($Q101=1,$Q101=2),1,0),IF($X101&lt;=20,1,0))</formula>
    </cfRule>
    <cfRule type="expression" dxfId="5312" priority="392">
      <formula>AND(IF($Q101=2,1,0),IF($X101&lt;30,1,0))</formula>
    </cfRule>
    <cfRule type="expression" dxfId="5311" priority="393">
      <formula>AND(IF($Q101=3,1,0),IF($X101&lt;30,1,0))</formula>
    </cfRule>
    <cfRule type="expression" dxfId="5310" priority="394">
      <formula>AND(IF($Q101=3,1,IF($Q101=4,1,0)),IF($F101&lt;=85,1,0))</formula>
    </cfRule>
  </conditionalFormatting>
  <conditionalFormatting sqref="AI101">
    <cfRule type="expression" dxfId="5309" priority="387">
      <formula>AND(IF(OR($Q101=1,$Q101=2),1,0),IF($X101&lt;=20,1,0))</formula>
    </cfRule>
    <cfRule type="expression" dxfId="5308" priority="388">
      <formula>AND(IF($Q101=2,1,0),IF($X101&lt;30,1,0))</formula>
    </cfRule>
    <cfRule type="expression" dxfId="5307" priority="389">
      <formula>AND(IF($Q101=3,1,0),IF($X101&lt;30,1,0))</formula>
    </cfRule>
    <cfRule type="expression" dxfId="5306" priority="390">
      <formula>AND(IF($Q101=3,1,IF($Q101=4,1,0)),IF($F101&lt;=85,1,0))</formula>
    </cfRule>
  </conditionalFormatting>
  <conditionalFormatting sqref="AV102">
    <cfRule type="expression" dxfId="5305" priority="385">
      <formula>AV102="X"</formula>
    </cfRule>
    <cfRule type="expression" dxfId="5304" priority="386">
      <formula>AV102="후보"</formula>
    </cfRule>
  </conditionalFormatting>
  <conditionalFormatting sqref="AC102">
    <cfRule type="cellIs" dxfId="5303" priority="382" operator="greaterThan">
      <formula>0.9</formula>
    </cfRule>
    <cfRule type="cellIs" dxfId="5302" priority="383" operator="greaterThan">
      <formula>0.85</formula>
    </cfRule>
  </conditionalFormatting>
  <conditionalFormatting sqref="N102">
    <cfRule type="cellIs" dxfId="5301" priority="380" operator="greaterThan">
      <formula>0.9</formula>
    </cfRule>
    <cfRule type="cellIs" dxfId="5300" priority="381" operator="greaterThan">
      <formula>0.85</formula>
    </cfRule>
  </conditionalFormatting>
  <conditionalFormatting sqref="E102">
    <cfRule type="expression" dxfId="5299" priority="376">
      <formula>AND(IF(OR($Q102=1,$Q102=2),1,0),IF($X102&lt;=20,1,0))</formula>
    </cfRule>
    <cfRule type="expression" dxfId="5298" priority="377">
      <formula>AND(IF($Q102=2,1,0),IF($X102&lt;30,1,0))</formula>
    </cfRule>
    <cfRule type="expression" dxfId="5297" priority="378">
      <formula>AND(IF($Q102=3,1,0),IF($X102&lt;30,1,0))</formula>
    </cfRule>
    <cfRule type="expression" dxfId="5296" priority="379">
      <formula>AND(IF($Q102=3,1,IF($Q102=4,1,0)),IF($F102&lt;=85,1,0))</formula>
    </cfRule>
  </conditionalFormatting>
  <conditionalFormatting sqref="X102">
    <cfRule type="expression" dxfId="5295" priority="372">
      <formula>AND(IF(OR($Q102=1,$Q102=2),1,0),IF($X102&lt;=20,1,0))</formula>
    </cfRule>
    <cfRule type="expression" dxfId="5294" priority="373">
      <formula>AND(IF($Q102=2,1,0),IF($X102&lt;30,1,0))</formula>
    </cfRule>
    <cfRule type="expression" dxfId="5293" priority="374">
      <formula>AND(IF($Q102=3,1,0),IF($X102&lt;30,1,0))</formula>
    </cfRule>
    <cfRule type="expression" dxfId="5292" priority="375">
      <formula>AND(IF($Q102=3,1,IF($Q102=4,1,0)),IF($F102&lt;=85,1,0))</formula>
    </cfRule>
  </conditionalFormatting>
  <conditionalFormatting sqref="AI102">
    <cfRule type="expression" dxfId="5291" priority="368">
      <formula>AND(IF(OR($Q102=1,$Q102=2),1,0),IF($X102&lt;=20,1,0))</formula>
    </cfRule>
    <cfRule type="expression" dxfId="5290" priority="369">
      <formula>AND(IF($Q102=2,1,0),IF($X102&lt;30,1,0))</formula>
    </cfRule>
    <cfRule type="expression" dxfId="5289" priority="370">
      <formula>AND(IF($Q102=3,1,0),IF($X102&lt;30,1,0))</formula>
    </cfRule>
    <cfRule type="expression" dxfId="5288" priority="371">
      <formula>AND(IF($Q102=3,1,IF($Q102=4,1,0)),IF($F102&lt;=85,1,0))</formula>
    </cfRule>
  </conditionalFormatting>
  <conditionalFormatting sqref="AV103">
    <cfRule type="expression" dxfId="5287" priority="366">
      <formula>AV103="X"</formula>
    </cfRule>
    <cfRule type="expression" dxfId="5286" priority="367">
      <formula>AV103="후보"</formula>
    </cfRule>
  </conditionalFormatting>
  <conditionalFormatting sqref="AC103">
    <cfRule type="cellIs" dxfId="5285" priority="363" operator="greaterThan">
      <formula>0.9</formula>
    </cfRule>
    <cfRule type="cellIs" dxfId="5284" priority="364" operator="greaterThan">
      <formula>0.85</formula>
    </cfRule>
  </conditionalFormatting>
  <conditionalFormatting sqref="N103">
    <cfRule type="cellIs" dxfId="5283" priority="361" operator="greaterThan">
      <formula>0.9</formula>
    </cfRule>
    <cfRule type="cellIs" dxfId="5282" priority="362" operator="greaterThan">
      <formula>0.85</formula>
    </cfRule>
  </conditionalFormatting>
  <conditionalFormatting sqref="E103">
    <cfRule type="expression" dxfId="5281" priority="357">
      <formula>AND(IF(OR($Q103=1,$Q103=2),1,0),IF($X103&lt;=20,1,0))</formula>
    </cfRule>
    <cfRule type="expression" dxfId="5280" priority="358">
      <formula>AND(IF($Q103=2,1,0),IF($X103&lt;30,1,0))</formula>
    </cfRule>
    <cfRule type="expression" dxfId="5279" priority="359">
      <formula>AND(IF($Q103=3,1,0),IF($X103&lt;30,1,0))</formula>
    </cfRule>
    <cfRule type="expression" dxfId="5278" priority="360">
      <formula>AND(IF($Q103=3,1,IF($Q103=4,1,0)),IF($F103&lt;=85,1,0))</formula>
    </cfRule>
  </conditionalFormatting>
  <conditionalFormatting sqref="X103">
    <cfRule type="expression" dxfId="5277" priority="353">
      <formula>AND(IF(OR($Q103=1,$Q103=2),1,0),IF($X103&lt;=20,1,0))</formula>
    </cfRule>
    <cfRule type="expression" dxfId="5276" priority="354">
      <formula>AND(IF($Q103=2,1,0),IF($X103&lt;30,1,0))</formula>
    </cfRule>
    <cfRule type="expression" dxfId="5275" priority="355">
      <formula>AND(IF($Q103=3,1,0),IF($X103&lt;30,1,0))</formula>
    </cfRule>
    <cfRule type="expression" dxfId="5274" priority="356">
      <formula>AND(IF($Q103=3,1,IF($Q103=4,1,0)),IF($F103&lt;=85,1,0))</formula>
    </cfRule>
  </conditionalFormatting>
  <conditionalFormatting sqref="AI103">
    <cfRule type="expression" dxfId="5273" priority="349">
      <formula>AND(IF(OR($Q103=1,$Q103=2),1,0),IF($X103&lt;=20,1,0))</formula>
    </cfRule>
    <cfRule type="expression" dxfId="5272" priority="350">
      <formula>AND(IF($Q103=2,1,0),IF($X103&lt;30,1,0))</formula>
    </cfRule>
    <cfRule type="expression" dxfId="5271" priority="351">
      <formula>AND(IF($Q103=3,1,0),IF($X103&lt;30,1,0))</formula>
    </cfRule>
    <cfRule type="expression" dxfId="5270" priority="352">
      <formula>AND(IF($Q103=3,1,IF($Q103=4,1,0)),IF($F103&lt;=85,1,0))</formula>
    </cfRule>
  </conditionalFormatting>
  <conditionalFormatting sqref="AV104">
    <cfRule type="expression" dxfId="5269" priority="347">
      <formula>AV104="X"</formula>
    </cfRule>
    <cfRule type="expression" dxfId="5268" priority="348">
      <formula>AV104="후보"</formula>
    </cfRule>
  </conditionalFormatting>
  <conditionalFormatting sqref="AC104 N104">
    <cfRule type="cellIs" dxfId="5267" priority="344" operator="greaterThan">
      <formula>0.9</formula>
    </cfRule>
    <cfRule type="cellIs" dxfId="5266" priority="345" operator="greaterThan">
      <formula>0.85</formula>
    </cfRule>
  </conditionalFormatting>
  <conditionalFormatting sqref="AV105">
    <cfRule type="expression" dxfId="5265" priority="342">
      <formula>AV105="X"</formula>
    </cfRule>
    <cfRule type="expression" dxfId="5264" priority="343">
      <formula>AV105="후보"</formula>
    </cfRule>
  </conditionalFormatting>
  <conditionalFormatting sqref="AC105">
    <cfRule type="cellIs" dxfId="5263" priority="339" operator="greaterThan">
      <formula>0.9</formula>
    </cfRule>
    <cfRule type="cellIs" dxfId="5262" priority="340" operator="greaterThan">
      <formula>0.85</formula>
    </cfRule>
  </conditionalFormatting>
  <conditionalFormatting sqref="N105">
    <cfRule type="cellIs" dxfId="5261" priority="337" operator="greaterThan">
      <formula>0.9</formula>
    </cfRule>
    <cfRule type="cellIs" dxfId="5260" priority="338" operator="greaterThan">
      <formula>0.85</formula>
    </cfRule>
  </conditionalFormatting>
  <conditionalFormatting sqref="E105">
    <cfRule type="expression" dxfId="5259" priority="333">
      <formula>AND(IF(OR($Q105=1,$Q105=2),1,0),IF($X105&lt;=20,1,0))</formula>
    </cfRule>
    <cfRule type="expression" dxfId="5258" priority="334">
      <formula>AND(IF($Q105=2,1,0),IF($X105&lt;30,1,0))</formula>
    </cfRule>
    <cfRule type="expression" dxfId="5257" priority="335">
      <formula>AND(IF($Q105=3,1,0),IF($X105&lt;30,1,0))</formula>
    </cfRule>
    <cfRule type="expression" dxfId="5256" priority="336">
      <formula>AND(IF($Q105=3,1,IF($Q105=4,1,0)),IF($F105&lt;=85,1,0))</formula>
    </cfRule>
  </conditionalFormatting>
  <conditionalFormatting sqref="X105">
    <cfRule type="expression" dxfId="5255" priority="329">
      <formula>AND(IF(OR($Q105=1,$Q105=2),1,0),IF($X105&lt;=20,1,0))</formula>
    </cfRule>
    <cfRule type="expression" dxfId="5254" priority="330">
      <formula>AND(IF($Q105=2,1,0),IF($X105&lt;30,1,0))</formula>
    </cfRule>
    <cfRule type="expression" dxfId="5253" priority="331">
      <formula>AND(IF($Q105=3,1,0),IF($X105&lt;30,1,0))</formula>
    </cfRule>
    <cfRule type="expression" dxfId="5252" priority="332">
      <formula>AND(IF($Q105=3,1,IF($Q105=4,1,0)),IF($F105&lt;=85,1,0))</formula>
    </cfRule>
  </conditionalFormatting>
  <conditionalFormatting sqref="AI105">
    <cfRule type="expression" dxfId="5251" priority="325">
      <formula>AND(IF(OR($Q105=1,$Q105=2),1,0),IF($X105&lt;=20,1,0))</formula>
    </cfRule>
    <cfRule type="expression" dxfId="5250" priority="326">
      <formula>AND(IF($Q105=2,1,0),IF($X105&lt;30,1,0))</formula>
    </cfRule>
    <cfRule type="expression" dxfId="5249" priority="327">
      <formula>AND(IF($Q105=3,1,0),IF($X105&lt;30,1,0))</formula>
    </cfRule>
    <cfRule type="expression" dxfId="5248" priority="328">
      <formula>AND(IF($Q105=3,1,IF($Q105=4,1,0)),IF($F105&lt;=85,1,0))</formula>
    </cfRule>
  </conditionalFormatting>
  <conditionalFormatting sqref="AV106">
    <cfRule type="expression" dxfId="5247" priority="323">
      <formula>AV106="X"</formula>
    </cfRule>
    <cfRule type="expression" dxfId="5246" priority="324">
      <formula>AV106="후보"</formula>
    </cfRule>
  </conditionalFormatting>
  <conditionalFormatting sqref="AC106">
    <cfRule type="cellIs" dxfId="5245" priority="320" operator="greaterThan">
      <formula>0.9</formula>
    </cfRule>
    <cfRule type="cellIs" dxfId="5244" priority="321" operator="greaterThan">
      <formula>0.85</formula>
    </cfRule>
  </conditionalFormatting>
  <conditionalFormatting sqref="N106">
    <cfRule type="cellIs" dxfId="5243" priority="318" operator="greaterThan">
      <formula>0.9</formula>
    </cfRule>
    <cfRule type="cellIs" dxfId="5242" priority="319" operator="greaterThan">
      <formula>0.85</formula>
    </cfRule>
  </conditionalFormatting>
  <conditionalFormatting sqref="E106">
    <cfRule type="expression" dxfId="5241" priority="314">
      <formula>AND(IF(OR($Q106=1,$Q106=2),1,0),IF($X106&lt;=20,1,0))</formula>
    </cfRule>
    <cfRule type="expression" dxfId="5240" priority="315">
      <formula>AND(IF($Q106=2,1,0),IF($X106&lt;30,1,0))</formula>
    </cfRule>
    <cfRule type="expression" dxfId="5239" priority="316">
      <formula>AND(IF($Q106=3,1,0),IF($X106&lt;30,1,0))</formula>
    </cfRule>
    <cfRule type="expression" dxfId="5238" priority="317">
      <formula>AND(IF($Q106=3,1,IF($Q106=4,1,0)),IF($F106&lt;=85,1,0))</formula>
    </cfRule>
  </conditionalFormatting>
  <conditionalFormatting sqref="X106">
    <cfRule type="expression" dxfId="5237" priority="310">
      <formula>AND(IF(OR($Q106=1,$Q106=2),1,0),IF($X106&lt;=20,1,0))</formula>
    </cfRule>
    <cfRule type="expression" dxfId="5236" priority="311">
      <formula>AND(IF($Q106=2,1,0),IF($X106&lt;30,1,0))</formula>
    </cfRule>
    <cfRule type="expression" dxfId="5235" priority="312">
      <formula>AND(IF($Q106=3,1,0),IF($X106&lt;30,1,0))</formula>
    </cfRule>
    <cfRule type="expression" dxfId="5234" priority="313">
      <formula>AND(IF($Q106=3,1,IF($Q106=4,1,0)),IF($F106&lt;=85,1,0))</formula>
    </cfRule>
  </conditionalFormatting>
  <conditionalFormatting sqref="AI106">
    <cfRule type="expression" dxfId="5233" priority="306">
      <formula>AND(IF(OR($Q106=1,$Q106=2),1,0),IF($X106&lt;=20,1,0))</formula>
    </cfRule>
    <cfRule type="expression" dxfId="5232" priority="307">
      <formula>AND(IF($Q106=2,1,0),IF($X106&lt;30,1,0))</formula>
    </cfRule>
    <cfRule type="expression" dxfId="5231" priority="308">
      <formula>AND(IF($Q106=3,1,0),IF($X106&lt;30,1,0))</formula>
    </cfRule>
    <cfRule type="expression" dxfId="5230" priority="309">
      <formula>AND(IF($Q106=3,1,IF($Q106=4,1,0)),IF($F106&lt;=85,1,0))</formula>
    </cfRule>
  </conditionalFormatting>
  <conditionalFormatting sqref="AV107">
    <cfRule type="expression" dxfId="5229" priority="304">
      <formula>AV107="X"</formula>
    </cfRule>
    <cfRule type="expression" dxfId="5228" priority="305">
      <formula>AV107="후보"</formula>
    </cfRule>
  </conditionalFormatting>
  <conditionalFormatting sqref="AC107 N107">
    <cfRule type="cellIs" dxfId="5227" priority="301" operator="greaterThan">
      <formula>0.9</formula>
    </cfRule>
    <cfRule type="cellIs" dxfId="5226" priority="302" operator="greaterThan">
      <formula>0.85</formula>
    </cfRule>
  </conditionalFormatting>
  <conditionalFormatting sqref="AV108">
    <cfRule type="expression" dxfId="5225" priority="299">
      <formula>AV108="X"</formula>
    </cfRule>
    <cfRule type="expression" dxfId="5224" priority="300">
      <formula>AV108="후보"</formula>
    </cfRule>
  </conditionalFormatting>
  <conditionalFormatting sqref="AC108">
    <cfRule type="cellIs" dxfId="5223" priority="296" operator="greaterThan">
      <formula>0.9</formula>
    </cfRule>
    <cfRule type="cellIs" dxfId="5222" priority="297" operator="greaterThan">
      <formula>0.85</formula>
    </cfRule>
  </conditionalFormatting>
  <conditionalFormatting sqref="N108">
    <cfRule type="cellIs" dxfId="5221" priority="294" operator="greaterThan">
      <formula>0.9</formula>
    </cfRule>
    <cfRule type="cellIs" dxfId="5220" priority="295" operator="greaterThan">
      <formula>0.85</formula>
    </cfRule>
  </conditionalFormatting>
  <conditionalFormatting sqref="E108">
    <cfRule type="expression" dxfId="5219" priority="290">
      <formula>AND(IF(OR($Q108=1,$Q108=2),1,0),IF($X108&lt;=20,1,0))</formula>
    </cfRule>
    <cfRule type="expression" dxfId="5218" priority="291">
      <formula>AND(IF($Q108=2,1,0),IF($X108&lt;30,1,0))</formula>
    </cfRule>
    <cfRule type="expression" dxfId="5217" priority="292">
      <formula>AND(IF($Q108=3,1,0),IF($X108&lt;30,1,0))</formula>
    </cfRule>
    <cfRule type="expression" dxfId="5216" priority="293">
      <formula>AND(IF($Q108=3,1,IF($Q108=4,1,0)),IF($F108&lt;=85,1,0))</formula>
    </cfRule>
  </conditionalFormatting>
  <conditionalFormatting sqref="X108">
    <cfRule type="expression" dxfId="5215" priority="286">
      <formula>AND(IF(OR($Q108=1,$Q108=2),1,0),IF($X108&lt;=20,1,0))</formula>
    </cfRule>
    <cfRule type="expression" dxfId="5214" priority="287">
      <formula>AND(IF($Q108=2,1,0),IF($X108&lt;30,1,0))</formula>
    </cfRule>
    <cfRule type="expression" dxfId="5213" priority="288">
      <formula>AND(IF($Q108=3,1,0),IF($X108&lt;30,1,0))</formula>
    </cfRule>
    <cfRule type="expression" dxfId="5212" priority="289">
      <formula>AND(IF($Q108=3,1,IF($Q108=4,1,0)),IF($F108&lt;=85,1,0))</formula>
    </cfRule>
  </conditionalFormatting>
  <conditionalFormatting sqref="AI108">
    <cfRule type="expression" dxfId="5211" priority="282">
      <formula>AND(IF(OR($Q108=1,$Q108=2),1,0),IF($X108&lt;=20,1,0))</formula>
    </cfRule>
    <cfRule type="expression" dxfId="5210" priority="283">
      <formula>AND(IF($Q108=2,1,0),IF($X108&lt;30,1,0))</formula>
    </cfRule>
    <cfRule type="expression" dxfId="5209" priority="284">
      <formula>AND(IF($Q108=3,1,0),IF($X108&lt;30,1,0))</formula>
    </cfRule>
    <cfRule type="expression" dxfId="5208" priority="285">
      <formula>AND(IF($Q108=3,1,IF($Q108=4,1,0)),IF($F108&lt;=85,1,0))</formula>
    </cfRule>
  </conditionalFormatting>
  <conditionalFormatting sqref="AV109">
    <cfRule type="expression" dxfId="5207" priority="280">
      <formula>AV109="X"</formula>
    </cfRule>
    <cfRule type="expression" dxfId="5206" priority="281">
      <formula>AV109="후보"</formula>
    </cfRule>
  </conditionalFormatting>
  <conditionalFormatting sqref="AC109">
    <cfRule type="cellIs" dxfId="5205" priority="277" operator="greaterThan">
      <formula>0.9</formula>
    </cfRule>
    <cfRule type="cellIs" dxfId="5204" priority="278" operator="greaterThan">
      <formula>0.85</formula>
    </cfRule>
  </conditionalFormatting>
  <conditionalFormatting sqref="N109">
    <cfRule type="cellIs" dxfId="5203" priority="275" operator="greaterThan">
      <formula>0.9</formula>
    </cfRule>
    <cfRule type="cellIs" dxfId="5202" priority="276" operator="greaterThan">
      <formula>0.85</formula>
    </cfRule>
  </conditionalFormatting>
  <conditionalFormatting sqref="E109">
    <cfRule type="expression" dxfId="5201" priority="271">
      <formula>AND(IF(OR($Q109=1,$Q109=2),1,0),IF($X109&lt;=20,1,0))</formula>
    </cfRule>
    <cfRule type="expression" dxfId="5200" priority="272">
      <formula>AND(IF($Q109=2,1,0),IF($X109&lt;30,1,0))</formula>
    </cfRule>
    <cfRule type="expression" dxfId="5199" priority="273">
      <formula>AND(IF($Q109=3,1,0),IF($X109&lt;30,1,0))</formula>
    </cfRule>
    <cfRule type="expression" dxfId="5198" priority="274">
      <formula>AND(IF($Q109=3,1,IF($Q109=4,1,0)),IF($F109&lt;=85,1,0))</formula>
    </cfRule>
  </conditionalFormatting>
  <conditionalFormatting sqref="X109">
    <cfRule type="expression" dxfId="5197" priority="267">
      <formula>AND(IF(OR($Q109=1,$Q109=2),1,0),IF($X109&lt;=20,1,0))</formula>
    </cfRule>
    <cfRule type="expression" dxfId="5196" priority="268">
      <formula>AND(IF($Q109=2,1,0),IF($X109&lt;30,1,0))</formula>
    </cfRule>
    <cfRule type="expression" dxfId="5195" priority="269">
      <formula>AND(IF($Q109=3,1,0),IF($X109&lt;30,1,0))</formula>
    </cfRule>
    <cfRule type="expression" dxfId="5194" priority="270">
      <formula>AND(IF($Q109=3,1,IF($Q109=4,1,0)),IF($F109&lt;=85,1,0))</formula>
    </cfRule>
  </conditionalFormatting>
  <conditionalFormatting sqref="AI109">
    <cfRule type="expression" dxfId="5193" priority="263">
      <formula>AND(IF(OR($Q109=1,$Q109=2),1,0),IF($X109&lt;=20,1,0))</formula>
    </cfRule>
    <cfRule type="expression" dxfId="5192" priority="264">
      <formula>AND(IF($Q109=2,1,0),IF($X109&lt;30,1,0))</formula>
    </cfRule>
    <cfRule type="expression" dxfId="5191" priority="265">
      <formula>AND(IF($Q109=3,1,0),IF($X109&lt;30,1,0))</formula>
    </cfRule>
    <cfRule type="expression" dxfId="5190" priority="266">
      <formula>AND(IF($Q109=3,1,IF($Q109=4,1,0)),IF($F109&lt;=85,1,0))</formula>
    </cfRule>
  </conditionalFormatting>
  <conditionalFormatting sqref="AV110">
    <cfRule type="expression" dxfId="5189" priority="261">
      <formula>AV110="X"</formula>
    </cfRule>
    <cfRule type="expression" dxfId="5188" priority="262">
      <formula>AV110="후보"</formula>
    </cfRule>
  </conditionalFormatting>
  <conditionalFormatting sqref="AC110">
    <cfRule type="cellIs" dxfId="5187" priority="258" operator="greaterThan">
      <formula>0.9</formula>
    </cfRule>
    <cfRule type="cellIs" dxfId="5186" priority="259" operator="greaterThan">
      <formula>0.85</formula>
    </cfRule>
  </conditionalFormatting>
  <conditionalFormatting sqref="N110">
    <cfRule type="cellIs" dxfId="5185" priority="256" operator="greaterThan">
      <formula>0.9</formula>
    </cfRule>
    <cfRule type="cellIs" dxfId="5184" priority="257" operator="greaterThan">
      <formula>0.85</formula>
    </cfRule>
  </conditionalFormatting>
  <conditionalFormatting sqref="E110">
    <cfRule type="expression" dxfId="5183" priority="252">
      <formula>AND(IF(OR($Q110=1,$Q110=2),1,0),IF($X110&lt;=20,1,0))</formula>
    </cfRule>
    <cfRule type="expression" dxfId="5182" priority="253">
      <formula>AND(IF($Q110=2,1,0),IF($X110&lt;30,1,0))</formula>
    </cfRule>
    <cfRule type="expression" dxfId="5181" priority="254">
      <formula>AND(IF($Q110=3,1,0),IF($X110&lt;30,1,0))</formula>
    </cfRule>
    <cfRule type="expression" dxfId="5180" priority="255">
      <formula>AND(IF($Q110=3,1,IF($Q110=4,1,0)),IF($F110&lt;=85,1,0))</formula>
    </cfRule>
  </conditionalFormatting>
  <conditionalFormatting sqref="X110">
    <cfRule type="expression" dxfId="5179" priority="248">
      <formula>AND(IF(OR($Q110=1,$Q110=2),1,0),IF($X110&lt;=20,1,0))</formula>
    </cfRule>
    <cfRule type="expression" dxfId="5178" priority="249">
      <formula>AND(IF($Q110=2,1,0),IF($X110&lt;30,1,0))</formula>
    </cfRule>
    <cfRule type="expression" dxfId="5177" priority="250">
      <formula>AND(IF($Q110=3,1,0),IF($X110&lt;30,1,0))</formula>
    </cfRule>
    <cfRule type="expression" dxfId="5176" priority="251">
      <formula>AND(IF($Q110=3,1,IF($Q110=4,1,0)),IF($F110&lt;=85,1,0))</formula>
    </cfRule>
  </conditionalFormatting>
  <conditionalFormatting sqref="AI110">
    <cfRule type="expression" dxfId="5175" priority="244">
      <formula>AND(IF(OR($Q110=1,$Q110=2),1,0),IF($X110&lt;=20,1,0))</formula>
    </cfRule>
    <cfRule type="expression" dxfId="5174" priority="245">
      <formula>AND(IF($Q110=2,1,0),IF($X110&lt;30,1,0))</formula>
    </cfRule>
    <cfRule type="expression" dxfId="5173" priority="246">
      <formula>AND(IF($Q110=3,1,0),IF($X110&lt;30,1,0))</formula>
    </cfRule>
    <cfRule type="expression" dxfId="5172" priority="247">
      <formula>AND(IF($Q110=3,1,IF($Q110=4,1,0)),IF($F110&lt;=85,1,0))</formula>
    </cfRule>
  </conditionalFormatting>
  <conditionalFormatting sqref="AV111">
    <cfRule type="expression" dxfId="5171" priority="242">
      <formula>AV111="X"</formula>
    </cfRule>
    <cfRule type="expression" dxfId="5170" priority="243">
      <formula>AV111="후보"</formula>
    </cfRule>
  </conditionalFormatting>
  <conditionalFormatting sqref="AC111">
    <cfRule type="cellIs" dxfId="5169" priority="239" operator="greaterThan">
      <formula>0.9</formula>
    </cfRule>
    <cfRule type="cellIs" dxfId="5168" priority="240" operator="greaterThan">
      <formula>0.85</formula>
    </cfRule>
  </conditionalFormatting>
  <conditionalFormatting sqref="N111">
    <cfRule type="cellIs" dxfId="5167" priority="237" operator="greaterThan">
      <formula>0.9</formula>
    </cfRule>
    <cfRule type="cellIs" dxfId="5166" priority="238" operator="greaterThan">
      <formula>0.85</formula>
    </cfRule>
  </conditionalFormatting>
  <conditionalFormatting sqref="E111">
    <cfRule type="expression" dxfId="5165" priority="233">
      <formula>AND(IF(OR($Q111=1,$Q111=2),1,0),IF($X111&lt;=20,1,0))</formula>
    </cfRule>
    <cfRule type="expression" dxfId="5164" priority="234">
      <formula>AND(IF($Q111=2,1,0),IF($X111&lt;30,1,0))</formula>
    </cfRule>
    <cfRule type="expression" dxfId="5163" priority="235">
      <formula>AND(IF($Q111=3,1,0),IF($X111&lt;30,1,0))</formula>
    </cfRule>
    <cfRule type="expression" dxfId="5162" priority="236">
      <formula>AND(IF($Q111=3,1,IF($Q111=4,1,0)),IF($F111&lt;=85,1,0))</formula>
    </cfRule>
  </conditionalFormatting>
  <conditionalFormatting sqref="X111">
    <cfRule type="expression" dxfId="5161" priority="229">
      <formula>AND(IF(OR($Q111=1,$Q111=2),1,0),IF($X111&lt;=20,1,0))</formula>
    </cfRule>
    <cfRule type="expression" dxfId="5160" priority="230">
      <formula>AND(IF($Q111=2,1,0),IF($X111&lt;30,1,0))</formula>
    </cfRule>
    <cfRule type="expression" dxfId="5159" priority="231">
      <formula>AND(IF($Q111=3,1,0),IF($X111&lt;30,1,0))</formula>
    </cfRule>
    <cfRule type="expression" dxfId="5158" priority="232">
      <formula>AND(IF($Q111=3,1,IF($Q111=4,1,0)),IF($F111&lt;=85,1,0))</formula>
    </cfRule>
  </conditionalFormatting>
  <conditionalFormatting sqref="AI111">
    <cfRule type="expression" dxfId="5157" priority="225">
      <formula>AND(IF(OR($Q111=1,$Q111=2),1,0),IF($X111&lt;=20,1,0))</formula>
    </cfRule>
    <cfRule type="expression" dxfId="5156" priority="226">
      <formula>AND(IF($Q111=2,1,0),IF($X111&lt;30,1,0))</formula>
    </cfRule>
    <cfRule type="expression" dxfId="5155" priority="227">
      <formula>AND(IF($Q111=3,1,0),IF($X111&lt;30,1,0))</formula>
    </cfRule>
    <cfRule type="expression" dxfId="5154" priority="228">
      <formula>AND(IF($Q111=3,1,IF($Q111=4,1,0)),IF($F111&lt;=85,1,0))</formula>
    </cfRule>
  </conditionalFormatting>
  <conditionalFormatting sqref="AV112">
    <cfRule type="expression" dxfId="5153" priority="223">
      <formula>AV112="X"</formula>
    </cfRule>
    <cfRule type="expression" dxfId="5152" priority="224">
      <formula>AV112="후보"</formula>
    </cfRule>
  </conditionalFormatting>
  <conditionalFormatting sqref="AC112 N112">
    <cfRule type="cellIs" dxfId="5151" priority="220" operator="greaterThan">
      <formula>0.9</formula>
    </cfRule>
    <cfRule type="cellIs" dxfId="5150" priority="221" operator="greaterThan">
      <formula>0.85</formula>
    </cfRule>
  </conditionalFormatting>
  <conditionalFormatting sqref="AV113">
    <cfRule type="expression" dxfId="5149" priority="218">
      <formula>AV113="X"</formula>
    </cfRule>
    <cfRule type="expression" dxfId="5148" priority="219">
      <formula>AV113="후보"</formula>
    </cfRule>
  </conditionalFormatting>
  <conditionalFormatting sqref="AC113">
    <cfRule type="cellIs" dxfId="5147" priority="215" operator="greaterThan">
      <formula>0.9</formula>
    </cfRule>
    <cfRule type="cellIs" dxfId="5146" priority="216" operator="greaterThan">
      <formula>0.85</formula>
    </cfRule>
  </conditionalFormatting>
  <conditionalFormatting sqref="N113">
    <cfRule type="cellIs" dxfId="5145" priority="213" operator="greaterThan">
      <formula>0.9</formula>
    </cfRule>
    <cfRule type="cellIs" dxfId="5144" priority="214" operator="greaterThan">
      <formula>0.85</formula>
    </cfRule>
  </conditionalFormatting>
  <conditionalFormatting sqref="E113">
    <cfRule type="expression" dxfId="5143" priority="209">
      <formula>AND(IF(OR($Q113=1,$Q113=2),1,0),IF($X113&lt;=20,1,0))</formula>
    </cfRule>
    <cfRule type="expression" dxfId="5142" priority="210">
      <formula>AND(IF($Q113=2,1,0),IF($X113&lt;30,1,0))</formula>
    </cfRule>
    <cfRule type="expression" dxfId="5141" priority="211">
      <formula>AND(IF($Q113=3,1,0),IF($X113&lt;30,1,0))</formula>
    </cfRule>
    <cfRule type="expression" dxfId="5140" priority="212">
      <formula>AND(IF($Q113=3,1,IF($Q113=4,1,0)),IF($F113&lt;=85,1,0))</formula>
    </cfRule>
  </conditionalFormatting>
  <conditionalFormatting sqref="X113">
    <cfRule type="expression" dxfId="5139" priority="205">
      <formula>AND(IF(OR($Q113=1,$Q113=2),1,0),IF($X113&lt;=20,1,0))</formula>
    </cfRule>
    <cfRule type="expression" dxfId="5138" priority="206">
      <formula>AND(IF($Q113=2,1,0),IF($X113&lt;30,1,0))</formula>
    </cfRule>
    <cfRule type="expression" dxfId="5137" priority="207">
      <formula>AND(IF($Q113=3,1,0),IF($X113&lt;30,1,0))</formula>
    </cfRule>
    <cfRule type="expression" dxfId="5136" priority="208">
      <formula>AND(IF($Q113=3,1,IF($Q113=4,1,0)),IF($F113&lt;=85,1,0))</formula>
    </cfRule>
  </conditionalFormatting>
  <conditionalFormatting sqref="AI113">
    <cfRule type="expression" dxfId="5135" priority="201">
      <formula>AND(IF(OR($Q113=1,$Q113=2),1,0),IF($X113&lt;=20,1,0))</formula>
    </cfRule>
    <cfRule type="expression" dxfId="5134" priority="202">
      <formula>AND(IF($Q113=2,1,0),IF($X113&lt;30,1,0))</formula>
    </cfRule>
    <cfRule type="expression" dxfId="5133" priority="203">
      <formula>AND(IF($Q113=3,1,0),IF($X113&lt;30,1,0))</formula>
    </cfRule>
    <cfRule type="expression" dxfId="5132" priority="204">
      <formula>AND(IF($Q113=3,1,IF($Q113=4,1,0)),IF($F113&lt;=85,1,0))</formula>
    </cfRule>
  </conditionalFormatting>
  <conditionalFormatting sqref="AV114">
    <cfRule type="expression" dxfId="5131" priority="199">
      <formula>AV114="X"</formula>
    </cfRule>
    <cfRule type="expression" dxfId="5130" priority="200">
      <formula>AV114="후보"</formula>
    </cfRule>
  </conditionalFormatting>
  <conditionalFormatting sqref="AC114">
    <cfRule type="cellIs" dxfId="5129" priority="196" operator="greaterThan">
      <formula>0.9</formula>
    </cfRule>
    <cfRule type="cellIs" dxfId="5128" priority="197" operator="greaterThan">
      <formula>0.85</formula>
    </cfRule>
  </conditionalFormatting>
  <conditionalFormatting sqref="N114">
    <cfRule type="cellIs" dxfId="5127" priority="194" operator="greaterThan">
      <formula>0.9</formula>
    </cfRule>
    <cfRule type="cellIs" dxfId="5126" priority="195" operator="greaterThan">
      <formula>0.85</formula>
    </cfRule>
  </conditionalFormatting>
  <conditionalFormatting sqref="E114">
    <cfRule type="expression" dxfId="5125" priority="190">
      <formula>AND(IF(OR($Q114=1,$Q114=2),1,0),IF($X114&lt;=20,1,0))</formula>
    </cfRule>
    <cfRule type="expression" dxfId="5124" priority="191">
      <formula>AND(IF($Q114=2,1,0),IF($X114&lt;30,1,0))</formula>
    </cfRule>
    <cfRule type="expression" dxfId="5123" priority="192">
      <formula>AND(IF($Q114=3,1,0),IF($X114&lt;30,1,0))</formula>
    </cfRule>
    <cfRule type="expression" dxfId="5122" priority="193">
      <formula>AND(IF($Q114=3,1,IF($Q114=4,1,0)),IF($F114&lt;=85,1,0))</formula>
    </cfRule>
  </conditionalFormatting>
  <conditionalFormatting sqref="X114">
    <cfRule type="expression" dxfId="5121" priority="186">
      <formula>AND(IF(OR($Q114=1,$Q114=2),1,0),IF($X114&lt;=20,1,0))</formula>
    </cfRule>
    <cfRule type="expression" dxfId="5120" priority="187">
      <formula>AND(IF($Q114=2,1,0),IF($X114&lt;30,1,0))</formula>
    </cfRule>
    <cfRule type="expression" dxfId="5119" priority="188">
      <formula>AND(IF($Q114=3,1,0),IF($X114&lt;30,1,0))</formula>
    </cfRule>
    <cfRule type="expression" dxfId="5118" priority="189">
      <formula>AND(IF($Q114=3,1,IF($Q114=4,1,0)),IF($F114&lt;=85,1,0))</formula>
    </cfRule>
  </conditionalFormatting>
  <conditionalFormatting sqref="AI114">
    <cfRule type="expression" dxfId="5117" priority="182">
      <formula>AND(IF(OR($Q114=1,$Q114=2),1,0),IF($X114&lt;=20,1,0))</formula>
    </cfRule>
    <cfRule type="expression" dxfId="5116" priority="183">
      <formula>AND(IF($Q114=2,1,0),IF($X114&lt;30,1,0))</formula>
    </cfRule>
    <cfRule type="expression" dxfId="5115" priority="184">
      <formula>AND(IF($Q114=3,1,0),IF($X114&lt;30,1,0))</formula>
    </cfRule>
    <cfRule type="expression" dxfId="5114" priority="185">
      <formula>AND(IF($Q114=3,1,IF($Q114=4,1,0)),IF($F114&lt;=85,1,0))</formula>
    </cfRule>
  </conditionalFormatting>
  <conditionalFormatting sqref="AV115">
    <cfRule type="expression" dxfId="5113" priority="180">
      <formula>AV115="X"</formula>
    </cfRule>
    <cfRule type="expression" dxfId="5112" priority="181">
      <formula>AV115="후보"</formula>
    </cfRule>
  </conditionalFormatting>
  <conditionalFormatting sqref="AC115 N115">
    <cfRule type="cellIs" dxfId="5111" priority="177" operator="greaterThan">
      <formula>0.9</formula>
    </cfRule>
    <cfRule type="cellIs" dxfId="5110" priority="178" operator="greaterThan">
      <formula>0.85</formula>
    </cfRule>
  </conditionalFormatting>
  <conditionalFormatting sqref="AV116">
    <cfRule type="expression" dxfId="5109" priority="175">
      <formula>AV116="X"</formula>
    </cfRule>
    <cfRule type="expression" dxfId="5108" priority="176">
      <formula>AV116="후보"</formula>
    </cfRule>
  </conditionalFormatting>
  <conditionalFormatting sqref="AC116">
    <cfRule type="cellIs" dxfId="5107" priority="172" operator="greaterThan">
      <formula>0.9</formula>
    </cfRule>
    <cfRule type="cellIs" dxfId="5106" priority="173" operator="greaterThan">
      <formula>0.85</formula>
    </cfRule>
  </conditionalFormatting>
  <conditionalFormatting sqref="N116">
    <cfRule type="cellIs" dxfId="5105" priority="170" operator="greaterThan">
      <formula>0.9</formula>
    </cfRule>
    <cfRule type="cellIs" dxfId="5104" priority="171" operator="greaterThan">
      <formula>0.85</formula>
    </cfRule>
  </conditionalFormatting>
  <conditionalFormatting sqref="E116">
    <cfRule type="expression" dxfId="5103" priority="166">
      <formula>AND(IF(OR($Q116=1,$Q116=2),1,0),IF($X116&lt;=20,1,0))</formula>
    </cfRule>
    <cfRule type="expression" dxfId="5102" priority="167">
      <formula>AND(IF($Q116=2,1,0),IF($X116&lt;30,1,0))</formula>
    </cfRule>
    <cfRule type="expression" dxfId="5101" priority="168">
      <formula>AND(IF($Q116=3,1,0),IF($X116&lt;30,1,0))</formula>
    </cfRule>
    <cfRule type="expression" dxfId="5100" priority="169">
      <formula>AND(IF($Q116=3,1,IF($Q116=4,1,0)),IF($F116&lt;=85,1,0))</formula>
    </cfRule>
  </conditionalFormatting>
  <conditionalFormatting sqref="X116">
    <cfRule type="expression" dxfId="5099" priority="162">
      <formula>AND(IF(OR($Q116=1,$Q116=2),1,0),IF($X116&lt;=20,1,0))</formula>
    </cfRule>
    <cfRule type="expression" dxfId="5098" priority="163">
      <formula>AND(IF($Q116=2,1,0),IF($X116&lt;30,1,0))</formula>
    </cfRule>
    <cfRule type="expression" dxfId="5097" priority="164">
      <formula>AND(IF($Q116=3,1,0),IF($X116&lt;30,1,0))</formula>
    </cfRule>
    <cfRule type="expression" dxfId="5096" priority="165">
      <formula>AND(IF($Q116=3,1,IF($Q116=4,1,0)),IF($F116&lt;=85,1,0))</formula>
    </cfRule>
  </conditionalFormatting>
  <conditionalFormatting sqref="AI116">
    <cfRule type="expression" dxfId="5095" priority="158">
      <formula>AND(IF(OR($Q116=1,$Q116=2),1,0),IF($X116&lt;=20,1,0))</formula>
    </cfRule>
    <cfRule type="expression" dxfId="5094" priority="159">
      <formula>AND(IF($Q116=2,1,0),IF($X116&lt;30,1,0))</formula>
    </cfRule>
    <cfRule type="expression" dxfId="5093" priority="160">
      <formula>AND(IF($Q116=3,1,0),IF($X116&lt;30,1,0))</formula>
    </cfRule>
    <cfRule type="expression" dxfId="5092" priority="161">
      <formula>AND(IF($Q116=3,1,IF($Q116=4,1,0)),IF($F116&lt;=85,1,0))</formula>
    </cfRule>
  </conditionalFormatting>
  <conditionalFormatting sqref="AV117">
    <cfRule type="expression" dxfId="5091" priority="156">
      <formula>AV117="X"</formula>
    </cfRule>
    <cfRule type="expression" dxfId="5090" priority="157">
      <formula>AV117="후보"</formula>
    </cfRule>
  </conditionalFormatting>
  <conditionalFormatting sqref="AC117">
    <cfRule type="cellIs" dxfId="5089" priority="153" operator="greaterThan">
      <formula>0.9</formula>
    </cfRule>
    <cfRule type="cellIs" dxfId="5088" priority="154" operator="greaterThan">
      <formula>0.85</formula>
    </cfRule>
  </conditionalFormatting>
  <conditionalFormatting sqref="N117">
    <cfRule type="cellIs" dxfId="5087" priority="151" operator="greaterThan">
      <formula>0.9</formula>
    </cfRule>
    <cfRule type="cellIs" dxfId="5086" priority="152" operator="greaterThan">
      <formula>0.85</formula>
    </cfRule>
  </conditionalFormatting>
  <conditionalFormatting sqref="E117">
    <cfRule type="expression" dxfId="5085" priority="147">
      <formula>AND(IF(OR($Q117=1,$Q117=2),1,0),IF($X117&lt;=20,1,0))</formula>
    </cfRule>
    <cfRule type="expression" dxfId="5084" priority="148">
      <formula>AND(IF($Q117=2,1,0),IF($X117&lt;30,1,0))</formula>
    </cfRule>
    <cfRule type="expression" dxfId="5083" priority="149">
      <formula>AND(IF($Q117=3,1,0),IF($X117&lt;30,1,0))</formula>
    </cfRule>
    <cfRule type="expression" dxfId="5082" priority="150">
      <formula>AND(IF($Q117=3,1,IF($Q117=4,1,0)),IF($F117&lt;=85,1,0))</formula>
    </cfRule>
  </conditionalFormatting>
  <conditionalFormatting sqref="X117">
    <cfRule type="expression" dxfId="5081" priority="143">
      <formula>AND(IF(OR($Q117=1,$Q117=2),1,0),IF($X117&lt;=20,1,0))</formula>
    </cfRule>
    <cfRule type="expression" dxfId="5080" priority="144">
      <formula>AND(IF($Q117=2,1,0),IF($X117&lt;30,1,0))</formula>
    </cfRule>
    <cfRule type="expression" dxfId="5079" priority="145">
      <formula>AND(IF($Q117=3,1,0),IF($X117&lt;30,1,0))</formula>
    </cfRule>
    <cfRule type="expression" dxfId="5078" priority="146">
      <formula>AND(IF($Q117=3,1,IF($Q117=4,1,0)),IF($F117&lt;=85,1,0))</formula>
    </cfRule>
  </conditionalFormatting>
  <conditionalFormatting sqref="AI117">
    <cfRule type="expression" dxfId="5077" priority="139">
      <formula>AND(IF(OR($Q117=1,$Q117=2),1,0),IF($X117&lt;=20,1,0))</formula>
    </cfRule>
    <cfRule type="expression" dxfId="5076" priority="140">
      <formula>AND(IF($Q117=2,1,0),IF($X117&lt;30,1,0))</formula>
    </cfRule>
    <cfRule type="expression" dxfId="5075" priority="141">
      <formula>AND(IF($Q117=3,1,0),IF($X117&lt;30,1,0))</formula>
    </cfRule>
    <cfRule type="expression" dxfId="5074" priority="142">
      <formula>AND(IF($Q117=3,1,IF($Q117=4,1,0)),IF($F117&lt;=85,1,0))</formula>
    </cfRule>
  </conditionalFormatting>
  <conditionalFormatting sqref="AV118">
    <cfRule type="expression" dxfId="5073" priority="137">
      <formula>AV118="X"</formula>
    </cfRule>
    <cfRule type="expression" dxfId="5072" priority="138">
      <formula>AV118="후보"</formula>
    </cfRule>
  </conditionalFormatting>
  <conditionalFormatting sqref="AC118">
    <cfRule type="cellIs" dxfId="5071" priority="134" operator="greaterThan">
      <formula>0.9</formula>
    </cfRule>
    <cfRule type="cellIs" dxfId="5070" priority="135" operator="greaterThan">
      <formula>0.85</formula>
    </cfRule>
  </conditionalFormatting>
  <conditionalFormatting sqref="N118">
    <cfRule type="cellIs" dxfId="5069" priority="132" operator="greaterThan">
      <formula>0.9</formula>
    </cfRule>
    <cfRule type="cellIs" dxfId="5068" priority="133" operator="greaterThan">
      <formula>0.85</formula>
    </cfRule>
  </conditionalFormatting>
  <conditionalFormatting sqref="E118">
    <cfRule type="expression" dxfId="5067" priority="128">
      <formula>AND(IF(OR($Q118=1,$Q118=2),1,0),IF($X118&lt;=20,1,0))</formula>
    </cfRule>
    <cfRule type="expression" dxfId="5066" priority="129">
      <formula>AND(IF($Q118=2,1,0),IF($X118&lt;30,1,0))</formula>
    </cfRule>
    <cfRule type="expression" dxfId="5065" priority="130">
      <formula>AND(IF($Q118=3,1,0),IF($X118&lt;30,1,0))</formula>
    </cfRule>
    <cfRule type="expression" dxfId="5064" priority="131">
      <formula>AND(IF($Q118=3,1,IF($Q118=4,1,0)),IF($F118&lt;=85,1,0))</formula>
    </cfRule>
  </conditionalFormatting>
  <conditionalFormatting sqref="X118">
    <cfRule type="expression" dxfId="5063" priority="124">
      <formula>AND(IF(OR($Q118=1,$Q118=2),1,0),IF($X118&lt;=20,1,0))</formula>
    </cfRule>
    <cfRule type="expression" dxfId="5062" priority="125">
      <formula>AND(IF($Q118=2,1,0),IF($X118&lt;30,1,0))</formula>
    </cfRule>
    <cfRule type="expression" dxfId="5061" priority="126">
      <formula>AND(IF($Q118=3,1,0),IF($X118&lt;30,1,0))</formula>
    </cfRule>
    <cfRule type="expression" dxfId="5060" priority="127">
      <formula>AND(IF($Q118=3,1,IF($Q118=4,1,0)),IF($F118&lt;=85,1,0))</formula>
    </cfRule>
  </conditionalFormatting>
  <conditionalFormatting sqref="AI118">
    <cfRule type="expression" dxfId="5059" priority="120">
      <formula>AND(IF(OR($Q118=1,$Q118=2),1,0),IF($X118&lt;=20,1,0))</formula>
    </cfRule>
    <cfRule type="expression" dxfId="5058" priority="121">
      <formula>AND(IF($Q118=2,1,0),IF($X118&lt;30,1,0))</formula>
    </cfRule>
    <cfRule type="expression" dxfId="5057" priority="122">
      <formula>AND(IF($Q118=3,1,0),IF($X118&lt;30,1,0))</formula>
    </cfRule>
    <cfRule type="expression" dxfId="5056" priority="123">
      <formula>AND(IF($Q118=3,1,IF($Q118=4,1,0)),IF($F118&lt;=85,1,0))</formula>
    </cfRule>
  </conditionalFormatting>
  <conditionalFormatting sqref="AV119">
    <cfRule type="expression" dxfId="5055" priority="118">
      <formula>AV119="X"</formula>
    </cfRule>
    <cfRule type="expression" dxfId="5054" priority="119">
      <formula>AV119="후보"</formula>
    </cfRule>
  </conditionalFormatting>
  <conditionalFormatting sqref="AC119 N119">
    <cfRule type="cellIs" dxfId="5053" priority="115" operator="greaterThan">
      <formula>0.9</formula>
    </cfRule>
    <cfRule type="cellIs" dxfId="5052" priority="116" operator="greaterThan">
      <formula>0.85</formula>
    </cfRule>
  </conditionalFormatting>
  <conditionalFormatting sqref="AV120">
    <cfRule type="expression" dxfId="5051" priority="113">
      <formula>AV120="X"</formula>
    </cfRule>
    <cfRule type="expression" dxfId="5050" priority="114">
      <formula>AV120="후보"</formula>
    </cfRule>
  </conditionalFormatting>
  <conditionalFormatting sqref="AC120">
    <cfRule type="cellIs" dxfId="5049" priority="110" operator="greaterThan">
      <formula>0.9</formula>
    </cfRule>
    <cfRule type="cellIs" dxfId="5048" priority="111" operator="greaterThan">
      <formula>0.85</formula>
    </cfRule>
  </conditionalFormatting>
  <conditionalFormatting sqref="N120">
    <cfRule type="cellIs" dxfId="5047" priority="108" operator="greaterThan">
      <formula>0.9</formula>
    </cfRule>
    <cfRule type="cellIs" dxfId="5046" priority="109" operator="greaterThan">
      <formula>0.85</formula>
    </cfRule>
  </conditionalFormatting>
  <conditionalFormatting sqref="E120">
    <cfRule type="expression" dxfId="5045" priority="104">
      <formula>AND(IF(OR($Q120=1,$Q120=2),1,0),IF($X120&lt;=20,1,0))</formula>
    </cfRule>
    <cfRule type="expression" dxfId="5044" priority="105">
      <formula>AND(IF($Q120=2,1,0),IF($X120&lt;30,1,0))</formula>
    </cfRule>
    <cfRule type="expression" dxfId="5043" priority="106">
      <formula>AND(IF($Q120=3,1,0),IF($X120&lt;30,1,0))</formula>
    </cfRule>
    <cfRule type="expression" dxfId="5042" priority="107">
      <formula>AND(IF($Q120=3,1,IF($Q120=4,1,0)),IF($F120&lt;=85,1,0))</formula>
    </cfRule>
  </conditionalFormatting>
  <conditionalFormatting sqref="X120">
    <cfRule type="expression" dxfId="5041" priority="100">
      <formula>AND(IF(OR($Q120=1,$Q120=2),1,0),IF($X120&lt;=20,1,0))</formula>
    </cfRule>
    <cfRule type="expression" dxfId="5040" priority="101">
      <formula>AND(IF($Q120=2,1,0),IF($X120&lt;30,1,0))</formula>
    </cfRule>
    <cfRule type="expression" dxfId="5039" priority="102">
      <formula>AND(IF($Q120=3,1,0),IF($X120&lt;30,1,0))</formula>
    </cfRule>
    <cfRule type="expression" dxfId="5038" priority="103">
      <formula>AND(IF($Q120=3,1,IF($Q120=4,1,0)),IF($F120&lt;=85,1,0))</formula>
    </cfRule>
  </conditionalFormatting>
  <conditionalFormatting sqref="AI120">
    <cfRule type="expression" dxfId="5037" priority="96">
      <formula>AND(IF(OR($Q120=1,$Q120=2),1,0),IF($X120&lt;=20,1,0))</formula>
    </cfRule>
    <cfRule type="expression" dxfId="5036" priority="97">
      <formula>AND(IF($Q120=2,1,0),IF($X120&lt;30,1,0))</formula>
    </cfRule>
    <cfRule type="expression" dxfId="5035" priority="98">
      <formula>AND(IF($Q120=3,1,0),IF($X120&lt;30,1,0))</formula>
    </cfRule>
    <cfRule type="expression" dxfId="5034" priority="99">
      <formula>AND(IF($Q120=3,1,IF($Q120=4,1,0)),IF($F120&lt;=85,1,0))</formula>
    </cfRule>
  </conditionalFormatting>
  <conditionalFormatting sqref="AV121">
    <cfRule type="expression" dxfId="5033" priority="94">
      <formula>AV121="X"</formula>
    </cfRule>
    <cfRule type="expression" dxfId="5032" priority="95">
      <formula>AV121="후보"</formula>
    </cfRule>
  </conditionalFormatting>
  <conditionalFormatting sqref="AC121">
    <cfRule type="cellIs" dxfId="5031" priority="91" operator="greaterThan">
      <formula>0.9</formula>
    </cfRule>
    <cfRule type="cellIs" dxfId="5030" priority="92" operator="greaterThan">
      <formula>0.85</formula>
    </cfRule>
  </conditionalFormatting>
  <conditionalFormatting sqref="N121">
    <cfRule type="cellIs" dxfId="5029" priority="89" operator="greaterThan">
      <formula>0.9</formula>
    </cfRule>
    <cfRule type="cellIs" dxfId="5028" priority="90" operator="greaterThan">
      <formula>0.85</formula>
    </cfRule>
  </conditionalFormatting>
  <conditionalFormatting sqref="E121">
    <cfRule type="expression" dxfId="5027" priority="85">
      <formula>AND(IF(OR($Q121=1,$Q121=2),1,0),IF($X121&lt;=20,1,0))</formula>
    </cfRule>
    <cfRule type="expression" dxfId="5026" priority="86">
      <formula>AND(IF($Q121=2,1,0),IF($X121&lt;30,1,0))</formula>
    </cfRule>
    <cfRule type="expression" dxfId="5025" priority="87">
      <formula>AND(IF($Q121=3,1,0),IF($X121&lt;30,1,0))</formula>
    </cfRule>
    <cfRule type="expression" dxfId="5024" priority="88">
      <formula>AND(IF($Q121=3,1,IF($Q121=4,1,0)),IF($F121&lt;=85,1,0))</formula>
    </cfRule>
  </conditionalFormatting>
  <conditionalFormatting sqref="X121">
    <cfRule type="expression" dxfId="5023" priority="81">
      <formula>AND(IF(OR($Q121=1,$Q121=2),1,0),IF($X121&lt;=20,1,0))</formula>
    </cfRule>
    <cfRule type="expression" dxfId="5022" priority="82">
      <formula>AND(IF($Q121=2,1,0),IF($X121&lt;30,1,0))</formula>
    </cfRule>
    <cfRule type="expression" dxfId="5021" priority="83">
      <formula>AND(IF($Q121=3,1,0),IF($X121&lt;30,1,0))</formula>
    </cfRule>
    <cfRule type="expression" dxfId="5020" priority="84">
      <formula>AND(IF($Q121=3,1,IF($Q121=4,1,0)),IF($F121&lt;=85,1,0))</formula>
    </cfRule>
  </conditionalFormatting>
  <conditionalFormatting sqref="AI121">
    <cfRule type="expression" dxfId="5019" priority="77">
      <formula>AND(IF(OR($Q121=1,$Q121=2),1,0),IF($X121&lt;=20,1,0))</formula>
    </cfRule>
    <cfRule type="expression" dxfId="5018" priority="78">
      <formula>AND(IF($Q121=2,1,0),IF($X121&lt;30,1,0))</formula>
    </cfRule>
    <cfRule type="expression" dxfId="5017" priority="79">
      <formula>AND(IF($Q121=3,1,0),IF($X121&lt;30,1,0))</formula>
    </cfRule>
    <cfRule type="expression" dxfId="5016" priority="80">
      <formula>AND(IF($Q121=3,1,IF($Q121=4,1,0)),IF($F121&lt;=85,1,0))</formula>
    </cfRule>
  </conditionalFormatting>
  <conditionalFormatting sqref="AV122">
    <cfRule type="expression" dxfId="5015" priority="75">
      <formula>AV122="X"</formula>
    </cfRule>
    <cfRule type="expression" dxfId="5014" priority="76">
      <formula>AV122="후보"</formula>
    </cfRule>
  </conditionalFormatting>
  <conditionalFormatting sqref="AC122">
    <cfRule type="cellIs" dxfId="5013" priority="72" operator="greaterThan">
      <formula>0.9</formula>
    </cfRule>
    <cfRule type="cellIs" dxfId="5012" priority="73" operator="greaterThan">
      <formula>0.85</formula>
    </cfRule>
  </conditionalFormatting>
  <conditionalFormatting sqref="N122">
    <cfRule type="cellIs" dxfId="5011" priority="70" operator="greaterThan">
      <formula>0.9</formula>
    </cfRule>
    <cfRule type="cellIs" dxfId="5010" priority="71" operator="greaterThan">
      <formula>0.85</formula>
    </cfRule>
  </conditionalFormatting>
  <conditionalFormatting sqref="E122">
    <cfRule type="expression" dxfId="5009" priority="66">
      <formula>AND(IF(OR($Q122=1,$Q122=2),1,0),IF($X122&lt;=20,1,0))</formula>
    </cfRule>
    <cfRule type="expression" dxfId="5008" priority="67">
      <formula>AND(IF($Q122=2,1,0),IF($X122&lt;30,1,0))</formula>
    </cfRule>
    <cfRule type="expression" dxfId="5007" priority="68">
      <formula>AND(IF($Q122=3,1,0),IF($X122&lt;30,1,0))</formula>
    </cfRule>
    <cfRule type="expression" dxfId="5006" priority="69">
      <formula>AND(IF($Q122=3,1,IF($Q122=4,1,0)),IF($F122&lt;=85,1,0))</formula>
    </cfRule>
  </conditionalFormatting>
  <conditionalFormatting sqref="X122">
    <cfRule type="expression" dxfId="5005" priority="62">
      <formula>AND(IF(OR($Q122=1,$Q122=2),1,0),IF($X122&lt;=20,1,0))</formula>
    </cfRule>
    <cfRule type="expression" dxfId="5004" priority="63">
      <formula>AND(IF($Q122=2,1,0),IF($X122&lt;30,1,0))</formula>
    </cfRule>
    <cfRule type="expression" dxfId="5003" priority="64">
      <formula>AND(IF($Q122=3,1,0),IF($X122&lt;30,1,0))</formula>
    </cfRule>
    <cfRule type="expression" dxfId="5002" priority="65">
      <formula>AND(IF($Q122=3,1,IF($Q122=4,1,0)),IF($F122&lt;=85,1,0))</formula>
    </cfRule>
  </conditionalFormatting>
  <conditionalFormatting sqref="AI122">
    <cfRule type="expression" dxfId="5001" priority="58">
      <formula>AND(IF(OR($Q122=1,$Q122=2),1,0),IF($X122&lt;=20,1,0))</formula>
    </cfRule>
    <cfRule type="expression" dxfId="5000" priority="59">
      <formula>AND(IF($Q122=2,1,0),IF($X122&lt;30,1,0))</formula>
    </cfRule>
    <cfRule type="expression" dxfId="4999" priority="60">
      <formula>AND(IF($Q122=3,1,0),IF($X122&lt;30,1,0))</formula>
    </cfRule>
    <cfRule type="expression" dxfId="4998" priority="61">
      <formula>AND(IF($Q122=3,1,IF($Q122=4,1,0)),IF($F122&lt;=85,1,0))</formula>
    </cfRule>
  </conditionalFormatting>
  <conditionalFormatting sqref="AV123">
    <cfRule type="expression" dxfId="4997" priority="56">
      <formula>AV123="X"</formula>
    </cfRule>
    <cfRule type="expression" dxfId="4996" priority="57">
      <formula>AV123="후보"</formula>
    </cfRule>
  </conditionalFormatting>
  <conditionalFormatting sqref="AC123">
    <cfRule type="cellIs" dxfId="4995" priority="53" operator="greaterThan">
      <formula>0.9</formula>
    </cfRule>
    <cfRule type="cellIs" dxfId="4994" priority="54" operator="greaterThan">
      <formula>0.85</formula>
    </cfRule>
  </conditionalFormatting>
  <conditionalFormatting sqref="N123">
    <cfRule type="cellIs" dxfId="4993" priority="51" operator="greaterThan">
      <formula>0.9</formula>
    </cfRule>
    <cfRule type="cellIs" dxfId="4992" priority="52" operator="greaterThan">
      <formula>0.85</formula>
    </cfRule>
  </conditionalFormatting>
  <conditionalFormatting sqref="E123">
    <cfRule type="expression" dxfId="4991" priority="47">
      <formula>AND(IF(OR($Q123=1,$Q123=2),1,0),IF($X123&lt;=20,1,0))</formula>
    </cfRule>
    <cfRule type="expression" dxfId="4990" priority="48">
      <formula>AND(IF($Q123=2,1,0),IF($X123&lt;30,1,0))</formula>
    </cfRule>
    <cfRule type="expression" dxfId="4989" priority="49">
      <formula>AND(IF($Q123=3,1,0),IF($X123&lt;30,1,0))</formula>
    </cfRule>
    <cfRule type="expression" dxfId="4988" priority="50">
      <formula>AND(IF($Q123=3,1,IF($Q123=4,1,0)),IF($F123&lt;=85,1,0))</formula>
    </cfRule>
  </conditionalFormatting>
  <conditionalFormatting sqref="X123">
    <cfRule type="expression" dxfId="4987" priority="43">
      <formula>AND(IF(OR($Q123=1,$Q123=2),1,0),IF($X123&lt;=20,1,0))</formula>
    </cfRule>
    <cfRule type="expression" dxfId="4986" priority="44">
      <formula>AND(IF($Q123=2,1,0),IF($X123&lt;30,1,0))</formula>
    </cfRule>
    <cfRule type="expression" dxfId="4985" priority="45">
      <formula>AND(IF($Q123=3,1,0),IF($X123&lt;30,1,0))</formula>
    </cfRule>
    <cfRule type="expression" dxfId="4984" priority="46">
      <formula>AND(IF($Q123=3,1,IF($Q123=4,1,0)),IF($F123&lt;=85,1,0))</formula>
    </cfRule>
  </conditionalFormatting>
  <conditionalFormatting sqref="AI123">
    <cfRule type="expression" dxfId="4983" priority="39">
      <formula>AND(IF(OR($Q123=1,$Q123=2),1,0),IF($X123&lt;=20,1,0))</formula>
    </cfRule>
    <cfRule type="expression" dxfId="4982" priority="40">
      <formula>AND(IF($Q123=2,1,0),IF($X123&lt;30,1,0))</formula>
    </cfRule>
    <cfRule type="expression" dxfId="4981" priority="41">
      <formula>AND(IF($Q123=3,1,0),IF($X123&lt;30,1,0))</formula>
    </cfRule>
    <cfRule type="expression" dxfId="4980" priority="42">
      <formula>AND(IF($Q123=3,1,IF($Q123=4,1,0)),IF($F123&lt;=85,1,0))</formula>
    </cfRule>
  </conditionalFormatting>
  <conditionalFormatting sqref="AV124">
    <cfRule type="expression" dxfId="4979" priority="37">
      <formula>AV124="X"</formula>
    </cfRule>
    <cfRule type="expression" dxfId="4978" priority="38">
      <formula>AV124="후보"</formula>
    </cfRule>
  </conditionalFormatting>
  <conditionalFormatting sqref="AC124">
    <cfRule type="cellIs" dxfId="4977" priority="34" operator="greaterThan">
      <formula>0.9</formula>
    </cfRule>
    <cfRule type="cellIs" dxfId="4976" priority="35" operator="greaterThan">
      <formula>0.85</formula>
    </cfRule>
  </conditionalFormatting>
  <conditionalFormatting sqref="N124">
    <cfRule type="cellIs" dxfId="4975" priority="32" operator="greaterThan">
      <formula>0.9</formula>
    </cfRule>
    <cfRule type="cellIs" dxfId="4974" priority="33" operator="greaterThan">
      <formula>0.85</formula>
    </cfRule>
  </conditionalFormatting>
  <conditionalFormatting sqref="E124">
    <cfRule type="expression" dxfId="4973" priority="28">
      <formula>AND(IF(OR($Q124=1,$Q124=2),1,0),IF($X124&lt;=20,1,0))</formula>
    </cfRule>
    <cfRule type="expression" dxfId="4972" priority="29">
      <formula>AND(IF($Q124=2,1,0),IF($X124&lt;30,1,0))</formula>
    </cfRule>
    <cfRule type="expression" dxfId="4971" priority="30">
      <formula>AND(IF($Q124=3,1,0),IF($X124&lt;30,1,0))</formula>
    </cfRule>
    <cfRule type="expression" dxfId="4970" priority="31">
      <formula>AND(IF($Q124=3,1,IF($Q124=4,1,0)),IF($F124&lt;=85,1,0))</formula>
    </cfRule>
  </conditionalFormatting>
  <conditionalFormatting sqref="X124">
    <cfRule type="expression" dxfId="4969" priority="24">
      <formula>AND(IF(OR($Q124=1,$Q124=2),1,0),IF($X124&lt;=20,1,0))</formula>
    </cfRule>
    <cfRule type="expression" dxfId="4968" priority="25">
      <formula>AND(IF($Q124=2,1,0),IF($X124&lt;30,1,0))</formula>
    </cfRule>
    <cfRule type="expression" dxfId="4967" priority="26">
      <formula>AND(IF($Q124=3,1,0),IF($X124&lt;30,1,0))</formula>
    </cfRule>
    <cfRule type="expression" dxfId="4966" priority="27">
      <formula>AND(IF($Q124=3,1,IF($Q124=4,1,0)),IF($F124&lt;=85,1,0))</formula>
    </cfRule>
  </conditionalFormatting>
  <conditionalFormatting sqref="AI124">
    <cfRule type="expression" dxfId="4965" priority="20">
      <formula>AND(IF(OR($Q124=1,$Q124=2),1,0),IF($X124&lt;=20,1,0))</formula>
    </cfRule>
    <cfRule type="expression" dxfId="4964" priority="21">
      <formula>AND(IF($Q124=2,1,0),IF($X124&lt;30,1,0))</formula>
    </cfRule>
    <cfRule type="expression" dxfId="4963" priority="22">
      <formula>AND(IF($Q124=3,1,0),IF($X124&lt;30,1,0))</formula>
    </cfRule>
    <cfRule type="expression" dxfId="4962" priority="23">
      <formula>AND(IF($Q124=3,1,IF($Q124=4,1,0)),IF($F124&lt;=85,1,0))</formula>
    </cfRule>
  </conditionalFormatting>
  <conditionalFormatting sqref="AV125">
    <cfRule type="expression" dxfId="4961" priority="18">
      <formula>AV125="X"</formula>
    </cfRule>
    <cfRule type="expression" dxfId="4960" priority="19">
      <formula>AV125="후보"</formula>
    </cfRule>
  </conditionalFormatting>
  <conditionalFormatting sqref="AC125">
    <cfRule type="cellIs" dxfId="4959" priority="15" operator="greaterThan">
      <formula>0.9</formula>
    </cfRule>
    <cfRule type="cellIs" dxfId="4958" priority="16" operator="greaterThan">
      <formula>0.85</formula>
    </cfRule>
  </conditionalFormatting>
  <conditionalFormatting sqref="N125">
    <cfRule type="cellIs" dxfId="4957" priority="13" operator="greaterThan">
      <formula>0.9</formula>
    </cfRule>
    <cfRule type="cellIs" dxfId="4956" priority="14" operator="greaterThan">
      <formula>0.85</formula>
    </cfRule>
  </conditionalFormatting>
  <conditionalFormatting sqref="E125">
    <cfRule type="expression" dxfId="4955" priority="9">
      <formula>AND(IF(OR($Q125=1,$Q125=2),1,0),IF($X125&lt;=20,1,0))</formula>
    </cfRule>
    <cfRule type="expression" dxfId="4954" priority="10">
      <formula>AND(IF($Q125=2,1,0),IF($X125&lt;30,1,0))</formula>
    </cfRule>
    <cfRule type="expression" dxfId="4953" priority="11">
      <formula>AND(IF($Q125=3,1,0),IF($X125&lt;30,1,0))</formula>
    </cfRule>
    <cfRule type="expression" dxfId="4952" priority="12">
      <formula>AND(IF($Q125=3,1,IF($Q125=4,1,0)),IF($F125&lt;=85,1,0))</formula>
    </cfRule>
  </conditionalFormatting>
  <conditionalFormatting sqref="X125">
    <cfRule type="expression" dxfId="4951" priority="5">
      <formula>AND(IF(OR($Q125=1,$Q125=2),1,0),IF($X125&lt;=20,1,0))</formula>
    </cfRule>
    <cfRule type="expression" dxfId="4950" priority="6">
      <formula>AND(IF($Q125=2,1,0),IF($X125&lt;30,1,0))</formula>
    </cfRule>
    <cfRule type="expression" dxfId="4949" priority="7">
      <formula>AND(IF($Q125=3,1,0),IF($X125&lt;30,1,0))</formula>
    </cfRule>
    <cfRule type="expression" dxfId="4948" priority="8">
      <formula>AND(IF($Q125=3,1,IF($Q125=4,1,0)),IF($F125&lt;=85,1,0))</formula>
    </cfRule>
  </conditionalFormatting>
  <conditionalFormatting sqref="AI125">
    <cfRule type="expression" dxfId="4947" priority="1">
      <formula>AND(IF(OR($Q125=1,$Q125=2),1,0),IF($X125&lt;=20,1,0))</formula>
    </cfRule>
    <cfRule type="expression" dxfId="4946" priority="2">
      <formula>AND(IF($Q125=2,1,0),IF($X125&lt;30,1,0))</formula>
    </cfRule>
    <cfRule type="expression" dxfId="4945" priority="3">
      <formula>AND(IF($Q125=3,1,0),IF($X125&lt;30,1,0))</formula>
    </cfRule>
    <cfRule type="expression" dxfId="4944" priority="4">
      <formula>AND(IF($Q125=3,1,IF($Q125=4,1,0)),IF($F125&lt;=85,1,0))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강내면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399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강내면 선광한빛('96.12.,350^)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420</v>
      </c>
      <c r="B6" s="10" t="s">
        <v>1359</v>
      </c>
      <c r="C6" s="88">
        <v>350</v>
      </c>
      <c r="D6" s="86">
        <v>40.799999999999997</v>
      </c>
      <c r="E6" s="87">
        <v>12</v>
      </c>
      <c r="F6" s="86">
        <v>31.6</v>
      </c>
      <c r="G6" s="17">
        <v>10</v>
      </c>
      <c r="H6" s="88">
        <v>148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40</v>
      </c>
      <c r="U6" s="9"/>
      <c r="W6" s="86">
        <f t="shared" ref="W6:X10" si="2">D6</f>
        <v>40.799999999999997</v>
      </c>
      <c r="X6" s="87">
        <f t="shared" si="2"/>
        <v>12</v>
      </c>
      <c r="Y6" s="92">
        <f t="shared" ref="Y6:Z10" si="3">H6</f>
        <v>148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선광한빛</v>
      </c>
      <c r="AI6" s="87">
        <f t="shared" si="0"/>
        <v>12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420</v>
      </c>
      <c r="B7" s="10" t="s">
        <v>1359</v>
      </c>
      <c r="C7" s="88">
        <v>350</v>
      </c>
      <c r="D7" s="86">
        <v>71.599999999999994</v>
      </c>
      <c r="E7" s="87">
        <v>22</v>
      </c>
      <c r="F7" s="86">
        <v>59.8</v>
      </c>
      <c r="G7" s="17">
        <v>18</v>
      </c>
      <c r="H7" s="88">
        <v>96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62</v>
      </c>
      <c r="T7" s="5">
        <v>71</v>
      </c>
      <c r="U7" s="9"/>
      <c r="W7" s="86">
        <f t="shared" si="2"/>
        <v>71.599999999999994</v>
      </c>
      <c r="X7" s="87">
        <f t="shared" si="2"/>
        <v>22</v>
      </c>
      <c r="Y7" s="92">
        <f t="shared" si="3"/>
        <v>96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선광한빛</v>
      </c>
      <c r="AI7" s="87">
        <f t="shared" si="0"/>
        <v>22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420</v>
      </c>
      <c r="B8" s="10" t="s">
        <v>1359</v>
      </c>
      <c r="C8" s="88">
        <v>350</v>
      </c>
      <c r="D8" s="86">
        <v>97.8</v>
      </c>
      <c r="E8" s="87">
        <v>30</v>
      </c>
      <c r="F8" s="86">
        <v>85</v>
      </c>
      <c r="G8" s="17">
        <v>26</v>
      </c>
      <c r="H8" s="88">
        <v>91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>
        <v>97</v>
      </c>
      <c r="U8" s="9"/>
      <c r="W8" s="86">
        <f t="shared" si="2"/>
        <v>97.8</v>
      </c>
      <c r="X8" s="87">
        <f t="shared" si="2"/>
        <v>30</v>
      </c>
      <c r="Y8" s="92">
        <f t="shared" si="3"/>
        <v>91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선광한빛</v>
      </c>
      <c r="AI8" s="87">
        <f t="shared" si="0"/>
        <v>30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420</v>
      </c>
      <c r="B9" s="10" t="s">
        <v>1359</v>
      </c>
      <c r="C9" s="88">
        <v>350</v>
      </c>
      <c r="D9" s="86">
        <v>97.7</v>
      </c>
      <c r="E9" s="87">
        <v>30</v>
      </c>
      <c r="F9" s="86">
        <v>84.9</v>
      </c>
      <c r="G9" s="17">
        <v>26</v>
      </c>
      <c r="H9" s="88">
        <v>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>
        <v>97</v>
      </c>
      <c r="U9" s="9"/>
      <c r="W9" s="86">
        <f t="shared" si="2"/>
        <v>97.7</v>
      </c>
      <c r="X9" s="87">
        <f t="shared" si="2"/>
        <v>30</v>
      </c>
      <c r="Y9" s="92">
        <f t="shared" si="3"/>
        <v>7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복</v>
      </c>
      <c r="AF9" s="79" t="str">
        <f>Q9&amp;"/"&amp;R9</f>
        <v>3/2</v>
      </c>
      <c r="AH9" s="20" t="str">
        <f t="shared" si="1"/>
        <v>선광한빛</v>
      </c>
      <c r="AI9" s="87">
        <f t="shared" si="0"/>
        <v>30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420</v>
      </c>
      <c r="B10" s="10" t="s">
        <v>1359</v>
      </c>
      <c r="C10" s="88">
        <v>350</v>
      </c>
      <c r="D10" s="86">
        <v>154.80000000000001</v>
      </c>
      <c r="E10" s="87">
        <v>47</v>
      </c>
      <c r="F10" s="86">
        <v>134.5</v>
      </c>
      <c r="G10" s="17">
        <v>41</v>
      </c>
      <c r="H10" s="88">
        <v>8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154</v>
      </c>
      <c r="U10" s="9"/>
      <c r="W10" s="86">
        <f t="shared" si="2"/>
        <v>154.80000000000001</v>
      </c>
      <c r="X10" s="87">
        <f t="shared" si="2"/>
        <v>47</v>
      </c>
      <c r="Y10" s="92">
        <f t="shared" si="3"/>
        <v>8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4/2</v>
      </c>
      <c r="AH10" s="20" t="str">
        <f t="shared" si="1"/>
        <v>선광한빛</v>
      </c>
      <c r="AI10" s="87">
        <f t="shared" si="0"/>
        <v>47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강내면 청원신성미소지움('08.09.,372^)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430</v>
      </c>
      <c r="B12" s="10" t="s">
        <v>1339</v>
      </c>
      <c r="C12" s="88">
        <v>372</v>
      </c>
      <c r="D12" s="86">
        <v>111</v>
      </c>
      <c r="E12" s="87">
        <v>34</v>
      </c>
      <c r="F12" s="86">
        <v>84.5</v>
      </c>
      <c r="G12" s="17">
        <v>26</v>
      </c>
      <c r="H12" s="88">
        <v>146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117</v>
      </c>
      <c r="U12" s="9"/>
      <c r="W12" s="86">
        <f t="shared" ref="W12:X15" si="5">D12</f>
        <v>111</v>
      </c>
      <c r="X12" s="87">
        <f t="shared" si="5"/>
        <v>34</v>
      </c>
      <c r="Y12" s="92">
        <f t="shared" ref="Y12:Z15" si="6">H12</f>
        <v>146</v>
      </c>
      <c r="Z12" s="90">
        <f t="shared" si="6"/>
        <v>0</v>
      </c>
      <c r="AA12" s="90">
        <f>K12</f>
        <v>0</v>
      </c>
      <c r="AB12" s="90">
        <f t="shared" ref="AB12:AD15" si="7">M12</f>
        <v>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청원신성미소지움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430</v>
      </c>
      <c r="B13" s="10" t="s">
        <v>1339</v>
      </c>
      <c r="C13" s="88">
        <v>372</v>
      </c>
      <c r="D13" s="86">
        <v>111</v>
      </c>
      <c r="E13" s="87">
        <v>34</v>
      </c>
      <c r="F13" s="86">
        <v>84.5</v>
      </c>
      <c r="G13" s="17">
        <v>26</v>
      </c>
      <c r="H13" s="88">
        <v>58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 t="s">
        <v>118</v>
      </c>
      <c r="U13" s="9"/>
      <c r="W13" s="86">
        <f t="shared" si="5"/>
        <v>111</v>
      </c>
      <c r="X13" s="87">
        <f t="shared" si="5"/>
        <v>34</v>
      </c>
      <c r="Y13" s="92">
        <f t="shared" si="6"/>
        <v>58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청원신성미소지움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430</v>
      </c>
      <c r="B14" s="10" t="s">
        <v>1339</v>
      </c>
      <c r="C14" s="88">
        <v>372</v>
      </c>
      <c r="D14" s="86">
        <v>131.19999999999999</v>
      </c>
      <c r="E14" s="87">
        <v>40</v>
      </c>
      <c r="F14" s="86">
        <v>108.4</v>
      </c>
      <c r="G14" s="17">
        <v>33</v>
      </c>
      <c r="H14" s="88">
        <v>112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4</v>
      </c>
      <c r="R14" s="79">
        <v>2</v>
      </c>
      <c r="S14" s="79" t="s">
        <v>62</v>
      </c>
      <c r="T14" s="5">
        <v>131</v>
      </c>
      <c r="U14" s="9"/>
      <c r="W14" s="86">
        <f t="shared" si="5"/>
        <v>131.19999999999999</v>
      </c>
      <c r="X14" s="87">
        <f t="shared" si="5"/>
        <v>40</v>
      </c>
      <c r="Y14" s="92">
        <f t="shared" si="6"/>
        <v>112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9" t="str">
        <f>S14</f>
        <v>계</v>
      </c>
      <c r="AF14" s="79" t="str">
        <f>Q14&amp;"/"&amp;R14</f>
        <v>4/2</v>
      </c>
      <c r="AH14" s="20" t="str">
        <f t="shared" si="1"/>
        <v>청원신성미소지움</v>
      </c>
      <c r="AI14" s="87">
        <f t="shared" si="0"/>
        <v>40</v>
      </c>
      <c r="AJ14" s="79" t="str">
        <f>IF(AI14="","",$AJ$2)</f>
        <v>A-</v>
      </c>
      <c r="AK14" s="79" t="s">
        <v>13</v>
      </c>
      <c r="AL14" s="79" t="s">
        <v>60</v>
      </c>
      <c r="AM14" s="79" t="s">
        <v>61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430</v>
      </c>
      <c r="B15" s="10" t="s">
        <v>1339</v>
      </c>
      <c r="C15" s="88">
        <v>372</v>
      </c>
      <c r="D15" s="86">
        <v>149.9</v>
      </c>
      <c r="E15" s="87">
        <v>45</v>
      </c>
      <c r="F15" s="86">
        <v>118.1</v>
      </c>
      <c r="G15" s="17">
        <v>36</v>
      </c>
      <c r="H15" s="88">
        <v>56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>
        <v>149</v>
      </c>
      <c r="U15" s="9"/>
      <c r="W15" s="86">
        <f t="shared" si="5"/>
        <v>149.9</v>
      </c>
      <c r="X15" s="87">
        <f t="shared" si="5"/>
        <v>45</v>
      </c>
      <c r="Y15" s="92">
        <f t="shared" si="6"/>
        <v>56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9" t="str">
        <f>S15</f>
        <v>계</v>
      </c>
      <c r="AF15" s="79" t="str">
        <f>Q15&amp;"/"&amp;R15</f>
        <v>4/2</v>
      </c>
      <c r="AH15" s="20" t="str">
        <f t="shared" si="1"/>
        <v>청원신성미소지움</v>
      </c>
      <c r="AI15" s="87">
        <f t="shared" si="0"/>
        <v>45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강내면 청원쌍용예가2단지('07.08.,231^)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434</v>
      </c>
      <c r="B17" s="10" t="s">
        <v>1360</v>
      </c>
      <c r="C17" s="88">
        <v>231</v>
      </c>
      <c r="D17" s="86">
        <v>110.7</v>
      </c>
      <c r="E17" s="87">
        <v>33</v>
      </c>
      <c r="F17" s="86">
        <v>85</v>
      </c>
      <c r="G17" s="17">
        <v>26</v>
      </c>
      <c r="H17" s="88">
        <v>56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2</v>
      </c>
      <c r="S17" s="79" t="s">
        <v>62</v>
      </c>
      <c r="T17" s="5">
        <v>110</v>
      </c>
      <c r="U17" s="9"/>
      <c r="W17" s="86">
        <f>D17</f>
        <v>110.7</v>
      </c>
      <c r="X17" s="87">
        <f>E17</f>
        <v>33</v>
      </c>
      <c r="Y17" s="92">
        <f>H17</f>
        <v>56</v>
      </c>
      <c r="Z17" s="90">
        <f>I17</f>
        <v>0</v>
      </c>
      <c r="AA17" s="90">
        <f>K17</f>
        <v>0</v>
      </c>
      <c r="AB17" s="90">
        <f t="shared" ref="AB17:AD18" si="8">M17</f>
        <v>0</v>
      </c>
      <c r="AC17" s="4" t="str">
        <f t="shared" si="8"/>
        <v/>
      </c>
      <c r="AD17" s="91">
        <f t="shared" si="8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청원쌍용예가2단지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X</v>
      </c>
      <c r="AV17" s="79" t="str">
        <f>IF(AO17="","",IF(AND(AO17="O",AP17="O",AR17="O",AT17="O",AU17="O"),"후보","X"))</f>
        <v/>
      </c>
    </row>
    <row r="18" spans="1:48" x14ac:dyDescent="0.3">
      <c r="A18" s="9" t="s">
        <v>434</v>
      </c>
      <c r="B18" s="10" t="s">
        <v>1360</v>
      </c>
      <c r="C18" s="88">
        <v>231</v>
      </c>
      <c r="D18" s="86">
        <v>145.6</v>
      </c>
      <c r="E18" s="87">
        <v>44</v>
      </c>
      <c r="F18" s="86">
        <v>117.3</v>
      </c>
      <c r="G18" s="17">
        <v>35</v>
      </c>
      <c r="H18" s="88">
        <v>175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4</v>
      </c>
      <c r="R18" s="79">
        <v>2</v>
      </c>
      <c r="S18" s="79" t="s">
        <v>62</v>
      </c>
      <c r="T18" s="5">
        <v>145</v>
      </c>
      <c r="U18" s="9"/>
      <c r="W18" s="86">
        <f>D18</f>
        <v>145.6</v>
      </c>
      <c r="X18" s="87">
        <f>E18</f>
        <v>44</v>
      </c>
      <c r="Y18" s="92">
        <f>H18</f>
        <v>175</v>
      </c>
      <c r="Z18" s="90">
        <f>I18</f>
        <v>0</v>
      </c>
      <c r="AA18" s="90">
        <f>K18</f>
        <v>0</v>
      </c>
      <c r="AB18" s="90">
        <f t="shared" si="8"/>
        <v>0</v>
      </c>
      <c r="AC18" s="4" t="str">
        <f t="shared" si="8"/>
        <v/>
      </c>
      <c r="AD18" s="91">
        <f t="shared" si="8"/>
        <v>0</v>
      </c>
      <c r="AE18" s="79" t="str">
        <f>S18</f>
        <v>계</v>
      </c>
      <c r="AF18" s="79" t="str">
        <f>Q18&amp;"/"&amp;R18</f>
        <v>4/2</v>
      </c>
      <c r="AH18" s="20" t="str">
        <f t="shared" si="1"/>
        <v>청원쌍용예가2단지</v>
      </c>
      <c r="AI18" s="87">
        <f t="shared" si="0"/>
        <v>44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X</v>
      </c>
      <c r="AV18" s="79" t="str">
        <f>IF(AO18="","",IF(AND(AO18="O",AP18="O",AR18="O",AT18="O",AU18="O"),"후보","X"))</f>
        <v/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강내면 서호e타운('01.06.,277^)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438</v>
      </c>
      <c r="B20" s="10" t="s">
        <v>1361</v>
      </c>
      <c r="C20" s="88">
        <v>277</v>
      </c>
      <c r="D20" s="86">
        <v>43.5</v>
      </c>
      <c r="E20" s="87">
        <v>13</v>
      </c>
      <c r="F20" s="86">
        <v>31.4</v>
      </c>
      <c r="G20" s="17">
        <v>10</v>
      </c>
      <c r="H20" s="88">
        <v>220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1</v>
      </c>
      <c r="R20" s="79">
        <v>1</v>
      </c>
      <c r="S20" s="79" t="s">
        <v>59</v>
      </c>
      <c r="T20" s="5">
        <v>43</v>
      </c>
      <c r="U20" s="9"/>
      <c r="W20" s="86">
        <f>D20</f>
        <v>43.5</v>
      </c>
      <c r="X20" s="87">
        <f>E20</f>
        <v>13</v>
      </c>
      <c r="Y20" s="92">
        <f>H20</f>
        <v>220</v>
      </c>
      <c r="Z20" s="90">
        <f>I20</f>
        <v>0</v>
      </c>
      <c r="AA20" s="90">
        <f>K20</f>
        <v>0</v>
      </c>
      <c r="AB20" s="90">
        <f t="shared" ref="AB20:AD21" si="9">M20</f>
        <v>0</v>
      </c>
      <c r="AC20" s="4" t="str">
        <f t="shared" si="9"/>
        <v/>
      </c>
      <c r="AD20" s="91">
        <f t="shared" si="9"/>
        <v>0</v>
      </c>
      <c r="AE20" s="79" t="str">
        <f>S20</f>
        <v>복</v>
      </c>
      <c r="AF20" s="79" t="str">
        <f>Q20&amp;"/"&amp;R20</f>
        <v>1/1</v>
      </c>
      <c r="AH20" s="20" t="str">
        <f t="shared" si="1"/>
        <v>서호e타운</v>
      </c>
      <c r="AI20" s="87">
        <f t="shared" si="0"/>
        <v>13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 t="s">
        <v>438</v>
      </c>
      <c r="B21" s="10" t="s">
        <v>1361</v>
      </c>
      <c r="C21" s="88">
        <v>277</v>
      </c>
      <c r="D21" s="86">
        <v>51.9</v>
      </c>
      <c r="E21" s="87">
        <v>16</v>
      </c>
      <c r="F21" s="86">
        <v>39.200000000000003</v>
      </c>
      <c r="G21" s="17">
        <v>12</v>
      </c>
      <c r="H21" s="88">
        <v>57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2</v>
      </c>
      <c r="R21" s="79">
        <v>1</v>
      </c>
      <c r="S21" s="79" t="s">
        <v>59</v>
      </c>
      <c r="T21" s="5">
        <v>51</v>
      </c>
      <c r="U21" s="9"/>
      <c r="W21" s="86">
        <f>D21</f>
        <v>51.9</v>
      </c>
      <c r="X21" s="87">
        <f>E21</f>
        <v>16</v>
      </c>
      <c r="Y21" s="92">
        <f>H21</f>
        <v>57</v>
      </c>
      <c r="Z21" s="90">
        <f>I21</f>
        <v>0</v>
      </c>
      <c r="AA21" s="90">
        <f>K21</f>
        <v>0</v>
      </c>
      <c r="AB21" s="90">
        <f t="shared" si="9"/>
        <v>0</v>
      </c>
      <c r="AC21" s="4" t="str">
        <f t="shared" si="9"/>
        <v/>
      </c>
      <c r="AD21" s="91">
        <f t="shared" si="9"/>
        <v>0</v>
      </c>
      <c r="AE21" s="79" t="str">
        <f>S21</f>
        <v>복</v>
      </c>
      <c r="AF21" s="79" t="str">
        <f>Q21&amp;"/"&amp;R21</f>
        <v>2/1</v>
      </c>
      <c r="AH21" s="20" t="str">
        <f t="shared" si="1"/>
        <v>서호e타운</v>
      </c>
      <c r="AI21" s="87">
        <f t="shared" si="0"/>
        <v>16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강내면 강내두진하트리움('18.08.,359^)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443</v>
      </c>
      <c r="B23" s="10" t="s">
        <v>1362</v>
      </c>
      <c r="C23" s="88">
        <v>359</v>
      </c>
      <c r="D23" s="86">
        <v>90.1</v>
      </c>
      <c r="E23" s="87">
        <v>27</v>
      </c>
      <c r="F23" s="86">
        <v>65.7</v>
      </c>
      <c r="G23" s="17">
        <v>20</v>
      </c>
      <c r="H23" s="88">
        <v>359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62</v>
      </c>
      <c r="T23" s="5">
        <v>90</v>
      </c>
      <c r="U23" s="9"/>
      <c r="W23" s="86">
        <f>D23</f>
        <v>90.1</v>
      </c>
      <c r="X23" s="87">
        <f>E23</f>
        <v>27</v>
      </c>
      <c r="Y23" s="92">
        <f>H23</f>
        <v>359</v>
      </c>
      <c r="Z23" s="90">
        <f>I23</f>
        <v>0</v>
      </c>
      <c r="AA23" s="90">
        <f>K23</f>
        <v>0</v>
      </c>
      <c r="AB23" s="90">
        <f>M23</f>
        <v>0</v>
      </c>
      <c r="AC23" s="4" t="str">
        <f>N23</f>
        <v/>
      </c>
      <c r="AD23" s="91">
        <f>O23</f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강내두진하트리움</v>
      </c>
      <c r="AI23" s="87">
        <f t="shared" si="0"/>
        <v>27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강내면 강내태암수정('97.12.,410^)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456</v>
      </c>
      <c r="B25" s="10" t="s">
        <v>1358</v>
      </c>
      <c r="C25" s="88">
        <v>410</v>
      </c>
      <c r="D25" s="86">
        <v>42</v>
      </c>
      <c r="E25" s="87">
        <v>13</v>
      </c>
      <c r="F25" s="86">
        <v>34.700000000000003</v>
      </c>
      <c r="G25" s="17">
        <v>10</v>
      </c>
      <c r="H25" s="88">
        <v>130</v>
      </c>
      <c r="I25" s="89"/>
      <c r="J25" s="89"/>
      <c r="K25" s="89"/>
      <c r="L25" s="89"/>
      <c r="M25" s="90">
        <f t="shared" ref="M25:M30" si="10">I25-K25</f>
        <v>0</v>
      </c>
      <c r="N25" s="4" t="str">
        <f t="shared" ref="N25:N30" si="11">IF(ISERROR(K25/I25),"",K25/I25)</f>
        <v/>
      </c>
      <c r="O25" s="91">
        <f t="shared" ref="O25:O30" si="12">I25/E25</f>
        <v>0</v>
      </c>
      <c r="P25" s="91">
        <f t="shared" ref="P25:P30" si="13">K25/E25</f>
        <v>0</v>
      </c>
      <c r="Q25" s="79">
        <v>1</v>
      </c>
      <c r="R25" s="79">
        <v>1</v>
      </c>
      <c r="S25" s="79" t="s">
        <v>62</v>
      </c>
      <c r="T25" s="5">
        <v>41</v>
      </c>
      <c r="U25" s="9"/>
      <c r="W25" s="86">
        <f t="shared" ref="W25:X30" si="14">D25</f>
        <v>42</v>
      </c>
      <c r="X25" s="87">
        <f t="shared" si="14"/>
        <v>13</v>
      </c>
      <c r="Y25" s="92">
        <f t="shared" ref="Y25:Z30" si="15">H25</f>
        <v>130</v>
      </c>
      <c r="Z25" s="90">
        <f t="shared" si="15"/>
        <v>0</v>
      </c>
      <c r="AA25" s="90">
        <f t="shared" ref="AA25:AA30" si="16">K25</f>
        <v>0</v>
      </c>
      <c r="AB25" s="90">
        <f t="shared" ref="AB25:AD30" si="17">M25</f>
        <v>0</v>
      </c>
      <c r="AC25" s="4" t="str">
        <f t="shared" si="17"/>
        <v/>
      </c>
      <c r="AD25" s="91">
        <f t="shared" si="17"/>
        <v>0</v>
      </c>
      <c r="AE25" s="79" t="str">
        <f t="shared" ref="AE25:AE30" si="18">S25</f>
        <v>계</v>
      </c>
      <c r="AF25" s="79" t="str">
        <f t="shared" ref="AF25:AF30" si="19">Q25&amp;"/"&amp;R25</f>
        <v>1/1</v>
      </c>
      <c r="AH25" s="20" t="str">
        <f t="shared" si="1"/>
        <v>강내태암수정</v>
      </c>
      <c r="AI25" s="87">
        <f t="shared" si="0"/>
        <v>13</v>
      </c>
      <c r="AJ25" s="79" t="str">
        <f t="shared" ref="AJ25:AJ30" si="20"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 t="shared" ref="AN25:AN30" si="21">IF(AI25="","",$AN$2)</f>
        <v>C</v>
      </c>
      <c r="AO25" s="79" t="str">
        <f t="shared" ref="AO25:AO30" si="22">IF(N25="","",IF(N25&gt;=$AO$1/100,"O","X"))</f>
        <v/>
      </c>
      <c r="AP25" s="79" t="str">
        <f t="shared" ref="AP25:AP30" si="23">IF(I25="","",IF(I25&lt;=$AP$1,"O","X"))</f>
        <v/>
      </c>
      <c r="AQ25" s="79" t="str">
        <f t="shared" ref="AQ25:AQ30" si="24">IF(O25="","",IF(O25&lt;=$AQ$1,"O","X"))</f>
        <v>O</v>
      </c>
      <c r="AR25" s="79" t="str">
        <f t="shared" ref="AR25:AR30" si="25">IF(M25="","",IF(M25&lt;=$AR$1,"O","X"))</f>
        <v>O</v>
      </c>
      <c r="AS25" s="79" t="s">
        <v>2</v>
      </c>
      <c r="AT25" s="79" t="str">
        <f t="shared" ref="AT25:AT30" si="26">IF(OR(F25="",AI25=""),"",IF(AND((F25&lt;=85),(AI25&gt;=15)),"O","X"))</f>
        <v>X</v>
      </c>
      <c r="AU25" s="79" t="str">
        <f t="shared" ref="AU25:AU30" si="27">IF(C25="","",IF(C25&gt;=$AU$1,"O","X"))</f>
        <v>O</v>
      </c>
      <c r="AV25" s="79" t="str">
        <f t="shared" ref="AV25:AV30" si="28">IF(AO25="","",IF(AND(AO25="O",AP25="O",AR25="O",AT25="O",AU25="O"),"후보","X"))</f>
        <v/>
      </c>
    </row>
    <row r="26" spans="1:48" x14ac:dyDescent="0.3">
      <c r="A26" s="9" t="s">
        <v>456</v>
      </c>
      <c r="B26" s="10" t="s">
        <v>1358</v>
      </c>
      <c r="C26" s="88">
        <v>410</v>
      </c>
      <c r="D26" s="86">
        <v>51.7</v>
      </c>
      <c r="E26" s="87">
        <v>16</v>
      </c>
      <c r="F26" s="86">
        <v>42.7</v>
      </c>
      <c r="G26" s="17">
        <v>13</v>
      </c>
      <c r="H26" s="88">
        <v>134</v>
      </c>
      <c r="I26" s="89"/>
      <c r="J26" s="89"/>
      <c r="K26" s="89"/>
      <c r="L26" s="89"/>
      <c r="M26" s="90">
        <f t="shared" si="10"/>
        <v>0</v>
      </c>
      <c r="N26" s="4" t="str">
        <f t="shared" si="11"/>
        <v/>
      </c>
      <c r="O26" s="91">
        <f t="shared" si="12"/>
        <v>0</v>
      </c>
      <c r="P26" s="91">
        <f t="shared" si="13"/>
        <v>0</v>
      </c>
      <c r="Q26" s="79">
        <v>2</v>
      </c>
      <c r="R26" s="79">
        <v>1</v>
      </c>
      <c r="S26" s="79" t="s">
        <v>62</v>
      </c>
      <c r="T26" s="5">
        <v>51</v>
      </c>
      <c r="U26" s="9"/>
      <c r="W26" s="86">
        <f t="shared" si="14"/>
        <v>51.7</v>
      </c>
      <c r="X26" s="87">
        <f t="shared" si="14"/>
        <v>16</v>
      </c>
      <c r="Y26" s="92">
        <f t="shared" si="15"/>
        <v>134</v>
      </c>
      <c r="Z26" s="90">
        <f t="shared" si="15"/>
        <v>0</v>
      </c>
      <c r="AA26" s="90">
        <f t="shared" si="16"/>
        <v>0</v>
      </c>
      <c r="AB26" s="90">
        <f t="shared" si="17"/>
        <v>0</v>
      </c>
      <c r="AC26" s="4" t="str">
        <f t="shared" si="17"/>
        <v/>
      </c>
      <c r="AD26" s="91">
        <f t="shared" si="17"/>
        <v>0</v>
      </c>
      <c r="AE26" s="79" t="str">
        <f t="shared" si="18"/>
        <v>계</v>
      </c>
      <c r="AF26" s="79" t="str">
        <f t="shared" si="19"/>
        <v>2/1</v>
      </c>
      <c r="AH26" s="20" t="str">
        <f t="shared" si="1"/>
        <v>강내태암수정</v>
      </c>
      <c r="AI26" s="87">
        <f t="shared" si="0"/>
        <v>16</v>
      </c>
      <c r="AJ26" s="79" t="str">
        <f t="shared" si="20"/>
        <v>A-</v>
      </c>
      <c r="AK26" s="79" t="s">
        <v>13</v>
      </c>
      <c r="AL26" s="79" t="s">
        <v>60</v>
      </c>
      <c r="AM26" s="79" t="s">
        <v>61</v>
      </c>
      <c r="AN26" s="79" t="str">
        <f t="shared" si="21"/>
        <v>C</v>
      </c>
      <c r="AO26" s="79" t="str">
        <f t="shared" si="22"/>
        <v/>
      </c>
      <c r="AP26" s="79" t="str">
        <f t="shared" si="23"/>
        <v/>
      </c>
      <c r="AQ26" s="79" t="str">
        <f t="shared" si="24"/>
        <v>O</v>
      </c>
      <c r="AR26" s="79" t="str">
        <f t="shared" si="25"/>
        <v>O</v>
      </c>
      <c r="AS26" s="79" t="s">
        <v>2</v>
      </c>
      <c r="AT26" s="79" t="str">
        <f t="shared" si="26"/>
        <v>O</v>
      </c>
      <c r="AU26" s="79" t="str">
        <f t="shared" si="27"/>
        <v>O</v>
      </c>
      <c r="AV26" s="79" t="str">
        <f t="shared" si="28"/>
        <v/>
      </c>
    </row>
    <row r="27" spans="1:48" x14ac:dyDescent="0.3">
      <c r="A27" s="9" t="s">
        <v>456</v>
      </c>
      <c r="B27" s="10" t="s">
        <v>1358</v>
      </c>
      <c r="C27" s="88">
        <v>410</v>
      </c>
      <c r="D27" s="86">
        <v>56.4</v>
      </c>
      <c r="E27" s="87">
        <v>17</v>
      </c>
      <c r="F27" s="86">
        <v>42.7</v>
      </c>
      <c r="G27" s="17">
        <v>13</v>
      </c>
      <c r="H27" s="88">
        <v>29</v>
      </c>
      <c r="I27" s="89"/>
      <c r="J27" s="89"/>
      <c r="K27" s="89"/>
      <c r="L27" s="89"/>
      <c r="M27" s="90">
        <f t="shared" si="10"/>
        <v>0</v>
      </c>
      <c r="N27" s="4" t="str">
        <f t="shared" si="11"/>
        <v/>
      </c>
      <c r="O27" s="91">
        <f t="shared" si="12"/>
        <v>0</v>
      </c>
      <c r="P27" s="91">
        <f t="shared" si="13"/>
        <v>0</v>
      </c>
      <c r="Q27" s="79">
        <v>2</v>
      </c>
      <c r="R27" s="79">
        <v>1</v>
      </c>
      <c r="S27" s="79" t="s">
        <v>62</v>
      </c>
      <c r="T27" s="5">
        <v>56</v>
      </c>
      <c r="U27" s="9"/>
      <c r="W27" s="86">
        <f t="shared" si="14"/>
        <v>56.4</v>
      </c>
      <c r="X27" s="87">
        <f t="shared" si="14"/>
        <v>17</v>
      </c>
      <c r="Y27" s="92">
        <f t="shared" si="15"/>
        <v>29</v>
      </c>
      <c r="Z27" s="90">
        <f t="shared" si="15"/>
        <v>0</v>
      </c>
      <c r="AA27" s="90">
        <f t="shared" si="16"/>
        <v>0</v>
      </c>
      <c r="AB27" s="90">
        <f t="shared" si="17"/>
        <v>0</v>
      </c>
      <c r="AC27" s="4" t="str">
        <f t="shared" si="17"/>
        <v/>
      </c>
      <c r="AD27" s="91">
        <f t="shared" si="17"/>
        <v>0</v>
      </c>
      <c r="AE27" s="79" t="str">
        <f t="shared" si="18"/>
        <v>계</v>
      </c>
      <c r="AF27" s="79" t="str">
        <f t="shared" si="19"/>
        <v>2/1</v>
      </c>
      <c r="AH27" s="20" t="str">
        <f t="shared" si="1"/>
        <v>강내태암수정</v>
      </c>
      <c r="AI27" s="87">
        <f t="shared" si="0"/>
        <v>17</v>
      </c>
      <c r="AJ27" s="79" t="str">
        <f t="shared" si="20"/>
        <v>A-</v>
      </c>
      <c r="AK27" s="79" t="s">
        <v>13</v>
      </c>
      <c r="AL27" s="79" t="s">
        <v>60</v>
      </c>
      <c r="AM27" s="79" t="s">
        <v>61</v>
      </c>
      <c r="AN27" s="79" t="str">
        <f t="shared" si="21"/>
        <v>C</v>
      </c>
      <c r="AO27" s="79" t="str">
        <f t="shared" si="22"/>
        <v/>
      </c>
      <c r="AP27" s="79" t="str">
        <f t="shared" si="23"/>
        <v/>
      </c>
      <c r="AQ27" s="79" t="str">
        <f t="shared" si="24"/>
        <v>O</v>
      </c>
      <c r="AR27" s="79" t="str">
        <f t="shared" si="25"/>
        <v>O</v>
      </c>
      <c r="AS27" s="79" t="s">
        <v>2</v>
      </c>
      <c r="AT27" s="79" t="str">
        <f t="shared" si="26"/>
        <v>O</v>
      </c>
      <c r="AU27" s="79" t="str">
        <f t="shared" si="27"/>
        <v>O</v>
      </c>
      <c r="AV27" s="79" t="str">
        <f t="shared" si="28"/>
        <v/>
      </c>
    </row>
    <row r="28" spans="1:48" x14ac:dyDescent="0.3">
      <c r="A28" s="9" t="s">
        <v>456</v>
      </c>
      <c r="B28" s="10" t="s">
        <v>1358</v>
      </c>
      <c r="C28" s="88">
        <v>410</v>
      </c>
      <c r="D28" s="86">
        <v>66.400000000000006</v>
      </c>
      <c r="E28" s="87">
        <v>20</v>
      </c>
      <c r="F28" s="86">
        <v>54.9</v>
      </c>
      <c r="G28" s="17">
        <v>17</v>
      </c>
      <c r="H28" s="88">
        <v>20</v>
      </c>
      <c r="I28" s="89"/>
      <c r="J28" s="89"/>
      <c r="K28" s="89"/>
      <c r="L28" s="89"/>
      <c r="M28" s="90">
        <f t="shared" si="10"/>
        <v>0</v>
      </c>
      <c r="N28" s="4" t="str">
        <f t="shared" si="11"/>
        <v/>
      </c>
      <c r="O28" s="91">
        <f t="shared" si="12"/>
        <v>0</v>
      </c>
      <c r="P28" s="91">
        <f t="shared" si="13"/>
        <v>0</v>
      </c>
      <c r="Q28" s="79">
        <v>2</v>
      </c>
      <c r="R28" s="79">
        <v>1</v>
      </c>
      <c r="S28" s="79" t="s">
        <v>62</v>
      </c>
      <c r="T28" s="5">
        <v>66</v>
      </c>
      <c r="U28" s="9"/>
      <c r="W28" s="86">
        <f t="shared" si="14"/>
        <v>66.400000000000006</v>
      </c>
      <c r="X28" s="87">
        <f t="shared" si="14"/>
        <v>20</v>
      </c>
      <c r="Y28" s="92">
        <f t="shared" si="15"/>
        <v>20</v>
      </c>
      <c r="Z28" s="90">
        <f t="shared" si="15"/>
        <v>0</v>
      </c>
      <c r="AA28" s="90">
        <f t="shared" si="16"/>
        <v>0</v>
      </c>
      <c r="AB28" s="90">
        <f t="shared" si="17"/>
        <v>0</v>
      </c>
      <c r="AC28" s="4" t="str">
        <f t="shared" si="17"/>
        <v/>
      </c>
      <c r="AD28" s="91">
        <f t="shared" si="17"/>
        <v>0</v>
      </c>
      <c r="AE28" s="79" t="str">
        <f t="shared" si="18"/>
        <v>계</v>
      </c>
      <c r="AF28" s="79" t="str">
        <f t="shared" si="19"/>
        <v>2/1</v>
      </c>
      <c r="AH28" s="20" t="str">
        <f t="shared" si="1"/>
        <v>강내태암수정</v>
      </c>
      <c r="AI28" s="87">
        <f t="shared" si="0"/>
        <v>20</v>
      </c>
      <c r="AJ28" s="79" t="str">
        <f t="shared" si="20"/>
        <v>A-</v>
      </c>
      <c r="AK28" s="79" t="s">
        <v>13</v>
      </c>
      <c r="AL28" s="79" t="s">
        <v>60</v>
      </c>
      <c r="AM28" s="79" t="s">
        <v>61</v>
      </c>
      <c r="AN28" s="79" t="str">
        <f t="shared" si="21"/>
        <v>C</v>
      </c>
      <c r="AO28" s="79" t="str">
        <f t="shared" si="22"/>
        <v/>
      </c>
      <c r="AP28" s="79" t="str">
        <f t="shared" si="23"/>
        <v/>
      </c>
      <c r="AQ28" s="79" t="str">
        <f t="shared" si="24"/>
        <v>O</v>
      </c>
      <c r="AR28" s="79" t="str">
        <f t="shared" si="25"/>
        <v>O</v>
      </c>
      <c r="AS28" s="79" t="s">
        <v>2</v>
      </c>
      <c r="AT28" s="79" t="str">
        <f t="shared" si="26"/>
        <v>O</v>
      </c>
      <c r="AU28" s="79" t="str">
        <f t="shared" si="27"/>
        <v>O</v>
      </c>
      <c r="AV28" s="79" t="str">
        <f t="shared" si="28"/>
        <v/>
      </c>
    </row>
    <row r="29" spans="1:48" x14ac:dyDescent="0.3">
      <c r="A29" s="9" t="s">
        <v>456</v>
      </c>
      <c r="B29" s="10" t="s">
        <v>1358</v>
      </c>
      <c r="C29" s="88">
        <v>410</v>
      </c>
      <c r="D29" s="86">
        <v>78.5</v>
      </c>
      <c r="E29" s="87">
        <v>24</v>
      </c>
      <c r="F29" s="86">
        <v>59.7</v>
      </c>
      <c r="G29" s="17">
        <v>18</v>
      </c>
      <c r="H29" s="88">
        <v>50</v>
      </c>
      <c r="I29" s="89"/>
      <c r="J29" s="89"/>
      <c r="K29" s="89"/>
      <c r="L29" s="89"/>
      <c r="M29" s="90">
        <f t="shared" si="10"/>
        <v>0</v>
      </c>
      <c r="N29" s="4" t="str">
        <f t="shared" si="11"/>
        <v/>
      </c>
      <c r="O29" s="91">
        <f t="shared" si="12"/>
        <v>0</v>
      </c>
      <c r="P29" s="91">
        <f t="shared" si="13"/>
        <v>0</v>
      </c>
      <c r="Q29" s="79">
        <v>3</v>
      </c>
      <c r="R29" s="79">
        <v>1</v>
      </c>
      <c r="S29" s="79" t="s">
        <v>62</v>
      </c>
      <c r="T29" s="5" t="s">
        <v>119</v>
      </c>
      <c r="U29" s="9"/>
      <c r="W29" s="86">
        <f t="shared" si="14"/>
        <v>78.5</v>
      </c>
      <c r="X29" s="87">
        <f t="shared" si="14"/>
        <v>24</v>
      </c>
      <c r="Y29" s="92">
        <f t="shared" si="15"/>
        <v>50</v>
      </c>
      <c r="Z29" s="90">
        <f t="shared" si="15"/>
        <v>0</v>
      </c>
      <c r="AA29" s="90">
        <f t="shared" si="16"/>
        <v>0</v>
      </c>
      <c r="AB29" s="90">
        <f t="shared" si="17"/>
        <v>0</v>
      </c>
      <c r="AC29" s="4" t="str">
        <f t="shared" si="17"/>
        <v/>
      </c>
      <c r="AD29" s="91">
        <f t="shared" si="17"/>
        <v>0</v>
      </c>
      <c r="AE29" s="79" t="str">
        <f t="shared" si="18"/>
        <v>계</v>
      </c>
      <c r="AF29" s="79" t="str">
        <f t="shared" si="19"/>
        <v>3/1</v>
      </c>
      <c r="AH29" s="20" t="str">
        <f t="shared" si="1"/>
        <v>강내태암수정</v>
      </c>
      <c r="AI29" s="87">
        <f t="shared" si="0"/>
        <v>24</v>
      </c>
      <c r="AJ29" s="79" t="str">
        <f t="shared" si="20"/>
        <v>A-</v>
      </c>
      <c r="AK29" s="79" t="s">
        <v>13</v>
      </c>
      <c r="AL29" s="79" t="s">
        <v>60</v>
      </c>
      <c r="AM29" s="79" t="s">
        <v>61</v>
      </c>
      <c r="AN29" s="79" t="str">
        <f t="shared" si="21"/>
        <v>C</v>
      </c>
      <c r="AO29" s="79" t="str">
        <f t="shared" si="22"/>
        <v/>
      </c>
      <c r="AP29" s="79" t="str">
        <f t="shared" si="23"/>
        <v/>
      </c>
      <c r="AQ29" s="79" t="str">
        <f t="shared" si="24"/>
        <v>O</v>
      </c>
      <c r="AR29" s="79" t="str">
        <f t="shared" si="25"/>
        <v>O</v>
      </c>
      <c r="AS29" s="79" t="s">
        <v>2</v>
      </c>
      <c r="AT29" s="79" t="str">
        <f t="shared" si="26"/>
        <v>O</v>
      </c>
      <c r="AU29" s="79" t="str">
        <f t="shared" si="27"/>
        <v>O</v>
      </c>
      <c r="AV29" s="79" t="str">
        <f t="shared" si="28"/>
        <v/>
      </c>
    </row>
    <row r="30" spans="1:48" x14ac:dyDescent="0.3">
      <c r="A30" s="9" t="s">
        <v>456</v>
      </c>
      <c r="B30" s="10" t="s">
        <v>1358</v>
      </c>
      <c r="C30" s="88">
        <v>410</v>
      </c>
      <c r="D30" s="86">
        <v>78.8</v>
      </c>
      <c r="E30" s="87">
        <v>24</v>
      </c>
      <c r="F30" s="86">
        <v>59.7</v>
      </c>
      <c r="G30" s="17">
        <v>18</v>
      </c>
      <c r="H30" s="88">
        <v>47</v>
      </c>
      <c r="I30" s="89"/>
      <c r="J30" s="89"/>
      <c r="K30" s="89"/>
      <c r="L30" s="89"/>
      <c r="M30" s="90">
        <f t="shared" si="10"/>
        <v>0</v>
      </c>
      <c r="N30" s="4" t="str">
        <f t="shared" si="11"/>
        <v/>
      </c>
      <c r="O30" s="91">
        <f t="shared" si="12"/>
        <v>0</v>
      </c>
      <c r="P30" s="91">
        <f t="shared" si="13"/>
        <v>0</v>
      </c>
      <c r="Q30" s="79">
        <v>3</v>
      </c>
      <c r="R30" s="79">
        <v>1</v>
      </c>
      <c r="S30" s="79" t="s">
        <v>62</v>
      </c>
      <c r="T30" s="5" t="s">
        <v>120</v>
      </c>
      <c r="U30" s="9"/>
      <c r="W30" s="86">
        <f t="shared" si="14"/>
        <v>78.8</v>
      </c>
      <c r="X30" s="87">
        <f t="shared" si="14"/>
        <v>24</v>
      </c>
      <c r="Y30" s="92">
        <f t="shared" si="15"/>
        <v>47</v>
      </c>
      <c r="Z30" s="90">
        <f t="shared" si="15"/>
        <v>0</v>
      </c>
      <c r="AA30" s="90">
        <f t="shared" si="16"/>
        <v>0</v>
      </c>
      <c r="AB30" s="90">
        <f t="shared" si="17"/>
        <v>0</v>
      </c>
      <c r="AC30" s="4" t="str">
        <f t="shared" si="17"/>
        <v/>
      </c>
      <c r="AD30" s="91">
        <f t="shared" si="17"/>
        <v>0</v>
      </c>
      <c r="AE30" s="79" t="str">
        <f t="shared" si="18"/>
        <v>계</v>
      </c>
      <c r="AF30" s="79" t="str">
        <f t="shared" si="19"/>
        <v>3/1</v>
      </c>
      <c r="AH30" s="20" t="str">
        <f t="shared" si="1"/>
        <v>강내태암수정</v>
      </c>
      <c r="AI30" s="87">
        <f t="shared" si="0"/>
        <v>24</v>
      </c>
      <c r="AJ30" s="79" t="str">
        <f t="shared" si="20"/>
        <v>A-</v>
      </c>
      <c r="AK30" s="79" t="s">
        <v>13</v>
      </c>
      <c r="AL30" s="79" t="s">
        <v>60</v>
      </c>
      <c r="AM30" s="79" t="s">
        <v>61</v>
      </c>
      <c r="AN30" s="79" t="str">
        <f t="shared" si="21"/>
        <v>C</v>
      </c>
      <c r="AO30" s="79" t="str">
        <f t="shared" si="22"/>
        <v/>
      </c>
      <c r="AP30" s="79" t="str">
        <f t="shared" si="23"/>
        <v/>
      </c>
      <c r="AQ30" s="79" t="str">
        <f t="shared" si="24"/>
        <v>O</v>
      </c>
      <c r="AR30" s="79" t="str">
        <f t="shared" si="25"/>
        <v>O</v>
      </c>
      <c r="AS30" s="79" t="s">
        <v>2</v>
      </c>
      <c r="AT30" s="79" t="str">
        <f t="shared" si="26"/>
        <v>O</v>
      </c>
      <c r="AU30" s="79" t="str">
        <f t="shared" si="27"/>
        <v>O</v>
      </c>
      <c r="AV30" s="79" t="str">
        <f t="shared" si="28"/>
        <v/>
      </c>
    </row>
  </sheetData>
  <mergeCells count="1">
    <mergeCell ref="AJ1:AN1"/>
  </mergeCells>
  <phoneticPr fontId="2" type="noConversion"/>
  <conditionalFormatting sqref="AV4:AV6">
    <cfRule type="expression" dxfId="4943" priority="406">
      <formula>AV4="X"</formula>
    </cfRule>
    <cfRule type="expression" dxfId="4942" priority="407">
      <formula>AV4="후보"</formula>
    </cfRule>
  </conditionalFormatting>
  <conditionalFormatting sqref="AC1:AC2 AC4:AC6 N4:N5">
    <cfRule type="cellIs" dxfId="4941" priority="403" operator="greaterThan">
      <formula>0.9</formula>
    </cfRule>
    <cfRule type="cellIs" dxfId="4940" priority="404" operator="greaterThan">
      <formula>0.85</formula>
    </cfRule>
  </conditionalFormatting>
  <conditionalFormatting sqref="N1:N2">
    <cfRule type="cellIs" dxfId="4939" priority="401" operator="greaterThan">
      <formula>0.9</formula>
    </cfRule>
    <cfRule type="cellIs" dxfId="4938" priority="402" operator="greaterThan">
      <formula>0.85</formula>
    </cfRule>
  </conditionalFormatting>
  <conditionalFormatting sqref="N6">
    <cfRule type="cellIs" dxfId="4937" priority="399" operator="greaterThan">
      <formula>0.9</formula>
    </cfRule>
    <cfRule type="cellIs" dxfId="4936" priority="400" operator="greaterThan">
      <formula>0.85</formula>
    </cfRule>
  </conditionalFormatting>
  <conditionalFormatting sqref="E6">
    <cfRule type="expression" dxfId="4935" priority="395">
      <formula>AND(IF(OR($Q6=1,$Q6=2),1,0),IF($X6&lt;=20,1,0))</formula>
    </cfRule>
    <cfRule type="expression" dxfId="4934" priority="396">
      <formula>AND(IF($Q6=2,1,0),IF($X6&lt;30,1,0))</formula>
    </cfRule>
    <cfRule type="expression" dxfId="4933" priority="397">
      <formula>AND(IF($Q6=3,1,0),IF($X6&lt;30,1,0))</formula>
    </cfRule>
    <cfRule type="expression" dxfId="4932" priority="398">
      <formula>AND(IF($Q6=3,1,IF($Q6=4,1,0)),IF($F6&lt;=85,1,0))</formula>
    </cfRule>
  </conditionalFormatting>
  <conditionalFormatting sqref="X6">
    <cfRule type="expression" dxfId="4931" priority="391">
      <formula>AND(IF(OR($Q6=1,$Q6=2),1,0),IF($X6&lt;=20,1,0))</formula>
    </cfRule>
    <cfRule type="expression" dxfId="4930" priority="392">
      <formula>AND(IF($Q6=2,1,0),IF($X6&lt;30,1,0))</formula>
    </cfRule>
    <cfRule type="expression" dxfId="4929" priority="393">
      <formula>AND(IF($Q6=3,1,0),IF($X6&lt;30,1,0))</formula>
    </cfRule>
    <cfRule type="expression" dxfId="4928" priority="394">
      <formula>AND(IF($Q6=3,1,IF($Q6=4,1,0)),IF($F6&lt;=85,1,0))</formula>
    </cfRule>
  </conditionalFormatting>
  <conditionalFormatting sqref="AI6">
    <cfRule type="expression" dxfId="4927" priority="387">
      <formula>AND(IF(OR($Q6=1,$Q6=2),1,0),IF($X6&lt;=20,1,0))</formula>
    </cfRule>
    <cfRule type="expression" dxfId="4926" priority="388">
      <formula>AND(IF($Q6=2,1,0),IF($X6&lt;30,1,0))</formula>
    </cfRule>
    <cfRule type="expression" dxfId="4925" priority="389">
      <formula>AND(IF($Q6=3,1,0),IF($X6&lt;30,1,0))</formula>
    </cfRule>
    <cfRule type="expression" dxfId="4924" priority="390">
      <formula>AND(IF($Q6=3,1,IF($Q6=4,1,0)),IF($F6&lt;=85,1,0))</formula>
    </cfRule>
  </conditionalFormatting>
  <conditionalFormatting sqref="AV7">
    <cfRule type="expression" dxfId="4923" priority="385">
      <formula>AV7="X"</formula>
    </cfRule>
    <cfRule type="expression" dxfId="4922" priority="386">
      <formula>AV7="후보"</formula>
    </cfRule>
  </conditionalFormatting>
  <conditionalFormatting sqref="AC7">
    <cfRule type="cellIs" dxfId="4921" priority="382" operator="greaterThan">
      <formula>0.9</formula>
    </cfRule>
    <cfRule type="cellIs" dxfId="4920" priority="383" operator="greaterThan">
      <formula>0.85</formula>
    </cfRule>
  </conditionalFormatting>
  <conditionalFormatting sqref="N7">
    <cfRule type="cellIs" dxfId="4919" priority="380" operator="greaterThan">
      <formula>0.9</formula>
    </cfRule>
    <cfRule type="cellIs" dxfId="4918" priority="381" operator="greaterThan">
      <formula>0.85</formula>
    </cfRule>
  </conditionalFormatting>
  <conditionalFormatting sqref="E7">
    <cfRule type="expression" dxfId="4917" priority="376">
      <formula>AND(IF(OR($Q7=1,$Q7=2),1,0),IF($X7&lt;=20,1,0))</formula>
    </cfRule>
    <cfRule type="expression" dxfId="4916" priority="377">
      <formula>AND(IF($Q7=2,1,0),IF($X7&lt;30,1,0))</formula>
    </cfRule>
    <cfRule type="expression" dxfId="4915" priority="378">
      <formula>AND(IF($Q7=3,1,0),IF($X7&lt;30,1,0))</formula>
    </cfRule>
    <cfRule type="expression" dxfId="4914" priority="379">
      <formula>AND(IF($Q7=3,1,IF($Q7=4,1,0)),IF($F7&lt;=85,1,0))</formula>
    </cfRule>
  </conditionalFormatting>
  <conditionalFormatting sqref="X7">
    <cfRule type="expression" dxfId="4913" priority="372">
      <formula>AND(IF(OR($Q7=1,$Q7=2),1,0),IF($X7&lt;=20,1,0))</formula>
    </cfRule>
    <cfRule type="expression" dxfId="4912" priority="373">
      <formula>AND(IF($Q7=2,1,0),IF($X7&lt;30,1,0))</formula>
    </cfRule>
    <cfRule type="expression" dxfId="4911" priority="374">
      <formula>AND(IF($Q7=3,1,0),IF($X7&lt;30,1,0))</formula>
    </cfRule>
    <cfRule type="expression" dxfId="4910" priority="375">
      <formula>AND(IF($Q7=3,1,IF($Q7=4,1,0)),IF($F7&lt;=85,1,0))</formula>
    </cfRule>
  </conditionalFormatting>
  <conditionalFormatting sqref="AI7">
    <cfRule type="expression" dxfId="4909" priority="368">
      <formula>AND(IF(OR($Q7=1,$Q7=2),1,0),IF($X7&lt;=20,1,0))</formula>
    </cfRule>
    <cfRule type="expression" dxfId="4908" priority="369">
      <formula>AND(IF($Q7=2,1,0),IF($X7&lt;30,1,0))</formula>
    </cfRule>
    <cfRule type="expression" dxfId="4907" priority="370">
      <formula>AND(IF($Q7=3,1,0),IF($X7&lt;30,1,0))</formula>
    </cfRule>
    <cfRule type="expression" dxfId="4906" priority="371">
      <formula>AND(IF($Q7=3,1,IF($Q7=4,1,0)),IF($F7&lt;=85,1,0))</formula>
    </cfRule>
  </conditionalFormatting>
  <conditionalFormatting sqref="AV8">
    <cfRule type="expression" dxfId="4905" priority="366">
      <formula>AV8="X"</formula>
    </cfRule>
    <cfRule type="expression" dxfId="4904" priority="367">
      <formula>AV8="후보"</formula>
    </cfRule>
  </conditionalFormatting>
  <conditionalFormatting sqref="AC8">
    <cfRule type="cellIs" dxfId="4903" priority="363" operator="greaterThan">
      <formula>0.9</formula>
    </cfRule>
    <cfRule type="cellIs" dxfId="4902" priority="364" operator="greaterThan">
      <formula>0.85</formula>
    </cfRule>
  </conditionalFormatting>
  <conditionalFormatting sqref="N8">
    <cfRule type="cellIs" dxfId="4901" priority="361" operator="greaterThan">
      <formula>0.9</formula>
    </cfRule>
    <cfRule type="cellIs" dxfId="4900" priority="362" operator="greaterThan">
      <formula>0.85</formula>
    </cfRule>
  </conditionalFormatting>
  <conditionalFormatting sqref="E8">
    <cfRule type="expression" dxfId="4899" priority="357">
      <formula>AND(IF(OR($Q8=1,$Q8=2),1,0),IF($X8&lt;=20,1,0))</formula>
    </cfRule>
    <cfRule type="expression" dxfId="4898" priority="358">
      <formula>AND(IF($Q8=2,1,0),IF($X8&lt;30,1,0))</formula>
    </cfRule>
    <cfRule type="expression" dxfId="4897" priority="359">
      <formula>AND(IF($Q8=3,1,0),IF($X8&lt;30,1,0))</formula>
    </cfRule>
    <cfRule type="expression" dxfId="4896" priority="360">
      <formula>AND(IF($Q8=3,1,IF($Q8=4,1,0)),IF($F8&lt;=85,1,0))</formula>
    </cfRule>
  </conditionalFormatting>
  <conditionalFormatting sqref="X8">
    <cfRule type="expression" dxfId="4895" priority="353">
      <formula>AND(IF(OR($Q8=1,$Q8=2),1,0),IF($X8&lt;=20,1,0))</formula>
    </cfRule>
    <cfRule type="expression" dxfId="4894" priority="354">
      <formula>AND(IF($Q8=2,1,0),IF($X8&lt;30,1,0))</formula>
    </cfRule>
    <cfRule type="expression" dxfId="4893" priority="355">
      <formula>AND(IF($Q8=3,1,0),IF($X8&lt;30,1,0))</formula>
    </cfRule>
    <cfRule type="expression" dxfId="4892" priority="356">
      <formula>AND(IF($Q8=3,1,IF($Q8=4,1,0)),IF($F8&lt;=85,1,0))</formula>
    </cfRule>
  </conditionalFormatting>
  <conditionalFormatting sqref="AI8">
    <cfRule type="expression" dxfId="4891" priority="349">
      <formula>AND(IF(OR($Q8=1,$Q8=2),1,0),IF($X8&lt;=20,1,0))</formula>
    </cfRule>
    <cfRule type="expression" dxfId="4890" priority="350">
      <formula>AND(IF($Q8=2,1,0),IF($X8&lt;30,1,0))</formula>
    </cfRule>
    <cfRule type="expression" dxfId="4889" priority="351">
      <formula>AND(IF($Q8=3,1,0),IF($X8&lt;30,1,0))</formula>
    </cfRule>
    <cfRule type="expression" dxfId="4888" priority="352">
      <formula>AND(IF($Q8=3,1,IF($Q8=4,1,0)),IF($F8&lt;=85,1,0))</formula>
    </cfRule>
  </conditionalFormatting>
  <conditionalFormatting sqref="AV9">
    <cfRule type="expression" dxfId="4887" priority="347">
      <formula>AV9="X"</formula>
    </cfRule>
    <cfRule type="expression" dxfId="4886" priority="348">
      <formula>AV9="후보"</formula>
    </cfRule>
  </conditionalFormatting>
  <conditionalFormatting sqref="AC9">
    <cfRule type="cellIs" dxfId="4885" priority="344" operator="greaterThan">
      <formula>0.9</formula>
    </cfRule>
    <cfRule type="cellIs" dxfId="4884" priority="345" operator="greaterThan">
      <formula>0.85</formula>
    </cfRule>
  </conditionalFormatting>
  <conditionalFormatting sqref="N9">
    <cfRule type="cellIs" dxfId="4883" priority="342" operator="greaterThan">
      <formula>0.9</formula>
    </cfRule>
    <cfRule type="cellIs" dxfId="4882" priority="343" operator="greaterThan">
      <formula>0.85</formula>
    </cfRule>
  </conditionalFormatting>
  <conditionalFormatting sqref="E9">
    <cfRule type="expression" dxfId="4881" priority="338">
      <formula>AND(IF(OR($Q9=1,$Q9=2),1,0),IF($X9&lt;=20,1,0))</formula>
    </cfRule>
    <cfRule type="expression" dxfId="4880" priority="339">
      <formula>AND(IF($Q9=2,1,0),IF($X9&lt;30,1,0))</formula>
    </cfRule>
    <cfRule type="expression" dxfId="4879" priority="340">
      <formula>AND(IF($Q9=3,1,0),IF($X9&lt;30,1,0))</formula>
    </cfRule>
    <cfRule type="expression" dxfId="4878" priority="341">
      <formula>AND(IF($Q9=3,1,IF($Q9=4,1,0)),IF($F9&lt;=85,1,0))</formula>
    </cfRule>
  </conditionalFormatting>
  <conditionalFormatting sqref="X9">
    <cfRule type="expression" dxfId="4877" priority="334">
      <formula>AND(IF(OR($Q9=1,$Q9=2),1,0),IF($X9&lt;=20,1,0))</formula>
    </cfRule>
    <cfRule type="expression" dxfId="4876" priority="335">
      <formula>AND(IF($Q9=2,1,0),IF($X9&lt;30,1,0))</formula>
    </cfRule>
    <cfRule type="expression" dxfId="4875" priority="336">
      <formula>AND(IF($Q9=3,1,0),IF($X9&lt;30,1,0))</formula>
    </cfRule>
    <cfRule type="expression" dxfId="4874" priority="337">
      <formula>AND(IF($Q9=3,1,IF($Q9=4,1,0)),IF($F9&lt;=85,1,0))</formula>
    </cfRule>
  </conditionalFormatting>
  <conditionalFormatting sqref="AI9">
    <cfRule type="expression" dxfId="4873" priority="330">
      <formula>AND(IF(OR($Q9=1,$Q9=2),1,0),IF($X9&lt;=20,1,0))</formula>
    </cfRule>
    <cfRule type="expression" dxfId="4872" priority="331">
      <formula>AND(IF($Q9=2,1,0),IF($X9&lt;30,1,0))</formula>
    </cfRule>
    <cfRule type="expression" dxfId="4871" priority="332">
      <formula>AND(IF($Q9=3,1,0),IF($X9&lt;30,1,0))</formula>
    </cfRule>
    <cfRule type="expression" dxfId="4870" priority="333">
      <formula>AND(IF($Q9=3,1,IF($Q9=4,1,0)),IF($F9&lt;=85,1,0))</formula>
    </cfRule>
  </conditionalFormatting>
  <conditionalFormatting sqref="AV10">
    <cfRule type="expression" dxfId="4869" priority="328">
      <formula>AV10="X"</formula>
    </cfRule>
    <cfRule type="expression" dxfId="4868" priority="329">
      <formula>AV10="후보"</formula>
    </cfRule>
  </conditionalFormatting>
  <conditionalFormatting sqref="AC10">
    <cfRule type="cellIs" dxfId="4867" priority="325" operator="greaterThan">
      <formula>0.9</formula>
    </cfRule>
    <cfRule type="cellIs" dxfId="4866" priority="326" operator="greaterThan">
      <formula>0.85</formula>
    </cfRule>
  </conditionalFormatting>
  <conditionalFormatting sqref="N10">
    <cfRule type="cellIs" dxfId="4865" priority="323" operator="greaterThan">
      <formula>0.9</formula>
    </cfRule>
    <cfRule type="cellIs" dxfId="4864" priority="324" operator="greaterThan">
      <formula>0.85</formula>
    </cfRule>
  </conditionalFormatting>
  <conditionalFormatting sqref="E10">
    <cfRule type="expression" dxfId="4863" priority="319">
      <formula>AND(IF(OR($Q10=1,$Q10=2),1,0),IF($X10&lt;=20,1,0))</formula>
    </cfRule>
    <cfRule type="expression" dxfId="4862" priority="320">
      <formula>AND(IF($Q10=2,1,0),IF($X10&lt;30,1,0))</formula>
    </cfRule>
    <cfRule type="expression" dxfId="4861" priority="321">
      <formula>AND(IF($Q10=3,1,0),IF($X10&lt;30,1,0))</formula>
    </cfRule>
    <cfRule type="expression" dxfId="4860" priority="322">
      <formula>AND(IF($Q10=3,1,IF($Q10=4,1,0)),IF($F10&lt;=85,1,0))</formula>
    </cfRule>
  </conditionalFormatting>
  <conditionalFormatting sqref="X10">
    <cfRule type="expression" dxfId="4859" priority="315">
      <formula>AND(IF(OR($Q10=1,$Q10=2),1,0),IF($X10&lt;=20,1,0))</formula>
    </cfRule>
    <cfRule type="expression" dxfId="4858" priority="316">
      <formula>AND(IF($Q10=2,1,0),IF($X10&lt;30,1,0))</formula>
    </cfRule>
    <cfRule type="expression" dxfId="4857" priority="317">
      <formula>AND(IF($Q10=3,1,0),IF($X10&lt;30,1,0))</formula>
    </cfRule>
    <cfRule type="expression" dxfId="4856" priority="318">
      <formula>AND(IF($Q10=3,1,IF($Q10=4,1,0)),IF($F10&lt;=85,1,0))</formula>
    </cfRule>
  </conditionalFormatting>
  <conditionalFormatting sqref="AI10">
    <cfRule type="expression" dxfId="4855" priority="311">
      <formula>AND(IF(OR($Q10=1,$Q10=2),1,0),IF($X10&lt;=20,1,0))</formula>
    </cfRule>
    <cfRule type="expression" dxfId="4854" priority="312">
      <formula>AND(IF($Q10=2,1,0),IF($X10&lt;30,1,0))</formula>
    </cfRule>
    <cfRule type="expression" dxfId="4853" priority="313">
      <formula>AND(IF($Q10=3,1,0),IF($X10&lt;30,1,0))</formula>
    </cfRule>
    <cfRule type="expression" dxfId="4852" priority="314">
      <formula>AND(IF($Q10=3,1,IF($Q10=4,1,0)),IF($F10&lt;=85,1,0))</formula>
    </cfRule>
  </conditionalFormatting>
  <conditionalFormatting sqref="AV11">
    <cfRule type="expression" dxfId="4851" priority="309">
      <formula>AV11="X"</formula>
    </cfRule>
    <cfRule type="expression" dxfId="4850" priority="310">
      <formula>AV11="후보"</formula>
    </cfRule>
  </conditionalFormatting>
  <conditionalFormatting sqref="AC11 N11">
    <cfRule type="cellIs" dxfId="4849" priority="306" operator="greaterThan">
      <formula>0.9</formula>
    </cfRule>
    <cfRule type="cellIs" dxfId="4848" priority="307" operator="greaterThan">
      <formula>0.85</formula>
    </cfRule>
  </conditionalFormatting>
  <conditionalFormatting sqref="AV12">
    <cfRule type="expression" dxfId="4847" priority="304">
      <formula>AV12="X"</formula>
    </cfRule>
    <cfRule type="expression" dxfId="4846" priority="305">
      <formula>AV12="후보"</formula>
    </cfRule>
  </conditionalFormatting>
  <conditionalFormatting sqref="AC12">
    <cfRule type="cellIs" dxfId="4845" priority="301" operator="greaterThan">
      <formula>0.9</formula>
    </cfRule>
    <cfRule type="cellIs" dxfId="4844" priority="302" operator="greaterThan">
      <formula>0.85</formula>
    </cfRule>
  </conditionalFormatting>
  <conditionalFormatting sqref="N12">
    <cfRule type="cellIs" dxfId="4843" priority="299" operator="greaterThan">
      <formula>0.9</formula>
    </cfRule>
    <cfRule type="cellIs" dxfId="4842" priority="300" operator="greaterThan">
      <formula>0.85</formula>
    </cfRule>
  </conditionalFormatting>
  <conditionalFormatting sqref="E12">
    <cfRule type="expression" dxfId="4841" priority="295">
      <formula>AND(IF(OR($Q12=1,$Q12=2),1,0),IF($X12&lt;=20,1,0))</formula>
    </cfRule>
    <cfRule type="expression" dxfId="4840" priority="296">
      <formula>AND(IF($Q12=2,1,0),IF($X12&lt;30,1,0))</formula>
    </cfRule>
    <cfRule type="expression" dxfId="4839" priority="297">
      <formula>AND(IF($Q12=3,1,0),IF($X12&lt;30,1,0))</formula>
    </cfRule>
    <cfRule type="expression" dxfId="4838" priority="298">
      <formula>AND(IF($Q12=3,1,IF($Q12=4,1,0)),IF($F12&lt;=85,1,0))</formula>
    </cfRule>
  </conditionalFormatting>
  <conditionalFormatting sqref="X12">
    <cfRule type="expression" dxfId="4837" priority="291">
      <formula>AND(IF(OR($Q12=1,$Q12=2),1,0),IF($X12&lt;=20,1,0))</formula>
    </cfRule>
    <cfRule type="expression" dxfId="4836" priority="292">
      <formula>AND(IF($Q12=2,1,0),IF($X12&lt;30,1,0))</formula>
    </cfRule>
    <cfRule type="expression" dxfId="4835" priority="293">
      <formula>AND(IF($Q12=3,1,0),IF($X12&lt;30,1,0))</formula>
    </cfRule>
    <cfRule type="expression" dxfId="4834" priority="294">
      <formula>AND(IF($Q12=3,1,IF($Q12=4,1,0)),IF($F12&lt;=85,1,0))</formula>
    </cfRule>
  </conditionalFormatting>
  <conditionalFormatting sqref="AI12">
    <cfRule type="expression" dxfId="4833" priority="287">
      <formula>AND(IF(OR($Q12=1,$Q12=2),1,0),IF($X12&lt;=20,1,0))</formula>
    </cfRule>
    <cfRule type="expression" dxfId="4832" priority="288">
      <formula>AND(IF($Q12=2,1,0),IF($X12&lt;30,1,0))</formula>
    </cfRule>
    <cfRule type="expression" dxfId="4831" priority="289">
      <formula>AND(IF($Q12=3,1,0),IF($X12&lt;30,1,0))</formula>
    </cfRule>
    <cfRule type="expression" dxfId="4830" priority="290">
      <formula>AND(IF($Q12=3,1,IF($Q12=4,1,0)),IF($F12&lt;=85,1,0))</formula>
    </cfRule>
  </conditionalFormatting>
  <conditionalFormatting sqref="AV13">
    <cfRule type="expression" dxfId="4829" priority="285">
      <formula>AV13="X"</formula>
    </cfRule>
    <cfRule type="expression" dxfId="4828" priority="286">
      <formula>AV13="후보"</formula>
    </cfRule>
  </conditionalFormatting>
  <conditionalFormatting sqref="AC13">
    <cfRule type="cellIs" dxfId="4827" priority="282" operator="greaterThan">
      <formula>0.9</formula>
    </cfRule>
    <cfRule type="cellIs" dxfId="4826" priority="283" operator="greaterThan">
      <formula>0.85</formula>
    </cfRule>
  </conditionalFormatting>
  <conditionalFormatting sqref="N13">
    <cfRule type="cellIs" dxfId="4825" priority="280" operator="greaterThan">
      <formula>0.9</formula>
    </cfRule>
    <cfRule type="cellIs" dxfId="4824" priority="281" operator="greaterThan">
      <formula>0.85</formula>
    </cfRule>
  </conditionalFormatting>
  <conditionalFormatting sqref="E13">
    <cfRule type="expression" dxfId="4823" priority="276">
      <formula>AND(IF(OR($Q13=1,$Q13=2),1,0),IF($X13&lt;=20,1,0))</formula>
    </cfRule>
    <cfRule type="expression" dxfId="4822" priority="277">
      <formula>AND(IF($Q13=2,1,0),IF($X13&lt;30,1,0))</formula>
    </cfRule>
    <cfRule type="expression" dxfId="4821" priority="278">
      <formula>AND(IF($Q13=3,1,0),IF($X13&lt;30,1,0))</formula>
    </cfRule>
    <cfRule type="expression" dxfId="4820" priority="279">
      <formula>AND(IF($Q13=3,1,IF($Q13=4,1,0)),IF($F13&lt;=85,1,0))</formula>
    </cfRule>
  </conditionalFormatting>
  <conditionalFormatting sqref="X13">
    <cfRule type="expression" dxfId="4819" priority="272">
      <formula>AND(IF(OR($Q13=1,$Q13=2),1,0),IF($X13&lt;=20,1,0))</formula>
    </cfRule>
    <cfRule type="expression" dxfId="4818" priority="273">
      <formula>AND(IF($Q13=2,1,0),IF($X13&lt;30,1,0))</formula>
    </cfRule>
    <cfRule type="expression" dxfId="4817" priority="274">
      <formula>AND(IF($Q13=3,1,0),IF($X13&lt;30,1,0))</formula>
    </cfRule>
    <cfRule type="expression" dxfId="4816" priority="275">
      <formula>AND(IF($Q13=3,1,IF($Q13=4,1,0)),IF($F13&lt;=85,1,0))</formula>
    </cfRule>
  </conditionalFormatting>
  <conditionalFormatting sqref="AI13">
    <cfRule type="expression" dxfId="4815" priority="268">
      <formula>AND(IF(OR($Q13=1,$Q13=2),1,0),IF($X13&lt;=20,1,0))</formula>
    </cfRule>
    <cfRule type="expression" dxfId="4814" priority="269">
      <formula>AND(IF($Q13=2,1,0),IF($X13&lt;30,1,0))</formula>
    </cfRule>
    <cfRule type="expression" dxfId="4813" priority="270">
      <formula>AND(IF($Q13=3,1,0),IF($X13&lt;30,1,0))</formula>
    </cfRule>
    <cfRule type="expression" dxfId="4812" priority="271">
      <formula>AND(IF($Q13=3,1,IF($Q13=4,1,0)),IF($F13&lt;=85,1,0))</formula>
    </cfRule>
  </conditionalFormatting>
  <conditionalFormatting sqref="AV14">
    <cfRule type="expression" dxfId="4811" priority="266">
      <formula>AV14="X"</formula>
    </cfRule>
    <cfRule type="expression" dxfId="4810" priority="267">
      <formula>AV14="후보"</formula>
    </cfRule>
  </conditionalFormatting>
  <conditionalFormatting sqref="AC14">
    <cfRule type="cellIs" dxfId="4809" priority="263" operator="greaterThan">
      <formula>0.9</formula>
    </cfRule>
    <cfRule type="cellIs" dxfId="4808" priority="264" operator="greaterThan">
      <formula>0.85</formula>
    </cfRule>
  </conditionalFormatting>
  <conditionalFormatting sqref="N14">
    <cfRule type="cellIs" dxfId="4807" priority="261" operator="greaterThan">
      <formula>0.9</formula>
    </cfRule>
    <cfRule type="cellIs" dxfId="4806" priority="262" operator="greaterThan">
      <formula>0.85</formula>
    </cfRule>
  </conditionalFormatting>
  <conditionalFormatting sqref="E14">
    <cfRule type="expression" dxfId="4805" priority="257">
      <formula>AND(IF(OR($Q14=1,$Q14=2),1,0),IF($X14&lt;=20,1,0))</formula>
    </cfRule>
    <cfRule type="expression" dxfId="4804" priority="258">
      <formula>AND(IF($Q14=2,1,0),IF($X14&lt;30,1,0))</formula>
    </cfRule>
    <cfRule type="expression" dxfId="4803" priority="259">
      <formula>AND(IF($Q14=3,1,0),IF($X14&lt;30,1,0))</formula>
    </cfRule>
    <cfRule type="expression" dxfId="4802" priority="260">
      <formula>AND(IF($Q14=3,1,IF($Q14=4,1,0)),IF($F14&lt;=85,1,0))</formula>
    </cfRule>
  </conditionalFormatting>
  <conditionalFormatting sqref="X14">
    <cfRule type="expression" dxfId="4801" priority="253">
      <formula>AND(IF(OR($Q14=1,$Q14=2),1,0),IF($X14&lt;=20,1,0))</formula>
    </cfRule>
    <cfRule type="expression" dxfId="4800" priority="254">
      <formula>AND(IF($Q14=2,1,0),IF($X14&lt;30,1,0))</formula>
    </cfRule>
    <cfRule type="expression" dxfId="4799" priority="255">
      <formula>AND(IF($Q14=3,1,0),IF($X14&lt;30,1,0))</formula>
    </cfRule>
    <cfRule type="expression" dxfId="4798" priority="256">
      <formula>AND(IF($Q14=3,1,IF($Q14=4,1,0)),IF($F14&lt;=85,1,0))</formula>
    </cfRule>
  </conditionalFormatting>
  <conditionalFormatting sqref="AI14">
    <cfRule type="expression" dxfId="4797" priority="249">
      <formula>AND(IF(OR($Q14=1,$Q14=2),1,0),IF($X14&lt;=20,1,0))</formula>
    </cfRule>
    <cfRule type="expression" dxfId="4796" priority="250">
      <formula>AND(IF($Q14=2,1,0),IF($X14&lt;30,1,0))</formula>
    </cfRule>
    <cfRule type="expression" dxfId="4795" priority="251">
      <formula>AND(IF($Q14=3,1,0),IF($X14&lt;30,1,0))</formula>
    </cfRule>
    <cfRule type="expression" dxfId="4794" priority="252">
      <formula>AND(IF($Q14=3,1,IF($Q14=4,1,0)),IF($F14&lt;=85,1,0))</formula>
    </cfRule>
  </conditionalFormatting>
  <conditionalFormatting sqref="AV15">
    <cfRule type="expression" dxfId="4793" priority="247">
      <formula>AV15="X"</formula>
    </cfRule>
    <cfRule type="expression" dxfId="4792" priority="248">
      <formula>AV15="후보"</formula>
    </cfRule>
  </conditionalFormatting>
  <conditionalFormatting sqref="AC15">
    <cfRule type="cellIs" dxfId="4791" priority="244" operator="greaterThan">
      <formula>0.9</formula>
    </cfRule>
    <cfRule type="cellIs" dxfId="4790" priority="245" operator="greaterThan">
      <formula>0.85</formula>
    </cfRule>
  </conditionalFormatting>
  <conditionalFormatting sqref="N15">
    <cfRule type="cellIs" dxfId="4789" priority="242" operator="greaterThan">
      <formula>0.9</formula>
    </cfRule>
    <cfRule type="cellIs" dxfId="4788" priority="243" operator="greaterThan">
      <formula>0.85</formula>
    </cfRule>
  </conditionalFormatting>
  <conditionalFormatting sqref="E15">
    <cfRule type="expression" dxfId="4787" priority="238">
      <formula>AND(IF(OR($Q15=1,$Q15=2),1,0),IF($X15&lt;=20,1,0))</formula>
    </cfRule>
    <cfRule type="expression" dxfId="4786" priority="239">
      <formula>AND(IF($Q15=2,1,0),IF($X15&lt;30,1,0))</formula>
    </cfRule>
    <cfRule type="expression" dxfId="4785" priority="240">
      <formula>AND(IF($Q15=3,1,0),IF($X15&lt;30,1,0))</formula>
    </cfRule>
    <cfRule type="expression" dxfId="4784" priority="241">
      <formula>AND(IF($Q15=3,1,IF($Q15=4,1,0)),IF($F15&lt;=85,1,0))</formula>
    </cfRule>
  </conditionalFormatting>
  <conditionalFormatting sqref="X15">
    <cfRule type="expression" dxfId="4783" priority="234">
      <formula>AND(IF(OR($Q15=1,$Q15=2),1,0),IF($X15&lt;=20,1,0))</formula>
    </cfRule>
    <cfRule type="expression" dxfId="4782" priority="235">
      <formula>AND(IF($Q15=2,1,0),IF($X15&lt;30,1,0))</formula>
    </cfRule>
    <cfRule type="expression" dxfId="4781" priority="236">
      <formula>AND(IF($Q15=3,1,0),IF($X15&lt;30,1,0))</formula>
    </cfRule>
    <cfRule type="expression" dxfId="4780" priority="237">
      <formula>AND(IF($Q15=3,1,IF($Q15=4,1,0)),IF($F15&lt;=85,1,0))</formula>
    </cfRule>
  </conditionalFormatting>
  <conditionalFormatting sqref="AI15">
    <cfRule type="expression" dxfId="4779" priority="230">
      <formula>AND(IF(OR($Q15=1,$Q15=2),1,0),IF($X15&lt;=20,1,0))</formula>
    </cfRule>
    <cfRule type="expression" dxfId="4778" priority="231">
      <formula>AND(IF($Q15=2,1,0),IF($X15&lt;30,1,0))</formula>
    </cfRule>
    <cfRule type="expression" dxfId="4777" priority="232">
      <formula>AND(IF($Q15=3,1,0),IF($X15&lt;30,1,0))</formula>
    </cfRule>
    <cfRule type="expression" dxfId="4776" priority="233">
      <formula>AND(IF($Q15=3,1,IF($Q15=4,1,0)),IF($F15&lt;=85,1,0))</formula>
    </cfRule>
  </conditionalFormatting>
  <conditionalFormatting sqref="AV16">
    <cfRule type="expression" dxfId="4775" priority="228">
      <formula>AV16="X"</formula>
    </cfRule>
    <cfRule type="expression" dxfId="4774" priority="229">
      <formula>AV16="후보"</formula>
    </cfRule>
  </conditionalFormatting>
  <conditionalFormatting sqref="AC16 N16">
    <cfRule type="cellIs" dxfId="4773" priority="225" operator="greaterThan">
      <formula>0.9</formula>
    </cfRule>
    <cfRule type="cellIs" dxfId="4772" priority="226" operator="greaterThan">
      <formula>0.85</formula>
    </cfRule>
  </conditionalFormatting>
  <conditionalFormatting sqref="AV17">
    <cfRule type="expression" dxfId="4771" priority="223">
      <formula>AV17="X"</formula>
    </cfRule>
    <cfRule type="expression" dxfId="4770" priority="224">
      <formula>AV17="후보"</formula>
    </cfRule>
  </conditionalFormatting>
  <conditionalFormatting sqref="AC17">
    <cfRule type="cellIs" dxfId="4769" priority="220" operator="greaterThan">
      <formula>0.9</formula>
    </cfRule>
    <cfRule type="cellIs" dxfId="4768" priority="221" operator="greaterThan">
      <formula>0.85</formula>
    </cfRule>
  </conditionalFormatting>
  <conditionalFormatting sqref="N17">
    <cfRule type="cellIs" dxfId="4767" priority="218" operator="greaterThan">
      <formula>0.9</formula>
    </cfRule>
    <cfRule type="cellIs" dxfId="4766" priority="219" operator="greaterThan">
      <formula>0.85</formula>
    </cfRule>
  </conditionalFormatting>
  <conditionalFormatting sqref="E17">
    <cfRule type="expression" dxfId="4765" priority="214">
      <formula>AND(IF(OR($Q17=1,$Q17=2),1,0),IF($X17&lt;=20,1,0))</formula>
    </cfRule>
    <cfRule type="expression" dxfId="4764" priority="215">
      <formula>AND(IF($Q17=2,1,0),IF($X17&lt;30,1,0))</formula>
    </cfRule>
    <cfRule type="expression" dxfId="4763" priority="216">
      <formula>AND(IF($Q17=3,1,0),IF($X17&lt;30,1,0))</formula>
    </cfRule>
    <cfRule type="expression" dxfId="4762" priority="217">
      <formula>AND(IF($Q17=3,1,IF($Q17=4,1,0)),IF($F17&lt;=85,1,0))</formula>
    </cfRule>
  </conditionalFormatting>
  <conditionalFormatting sqref="X17">
    <cfRule type="expression" dxfId="4761" priority="210">
      <formula>AND(IF(OR($Q17=1,$Q17=2),1,0),IF($X17&lt;=20,1,0))</formula>
    </cfRule>
    <cfRule type="expression" dxfId="4760" priority="211">
      <formula>AND(IF($Q17=2,1,0),IF($X17&lt;30,1,0))</formula>
    </cfRule>
    <cfRule type="expression" dxfId="4759" priority="212">
      <formula>AND(IF($Q17=3,1,0),IF($X17&lt;30,1,0))</formula>
    </cfRule>
    <cfRule type="expression" dxfId="4758" priority="213">
      <formula>AND(IF($Q17=3,1,IF($Q17=4,1,0)),IF($F17&lt;=85,1,0))</formula>
    </cfRule>
  </conditionalFormatting>
  <conditionalFormatting sqref="AI17">
    <cfRule type="expression" dxfId="4757" priority="206">
      <formula>AND(IF(OR($Q17=1,$Q17=2),1,0),IF($X17&lt;=20,1,0))</formula>
    </cfRule>
    <cfRule type="expression" dxfId="4756" priority="207">
      <formula>AND(IF($Q17=2,1,0),IF($X17&lt;30,1,0))</formula>
    </cfRule>
    <cfRule type="expression" dxfId="4755" priority="208">
      <formula>AND(IF($Q17=3,1,0),IF($X17&lt;30,1,0))</formula>
    </cfRule>
    <cfRule type="expression" dxfId="4754" priority="209">
      <formula>AND(IF($Q17=3,1,IF($Q17=4,1,0)),IF($F17&lt;=85,1,0))</formula>
    </cfRule>
  </conditionalFormatting>
  <conditionalFormatting sqref="AV18">
    <cfRule type="expression" dxfId="4753" priority="204">
      <formula>AV18="X"</formula>
    </cfRule>
    <cfRule type="expression" dxfId="4752" priority="205">
      <formula>AV18="후보"</formula>
    </cfRule>
  </conditionalFormatting>
  <conditionalFormatting sqref="AC18">
    <cfRule type="cellIs" dxfId="4751" priority="201" operator="greaterThan">
      <formula>0.9</formula>
    </cfRule>
    <cfRule type="cellIs" dxfId="4750" priority="202" operator="greaterThan">
      <formula>0.85</formula>
    </cfRule>
  </conditionalFormatting>
  <conditionalFormatting sqref="N18">
    <cfRule type="cellIs" dxfId="4749" priority="199" operator="greaterThan">
      <formula>0.9</formula>
    </cfRule>
    <cfRule type="cellIs" dxfId="4748" priority="200" operator="greaterThan">
      <formula>0.85</formula>
    </cfRule>
  </conditionalFormatting>
  <conditionalFormatting sqref="E18">
    <cfRule type="expression" dxfId="4747" priority="195">
      <formula>AND(IF(OR($Q18=1,$Q18=2),1,0),IF($X18&lt;=20,1,0))</formula>
    </cfRule>
    <cfRule type="expression" dxfId="4746" priority="196">
      <formula>AND(IF($Q18=2,1,0),IF($X18&lt;30,1,0))</formula>
    </cfRule>
    <cfRule type="expression" dxfId="4745" priority="197">
      <formula>AND(IF($Q18=3,1,0),IF($X18&lt;30,1,0))</formula>
    </cfRule>
    <cfRule type="expression" dxfId="4744" priority="198">
      <formula>AND(IF($Q18=3,1,IF($Q18=4,1,0)),IF($F18&lt;=85,1,0))</formula>
    </cfRule>
  </conditionalFormatting>
  <conditionalFormatting sqref="X18">
    <cfRule type="expression" dxfId="4743" priority="191">
      <formula>AND(IF(OR($Q18=1,$Q18=2),1,0),IF($X18&lt;=20,1,0))</formula>
    </cfRule>
    <cfRule type="expression" dxfId="4742" priority="192">
      <formula>AND(IF($Q18=2,1,0),IF($X18&lt;30,1,0))</formula>
    </cfRule>
    <cfRule type="expression" dxfId="4741" priority="193">
      <formula>AND(IF($Q18=3,1,0),IF($X18&lt;30,1,0))</formula>
    </cfRule>
    <cfRule type="expression" dxfId="4740" priority="194">
      <formula>AND(IF($Q18=3,1,IF($Q18=4,1,0)),IF($F18&lt;=85,1,0))</formula>
    </cfRule>
  </conditionalFormatting>
  <conditionalFormatting sqref="AI18">
    <cfRule type="expression" dxfId="4739" priority="187">
      <formula>AND(IF(OR($Q18=1,$Q18=2),1,0),IF($X18&lt;=20,1,0))</formula>
    </cfRule>
    <cfRule type="expression" dxfId="4738" priority="188">
      <formula>AND(IF($Q18=2,1,0),IF($X18&lt;30,1,0))</formula>
    </cfRule>
    <cfRule type="expression" dxfId="4737" priority="189">
      <formula>AND(IF($Q18=3,1,0),IF($X18&lt;30,1,0))</formula>
    </cfRule>
    <cfRule type="expression" dxfId="4736" priority="190">
      <formula>AND(IF($Q18=3,1,IF($Q18=4,1,0)),IF($F18&lt;=85,1,0))</formula>
    </cfRule>
  </conditionalFormatting>
  <conditionalFormatting sqref="AV19">
    <cfRule type="expression" dxfId="4735" priority="185">
      <formula>AV19="X"</formula>
    </cfRule>
    <cfRule type="expression" dxfId="4734" priority="186">
      <formula>AV19="후보"</formula>
    </cfRule>
  </conditionalFormatting>
  <conditionalFormatting sqref="AC19 N19">
    <cfRule type="cellIs" dxfId="4733" priority="182" operator="greaterThan">
      <formula>0.9</formula>
    </cfRule>
    <cfRule type="cellIs" dxfId="4732" priority="183" operator="greaterThan">
      <formula>0.85</formula>
    </cfRule>
  </conditionalFormatting>
  <conditionalFormatting sqref="AV20">
    <cfRule type="expression" dxfId="4731" priority="180">
      <formula>AV20="X"</formula>
    </cfRule>
    <cfRule type="expression" dxfId="4730" priority="181">
      <formula>AV20="후보"</formula>
    </cfRule>
  </conditionalFormatting>
  <conditionalFormatting sqref="AC20">
    <cfRule type="cellIs" dxfId="4729" priority="177" operator="greaterThan">
      <formula>0.9</formula>
    </cfRule>
    <cfRule type="cellIs" dxfId="4728" priority="178" operator="greaterThan">
      <formula>0.85</formula>
    </cfRule>
  </conditionalFormatting>
  <conditionalFormatting sqref="N20">
    <cfRule type="cellIs" dxfId="4727" priority="175" operator="greaterThan">
      <formula>0.9</formula>
    </cfRule>
    <cfRule type="cellIs" dxfId="4726" priority="176" operator="greaterThan">
      <formula>0.85</formula>
    </cfRule>
  </conditionalFormatting>
  <conditionalFormatting sqref="E20">
    <cfRule type="expression" dxfId="4725" priority="171">
      <formula>AND(IF(OR($Q20=1,$Q20=2),1,0),IF($X20&lt;=20,1,0))</formula>
    </cfRule>
    <cfRule type="expression" dxfId="4724" priority="172">
      <formula>AND(IF($Q20=2,1,0),IF($X20&lt;30,1,0))</formula>
    </cfRule>
    <cfRule type="expression" dxfId="4723" priority="173">
      <formula>AND(IF($Q20=3,1,0),IF($X20&lt;30,1,0))</formula>
    </cfRule>
    <cfRule type="expression" dxfId="4722" priority="174">
      <formula>AND(IF($Q20=3,1,IF($Q20=4,1,0)),IF($F20&lt;=85,1,0))</formula>
    </cfRule>
  </conditionalFormatting>
  <conditionalFormatting sqref="X20">
    <cfRule type="expression" dxfId="4721" priority="167">
      <formula>AND(IF(OR($Q20=1,$Q20=2),1,0),IF($X20&lt;=20,1,0))</formula>
    </cfRule>
    <cfRule type="expression" dxfId="4720" priority="168">
      <formula>AND(IF($Q20=2,1,0),IF($X20&lt;30,1,0))</formula>
    </cfRule>
    <cfRule type="expression" dxfId="4719" priority="169">
      <formula>AND(IF($Q20=3,1,0),IF($X20&lt;30,1,0))</formula>
    </cfRule>
    <cfRule type="expression" dxfId="4718" priority="170">
      <formula>AND(IF($Q20=3,1,IF($Q20=4,1,0)),IF($F20&lt;=85,1,0))</formula>
    </cfRule>
  </conditionalFormatting>
  <conditionalFormatting sqref="AI20">
    <cfRule type="expression" dxfId="4717" priority="163">
      <formula>AND(IF(OR($Q20=1,$Q20=2),1,0),IF($X20&lt;=20,1,0))</formula>
    </cfRule>
    <cfRule type="expression" dxfId="4716" priority="164">
      <formula>AND(IF($Q20=2,1,0),IF($X20&lt;30,1,0))</formula>
    </cfRule>
    <cfRule type="expression" dxfId="4715" priority="165">
      <formula>AND(IF($Q20=3,1,0),IF($X20&lt;30,1,0))</formula>
    </cfRule>
    <cfRule type="expression" dxfId="4714" priority="166">
      <formula>AND(IF($Q20=3,1,IF($Q20=4,1,0)),IF($F20&lt;=85,1,0))</formula>
    </cfRule>
  </conditionalFormatting>
  <conditionalFormatting sqref="AV21">
    <cfRule type="expression" dxfId="4713" priority="161">
      <formula>AV21="X"</formula>
    </cfRule>
    <cfRule type="expression" dxfId="4712" priority="162">
      <formula>AV21="후보"</formula>
    </cfRule>
  </conditionalFormatting>
  <conditionalFormatting sqref="AC21">
    <cfRule type="cellIs" dxfId="4711" priority="158" operator="greaterThan">
      <formula>0.9</formula>
    </cfRule>
    <cfRule type="cellIs" dxfId="4710" priority="159" operator="greaterThan">
      <formula>0.85</formula>
    </cfRule>
  </conditionalFormatting>
  <conditionalFormatting sqref="N21">
    <cfRule type="cellIs" dxfId="4709" priority="156" operator="greaterThan">
      <formula>0.9</formula>
    </cfRule>
    <cfRule type="cellIs" dxfId="4708" priority="157" operator="greaterThan">
      <formula>0.85</formula>
    </cfRule>
  </conditionalFormatting>
  <conditionalFormatting sqref="E21">
    <cfRule type="expression" dxfId="4707" priority="152">
      <formula>AND(IF(OR($Q21=1,$Q21=2),1,0),IF($X21&lt;=20,1,0))</formula>
    </cfRule>
    <cfRule type="expression" dxfId="4706" priority="153">
      <formula>AND(IF($Q21=2,1,0),IF($X21&lt;30,1,0))</formula>
    </cfRule>
    <cfRule type="expression" dxfId="4705" priority="154">
      <formula>AND(IF($Q21=3,1,0),IF($X21&lt;30,1,0))</formula>
    </cfRule>
    <cfRule type="expression" dxfId="4704" priority="155">
      <formula>AND(IF($Q21=3,1,IF($Q21=4,1,0)),IF($F21&lt;=85,1,0))</formula>
    </cfRule>
  </conditionalFormatting>
  <conditionalFormatting sqref="X21">
    <cfRule type="expression" dxfId="4703" priority="148">
      <formula>AND(IF(OR($Q21=1,$Q21=2),1,0),IF($X21&lt;=20,1,0))</formula>
    </cfRule>
    <cfRule type="expression" dxfId="4702" priority="149">
      <formula>AND(IF($Q21=2,1,0),IF($X21&lt;30,1,0))</formula>
    </cfRule>
    <cfRule type="expression" dxfId="4701" priority="150">
      <formula>AND(IF($Q21=3,1,0),IF($X21&lt;30,1,0))</formula>
    </cfRule>
    <cfRule type="expression" dxfId="4700" priority="151">
      <formula>AND(IF($Q21=3,1,IF($Q21=4,1,0)),IF($F21&lt;=85,1,0))</formula>
    </cfRule>
  </conditionalFormatting>
  <conditionalFormatting sqref="AI21">
    <cfRule type="expression" dxfId="4699" priority="144">
      <formula>AND(IF(OR($Q21=1,$Q21=2),1,0),IF($X21&lt;=20,1,0))</formula>
    </cfRule>
    <cfRule type="expression" dxfId="4698" priority="145">
      <formula>AND(IF($Q21=2,1,0),IF($X21&lt;30,1,0))</formula>
    </cfRule>
    <cfRule type="expression" dxfId="4697" priority="146">
      <formula>AND(IF($Q21=3,1,0),IF($X21&lt;30,1,0))</formula>
    </cfRule>
    <cfRule type="expression" dxfId="4696" priority="147">
      <formula>AND(IF($Q21=3,1,IF($Q21=4,1,0)),IF($F21&lt;=85,1,0))</formula>
    </cfRule>
  </conditionalFormatting>
  <conditionalFormatting sqref="AV22">
    <cfRule type="expression" dxfId="4695" priority="142">
      <formula>AV22="X"</formula>
    </cfRule>
    <cfRule type="expression" dxfId="4694" priority="143">
      <formula>AV22="후보"</formula>
    </cfRule>
  </conditionalFormatting>
  <conditionalFormatting sqref="AC22 N22">
    <cfRule type="cellIs" dxfId="4693" priority="139" operator="greaterThan">
      <formula>0.9</formula>
    </cfRule>
    <cfRule type="cellIs" dxfId="4692" priority="140" operator="greaterThan">
      <formula>0.85</formula>
    </cfRule>
  </conditionalFormatting>
  <conditionalFormatting sqref="AV23">
    <cfRule type="expression" dxfId="4691" priority="137">
      <formula>AV23="X"</formula>
    </cfRule>
    <cfRule type="expression" dxfId="4690" priority="138">
      <formula>AV23="후보"</formula>
    </cfRule>
  </conditionalFormatting>
  <conditionalFormatting sqref="AC23">
    <cfRule type="cellIs" dxfId="4689" priority="134" operator="greaterThan">
      <formula>0.9</formula>
    </cfRule>
    <cfRule type="cellIs" dxfId="4688" priority="135" operator="greaterThan">
      <formula>0.85</formula>
    </cfRule>
  </conditionalFormatting>
  <conditionalFormatting sqref="N23">
    <cfRule type="cellIs" dxfId="4687" priority="132" operator="greaterThan">
      <formula>0.9</formula>
    </cfRule>
    <cfRule type="cellIs" dxfId="4686" priority="133" operator="greaterThan">
      <formula>0.85</formula>
    </cfRule>
  </conditionalFormatting>
  <conditionalFormatting sqref="E23">
    <cfRule type="expression" dxfId="4685" priority="128">
      <formula>AND(IF(OR($Q23=1,$Q23=2),1,0),IF($X23&lt;=20,1,0))</formula>
    </cfRule>
    <cfRule type="expression" dxfId="4684" priority="129">
      <formula>AND(IF($Q23=2,1,0),IF($X23&lt;30,1,0))</formula>
    </cfRule>
    <cfRule type="expression" dxfId="4683" priority="130">
      <formula>AND(IF($Q23=3,1,0),IF($X23&lt;30,1,0))</formula>
    </cfRule>
    <cfRule type="expression" dxfId="4682" priority="131">
      <formula>AND(IF($Q23=3,1,IF($Q23=4,1,0)),IF($F23&lt;=85,1,0))</formula>
    </cfRule>
  </conditionalFormatting>
  <conditionalFormatting sqref="X23">
    <cfRule type="expression" dxfId="4681" priority="124">
      <formula>AND(IF(OR($Q23=1,$Q23=2),1,0),IF($X23&lt;=20,1,0))</formula>
    </cfRule>
    <cfRule type="expression" dxfId="4680" priority="125">
      <formula>AND(IF($Q23=2,1,0),IF($X23&lt;30,1,0))</formula>
    </cfRule>
    <cfRule type="expression" dxfId="4679" priority="126">
      <formula>AND(IF($Q23=3,1,0),IF($X23&lt;30,1,0))</formula>
    </cfRule>
    <cfRule type="expression" dxfId="4678" priority="127">
      <formula>AND(IF($Q23=3,1,IF($Q23=4,1,0)),IF($F23&lt;=85,1,0))</formula>
    </cfRule>
  </conditionalFormatting>
  <conditionalFormatting sqref="AI23">
    <cfRule type="expression" dxfId="4677" priority="120">
      <formula>AND(IF(OR($Q23=1,$Q23=2),1,0),IF($X23&lt;=20,1,0))</formula>
    </cfRule>
    <cfRule type="expression" dxfId="4676" priority="121">
      <formula>AND(IF($Q23=2,1,0),IF($X23&lt;30,1,0))</formula>
    </cfRule>
    <cfRule type="expression" dxfId="4675" priority="122">
      <formula>AND(IF($Q23=3,1,0),IF($X23&lt;30,1,0))</formula>
    </cfRule>
    <cfRule type="expression" dxfId="4674" priority="123">
      <formula>AND(IF($Q23=3,1,IF($Q23=4,1,0)),IF($F23&lt;=85,1,0))</formula>
    </cfRule>
  </conditionalFormatting>
  <conditionalFormatting sqref="AV24">
    <cfRule type="expression" dxfId="4673" priority="118">
      <formula>AV24="X"</formula>
    </cfRule>
    <cfRule type="expression" dxfId="4672" priority="119">
      <formula>AV24="후보"</formula>
    </cfRule>
  </conditionalFormatting>
  <conditionalFormatting sqref="AC24 N24">
    <cfRule type="cellIs" dxfId="4671" priority="115" operator="greaterThan">
      <formula>0.9</formula>
    </cfRule>
    <cfRule type="cellIs" dxfId="4670" priority="116" operator="greaterThan">
      <formula>0.85</formula>
    </cfRule>
  </conditionalFormatting>
  <conditionalFormatting sqref="AV25">
    <cfRule type="expression" dxfId="4669" priority="113">
      <formula>AV25="X"</formula>
    </cfRule>
    <cfRule type="expression" dxfId="4668" priority="114">
      <formula>AV25="후보"</formula>
    </cfRule>
  </conditionalFormatting>
  <conditionalFormatting sqref="AC25">
    <cfRule type="cellIs" dxfId="4667" priority="110" operator="greaterThan">
      <formula>0.9</formula>
    </cfRule>
    <cfRule type="cellIs" dxfId="4666" priority="111" operator="greaterThan">
      <formula>0.85</formula>
    </cfRule>
  </conditionalFormatting>
  <conditionalFormatting sqref="N25">
    <cfRule type="cellIs" dxfId="4665" priority="108" operator="greaterThan">
      <formula>0.9</formula>
    </cfRule>
    <cfRule type="cellIs" dxfId="4664" priority="109" operator="greaterThan">
      <formula>0.85</formula>
    </cfRule>
  </conditionalFormatting>
  <conditionalFormatting sqref="E25">
    <cfRule type="expression" dxfId="4663" priority="104">
      <formula>AND(IF(OR($Q25=1,$Q25=2),1,0),IF($X25&lt;=20,1,0))</formula>
    </cfRule>
    <cfRule type="expression" dxfId="4662" priority="105">
      <formula>AND(IF($Q25=2,1,0),IF($X25&lt;30,1,0))</formula>
    </cfRule>
    <cfRule type="expression" dxfId="4661" priority="106">
      <formula>AND(IF($Q25=3,1,0),IF($X25&lt;30,1,0))</formula>
    </cfRule>
    <cfRule type="expression" dxfId="4660" priority="107">
      <formula>AND(IF($Q25=3,1,IF($Q25=4,1,0)),IF($F25&lt;=85,1,0))</formula>
    </cfRule>
  </conditionalFormatting>
  <conditionalFormatting sqref="X25">
    <cfRule type="expression" dxfId="4659" priority="100">
      <formula>AND(IF(OR($Q25=1,$Q25=2),1,0),IF($X25&lt;=20,1,0))</formula>
    </cfRule>
    <cfRule type="expression" dxfId="4658" priority="101">
      <formula>AND(IF($Q25=2,1,0),IF($X25&lt;30,1,0))</formula>
    </cfRule>
    <cfRule type="expression" dxfId="4657" priority="102">
      <formula>AND(IF($Q25=3,1,0),IF($X25&lt;30,1,0))</formula>
    </cfRule>
    <cfRule type="expression" dxfId="4656" priority="103">
      <formula>AND(IF($Q25=3,1,IF($Q25=4,1,0)),IF($F25&lt;=85,1,0))</formula>
    </cfRule>
  </conditionalFormatting>
  <conditionalFormatting sqref="AI25">
    <cfRule type="expression" dxfId="4655" priority="96">
      <formula>AND(IF(OR($Q25=1,$Q25=2),1,0),IF($X25&lt;=20,1,0))</formula>
    </cfRule>
    <cfRule type="expression" dxfId="4654" priority="97">
      <formula>AND(IF($Q25=2,1,0),IF($X25&lt;30,1,0))</formula>
    </cfRule>
    <cfRule type="expression" dxfId="4653" priority="98">
      <formula>AND(IF($Q25=3,1,0),IF($X25&lt;30,1,0))</formula>
    </cfRule>
    <cfRule type="expression" dxfId="4652" priority="99">
      <formula>AND(IF($Q25=3,1,IF($Q25=4,1,0)),IF($F25&lt;=85,1,0))</formula>
    </cfRule>
  </conditionalFormatting>
  <conditionalFormatting sqref="AV26">
    <cfRule type="expression" dxfId="4651" priority="94">
      <formula>AV26="X"</formula>
    </cfRule>
    <cfRule type="expression" dxfId="4650" priority="95">
      <formula>AV26="후보"</formula>
    </cfRule>
  </conditionalFormatting>
  <conditionalFormatting sqref="AC26">
    <cfRule type="cellIs" dxfId="4649" priority="91" operator="greaterThan">
      <formula>0.9</formula>
    </cfRule>
    <cfRule type="cellIs" dxfId="4648" priority="92" operator="greaterThan">
      <formula>0.85</formula>
    </cfRule>
  </conditionalFormatting>
  <conditionalFormatting sqref="N26">
    <cfRule type="cellIs" dxfId="4647" priority="89" operator="greaterThan">
      <formula>0.9</formula>
    </cfRule>
    <cfRule type="cellIs" dxfId="4646" priority="90" operator="greaterThan">
      <formula>0.85</formula>
    </cfRule>
  </conditionalFormatting>
  <conditionalFormatting sqref="E26">
    <cfRule type="expression" dxfId="4645" priority="85">
      <formula>AND(IF(OR($Q26=1,$Q26=2),1,0),IF($X26&lt;=20,1,0))</formula>
    </cfRule>
    <cfRule type="expression" dxfId="4644" priority="86">
      <formula>AND(IF($Q26=2,1,0),IF($X26&lt;30,1,0))</formula>
    </cfRule>
    <cfRule type="expression" dxfId="4643" priority="87">
      <formula>AND(IF($Q26=3,1,0),IF($X26&lt;30,1,0))</formula>
    </cfRule>
    <cfRule type="expression" dxfId="4642" priority="88">
      <formula>AND(IF($Q26=3,1,IF($Q26=4,1,0)),IF($F26&lt;=85,1,0))</formula>
    </cfRule>
  </conditionalFormatting>
  <conditionalFormatting sqref="X26">
    <cfRule type="expression" dxfId="4641" priority="81">
      <formula>AND(IF(OR($Q26=1,$Q26=2),1,0),IF($X26&lt;=20,1,0))</formula>
    </cfRule>
    <cfRule type="expression" dxfId="4640" priority="82">
      <formula>AND(IF($Q26=2,1,0),IF($X26&lt;30,1,0))</formula>
    </cfRule>
    <cfRule type="expression" dxfId="4639" priority="83">
      <formula>AND(IF($Q26=3,1,0),IF($X26&lt;30,1,0))</formula>
    </cfRule>
    <cfRule type="expression" dxfId="4638" priority="84">
      <formula>AND(IF($Q26=3,1,IF($Q26=4,1,0)),IF($F26&lt;=85,1,0))</formula>
    </cfRule>
  </conditionalFormatting>
  <conditionalFormatting sqref="AI26">
    <cfRule type="expression" dxfId="4637" priority="77">
      <formula>AND(IF(OR($Q26=1,$Q26=2),1,0),IF($X26&lt;=20,1,0))</formula>
    </cfRule>
    <cfRule type="expression" dxfId="4636" priority="78">
      <formula>AND(IF($Q26=2,1,0),IF($X26&lt;30,1,0))</formula>
    </cfRule>
    <cfRule type="expression" dxfId="4635" priority="79">
      <formula>AND(IF($Q26=3,1,0),IF($X26&lt;30,1,0))</formula>
    </cfRule>
    <cfRule type="expression" dxfId="4634" priority="80">
      <formula>AND(IF($Q26=3,1,IF($Q26=4,1,0)),IF($F26&lt;=85,1,0))</formula>
    </cfRule>
  </conditionalFormatting>
  <conditionalFormatting sqref="AV27">
    <cfRule type="expression" dxfId="4633" priority="75">
      <formula>AV27="X"</formula>
    </cfRule>
    <cfRule type="expression" dxfId="4632" priority="76">
      <formula>AV27="후보"</formula>
    </cfRule>
  </conditionalFormatting>
  <conditionalFormatting sqref="AC27">
    <cfRule type="cellIs" dxfId="4631" priority="72" operator="greaterThan">
      <formula>0.9</formula>
    </cfRule>
    <cfRule type="cellIs" dxfId="4630" priority="73" operator="greaterThan">
      <formula>0.85</formula>
    </cfRule>
  </conditionalFormatting>
  <conditionalFormatting sqref="N27">
    <cfRule type="cellIs" dxfId="4629" priority="70" operator="greaterThan">
      <formula>0.9</formula>
    </cfRule>
    <cfRule type="cellIs" dxfId="4628" priority="71" operator="greaterThan">
      <formula>0.85</formula>
    </cfRule>
  </conditionalFormatting>
  <conditionalFormatting sqref="E27">
    <cfRule type="expression" dxfId="4627" priority="66">
      <formula>AND(IF(OR($Q27=1,$Q27=2),1,0),IF($X27&lt;=20,1,0))</formula>
    </cfRule>
    <cfRule type="expression" dxfId="4626" priority="67">
      <formula>AND(IF($Q27=2,1,0),IF($X27&lt;30,1,0))</formula>
    </cfRule>
    <cfRule type="expression" dxfId="4625" priority="68">
      <formula>AND(IF($Q27=3,1,0),IF($X27&lt;30,1,0))</formula>
    </cfRule>
    <cfRule type="expression" dxfId="4624" priority="69">
      <formula>AND(IF($Q27=3,1,IF($Q27=4,1,0)),IF($F27&lt;=85,1,0))</formula>
    </cfRule>
  </conditionalFormatting>
  <conditionalFormatting sqref="X27">
    <cfRule type="expression" dxfId="4623" priority="62">
      <formula>AND(IF(OR($Q27=1,$Q27=2),1,0),IF($X27&lt;=20,1,0))</formula>
    </cfRule>
    <cfRule type="expression" dxfId="4622" priority="63">
      <formula>AND(IF($Q27=2,1,0),IF($X27&lt;30,1,0))</formula>
    </cfRule>
    <cfRule type="expression" dxfId="4621" priority="64">
      <formula>AND(IF($Q27=3,1,0),IF($X27&lt;30,1,0))</formula>
    </cfRule>
    <cfRule type="expression" dxfId="4620" priority="65">
      <formula>AND(IF($Q27=3,1,IF($Q27=4,1,0)),IF($F27&lt;=85,1,0))</formula>
    </cfRule>
  </conditionalFormatting>
  <conditionalFormatting sqref="AI27">
    <cfRule type="expression" dxfId="4619" priority="58">
      <formula>AND(IF(OR($Q27=1,$Q27=2),1,0),IF($X27&lt;=20,1,0))</formula>
    </cfRule>
    <cfRule type="expression" dxfId="4618" priority="59">
      <formula>AND(IF($Q27=2,1,0),IF($X27&lt;30,1,0))</formula>
    </cfRule>
    <cfRule type="expression" dxfId="4617" priority="60">
      <formula>AND(IF($Q27=3,1,0),IF($X27&lt;30,1,0))</formula>
    </cfRule>
    <cfRule type="expression" dxfId="4616" priority="61">
      <formula>AND(IF($Q27=3,1,IF($Q27=4,1,0)),IF($F27&lt;=85,1,0))</formula>
    </cfRule>
  </conditionalFormatting>
  <conditionalFormatting sqref="AV28">
    <cfRule type="expression" dxfId="4615" priority="56">
      <formula>AV28="X"</formula>
    </cfRule>
    <cfRule type="expression" dxfId="4614" priority="57">
      <formula>AV28="후보"</formula>
    </cfRule>
  </conditionalFormatting>
  <conditionalFormatting sqref="AC28">
    <cfRule type="cellIs" dxfId="4613" priority="53" operator="greaterThan">
      <formula>0.9</formula>
    </cfRule>
    <cfRule type="cellIs" dxfId="4612" priority="54" operator="greaterThan">
      <formula>0.85</formula>
    </cfRule>
  </conditionalFormatting>
  <conditionalFormatting sqref="N28">
    <cfRule type="cellIs" dxfId="4611" priority="51" operator="greaterThan">
      <formula>0.9</formula>
    </cfRule>
    <cfRule type="cellIs" dxfId="4610" priority="52" operator="greaterThan">
      <formula>0.85</formula>
    </cfRule>
  </conditionalFormatting>
  <conditionalFormatting sqref="E28">
    <cfRule type="expression" dxfId="4609" priority="47">
      <formula>AND(IF(OR($Q28=1,$Q28=2),1,0),IF($X28&lt;=20,1,0))</formula>
    </cfRule>
    <cfRule type="expression" dxfId="4608" priority="48">
      <formula>AND(IF($Q28=2,1,0),IF($X28&lt;30,1,0))</formula>
    </cfRule>
    <cfRule type="expression" dxfId="4607" priority="49">
      <formula>AND(IF($Q28=3,1,0),IF($X28&lt;30,1,0))</formula>
    </cfRule>
    <cfRule type="expression" dxfId="4606" priority="50">
      <formula>AND(IF($Q28=3,1,IF($Q28=4,1,0)),IF($F28&lt;=85,1,0))</formula>
    </cfRule>
  </conditionalFormatting>
  <conditionalFormatting sqref="X28">
    <cfRule type="expression" dxfId="4605" priority="43">
      <formula>AND(IF(OR($Q28=1,$Q28=2),1,0),IF($X28&lt;=20,1,0))</formula>
    </cfRule>
    <cfRule type="expression" dxfId="4604" priority="44">
      <formula>AND(IF($Q28=2,1,0),IF($X28&lt;30,1,0))</formula>
    </cfRule>
    <cfRule type="expression" dxfId="4603" priority="45">
      <formula>AND(IF($Q28=3,1,0),IF($X28&lt;30,1,0))</formula>
    </cfRule>
    <cfRule type="expression" dxfId="4602" priority="46">
      <formula>AND(IF($Q28=3,1,IF($Q28=4,1,0)),IF($F28&lt;=85,1,0))</formula>
    </cfRule>
  </conditionalFormatting>
  <conditionalFormatting sqref="AI28">
    <cfRule type="expression" dxfId="4601" priority="39">
      <formula>AND(IF(OR($Q28=1,$Q28=2),1,0),IF($X28&lt;=20,1,0))</formula>
    </cfRule>
    <cfRule type="expression" dxfId="4600" priority="40">
      <formula>AND(IF($Q28=2,1,0),IF($X28&lt;30,1,0))</formula>
    </cfRule>
    <cfRule type="expression" dxfId="4599" priority="41">
      <formula>AND(IF($Q28=3,1,0),IF($X28&lt;30,1,0))</formula>
    </cfRule>
    <cfRule type="expression" dxfId="4598" priority="42">
      <formula>AND(IF($Q28=3,1,IF($Q28=4,1,0)),IF($F28&lt;=85,1,0))</formula>
    </cfRule>
  </conditionalFormatting>
  <conditionalFormatting sqref="AV29">
    <cfRule type="expression" dxfId="4597" priority="37">
      <formula>AV29="X"</formula>
    </cfRule>
    <cfRule type="expression" dxfId="4596" priority="38">
      <formula>AV29="후보"</formula>
    </cfRule>
  </conditionalFormatting>
  <conditionalFormatting sqref="AC29">
    <cfRule type="cellIs" dxfId="4595" priority="34" operator="greaterThan">
      <formula>0.9</formula>
    </cfRule>
    <cfRule type="cellIs" dxfId="4594" priority="35" operator="greaterThan">
      <formula>0.85</formula>
    </cfRule>
  </conditionalFormatting>
  <conditionalFormatting sqref="N29">
    <cfRule type="cellIs" dxfId="4593" priority="32" operator="greaterThan">
      <formula>0.9</formula>
    </cfRule>
    <cfRule type="cellIs" dxfId="4592" priority="33" operator="greaterThan">
      <formula>0.85</formula>
    </cfRule>
  </conditionalFormatting>
  <conditionalFormatting sqref="E29">
    <cfRule type="expression" dxfId="4591" priority="28">
      <formula>AND(IF(OR($Q29=1,$Q29=2),1,0),IF($X29&lt;=20,1,0))</formula>
    </cfRule>
    <cfRule type="expression" dxfId="4590" priority="29">
      <formula>AND(IF($Q29=2,1,0),IF($X29&lt;30,1,0))</formula>
    </cfRule>
    <cfRule type="expression" dxfId="4589" priority="30">
      <formula>AND(IF($Q29=3,1,0),IF($X29&lt;30,1,0))</formula>
    </cfRule>
    <cfRule type="expression" dxfId="4588" priority="31">
      <formula>AND(IF($Q29=3,1,IF($Q29=4,1,0)),IF($F29&lt;=85,1,0))</formula>
    </cfRule>
  </conditionalFormatting>
  <conditionalFormatting sqref="X29">
    <cfRule type="expression" dxfId="4587" priority="24">
      <formula>AND(IF(OR($Q29=1,$Q29=2),1,0),IF($X29&lt;=20,1,0))</formula>
    </cfRule>
    <cfRule type="expression" dxfId="4586" priority="25">
      <formula>AND(IF($Q29=2,1,0),IF($X29&lt;30,1,0))</formula>
    </cfRule>
    <cfRule type="expression" dxfId="4585" priority="26">
      <formula>AND(IF($Q29=3,1,0),IF($X29&lt;30,1,0))</formula>
    </cfRule>
    <cfRule type="expression" dxfId="4584" priority="27">
      <formula>AND(IF($Q29=3,1,IF($Q29=4,1,0)),IF($F29&lt;=85,1,0))</formula>
    </cfRule>
  </conditionalFormatting>
  <conditionalFormatting sqref="AI29">
    <cfRule type="expression" dxfId="4583" priority="20">
      <formula>AND(IF(OR($Q29=1,$Q29=2),1,0),IF($X29&lt;=20,1,0))</formula>
    </cfRule>
    <cfRule type="expression" dxfId="4582" priority="21">
      <formula>AND(IF($Q29=2,1,0),IF($X29&lt;30,1,0))</formula>
    </cfRule>
    <cfRule type="expression" dxfId="4581" priority="22">
      <formula>AND(IF($Q29=3,1,0),IF($X29&lt;30,1,0))</formula>
    </cfRule>
    <cfRule type="expression" dxfId="4580" priority="23">
      <formula>AND(IF($Q29=3,1,IF($Q29=4,1,0)),IF($F29&lt;=85,1,0))</formula>
    </cfRule>
  </conditionalFormatting>
  <conditionalFormatting sqref="AV30">
    <cfRule type="expression" dxfId="4579" priority="18">
      <formula>AV30="X"</formula>
    </cfRule>
    <cfRule type="expression" dxfId="4578" priority="19">
      <formula>AV30="후보"</formula>
    </cfRule>
  </conditionalFormatting>
  <conditionalFormatting sqref="AC30">
    <cfRule type="cellIs" dxfId="4577" priority="15" operator="greaterThan">
      <formula>0.9</formula>
    </cfRule>
    <cfRule type="cellIs" dxfId="4576" priority="16" operator="greaterThan">
      <formula>0.85</formula>
    </cfRule>
  </conditionalFormatting>
  <conditionalFormatting sqref="N30">
    <cfRule type="cellIs" dxfId="4575" priority="13" operator="greaterThan">
      <formula>0.9</formula>
    </cfRule>
    <cfRule type="cellIs" dxfId="4574" priority="14" operator="greaterThan">
      <formula>0.85</formula>
    </cfRule>
  </conditionalFormatting>
  <conditionalFormatting sqref="E30">
    <cfRule type="expression" dxfId="4573" priority="9">
      <formula>AND(IF(OR($Q30=1,$Q30=2),1,0),IF($X30&lt;=20,1,0))</formula>
    </cfRule>
    <cfRule type="expression" dxfId="4572" priority="10">
      <formula>AND(IF($Q30=2,1,0),IF($X30&lt;30,1,0))</formula>
    </cfRule>
    <cfRule type="expression" dxfId="4571" priority="11">
      <formula>AND(IF($Q30=3,1,0),IF($X30&lt;30,1,0))</formula>
    </cfRule>
    <cfRule type="expression" dxfId="4570" priority="12">
      <formula>AND(IF($Q30=3,1,IF($Q30=4,1,0)),IF($F30&lt;=85,1,0))</formula>
    </cfRule>
  </conditionalFormatting>
  <conditionalFormatting sqref="X30">
    <cfRule type="expression" dxfId="4569" priority="5">
      <formula>AND(IF(OR($Q30=1,$Q30=2),1,0),IF($X30&lt;=20,1,0))</formula>
    </cfRule>
    <cfRule type="expression" dxfId="4568" priority="6">
      <formula>AND(IF($Q30=2,1,0),IF($X30&lt;30,1,0))</formula>
    </cfRule>
    <cfRule type="expression" dxfId="4567" priority="7">
      <formula>AND(IF($Q30=3,1,0),IF($X30&lt;30,1,0))</formula>
    </cfRule>
    <cfRule type="expression" dxfId="4566" priority="8">
      <formula>AND(IF($Q30=3,1,IF($Q30=4,1,0)),IF($F30&lt;=85,1,0))</formula>
    </cfRule>
  </conditionalFormatting>
  <conditionalFormatting sqref="AI30">
    <cfRule type="expression" dxfId="4565" priority="1">
      <formula>AND(IF(OR($Q30=1,$Q30=2),1,0),IF($X30&lt;=20,1,0))</formula>
    </cfRule>
    <cfRule type="expression" dxfId="4564" priority="2">
      <formula>AND(IF($Q30=2,1,0),IF($X30&lt;30,1,0))</formula>
    </cfRule>
    <cfRule type="expression" dxfId="4563" priority="3">
      <formula>AND(IF($Q30=3,1,0),IF($X30&lt;30,1,0))</formula>
    </cfRule>
    <cfRule type="expression" dxfId="4562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강서동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470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강서동 대림('90.11.,284^)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484</v>
      </c>
      <c r="B6" s="10" t="s">
        <v>1363</v>
      </c>
      <c r="C6" s="88">
        <v>284</v>
      </c>
      <c r="D6" s="86">
        <v>85</v>
      </c>
      <c r="E6" s="87">
        <v>26</v>
      </c>
      <c r="F6" s="86">
        <v>58.6</v>
      </c>
      <c r="G6" s="17">
        <v>18</v>
      </c>
      <c r="H6" s="88">
        <v>134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85</v>
      </c>
      <c r="U6" s="9"/>
      <c r="W6" s="86">
        <f>D6</f>
        <v>85</v>
      </c>
      <c r="X6" s="87">
        <f>E6</f>
        <v>26</v>
      </c>
      <c r="Y6" s="92">
        <f>H6</f>
        <v>134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대림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484</v>
      </c>
      <c r="B7" s="10" t="s">
        <v>1363</v>
      </c>
      <c r="C7" s="88">
        <v>284</v>
      </c>
      <c r="D7" s="86">
        <v>105.4</v>
      </c>
      <c r="E7" s="87">
        <v>32</v>
      </c>
      <c r="F7" s="86">
        <v>84.9</v>
      </c>
      <c r="G7" s="17">
        <v>26</v>
      </c>
      <c r="H7" s="88">
        <v>150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>
        <v>105</v>
      </c>
      <c r="U7" s="9"/>
      <c r="W7" s="86">
        <f>D7</f>
        <v>105.4</v>
      </c>
      <c r="X7" s="87">
        <f>E7</f>
        <v>32</v>
      </c>
      <c r="Y7" s="92">
        <f>H7</f>
        <v>150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대림</v>
      </c>
      <c r="AI7" s="87">
        <f t="shared" si="0"/>
        <v>32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강서동 청도('00.10.,207^)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489</v>
      </c>
      <c r="B9" s="10" t="s">
        <v>1364</v>
      </c>
      <c r="C9" s="88">
        <v>207</v>
      </c>
      <c r="D9" s="86">
        <v>71.099999999999994</v>
      </c>
      <c r="E9" s="87">
        <v>22</v>
      </c>
      <c r="F9" s="86">
        <v>59.9</v>
      </c>
      <c r="G9" s="17">
        <v>18</v>
      </c>
      <c r="H9" s="88">
        <v>207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59</v>
      </c>
      <c r="T9" s="5">
        <v>71</v>
      </c>
      <c r="U9" s="9"/>
      <c r="W9" s="86">
        <f>D9</f>
        <v>71.099999999999994</v>
      </c>
      <c r="X9" s="87">
        <f>E9</f>
        <v>22</v>
      </c>
      <c r="Y9" s="92">
        <f>H9</f>
        <v>207</v>
      </c>
      <c r="Z9" s="90">
        <f>I9</f>
        <v>0</v>
      </c>
      <c r="AA9" s="90">
        <f>K9</f>
        <v>0</v>
      </c>
      <c r="AB9" s="90">
        <f>M9</f>
        <v>0</v>
      </c>
      <c r="AC9" s="4" t="str">
        <f>N9</f>
        <v/>
      </c>
      <c r="AD9" s="91">
        <f>O9</f>
        <v>0</v>
      </c>
      <c r="AE9" s="79" t="str">
        <f>S9</f>
        <v>복</v>
      </c>
      <c r="AF9" s="79" t="str">
        <f>Q9&amp;"/"&amp;R9</f>
        <v>3/1</v>
      </c>
      <c r="AH9" s="20" t="str">
        <f t="shared" si="1"/>
        <v>청도</v>
      </c>
      <c r="AI9" s="87">
        <f t="shared" si="0"/>
        <v>22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강서동 신해블루지움('17.11.,611^)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557</v>
      </c>
      <c r="B11" s="10" t="s">
        <v>1365</v>
      </c>
      <c r="C11" s="88">
        <v>611</v>
      </c>
      <c r="D11" s="86">
        <v>44.5</v>
      </c>
      <c r="E11" s="87">
        <v>13</v>
      </c>
      <c r="F11" s="86">
        <v>22.1</v>
      </c>
      <c r="G11" s="17">
        <v>7</v>
      </c>
      <c r="H11" s="88">
        <v>497</v>
      </c>
      <c r="I11" s="89"/>
      <c r="J11" s="89"/>
      <c r="K11" s="89"/>
      <c r="L11" s="89"/>
      <c r="M11" s="90">
        <f t="shared" ref="M11:M17" si="3">I11-K11</f>
        <v>0</v>
      </c>
      <c r="N11" s="4" t="str">
        <f t="shared" ref="N11:N17" si="4">IF(ISERROR(K11/I11),"",K11/I11)</f>
        <v/>
      </c>
      <c r="O11" s="91">
        <f t="shared" ref="O11:O17" si="5">I11/E11</f>
        <v>0</v>
      </c>
      <c r="P11" s="91">
        <f t="shared" ref="P11:P17" si="6">K11/E11</f>
        <v>0</v>
      </c>
      <c r="Q11" s="79">
        <v>1</v>
      </c>
      <c r="R11" s="79">
        <v>1</v>
      </c>
      <c r="S11" s="79" t="s">
        <v>59</v>
      </c>
      <c r="T11" s="5" t="s">
        <v>121</v>
      </c>
      <c r="U11" s="9"/>
      <c r="W11" s="86">
        <f t="shared" ref="W11:X17" si="7">D11</f>
        <v>44.5</v>
      </c>
      <c r="X11" s="87">
        <f t="shared" si="7"/>
        <v>13</v>
      </c>
      <c r="Y11" s="92">
        <f t="shared" ref="Y11:Z17" si="8">H11</f>
        <v>497</v>
      </c>
      <c r="Z11" s="90">
        <f t="shared" si="8"/>
        <v>0</v>
      </c>
      <c r="AA11" s="90">
        <f t="shared" ref="AA11:AA17" si="9">K11</f>
        <v>0</v>
      </c>
      <c r="AB11" s="90">
        <f t="shared" ref="AB11:AD17" si="10">M11</f>
        <v>0</v>
      </c>
      <c r="AC11" s="4" t="str">
        <f t="shared" si="10"/>
        <v/>
      </c>
      <c r="AD11" s="91">
        <f t="shared" si="10"/>
        <v>0</v>
      </c>
      <c r="AE11" s="79" t="str">
        <f t="shared" ref="AE11:AE17" si="11">S11</f>
        <v>복</v>
      </c>
      <c r="AF11" s="79" t="str">
        <f t="shared" ref="AF11:AF17" si="12">Q11&amp;"/"&amp;R11</f>
        <v>1/1</v>
      </c>
      <c r="AH11" s="20" t="str">
        <f t="shared" si="1"/>
        <v>신해블루지움</v>
      </c>
      <c r="AI11" s="87">
        <f t="shared" si="0"/>
        <v>13</v>
      </c>
      <c r="AJ11" s="79" t="str">
        <f t="shared" ref="AJ11:AJ17" si="13"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 t="shared" ref="AN11:AN17" si="14">IF(AI11="","",$AN$2)</f>
        <v>C</v>
      </c>
      <c r="AO11" s="79" t="str">
        <f t="shared" ref="AO11:AO17" si="15">IF(N11="","",IF(N11&gt;=$AO$1/100,"O","X"))</f>
        <v/>
      </c>
      <c r="AP11" s="79" t="str">
        <f t="shared" ref="AP11:AP17" si="16">IF(I11="","",IF(I11&lt;=$AP$1,"O","X"))</f>
        <v/>
      </c>
      <c r="AQ11" s="79" t="str">
        <f t="shared" ref="AQ11:AQ17" si="17">IF(O11="","",IF(O11&lt;=$AQ$1,"O","X"))</f>
        <v>O</v>
      </c>
      <c r="AR11" s="79" t="str">
        <f t="shared" ref="AR11:AR17" si="18">IF(M11="","",IF(M11&lt;=$AR$1,"O","X"))</f>
        <v>O</v>
      </c>
      <c r="AS11" s="79" t="s">
        <v>2</v>
      </c>
      <c r="AT11" s="79" t="str">
        <f t="shared" ref="AT11:AT17" si="19">IF(OR(F11="",AI11=""),"",IF(AND((F11&lt;=85),(AI11&gt;=15)),"O","X"))</f>
        <v>X</v>
      </c>
      <c r="AU11" s="79" t="str">
        <f t="shared" ref="AU11:AU17" si="20">IF(C11="","",IF(C11&gt;=$AU$1,"O","X"))</f>
        <v>O</v>
      </c>
      <c r="AV11" s="79" t="str">
        <f t="shared" ref="AV11:AV17" si="21">IF(AO11="","",IF(AND(AO11="O",AP11="O",AR11="O",AT11="O",AU11="O"),"후보","X"))</f>
        <v/>
      </c>
    </row>
    <row r="12" spans="1:48" x14ac:dyDescent="0.3">
      <c r="A12" s="9" t="s">
        <v>557</v>
      </c>
      <c r="B12" s="10" t="s">
        <v>1365</v>
      </c>
      <c r="C12" s="88">
        <v>611</v>
      </c>
      <c r="D12" s="86">
        <v>51.4</v>
      </c>
      <c r="E12" s="87">
        <v>16</v>
      </c>
      <c r="F12" s="86">
        <v>25.5</v>
      </c>
      <c r="G12" s="17">
        <v>8</v>
      </c>
      <c r="H12" s="88">
        <v>12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9">
        <v>1</v>
      </c>
      <c r="R12" s="79">
        <v>1</v>
      </c>
      <c r="S12" s="79" t="s">
        <v>62</v>
      </c>
      <c r="T12" s="5" t="s">
        <v>122</v>
      </c>
      <c r="U12" s="9"/>
      <c r="W12" s="86">
        <f t="shared" si="7"/>
        <v>51.4</v>
      </c>
      <c r="X12" s="87">
        <f t="shared" si="7"/>
        <v>16</v>
      </c>
      <c r="Y12" s="92">
        <f t="shared" si="8"/>
        <v>12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9" t="str">
        <f t="shared" si="11"/>
        <v>계</v>
      </c>
      <c r="AF12" s="79" t="str">
        <f t="shared" si="12"/>
        <v>1/1</v>
      </c>
      <c r="AH12" s="20" t="str">
        <f t="shared" si="1"/>
        <v>신해블루지움</v>
      </c>
      <c r="AI12" s="87">
        <f t="shared" si="0"/>
        <v>16</v>
      </c>
      <c r="AJ12" s="79" t="str">
        <f t="shared" si="13"/>
        <v>A-</v>
      </c>
      <c r="AK12" s="79" t="s">
        <v>13</v>
      </c>
      <c r="AL12" s="79" t="s">
        <v>60</v>
      </c>
      <c r="AM12" s="79" t="s">
        <v>61</v>
      </c>
      <c r="AN12" s="79" t="str">
        <f t="shared" si="14"/>
        <v>C</v>
      </c>
      <c r="AO12" s="79" t="str">
        <f t="shared" si="15"/>
        <v/>
      </c>
      <c r="AP12" s="79" t="str">
        <f t="shared" si="16"/>
        <v/>
      </c>
      <c r="AQ12" s="79" t="str">
        <f t="shared" si="17"/>
        <v>O</v>
      </c>
      <c r="AR12" s="79" t="str">
        <f t="shared" si="18"/>
        <v>O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/>
      </c>
    </row>
    <row r="13" spans="1:48" x14ac:dyDescent="0.3">
      <c r="A13" s="9" t="s">
        <v>557</v>
      </c>
      <c r="B13" s="10" t="s">
        <v>1365</v>
      </c>
      <c r="C13" s="88">
        <v>611</v>
      </c>
      <c r="D13" s="86">
        <v>52</v>
      </c>
      <c r="E13" s="87">
        <v>16</v>
      </c>
      <c r="F13" s="86">
        <v>25.9</v>
      </c>
      <c r="G13" s="17">
        <v>8</v>
      </c>
      <c r="H13" s="88">
        <v>17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1</v>
      </c>
      <c r="R13" s="79">
        <v>1</v>
      </c>
      <c r="S13" s="79" t="s">
        <v>62</v>
      </c>
      <c r="T13" s="5" t="s">
        <v>123</v>
      </c>
      <c r="U13" s="9"/>
      <c r="W13" s="86">
        <f t="shared" si="7"/>
        <v>52</v>
      </c>
      <c r="X13" s="87">
        <f t="shared" si="7"/>
        <v>16</v>
      </c>
      <c r="Y13" s="92">
        <f t="shared" si="8"/>
        <v>17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1/1</v>
      </c>
      <c r="AH13" s="20" t="str">
        <f t="shared" si="1"/>
        <v>신해블루지움</v>
      </c>
      <c r="AI13" s="87">
        <f t="shared" si="0"/>
        <v>16</v>
      </c>
      <c r="AJ13" s="79" t="str">
        <f t="shared" si="13"/>
        <v>A-</v>
      </c>
      <c r="AK13" s="79" t="s">
        <v>13</v>
      </c>
      <c r="AL13" s="79" t="s">
        <v>60</v>
      </c>
      <c r="AM13" s="79" t="s">
        <v>61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O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557</v>
      </c>
      <c r="B14" s="10" t="s">
        <v>1365</v>
      </c>
      <c r="C14" s="88">
        <v>611</v>
      </c>
      <c r="D14" s="86">
        <v>84.5</v>
      </c>
      <c r="E14" s="87">
        <v>26</v>
      </c>
      <c r="F14" s="86">
        <v>41.9</v>
      </c>
      <c r="G14" s="17">
        <v>13</v>
      </c>
      <c r="H14" s="88">
        <v>32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9">
        <v>1</v>
      </c>
      <c r="R14" s="79">
        <v>1</v>
      </c>
      <c r="S14" s="79" t="s">
        <v>62</v>
      </c>
      <c r="T14" s="5" t="s">
        <v>124</v>
      </c>
      <c r="U14" s="9"/>
      <c r="W14" s="86">
        <f t="shared" si="7"/>
        <v>84.5</v>
      </c>
      <c r="X14" s="87">
        <f t="shared" si="7"/>
        <v>26</v>
      </c>
      <c r="Y14" s="92">
        <f t="shared" si="8"/>
        <v>32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9" t="str">
        <f t="shared" si="11"/>
        <v>계</v>
      </c>
      <c r="AF14" s="79" t="str">
        <f t="shared" si="12"/>
        <v>1/1</v>
      </c>
      <c r="AH14" s="20" t="str">
        <f t="shared" si="1"/>
        <v>신해블루지움</v>
      </c>
      <c r="AI14" s="87">
        <f t="shared" si="0"/>
        <v>26</v>
      </c>
      <c r="AJ14" s="79" t="str">
        <f t="shared" si="13"/>
        <v>A-</v>
      </c>
      <c r="AK14" s="79" t="s">
        <v>13</v>
      </c>
      <c r="AL14" s="79" t="s">
        <v>60</v>
      </c>
      <c r="AM14" s="79" t="s">
        <v>61</v>
      </c>
      <c r="AN14" s="79" t="str">
        <f t="shared" si="14"/>
        <v>C</v>
      </c>
      <c r="AO14" s="79" t="str">
        <f t="shared" si="15"/>
        <v/>
      </c>
      <c r="AP14" s="79" t="str">
        <f t="shared" si="16"/>
        <v/>
      </c>
      <c r="AQ14" s="79" t="str">
        <f t="shared" si="17"/>
        <v>O</v>
      </c>
      <c r="AR14" s="79" t="str">
        <f t="shared" si="18"/>
        <v>O</v>
      </c>
      <c r="AS14" s="79" t="s">
        <v>2</v>
      </c>
      <c r="AT14" s="79" t="str">
        <f t="shared" si="19"/>
        <v>O</v>
      </c>
      <c r="AU14" s="79" t="str">
        <f t="shared" si="20"/>
        <v>O</v>
      </c>
      <c r="AV14" s="79" t="str">
        <f t="shared" si="21"/>
        <v/>
      </c>
    </row>
    <row r="15" spans="1:48" x14ac:dyDescent="0.3">
      <c r="A15" s="9" t="s">
        <v>557</v>
      </c>
      <c r="B15" s="10" t="s">
        <v>1365</v>
      </c>
      <c r="C15" s="88">
        <v>611</v>
      </c>
      <c r="D15" s="86">
        <v>94.4</v>
      </c>
      <c r="E15" s="87">
        <v>29</v>
      </c>
      <c r="F15" s="86">
        <v>46.8</v>
      </c>
      <c r="G15" s="17">
        <v>14</v>
      </c>
      <c r="H15" s="88">
        <v>49</v>
      </c>
      <c r="I15" s="89"/>
      <c r="J15" s="89"/>
      <c r="K15" s="89"/>
      <c r="L15" s="89"/>
      <c r="M15" s="90">
        <f t="shared" si="3"/>
        <v>0</v>
      </c>
      <c r="N15" s="4" t="str">
        <f t="shared" si="4"/>
        <v/>
      </c>
      <c r="O15" s="91">
        <f t="shared" si="5"/>
        <v>0</v>
      </c>
      <c r="P15" s="91">
        <f t="shared" si="6"/>
        <v>0</v>
      </c>
      <c r="Q15" s="79">
        <v>2</v>
      </c>
      <c r="R15" s="79">
        <v>1</v>
      </c>
      <c r="S15" s="79" t="s">
        <v>62</v>
      </c>
      <c r="T15" s="5" t="s">
        <v>125</v>
      </c>
      <c r="U15" s="9"/>
      <c r="W15" s="86">
        <f t="shared" si="7"/>
        <v>94.4</v>
      </c>
      <c r="X15" s="87">
        <f t="shared" si="7"/>
        <v>29</v>
      </c>
      <c r="Y15" s="92">
        <f t="shared" si="8"/>
        <v>49</v>
      </c>
      <c r="Z15" s="90">
        <f t="shared" si="8"/>
        <v>0</v>
      </c>
      <c r="AA15" s="90">
        <f t="shared" si="9"/>
        <v>0</v>
      </c>
      <c r="AB15" s="90">
        <f t="shared" si="10"/>
        <v>0</v>
      </c>
      <c r="AC15" s="4" t="str">
        <f t="shared" si="10"/>
        <v/>
      </c>
      <c r="AD15" s="91">
        <f t="shared" si="10"/>
        <v>0</v>
      </c>
      <c r="AE15" s="79" t="str">
        <f t="shared" si="11"/>
        <v>계</v>
      </c>
      <c r="AF15" s="79" t="str">
        <f t="shared" si="12"/>
        <v>2/1</v>
      </c>
      <c r="AH15" s="20" t="str">
        <f t="shared" si="1"/>
        <v>신해블루지움</v>
      </c>
      <c r="AI15" s="87">
        <f t="shared" si="0"/>
        <v>29</v>
      </c>
      <c r="AJ15" s="79" t="str">
        <f t="shared" si="13"/>
        <v>A-</v>
      </c>
      <c r="AK15" s="79" t="s">
        <v>13</v>
      </c>
      <c r="AL15" s="79" t="s">
        <v>60</v>
      </c>
      <c r="AM15" s="79" t="s">
        <v>61</v>
      </c>
      <c r="AN15" s="79" t="str">
        <f t="shared" si="14"/>
        <v>C</v>
      </c>
      <c r="AO15" s="79" t="str">
        <f t="shared" si="15"/>
        <v/>
      </c>
      <c r="AP15" s="79" t="str">
        <f t="shared" si="16"/>
        <v/>
      </c>
      <c r="AQ15" s="79" t="str">
        <f t="shared" si="17"/>
        <v>O</v>
      </c>
      <c r="AR15" s="79" t="str">
        <f t="shared" si="18"/>
        <v>O</v>
      </c>
      <c r="AS15" s="79" t="s">
        <v>2</v>
      </c>
      <c r="AT15" s="79" t="str">
        <f t="shared" si="19"/>
        <v>O</v>
      </c>
      <c r="AU15" s="79" t="str">
        <f t="shared" si="20"/>
        <v>O</v>
      </c>
      <c r="AV15" s="79" t="str">
        <f t="shared" si="21"/>
        <v/>
      </c>
    </row>
    <row r="16" spans="1:48" x14ac:dyDescent="0.3">
      <c r="A16" s="9" t="s">
        <v>557</v>
      </c>
      <c r="B16" s="10" t="s">
        <v>1365</v>
      </c>
      <c r="C16" s="88">
        <v>611</v>
      </c>
      <c r="D16" s="86">
        <v>94.7</v>
      </c>
      <c r="E16" s="87">
        <v>29</v>
      </c>
      <c r="F16" s="86">
        <v>47</v>
      </c>
      <c r="G16" s="17">
        <v>14</v>
      </c>
      <c r="H16" s="88">
        <v>2</v>
      </c>
      <c r="I16" s="89"/>
      <c r="J16" s="89"/>
      <c r="K16" s="89"/>
      <c r="L16" s="89"/>
      <c r="M16" s="90">
        <f t="shared" si="3"/>
        <v>0</v>
      </c>
      <c r="N16" s="4" t="str">
        <f t="shared" si="4"/>
        <v/>
      </c>
      <c r="O16" s="91">
        <f t="shared" si="5"/>
        <v>0</v>
      </c>
      <c r="P16" s="91">
        <f t="shared" si="6"/>
        <v>0</v>
      </c>
      <c r="Q16" s="79">
        <v>1</v>
      </c>
      <c r="R16" s="79">
        <v>1</v>
      </c>
      <c r="S16" s="79" t="s">
        <v>62</v>
      </c>
      <c r="T16" s="5" t="s">
        <v>126</v>
      </c>
      <c r="U16" s="9"/>
      <c r="W16" s="86">
        <f t="shared" si="7"/>
        <v>94.7</v>
      </c>
      <c r="X16" s="87">
        <f t="shared" si="7"/>
        <v>29</v>
      </c>
      <c r="Y16" s="92">
        <f t="shared" si="8"/>
        <v>2</v>
      </c>
      <c r="Z16" s="90">
        <f t="shared" si="8"/>
        <v>0</v>
      </c>
      <c r="AA16" s="90">
        <f t="shared" si="9"/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 t="shared" si="11"/>
        <v>계</v>
      </c>
      <c r="AF16" s="79" t="str">
        <f t="shared" si="12"/>
        <v>1/1</v>
      </c>
      <c r="AH16" s="20" t="str">
        <f t="shared" si="1"/>
        <v>신해블루지움</v>
      </c>
      <c r="AI16" s="87">
        <f t="shared" si="0"/>
        <v>29</v>
      </c>
      <c r="AJ16" s="79" t="str">
        <f t="shared" si="13"/>
        <v>A-</v>
      </c>
      <c r="AK16" s="79" t="s">
        <v>13</v>
      </c>
      <c r="AL16" s="79" t="s">
        <v>60</v>
      </c>
      <c r="AM16" s="79" t="s">
        <v>61</v>
      </c>
      <c r="AN16" s="79" t="str">
        <f t="shared" si="14"/>
        <v>C</v>
      </c>
      <c r="AO16" s="79" t="str">
        <f t="shared" si="15"/>
        <v/>
      </c>
      <c r="AP16" s="79" t="str">
        <f t="shared" si="16"/>
        <v/>
      </c>
      <c r="AQ16" s="79" t="str">
        <f t="shared" si="17"/>
        <v>O</v>
      </c>
      <c r="AR16" s="79" t="str">
        <f t="shared" si="18"/>
        <v>O</v>
      </c>
      <c r="AS16" s="79" t="s">
        <v>2</v>
      </c>
      <c r="AT16" s="79" t="str">
        <f t="shared" si="19"/>
        <v>O</v>
      </c>
      <c r="AU16" s="79" t="str">
        <f t="shared" si="20"/>
        <v>O</v>
      </c>
      <c r="AV16" s="79" t="str">
        <f t="shared" si="21"/>
        <v/>
      </c>
    </row>
    <row r="17" spans="1:48" x14ac:dyDescent="0.3">
      <c r="A17" s="9" t="s">
        <v>557</v>
      </c>
      <c r="B17" s="10" t="s">
        <v>1365</v>
      </c>
      <c r="C17" s="88">
        <v>611</v>
      </c>
      <c r="D17" s="86">
        <v>101</v>
      </c>
      <c r="E17" s="87">
        <v>31</v>
      </c>
      <c r="F17" s="86">
        <v>50.1</v>
      </c>
      <c r="G17" s="17">
        <v>15</v>
      </c>
      <c r="H17" s="88">
        <v>2</v>
      </c>
      <c r="I17" s="89"/>
      <c r="J17" s="89"/>
      <c r="K17" s="89"/>
      <c r="L17" s="89"/>
      <c r="M17" s="90">
        <f t="shared" si="3"/>
        <v>0</v>
      </c>
      <c r="N17" s="4" t="str">
        <f t="shared" si="4"/>
        <v/>
      </c>
      <c r="O17" s="91">
        <f t="shared" si="5"/>
        <v>0</v>
      </c>
      <c r="P17" s="91">
        <f t="shared" si="6"/>
        <v>0</v>
      </c>
      <c r="Q17" s="79">
        <v>2</v>
      </c>
      <c r="R17" s="79">
        <v>1</v>
      </c>
      <c r="S17" s="79" t="s">
        <v>62</v>
      </c>
      <c r="T17" s="5" t="s">
        <v>127</v>
      </c>
      <c r="U17" s="9"/>
      <c r="W17" s="86">
        <f t="shared" si="7"/>
        <v>101</v>
      </c>
      <c r="X17" s="87">
        <f t="shared" si="7"/>
        <v>31</v>
      </c>
      <c r="Y17" s="92">
        <f t="shared" si="8"/>
        <v>2</v>
      </c>
      <c r="Z17" s="90">
        <f t="shared" si="8"/>
        <v>0</v>
      </c>
      <c r="AA17" s="90">
        <f t="shared" si="9"/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 t="shared" si="11"/>
        <v>계</v>
      </c>
      <c r="AF17" s="79" t="str">
        <f t="shared" si="12"/>
        <v>2/1</v>
      </c>
      <c r="AH17" s="20" t="str">
        <f t="shared" si="1"/>
        <v>신해블루지움</v>
      </c>
      <c r="AI17" s="87">
        <f t="shared" si="0"/>
        <v>31</v>
      </c>
      <c r="AJ17" s="79" t="str">
        <f t="shared" si="13"/>
        <v>A-</v>
      </c>
      <c r="AK17" s="79" t="s">
        <v>13</v>
      </c>
      <c r="AL17" s="79" t="s">
        <v>60</v>
      </c>
      <c r="AM17" s="79" t="s">
        <v>61</v>
      </c>
      <c r="AN17" s="79" t="str">
        <f t="shared" si="14"/>
        <v>C</v>
      </c>
      <c r="AO17" s="79" t="str">
        <f t="shared" si="15"/>
        <v/>
      </c>
      <c r="AP17" s="79" t="str">
        <f t="shared" si="16"/>
        <v/>
      </c>
      <c r="AQ17" s="79" t="str">
        <f t="shared" si="17"/>
        <v>O</v>
      </c>
      <c r="AR17" s="79" t="str">
        <f t="shared" si="18"/>
        <v>O</v>
      </c>
      <c r="AS17" s="79" t="s">
        <v>2</v>
      </c>
      <c r="AT17" s="79" t="str">
        <f t="shared" si="19"/>
        <v>O</v>
      </c>
      <c r="AU17" s="79" t="str">
        <f t="shared" si="20"/>
        <v>O</v>
      </c>
      <c r="AV17" s="79" t="str">
        <f t="shared" si="21"/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강서동 이랜드타운힐스싱글스위트청주('19.09.,216^)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579</v>
      </c>
      <c r="B19" s="10" t="s">
        <v>1366</v>
      </c>
      <c r="C19" s="88">
        <v>216</v>
      </c>
      <c r="D19" s="86">
        <v>55.9</v>
      </c>
      <c r="E19" s="87">
        <v>17</v>
      </c>
      <c r="F19" s="86">
        <v>23.4</v>
      </c>
      <c r="G19" s="17">
        <v>7</v>
      </c>
      <c r="H19" s="88">
        <v>180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1</v>
      </c>
      <c r="R19" s="79">
        <v>1</v>
      </c>
      <c r="S19" s="79" t="s">
        <v>59</v>
      </c>
      <c r="T19" s="5" t="s">
        <v>128</v>
      </c>
      <c r="U19" s="9"/>
      <c r="W19" s="86">
        <f>D19</f>
        <v>55.9</v>
      </c>
      <c r="X19" s="87">
        <f>E19</f>
        <v>17</v>
      </c>
      <c r="Y19" s="92">
        <f>H19</f>
        <v>180</v>
      </c>
      <c r="Z19" s="90">
        <f>I19</f>
        <v>0</v>
      </c>
      <c r="AA19" s="90">
        <f>K19</f>
        <v>0</v>
      </c>
      <c r="AB19" s="90">
        <f t="shared" ref="AB19:AD20" si="22">M19</f>
        <v>0</v>
      </c>
      <c r="AC19" s="4" t="str">
        <f t="shared" si="22"/>
        <v/>
      </c>
      <c r="AD19" s="91">
        <f t="shared" si="22"/>
        <v>0</v>
      </c>
      <c r="AE19" s="79" t="str">
        <f>S19</f>
        <v>복</v>
      </c>
      <c r="AF19" s="79" t="str">
        <f>Q19&amp;"/"&amp;R19</f>
        <v>1/1</v>
      </c>
      <c r="AH19" s="20" t="str">
        <f t="shared" si="1"/>
        <v>이랜드타운힐스싱글스위트청주</v>
      </c>
      <c r="AI19" s="87">
        <f t="shared" si="0"/>
        <v>17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579</v>
      </c>
      <c r="B20" s="10" t="s">
        <v>1366</v>
      </c>
      <c r="C20" s="88">
        <v>216</v>
      </c>
      <c r="D20" s="86">
        <v>56.6</v>
      </c>
      <c r="E20" s="87">
        <v>17</v>
      </c>
      <c r="F20" s="86">
        <v>23.4</v>
      </c>
      <c r="G20" s="17">
        <v>7</v>
      </c>
      <c r="H20" s="88">
        <v>36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1</v>
      </c>
      <c r="R20" s="79">
        <v>1</v>
      </c>
      <c r="S20" s="79" t="s">
        <v>59</v>
      </c>
      <c r="T20" s="5" t="s">
        <v>129</v>
      </c>
      <c r="U20" s="9"/>
      <c r="W20" s="86">
        <f>D20</f>
        <v>56.6</v>
      </c>
      <c r="X20" s="87">
        <f>E20</f>
        <v>17</v>
      </c>
      <c r="Y20" s="92">
        <f>H20</f>
        <v>36</v>
      </c>
      <c r="Z20" s="90">
        <f>I20</f>
        <v>0</v>
      </c>
      <c r="AA20" s="90">
        <f>K20</f>
        <v>0</v>
      </c>
      <c r="AB20" s="90">
        <f t="shared" si="22"/>
        <v>0</v>
      </c>
      <c r="AC20" s="4" t="str">
        <f t="shared" si="22"/>
        <v/>
      </c>
      <c r="AD20" s="91">
        <f t="shared" si="22"/>
        <v>0</v>
      </c>
      <c r="AE20" s="79" t="str">
        <f>S20</f>
        <v>복</v>
      </c>
      <c r="AF20" s="79" t="str">
        <f>Q20&amp;"/"&amp;R20</f>
        <v>1/1</v>
      </c>
      <c r="AH20" s="20" t="str">
        <f t="shared" si="1"/>
        <v>이랜드타운힐스싱글스위트청주</v>
      </c>
      <c r="AI20" s="87">
        <f t="shared" si="0"/>
        <v>17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강서동 우정('92.03.,233^)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581</v>
      </c>
      <c r="B22" s="10" t="s">
        <v>1367</v>
      </c>
      <c r="C22" s="88">
        <v>233</v>
      </c>
      <c r="D22" s="86">
        <v>34.6</v>
      </c>
      <c r="E22" s="87">
        <v>10</v>
      </c>
      <c r="F22" s="86">
        <v>22.6</v>
      </c>
      <c r="G22" s="17">
        <v>7</v>
      </c>
      <c r="H22" s="88">
        <v>233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1</v>
      </c>
      <c r="R22" s="79">
        <v>1</v>
      </c>
      <c r="S22" s="79" t="s">
        <v>59</v>
      </c>
      <c r="T22" s="5">
        <v>34</v>
      </c>
      <c r="U22" s="9"/>
      <c r="W22" s="86">
        <f>D22</f>
        <v>34.6</v>
      </c>
      <c r="X22" s="87">
        <f>E22</f>
        <v>10</v>
      </c>
      <c r="Y22" s="92">
        <f>H22</f>
        <v>233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9" t="str">
        <f>S22</f>
        <v>복</v>
      </c>
      <c r="AF22" s="79" t="str">
        <f>Q22&amp;"/"&amp;R22</f>
        <v>1/1</v>
      </c>
      <c r="AH22" s="20" t="str">
        <f t="shared" si="1"/>
        <v>우정</v>
      </c>
      <c r="AI22" s="87">
        <f t="shared" si="0"/>
        <v>10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강서동 강서동광모닝스카이('16.06.,419^)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630</v>
      </c>
      <c r="B24" s="10" t="s">
        <v>1368</v>
      </c>
      <c r="C24" s="88">
        <v>419</v>
      </c>
      <c r="D24" s="86">
        <v>36.799999999999997</v>
      </c>
      <c r="E24" s="87">
        <v>11</v>
      </c>
      <c r="F24" s="86">
        <v>20.5</v>
      </c>
      <c r="G24" s="17">
        <v>6</v>
      </c>
      <c r="H24" s="88">
        <v>284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1</v>
      </c>
      <c r="R24" s="79">
        <v>1</v>
      </c>
      <c r="S24" s="79" t="s">
        <v>62</v>
      </c>
      <c r="T24" s="5" t="s">
        <v>130</v>
      </c>
      <c r="U24" s="9"/>
      <c r="W24" s="86">
        <f t="shared" ref="W24:X26" si="23">D24</f>
        <v>36.799999999999997</v>
      </c>
      <c r="X24" s="87">
        <f t="shared" si="23"/>
        <v>11</v>
      </c>
      <c r="Y24" s="92">
        <f t="shared" ref="Y24:Z26" si="24">H24</f>
        <v>284</v>
      </c>
      <c r="Z24" s="90">
        <f t="shared" si="24"/>
        <v>0</v>
      </c>
      <c r="AA24" s="90">
        <f>K24</f>
        <v>0</v>
      </c>
      <c r="AB24" s="90">
        <f t="shared" ref="AB24:AD26" si="25">M24</f>
        <v>0</v>
      </c>
      <c r="AC24" s="4" t="str">
        <f t="shared" si="25"/>
        <v/>
      </c>
      <c r="AD24" s="91">
        <f t="shared" si="25"/>
        <v>0</v>
      </c>
      <c r="AE24" s="79" t="str">
        <f>S24</f>
        <v>계</v>
      </c>
      <c r="AF24" s="79" t="str">
        <f>Q24&amp;"/"&amp;R24</f>
        <v>1/1</v>
      </c>
      <c r="AH24" s="20" t="str">
        <f t="shared" si="1"/>
        <v>강서동광모닝스카이</v>
      </c>
      <c r="AI24" s="87">
        <f t="shared" si="0"/>
        <v>11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 t="s">
        <v>630</v>
      </c>
      <c r="B25" s="10" t="s">
        <v>1368</v>
      </c>
      <c r="C25" s="88">
        <v>419</v>
      </c>
      <c r="D25" s="86">
        <v>49.2</v>
      </c>
      <c r="E25" s="87">
        <v>15</v>
      </c>
      <c r="F25" s="86">
        <v>27.4</v>
      </c>
      <c r="G25" s="17">
        <v>8</v>
      </c>
      <c r="H25" s="88">
        <v>30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1</v>
      </c>
      <c r="R25" s="79">
        <v>1</v>
      </c>
      <c r="S25" s="79" t="s">
        <v>62</v>
      </c>
      <c r="T25" s="5" t="s">
        <v>131</v>
      </c>
      <c r="U25" s="9"/>
      <c r="W25" s="86">
        <f t="shared" si="23"/>
        <v>49.2</v>
      </c>
      <c r="X25" s="87">
        <f t="shared" si="23"/>
        <v>15</v>
      </c>
      <c r="Y25" s="92">
        <f t="shared" si="24"/>
        <v>30</v>
      </c>
      <c r="Z25" s="90">
        <f t="shared" si="24"/>
        <v>0</v>
      </c>
      <c r="AA25" s="90">
        <f>K25</f>
        <v>0</v>
      </c>
      <c r="AB25" s="90">
        <f t="shared" si="25"/>
        <v>0</v>
      </c>
      <c r="AC25" s="4" t="str">
        <f t="shared" si="25"/>
        <v/>
      </c>
      <c r="AD25" s="91">
        <f t="shared" si="25"/>
        <v>0</v>
      </c>
      <c r="AE25" s="79" t="str">
        <f>S25</f>
        <v>계</v>
      </c>
      <c r="AF25" s="79" t="str">
        <f>Q25&amp;"/"&amp;R25</f>
        <v>1/1</v>
      </c>
      <c r="AH25" s="20" t="str">
        <f t="shared" si="1"/>
        <v>강서동광모닝스카이</v>
      </c>
      <c r="AI25" s="87">
        <f t="shared" si="0"/>
        <v>15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630</v>
      </c>
      <c r="B26" s="10" t="s">
        <v>1368</v>
      </c>
      <c r="C26" s="88">
        <v>419</v>
      </c>
      <c r="D26" s="86">
        <v>67.599999999999994</v>
      </c>
      <c r="E26" s="87">
        <v>20</v>
      </c>
      <c r="F26" s="86">
        <v>37.6</v>
      </c>
      <c r="G26" s="17">
        <v>11</v>
      </c>
      <c r="H26" s="88">
        <v>105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1</v>
      </c>
      <c r="R26" s="79">
        <v>1</v>
      </c>
      <c r="S26" s="79" t="s">
        <v>62</v>
      </c>
      <c r="T26" s="5" t="s">
        <v>132</v>
      </c>
      <c r="U26" s="9"/>
      <c r="W26" s="86">
        <f t="shared" si="23"/>
        <v>67.599999999999994</v>
      </c>
      <c r="X26" s="87">
        <f t="shared" si="23"/>
        <v>20</v>
      </c>
      <c r="Y26" s="92">
        <f t="shared" si="24"/>
        <v>105</v>
      </c>
      <c r="Z26" s="90">
        <f t="shared" si="24"/>
        <v>0</v>
      </c>
      <c r="AA26" s="90">
        <f>K26</f>
        <v>0</v>
      </c>
      <c r="AB26" s="90">
        <f t="shared" si="25"/>
        <v>0</v>
      </c>
      <c r="AC26" s="4" t="str">
        <f t="shared" si="25"/>
        <v/>
      </c>
      <c r="AD26" s="91">
        <f t="shared" si="25"/>
        <v>0</v>
      </c>
      <c r="AE26" s="79" t="str">
        <f>S26</f>
        <v>계</v>
      </c>
      <c r="AF26" s="79" t="str">
        <f>Q26&amp;"/"&amp;R26</f>
        <v>1/1</v>
      </c>
      <c r="AH26" s="20" t="str">
        <f t="shared" si="1"/>
        <v>강서동광모닝스카이</v>
      </c>
      <c r="AI26" s="87">
        <f t="shared" si="0"/>
        <v>20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4561" priority="330">
      <formula>AV4="X"</formula>
    </cfRule>
    <cfRule type="expression" dxfId="4560" priority="331">
      <formula>AV4="후보"</formula>
    </cfRule>
  </conditionalFormatting>
  <conditionalFormatting sqref="AC1:AC2 AC4:AC6 N4:N5">
    <cfRule type="cellIs" dxfId="4559" priority="327" operator="greaterThan">
      <formula>0.9</formula>
    </cfRule>
    <cfRule type="cellIs" dxfId="4558" priority="328" operator="greaterThan">
      <formula>0.85</formula>
    </cfRule>
  </conditionalFormatting>
  <conditionalFormatting sqref="N1:N2">
    <cfRule type="cellIs" dxfId="4557" priority="325" operator="greaterThan">
      <formula>0.9</formula>
    </cfRule>
    <cfRule type="cellIs" dxfId="4556" priority="326" operator="greaterThan">
      <formula>0.85</formula>
    </cfRule>
  </conditionalFormatting>
  <conditionalFormatting sqref="N6">
    <cfRule type="cellIs" dxfId="4555" priority="323" operator="greaterThan">
      <formula>0.9</formula>
    </cfRule>
    <cfRule type="cellIs" dxfId="4554" priority="324" operator="greaterThan">
      <formula>0.85</formula>
    </cfRule>
  </conditionalFormatting>
  <conditionalFormatting sqref="E6">
    <cfRule type="expression" dxfId="4553" priority="319">
      <formula>AND(IF(OR($Q6=1,$Q6=2),1,0),IF($X6&lt;=20,1,0))</formula>
    </cfRule>
    <cfRule type="expression" dxfId="4552" priority="320">
      <formula>AND(IF($Q6=2,1,0),IF($X6&lt;30,1,0))</formula>
    </cfRule>
    <cfRule type="expression" dxfId="4551" priority="321">
      <formula>AND(IF($Q6=3,1,0),IF($X6&lt;30,1,0))</formula>
    </cfRule>
    <cfRule type="expression" dxfId="4550" priority="322">
      <formula>AND(IF($Q6=3,1,IF($Q6=4,1,0)),IF($F6&lt;=85,1,0))</formula>
    </cfRule>
  </conditionalFormatting>
  <conditionalFormatting sqref="X6">
    <cfRule type="expression" dxfId="4549" priority="315">
      <formula>AND(IF(OR($Q6=1,$Q6=2),1,0),IF($X6&lt;=20,1,0))</formula>
    </cfRule>
    <cfRule type="expression" dxfId="4548" priority="316">
      <formula>AND(IF($Q6=2,1,0),IF($X6&lt;30,1,0))</formula>
    </cfRule>
    <cfRule type="expression" dxfId="4547" priority="317">
      <formula>AND(IF($Q6=3,1,0),IF($X6&lt;30,1,0))</formula>
    </cfRule>
    <cfRule type="expression" dxfId="4546" priority="318">
      <formula>AND(IF($Q6=3,1,IF($Q6=4,1,0)),IF($F6&lt;=85,1,0))</formula>
    </cfRule>
  </conditionalFormatting>
  <conditionalFormatting sqref="AI6">
    <cfRule type="expression" dxfId="4545" priority="311">
      <formula>AND(IF(OR($Q6=1,$Q6=2),1,0),IF($X6&lt;=20,1,0))</formula>
    </cfRule>
    <cfRule type="expression" dxfId="4544" priority="312">
      <formula>AND(IF($Q6=2,1,0),IF($X6&lt;30,1,0))</formula>
    </cfRule>
    <cfRule type="expression" dxfId="4543" priority="313">
      <formula>AND(IF($Q6=3,1,0),IF($X6&lt;30,1,0))</formula>
    </cfRule>
    <cfRule type="expression" dxfId="4542" priority="314">
      <formula>AND(IF($Q6=3,1,IF($Q6=4,1,0)),IF($F6&lt;=85,1,0))</formula>
    </cfRule>
  </conditionalFormatting>
  <conditionalFormatting sqref="AV7">
    <cfRule type="expression" dxfId="4541" priority="309">
      <formula>AV7="X"</formula>
    </cfRule>
    <cfRule type="expression" dxfId="4540" priority="310">
      <formula>AV7="후보"</formula>
    </cfRule>
  </conditionalFormatting>
  <conditionalFormatting sqref="AC7">
    <cfRule type="cellIs" dxfId="4539" priority="306" operator="greaterThan">
      <formula>0.9</formula>
    </cfRule>
    <cfRule type="cellIs" dxfId="4538" priority="307" operator="greaterThan">
      <formula>0.85</formula>
    </cfRule>
  </conditionalFormatting>
  <conditionalFormatting sqref="N7">
    <cfRule type="cellIs" dxfId="4537" priority="304" operator="greaterThan">
      <formula>0.9</formula>
    </cfRule>
    <cfRule type="cellIs" dxfId="4536" priority="305" operator="greaterThan">
      <formula>0.85</formula>
    </cfRule>
  </conditionalFormatting>
  <conditionalFormatting sqref="E7">
    <cfRule type="expression" dxfId="4535" priority="300">
      <formula>AND(IF(OR($Q7=1,$Q7=2),1,0),IF($X7&lt;=20,1,0))</formula>
    </cfRule>
    <cfRule type="expression" dxfId="4534" priority="301">
      <formula>AND(IF($Q7=2,1,0),IF($X7&lt;30,1,0))</formula>
    </cfRule>
    <cfRule type="expression" dxfId="4533" priority="302">
      <formula>AND(IF($Q7=3,1,0),IF($X7&lt;30,1,0))</formula>
    </cfRule>
    <cfRule type="expression" dxfId="4532" priority="303">
      <formula>AND(IF($Q7=3,1,IF($Q7=4,1,0)),IF($F7&lt;=85,1,0))</formula>
    </cfRule>
  </conditionalFormatting>
  <conditionalFormatting sqref="X7">
    <cfRule type="expression" dxfId="4531" priority="296">
      <formula>AND(IF(OR($Q7=1,$Q7=2),1,0),IF($X7&lt;=20,1,0))</formula>
    </cfRule>
    <cfRule type="expression" dxfId="4530" priority="297">
      <formula>AND(IF($Q7=2,1,0),IF($X7&lt;30,1,0))</formula>
    </cfRule>
    <cfRule type="expression" dxfId="4529" priority="298">
      <formula>AND(IF($Q7=3,1,0),IF($X7&lt;30,1,0))</formula>
    </cfRule>
    <cfRule type="expression" dxfId="4528" priority="299">
      <formula>AND(IF($Q7=3,1,IF($Q7=4,1,0)),IF($F7&lt;=85,1,0))</formula>
    </cfRule>
  </conditionalFormatting>
  <conditionalFormatting sqref="AI7">
    <cfRule type="expression" dxfId="4527" priority="292">
      <formula>AND(IF(OR($Q7=1,$Q7=2),1,0),IF($X7&lt;=20,1,0))</formula>
    </cfRule>
    <cfRule type="expression" dxfId="4526" priority="293">
      <formula>AND(IF($Q7=2,1,0),IF($X7&lt;30,1,0))</formula>
    </cfRule>
    <cfRule type="expression" dxfId="4525" priority="294">
      <formula>AND(IF($Q7=3,1,0),IF($X7&lt;30,1,0))</formula>
    </cfRule>
    <cfRule type="expression" dxfId="4524" priority="295">
      <formula>AND(IF($Q7=3,1,IF($Q7=4,1,0)),IF($F7&lt;=85,1,0))</formula>
    </cfRule>
  </conditionalFormatting>
  <conditionalFormatting sqref="AV8">
    <cfRule type="expression" dxfId="4523" priority="290">
      <formula>AV8="X"</formula>
    </cfRule>
    <cfRule type="expression" dxfId="4522" priority="291">
      <formula>AV8="후보"</formula>
    </cfRule>
  </conditionalFormatting>
  <conditionalFormatting sqref="AC8 N8">
    <cfRule type="cellIs" dxfId="4521" priority="287" operator="greaterThan">
      <formula>0.9</formula>
    </cfRule>
    <cfRule type="cellIs" dxfId="4520" priority="288" operator="greaterThan">
      <formula>0.85</formula>
    </cfRule>
  </conditionalFormatting>
  <conditionalFormatting sqref="AV9">
    <cfRule type="expression" dxfId="4519" priority="285">
      <formula>AV9="X"</formula>
    </cfRule>
    <cfRule type="expression" dxfId="4518" priority="286">
      <formula>AV9="후보"</formula>
    </cfRule>
  </conditionalFormatting>
  <conditionalFormatting sqref="AC9">
    <cfRule type="cellIs" dxfId="4517" priority="282" operator="greaterThan">
      <formula>0.9</formula>
    </cfRule>
    <cfRule type="cellIs" dxfId="4516" priority="283" operator="greaterThan">
      <formula>0.85</formula>
    </cfRule>
  </conditionalFormatting>
  <conditionalFormatting sqref="N9">
    <cfRule type="cellIs" dxfId="4515" priority="280" operator="greaterThan">
      <formula>0.9</formula>
    </cfRule>
    <cfRule type="cellIs" dxfId="4514" priority="281" operator="greaterThan">
      <formula>0.85</formula>
    </cfRule>
  </conditionalFormatting>
  <conditionalFormatting sqref="E9">
    <cfRule type="expression" dxfId="4513" priority="276">
      <formula>AND(IF(OR($Q9=1,$Q9=2),1,0),IF($X9&lt;=20,1,0))</formula>
    </cfRule>
    <cfRule type="expression" dxfId="4512" priority="277">
      <formula>AND(IF($Q9=2,1,0),IF($X9&lt;30,1,0))</formula>
    </cfRule>
    <cfRule type="expression" dxfId="4511" priority="278">
      <formula>AND(IF($Q9=3,1,0),IF($X9&lt;30,1,0))</formula>
    </cfRule>
    <cfRule type="expression" dxfId="4510" priority="279">
      <formula>AND(IF($Q9=3,1,IF($Q9=4,1,0)),IF($F9&lt;=85,1,0))</formula>
    </cfRule>
  </conditionalFormatting>
  <conditionalFormatting sqref="X9">
    <cfRule type="expression" dxfId="4509" priority="272">
      <formula>AND(IF(OR($Q9=1,$Q9=2),1,0),IF($X9&lt;=20,1,0))</formula>
    </cfRule>
    <cfRule type="expression" dxfId="4508" priority="273">
      <formula>AND(IF($Q9=2,1,0),IF($X9&lt;30,1,0))</formula>
    </cfRule>
    <cfRule type="expression" dxfId="4507" priority="274">
      <formula>AND(IF($Q9=3,1,0),IF($X9&lt;30,1,0))</formula>
    </cfRule>
    <cfRule type="expression" dxfId="4506" priority="275">
      <formula>AND(IF($Q9=3,1,IF($Q9=4,1,0)),IF($F9&lt;=85,1,0))</formula>
    </cfRule>
  </conditionalFormatting>
  <conditionalFormatting sqref="AI9">
    <cfRule type="expression" dxfId="4505" priority="268">
      <formula>AND(IF(OR($Q9=1,$Q9=2),1,0),IF($X9&lt;=20,1,0))</formula>
    </cfRule>
    <cfRule type="expression" dxfId="4504" priority="269">
      <formula>AND(IF($Q9=2,1,0),IF($X9&lt;30,1,0))</formula>
    </cfRule>
    <cfRule type="expression" dxfId="4503" priority="270">
      <formula>AND(IF($Q9=3,1,0),IF($X9&lt;30,1,0))</formula>
    </cfRule>
    <cfRule type="expression" dxfId="4502" priority="271">
      <formula>AND(IF($Q9=3,1,IF($Q9=4,1,0)),IF($F9&lt;=85,1,0))</formula>
    </cfRule>
  </conditionalFormatting>
  <conditionalFormatting sqref="AV10">
    <cfRule type="expression" dxfId="4501" priority="266">
      <formula>AV10="X"</formula>
    </cfRule>
    <cfRule type="expression" dxfId="4500" priority="267">
      <formula>AV10="후보"</formula>
    </cfRule>
  </conditionalFormatting>
  <conditionalFormatting sqref="AC10 N10">
    <cfRule type="cellIs" dxfId="4499" priority="263" operator="greaterThan">
      <formula>0.9</formula>
    </cfRule>
    <cfRule type="cellIs" dxfId="4498" priority="264" operator="greaterThan">
      <formula>0.85</formula>
    </cfRule>
  </conditionalFormatting>
  <conditionalFormatting sqref="AV11">
    <cfRule type="expression" dxfId="4497" priority="261">
      <formula>AV11="X"</formula>
    </cfRule>
    <cfRule type="expression" dxfId="4496" priority="262">
      <formula>AV11="후보"</formula>
    </cfRule>
  </conditionalFormatting>
  <conditionalFormatting sqref="AC11">
    <cfRule type="cellIs" dxfId="4495" priority="258" operator="greaterThan">
      <formula>0.9</formula>
    </cfRule>
    <cfRule type="cellIs" dxfId="4494" priority="259" operator="greaterThan">
      <formula>0.85</formula>
    </cfRule>
  </conditionalFormatting>
  <conditionalFormatting sqref="N11">
    <cfRule type="cellIs" dxfId="4493" priority="256" operator="greaterThan">
      <formula>0.9</formula>
    </cfRule>
    <cfRule type="cellIs" dxfId="4492" priority="257" operator="greaterThan">
      <formula>0.85</formula>
    </cfRule>
  </conditionalFormatting>
  <conditionalFormatting sqref="E11">
    <cfRule type="expression" dxfId="4491" priority="252">
      <formula>AND(IF(OR($Q11=1,$Q11=2),1,0),IF($X11&lt;=20,1,0))</formula>
    </cfRule>
    <cfRule type="expression" dxfId="4490" priority="253">
      <formula>AND(IF($Q11=2,1,0),IF($X11&lt;30,1,0))</formula>
    </cfRule>
    <cfRule type="expression" dxfId="4489" priority="254">
      <formula>AND(IF($Q11=3,1,0),IF($X11&lt;30,1,0))</formula>
    </cfRule>
    <cfRule type="expression" dxfId="4488" priority="255">
      <formula>AND(IF($Q11=3,1,IF($Q11=4,1,0)),IF($F11&lt;=85,1,0))</formula>
    </cfRule>
  </conditionalFormatting>
  <conditionalFormatting sqref="X11">
    <cfRule type="expression" dxfId="4487" priority="248">
      <formula>AND(IF(OR($Q11=1,$Q11=2),1,0),IF($X11&lt;=20,1,0))</formula>
    </cfRule>
    <cfRule type="expression" dxfId="4486" priority="249">
      <formula>AND(IF($Q11=2,1,0),IF($X11&lt;30,1,0))</formula>
    </cfRule>
    <cfRule type="expression" dxfId="4485" priority="250">
      <formula>AND(IF($Q11=3,1,0),IF($X11&lt;30,1,0))</formula>
    </cfRule>
    <cfRule type="expression" dxfId="4484" priority="251">
      <formula>AND(IF($Q11=3,1,IF($Q11=4,1,0)),IF($F11&lt;=85,1,0))</formula>
    </cfRule>
  </conditionalFormatting>
  <conditionalFormatting sqref="AI11">
    <cfRule type="expression" dxfId="4483" priority="244">
      <formula>AND(IF(OR($Q11=1,$Q11=2),1,0),IF($X11&lt;=20,1,0))</formula>
    </cfRule>
    <cfRule type="expression" dxfId="4482" priority="245">
      <formula>AND(IF($Q11=2,1,0),IF($X11&lt;30,1,0))</formula>
    </cfRule>
    <cfRule type="expression" dxfId="4481" priority="246">
      <formula>AND(IF($Q11=3,1,0),IF($X11&lt;30,1,0))</formula>
    </cfRule>
    <cfRule type="expression" dxfId="4480" priority="247">
      <formula>AND(IF($Q11=3,1,IF($Q11=4,1,0)),IF($F11&lt;=85,1,0))</formula>
    </cfRule>
  </conditionalFormatting>
  <conditionalFormatting sqref="AV12">
    <cfRule type="expression" dxfId="4479" priority="242">
      <formula>AV12="X"</formula>
    </cfRule>
    <cfRule type="expression" dxfId="4478" priority="243">
      <formula>AV12="후보"</formula>
    </cfRule>
  </conditionalFormatting>
  <conditionalFormatting sqref="AC12">
    <cfRule type="cellIs" dxfId="4477" priority="239" operator="greaterThan">
      <formula>0.9</formula>
    </cfRule>
    <cfRule type="cellIs" dxfId="4476" priority="240" operator="greaterThan">
      <formula>0.85</formula>
    </cfRule>
  </conditionalFormatting>
  <conditionalFormatting sqref="N12">
    <cfRule type="cellIs" dxfId="4475" priority="237" operator="greaterThan">
      <formula>0.9</formula>
    </cfRule>
    <cfRule type="cellIs" dxfId="4474" priority="238" operator="greaterThan">
      <formula>0.85</formula>
    </cfRule>
  </conditionalFormatting>
  <conditionalFormatting sqref="E12">
    <cfRule type="expression" dxfId="4473" priority="233">
      <formula>AND(IF(OR($Q12=1,$Q12=2),1,0),IF($X12&lt;=20,1,0))</formula>
    </cfRule>
    <cfRule type="expression" dxfId="4472" priority="234">
      <formula>AND(IF($Q12=2,1,0),IF($X12&lt;30,1,0))</formula>
    </cfRule>
    <cfRule type="expression" dxfId="4471" priority="235">
      <formula>AND(IF($Q12=3,1,0),IF($X12&lt;30,1,0))</formula>
    </cfRule>
    <cfRule type="expression" dxfId="4470" priority="236">
      <formula>AND(IF($Q12=3,1,IF($Q12=4,1,0)),IF($F12&lt;=85,1,0))</formula>
    </cfRule>
  </conditionalFormatting>
  <conditionalFormatting sqref="X12">
    <cfRule type="expression" dxfId="4469" priority="229">
      <formula>AND(IF(OR($Q12=1,$Q12=2),1,0),IF($X12&lt;=20,1,0))</formula>
    </cfRule>
    <cfRule type="expression" dxfId="4468" priority="230">
      <formula>AND(IF($Q12=2,1,0),IF($X12&lt;30,1,0))</formula>
    </cfRule>
    <cfRule type="expression" dxfId="4467" priority="231">
      <formula>AND(IF($Q12=3,1,0),IF($X12&lt;30,1,0))</formula>
    </cfRule>
    <cfRule type="expression" dxfId="4466" priority="232">
      <formula>AND(IF($Q12=3,1,IF($Q12=4,1,0)),IF($F12&lt;=85,1,0))</formula>
    </cfRule>
  </conditionalFormatting>
  <conditionalFormatting sqref="AI12">
    <cfRule type="expression" dxfId="4465" priority="225">
      <formula>AND(IF(OR($Q12=1,$Q12=2),1,0),IF($X12&lt;=20,1,0))</formula>
    </cfRule>
    <cfRule type="expression" dxfId="4464" priority="226">
      <formula>AND(IF($Q12=2,1,0),IF($X12&lt;30,1,0))</formula>
    </cfRule>
    <cfRule type="expression" dxfId="4463" priority="227">
      <formula>AND(IF($Q12=3,1,0),IF($X12&lt;30,1,0))</formula>
    </cfRule>
    <cfRule type="expression" dxfId="4462" priority="228">
      <formula>AND(IF($Q12=3,1,IF($Q12=4,1,0)),IF($F12&lt;=85,1,0))</formula>
    </cfRule>
  </conditionalFormatting>
  <conditionalFormatting sqref="AV13">
    <cfRule type="expression" dxfId="4461" priority="223">
      <formula>AV13="X"</formula>
    </cfRule>
    <cfRule type="expression" dxfId="4460" priority="224">
      <formula>AV13="후보"</formula>
    </cfRule>
  </conditionalFormatting>
  <conditionalFormatting sqref="AC13">
    <cfRule type="cellIs" dxfId="4459" priority="220" operator="greaterThan">
      <formula>0.9</formula>
    </cfRule>
    <cfRule type="cellIs" dxfId="4458" priority="221" operator="greaterThan">
      <formula>0.85</formula>
    </cfRule>
  </conditionalFormatting>
  <conditionalFormatting sqref="N13">
    <cfRule type="cellIs" dxfId="4457" priority="218" operator="greaterThan">
      <formula>0.9</formula>
    </cfRule>
    <cfRule type="cellIs" dxfId="4456" priority="219" operator="greaterThan">
      <formula>0.85</formula>
    </cfRule>
  </conditionalFormatting>
  <conditionalFormatting sqref="E13">
    <cfRule type="expression" dxfId="4455" priority="214">
      <formula>AND(IF(OR($Q13=1,$Q13=2),1,0),IF($X13&lt;=20,1,0))</formula>
    </cfRule>
    <cfRule type="expression" dxfId="4454" priority="215">
      <formula>AND(IF($Q13=2,1,0),IF($X13&lt;30,1,0))</formula>
    </cfRule>
    <cfRule type="expression" dxfId="4453" priority="216">
      <formula>AND(IF($Q13=3,1,0),IF($X13&lt;30,1,0))</formula>
    </cfRule>
    <cfRule type="expression" dxfId="4452" priority="217">
      <formula>AND(IF($Q13=3,1,IF($Q13=4,1,0)),IF($F13&lt;=85,1,0))</formula>
    </cfRule>
  </conditionalFormatting>
  <conditionalFormatting sqref="X13">
    <cfRule type="expression" dxfId="4451" priority="210">
      <formula>AND(IF(OR($Q13=1,$Q13=2),1,0),IF($X13&lt;=20,1,0))</formula>
    </cfRule>
    <cfRule type="expression" dxfId="4450" priority="211">
      <formula>AND(IF($Q13=2,1,0),IF($X13&lt;30,1,0))</formula>
    </cfRule>
    <cfRule type="expression" dxfId="4449" priority="212">
      <formula>AND(IF($Q13=3,1,0),IF($X13&lt;30,1,0))</formula>
    </cfRule>
    <cfRule type="expression" dxfId="4448" priority="213">
      <formula>AND(IF($Q13=3,1,IF($Q13=4,1,0)),IF($F13&lt;=85,1,0))</formula>
    </cfRule>
  </conditionalFormatting>
  <conditionalFormatting sqref="AI13">
    <cfRule type="expression" dxfId="4447" priority="206">
      <formula>AND(IF(OR($Q13=1,$Q13=2),1,0),IF($X13&lt;=20,1,0))</formula>
    </cfRule>
    <cfRule type="expression" dxfId="4446" priority="207">
      <formula>AND(IF($Q13=2,1,0),IF($X13&lt;30,1,0))</formula>
    </cfRule>
    <cfRule type="expression" dxfId="4445" priority="208">
      <formula>AND(IF($Q13=3,1,0),IF($X13&lt;30,1,0))</formula>
    </cfRule>
    <cfRule type="expression" dxfId="4444" priority="209">
      <formula>AND(IF($Q13=3,1,IF($Q13=4,1,0)),IF($F13&lt;=85,1,0))</formula>
    </cfRule>
  </conditionalFormatting>
  <conditionalFormatting sqref="AV14">
    <cfRule type="expression" dxfId="4443" priority="204">
      <formula>AV14="X"</formula>
    </cfRule>
    <cfRule type="expression" dxfId="4442" priority="205">
      <formula>AV14="후보"</formula>
    </cfRule>
  </conditionalFormatting>
  <conditionalFormatting sqref="AC14">
    <cfRule type="cellIs" dxfId="4441" priority="201" operator="greaterThan">
      <formula>0.9</formula>
    </cfRule>
    <cfRule type="cellIs" dxfId="4440" priority="202" operator="greaterThan">
      <formula>0.85</formula>
    </cfRule>
  </conditionalFormatting>
  <conditionalFormatting sqref="N14">
    <cfRule type="cellIs" dxfId="4439" priority="199" operator="greaterThan">
      <formula>0.9</formula>
    </cfRule>
    <cfRule type="cellIs" dxfId="4438" priority="200" operator="greaterThan">
      <formula>0.85</formula>
    </cfRule>
  </conditionalFormatting>
  <conditionalFormatting sqref="E14">
    <cfRule type="expression" dxfId="4437" priority="195">
      <formula>AND(IF(OR($Q14=1,$Q14=2),1,0),IF($X14&lt;=20,1,0))</formula>
    </cfRule>
    <cfRule type="expression" dxfId="4436" priority="196">
      <formula>AND(IF($Q14=2,1,0),IF($X14&lt;30,1,0))</formula>
    </cfRule>
    <cfRule type="expression" dxfId="4435" priority="197">
      <formula>AND(IF($Q14=3,1,0),IF($X14&lt;30,1,0))</formula>
    </cfRule>
    <cfRule type="expression" dxfId="4434" priority="198">
      <formula>AND(IF($Q14=3,1,IF($Q14=4,1,0)),IF($F14&lt;=85,1,0))</formula>
    </cfRule>
  </conditionalFormatting>
  <conditionalFormatting sqref="X14">
    <cfRule type="expression" dxfId="4433" priority="191">
      <formula>AND(IF(OR($Q14=1,$Q14=2),1,0),IF($X14&lt;=20,1,0))</formula>
    </cfRule>
    <cfRule type="expression" dxfId="4432" priority="192">
      <formula>AND(IF($Q14=2,1,0),IF($X14&lt;30,1,0))</formula>
    </cfRule>
    <cfRule type="expression" dxfId="4431" priority="193">
      <formula>AND(IF($Q14=3,1,0),IF($X14&lt;30,1,0))</formula>
    </cfRule>
    <cfRule type="expression" dxfId="4430" priority="194">
      <formula>AND(IF($Q14=3,1,IF($Q14=4,1,0)),IF($F14&lt;=85,1,0))</formula>
    </cfRule>
  </conditionalFormatting>
  <conditionalFormatting sqref="AI14">
    <cfRule type="expression" dxfId="4429" priority="187">
      <formula>AND(IF(OR($Q14=1,$Q14=2),1,0),IF($X14&lt;=20,1,0))</formula>
    </cfRule>
    <cfRule type="expression" dxfId="4428" priority="188">
      <formula>AND(IF($Q14=2,1,0),IF($X14&lt;30,1,0))</formula>
    </cfRule>
    <cfRule type="expression" dxfId="4427" priority="189">
      <formula>AND(IF($Q14=3,1,0),IF($X14&lt;30,1,0))</formula>
    </cfRule>
    <cfRule type="expression" dxfId="4426" priority="190">
      <formula>AND(IF($Q14=3,1,IF($Q14=4,1,0)),IF($F14&lt;=85,1,0))</formula>
    </cfRule>
  </conditionalFormatting>
  <conditionalFormatting sqref="AV15">
    <cfRule type="expression" dxfId="4425" priority="185">
      <formula>AV15="X"</formula>
    </cfRule>
    <cfRule type="expression" dxfId="4424" priority="186">
      <formula>AV15="후보"</formula>
    </cfRule>
  </conditionalFormatting>
  <conditionalFormatting sqref="AC15">
    <cfRule type="cellIs" dxfId="4423" priority="182" operator="greaterThan">
      <formula>0.9</formula>
    </cfRule>
    <cfRule type="cellIs" dxfId="4422" priority="183" operator="greaterThan">
      <formula>0.85</formula>
    </cfRule>
  </conditionalFormatting>
  <conditionalFormatting sqref="N15">
    <cfRule type="cellIs" dxfId="4421" priority="180" operator="greaterThan">
      <formula>0.9</formula>
    </cfRule>
    <cfRule type="cellIs" dxfId="4420" priority="181" operator="greaterThan">
      <formula>0.85</formula>
    </cfRule>
  </conditionalFormatting>
  <conditionalFormatting sqref="E15">
    <cfRule type="expression" dxfId="4419" priority="176">
      <formula>AND(IF(OR($Q15=1,$Q15=2),1,0),IF($X15&lt;=20,1,0))</formula>
    </cfRule>
    <cfRule type="expression" dxfId="4418" priority="177">
      <formula>AND(IF($Q15=2,1,0),IF($X15&lt;30,1,0))</formula>
    </cfRule>
    <cfRule type="expression" dxfId="4417" priority="178">
      <formula>AND(IF($Q15=3,1,0),IF($X15&lt;30,1,0))</formula>
    </cfRule>
    <cfRule type="expression" dxfId="4416" priority="179">
      <formula>AND(IF($Q15=3,1,IF($Q15=4,1,0)),IF($F15&lt;=85,1,0))</formula>
    </cfRule>
  </conditionalFormatting>
  <conditionalFormatting sqref="X15">
    <cfRule type="expression" dxfId="4415" priority="172">
      <formula>AND(IF(OR($Q15=1,$Q15=2),1,0),IF($X15&lt;=20,1,0))</formula>
    </cfRule>
    <cfRule type="expression" dxfId="4414" priority="173">
      <formula>AND(IF($Q15=2,1,0),IF($X15&lt;30,1,0))</formula>
    </cfRule>
    <cfRule type="expression" dxfId="4413" priority="174">
      <formula>AND(IF($Q15=3,1,0),IF($X15&lt;30,1,0))</formula>
    </cfRule>
    <cfRule type="expression" dxfId="4412" priority="175">
      <formula>AND(IF($Q15=3,1,IF($Q15=4,1,0)),IF($F15&lt;=85,1,0))</formula>
    </cfRule>
  </conditionalFormatting>
  <conditionalFormatting sqref="AI15">
    <cfRule type="expression" dxfId="4411" priority="168">
      <formula>AND(IF(OR($Q15=1,$Q15=2),1,0),IF($X15&lt;=20,1,0))</formula>
    </cfRule>
    <cfRule type="expression" dxfId="4410" priority="169">
      <formula>AND(IF($Q15=2,1,0),IF($X15&lt;30,1,0))</formula>
    </cfRule>
    <cfRule type="expression" dxfId="4409" priority="170">
      <formula>AND(IF($Q15=3,1,0),IF($X15&lt;30,1,0))</formula>
    </cfRule>
    <cfRule type="expression" dxfId="4408" priority="171">
      <formula>AND(IF($Q15=3,1,IF($Q15=4,1,0)),IF($F15&lt;=85,1,0))</formula>
    </cfRule>
  </conditionalFormatting>
  <conditionalFormatting sqref="AV16">
    <cfRule type="expression" dxfId="4407" priority="166">
      <formula>AV16="X"</formula>
    </cfRule>
    <cfRule type="expression" dxfId="4406" priority="167">
      <formula>AV16="후보"</formula>
    </cfRule>
  </conditionalFormatting>
  <conditionalFormatting sqref="AC16">
    <cfRule type="cellIs" dxfId="4405" priority="163" operator="greaterThan">
      <formula>0.9</formula>
    </cfRule>
    <cfRule type="cellIs" dxfId="4404" priority="164" operator="greaterThan">
      <formula>0.85</formula>
    </cfRule>
  </conditionalFormatting>
  <conditionalFormatting sqref="N16">
    <cfRule type="cellIs" dxfId="4403" priority="161" operator="greaterThan">
      <formula>0.9</formula>
    </cfRule>
    <cfRule type="cellIs" dxfId="4402" priority="162" operator="greaterThan">
      <formula>0.85</formula>
    </cfRule>
  </conditionalFormatting>
  <conditionalFormatting sqref="E16">
    <cfRule type="expression" dxfId="4401" priority="157">
      <formula>AND(IF(OR($Q16=1,$Q16=2),1,0),IF($X16&lt;=20,1,0))</formula>
    </cfRule>
    <cfRule type="expression" dxfId="4400" priority="158">
      <formula>AND(IF($Q16=2,1,0),IF($X16&lt;30,1,0))</formula>
    </cfRule>
    <cfRule type="expression" dxfId="4399" priority="159">
      <formula>AND(IF($Q16=3,1,0),IF($X16&lt;30,1,0))</formula>
    </cfRule>
    <cfRule type="expression" dxfId="4398" priority="160">
      <formula>AND(IF($Q16=3,1,IF($Q16=4,1,0)),IF($F16&lt;=85,1,0))</formula>
    </cfRule>
  </conditionalFormatting>
  <conditionalFormatting sqref="X16">
    <cfRule type="expression" dxfId="4397" priority="153">
      <formula>AND(IF(OR($Q16=1,$Q16=2),1,0),IF($X16&lt;=20,1,0))</formula>
    </cfRule>
    <cfRule type="expression" dxfId="4396" priority="154">
      <formula>AND(IF($Q16=2,1,0),IF($X16&lt;30,1,0))</formula>
    </cfRule>
    <cfRule type="expression" dxfId="4395" priority="155">
      <formula>AND(IF($Q16=3,1,0),IF($X16&lt;30,1,0))</formula>
    </cfRule>
    <cfRule type="expression" dxfId="4394" priority="156">
      <formula>AND(IF($Q16=3,1,IF($Q16=4,1,0)),IF($F16&lt;=85,1,0))</formula>
    </cfRule>
  </conditionalFormatting>
  <conditionalFormatting sqref="AI16">
    <cfRule type="expression" dxfId="4393" priority="149">
      <formula>AND(IF(OR($Q16=1,$Q16=2),1,0),IF($X16&lt;=20,1,0))</formula>
    </cfRule>
    <cfRule type="expression" dxfId="4392" priority="150">
      <formula>AND(IF($Q16=2,1,0),IF($X16&lt;30,1,0))</formula>
    </cfRule>
    <cfRule type="expression" dxfId="4391" priority="151">
      <formula>AND(IF($Q16=3,1,0),IF($X16&lt;30,1,0))</formula>
    </cfRule>
    <cfRule type="expression" dxfId="4390" priority="152">
      <formula>AND(IF($Q16=3,1,IF($Q16=4,1,0)),IF($F16&lt;=85,1,0))</formula>
    </cfRule>
  </conditionalFormatting>
  <conditionalFormatting sqref="AV17">
    <cfRule type="expression" dxfId="4389" priority="147">
      <formula>AV17="X"</formula>
    </cfRule>
    <cfRule type="expression" dxfId="4388" priority="148">
      <formula>AV17="후보"</formula>
    </cfRule>
  </conditionalFormatting>
  <conditionalFormatting sqref="AC17">
    <cfRule type="cellIs" dxfId="4387" priority="144" operator="greaterThan">
      <formula>0.9</formula>
    </cfRule>
    <cfRule type="cellIs" dxfId="4386" priority="145" operator="greaterThan">
      <formula>0.85</formula>
    </cfRule>
  </conditionalFormatting>
  <conditionalFormatting sqref="N17">
    <cfRule type="cellIs" dxfId="4385" priority="142" operator="greaterThan">
      <formula>0.9</formula>
    </cfRule>
    <cfRule type="cellIs" dxfId="4384" priority="143" operator="greaterThan">
      <formula>0.85</formula>
    </cfRule>
  </conditionalFormatting>
  <conditionalFormatting sqref="E17">
    <cfRule type="expression" dxfId="4383" priority="138">
      <formula>AND(IF(OR($Q17=1,$Q17=2),1,0),IF($X17&lt;=20,1,0))</formula>
    </cfRule>
    <cfRule type="expression" dxfId="4382" priority="139">
      <formula>AND(IF($Q17=2,1,0),IF($X17&lt;30,1,0))</formula>
    </cfRule>
    <cfRule type="expression" dxfId="4381" priority="140">
      <formula>AND(IF($Q17=3,1,0),IF($X17&lt;30,1,0))</formula>
    </cfRule>
    <cfRule type="expression" dxfId="4380" priority="141">
      <formula>AND(IF($Q17=3,1,IF($Q17=4,1,0)),IF($F17&lt;=85,1,0))</formula>
    </cfRule>
  </conditionalFormatting>
  <conditionalFormatting sqref="X17">
    <cfRule type="expression" dxfId="4379" priority="134">
      <formula>AND(IF(OR($Q17=1,$Q17=2),1,0),IF($X17&lt;=20,1,0))</formula>
    </cfRule>
    <cfRule type="expression" dxfId="4378" priority="135">
      <formula>AND(IF($Q17=2,1,0),IF($X17&lt;30,1,0))</formula>
    </cfRule>
    <cfRule type="expression" dxfId="4377" priority="136">
      <formula>AND(IF($Q17=3,1,0),IF($X17&lt;30,1,0))</formula>
    </cfRule>
    <cfRule type="expression" dxfId="4376" priority="137">
      <formula>AND(IF($Q17=3,1,IF($Q17=4,1,0)),IF($F17&lt;=85,1,0))</formula>
    </cfRule>
  </conditionalFormatting>
  <conditionalFormatting sqref="AI17">
    <cfRule type="expression" dxfId="4375" priority="130">
      <formula>AND(IF(OR($Q17=1,$Q17=2),1,0),IF($X17&lt;=20,1,0))</formula>
    </cfRule>
    <cfRule type="expression" dxfId="4374" priority="131">
      <formula>AND(IF($Q17=2,1,0),IF($X17&lt;30,1,0))</formula>
    </cfRule>
    <cfRule type="expression" dxfId="4373" priority="132">
      <formula>AND(IF($Q17=3,1,0),IF($X17&lt;30,1,0))</formula>
    </cfRule>
    <cfRule type="expression" dxfId="4372" priority="133">
      <formula>AND(IF($Q17=3,1,IF($Q17=4,1,0)),IF($F17&lt;=85,1,0))</formula>
    </cfRule>
  </conditionalFormatting>
  <conditionalFormatting sqref="AV18">
    <cfRule type="expression" dxfId="4371" priority="128">
      <formula>AV18="X"</formula>
    </cfRule>
    <cfRule type="expression" dxfId="4370" priority="129">
      <formula>AV18="후보"</formula>
    </cfRule>
  </conditionalFormatting>
  <conditionalFormatting sqref="AC18 N18">
    <cfRule type="cellIs" dxfId="4369" priority="125" operator="greaterThan">
      <formula>0.9</formula>
    </cfRule>
    <cfRule type="cellIs" dxfId="4368" priority="126" operator="greaterThan">
      <formula>0.85</formula>
    </cfRule>
  </conditionalFormatting>
  <conditionalFormatting sqref="AV19">
    <cfRule type="expression" dxfId="4367" priority="123">
      <formula>AV19="X"</formula>
    </cfRule>
    <cfRule type="expression" dxfId="4366" priority="124">
      <formula>AV19="후보"</formula>
    </cfRule>
  </conditionalFormatting>
  <conditionalFormatting sqref="AC19">
    <cfRule type="cellIs" dxfId="4365" priority="120" operator="greaterThan">
      <formula>0.9</formula>
    </cfRule>
    <cfRule type="cellIs" dxfId="4364" priority="121" operator="greaterThan">
      <formula>0.85</formula>
    </cfRule>
  </conditionalFormatting>
  <conditionalFormatting sqref="N19">
    <cfRule type="cellIs" dxfId="4363" priority="118" operator="greaterThan">
      <formula>0.9</formula>
    </cfRule>
    <cfRule type="cellIs" dxfId="4362" priority="119" operator="greaterThan">
      <formula>0.85</formula>
    </cfRule>
  </conditionalFormatting>
  <conditionalFormatting sqref="E19">
    <cfRule type="expression" dxfId="4361" priority="114">
      <formula>AND(IF(OR($Q19=1,$Q19=2),1,0),IF($X19&lt;=20,1,0))</formula>
    </cfRule>
    <cfRule type="expression" dxfId="4360" priority="115">
      <formula>AND(IF($Q19=2,1,0),IF($X19&lt;30,1,0))</formula>
    </cfRule>
    <cfRule type="expression" dxfId="4359" priority="116">
      <formula>AND(IF($Q19=3,1,0),IF($X19&lt;30,1,0))</formula>
    </cfRule>
    <cfRule type="expression" dxfId="4358" priority="117">
      <formula>AND(IF($Q19=3,1,IF($Q19=4,1,0)),IF($F19&lt;=85,1,0))</formula>
    </cfRule>
  </conditionalFormatting>
  <conditionalFormatting sqref="X19">
    <cfRule type="expression" dxfId="4357" priority="110">
      <formula>AND(IF(OR($Q19=1,$Q19=2),1,0),IF($X19&lt;=20,1,0))</formula>
    </cfRule>
    <cfRule type="expression" dxfId="4356" priority="111">
      <formula>AND(IF($Q19=2,1,0),IF($X19&lt;30,1,0))</formula>
    </cfRule>
    <cfRule type="expression" dxfId="4355" priority="112">
      <formula>AND(IF($Q19=3,1,0),IF($X19&lt;30,1,0))</formula>
    </cfRule>
    <cfRule type="expression" dxfId="4354" priority="113">
      <formula>AND(IF($Q19=3,1,IF($Q19=4,1,0)),IF($F19&lt;=85,1,0))</formula>
    </cfRule>
  </conditionalFormatting>
  <conditionalFormatting sqref="AI19">
    <cfRule type="expression" dxfId="4353" priority="106">
      <formula>AND(IF(OR($Q19=1,$Q19=2),1,0),IF($X19&lt;=20,1,0))</formula>
    </cfRule>
    <cfRule type="expression" dxfId="4352" priority="107">
      <formula>AND(IF($Q19=2,1,0),IF($X19&lt;30,1,0))</formula>
    </cfRule>
    <cfRule type="expression" dxfId="4351" priority="108">
      <formula>AND(IF($Q19=3,1,0),IF($X19&lt;30,1,0))</formula>
    </cfRule>
    <cfRule type="expression" dxfId="4350" priority="109">
      <formula>AND(IF($Q19=3,1,IF($Q19=4,1,0)),IF($F19&lt;=85,1,0))</formula>
    </cfRule>
  </conditionalFormatting>
  <conditionalFormatting sqref="AV20">
    <cfRule type="expression" dxfId="4349" priority="104">
      <formula>AV20="X"</formula>
    </cfRule>
    <cfRule type="expression" dxfId="4348" priority="105">
      <formula>AV20="후보"</formula>
    </cfRule>
  </conditionalFormatting>
  <conditionalFormatting sqref="AC20">
    <cfRule type="cellIs" dxfId="4347" priority="101" operator="greaterThan">
      <formula>0.9</formula>
    </cfRule>
    <cfRule type="cellIs" dxfId="4346" priority="102" operator="greaterThan">
      <formula>0.85</formula>
    </cfRule>
  </conditionalFormatting>
  <conditionalFormatting sqref="N20">
    <cfRule type="cellIs" dxfId="4345" priority="99" operator="greaterThan">
      <formula>0.9</formula>
    </cfRule>
    <cfRule type="cellIs" dxfId="4344" priority="100" operator="greaterThan">
      <formula>0.85</formula>
    </cfRule>
  </conditionalFormatting>
  <conditionalFormatting sqref="E20">
    <cfRule type="expression" dxfId="4343" priority="95">
      <formula>AND(IF(OR($Q20=1,$Q20=2),1,0),IF($X20&lt;=20,1,0))</formula>
    </cfRule>
    <cfRule type="expression" dxfId="4342" priority="96">
      <formula>AND(IF($Q20=2,1,0),IF($X20&lt;30,1,0))</formula>
    </cfRule>
    <cfRule type="expression" dxfId="4341" priority="97">
      <formula>AND(IF($Q20=3,1,0),IF($X20&lt;30,1,0))</formula>
    </cfRule>
    <cfRule type="expression" dxfId="4340" priority="98">
      <formula>AND(IF($Q20=3,1,IF($Q20=4,1,0)),IF($F20&lt;=85,1,0))</formula>
    </cfRule>
  </conditionalFormatting>
  <conditionalFormatting sqref="X20">
    <cfRule type="expression" dxfId="4339" priority="91">
      <formula>AND(IF(OR($Q20=1,$Q20=2),1,0),IF($X20&lt;=20,1,0))</formula>
    </cfRule>
    <cfRule type="expression" dxfId="4338" priority="92">
      <formula>AND(IF($Q20=2,1,0),IF($X20&lt;30,1,0))</formula>
    </cfRule>
    <cfRule type="expression" dxfId="4337" priority="93">
      <formula>AND(IF($Q20=3,1,0),IF($X20&lt;30,1,0))</formula>
    </cfRule>
    <cfRule type="expression" dxfId="4336" priority="94">
      <formula>AND(IF($Q20=3,1,IF($Q20=4,1,0)),IF($F20&lt;=85,1,0))</formula>
    </cfRule>
  </conditionalFormatting>
  <conditionalFormatting sqref="AI20">
    <cfRule type="expression" dxfId="4335" priority="87">
      <formula>AND(IF(OR($Q20=1,$Q20=2),1,0),IF($X20&lt;=20,1,0))</formula>
    </cfRule>
    <cfRule type="expression" dxfId="4334" priority="88">
      <formula>AND(IF($Q20=2,1,0),IF($X20&lt;30,1,0))</formula>
    </cfRule>
    <cfRule type="expression" dxfId="4333" priority="89">
      <formula>AND(IF($Q20=3,1,0),IF($X20&lt;30,1,0))</formula>
    </cfRule>
    <cfRule type="expression" dxfId="4332" priority="90">
      <formula>AND(IF($Q20=3,1,IF($Q20=4,1,0)),IF($F20&lt;=85,1,0))</formula>
    </cfRule>
  </conditionalFormatting>
  <conditionalFormatting sqref="AV21">
    <cfRule type="expression" dxfId="4331" priority="85">
      <formula>AV21="X"</formula>
    </cfRule>
    <cfRule type="expression" dxfId="4330" priority="86">
      <formula>AV21="후보"</formula>
    </cfRule>
  </conditionalFormatting>
  <conditionalFormatting sqref="AC21 N21">
    <cfRule type="cellIs" dxfId="4329" priority="82" operator="greaterThan">
      <formula>0.9</formula>
    </cfRule>
    <cfRule type="cellIs" dxfId="4328" priority="83" operator="greaterThan">
      <formula>0.85</formula>
    </cfRule>
  </conditionalFormatting>
  <conditionalFormatting sqref="AV22">
    <cfRule type="expression" dxfId="4327" priority="80">
      <formula>AV22="X"</formula>
    </cfRule>
    <cfRule type="expression" dxfId="4326" priority="81">
      <formula>AV22="후보"</formula>
    </cfRule>
  </conditionalFormatting>
  <conditionalFormatting sqref="AC22">
    <cfRule type="cellIs" dxfId="4325" priority="77" operator="greaterThan">
      <formula>0.9</formula>
    </cfRule>
    <cfRule type="cellIs" dxfId="4324" priority="78" operator="greaterThan">
      <formula>0.85</formula>
    </cfRule>
  </conditionalFormatting>
  <conditionalFormatting sqref="N22">
    <cfRule type="cellIs" dxfId="4323" priority="75" operator="greaterThan">
      <formula>0.9</formula>
    </cfRule>
    <cfRule type="cellIs" dxfId="4322" priority="76" operator="greaterThan">
      <formula>0.85</formula>
    </cfRule>
  </conditionalFormatting>
  <conditionalFormatting sqref="E22">
    <cfRule type="expression" dxfId="4321" priority="71">
      <formula>AND(IF(OR($Q22=1,$Q22=2),1,0),IF($X22&lt;=20,1,0))</formula>
    </cfRule>
    <cfRule type="expression" dxfId="4320" priority="72">
      <formula>AND(IF($Q22=2,1,0),IF($X22&lt;30,1,0))</formula>
    </cfRule>
    <cfRule type="expression" dxfId="4319" priority="73">
      <formula>AND(IF($Q22=3,1,0),IF($X22&lt;30,1,0))</formula>
    </cfRule>
    <cfRule type="expression" dxfId="4318" priority="74">
      <formula>AND(IF($Q22=3,1,IF($Q22=4,1,0)),IF($F22&lt;=85,1,0))</formula>
    </cfRule>
  </conditionalFormatting>
  <conditionalFormatting sqref="X22">
    <cfRule type="expression" dxfId="4317" priority="67">
      <formula>AND(IF(OR($Q22=1,$Q22=2),1,0),IF($X22&lt;=20,1,0))</formula>
    </cfRule>
    <cfRule type="expression" dxfId="4316" priority="68">
      <formula>AND(IF($Q22=2,1,0),IF($X22&lt;30,1,0))</formula>
    </cfRule>
    <cfRule type="expression" dxfId="4315" priority="69">
      <formula>AND(IF($Q22=3,1,0),IF($X22&lt;30,1,0))</formula>
    </cfRule>
    <cfRule type="expression" dxfId="4314" priority="70">
      <formula>AND(IF($Q22=3,1,IF($Q22=4,1,0)),IF($F22&lt;=85,1,0))</formula>
    </cfRule>
  </conditionalFormatting>
  <conditionalFormatting sqref="AI22">
    <cfRule type="expression" dxfId="4313" priority="63">
      <formula>AND(IF(OR($Q22=1,$Q22=2),1,0),IF($X22&lt;=20,1,0))</formula>
    </cfRule>
    <cfRule type="expression" dxfId="4312" priority="64">
      <formula>AND(IF($Q22=2,1,0),IF($X22&lt;30,1,0))</formula>
    </cfRule>
    <cfRule type="expression" dxfId="4311" priority="65">
      <formula>AND(IF($Q22=3,1,0),IF($X22&lt;30,1,0))</formula>
    </cfRule>
    <cfRule type="expression" dxfId="4310" priority="66">
      <formula>AND(IF($Q22=3,1,IF($Q22=4,1,0)),IF($F22&lt;=85,1,0))</formula>
    </cfRule>
  </conditionalFormatting>
  <conditionalFormatting sqref="AV23">
    <cfRule type="expression" dxfId="4309" priority="61">
      <formula>AV23="X"</formula>
    </cfRule>
    <cfRule type="expression" dxfId="4308" priority="62">
      <formula>AV23="후보"</formula>
    </cfRule>
  </conditionalFormatting>
  <conditionalFormatting sqref="AC23 N23">
    <cfRule type="cellIs" dxfId="4307" priority="58" operator="greaterThan">
      <formula>0.9</formula>
    </cfRule>
    <cfRule type="cellIs" dxfId="4306" priority="59" operator="greaterThan">
      <formula>0.85</formula>
    </cfRule>
  </conditionalFormatting>
  <conditionalFormatting sqref="AV24">
    <cfRule type="expression" dxfId="4305" priority="56">
      <formula>AV24="X"</formula>
    </cfRule>
    <cfRule type="expression" dxfId="4304" priority="57">
      <formula>AV24="후보"</formula>
    </cfRule>
  </conditionalFormatting>
  <conditionalFormatting sqref="AC24">
    <cfRule type="cellIs" dxfId="4303" priority="53" operator="greaterThan">
      <formula>0.9</formula>
    </cfRule>
    <cfRule type="cellIs" dxfId="4302" priority="54" operator="greaterThan">
      <formula>0.85</formula>
    </cfRule>
  </conditionalFormatting>
  <conditionalFormatting sqref="N24">
    <cfRule type="cellIs" dxfId="4301" priority="51" operator="greaterThan">
      <formula>0.9</formula>
    </cfRule>
    <cfRule type="cellIs" dxfId="4300" priority="52" operator="greaterThan">
      <formula>0.85</formula>
    </cfRule>
  </conditionalFormatting>
  <conditionalFormatting sqref="E24">
    <cfRule type="expression" dxfId="4299" priority="47">
      <formula>AND(IF(OR($Q24=1,$Q24=2),1,0),IF($X24&lt;=20,1,0))</formula>
    </cfRule>
    <cfRule type="expression" dxfId="4298" priority="48">
      <formula>AND(IF($Q24=2,1,0),IF($X24&lt;30,1,0))</formula>
    </cfRule>
    <cfRule type="expression" dxfId="4297" priority="49">
      <formula>AND(IF($Q24=3,1,0),IF($X24&lt;30,1,0))</formula>
    </cfRule>
    <cfRule type="expression" dxfId="4296" priority="50">
      <formula>AND(IF($Q24=3,1,IF($Q24=4,1,0)),IF($F24&lt;=85,1,0))</formula>
    </cfRule>
  </conditionalFormatting>
  <conditionalFormatting sqref="X24">
    <cfRule type="expression" dxfId="4295" priority="43">
      <formula>AND(IF(OR($Q24=1,$Q24=2),1,0),IF($X24&lt;=20,1,0))</formula>
    </cfRule>
    <cfRule type="expression" dxfId="4294" priority="44">
      <formula>AND(IF($Q24=2,1,0),IF($X24&lt;30,1,0))</formula>
    </cfRule>
    <cfRule type="expression" dxfId="4293" priority="45">
      <formula>AND(IF($Q24=3,1,0),IF($X24&lt;30,1,0))</formula>
    </cfRule>
    <cfRule type="expression" dxfId="4292" priority="46">
      <formula>AND(IF($Q24=3,1,IF($Q24=4,1,0)),IF($F24&lt;=85,1,0))</formula>
    </cfRule>
  </conditionalFormatting>
  <conditionalFormatting sqref="AI24">
    <cfRule type="expression" dxfId="4291" priority="39">
      <formula>AND(IF(OR($Q24=1,$Q24=2),1,0),IF($X24&lt;=20,1,0))</formula>
    </cfRule>
    <cfRule type="expression" dxfId="4290" priority="40">
      <formula>AND(IF($Q24=2,1,0),IF($X24&lt;30,1,0))</formula>
    </cfRule>
    <cfRule type="expression" dxfId="4289" priority="41">
      <formula>AND(IF($Q24=3,1,0),IF($X24&lt;30,1,0))</formula>
    </cfRule>
    <cfRule type="expression" dxfId="4288" priority="42">
      <formula>AND(IF($Q24=3,1,IF($Q24=4,1,0)),IF($F24&lt;=85,1,0))</formula>
    </cfRule>
  </conditionalFormatting>
  <conditionalFormatting sqref="AV25">
    <cfRule type="expression" dxfId="4287" priority="37">
      <formula>AV25="X"</formula>
    </cfRule>
    <cfRule type="expression" dxfId="4286" priority="38">
      <formula>AV25="후보"</formula>
    </cfRule>
  </conditionalFormatting>
  <conditionalFormatting sqref="AC25">
    <cfRule type="cellIs" dxfId="4285" priority="34" operator="greaterThan">
      <formula>0.9</formula>
    </cfRule>
    <cfRule type="cellIs" dxfId="4284" priority="35" operator="greaterThan">
      <formula>0.85</formula>
    </cfRule>
  </conditionalFormatting>
  <conditionalFormatting sqref="N25">
    <cfRule type="cellIs" dxfId="4283" priority="32" operator="greaterThan">
      <formula>0.9</formula>
    </cfRule>
    <cfRule type="cellIs" dxfId="4282" priority="33" operator="greaterThan">
      <formula>0.85</formula>
    </cfRule>
  </conditionalFormatting>
  <conditionalFormatting sqref="E25">
    <cfRule type="expression" dxfId="4281" priority="28">
      <formula>AND(IF(OR($Q25=1,$Q25=2),1,0),IF($X25&lt;=20,1,0))</formula>
    </cfRule>
    <cfRule type="expression" dxfId="4280" priority="29">
      <formula>AND(IF($Q25=2,1,0),IF($X25&lt;30,1,0))</formula>
    </cfRule>
    <cfRule type="expression" dxfId="4279" priority="30">
      <formula>AND(IF($Q25=3,1,0),IF($X25&lt;30,1,0))</formula>
    </cfRule>
    <cfRule type="expression" dxfId="4278" priority="31">
      <formula>AND(IF($Q25=3,1,IF($Q25=4,1,0)),IF($F25&lt;=85,1,0))</formula>
    </cfRule>
  </conditionalFormatting>
  <conditionalFormatting sqref="X25">
    <cfRule type="expression" dxfId="4277" priority="24">
      <formula>AND(IF(OR($Q25=1,$Q25=2),1,0),IF($X25&lt;=20,1,0))</formula>
    </cfRule>
    <cfRule type="expression" dxfId="4276" priority="25">
      <formula>AND(IF($Q25=2,1,0),IF($X25&lt;30,1,0))</formula>
    </cfRule>
    <cfRule type="expression" dxfId="4275" priority="26">
      <formula>AND(IF($Q25=3,1,0),IF($X25&lt;30,1,0))</formula>
    </cfRule>
    <cfRule type="expression" dxfId="4274" priority="27">
      <formula>AND(IF($Q25=3,1,IF($Q25=4,1,0)),IF($F25&lt;=85,1,0))</formula>
    </cfRule>
  </conditionalFormatting>
  <conditionalFormatting sqref="AI25">
    <cfRule type="expression" dxfId="4273" priority="20">
      <formula>AND(IF(OR($Q25=1,$Q25=2),1,0),IF($X25&lt;=20,1,0))</formula>
    </cfRule>
    <cfRule type="expression" dxfId="4272" priority="21">
      <formula>AND(IF($Q25=2,1,0),IF($X25&lt;30,1,0))</formula>
    </cfRule>
    <cfRule type="expression" dxfId="4271" priority="22">
      <formula>AND(IF($Q25=3,1,0),IF($X25&lt;30,1,0))</formula>
    </cfRule>
    <cfRule type="expression" dxfId="4270" priority="23">
      <formula>AND(IF($Q25=3,1,IF($Q25=4,1,0)),IF($F25&lt;=85,1,0))</formula>
    </cfRule>
  </conditionalFormatting>
  <conditionalFormatting sqref="AV26">
    <cfRule type="expression" dxfId="4269" priority="18">
      <formula>AV26="X"</formula>
    </cfRule>
    <cfRule type="expression" dxfId="4268" priority="19">
      <formula>AV26="후보"</formula>
    </cfRule>
  </conditionalFormatting>
  <conditionalFormatting sqref="AC26">
    <cfRule type="cellIs" dxfId="4267" priority="15" operator="greaterThan">
      <formula>0.9</formula>
    </cfRule>
    <cfRule type="cellIs" dxfId="4266" priority="16" operator="greaterThan">
      <formula>0.85</formula>
    </cfRule>
  </conditionalFormatting>
  <conditionalFormatting sqref="N26">
    <cfRule type="cellIs" dxfId="4265" priority="13" operator="greaterThan">
      <formula>0.9</formula>
    </cfRule>
    <cfRule type="cellIs" dxfId="4264" priority="14" operator="greaterThan">
      <formula>0.85</formula>
    </cfRule>
  </conditionalFormatting>
  <conditionalFormatting sqref="E26">
    <cfRule type="expression" dxfId="4263" priority="9">
      <formula>AND(IF(OR($Q26=1,$Q26=2),1,0),IF($X26&lt;=20,1,0))</formula>
    </cfRule>
    <cfRule type="expression" dxfId="4262" priority="10">
      <formula>AND(IF($Q26=2,1,0),IF($X26&lt;30,1,0))</formula>
    </cfRule>
    <cfRule type="expression" dxfId="4261" priority="11">
      <formula>AND(IF($Q26=3,1,0),IF($X26&lt;30,1,0))</formula>
    </cfRule>
    <cfRule type="expression" dxfId="4260" priority="12">
      <formula>AND(IF($Q26=3,1,IF($Q26=4,1,0)),IF($F26&lt;=85,1,0))</formula>
    </cfRule>
  </conditionalFormatting>
  <conditionalFormatting sqref="X26">
    <cfRule type="expression" dxfId="4259" priority="5">
      <formula>AND(IF(OR($Q26=1,$Q26=2),1,0),IF($X26&lt;=20,1,0))</formula>
    </cfRule>
    <cfRule type="expression" dxfId="4258" priority="6">
      <formula>AND(IF($Q26=2,1,0),IF($X26&lt;30,1,0))</formula>
    </cfRule>
    <cfRule type="expression" dxfId="4257" priority="7">
      <formula>AND(IF($Q26=3,1,0),IF($X26&lt;30,1,0))</formula>
    </cfRule>
    <cfRule type="expression" dxfId="4256" priority="8">
      <formula>AND(IF($Q26=3,1,IF($Q26=4,1,0)),IF($F26&lt;=85,1,0))</formula>
    </cfRule>
  </conditionalFormatting>
  <conditionalFormatting sqref="AI26">
    <cfRule type="expression" dxfId="4255" priority="1">
      <formula>AND(IF(OR($Q26=1,$Q26=2),1,0),IF($X26&lt;=20,1,0))</formula>
    </cfRule>
    <cfRule type="expression" dxfId="4254" priority="2">
      <formula>AND(IF($Q26=2,1,0),IF($X26&lt;30,1,0))</formula>
    </cfRule>
    <cfRule type="expression" dxfId="4253" priority="3">
      <formula>AND(IF($Q26=3,1,0),IF($X26&lt;30,1,0))</formula>
    </cfRule>
    <cfRule type="expression" dxfId="425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문암동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677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문암동 청주테크노폴리스지웰푸르지오('22.05.,1148^)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673</v>
      </c>
      <c r="B6" s="10" t="s">
        <v>1369</v>
      </c>
      <c r="C6" s="88">
        <v>1148</v>
      </c>
      <c r="D6" s="86">
        <v>79.099999999999994</v>
      </c>
      <c r="E6" s="87">
        <v>24</v>
      </c>
      <c r="F6" s="86">
        <v>60</v>
      </c>
      <c r="G6" s="17">
        <v>18</v>
      </c>
      <c r="H6" s="88">
        <v>246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62</v>
      </c>
      <c r="T6" s="5" t="s">
        <v>133</v>
      </c>
      <c r="U6" s="9"/>
      <c r="W6" s="86">
        <f t="shared" ref="W6:X10" si="2">D6</f>
        <v>79.099999999999994</v>
      </c>
      <c r="X6" s="87">
        <f t="shared" si="2"/>
        <v>24</v>
      </c>
      <c r="Y6" s="92">
        <f t="shared" ref="Y6:Z10" si="3">H6</f>
        <v>246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청주테크노폴리스지웰푸르지오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673</v>
      </c>
      <c r="B7" s="10" t="s">
        <v>1369</v>
      </c>
      <c r="C7" s="88">
        <v>1148</v>
      </c>
      <c r="D7" s="86">
        <v>79.3</v>
      </c>
      <c r="E7" s="87">
        <v>24</v>
      </c>
      <c r="F7" s="86">
        <v>59.9</v>
      </c>
      <c r="G7" s="17">
        <v>18</v>
      </c>
      <c r="H7" s="88">
        <v>154</v>
      </c>
      <c r="I7" s="89">
        <v>42680</v>
      </c>
      <c r="J7" s="89" t="s">
        <v>89</v>
      </c>
      <c r="K7" s="89">
        <v>24000</v>
      </c>
      <c r="L7" s="89" t="s">
        <v>70</v>
      </c>
      <c r="M7" s="90">
        <f>I7-K7</f>
        <v>18680</v>
      </c>
      <c r="N7" s="4">
        <f>IF(ISERROR(K7/I7),"",K7/I7)</f>
        <v>0.5623242736644799</v>
      </c>
      <c r="O7" s="91">
        <f>I7/E7</f>
        <v>1778.3333333333333</v>
      </c>
      <c r="P7" s="91">
        <f>K7/E7</f>
        <v>1000</v>
      </c>
      <c r="Q7" s="79">
        <v>3</v>
      </c>
      <c r="R7" s="79">
        <v>2</v>
      </c>
      <c r="S7" s="79" t="s">
        <v>62</v>
      </c>
      <c r="T7" s="5" t="s">
        <v>134</v>
      </c>
      <c r="U7" s="9"/>
      <c r="W7" s="86">
        <f t="shared" si="2"/>
        <v>79.3</v>
      </c>
      <c r="X7" s="87">
        <f t="shared" si="2"/>
        <v>24</v>
      </c>
      <c r="Y7" s="92">
        <f t="shared" si="3"/>
        <v>154</v>
      </c>
      <c r="Z7" s="90">
        <f t="shared" si="3"/>
        <v>42680</v>
      </c>
      <c r="AA7" s="90">
        <f>K7</f>
        <v>24000</v>
      </c>
      <c r="AB7" s="90">
        <f t="shared" si="4"/>
        <v>18680</v>
      </c>
      <c r="AC7" s="4">
        <f t="shared" si="4"/>
        <v>0.5623242736644799</v>
      </c>
      <c r="AD7" s="91">
        <f t="shared" si="4"/>
        <v>1778.3333333333333</v>
      </c>
      <c r="AE7" s="79" t="str">
        <f>S7</f>
        <v>계</v>
      </c>
      <c r="AF7" s="79" t="str">
        <f>Q7&amp;"/"&amp;R7</f>
        <v>3/2</v>
      </c>
      <c r="AH7" s="20" t="str">
        <f t="shared" si="1"/>
        <v>청주테크노폴리스지웰푸르지오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673</v>
      </c>
      <c r="B8" s="10" t="s">
        <v>1369</v>
      </c>
      <c r="C8" s="88">
        <v>1148</v>
      </c>
      <c r="D8" s="86">
        <v>111</v>
      </c>
      <c r="E8" s="87">
        <v>34</v>
      </c>
      <c r="F8" s="86">
        <v>85</v>
      </c>
      <c r="G8" s="17">
        <v>26</v>
      </c>
      <c r="H8" s="88">
        <v>573</v>
      </c>
      <c r="I8" s="89">
        <v>56500</v>
      </c>
      <c r="J8" s="89" t="s">
        <v>71</v>
      </c>
      <c r="K8" s="89">
        <v>29000</v>
      </c>
      <c r="L8" s="89" t="s">
        <v>71</v>
      </c>
      <c r="M8" s="90">
        <f>I8-K8</f>
        <v>27500</v>
      </c>
      <c r="N8" s="4">
        <f>IF(ISERROR(K8/I8),"",K8/I8)</f>
        <v>0.51327433628318586</v>
      </c>
      <c r="O8" s="91">
        <f>I8/E8</f>
        <v>1661.7647058823529</v>
      </c>
      <c r="P8" s="91">
        <f>K8/E8</f>
        <v>852.94117647058829</v>
      </c>
      <c r="Q8" s="79">
        <v>3</v>
      </c>
      <c r="R8" s="79">
        <v>2</v>
      </c>
      <c r="S8" s="79" t="s">
        <v>62</v>
      </c>
      <c r="T8" s="5" t="s">
        <v>135</v>
      </c>
      <c r="U8" s="9"/>
      <c r="W8" s="86">
        <f t="shared" si="2"/>
        <v>111</v>
      </c>
      <c r="X8" s="87">
        <f t="shared" si="2"/>
        <v>34</v>
      </c>
      <c r="Y8" s="92">
        <f t="shared" si="3"/>
        <v>573</v>
      </c>
      <c r="Z8" s="90">
        <f t="shared" si="3"/>
        <v>56500</v>
      </c>
      <c r="AA8" s="90">
        <f>K8</f>
        <v>29000</v>
      </c>
      <c r="AB8" s="90">
        <f t="shared" si="4"/>
        <v>27500</v>
      </c>
      <c r="AC8" s="4">
        <f t="shared" si="4"/>
        <v>0.51327433628318586</v>
      </c>
      <c r="AD8" s="91">
        <f t="shared" si="4"/>
        <v>1661.7647058823529</v>
      </c>
      <c r="AE8" s="79" t="str">
        <f>S8</f>
        <v>계</v>
      </c>
      <c r="AF8" s="79" t="str">
        <f>Q8&amp;"/"&amp;R8</f>
        <v>3/2</v>
      </c>
      <c r="AH8" s="20" t="str">
        <f t="shared" si="1"/>
        <v>청주테크노폴리스지웰푸르지오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673</v>
      </c>
      <c r="B9" s="10" t="s">
        <v>1369</v>
      </c>
      <c r="C9" s="88">
        <v>1148</v>
      </c>
      <c r="D9" s="86">
        <v>110.6</v>
      </c>
      <c r="E9" s="87">
        <v>33</v>
      </c>
      <c r="F9" s="86">
        <v>84.8</v>
      </c>
      <c r="G9" s="17">
        <v>26</v>
      </c>
      <c r="H9" s="88">
        <v>84</v>
      </c>
      <c r="I9" s="89"/>
      <c r="J9" s="89"/>
      <c r="K9" s="89">
        <v>30000</v>
      </c>
      <c r="L9" s="89" t="s">
        <v>1370</v>
      </c>
      <c r="M9" s="90">
        <f>I9-K9</f>
        <v>-30000</v>
      </c>
      <c r="N9" s="4" t="str">
        <f>IF(ISERROR(K9/I9),"",K9/I9)</f>
        <v/>
      </c>
      <c r="O9" s="91">
        <f>I9/E9</f>
        <v>0</v>
      </c>
      <c r="P9" s="91">
        <f>K9/E9</f>
        <v>909.09090909090912</v>
      </c>
      <c r="Q9" s="79">
        <v>3</v>
      </c>
      <c r="R9" s="79">
        <v>2</v>
      </c>
      <c r="S9" s="79" t="s">
        <v>62</v>
      </c>
      <c r="T9" s="5" t="s">
        <v>72</v>
      </c>
      <c r="U9" s="9"/>
      <c r="W9" s="86">
        <f t="shared" si="2"/>
        <v>110.6</v>
      </c>
      <c r="X9" s="87">
        <f t="shared" si="2"/>
        <v>33</v>
      </c>
      <c r="Y9" s="92">
        <f t="shared" si="3"/>
        <v>84</v>
      </c>
      <c r="Z9" s="90">
        <f t="shared" si="3"/>
        <v>0</v>
      </c>
      <c r="AA9" s="90">
        <f>K9</f>
        <v>30000</v>
      </c>
      <c r="AB9" s="90">
        <f t="shared" si="4"/>
        <v>-30000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청주테크노폴리스지웰푸르지오</v>
      </c>
      <c r="AI9" s="87">
        <f t="shared" si="0"/>
        <v>33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673</v>
      </c>
      <c r="B10" s="10" t="s">
        <v>1369</v>
      </c>
      <c r="C10" s="88">
        <v>1148</v>
      </c>
      <c r="D10" s="86">
        <v>129.80000000000001</v>
      </c>
      <c r="E10" s="87">
        <v>39</v>
      </c>
      <c r="F10" s="86">
        <v>100</v>
      </c>
      <c r="G10" s="17">
        <v>30</v>
      </c>
      <c r="H10" s="88">
        <v>91</v>
      </c>
      <c r="I10" s="89"/>
      <c r="J10" s="89"/>
      <c r="K10" s="89">
        <v>34000</v>
      </c>
      <c r="L10" s="89" t="s">
        <v>92</v>
      </c>
      <c r="M10" s="90">
        <f>I10-K10</f>
        <v>-34000</v>
      </c>
      <c r="N10" s="4" t="str">
        <f>IF(ISERROR(K10/I10),"",K10/I10)</f>
        <v/>
      </c>
      <c r="O10" s="91">
        <f>I10/E10</f>
        <v>0</v>
      </c>
      <c r="P10" s="91">
        <f>K10/E10</f>
        <v>871.79487179487182</v>
      </c>
      <c r="Q10" s="79">
        <v>4</v>
      </c>
      <c r="R10" s="79">
        <v>2</v>
      </c>
      <c r="S10" s="79" t="s">
        <v>62</v>
      </c>
      <c r="T10" s="5">
        <v>129</v>
      </c>
      <c r="U10" s="9"/>
      <c r="W10" s="86">
        <f t="shared" si="2"/>
        <v>129.80000000000001</v>
      </c>
      <c r="X10" s="87">
        <f t="shared" si="2"/>
        <v>39</v>
      </c>
      <c r="Y10" s="92">
        <f t="shared" si="3"/>
        <v>91</v>
      </c>
      <c r="Z10" s="90">
        <f t="shared" si="3"/>
        <v>0</v>
      </c>
      <c r="AA10" s="90">
        <f>K10</f>
        <v>34000</v>
      </c>
      <c r="AB10" s="90">
        <f t="shared" si="4"/>
        <v>-34000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4/2</v>
      </c>
      <c r="AH10" s="20" t="str">
        <f t="shared" si="1"/>
        <v>청주테크노폴리스지웰푸르지오</v>
      </c>
      <c r="AI10" s="87">
        <f t="shared" si="0"/>
        <v>39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4251" priority="96">
      <formula>AV4="X"</formula>
    </cfRule>
    <cfRule type="expression" dxfId="4250" priority="97">
      <formula>AV4="후보"</formula>
    </cfRule>
  </conditionalFormatting>
  <conditionalFormatting sqref="AC1:AC2 AC4:AC6 N4:N5">
    <cfRule type="cellIs" dxfId="4249" priority="93" operator="greaterThan">
      <formula>0.9</formula>
    </cfRule>
    <cfRule type="cellIs" dxfId="4248" priority="94" operator="greaterThan">
      <formula>0.85</formula>
    </cfRule>
  </conditionalFormatting>
  <conditionalFormatting sqref="N1:N2">
    <cfRule type="cellIs" dxfId="4247" priority="91" operator="greaterThan">
      <formula>0.9</formula>
    </cfRule>
    <cfRule type="cellIs" dxfId="4246" priority="92" operator="greaterThan">
      <formula>0.85</formula>
    </cfRule>
  </conditionalFormatting>
  <conditionalFormatting sqref="N6">
    <cfRule type="cellIs" dxfId="4245" priority="89" operator="greaterThan">
      <formula>0.9</formula>
    </cfRule>
    <cfRule type="cellIs" dxfId="4244" priority="90" operator="greaterThan">
      <formula>0.85</formula>
    </cfRule>
  </conditionalFormatting>
  <conditionalFormatting sqref="E6">
    <cfRule type="expression" dxfId="4243" priority="85">
      <formula>AND(IF(OR($Q6=1,$Q6=2),1,0),IF($X6&lt;=20,1,0))</formula>
    </cfRule>
    <cfRule type="expression" dxfId="4242" priority="86">
      <formula>AND(IF($Q6=2,1,0),IF($X6&lt;30,1,0))</formula>
    </cfRule>
    <cfRule type="expression" dxfId="4241" priority="87">
      <formula>AND(IF($Q6=3,1,0),IF($X6&lt;30,1,0))</formula>
    </cfRule>
    <cfRule type="expression" dxfId="4240" priority="88">
      <formula>AND(IF($Q6=3,1,IF($Q6=4,1,0)),IF($F6&lt;=85,1,0))</formula>
    </cfRule>
  </conditionalFormatting>
  <conditionalFormatting sqref="X6">
    <cfRule type="expression" dxfId="4239" priority="81">
      <formula>AND(IF(OR($Q6=1,$Q6=2),1,0),IF($X6&lt;=20,1,0))</formula>
    </cfRule>
    <cfRule type="expression" dxfId="4238" priority="82">
      <formula>AND(IF($Q6=2,1,0),IF($X6&lt;30,1,0))</formula>
    </cfRule>
    <cfRule type="expression" dxfId="4237" priority="83">
      <formula>AND(IF($Q6=3,1,0),IF($X6&lt;30,1,0))</formula>
    </cfRule>
    <cfRule type="expression" dxfId="4236" priority="84">
      <formula>AND(IF($Q6=3,1,IF($Q6=4,1,0)),IF($F6&lt;=85,1,0))</formula>
    </cfRule>
  </conditionalFormatting>
  <conditionalFormatting sqref="AI6">
    <cfRule type="expression" dxfId="4235" priority="77">
      <formula>AND(IF(OR($Q6=1,$Q6=2),1,0),IF($X6&lt;=20,1,0))</formula>
    </cfRule>
    <cfRule type="expression" dxfId="4234" priority="78">
      <formula>AND(IF($Q6=2,1,0),IF($X6&lt;30,1,0))</formula>
    </cfRule>
    <cfRule type="expression" dxfId="4233" priority="79">
      <formula>AND(IF($Q6=3,1,0),IF($X6&lt;30,1,0))</formula>
    </cfRule>
    <cfRule type="expression" dxfId="4232" priority="80">
      <formula>AND(IF($Q6=3,1,IF($Q6=4,1,0)),IF($F6&lt;=85,1,0))</formula>
    </cfRule>
  </conditionalFormatting>
  <conditionalFormatting sqref="AV7">
    <cfRule type="expression" dxfId="4231" priority="75">
      <formula>AV7="X"</formula>
    </cfRule>
    <cfRule type="expression" dxfId="4230" priority="76">
      <formula>AV7="후보"</formula>
    </cfRule>
  </conditionalFormatting>
  <conditionalFormatting sqref="AC7">
    <cfRule type="cellIs" dxfId="4229" priority="72" operator="greaterThan">
      <formula>0.9</formula>
    </cfRule>
    <cfRule type="cellIs" dxfId="4228" priority="73" operator="greaterThan">
      <formula>0.85</formula>
    </cfRule>
  </conditionalFormatting>
  <conditionalFormatting sqref="N7">
    <cfRule type="cellIs" dxfId="4227" priority="70" operator="greaterThan">
      <formula>0.9</formula>
    </cfRule>
    <cfRule type="cellIs" dxfId="4226" priority="71" operator="greaterThan">
      <formula>0.85</formula>
    </cfRule>
  </conditionalFormatting>
  <conditionalFormatting sqref="E7">
    <cfRule type="expression" dxfId="4225" priority="66">
      <formula>AND(IF(OR($Q7=1,$Q7=2),1,0),IF($X7&lt;=20,1,0))</formula>
    </cfRule>
    <cfRule type="expression" dxfId="4224" priority="67">
      <formula>AND(IF($Q7=2,1,0),IF($X7&lt;30,1,0))</formula>
    </cfRule>
    <cfRule type="expression" dxfId="4223" priority="68">
      <formula>AND(IF($Q7=3,1,0),IF($X7&lt;30,1,0))</formula>
    </cfRule>
    <cfRule type="expression" dxfId="4222" priority="69">
      <formula>AND(IF($Q7=3,1,IF($Q7=4,1,0)),IF($F7&lt;=85,1,0))</formula>
    </cfRule>
  </conditionalFormatting>
  <conditionalFormatting sqref="X7">
    <cfRule type="expression" dxfId="4221" priority="62">
      <formula>AND(IF(OR($Q7=1,$Q7=2),1,0),IF($X7&lt;=20,1,0))</formula>
    </cfRule>
    <cfRule type="expression" dxfId="4220" priority="63">
      <formula>AND(IF($Q7=2,1,0),IF($X7&lt;30,1,0))</formula>
    </cfRule>
    <cfRule type="expression" dxfId="4219" priority="64">
      <formula>AND(IF($Q7=3,1,0),IF($X7&lt;30,1,0))</formula>
    </cfRule>
    <cfRule type="expression" dxfId="4218" priority="65">
      <formula>AND(IF($Q7=3,1,IF($Q7=4,1,0)),IF($F7&lt;=85,1,0))</formula>
    </cfRule>
  </conditionalFormatting>
  <conditionalFormatting sqref="AI7">
    <cfRule type="expression" dxfId="4217" priority="58">
      <formula>AND(IF(OR($Q7=1,$Q7=2),1,0),IF($X7&lt;=20,1,0))</formula>
    </cfRule>
    <cfRule type="expression" dxfId="4216" priority="59">
      <formula>AND(IF($Q7=2,1,0),IF($X7&lt;30,1,0))</formula>
    </cfRule>
    <cfRule type="expression" dxfId="4215" priority="60">
      <formula>AND(IF($Q7=3,1,0),IF($X7&lt;30,1,0))</formula>
    </cfRule>
    <cfRule type="expression" dxfId="4214" priority="61">
      <formula>AND(IF($Q7=3,1,IF($Q7=4,1,0)),IF($F7&lt;=85,1,0))</formula>
    </cfRule>
  </conditionalFormatting>
  <conditionalFormatting sqref="AV8">
    <cfRule type="expression" dxfId="4213" priority="56">
      <formula>AV8="X"</formula>
    </cfRule>
    <cfRule type="expression" dxfId="4212" priority="57">
      <formula>AV8="후보"</formula>
    </cfRule>
  </conditionalFormatting>
  <conditionalFormatting sqref="AC8">
    <cfRule type="cellIs" dxfId="4211" priority="53" operator="greaterThan">
      <formula>0.9</formula>
    </cfRule>
    <cfRule type="cellIs" dxfId="4210" priority="54" operator="greaterThan">
      <formula>0.85</formula>
    </cfRule>
  </conditionalFormatting>
  <conditionalFormatting sqref="N8">
    <cfRule type="cellIs" dxfId="4209" priority="51" operator="greaterThan">
      <formula>0.9</formula>
    </cfRule>
    <cfRule type="cellIs" dxfId="4208" priority="52" operator="greaterThan">
      <formula>0.85</formula>
    </cfRule>
  </conditionalFormatting>
  <conditionalFormatting sqref="E8">
    <cfRule type="expression" dxfId="4207" priority="47">
      <formula>AND(IF(OR($Q8=1,$Q8=2),1,0),IF($X8&lt;=20,1,0))</formula>
    </cfRule>
    <cfRule type="expression" dxfId="4206" priority="48">
      <formula>AND(IF($Q8=2,1,0),IF($X8&lt;30,1,0))</formula>
    </cfRule>
    <cfRule type="expression" dxfId="4205" priority="49">
      <formula>AND(IF($Q8=3,1,0),IF($X8&lt;30,1,0))</formula>
    </cfRule>
    <cfRule type="expression" dxfId="4204" priority="50">
      <formula>AND(IF($Q8=3,1,IF($Q8=4,1,0)),IF($F8&lt;=85,1,0))</formula>
    </cfRule>
  </conditionalFormatting>
  <conditionalFormatting sqref="X8">
    <cfRule type="expression" dxfId="4203" priority="43">
      <formula>AND(IF(OR($Q8=1,$Q8=2),1,0),IF($X8&lt;=20,1,0))</formula>
    </cfRule>
    <cfRule type="expression" dxfId="4202" priority="44">
      <formula>AND(IF($Q8=2,1,0),IF($X8&lt;30,1,0))</formula>
    </cfRule>
    <cfRule type="expression" dxfId="4201" priority="45">
      <formula>AND(IF($Q8=3,1,0),IF($X8&lt;30,1,0))</formula>
    </cfRule>
    <cfRule type="expression" dxfId="4200" priority="46">
      <formula>AND(IF($Q8=3,1,IF($Q8=4,1,0)),IF($F8&lt;=85,1,0))</formula>
    </cfRule>
  </conditionalFormatting>
  <conditionalFormatting sqref="AI8">
    <cfRule type="expression" dxfId="4199" priority="39">
      <formula>AND(IF(OR($Q8=1,$Q8=2),1,0),IF($X8&lt;=20,1,0))</formula>
    </cfRule>
    <cfRule type="expression" dxfId="4198" priority="40">
      <formula>AND(IF($Q8=2,1,0),IF($X8&lt;30,1,0))</formula>
    </cfRule>
    <cfRule type="expression" dxfId="4197" priority="41">
      <formula>AND(IF($Q8=3,1,0),IF($X8&lt;30,1,0))</formula>
    </cfRule>
    <cfRule type="expression" dxfId="4196" priority="42">
      <formula>AND(IF($Q8=3,1,IF($Q8=4,1,0)),IF($F8&lt;=85,1,0))</formula>
    </cfRule>
  </conditionalFormatting>
  <conditionalFormatting sqref="AV9">
    <cfRule type="expression" dxfId="4195" priority="37">
      <formula>AV9="X"</formula>
    </cfRule>
    <cfRule type="expression" dxfId="4194" priority="38">
      <formula>AV9="후보"</formula>
    </cfRule>
  </conditionalFormatting>
  <conditionalFormatting sqref="AC9">
    <cfRule type="cellIs" dxfId="4193" priority="34" operator="greaterThan">
      <formula>0.9</formula>
    </cfRule>
    <cfRule type="cellIs" dxfId="4192" priority="35" operator="greaterThan">
      <formula>0.85</formula>
    </cfRule>
  </conditionalFormatting>
  <conditionalFormatting sqref="N9">
    <cfRule type="cellIs" dxfId="4191" priority="32" operator="greaterThan">
      <formula>0.9</formula>
    </cfRule>
    <cfRule type="cellIs" dxfId="4190" priority="33" operator="greaterThan">
      <formula>0.85</formula>
    </cfRule>
  </conditionalFormatting>
  <conditionalFormatting sqref="E9">
    <cfRule type="expression" dxfId="4189" priority="28">
      <formula>AND(IF(OR($Q9=1,$Q9=2),1,0),IF($X9&lt;=20,1,0))</formula>
    </cfRule>
    <cfRule type="expression" dxfId="4188" priority="29">
      <formula>AND(IF($Q9=2,1,0),IF($X9&lt;30,1,0))</formula>
    </cfRule>
    <cfRule type="expression" dxfId="4187" priority="30">
      <formula>AND(IF($Q9=3,1,0),IF($X9&lt;30,1,0))</formula>
    </cfRule>
    <cfRule type="expression" dxfId="4186" priority="31">
      <formula>AND(IF($Q9=3,1,IF($Q9=4,1,0)),IF($F9&lt;=85,1,0))</formula>
    </cfRule>
  </conditionalFormatting>
  <conditionalFormatting sqref="X9">
    <cfRule type="expression" dxfId="4185" priority="24">
      <formula>AND(IF(OR($Q9=1,$Q9=2),1,0),IF($X9&lt;=20,1,0))</formula>
    </cfRule>
    <cfRule type="expression" dxfId="4184" priority="25">
      <formula>AND(IF($Q9=2,1,0),IF($X9&lt;30,1,0))</formula>
    </cfRule>
    <cfRule type="expression" dxfId="4183" priority="26">
      <formula>AND(IF($Q9=3,1,0),IF($X9&lt;30,1,0))</formula>
    </cfRule>
    <cfRule type="expression" dxfId="4182" priority="27">
      <formula>AND(IF($Q9=3,1,IF($Q9=4,1,0)),IF($F9&lt;=85,1,0))</formula>
    </cfRule>
  </conditionalFormatting>
  <conditionalFormatting sqref="AI9">
    <cfRule type="expression" dxfId="4181" priority="20">
      <formula>AND(IF(OR($Q9=1,$Q9=2),1,0),IF($X9&lt;=20,1,0))</formula>
    </cfRule>
    <cfRule type="expression" dxfId="4180" priority="21">
      <formula>AND(IF($Q9=2,1,0),IF($X9&lt;30,1,0))</formula>
    </cfRule>
    <cfRule type="expression" dxfId="4179" priority="22">
      <formula>AND(IF($Q9=3,1,0),IF($X9&lt;30,1,0))</formula>
    </cfRule>
    <cfRule type="expression" dxfId="4178" priority="23">
      <formula>AND(IF($Q9=3,1,IF($Q9=4,1,0)),IF($F9&lt;=85,1,0))</formula>
    </cfRule>
  </conditionalFormatting>
  <conditionalFormatting sqref="AV10">
    <cfRule type="expression" dxfId="4177" priority="18">
      <formula>AV10="X"</formula>
    </cfRule>
    <cfRule type="expression" dxfId="4176" priority="19">
      <formula>AV10="후보"</formula>
    </cfRule>
  </conditionalFormatting>
  <conditionalFormatting sqref="AC10">
    <cfRule type="cellIs" dxfId="4175" priority="15" operator="greaterThan">
      <formula>0.9</formula>
    </cfRule>
    <cfRule type="cellIs" dxfId="4174" priority="16" operator="greaterThan">
      <formula>0.85</formula>
    </cfRule>
  </conditionalFormatting>
  <conditionalFormatting sqref="N10">
    <cfRule type="cellIs" dxfId="4173" priority="13" operator="greaterThan">
      <formula>0.9</formula>
    </cfRule>
    <cfRule type="cellIs" dxfId="4172" priority="14" operator="greaterThan">
      <formula>0.85</formula>
    </cfRule>
  </conditionalFormatting>
  <conditionalFormatting sqref="E10">
    <cfRule type="expression" dxfId="4171" priority="9">
      <formula>AND(IF(OR($Q10=1,$Q10=2),1,0),IF($X10&lt;=20,1,0))</formula>
    </cfRule>
    <cfRule type="expression" dxfId="4170" priority="10">
      <formula>AND(IF($Q10=2,1,0),IF($X10&lt;30,1,0))</formula>
    </cfRule>
    <cfRule type="expression" dxfId="4169" priority="11">
      <formula>AND(IF($Q10=3,1,0),IF($X10&lt;30,1,0))</formula>
    </cfRule>
    <cfRule type="expression" dxfId="4168" priority="12">
      <formula>AND(IF($Q10=3,1,IF($Q10=4,1,0)),IF($F10&lt;=85,1,0))</formula>
    </cfRule>
  </conditionalFormatting>
  <conditionalFormatting sqref="X10">
    <cfRule type="expression" dxfId="4167" priority="5">
      <formula>AND(IF(OR($Q10=1,$Q10=2),1,0),IF($X10&lt;=20,1,0))</formula>
    </cfRule>
    <cfRule type="expression" dxfId="4166" priority="6">
      <formula>AND(IF($Q10=2,1,0),IF($X10&lt;30,1,0))</formula>
    </cfRule>
    <cfRule type="expression" dxfId="4165" priority="7">
      <formula>AND(IF($Q10=3,1,0),IF($X10&lt;30,1,0))</formula>
    </cfRule>
    <cfRule type="expression" dxfId="4164" priority="8">
      <formula>AND(IF($Q10=3,1,IF($Q10=4,1,0)),IF($F10&lt;=85,1,0))</formula>
    </cfRule>
  </conditionalFormatting>
  <conditionalFormatting sqref="AI10">
    <cfRule type="expression" dxfId="4163" priority="1">
      <formula>AND(IF(OR($Q10=1,$Q10=2),1,0),IF($X10&lt;=20,1,0))</formula>
    </cfRule>
    <cfRule type="expression" dxfId="4162" priority="2">
      <formula>AND(IF($Q10=2,1,0),IF($X10&lt;30,1,0))</formula>
    </cfRule>
    <cfRule type="expression" dxfId="4161" priority="3">
      <formula>AND(IF($Q10=3,1,0),IF($X10&lt;30,1,0))</formula>
    </cfRule>
    <cfRule type="expression" dxfId="41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복대동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복대동 형석(2442)('90.10.,270^)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679</v>
      </c>
      <c r="B6" s="10" t="s">
        <v>1371</v>
      </c>
      <c r="C6" s="88">
        <v>270</v>
      </c>
      <c r="D6" s="86">
        <v>61.5</v>
      </c>
      <c r="E6" s="87">
        <v>19</v>
      </c>
      <c r="F6" s="86">
        <v>47.1</v>
      </c>
      <c r="G6" s="17">
        <v>14</v>
      </c>
      <c r="H6" s="88">
        <v>200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62</v>
      </c>
      <c r="T6" s="5">
        <v>61</v>
      </c>
      <c r="U6" s="9"/>
      <c r="W6" s="86">
        <f>D6</f>
        <v>61.5</v>
      </c>
      <c r="X6" s="87">
        <f>E6</f>
        <v>19</v>
      </c>
      <c r="Y6" s="92">
        <f>H6</f>
        <v>200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계</v>
      </c>
      <c r="AF6" s="79" t="str">
        <f>Q6&amp;"/"&amp;R6</f>
        <v>2/1</v>
      </c>
      <c r="AH6" s="20" t="str">
        <f t="shared" si="1"/>
        <v>형석(2442)</v>
      </c>
      <c r="AI6" s="87">
        <f t="shared" si="0"/>
        <v>19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679</v>
      </c>
      <c r="B7" s="10" t="s">
        <v>1371</v>
      </c>
      <c r="C7" s="88">
        <v>270</v>
      </c>
      <c r="D7" s="86">
        <v>73</v>
      </c>
      <c r="E7" s="87">
        <v>22</v>
      </c>
      <c r="F7" s="86">
        <v>57.3</v>
      </c>
      <c r="G7" s="17">
        <v>17</v>
      </c>
      <c r="H7" s="88">
        <v>70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62</v>
      </c>
      <c r="T7" s="5">
        <v>72</v>
      </c>
      <c r="U7" s="9"/>
      <c r="W7" s="86">
        <f>D7</f>
        <v>73</v>
      </c>
      <c r="X7" s="87">
        <f>E7</f>
        <v>22</v>
      </c>
      <c r="Y7" s="92">
        <f>H7</f>
        <v>70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형석(2442)</v>
      </c>
      <c r="AI7" s="87">
        <f t="shared" si="0"/>
        <v>22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복대동 삼일(2008)('90.09.,230^)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684</v>
      </c>
      <c r="B9" s="10" t="s">
        <v>1372</v>
      </c>
      <c r="C9" s="88">
        <v>230</v>
      </c>
      <c r="D9" s="86">
        <v>91.4</v>
      </c>
      <c r="E9" s="87">
        <v>28</v>
      </c>
      <c r="F9" s="86">
        <v>72.599999999999994</v>
      </c>
      <c r="G9" s="17">
        <v>22</v>
      </c>
      <c r="H9" s="88">
        <v>20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62</v>
      </c>
      <c r="T9" s="5">
        <v>91</v>
      </c>
      <c r="U9" s="9"/>
      <c r="W9" s="86">
        <f t="shared" ref="W9:X13" si="3">D9</f>
        <v>91.4</v>
      </c>
      <c r="X9" s="87">
        <f t="shared" si="3"/>
        <v>28</v>
      </c>
      <c r="Y9" s="92">
        <f t="shared" ref="Y9:Z13" si="4">H9</f>
        <v>20</v>
      </c>
      <c r="Z9" s="90">
        <f t="shared" si="4"/>
        <v>0</v>
      </c>
      <c r="AA9" s="90">
        <f>K9</f>
        <v>0</v>
      </c>
      <c r="AB9" s="90">
        <f t="shared" ref="AB9:AD13" si="5">M9</f>
        <v>0</v>
      </c>
      <c r="AC9" s="4" t="str">
        <f t="shared" si="5"/>
        <v/>
      </c>
      <c r="AD9" s="91">
        <f t="shared" si="5"/>
        <v>0</v>
      </c>
      <c r="AE9" s="79" t="str">
        <f>S9</f>
        <v>계</v>
      </c>
      <c r="AF9" s="79" t="str">
        <f>Q9&amp;"/"&amp;R9</f>
        <v>3/1</v>
      </c>
      <c r="AH9" s="20" t="str">
        <f t="shared" si="1"/>
        <v>삼일(2008)</v>
      </c>
      <c r="AI9" s="87">
        <f t="shared" si="0"/>
        <v>28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 t="s">
        <v>684</v>
      </c>
      <c r="B10" s="10" t="s">
        <v>1372</v>
      </c>
      <c r="C10" s="88">
        <v>230</v>
      </c>
      <c r="D10" s="86">
        <v>105.9</v>
      </c>
      <c r="E10" s="87">
        <v>32</v>
      </c>
      <c r="F10" s="86">
        <v>84.1</v>
      </c>
      <c r="G10" s="17">
        <v>25</v>
      </c>
      <c r="H10" s="88">
        <v>130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62</v>
      </c>
      <c r="T10" s="5">
        <v>105</v>
      </c>
      <c r="U10" s="9"/>
      <c r="W10" s="86">
        <f t="shared" si="3"/>
        <v>105.9</v>
      </c>
      <c r="X10" s="87">
        <f t="shared" si="3"/>
        <v>32</v>
      </c>
      <c r="Y10" s="92">
        <f t="shared" si="4"/>
        <v>130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삼일(2008)</v>
      </c>
      <c r="AI10" s="87">
        <f t="shared" si="0"/>
        <v>32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X</v>
      </c>
      <c r="AV10" s="79" t="str">
        <f>IF(AO10="","",IF(AND(AO10="O",AP10="O",AR10="O",AT10="O",AU10="O"),"후보","X"))</f>
        <v/>
      </c>
    </row>
    <row r="11" spans="1:48" x14ac:dyDescent="0.3">
      <c r="A11" s="9" t="s">
        <v>684</v>
      </c>
      <c r="B11" s="10" t="s">
        <v>1372</v>
      </c>
      <c r="C11" s="88">
        <v>230</v>
      </c>
      <c r="D11" s="86">
        <v>154</v>
      </c>
      <c r="E11" s="87">
        <v>47</v>
      </c>
      <c r="F11" s="86">
        <v>122.3</v>
      </c>
      <c r="G11" s="17">
        <v>37</v>
      </c>
      <c r="H11" s="88">
        <v>40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>
        <v>153</v>
      </c>
      <c r="U11" s="9"/>
      <c r="W11" s="86">
        <f t="shared" si="3"/>
        <v>154</v>
      </c>
      <c r="X11" s="87">
        <f t="shared" si="3"/>
        <v>47</v>
      </c>
      <c r="Y11" s="92">
        <f t="shared" si="4"/>
        <v>40</v>
      </c>
      <c r="Z11" s="90">
        <f t="shared" si="4"/>
        <v>0</v>
      </c>
      <c r="AA11" s="90">
        <f>K11</f>
        <v>0</v>
      </c>
      <c r="AB11" s="90">
        <f t="shared" si="5"/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4/2</v>
      </c>
      <c r="AH11" s="20" t="str">
        <f t="shared" si="1"/>
        <v>삼일(2008)</v>
      </c>
      <c r="AI11" s="87">
        <f t="shared" si="0"/>
        <v>47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X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684</v>
      </c>
      <c r="B12" s="10" t="s">
        <v>1372</v>
      </c>
      <c r="C12" s="88">
        <v>230</v>
      </c>
      <c r="D12" s="86">
        <v>153.1</v>
      </c>
      <c r="E12" s="87">
        <v>46</v>
      </c>
      <c r="F12" s="86">
        <v>121.6</v>
      </c>
      <c r="G12" s="17">
        <v>37</v>
      </c>
      <c r="H12" s="88">
        <v>20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59</v>
      </c>
      <c r="T12" s="5">
        <v>153</v>
      </c>
      <c r="U12" s="9"/>
      <c r="W12" s="86">
        <f t="shared" si="3"/>
        <v>153.1</v>
      </c>
      <c r="X12" s="87">
        <f t="shared" si="3"/>
        <v>46</v>
      </c>
      <c r="Y12" s="92">
        <f t="shared" si="4"/>
        <v>20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복</v>
      </c>
      <c r="AF12" s="79" t="str">
        <f>Q12&amp;"/"&amp;R12</f>
        <v>4/2</v>
      </c>
      <c r="AH12" s="20" t="str">
        <f t="shared" si="1"/>
        <v>삼일(2008)</v>
      </c>
      <c r="AI12" s="87">
        <f t="shared" si="0"/>
        <v>46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684</v>
      </c>
      <c r="B13" s="10" t="s">
        <v>1372</v>
      </c>
      <c r="C13" s="88">
        <v>230</v>
      </c>
      <c r="D13" s="86">
        <v>165.5</v>
      </c>
      <c r="E13" s="87">
        <v>50</v>
      </c>
      <c r="F13" s="86">
        <v>131.4</v>
      </c>
      <c r="G13" s="17">
        <v>40</v>
      </c>
      <c r="H13" s="88">
        <v>20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165</v>
      </c>
      <c r="U13" s="9"/>
      <c r="W13" s="86">
        <f t="shared" si="3"/>
        <v>165.5</v>
      </c>
      <c r="X13" s="87">
        <f t="shared" si="3"/>
        <v>50</v>
      </c>
      <c r="Y13" s="92">
        <f t="shared" si="4"/>
        <v>20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삼일(2008)</v>
      </c>
      <c r="AI13" s="87">
        <f t="shared" si="0"/>
        <v>50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복대동 현대1차('99.05.,380^)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689</v>
      </c>
      <c r="B15" s="10" t="s">
        <v>1373</v>
      </c>
      <c r="C15" s="88">
        <v>380</v>
      </c>
      <c r="D15" s="86">
        <v>102</v>
      </c>
      <c r="E15" s="87">
        <v>31</v>
      </c>
      <c r="F15" s="86">
        <v>85</v>
      </c>
      <c r="G15" s="17">
        <v>26</v>
      </c>
      <c r="H15" s="88">
        <v>86</v>
      </c>
      <c r="I15" s="89">
        <v>25500</v>
      </c>
      <c r="J15" s="89" t="s">
        <v>70</v>
      </c>
      <c r="K15" s="89"/>
      <c r="L15" s="89"/>
      <c r="M15" s="90">
        <f t="shared" ref="M15:M20" si="6">I15-K15</f>
        <v>25500</v>
      </c>
      <c r="N15" s="4">
        <f t="shared" ref="N15:N20" si="7">IF(ISERROR(K15/I15),"",K15/I15)</f>
        <v>0</v>
      </c>
      <c r="O15" s="91">
        <f t="shared" ref="O15:O20" si="8">I15/E15</f>
        <v>822.58064516129036</v>
      </c>
      <c r="P15" s="91">
        <f t="shared" ref="P15:P20" si="9">K15/E15</f>
        <v>0</v>
      </c>
      <c r="Q15" s="79">
        <v>3</v>
      </c>
      <c r="R15" s="79">
        <v>2</v>
      </c>
      <c r="S15" s="79" t="s">
        <v>62</v>
      </c>
      <c r="T15" s="5">
        <v>102</v>
      </c>
      <c r="U15" s="9"/>
      <c r="W15" s="86">
        <f t="shared" ref="W15:X20" si="10">D15</f>
        <v>102</v>
      </c>
      <c r="X15" s="87">
        <f t="shared" si="10"/>
        <v>31</v>
      </c>
      <c r="Y15" s="92">
        <f t="shared" ref="Y15:Z20" si="11">H15</f>
        <v>86</v>
      </c>
      <c r="Z15" s="90">
        <f t="shared" si="11"/>
        <v>25500</v>
      </c>
      <c r="AA15" s="90">
        <f t="shared" ref="AA15:AA20" si="12">K15</f>
        <v>0</v>
      </c>
      <c r="AB15" s="90">
        <f t="shared" ref="AB15:AD20" si="13">M15</f>
        <v>25500</v>
      </c>
      <c r="AC15" s="4">
        <f t="shared" si="13"/>
        <v>0</v>
      </c>
      <c r="AD15" s="91">
        <f t="shared" si="13"/>
        <v>822.58064516129036</v>
      </c>
      <c r="AE15" s="79" t="str">
        <f t="shared" ref="AE15:AE20" si="14">S15</f>
        <v>계</v>
      </c>
      <c r="AF15" s="79" t="str">
        <f t="shared" ref="AF15:AF20" si="15">Q15&amp;"/"&amp;R15</f>
        <v>3/2</v>
      </c>
      <c r="AH15" s="20" t="str">
        <f t="shared" si="1"/>
        <v>현대1차</v>
      </c>
      <c r="AI15" s="87">
        <f t="shared" si="0"/>
        <v>31</v>
      </c>
      <c r="AJ15" s="79" t="str">
        <f t="shared" ref="AJ15:AJ20" si="16"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 t="shared" ref="AN15:AN20" si="17">IF(AI15="","",$AN$2)</f>
        <v>C</v>
      </c>
      <c r="AO15" s="79" t="str">
        <f t="shared" ref="AO15:AO20" si="18">IF(N15="","",IF(N15&gt;=$AO$1/100,"O","X"))</f>
        <v>X</v>
      </c>
      <c r="AP15" s="79" t="str">
        <f t="shared" ref="AP15:AP20" si="19">IF(I15="","",IF(I15&lt;=$AP$1,"O","X"))</f>
        <v>O</v>
      </c>
      <c r="AQ15" s="79" t="str">
        <f t="shared" ref="AQ15:AQ20" si="20">IF(O15="","",IF(O15&lt;=$AQ$1,"O","X"))</f>
        <v>O</v>
      </c>
      <c r="AR15" s="79" t="str">
        <f t="shared" ref="AR15:AR20" si="21">IF(M15="","",IF(M15&lt;=$AR$1,"O","X"))</f>
        <v>X</v>
      </c>
      <c r="AS15" s="79" t="s">
        <v>2</v>
      </c>
      <c r="AT15" s="79" t="str">
        <f t="shared" ref="AT15:AT20" si="22">IF(OR(F15="",AI15=""),"",IF(AND((F15&lt;=85),(AI15&gt;=15)),"O","X"))</f>
        <v>O</v>
      </c>
      <c r="AU15" s="79" t="str">
        <f t="shared" ref="AU15:AU20" si="23">IF(C15="","",IF(C15&gt;=$AU$1,"O","X"))</f>
        <v>O</v>
      </c>
      <c r="AV15" s="79" t="str">
        <f t="shared" ref="AV15:AV20" si="24">IF(AO15="","",IF(AND(AO15="O",AP15="O",AR15="O",AT15="O",AU15="O"),"후보","X"))</f>
        <v>X</v>
      </c>
    </row>
    <row r="16" spans="1:48" x14ac:dyDescent="0.3">
      <c r="A16" s="9" t="s">
        <v>689</v>
      </c>
      <c r="B16" s="10" t="s">
        <v>1373</v>
      </c>
      <c r="C16" s="88">
        <v>380</v>
      </c>
      <c r="D16" s="86">
        <v>105.9</v>
      </c>
      <c r="E16" s="87">
        <v>32</v>
      </c>
      <c r="F16" s="86">
        <v>86.8</v>
      </c>
      <c r="G16" s="17">
        <v>26</v>
      </c>
      <c r="H16" s="88">
        <v>4</v>
      </c>
      <c r="I16" s="89"/>
      <c r="J16" s="89"/>
      <c r="K16" s="89"/>
      <c r="L16" s="89"/>
      <c r="M16" s="90">
        <f t="shared" si="6"/>
        <v>0</v>
      </c>
      <c r="N16" s="4" t="str">
        <f t="shared" si="7"/>
        <v/>
      </c>
      <c r="O16" s="91">
        <f t="shared" si="8"/>
        <v>0</v>
      </c>
      <c r="P16" s="91">
        <f t="shared" si="9"/>
        <v>0</v>
      </c>
      <c r="Q16" s="79">
        <v>2</v>
      </c>
      <c r="R16" s="79">
        <v>2</v>
      </c>
      <c r="S16" s="79" t="s">
        <v>62</v>
      </c>
      <c r="T16" s="5">
        <v>105</v>
      </c>
      <c r="U16" s="9"/>
      <c r="W16" s="86">
        <f t="shared" si="10"/>
        <v>105.9</v>
      </c>
      <c r="X16" s="87">
        <f t="shared" si="10"/>
        <v>32</v>
      </c>
      <c r="Y16" s="92">
        <f t="shared" si="11"/>
        <v>4</v>
      </c>
      <c r="Z16" s="90">
        <f t="shared" si="11"/>
        <v>0</v>
      </c>
      <c r="AA16" s="90">
        <f t="shared" si="12"/>
        <v>0</v>
      </c>
      <c r="AB16" s="90">
        <f t="shared" si="13"/>
        <v>0</v>
      </c>
      <c r="AC16" s="4" t="str">
        <f t="shared" si="13"/>
        <v/>
      </c>
      <c r="AD16" s="91">
        <f t="shared" si="13"/>
        <v>0</v>
      </c>
      <c r="AE16" s="79" t="str">
        <f t="shared" si="14"/>
        <v>계</v>
      </c>
      <c r="AF16" s="79" t="str">
        <f t="shared" si="15"/>
        <v>2/2</v>
      </c>
      <c r="AH16" s="20" t="str">
        <f t="shared" si="1"/>
        <v>현대1차</v>
      </c>
      <c r="AI16" s="87">
        <f t="shared" si="0"/>
        <v>32</v>
      </c>
      <c r="AJ16" s="79" t="str">
        <f t="shared" si="16"/>
        <v>A-</v>
      </c>
      <c r="AK16" s="79" t="s">
        <v>13</v>
      </c>
      <c r="AL16" s="79" t="s">
        <v>60</v>
      </c>
      <c r="AM16" s="79" t="s">
        <v>61</v>
      </c>
      <c r="AN16" s="79" t="str">
        <f t="shared" si="17"/>
        <v>C</v>
      </c>
      <c r="AO16" s="79" t="str">
        <f t="shared" si="18"/>
        <v/>
      </c>
      <c r="AP16" s="79" t="str">
        <f t="shared" si="19"/>
        <v/>
      </c>
      <c r="AQ16" s="79" t="str">
        <f t="shared" si="20"/>
        <v>O</v>
      </c>
      <c r="AR16" s="79" t="str">
        <f t="shared" si="21"/>
        <v>O</v>
      </c>
      <c r="AS16" s="79" t="s">
        <v>2</v>
      </c>
      <c r="AT16" s="79" t="str">
        <f t="shared" si="22"/>
        <v>X</v>
      </c>
      <c r="AU16" s="79" t="str">
        <f t="shared" si="23"/>
        <v>O</v>
      </c>
      <c r="AV16" s="79" t="str">
        <f t="shared" si="24"/>
        <v/>
      </c>
    </row>
    <row r="17" spans="1:48" x14ac:dyDescent="0.3">
      <c r="A17" s="9" t="s">
        <v>689</v>
      </c>
      <c r="B17" s="10" t="s">
        <v>1373</v>
      </c>
      <c r="C17" s="88">
        <v>380</v>
      </c>
      <c r="D17" s="86">
        <v>119.7</v>
      </c>
      <c r="E17" s="87">
        <v>36</v>
      </c>
      <c r="F17" s="86">
        <v>99.8</v>
      </c>
      <c r="G17" s="17">
        <v>30</v>
      </c>
      <c r="H17" s="88">
        <v>60</v>
      </c>
      <c r="I17" s="89"/>
      <c r="J17" s="89"/>
      <c r="K17" s="89"/>
      <c r="L17" s="89"/>
      <c r="M17" s="90">
        <f t="shared" si="6"/>
        <v>0</v>
      </c>
      <c r="N17" s="4" t="str">
        <f t="shared" si="7"/>
        <v/>
      </c>
      <c r="O17" s="91">
        <f t="shared" si="8"/>
        <v>0</v>
      </c>
      <c r="P17" s="91">
        <f t="shared" si="9"/>
        <v>0</v>
      </c>
      <c r="Q17" s="79">
        <v>3</v>
      </c>
      <c r="R17" s="79">
        <v>2</v>
      </c>
      <c r="S17" s="79" t="s">
        <v>62</v>
      </c>
      <c r="T17" s="5">
        <v>119</v>
      </c>
      <c r="U17" s="9"/>
      <c r="W17" s="86">
        <f t="shared" si="10"/>
        <v>119.7</v>
      </c>
      <c r="X17" s="87">
        <f t="shared" si="10"/>
        <v>36</v>
      </c>
      <c r="Y17" s="92">
        <f t="shared" si="11"/>
        <v>60</v>
      </c>
      <c r="Z17" s="90">
        <f t="shared" si="11"/>
        <v>0</v>
      </c>
      <c r="AA17" s="90">
        <f t="shared" si="12"/>
        <v>0</v>
      </c>
      <c r="AB17" s="90">
        <f t="shared" si="13"/>
        <v>0</v>
      </c>
      <c r="AC17" s="4" t="str">
        <f t="shared" si="13"/>
        <v/>
      </c>
      <c r="AD17" s="91">
        <f t="shared" si="13"/>
        <v>0</v>
      </c>
      <c r="AE17" s="79" t="str">
        <f t="shared" si="14"/>
        <v>계</v>
      </c>
      <c r="AF17" s="79" t="str">
        <f t="shared" si="15"/>
        <v>3/2</v>
      </c>
      <c r="AH17" s="20" t="str">
        <f t="shared" si="1"/>
        <v>현대1차</v>
      </c>
      <c r="AI17" s="87">
        <f t="shared" si="0"/>
        <v>36</v>
      </c>
      <c r="AJ17" s="79" t="str">
        <f t="shared" si="16"/>
        <v>A-</v>
      </c>
      <c r="AK17" s="79" t="s">
        <v>13</v>
      </c>
      <c r="AL17" s="79" t="s">
        <v>60</v>
      </c>
      <c r="AM17" s="79" t="s">
        <v>61</v>
      </c>
      <c r="AN17" s="79" t="str">
        <f t="shared" si="17"/>
        <v>C</v>
      </c>
      <c r="AO17" s="79" t="str">
        <f t="shared" si="18"/>
        <v/>
      </c>
      <c r="AP17" s="79" t="str">
        <f t="shared" si="19"/>
        <v/>
      </c>
      <c r="AQ17" s="79" t="str">
        <f t="shared" si="20"/>
        <v>O</v>
      </c>
      <c r="AR17" s="79" t="str">
        <f t="shared" si="21"/>
        <v>O</v>
      </c>
      <c r="AS17" s="79" t="s">
        <v>2</v>
      </c>
      <c r="AT17" s="79" t="str">
        <f t="shared" si="22"/>
        <v>X</v>
      </c>
      <c r="AU17" s="79" t="str">
        <f t="shared" si="23"/>
        <v>O</v>
      </c>
      <c r="AV17" s="79" t="str">
        <f t="shared" si="24"/>
        <v/>
      </c>
    </row>
    <row r="18" spans="1:48" x14ac:dyDescent="0.3">
      <c r="A18" s="9" t="s">
        <v>689</v>
      </c>
      <c r="B18" s="10" t="s">
        <v>1373</v>
      </c>
      <c r="C18" s="88">
        <v>380</v>
      </c>
      <c r="D18" s="86">
        <v>121.3</v>
      </c>
      <c r="E18" s="87">
        <v>37</v>
      </c>
      <c r="F18" s="86">
        <v>99.3</v>
      </c>
      <c r="G18" s="17">
        <v>30</v>
      </c>
      <c r="H18" s="88">
        <v>110</v>
      </c>
      <c r="I18" s="89">
        <v>30500</v>
      </c>
      <c r="J18" s="89" t="s">
        <v>71</v>
      </c>
      <c r="K18" s="89">
        <v>25000</v>
      </c>
      <c r="L18" s="89" t="s">
        <v>70</v>
      </c>
      <c r="M18" s="90">
        <f t="shared" si="6"/>
        <v>5500</v>
      </c>
      <c r="N18" s="4">
        <f t="shared" si="7"/>
        <v>0.81967213114754101</v>
      </c>
      <c r="O18" s="91">
        <f t="shared" si="8"/>
        <v>824.32432432432438</v>
      </c>
      <c r="P18" s="91">
        <f t="shared" si="9"/>
        <v>675.67567567567562</v>
      </c>
      <c r="Q18" s="79">
        <v>3</v>
      </c>
      <c r="R18" s="79">
        <v>2</v>
      </c>
      <c r="S18" s="79" t="s">
        <v>62</v>
      </c>
      <c r="T18" s="5">
        <v>121</v>
      </c>
      <c r="U18" s="9"/>
      <c r="W18" s="86">
        <f t="shared" si="10"/>
        <v>121.3</v>
      </c>
      <c r="X18" s="87">
        <f t="shared" si="10"/>
        <v>37</v>
      </c>
      <c r="Y18" s="92">
        <f t="shared" si="11"/>
        <v>110</v>
      </c>
      <c r="Z18" s="90">
        <f t="shared" si="11"/>
        <v>30500</v>
      </c>
      <c r="AA18" s="90">
        <f t="shared" si="12"/>
        <v>25000</v>
      </c>
      <c r="AB18" s="90">
        <f t="shared" si="13"/>
        <v>5500</v>
      </c>
      <c r="AC18" s="4">
        <f t="shared" si="13"/>
        <v>0.81967213114754101</v>
      </c>
      <c r="AD18" s="91">
        <f t="shared" si="13"/>
        <v>824.32432432432438</v>
      </c>
      <c r="AE18" s="79" t="str">
        <f t="shared" si="14"/>
        <v>계</v>
      </c>
      <c r="AF18" s="79" t="str">
        <f t="shared" si="15"/>
        <v>3/2</v>
      </c>
      <c r="AH18" s="20" t="str">
        <f t="shared" si="1"/>
        <v>현대1차</v>
      </c>
      <c r="AI18" s="87">
        <f t="shared" si="0"/>
        <v>37</v>
      </c>
      <c r="AJ18" s="79" t="str">
        <f t="shared" si="16"/>
        <v>A-</v>
      </c>
      <c r="AK18" s="79" t="s">
        <v>13</v>
      </c>
      <c r="AL18" s="79" t="s">
        <v>60</v>
      </c>
      <c r="AM18" s="79" t="s">
        <v>61</v>
      </c>
      <c r="AN18" s="79" t="str">
        <f t="shared" si="17"/>
        <v>C</v>
      </c>
      <c r="AO18" s="79" t="str">
        <f t="shared" si="18"/>
        <v>O</v>
      </c>
      <c r="AP18" s="79" t="str">
        <f t="shared" si="19"/>
        <v>O</v>
      </c>
      <c r="AQ18" s="79" t="str">
        <f t="shared" si="20"/>
        <v>O</v>
      </c>
      <c r="AR18" s="79" t="str">
        <f t="shared" si="21"/>
        <v>O</v>
      </c>
      <c r="AS18" s="79" t="s">
        <v>2</v>
      </c>
      <c r="AT18" s="79" t="str">
        <f t="shared" si="22"/>
        <v>X</v>
      </c>
      <c r="AU18" s="79" t="str">
        <f t="shared" si="23"/>
        <v>O</v>
      </c>
      <c r="AV18" s="79" t="str">
        <f t="shared" si="24"/>
        <v>X</v>
      </c>
    </row>
    <row r="19" spans="1:48" x14ac:dyDescent="0.3">
      <c r="A19" s="9" t="s">
        <v>689</v>
      </c>
      <c r="B19" s="10" t="s">
        <v>1373</v>
      </c>
      <c r="C19" s="88">
        <v>380</v>
      </c>
      <c r="D19" s="86">
        <v>161.1</v>
      </c>
      <c r="E19" s="87">
        <v>49</v>
      </c>
      <c r="F19" s="86">
        <v>134.19999999999999</v>
      </c>
      <c r="G19" s="17">
        <v>41</v>
      </c>
      <c r="H19" s="88">
        <v>90</v>
      </c>
      <c r="I19" s="89">
        <v>35000</v>
      </c>
      <c r="J19" s="89" t="s">
        <v>92</v>
      </c>
      <c r="K19" s="89"/>
      <c r="L19" s="89"/>
      <c r="M19" s="90">
        <f t="shared" si="6"/>
        <v>35000</v>
      </c>
      <c r="N19" s="4">
        <f t="shared" si="7"/>
        <v>0</v>
      </c>
      <c r="O19" s="91">
        <f t="shared" si="8"/>
        <v>714.28571428571433</v>
      </c>
      <c r="P19" s="91">
        <f t="shared" si="9"/>
        <v>0</v>
      </c>
      <c r="Q19" s="79">
        <v>4</v>
      </c>
      <c r="R19" s="79">
        <v>2</v>
      </c>
      <c r="S19" s="79" t="s">
        <v>62</v>
      </c>
      <c r="T19" s="5">
        <v>161</v>
      </c>
      <c r="U19" s="9"/>
      <c r="W19" s="86">
        <f t="shared" si="10"/>
        <v>161.1</v>
      </c>
      <c r="X19" s="87">
        <f t="shared" si="10"/>
        <v>49</v>
      </c>
      <c r="Y19" s="92">
        <f t="shared" si="11"/>
        <v>90</v>
      </c>
      <c r="Z19" s="90">
        <f t="shared" si="11"/>
        <v>35000</v>
      </c>
      <c r="AA19" s="90">
        <f t="shared" si="12"/>
        <v>0</v>
      </c>
      <c r="AB19" s="90">
        <f t="shared" si="13"/>
        <v>35000</v>
      </c>
      <c r="AC19" s="4">
        <f t="shared" si="13"/>
        <v>0</v>
      </c>
      <c r="AD19" s="91">
        <f t="shared" si="13"/>
        <v>714.28571428571433</v>
      </c>
      <c r="AE19" s="79" t="str">
        <f t="shared" si="14"/>
        <v>계</v>
      </c>
      <c r="AF19" s="79" t="str">
        <f t="shared" si="15"/>
        <v>4/2</v>
      </c>
      <c r="AH19" s="20" t="str">
        <f t="shared" si="1"/>
        <v>현대1차</v>
      </c>
      <c r="AI19" s="87">
        <f t="shared" si="0"/>
        <v>49</v>
      </c>
      <c r="AJ19" s="79" t="str">
        <f t="shared" si="16"/>
        <v>A-</v>
      </c>
      <c r="AK19" s="79" t="s">
        <v>13</v>
      </c>
      <c r="AL19" s="79" t="s">
        <v>60</v>
      </c>
      <c r="AM19" s="79" t="s">
        <v>61</v>
      </c>
      <c r="AN19" s="79" t="str">
        <f t="shared" si="17"/>
        <v>C</v>
      </c>
      <c r="AO19" s="79" t="str">
        <f t="shared" si="18"/>
        <v>X</v>
      </c>
      <c r="AP19" s="79" t="str">
        <f t="shared" si="19"/>
        <v>O</v>
      </c>
      <c r="AQ19" s="79" t="str">
        <f t="shared" si="20"/>
        <v>O</v>
      </c>
      <c r="AR19" s="79" t="str">
        <f t="shared" si="21"/>
        <v>X</v>
      </c>
      <c r="AS19" s="79" t="s">
        <v>2</v>
      </c>
      <c r="AT19" s="79" t="str">
        <f t="shared" si="22"/>
        <v>X</v>
      </c>
      <c r="AU19" s="79" t="str">
        <f t="shared" si="23"/>
        <v>O</v>
      </c>
      <c r="AV19" s="79" t="str">
        <f t="shared" si="24"/>
        <v>X</v>
      </c>
    </row>
    <row r="20" spans="1:48" x14ac:dyDescent="0.3">
      <c r="A20" s="9" t="s">
        <v>689</v>
      </c>
      <c r="B20" s="10" t="s">
        <v>1373</v>
      </c>
      <c r="C20" s="88">
        <v>380</v>
      </c>
      <c r="D20" s="86">
        <v>209.3</v>
      </c>
      <c r="E20" s="87">
        <v>63</v>
      </c>
      <c r="F20" s="86">
        <v>181.1</v>
      </c>
      <c r="G20" s="17">
        <v>55</v>
      </c>
      <c r="H20" s="88">
        <v>30</v>
      </c>
      <c r="I20" s="89"/>
      <c r="J20" s="89"/>
      <c r="K20" s="89"/>
      <c r="L20" s="89"/>
      <c r="M20" s="90">
        <f t="shared" si="6"/>
        <v>0</v>
      </c>
      <c r="N20" s="4" t="str">
        <f t="shared" si="7"/>
        <v/>
      </c>
      <c r="O20" s="91">
        <f t="shared" si="8"/>
        <v>0</v>
      </c>
      <c r="P20" s="91">
        <f t="shared" si="9"/>
        <v>0</v>
      </c>
      <c r="Q20" s="79">
        <v>5</v>
      </c>
      <c r="R20" s="79">
        <v>2</v>
      </c>
      <c r="S20" s="79" t="s">
        <v>62</v>
      </c>
      <c r="T20" s="5">
        <v>209</v>
      </c>
      <c r="U20" s="9"/>
      <c r="W20" s="86">
        <f t="shared" si="10"/>
        <v>209.3</v>
      </c>
      <c r="X20" s="87">
        <f t="shared" si="10"/>
        <v>63</v>
      </c>
      <c r="Y20" s="92">
        <f t="shared" si="11"/>
        <v>30</v>
      </c>
      <c r="Z20" s="90">
        <f t="shared" si="11"/>
        <v>0</v>
      </c>
      <c r="AA20" s="90">
        <f t="shared" si="12"/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9" t="str">
        <f t="shared" si="14"/>
        <v>계</v>
      </c>
      <c r="AF20" s="79" t="str">
        <f t="shared" si="15"/>
        <v>5/2</v>
      </c>
      <c r="AH20" s="20" t="str">
        <f t="shared" si="1"/>
        <v>현대1차</v>
      </c>
      <c r="AI20" s="87">
        <f t="shared" si="0"/>
        <v>63</v>
      </c>
      <c r="AJ20" s="79" t="str">
        <f t="shared" si="16"/>
        <v>A-</v>
      </c>
      <c r="AK20" s="79" t="s">
        <v>13</v>
      </c>
      <c r="AL20" s="79" t="s">
        <v>60</v>
      </c>
      <c r="AM20" s="79" t="s">
        <v>61</v>
      </c>
      <c r="AN20" s="79" t="str">
        <f t="shared" si="17"/>
        <v>C</v>
      </c>
      <c r="AO20" s="79" t="str">
        <f t="shared" si="18"/>
        <v/>
      </c>
      <c r="AP20" s="79" t="str">
        <f t="shared" si="19"/>
        <v/>
      </c>
      <c r="AQ20" s="79" t="str">
        <f t="shared" si="20"/>
        <v>O</v>
      </c>
      <c r="AR20" s="79" t="str">
        <f t="shared" si="21"/>
        <v>O</v>
      </c>
      <c r="AS20" s="79" t="s">
        <v>2</v>
      </c>
      <c r="AT20" s="79" t="str">
        <f t="shared" si="22"/>
        <v>X</v>
      </c>
      <c r="AU20" s="79" t="str">
        <f t="shared" si="23"/>
        <v>O</v>
      </c>
      <c r="AV20" s="79" t="str">
        <f t="shared" si="24"/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복대동 두진하트리움('99.08.,527^)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694</v>
      </c>
      <c r="B22" s="10" t="s">
        <v>1374</v>
      </c>
      <c r="C22" s="88">
        <v>527</v>
      </c>
      <c r="D22" s="86">
        <v>76.400000000000006</v>
      </c>
      <c r="E22" s="87">
        <v>23</v>
      </c>
      <c r="F22" s="86">
        <v>59.9</v>
      </c>
      <c r="G22" s="17">
        <v>18</v>
      </c>
      <c r="H22" s="88">
        <v>299</v>
      </c>
      <c r="I22" s="89">
        <v>20500</v>
      </c>
      <c r="J22" s="89" t="s">
        <v>102</v>
      </c>
      <c r="K22" s="89">
        <v>19500</v>
      </c>
      <c r="L22" s="89" t="s">
        <v>75</v>
      </c>
      <c r="M22" s="90">
        <f>I22-K22</f>
        <v>1000</v>
      </c>
      <c r="N22" s="4">
        <f>IF(ISERROR(K22/I22),"",K22/I22)</f>
        <v>0.95121951219512191</v>
      </c>
      <c r="O22" s="91">
        <f>I22/E22</f>
        <v>891.304347826087</v>
      </c>
      <c r="P22" s="91">
        <f>K22/E22</f>
        <v>847.82608695652175</v>
      </c>
      <c r="Q22" s="79">
        <v>3</v>
      </c>
      <c r="R22" s="79">
        <v>2</v>
      </c>
      <c r="S22" s="79" t="s">
        <v>62</v>
      </c>
      <c r="T22" s="5">
        <v>76</v>
      </c>
      <c r="U22" s="9"/>
      <c r="W22" s="86">
        <f>D22</f>
        <v>76.400000000000006</v>
      </c>
      <c r="X22" s="87">
        <f>E22</f>
        <v>23</v>
      </c>
      <c r="Y22" s="92">
        <f>H22</f>
        <v>299</v>
      </c>
      <c r="Z22" s="90">
        <f>I22</f>
        <v>20500</v>
      </c>
      <c r="AA22" s="90">
        <f>K22</f>
        <v>19500</v>
      </c>
      <c r="AB22" s="90">
        <f t="shared" ref="AB22:AD23" si="25">M22</f>
        <v>1000</v>
      </c>
      <c r="AC22" s="4">
        <f t="shared" si="25"/>
        <v>0.95121951219512191</v>
      </c>
      <c r="AD22" s="91">
        <f t="shared" si="25"/>
        <v>891.304347826087</v>
      </c>
      <c r="AE22" s="79" t="str">
        <f>S22</f>
        <v>계</v>
      </c>
      <c r="AF22" s="79" t="str">
        <f>Q22&amp;"/"&amp;R22</f>
        <v>3/2</v>
      </c>
      <c r="AH22" s="20" t="str">
        <f t="shared" si="1"/>
        <v>두진하트리움</v>
      </c>
      <c r="AI22" s="87">
        <f t="shared" si="0"/>
        <v>23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O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후보</v>
      </c>
    </row>
    <row r="23" spans="1:48" x14ac:dyDescent="0.3">
      <c r="A23" s="9" t="s">
        <v>694</v>
      </c>
      <c r="B23" s="10" t="s">
        <v>1374</v>
      </c>
      <c r="C23" s="88">
        <v>527</v>
      </c>
      <c r="D23" s="86">
        <v>81</v>
      </c>
      <c r="E23" s="87">
        <v>25</v>
      </c>
      <c r="F23" s="86">
        <v>59.9</v>
      </c>
      <c r="G23" s="17">
        <v>18</v>
      </c>
      <c r="H23" s="88">
        <v>228</v>
      </c>
      <c r="I23" s="89">
        <v>21500</v>
      </c>
      <c r="J23" s="89" t="s">
        <v>83</v>
      </c>
      <c r="K23" s="89">
        <v>20000</v>
      </c>
      <c r="L23" s="89" t="s">
        <v>81</v>
      </c>
      <c r="M23" s="90">
        <f>I23-K23</f>
        <v>1500</v>
      </c>
      <c r="N23" s="4">
        <f>IF(ISERROR(K23/I23),"",K23/I23)</f>
        <v>0.93023255813953487</v>
      </c>
      <c r="O23" s="91">
        <f>I23/E23</f>
        <v>860</v>
      </c>
      <c r="P23" s="91">
        <f>K23/E23</f>
        <v>800</v>
      </c>
      <c r="Q23" s="79">
        <v>3</v>
      </c>
      <c r="R23" s="79">
        <v>2</v>
      </c>
      <c r="S23" s="79" t="s">
        <v>62</v>
      </c>
      <c r="T23" s="5">
        <v>81</v>
      </c>
      <c r="U23" s="9"/>
      <c r="W23" s="86">
        <f>D23</f>
        <v>81</v>
      </c>
      <c r="X23" s="87">
        <f>E23</f>
        <v>25</v>
      </c>
      <c r="Y23" s="92">
        <f>H23</f>
        <v>228</v>
      </c>
      <c r="Z23" s="90">
        <f>I23</f>
        <v>21500</v>
      </c>
      <c r="AA23" s="90">
        <f>K23</f>
        <v>20000</v>
      </c>
      <c r="AB23" s="90">
        <f t="shared" si="25"/>
        <v>1500</v>
      </c>
      <c r="AC23" s="4">
        <f t="shared" si="25"/>
        <v>0.93023255813953487</v>
      </c>
      <c r="AD23" s="91">
        <f t="shared" si="25"/>
        <v>860</v>
      </c>
      <c r="AE23" s="79" t="str">
        <f>S23</f>
        <v>계</v>
      </c>
      <c r="AF23" s="79" t="str">
        <f>Q23&amp;"/"&amp;R23</f>
        <v>3/2</v>
      </c>
      <c r="AH23" s="20" t="str">
        <f t="shared" si="1"/>
        <v>두진하트리움</v>
      </c>
      <c r="AI23" s="87">
        <f t="shared" si="0"/>
        <v>25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복대동 신영지웰시티1차('10.06.,2164^)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699</v>
      </c>
      <c r="B25" s="10" t="s">
        <v>1375</v>
      </c>
      <c r="C25" s="88">
        <v>2164</v>
      </c>
      <c r="D25" s="86">
        <v>128.69999999999999</v>
      </c>
      <c r="E25" s="87">
        <v>39</v>
      </c>
      <c r="F25" s="86">
        <v>99.1</v>
      </c>
      <c r="G25" s="17">
        <v>30</v>
      </c>
      <c r="H25" s="88">
        <v>688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62</v>
      </c>
      <c r="T25" s="5">
        <v>128</v>
      </c>
      <c r="U25" s="9"/>
      <c r="W25" s="86">
        <f t="shared" ref="W25:X29" si="26">D25</f>
        <v>128.69999999999999</v>
      </c>
      <c r="X25" s="87">
        <f t="shared" si="26"/>
        <v>39</v>
      </c>
      <c r="Y25" s="92">
        <f t="shared" ref="Y25:Z29" si="27">H25</f>
        <v>688</v>
      </c>
      <c r="Z25" s="90">
        <f t="shared" si="27"/>
        <v>0</v>
      </c>
      <c r="AA25" s="90">
        <f>K25</f>
        <v>0</v>
      </c>
      <c r="AB25" s="90">
        <f t="shared" ref="AB25:AD29" si="28">M25</f>
        <v>0</v>
      </c>
      <c r="AC25" s="4" t="str">
        <f t="shared" si="28"/>
        <v/>
      </c>
      <c r="AD25" s="91">
        <f t="shared" si="28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신영지웰시티1차</v>
      </c>
      <c r="AI25" s="87">
        <f t="shared" si="0"/>
        <v>39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699</v>
      </c>
      <c r="B26" s="10" t="s">
        <v>1375</v>
      </c>
      <c r="C26" s="88">
        <v>2164</v>
      </c>
      <c r="D26" s="86">
        <v>162.1</v>
      </c>
      <c r="E26" s="87">
        <v>49</v>
      </c>
      <c r="F26" s="86">
        <v>124.8</v>
      </c>
      <c r="G26" s="17">
        <v>38</v>
      </c>
      <c r="H26" s="88">
        <v>688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3</v>
      </c>
      <c r="R26" s="79">
        <v>2</v>
      </c>
      <c r="S26" s="79" t="s">
        <v>62</v>
      </c>
      <c r="T26" s="5">
        <v>162</v>
      </c>
      <c r="U26" s="9"/>
      <c r="W26" s="86">
        <f t="shared" si="26"/>
        <v>162.1</v>
      </c>
      <c r="X26" s="87">
        <f t="shared" si="26"/>
        <v>49</v>
      </c>
      <c r="Y26" s="92">
        <f t="shared" si="27"/>
        <v>688</v>
      </c>
      <c r="Z26" s="90">
        <f t="shared" si="27"/>
        <v>0</v>
      </c>
      <c r="AA26" s="90">
        <f>K26</f>
        <v>0</v>
      </c>
      <c r="AB26" s="90">
        <f t="shared" si="28"/>
        <v>0</v>
      </c>
      <c r="AC26" s="4" t="str">
        <f t="shared" si="28"/>
        <v/>
      </c>
      <c r="AD26" s="91">
        <f t="shared" si="28"/>
        <v>0</v>
      </c>
      <c r="AE26" s="79" t="str">
        <f>S26</f>
        <v>계</v>
      </c>
      <c r="AF26" s="79" t="str">
        <f>Q26&amp;"/"&amp;R26</f>
        <v>3/2</v>
      </c>
      <c r="AH26" s="20" t="str">
        <f t="shared" si="1"/>
        <v>신영지웰시티1차</v>
      </c>
      <c r="AI26" s="87">
        <f t="shared" si="0"/>
        <v>49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x14ac:dyDescent="0.3">
      <c r="A27" s="9" t="s">
        <v>699</v>
      </c>
      <c r="B27" s="10" t="s">
        <v>1375</v>
      </c>
      <c r="C27" s="88">
        <v>2164</v>
      </c>
      <c r="D27" s="86">
        <v>198.2</v>
      </c>
      <c r="E27" s="87">
        <v>60</v>
      </c>
      <c r="F27" s="86">
        <v>152.69999999999999</v>
      </c>
      <c r="G27" s="17">
        <v>46</v>
      </c>
      <c r="H27" s="88">
        <v>688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62</v>
      </c>
      <c r="T27" s="5">
        <v>198</v>
      </c>
      <c r="U27" s="9"/>
      <c r="W27" s="86">
        <f t="shared" si="26"/>
        <v>198.2</v>
      </c>
      <c r="X27" s="87">
        <f t="shared" si="26"/>
        <v>60</v>
      </c>
      <c r="Y27" s="92">
        <f t="shared" si="27"/>
        <v>688</v>
      </c>
      <c r="Z27" s="90">
        <f t="shared" si="27"/>
        <v>0</v>
      </c>
      <c r="AA27" s="90">
        <f>K27</f>
        <v>0</v>
      </c>
      <c r="AB27" s="90">
        <f t="shared" si="28"/>
        <v>0</v>
      </c>
      <c r="AC27" s="4" t="str">
        <f t="shared" si="28"/>
        <v/>
      </c>
      <c r="AD27" s="91">
        <f t="shared" si="28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신영지웰시티1차</v>
      </c>
      <c r="AI27" s="87">
        <f t="shared" si="0"/>
        <v>60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x14ac:dyDescent="0.3">
      <c r="A28" s="9" t="s">
        <v>699</v>
      </c>
      <c r="B28" s="10" t="s">
        <v>1375</v>
      </c>
      <c r="C28" s="88">
        <v>2164</v>
      </c>
      <c r="D28" s="86">
        <v>211.2</v>
      </c>
      <c r="E28" s="87">
        <v>64</v>
      </c>
      <c r="F28" s="86">
        <v>162.6</v>
      </c>
      <c r="G28" s="17">
        <v>49</v>
      </c>
      <c r="H28" s="88">
        <v>50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5</v>
      </c>
      <c r="R28" s="79">
        <v>3</v>
      </c>
      <c r="S28" s="79" t="s">
        <v>62</v>
      </c>
      <c r="T28" s="5">
        <v>211</v>
      </c>
      <c r="U28" s="9"/>
      <c r="W28" s="86">
        <f t="shared" si="26"/>
        <v>211.2</v>
      </c>
      <c r="X28" s="87">
        <f t="shared" si="26"/>
        <v>64</v>
      </c>
      <c r="Y28" s="92">
        <f t="shared" si="27"/>
        <v>50</v>
      </c>
      <c r="Z28" s="90">
        <f t="shared" si="27"/>
        <v>0</v>
      </c>
      <c r="AA28" s="90">
        <f>K28</f>
        <v>0</v>
      </c>
      <c r="AB28" s="90">
        <f t="shared" si="28"/>
        <v>0</v>
      </c>
      <c r="AC28" s="4" t="str">
        <f t="shared" si="28"/>
        <v/>
      </c>
      <c r="AD28" s="91">
        <f t="shared" si="28"/>
        <v>0</v>
      </c>
      <c r="AE28" s="79" t="str">
        <f>S28</f>
        <v>계</v>
      </c>
      <c r="AF28" s="79" t="str">
        <f>Q28&amp;"/"&amp;R28</f>
        <v>5/3</v>
      </c>
      <c r="AH28" s="20" t="str">
        <f t="shared" si="1"/>
        <v>신영지웰시티1차</v>
      </c>
      <c r="AI28" s="87">
        <f t="shared" si="0"/>
        <v>64</v>
      </c>
      <c r="AJ28" s="79" t="str">
        <f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X</v>
      </c>
      <c r="AU28" s="79" t="str">
        <f>IF(C28="","",IF(C28&gt;=$AU$1,"O","X"))</f>
        <v>O</v>
      </c>
      <c r="AV28" s="79" t="str">
        <f>IF(AO28="","",IF(AND(AO28="O",AP28="O",AR28="O",AT28="O",AU28="O"),"후보","X"))</f>
        <v/>
      </c>
    </row>
    <row r="29" spans="1:48" x14ac:dyDescent="0.3">
      <c r="A29" s="9" t="s">
        <v>699</v>
      </c>
      <c r="B29" s="10" t="s">
        <v>1375</v>
      </c>
      <c r="C29" s="88">
        <v>2164</v>
      </c>
      <c r="D29" s="86">
        <v>255.8</v>
      </c>
      <c r="E29" s="87">
        <v>77</v>
      </c>
      <c r="F29" s="86">
        <v>197</v>
      </c>
      <c r="G29" s="17">
        <v>60</v>
      </c>
      <c r="H29" s="88">
        <v>50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5</v>
      </c>
      <c r="R29" s="79">
        <v>3</v>
      </c>
      <c r="S29" s="79" t="s">
        <v>62</v>
      </c>
      <c r="T29" s="5">
        <v>255</v>
      </c>
      <c r="U29" s="9"/>
      <c r="W29" s="86">
        <f t="shared" si="26"/>
        <v>255.8</v>
      </c>
      <c r="X29" s="87">
        <f t="shared" si="26"/>
        <v>77</v>
      </c>
      <c r="Y29" s="92">
        <f t="shared" si="27"/>
        <v>50</v>
      </c>
      <c r="Z29" s="90">
        <f t="shared" si="27"/>
        <v>0</v>
      </c>
      <c r="AA29" s="90">
        <f>K29</f>
        <v>0</v>
      </c>
      <c r="AB29" s="90">
        <f t="shared" si="28"/>
        <v>0</v>
      </c>
      <c r="AC29" s="4" t="str">
        <f t="shared" si="28"/>
        <v/>
      </c>
      <c r="AD29" s="91">
        <f t="shared" si="28"/>
        <v>0</v>
      </c>
      <c r="AE29" s="79" t="str">
        <f>S29</f>
        <v>계</v>
      </c>
      <c r="AF29" s="79" t="str">
        <f>Q29&amp;"/"&amp;R29</f>
        <v>5/3</v>
      </c>
      <c r="AH29" s="20" t="str">
        <f t="shared" si="1"/>
        <v>신영지웰시티1차</v>
      </c>
      <c r="AI29" s="87">
        <f t="shared" si="0"/>
        <v>77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/>
      <c r="B30" s="79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복대동 세원테마빌('01.12.,388^)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</row>
    <row r="31" spans="1:48" x14ac:dyDescent="0.3">
      <c r="A31" s="9" t="s">
        <v>719</v>
      </c>
      <c r="B31" s="10" t="s">
        <v>1376</v>
      </c>
      <c r="C31" s="88">
        <v>388</v>
      </c>
      <c r="D31" s="86">
        <v>103.6</v>
      </c>
      <c r="E31" s="87">
        <v>31</v>
      </c>
      <c r="F31" s="86">
        <v>75</v>
      </c>
      <c r="G31" s="17">
        <v>23</v>
      </c>
      <c r="H31" s="88">
        <v>288</v>
      </c>
      <c r="I31" s="89">
        <v>26000</v>
      </c>
      <c r="J31" s="89" t="s">
        <v>81</v>
      </c>
      <c r="K31" s="89">
        <v>24000</v>
      </c>
      <c r="L31" s="89" t="s">
        <v>88</v>
      </c>
      <c r="M31" s="90">
        <f>I31-K31</f>
        <v>2000</v>
      </c>
      <c r="N31" s="4">
        <f>IF(ISERROR(K31/I31),"",K31/I31)</f>
        <v>0.92307692307692313</v>
      </c>
      <c r="O31" s="91">
        <f>I31/E31</f>
        <v>838.70967741935488</v>
      </c>
      <c r="P31" s="91">
        <f>K31/E31</f>
        <v>774.19354838709683</v>
      </c>
      <c r="Q31" s="79">
        <v>3</v>
      </c>
      <c r="R31" s="79">
        <v>2</v>
      </c>
      <c r="S31" s="79" t="s">
        <v>62</v>
      </c>
      <c r="T31" s="5">
        <v>103</v>
      </c>
      <c r="U31" s="9"/>
      <c r="W31" s="86">
        <f>D31</f>
        <v>103.6</v>
      </c>
      <c r="X31" s="87">
        <f>E31</f>
        <v>31</v>
      </c>
      <c r="Y31" s="92">
        <f>H31</f>
        <v>288</v>
      </c>
      <c r="Z31" s="90">
        <f>I31</f>
        <v>26000</v>
      </c>
      <c r="AA31" s="90">
        <f>K31</f>
        <v>24000</v>
      </c>
      <c r="AB31" s="90">
        <f t="shared" ref="AB31:AD32" si="29">M31</f>
        <v>2000</v>
      </c>
      <c r="AC31" s="4">
        <f t="shared" si="29"/>
        <v>0.92307692307692313</v>
      </c>
      <c r="AD31" s="91">
        <f t="shared" si="29"/>
        <v>838.70967741935488</v>
      </c>
      <c r="AE31" s="79" t="str">
        <f>S31</f>
        <v>계</v>
      </c>
      <c r="AF31" s="79" t="str">
        <f>Q31&amp;"/"&amp;R31</f>
        <v>3/2</v>
      </c>
      <c r="AH31" s="20" t="str">
        <f t="shared" si="1"/>
        <v>세원테마빌</v>
      </c>
      <c r="AI31" s="87">
        <f t="shared" si="0"/>
        <v>31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x14ac:dyDescent="0.3">
      <c r="A32" s="9" t="s">
        <v>719</v>
      </c>
      <c r="B32" s="10" t="s">
        <v>1376</v>
      </c>
      <c r="C32" s="88">
        <v>388</v>
      </c>
      <c r="D32" s="86">
        <v>118.2</v>
      </c>
      <c r="E32" s="87">
        <v>36</v>
      </c>
      <c r="F32" s="86">
        <v>85</v>
      </c>
      <c r="G32" s="17">
        <v>26</v>
      </c>
      <c r="H32" s="88">
        <v>100</v>
      </c>
      <c r="I32" s="89">
        <v>31000</v>
      </c>
      <c r="J32" s="89" t="s">
        <v>102</v>
      </c>
      <c r="K32" s="89"/>
      <c r="L32" s="89"/>
      <c r="M32" s="90">
        <f>I32-K32</f>
        <v>31000</v>
      </c>
      <c r="N32" s="4">
        <f>IF(ISERROR(K32/I32),"",K32/I32)</f>
        <v>0</v>
      </c>
      <c r="O32" s="91">
        <f>I32/E32</f>
        <v>861.11111111111109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>
        <v>118</v>
      </c>
      <c r="U32" s="9"/>
      <c r="W32" s="86">
        <f>D32</f>
        <v>118.2</v>
      </c>
      <c r="X32" s="87">
        <f>E32</f>
        <v>36</v>
      </c>
      <c r="Y32" s="92">
        <f>H32</f>
        <v>100</v>
      </c>
      <c r="Z32" s="90">
        <f>I32</f>
        <v>31000</v>
      </c>
      <c r="AA32" s="90">
        <f>K32</f>
        <v>0</v>
      </c>
      <c r="AB32" s="90">
        <f t="shared" si="29"/>
        <v>31000</v>
      </c>
      <c r="AC32" s="4">
        <f t="shared" si="29"/>
        <v>0</v>
      </c>
      <c r="AD32" s="91">
        <f t="shared" si="29"/>
        <v>861.11111111111109</v>
      </c>
      <c r="AE32" s="79" t="str">
        <f>S32</f>
        <v>계</v>
      </c>
      <c r="AF32" s="79" t="str">
        <f>Q32&amp;"/"&amp;R32</f>
        <v>3/2</v>
      </c>
      <c r="AH32" s="20" t="str">
        <f t="shared" si="1"/>
        <v>세원테마빌</v>
      </c>
      <c r="AI32" s="87">
        <f t="shared" si="0"/>
        <v>36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복대동 더샵청주센트럴('24.03.,986^)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729</v>
      </c>
      <c r="B34" s="10" t="s">
        <v>1377</v>
      </c>
      <c r="C34" s="88">
        <v>986</v>
      </c>
      <c r="D34" s="86">
        <v>58.8</v>
      </c>
      <c r="E34" s="87">
        <v>18</v>
      </c>
      <c r="F34" s="86">
        <v>39.299999999999997</v>
      </c>
      <c r="G34" s="17">
        <v>12</v>
      </c>
      <c r="H34" s="88">
        <v>90</v>
      </c>
      <c r="I34" s="89"/>
      <c r="J34" s="89"/>
      <c r="K34" s="89"/>
      <c r="L34" s="89"/>
      <c r="M34" s="90">
        <f t="shared" ref="M34:M41" si="30">I34-K34</f>
        <v>0</v>
      </c>
      <c r="N34" s="4" t="str">
        <f t="shared" ref="N34:N41" si="31">IF(ISERROR(K34/I34),"",K34/I34)</f>
        <v/>
      </c>
      <c r="O34" s="91">
        <f t="shared" ref="O34:O41" si="32">I34/E34</f>
        <v>0</v>
      </c>
      <c r="P34" s="91">
        <f t="shared" ref="P34:P41" si="33">K34/E34</f>
        <v>0</v>
      </c>
      <c r="Q34" s="79">
        <v>2</v>
      </c>
      <c r="R34" s="79">
        <v>1</v>
      </c>
      <c r="S34" s="79" t="s">
        <v>62</v>
      </c>
      <c r="T34" s="5">
        <v>58</v>
      </c>
      <c r="U34" s="9"/>
      <c r="W34" s="86">
        <f t="shared" ref="W34:X41" si="34">D34</f>
        <v>58.8</v>
      </c>
      <c r="X34" s="87">
        <f t="shared" si="34"/>
        <v>18</v>
      </c>
      <c r="Y34" s="92">
        <f t="shared" ref="Y34:Z41" si="35">H34</f>
        <v>90</v>
      </c>
      <c r="Z34" s="90">
        <f t="shared" si="35"/>
        <v>0</v>
      </c>
      <c r="AA34" s="90">
        <f t="shared" ref="AA34:AA41" si="36">K34</f>
        <v>0</v>
      </c>
      <c r="AB34" s="90">
        <f t="shared" ref="AB34:AD41" si="37">M34</f>
        <v>0</v>
      </c>
      <c r="AC34" s="4" t="str">
        <f t="shared" si="37"/>
        <v/>
      </c>
      <c r="AD34" s="91">
        <f t="shared" si="37"/>
        <v>0</v>
      </c>
      <c r="AE34" s="79" t="str">
        <f t="shared" ref="AE34:AE41" si="38">S34</f>
        <v>계</v>
      </c>
      <c r="AF34" s="79" t="str">
        <f t="shared" ref="AF34:AF41" si="39">Q34&amp;"/"&amp;R34</f>
        <v>2/1</v>
      </c>
      <c r="AH34" s="20" t="str">
        <f t="shared" si="1"/>
        <v>더샵청주센트럴</v>
      </c>
      <c r="AI34" s="87">
        <f t="shared" si="0"/>
        <v>18</v>
      </c>
      <c r="AJ34" s="79" t="str">
        <f t="shared" ref="AJ34:AJ41" si="40"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 t="shared" ref="AN34:AN41" si="41">IF(AI34="","",$AN$2)</f>
        <v>C</v>
      </c>
      <c r="AO34" s="79" t="str">
        <f t="shared" ref="AO34:AO41" si="42">IF(N34="","",IF(N34&gt;=$AO$1/100,"O","X"))</f>
        <v/>
      </c>
      <c r="AP34" s="79" t="str">
        <f t="shared" ref="AP34:AP41" si="43">IF(I34="","",IF(I34&lt;=$AP$1,"O","X"))</f>
        <v/>
      </c>
      <c r="AQ34" s="79" t="str">
        <f t="shared" ref="AQ34:AQ41" si="44">IF(O34="","",IF(O34&lt;=$AQ$1,"O","X"))</f>
        <v>O</v>
      </c>
      <c r="AR34" s="79" t="str">
        <f t="shared" ref="AR34:AR41" si="45">IF(M34="","",IF(M34&lt;=$AR$1,"O","X"))</f>
        <v>O</v>
      </c>
      <c r="AS34" s="79" t="s">
        <v>2</v>
      </c>
      <c r="AT34" s="79" t="str">
        <f t="shared" ref="AT34:AT41" si="46">IF(OR(F34="",AI34=""),"",IF(AND((F34&lt;=85),(AI34&gt;=15)),"O","X"))</f>
        <v>O</v>
      </c>
      <c r="AU34" s="79" t="str">
        <f t="shared" ref="AU34:AU41" si="47">IF(C34="","",IF(C34&gt;=$AU$1,"O","X"))</f>
        <v>O</v>
      </c>
      <c r="AV34" s="79" t="str">
        <f t="shared" ref="AV34:AV41" si="48">IF(AO34="","",IF(AND(AO34="O",AP34="O",AR34="O",AT34="O",AU34="O"),"후보","X"))</f>
        <v/>
      </c>
    </row>
    <row r="35" spans="1:48" x14ac:dyDescent="0.3">
      <c r="A35" s="9" t="s">
        <v>729</v>
      </c>
      <c r="B35" s="10" t="s">
        <v>1377</v>
      </c>
      <c r="C35" s="88">
        <v>986</v>
      </c>
      <c r="D35" s="86">
        <v>82.1</v>
      </c>
      <c r="E35" s="87">
        <v>25</v>
      </c>
      <c r="F35" s="86">
        <v>59.9</v>
      </c>
      <c r="G35" s="17">
        <v>18</v>
      </c>
      <c r="H35" s="88">
        <v>48</v>
      </c>
      <c r="I35" s="89"/>
      <c r="J35" s="89"/>
      <c r="K35" s="89"/>
      <c r="L35" s="89"/>
      <c r="M35" s="90">
        <f t="shared" si="30"/>
        <v>0</v>
      </c>
      <c r="N35" s="4" t="str">
        <f t="shared" si="31"/>
        <v/>
      </c>
      <c r="O35" s="91">
        <f t="shared" si="32"/>
        <v>0</v>
      </c>
      <c r="P35" s="91">
        <f t="shared" si="33"/>
        <v>0</v>
      </c>
      <c r="Q35" s="79">
        <v>3</v>
      </c>
      <c r="R35" s="79">
        <v>2</v>
      </c>
      <c r="S35" s="79" t="s">
        <v>62</v>
      </c>
      <c r="T35" s="5" t="s">
        <v>136</v>
      </c>
      <c r="U35" s="9"/>
      <c r="W35" s="86">
        <f t="shared" si="34"/>
        <v>82.1</v>
      </c>
      <c r="X35" s="87">
        <f t="shared" si="34"/>
        <v>25</v>
      </c>
      <c r="Y35" s="92">
        <f t="shared" si="35"/>
        <v>48</v>
      </c>
      <c r="Z35" s="90">
        <f t="shared" si="35"/>
        <v>0</v>
      </c>
      <c r="AA35" s="90">
        <f t="shared" si="36"/>
        <v>0</v>
      </c>
      <c r="AB35" s="90">
        <f t="shared" si="37"/>
        <v>0</v>
      </c>
      <c r="AC35" s="4" t="str">
        <f t="shared" si="37"/>
        <v/>
      </c>
      <c r="AD35" s="91">
        <f t="shared" si="37"/>
        <v>0</v>
      </c>
      <c r="AE35" s="79" t="str">
        <f t="shared" si="38"/>
        <v>계</v>
      </c>
      <c r="AF35" s="79" t="str">
        <f t="shared" si="39"/>
        <v>3/2</v>
      </c>
      <c r="AH35" s="20" t="str">
        <f t="shared" si="1"/>
        <v>더샵청주센트럴</v>
      </c>
      <c r="AI35" s="87">
        <f t="shared" ref="AI35:AI66" si="49">IF(E35="","",E35)</f>
        <v>25</v>
      </c>
      <c r="AJ35" s="79" t="str">
        <f t="shared" si="40"/>
        <v>A-</v>
      </c>
      <c r="AK35" s="79" t="s">
        <v>13</v>
      </c>
      <c r="AL35" s="79" t="s">
        <v>60</v>
      </c>
      <c r="AM35" s="79" t="s">
        <v>61</v>
      </c>
      <c r="AN35" s="79" t="str">
        <f t="shared" si="41"/>
        <v>C</v>
      </c>
      <c r="AO35" s="79" t="str">
        <f t="shared" si="42"/>
        <v/>
      </c>
      <c r="AP35" s="79" t="str">
        <f t="shared" si="43"/>
        <v/>
      </c>
      <c r="AQ35" s="79" t="str">
        <f t="shared" si="44"/>
        <v>O</v>
      </c>
      <c r="AR35" s="79" t="str">
        <f t="shared" si="45"/>
        <v>O</v>
      </c>
      <c r="AS35" s="79" t="s">
        <v>2</v>
      </c>
      <c r="AT35" s="79" t="str">
        <f t="shared" si="46"/>
        <v>O</v>
      </c>
      <c r="AU35" s="79" t="str">
        <f t="shared" si="47"/>
        <v>O</v>
      </c>
      <c r="AV35" s="79" t="str">
        <f t="shared" si="48"/>
        <v/>
      </c>
    </row>
    <row r="36" spans="1:48" x14ac:dyDescent="0.3">
      <c r="A36" s="9" t="s">
        <v>729</v>
      </c>
      <c r="B36" s="10" t="s">
        <v>1377</v>
      </c>
      <c r="C36" s="88">
        <v>986</v>
      </c>
      <c r="D36" s="86">
        <v>82.7</v>
      </c>
      <c r="E36" s="87">
        <v>25</v>
      </c>
      <c r="F36" s="86">
        <v>60</v>
      </c>
      <c r="G36" s="17">
        <v>18</v>
      </c>
      <c r="H36" s="88">
        <v>16</v>
      </c>
      <c r="I36" s="89"/>
      <c r="J36" s="89"/>
      <c r="K36" s="89"/>
      <c r="L36" s="89"/>
      <c r="M36" s="90">
        <f t="shared" si="30"/>
        <v>0</v>
      </c>
      <c r="N36" s="4" t="str">
        <f t="shared" si="31"/>
        <v/>
      </c>
      <c r="O36" s="91">
        <f t="shared" si="32"/>
        <v>0</v>
      </c>
      <c r="P36" s="91">
        <f t="shared" si="33"/>
        <v>0</v>
      </c>
      <c r="Q36" s="79">
        <v>3</v>
      </c>
      <c r="R36" s="79">
        <v>2</v>
      </c>
      <c r="S36" s="79" t="s">
        <v>62</v>
      </c>
      <c r="T36" s="5" t="s">
        <v>137</v>
      </c>
      <c r="U36" s="9"/>
      <c r="W36" s="86">
        <f t="shared" si="34"/>
        <v>82.7</v>
      </c>
      <c r="X36" s="87">
        <f t="shared" si="34"/>
        <v>25</v>
      </c>
      <c r="Y36" s="92">
        <f t="shared" si="35"/>
        <v>16</v>
      </c>
      <c r="Z36" s="90">
        <f t="shared" si="35"/>
        <v>0</v>
      </c>
      <c r="AA36" s="90">
        <f t="shared" si="36"/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9" t="str">
        <f t="shared" si="38"/>
        <v>계</v>
      </c>
      <c r="AF36" s="79" t="str">
        <f t="shared" si="39"/>
        <v>3/2</v>
      </c>
      <c r="AH36" s="20" t="str">
        <f t="shared" si="1"/>
        <v>더샵청주센트럴</v>
      </c>
      <c r="AI36" s="87">
        <f t="shared" si="49"/>
        <v>25</v>
      </c>
      <c r="AJ36" s="79" t="str">
        <f t="shared" si="40"/>
        <v>A-</v>
      </c>
      <c r="AK36" s="79" t="s">
        <v>13</v>
      </c>
      <c r="AL36" s="79" t="s">
        <v>60</v>
      </c>
      <c r="AM36" s="79" t="s">
        <v>61</v>
      </c>
      <c r="AN36" s="79" t="str">
        <f t="shared" si="41"/>
        <v>C</v>
      </c>
      <c r="AO36" s="79" t="str">
        <f t="shared" si="42"/>
        <v/>
      </c>
      <c r="AP36" s="79" t="str">
        <f t="shared" si="43"/>
        <v/>
      </c>
      <c r="AQ36" s="79" t="str">
        <f t="shared" si="44"/>
        <v>O</v>
      </c>
      <c r="AR36" s="79" t="str">
        <f t="shared" si="45"/>
        <v>O</v>
      </c>
      <c r="AS36" s="79" t="s">
        <v>2</v>
      </c>
      <c r="AT36" s="79" t="str">
        <f t="shared" si="46"/>
        <v>O</v>
      </c>
      <c r="AU36" s="79" t="str">
        <f t="shared" si="47"/>
        <v>O</v>
      </c>
      <c r="AV36" s="79" t="str">
        <f t="shared" si="48"/>
        <v/>
      </c>
    </row>
    <row r="37" spans="1:48" x14ac:dyDescent="0.3">
      <c r="A37" s="9" t="s">
        <v>729</v>
      </c>
      <c r="B37" s="10" t="s">
        <v>1377</v>
      </c>
      <c r="C37" s="88">
        <v>986</v>
      </c>
      <c r="D37" s="86">
        <v>101.3</v>
      </c>
      <c r="E37" s="87">
        <v>31</v>
      </c>
      <c r="F37" s="86">
        <v>75</v>
      </c>
      <c r="G37" s="17">
        <v>23</v>
      </c>
      <c r="H37" s="88">
        <v>186</v>
      </c>
      <c r="I37" s="89"/>
      <c r="J37" s="89"/>
      <c r="K37" s="89"/>
      <c r="L37" s="89"/>
      <c r="M37" s="90">
        <f t="shared" si="30"/>
        <v>0</v>
      </c>
      <c r="N37" s="4" t="str">
        <f t="shared" si="31"/>
        <v/>
      </c>
      <c r="O37" s="91">
        <f t="shared" si="32"/>
        <v>0</v>
      </c>
      <c r="P37" s="91">
        <f t="shared" si="33"/>
        <v>0</v>
      </c>
      <c r="Q37" s="79">
        <v>3</v>
      </c>
      <c r="R37" s="79">
        <v>2</v>
      </c>
      <c r="S37" s="79" t="s">
        <v>62</v>
      </c>
      <c r="T37" s="5">
        <v>101</v>
      </c>
      <c r="U37" s="9"/>
      <c r="W37" s="86">
        <f t="shared" si="34"/>
        <v>101.3</v>
      </c>
      <c r="X37" s="87">
        <f t="shared" si="34"/>
        <v>31</v>
      </c>
      <c r="Y37" s="92">
        <f t="shared" si="35"/>
        <v>186</v>
      </c>
      <c r="Z37" s="90">
        <f t="shared" si="35"/>
        <v>0</v>
      </c>
      <c r="AA37" s="90">
        <f t="shared" si="36"/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9" t="str">
        <f t="shared" si="38"/>
        <v>계</v>
      </c>
      <c r="AF37" s="79" t="str">
        <f t="shared" si="39"/>
        <v>3/2</v>
      </c>
      <c r="AH37" s="20" t="str">
        <f t="shared" ref="AH37:AH68" si="50">IF(A37="","",A37)</f>
        <v>더샵청주센트럴</v>
      </c>
      <c r="AI37" s="87">
        <f t="shared" si="49"/>
        <v>31</v>
      </c>
      <c r="AJ37" s="79" t="str">
        <f t="shared" si="40"/>
        <v>A-</v>
      </c>
      <c r="AK37" s="79" t="s">
        <v>13</v>
      </c>
      <c r="AL37" s="79" t="s">
        <v>60</v>
      </c>
      <c r="AM37" s="79" t="s">
        <v>61</v>
      </c>
      <c r="AN37" s="79" t="str">
        <f t="shared" si="41"/>
        <v>C</v>
      </c>
      <c r="AO37" s="79" t="str">
        <f t="shared" si="42"/>
        <v/>
      </c>
      <c r="AP37" s="79" t="str">
        <f t="shared" si="43"/>
        <v/>
      </c>
      <c r="AQ37" s="79" t="str">
        <f t="shared" si="44"/>
        <v>O</v>
      </c>
      <c r="AR37" s="79" t="str">
        <f t="shared" si="45"/>
        <v>O</v>
      </c>
      <c r="AS37" s="79" t="s">
        <v>2</v>
      </c>
      <c r="AT37" s="79" t="str">
        <f t="shared" si="46"/>
        <v>O</v>
      </c>
      <c r="AU37" s="79" t="str">
        <f t="shared" si="47"/>
        <v>O</v>
      </c>
      <c r="AV37" s="79" t="str">
        <f t="shared" si="48"/>
        <v/>
      </c>
    </row>
    <row r="38" spans="1:48" x14ac:dyDescent="0.3">
      <c r="A38" s="9" t="s">
        <v>729</v>
      </c>
      <c r="B38" s="10" t="s">
        <v>1377</v>
      </c>
      <c r="C38" s="88">
        <v>986</v>
      </c>
      <c r="D38" s="86">
        <v>111.7</v>
      </c>
      <c r="E38" s="87">
        <v>34</v>
      </c>
      <c r="F38" s="86">
        <v>85</v>
      </c>
      <c r="G38" s="17">
        <v>26</v>
      </c>
      <c r="H38" s="88">
        <v>407</v>
      </c>
      <c r="I38" s="89"/>
      <c r="J38" s="89"/>
      <c r="K38" s="89"/>
      <c r="L38" s="89"/>
      <c r="M38" s="90">
        <f t="shared" si="30"/>
        <v>0</v>
      </c>
      <c r="N38" s="4" t="str">
        <f t="shared" si="31"/>
        <v/>
      </c>
      <c r="O38" s="91">
        <f t="shared" si="32"/>
        <v>0</v>
      </c>
      <c r="P38" s="91">
        <f t="shared" si="33"/>
        <v>0</v>
      </c>
      <c r="Q38" s="79">
        <v>3</v>
      </c>
      <c r="R38" s="79">
        <v>2</v>
      </c>
      <c r="S38" s="79" t="s">
        <v>62</v>
      </c>
      <c r="T38" s="5" t="s">
        <v>73</v>
      </c>
      <c r="U38" s="9"/>
      <c r="W38" s="86">
        <f t="shared" si="34"/>
        <v>111.7</v>
      </c>
      <c r="X38" s="87">
        <f t="shared" si="34"/>
        <v>34</v>
      </c>
      <c r="Y38" s="92">
        <f t="shared" si="35"/>
        <v>407</v>
      </c>
      <c r="Z38" s="90">
        <f t="shared" si="35"/>
        <v>0</v>
      </c>
      <c r="AA38" s="90">
        <f t="shared" si="36"/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9" t="str">
        <f t="shared" si="38"/>
        <v>계</v>
      </c>
      <c r="AF38" s="79" t="str">
        <f t="shared" si="39"/>
        <v>3/2</v>
      </c>
      <c r="AH38" s="20" t="str">
        <f t="shared" si="50"/>
        <v>더샵청주센트럴</v>
      </c>
      <c r="AI38" s="87">
        <f t="shared" si="49"/>
        <v>34</v>
      </c>
      <c r="AJ38" s="79" t="str">
        <f t="shared" si="40"/>
        <v>A-</v>
      </c>
      <c r="AK38" s="79" t="s">
        <v>13</v>
      </c>
      <c r="AL38" s="79" t="s">
        <v>60</v>
      </c>
      <c r="AM38" s="79" t="s">
        <v>61</v>
      </c>
      <c r="AN38" s="79" t="str">
        <f t="shared" si="41"/>
        <v>C</v>
      </c>
      <c r="AO38" s="79" t="str">
        <f t="shared" si="42"/>
        <v/>
      </c>
      <c r="AP38" s="79" t="str">
        <f t="shared" si="43"/>
        <v/>
      </c>
      <c r="AQ38" s="79" t="str">
        <f t="shared" si="44"/>
        <v>O</v>
      </c>
      <c r="AR38" s="79" t="str">
        <f t="shared" si="45"/>
        <v>O</v>
      </c>
      <c r="AS38" s="79" t="s">
        <v>2</v>
      </c>
      <c r="AT38" s="79" t="str">
        <f t="shared" si="46"/>
        <v>O</v>
      </c>
      <c r="AU38" s="79" t="str">
        <f t="shared" si="47"/>
        <v>O</v>
      </c>
      <c r="AV38" s="79" t="str">
        <f t="shared" si="48"/>
        <v/>
      </c>
    </row>
    <row r="39" spans="1:48" x14ac:dyDescent="0.3">
      <c r="A39" s="9" t="s">
        <v>729</v>
      </c>
      <c r="B39" s="10" t="s">
        <v>1377</v>
      </c>
      <c r="C39" s="88">
        <v>986</v>
      </c>
      <c r="D39" s="86">
        <v>112.9</v>
      </c>
      <c r="E39" s="87">
        <v>34</v>
      </c>
      <c r="F39" s="86">
        <v>85</v>
      </c>
      <c r="G39" s="17">
        <v>26</v>
      </c>
      <c r="H39" s="88">
        <v>86</v>
      </c>
      <c r="I39" s="89"/>
      <c r="J39" s="89"/>
      <c r="K39" s="89"/>
      <c r="L39" s="89"/>
      <c r="M39" s="90">
        <f t="shared" si="30"/>
        <v>0</v>
      </c>
      <c r="N39" s="4" t="str">
        <f t="shared" si="31"/>
        <v/>
      </c>
      <c r="O39" s="91">
        <f t="shared" si="32"/>
        <v>0</v>
      </c>
      <c r="P39" s="91">
        <f t="shared" si="33"/>
        <v>0</v>
      </c>
      <c r="Q39" s="79">
        <v>3</v>
      </c>
      <c r="R39" s="79">
        <v>2</v>
      </c>
      <c r="S39" s="79" t="s">
        <v>62</v>
      </c>
      <c r="T39" s="5" t="s">
        <v>107</v>
      </c>
      <c r="U39" s="9"/>
      <c r="W39" s="86">
        <f t="shared" si="34"/>
        <v>112.9</v>
      </c>
      <c r="X39" s="87">
        <f t="shared" si="34"/>
        <v>34</v>
      </c>
      <c r="Y39" s="92">
        <f t="shared" si="35"/>
        <v>86</v>
      </c>
      <c r="Z39" s="90">
        <f t="shared" si="35"/>
        <v>0</v>
      </c>
      <c r="AA39" s="90">
        <f t="shared" si="36"/>
        <v>0</v>
      </c>
      <c r="AB39" s="90">
        <f t="shared" si="37"/>
        <v>0</v>
      </c>
      <c r="AC39" s="4" t="str">
        <f t="shared" si="37"/>
        <v/>
      </c>
      <c r="AD39" s="91">
        <f t="shared" si="37"/>
        <v>0</v>
      </c>
      <c r="AE39" s="79" t="str">
        <f t="shared" si="38"/>
        <v>계</v>
      </c>
      <c r="AF39" s="79" t="str">
        <f t="shared" si="39"/>
        <v>3/2</v>
      </c>
      <c r="AH39" s="20" t="str">
        <f t="shared" si="50"/>
        <v>더샵청주센트럴</v>
      </c>
      <c r="AI39" s="87">
        <f t="shared" si="49"/>
        <v>34</v>
      </c>
      <c r="AJ39" s="79" t="str">
        <f t="shared" si="40"/>
        <v>A-</v>
      </c>
      <c r="AK39" s="79" t="s">
        <v>13</v>
      </c>
      <c r="AL39" s="79" t="s">
        <v>60</v>
      </c>
      <c r="AM39" s="79" t="s">
        <v>61</v>
      </c>
      <c r="AN39" s="79" t="str">
        <f t="shared" si="41"/>
        <v>C</v>
      </c>
      <c r="AO39" s="79" t="str">
        <f t="shared" si="42"/>
        <v/>
      </c>
      <c r="AP39" s="79" t="str">
        <f t="shared" si="43"/>
        <v/>
      </c>
      <c r="AQ39" s="79" t="str">
        <f t="shared" si="44"/>
        <v>O</v>
      </c>
      <c r="AR39" s="79" t="str">
        <f t="shared" si="45"/>
        <v>O</v>
      </c>
      <c r="AS39" s="79" t="s">
        <v>2</v>
      </c>
      <c r="AT39" s="79" t="str">
        <f t="shared" si="46"/>
        <v>O</v>
      </c>
      <c r="AU39" s="79" t="str">
        <f t="shared" si="47"/>
        <v>O</v>
      </c>
      <c r="AV39" s="79" t="str">
        <f t="shared" si="48"/>
        <v/>
      </c>
    </row>
    <row r="40" spans="1:48" x14ac:dyDescent="0.3">
      <c r="A40" s="9" t="s">
        <v>729</v>
      </c>
      <c r="B40" s="10" t="s">
        <v>1377</v>
      </c>
      <c r="C40" s="88">
        <v>986</v>
      </c>
      <c r="D40" s="86">
        <v>112.8</v>
      </c>
      <c r="E40" s="87">
        <v>34</v>
      </c>
      <c r="F40" s="86">
        <v>85</v>
      </c>
      <c r="G40" s="17">
        <v>26</v>
      </c>
      <c r="H40" s="88">
        <v>50</v>
      </c>
      <c r="I40" s="89"/>
      <c r="J40" s="89"/>
      <c r="K40" s="89"/>
      <c r="L40" s="89"/>
      <c r="M40" s="90">
        <f t="shared" si="30"/>
        <v>0</v>
      </c>
      <c r="N40" s="4" t="str">
        <f t="shared" si="31"/>
        <v/>
      </c>
      <c r="O40" s="91">
        <f t="shared" si="32"/>
        <v>0</v>
      </c>
      <c r="P40" s="91">
        <f t="shared" si="33"/>
        <v>0</v>
      </c>
      <c r="Q40" s="79">
        <v>3</v>
      </c>
      <c r="R40" s="79">
        <v>2</v>
      </c>
      <c r="S40" s="79" t="s">
        <v>62</v>
      </c>
      <c r="T40" s="5" t="s">
        <v>113</v>
      </c>
      <c r="U40" s="9"/>
      <c r="W40" s="86">
        <f t="shared" si="34"/>
        <v>112.8</v>
      </c>
      <c r="X40" s="87">
        <f t="shared" si="34"/>
        <v>34</v>
      </c>
      <c r="Y40" s="92">
        <f t="shared" si="35"/>
        <v>50</v>
      </c>
      <c r="Z40" s="90">
        <f t="shared" si="35"/>
        <v>0</v>
      </c>
      <c r="AA40" s="90">
        <f t="shared" si="36"/>
        <v>0</v>
      </c>
      <c r="AB40" s="90">
        <f t="shared" si="37"/>
        <v>0</v>
      </c>
      <c r="AC40" s="4" t="str">
        <f t="shared" si="37"/>
        <v/>
      </c>
      <c r="AD40" s="91">
        <f t="shared" si="37"/>
        <v>0</v>
      </c>
      <c r="AE40" s="79" t="str">
        <f t="shared" si="38"/>
        <v>계</v>
      </c>
      <c r="AF40" s="79" t="str">
        <f t="shared" si="39"/>
        <v>3/2</v>
      </c>
      <c r="AH40" s="20" t="str">
        <f t="shared" si="50"/>
        <v>더샵청주센트럴</v>
      </c>
      <c r="AI40" s="87">
        <f t="shared" si="49"/>
        <v>34</v>
      </c>
      <c r="AJ40" s="79" t="str">
        <f t="shared" si="40"/>
        <v>A-</v>
      </c>
      <c r="AK40" s="79" t="s">
        <v>13</v>
      </c>
      <c r="AL40" s="79" t="s">
        <v>60</v>
      </c>
      <c r="AM40" s="79" t="s">
        <v>61</v>
      </c>
      <c r="AN40" s="79" t="str">
        <f t="shared" si="41"/>
        <v>C</v>
      </c>
      <c r="AO40" s="79" t="str">
        <f t="shared" si="42"/>
        <v/>
      </c>
      <c r="AP40" s="79" t="str">
        <f t="shared" si="43"/>
        <v/>
      </c>
      <c r="AQ40" s="79" t="str">
        <f t="shared" si="44"/>
        <v>O</v>
      </c>
      <c r="AR40" s="79" t="str">
        <f t="shared" si="45"/>
        <v>O</v>
      </c>
      <c r="AS40" s="79" t="s">
        <v>2</v>
      </c>
      <c r="AT40" s="79" t="str">
        <f t="shared" si="46"/>
        <v>O</v>
      </c>
      <c r="AU40" s="79" t="str">
        <f t="shared" si="47"/>
        <v>O</v>
      </c>
      <c r="AV40" s="79" t="str">
        <f t="shared" si="48"/>
        <v/>
      </c>
    </row>
    <row r="41" spans="1:48" x14ac:dyDescent="0.3">
      <c r="A41" s="9" t="s">
        <v>729</v>
      </c>
      <c r="B41" s="10" t="s">
        <v>1377</v>
      </c>
      <c r="C41" s="88">
        <v>986</v>
      </c>
      <c r="D41" s="86">
        <v>112.8</v>
      </c>
      <c r="E41" s="87">
        <v>34</v>
      </c>
      <c r="F41" s="86">
        <v>85</v>
      </c>
      <c r="G41" s="17">
        <v>26</v>
      </c>
      <c r="H41" s="88">
        <v>43</v>
      </c>
      <c r="I41" s="89"/>
      <c r="J41" s="89"/>
      <c r="K41" s="89"/>
      <c r="L41" s="89"/>
      <c r="M41" s="90">
        <f t="shared" si="30"/>
        <v>0</v>
      </c>
      <c r="N41" s="4" t="str">
        <f t="shared" si="31"/>
        <v/>
      </c>
      <c r="O41" s="91">
        <f t="shared" si="32"/>
        <v>0</v>
      </c>
      <c r="P41" s="91">
        <f t="shared" si="33"/>
        <v>0</v>
      </c>
      <c r="Q41" s="79">
        <v>3</v>
      </c>
      <c r="R41" s="79">
        <v>2</v>
      </c>
      <c r="S41" s="79" t="s">
        <v>62</v>
      </c>
      <c r="T41" s="5" t="s">
        <v>138</v>
      </c>
      <c r="U41" s="9"/>
      <c r="W41" s="86">
        <f t="shared" si="34"/>
        <v>112.8</v>
      </c>
      <c r="X41" s="87">
        <f t="shared" si="34"/>
        <v>34</v>
      </c>
      <c r="Y41" s="92">
        <f t="shared" si="35"/>
        <v>43</v>
      </c>
      <c r="Z41" s="90">
        <f t="shared" si="35"/>
        <v>0</v>
      </c>
      <c r="AA41" s="90">
        <f t="shared" si="36"/>
        <v>0</v>
      </c>
      <c r="AB41" s="90">
        <f t="shared" si="37"/>
        <v>0</v>
      </c>
      <c r="AC41" s="4" t="str">
        <f t="shared" si="37"/>
        <v/>
      </c>
      <c r="AD41" s="91">
        <f t="shared" si="37"/>
        <v>0</v>
      </c>
      <c r="AE41" s="79" t="str">
        <f t="shared" si="38"/>
        <v>계</v>
      </c>
      <c r="AF41" s="79" t="str">
        <f t="shared" si="39"/>
        <v>3/2</v>
      </c>
      <c r="AH41" s="20" t="str">
        <f t="shared" si="50"/>
        <v>더샵청주센트럴</v>
      </c>
      <c r="AI41" s="87">
        <f t="shared" si="49"/>
        <v>34</v>
      </c>
      <c r="AJ41" s="79" t="str">
        <f t="shared" si="40"/>
        <v>A-</v>
      </c>
      <c r="AK41" s="79" t="s">
        <v>13</v>
      </c>
      <c r="AL41" s="79" t="s">
        <v>60</v>
      </c>
      <c r="AM41" s="79" t="s">
        <v>61</v>
      </c>
      <c r="AN41" s="79" t="str">
        <f t="shared" si="41"/>
        <v>C</v>
      </c>
      <c r="AO41" s="79" t="str">
        <f t="shared" si="42"/>
        <v/>
      </c>
      <c r="AP41" s="79" t="str">
        <f t="shared" si="43"/>
        <v/>
      </c>
      <c r="AQ41" s="79" t="str">
        <f t="shared" si="44"/>
        <v>O</v>
      </c>
      <c r="AR41" s="79" t="str">
        <f t="shared" si="45"/>
        <v>O</v>
      </c>
      <c r="AS41" s="79" t="s">
        <v>2</v>
      </c>
      <c r="AT41" s="79" t="str">
        <f t="shared" si="46"/>
        <v>O</v>
      </c>
      <c r="AU41" s="79" t="str">
        <f t="shared" si="47"/>
        <v>O</v>
      </c>
      <c r="AV41" s="79" t="str">
        <f t="shared" si="48"/>
        <v/>
      </c>
    </row>
    <row r="42" spans="1:48" x14ac:dyDescent="0.3">
      <c r="A42" s="9"/>
      <c r="B42" s="79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복대동 복대두진하트리움('15.11.,356^)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11" t="str">
        <f t="shared" si="49"/>
        <v/>
      </c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</row>
    <row r="43" spans="1:48" x14ac:dyDescent="0.3">
      <c r="A43" s="9" t="s">
        <v>742</v>
      </c>
      <c r="B43" s="10" t="s">
        <v>1378</v>
      </c>
      <c r="C43" s="88">
        <v>356</v>
      </c>
      <c r="D43" s="86">
        <v>85.9</v>
      </c>
      <c r="E43" s="87">
        <v>26</v>
      </c>
      <c r="F43" s="86">
        <v>59.9</v>
      </c>
      <c r="G43" s="17">
        <v>18</v>
      </c>
      <c r="H43" s="88">
        <v>92</v>
      </c>
      <c r="I43" s="89">
        <v>40500</v>
      </c>
      <c r="J43" s="89" t="s">
        <v>81</v>
      </c>
      <c r="K43" s="89">
        <v>32000</v>
      </c>
      <c r="L43" s="89" t="s">
        <v>81</v>
      </c>
      <c r="M43" s="90">
        <f>I43-K43</f>
        <v>8500</v>
      </c>
      <c r="N43" s="4">
        <f>IF(ISERROR(K43/I43),"",K43/I43)</f>
        <v>0.79012345679012341</v>
      </c>
      <c r="O43" s="91">
        <f>I43/E43</f>
        <v>1557.6923076923076</v>
      </c>
      <c r="P43" s="91">
        <f>K43/E43</f>
        <v>1230.7692307692307</v>
      </c>
      <c r="Q43" s="79">
        <v>3</v>
      </c>
      <c r="R43" s="79">
        <v>2</v>
      </c>
      <c r="S43" s="79" t="s">
        <v>62</v>
      </c>
      <c r="T43" s="5">
        <v>85</v>
      </c>
      <c r="U43" s="9"/>
      <c r="W43" s="86">
        <f t="shared" ref="W43:X46" si="51">D43</f>
        <v>85.9</v>
      </c>
      <c r="X43" s="87">
        <f t="shared" si="51"/>
        <v>26</v>
      </c>
      <c r="Y43" s="92">
        <f t="shared" ref="Y43:Z46" si="52">H43</f>
        <v>92</v>
      </c>
      <c r="Z43" s="90">
        <f t="shared" si="52"/>
        <v>40500</v>
      </c>
      <c r="AA43" s="90">
        <f>K43</f>
        <v>32000</v>
      </c>
      <c r="AB43" s="90">
        <f t="shared" ref="AB43:AD46" si="53">M43</f>
        <v>8500</v>
      </c>
      <c r="AC43" s="4">
        <f t="shared" si="53"/>
        <v>0.79012345679012341</v>
      </c>
      <c r="AD43" s="91">
        <f t="shared" si="53"/>
        <v>1557.6923076923076</v>
      </c>
      <c r="AE43" s="79" t="str">
        <f>S43</f>
        <v>계</v>
      </c>
      <c r="AF43" s="79" t="str">
        <f>Q43&amp;"/"&amp;R43</f>
        <v>3/2</v>
      </c>
      <c r="AH43" s="20" t="str">
        <f t="shared" si="50"/>
        <v>복대두진하트리움</v>
      </c>
      <c r="AI43" s="87">
        <f t="shared" si="49"/>
        <v>26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O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 t="s">
        <v>742</v>
      </c>
      <c r="B44" s="10" t="s">
        <v>1378</v>
      </c>
      <c r="C44" s="88">
        <v>356</v>
      </c>
      <c r="D44" s="86">
        <v>109.6</v>
      </c>
      <c r="E44" s="87">
        <v>33</v>
      </c>
      <c r="F44" s="86">
        <v>84.9</v>
      </c>
      <c r="G44" s="17">
        <v>26</v>
      </c>
      <c r="H44" s="88">
        <v>136</v>
      </c>
      <c r="I44" s="89">
        <v>51000</v>
      </c>
      <c r="J44" s="89" t="s">
        <v>92</v>
      </c>
      <c r="K44" s="89">
        <v>42000</v>
      </c>
      <c r="L44" s="89" t="s">
        <v>89</v>
      </c>
      <c r="M44" s="90">
        <f>I44-K44</f>
        <v>9000</v>
      </c>
      <c r="N44" s="4">
        <f>IF(ISERROR(K44/I44),"",K44/I44)</f>
        <v>0.82352941176470584</v>
      </c>
      <c r="O44" s="91">
        <f>I44/E44</f>
        <v>1545.4545454545455</v>
      </c>
      <c r="P44" s="91">
        <f>K44/E44</f>
        <v>1272.7272727272727</v>
      </c>
      <c r="Q44" s="79">
        <v>3</v>
      </c>
      <c r="R44" s="79">
        <v>2</v>
      </c>
      <c r="S44" s="79" t="s">
        <v>62</v>
      </c>
      <c r="T44" s="5" t="s">
        <v>66</v>
      </c>
      <c r="U44" s="9"/>
      <c r="W44" s="86">
        <f t="shared" si="51"/>
        <v>109.6</v>
      </c>
      <c r="X44" s="87">
        <f t="shared" si="51"/>
        <v>33</v>
      </c>
      <c r="Y44" s="92">
        <f t="shared" si="52"/>
        <v>136</v>
      </c>
      <c r="Z44" s="90">
        <f t="shared" si="52"/>
        <v>51000</v>
      </c>
      <c r="AA44" s="90">
        <f>K44</f>
        <v>42000</v>
      </c>
      <c r="AB44" s="90">
        <f t="shared" si="53"/>
        <v>9000</v>
      </c>
      <c r="AC44" s="4">
        <f t="shared" si="53"/>
        <v>0.82352941176470584</v>
      </c>
      <c r="AD44" s="91">
        <f t="shared" si="53"/>
        <v>1545.4545454545455</v>
      </c>
      <c r="AE44" s="79" t="str">
        <f>S44</f>
        <v>계</v>
      </c>
      <c r="AF44" s="79" t="str">
        <f>Q44&amp;"/"&amp;R44</f>
        <v>3/2</v>
      </c>
      <c r="AH44" s="20" t="str">
        <f t="shared" si="50"/>
        <v>복대두진하트리움</v>
      </c>
      <c r="AI44" s="87">
        <f t="shared" si="49"/>
        <v>33</v>
      </c>
      <c r="AJ44" s="79" t="str">
        <f>IF(AI44="","",$AJ$2)</f>
        <v>A-</v>
      </c>
      <c r="AK44" s="79" t="s">
        <v>13</v>
      </c>
      <c r="AL44" s="79" t="s">
        <v>60</v>
      </c>
      <c r="AM44" s="79" t="s">
        <v>61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X</v>
      </c>
      <c r="AQ44" s="79" t="str">
        <f>IF(O44="","",IF(O44&lt;=$AQ$1,"O","X"))</f>
        <v>X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 t="s">
        <v>742</v>
      </c>
      <c r="B45" s="10" t="s">
        <v>1378</v>
      </c>
      <c r="C45" s="88">
        <v>356</v>
      </c>
      <c r="D45" s="86">
        <v>109.4</v>
      </c>
      <c r="E45" s="87">
        <v>33</v>
      </c>
      <c r="F45" s="86">
        <v>84.9</v>
      </c>
      <c r="G45" s="17">
        <v>26</v>
      </c>
      <c r="H45" s="88">
        <v>68</v>
      </c>
      <c r="I45" s="89">
        <v>50000</v>
      </c>
      <c r="J45" s="89" t="s">
        <v>64</v>
      </c>
      <c r="K45" s="89">
        <v>39000</v>
      </c>
      <c r="L45" s="89" t="s">
        <v>71</v>
      </c>
      <c r="M45" s="90">
        <f>I45-K45</f>
        <v>11000</v>
      </c>
      <c r="N45" s="4">
        <f>IF(ISERROR(K45/I45),"",K45/I45)</f>
        <v>0.78</v>
      </c>
      <c r="O45" s="91">
        <f>I45/E45</f>
        <v>1515.1515151515152</v>
      </c>
      <c r="P45" s="91">
        <f>K45/E45</f>
        <v>1181.8181818181818</v>
      </c>
      <c r="Q45" s="79">
        <v>3</v>
      </c>
      <c r="R45" s="79">
        <v>2</v>
      </c>
      <c r="S45" s="79" t="s">
        <v>62</v>
      </c>
      <c r="T45" s="5" t="s">
        <v>67</v>
      </c>
      <c r="U45" s="9"/>
      <c r="W45" s="86">
        <f t="shared" si="51"/>
        <v>109.4</v>
      </c>
      <c r="X45" s="87">
        <f t="shared" si="51"/>
        <v>33</v>
      </c>
      <c r="Y45" s="92">
        <f t="shared" si="52"/>
        <v>68</v>
      </c>
      <c r="Z45" s="90">
        <f t="shared" si="52"/>
        <v>50000</v>
      </c>
      <c r="AA45" s="90">
        <f>K45</f>
        <v>39000</v>
      </c>
      <c r="AB45" s="90">
        <f t="shared" si="53"/>
        <v>11000</v>
      </c>
      <c r="AC45" s="4">
        <f t="shared" si="53"/>
        <v>0.78</v>
      </c>
      <c r="AD45" s="91">
        <f t="shared" si="53"/>
        <v>1515.1515151515152</v>
      </c>
      <c r="AE45" s="79" t="str">
        <f>S45</f>
        <v>계</v>
      </c>
      <c r="AF45" s="79" t="str">
        <f>Q45&amp;"/"&amp;R45</f>
        <v>3/2</v>
      </c>
      <c r="AH45" s="20" t="str">
        <f t="shared" si="50"/>
        <v>복대두진하트리움</v>
      </c>
      <c r="AI45" s="87">
        <f t="shared" si="49"/>
        <v>33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X</v>
      </c>
      <c r="AQ45" s="79" t="str">
        <f>IF(O45="","",IF(O45&lt;=$AQ$1,"O","X"))</f>
        <v>X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x14ac:dyDescent="0.3">
      <c r="A46" s="9" t="s">
        <v>742</v>
      </c>
      <c r="B46" s="10" t="s">
        <v>1378</v>
      </c>
      <c r="C46" s="88">
        <v>356</v>
      </c>
      <c r="D46" s="86">
        <v>109.2</v>
      </c>
      <c r="E46" s="87">
        <v>33</v>
      </c>
      <c r="F46" s="86">
        <v>84.9</v>
      </c>
      <c r="G46" s="17">
        <v>26</v>
      </c>
      <c r="H46" s="88">
        <v>60</v>
      </c>
      <c r="I46" s="89">
        <v>54800</v>
      </c>
      <c r="J46" s="89" t="s">
        <v>63</v>
      </c>
      <c r="K46" s="89">
        <v>39000</v>
      </c>
      <c r="L46" s="89" t="s">
        <v>71</v>
      </c>
      <c r="M46" s="90">
        <f>I46-K46</f>
        <v>15800</v>
      </c>
      <c r="N46" s="4">
        <f>IF(ISERROR(K46/I46),"",K46/I46)</f>
        <v>0.71167883211678828</v>
      </c>
      <c r="O46" s="91">
        <f>I46/E46</f>
        <v>1660.6060606060605</v>
      </c>
      <c r="P46" s="91">
        <f>K46/E46</f>
        <v>1181.8181818181818</v>
      </c>
      <c r="Q46" s="79">
        <v>3</v>
      </c>
      <c r="R46" s="79">
        <v>2</v>
      </c>
      <c r="S46" s="79" t="s">
        <v>62</v>
      </c>
      <c r="T46" s="5" t="s">
        <v>139</v>
      </c>
      <c r="U46" s="9"/>
      <c r="W46" s="86">
        <f t="shared" si="51"/>
        <v>109.2</v>
      </c>
      <c r="X46" s="87">
        <f t="shared" si="51"/>
        <v>33</v>
      </c>
      <c r="Y46" s="92">
        <f t="shared" si="52"/>
        <v>60</v>
      </c>
      <c r="Z46" s="90">
        <f t="shared" si="52"/>
        <v>54800</v>
      </c>
      <c r="AA46" s="90">
        <f>K46</f>
        <v>39000</v>
      </c>
      <c r="AB46" s="90">
        <f t="shared" si="53"/>
        <v>15800</v>
      </c>
      <c r="AC46" s="4">
        <f t="shared" si="53"/>
        <v>0.71167883211678828</v>
      </c>
      <c r="AD46" s="91">
        <f t="shared" si="53"/>
        <v>1660.6060606060605</v>
      </c>
      <c r="AE46" s="79" t="str">
        <f>S46</f>
        <v>계</v>
      </c>
      <c r="AF46" s="79" t="str">
        <f>Q46&amp;"/"&amp;R46</f>
        <v>3/2</v>
      </c>
      <c r="AH46" s="20" t="str">
        <f t="shared" si="50"/>
        <v>복대두진하트리움</v>
      </c>
      <c r="AI46" s="87">
        <f t="shared" si="49"/>
        <v>33</v>
      </c>
      <c r="AJ46" s="79" t="str">
        <f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/>
      <c r="B47" s="79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복대동 금호어울림2단지('09.02.,586^)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0"/>
        <v/>
      </c>
      <c r="AI47" s="111" t="str">
        <f t="shared" si="49"/>
        <v/>
      </c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</row>
    <row r="48" spans="1:48" x14ac:dyDescent="0.3">
      <c r="A48" s="9" t="s">
        <v>746</v>
      </c>
      <c r="B48" s="10" t="s">
        <v>1379</v>
      </c>
      <c r="C48" s="88">
        <v>586</v>
      </c>
      <c r="D48" s="86">
        <v>113.7</v>
      </c>
      <c r="E48" s="87">
        <v>34</v>
      </c>
      <c r="F48" s="86">
        <v>84.6</v>
      </c>
      <c r="G48" s="17">
        <v>26</v>
      </c>
      <c r="H48" s="88">
        <v>268</v>
      </c>
      <c r="I48" s="89">
        <v>49000</v>
      </c>
      <c r="J48" s="89" t="s">
        <v>81</v>
      </c>
      <c r="K48" s="89">
        <v>36000</v>
      </c>
      <c r="L48" s="89" t="s">
        <v>81</v>
      </c>
      <c r="M48" s="90">
        <f t="shared" ref="M48:M53" si="54">I48-K48</f>
        <v>13000</v>
      </c>
      <c r="N48" s="4">
        <f t="shared" ref="N48:N53" si="55">IF(ISERROR(K48/I48),"",K48/I48)</f>
        <v>0.73469387755102045</v>
      </c>
      <c r="O48" s="91">
        <f t="shared" ref="O48:O53" si="56">I48/E48</f>
        <v>1441.1764705882354</v>
      </c>
      <c r="P48" s="91">
        <f t="shared" ref="P48:P53" si="57">K48/E48</f>
        <v>1058.8235294117646</v>
      </c>
      <c r="Q48" s="79">
        <v>3</v>
      </c>
      <c r="R48" s="79">
        <v>2</v>
      </c>
      <c r="S48" s="79" t="s">
        <v>62</v>
      </c>
      <c r="T48" s="5">
        <v>113</v>
      </c>
      <c r="U48" s="9"/>
      <c r="W48" s="86">
        <f t="shared" ref="W48:X53" si="58">D48</f>
        <v>113.7</v>
      </c>
      <c r="X48" s="87">
        <f t="shared" si="58"/>
        <v>34</v>
      </c>
      <c r="Y48" s="92">
        <f t="shared" ref="Y48:Z53" si="59">H48</f>
        <v>268</v>
      </c>
      <c r="Z48" s="90">
        <f t="shared" si="59"/>
        <v>49000</v>
      </c>
      <c r="AA48" s="90">
        <f t="shared" ref="AA48:AA53" si="60">K48</f>
        <v>36000</v>
      </c>
      <c r="AB48" s="90">
        <f t="shared" ref="AB48:AD53" si="61">M48</f>
        <v>13000</v>
      </c>
      <c r="AC48" s="4">
        <f t="shared" si="61"/>
        <v>0.73469387755102045</v>
      </c>
      <c r="AD48" s="91">
        <f t="shared" si="61"/>
        <v>1441.1764705882354</v>
      </c>
      <c r="AE48" s="79" t="str">
        <f t="shared" ref="AE48:AE53" si="62">S48</f>
        <v>계</v>
      </c>
      <c r="AF48" s="79" t="str">
        <f t="shared" ref="AF48:AF53" si="63">Q48&amp;"/"&amp;R48</f>
        <v>3/2</v>
      </c>
      <c r="AH48" s="20" t="str">
        <f t="shared" si="50"/>
        <v>금호어울림2단지</v>
      </c>
      <c r="AI48" s="87">
        <f t="shared" si="49"/>
        <v>34</v>
      </c>
      <c r="AJ48" s="79" t="str">
        <f t="shared" ref="AJ48:AJ53" si="64"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 t="shared" ref="AN48:AN53" si="65">IF(AI48="","",$AN$2)</f>
        <v>C</v>
      </c>
      <c r="AO48" s="79" t="str">
        <f t="shared" ref="AO48:AO53" si="66">IF(N48="","",IF(N48&gt;=$AO$1/100,"O","X"))</f>
        <v>X</v>
      </c>
      <c r="AP48" s="79" t="str">
        <f t="shared" ref="AP48:AP53" si="67">IF(I48="","",IF(I48&lt;=$AP$1,"O","X"))</f>
        <v>X</v>
      </c>
      <c r="AQ48" s="79" t="str">
        <f t="shared" ref="AQ48:AQ53" si="68">IF(O48="","",IF(O48&lt;=$AQ$1,"O","X"))</f>
        <v>O</v>
      </c>
      <c r="AR48" s="79" t="str">
        <f t="shared" ref="AR48:AR53" si="69">IF(M48="","",IF(M48&lt;=$AR$1,"O","X"))</f>
        <v>X</v>
      </c>
      <c r="AS48" s="79" t="s">
        <v>2</v>
      </c>
      <c r="AT48" s="79" t="str">
        <f t="shared" ref="AT48:AT53" si="70">IF(OR(F48="",AI48=""),"",IF(AND((F48&lt;=85),(AI48&gt;=15)),"O","X"))</f>
        <v>O</v>
      </c>
      <c r="AU48" s="79" t="str">
        <f t="shared" ref="AU48:AU53" si="71">IF(C48="","",IF(C48&gt;=$AU$1,"O","X"))</f>
        <v>O</v>
      </c>
      <c r="AV48" s="79" t="str">
        <f t="shared" ref="AV48:AV53" si="72">IF(AO48="","",IF(AND(AO48="O",AP48="O",AR48="O",AT48="O",AU48="O"),"후보","X"))</f>
        <v>X</v>
      </c>
    </row>
    <row r="49" spans="1:48" x14ac:dyDescent="0.3">
      <c r="A49" s="9" t="s">
        <v>746</v>
      </c>
      <c r="B49" s="10" t="s">
        <v>1379</v>
      </c>
      <c r="C49" s="88">
        <v>586</v>
      </c>
      <c r="D49" s="86">
        <v>125.5</v>
      </c>
      <c r="E49" s="87">
        <v>38</v>
      </c>
      <c r="F49" s="86">
        <v>99.7</v>
      </c>
      <c r="G49" s="17">
        <v>30</v>
      </c>
      <c r="H49" s="88">
        <v>56</v>
      </c>
      <c r="I49" s="89">
        <v>53000</v>
      </c>
      <c r="J49" s="89" t="s">
        <v>89</v>
      </c>
      <c r="K49" s="89"/>
      <c r="L49" s="89"/>
      <c r="M49" s="90">
        <f t="shared" si="54"/>
        <v>53000</v>
      </c>
      <c r="N49" s="4">
        <f t="shared" si="55"/>
        <v>0</v>
      </c>
      <c r="O49" s="91">
        <f t="shared" si="56"/>
        <v>1394.7368421052631</v>
      </c>
      <c r="P49" s="91">
        <f t="shared" si="57"/>
        <v>0</v>
      </c>
      <c r="Q49" s="79">
        <v>3</v>
      </c>
      <c r="R49" s="79">
        <v>2</v>
      </c>
      <c r="S49" s="79" t="s">
        <v>62</v>
      </c>
      <c r="T49" s="5" t="s">
        <v>140</v>
      </c>
      <c r="U49" s="9"/>
      <c r="W49" s="86">
        <f t="shared" si="58"/>
        <v>125.5</v>
      </c>
      <c r="X49" s="87">
        <f t="shared" si="58"/>
        <v>38</v>
      </c>
      <c r="Y49" s="92">
        <f t="shared" si="59"/>
        <v>56</v>
      </c>
      <c r="Z49" s="90">
        <f t="shared" si="59"/>
        <v>53000</v>
      </c>
      <c r="AA49" s="90">
        <f t="shared" si="60"/>
        <v>0</v>
      </c>
      <c r="AB49" s="90">
        <f t="shared" si="61"/>
        <v>53000</v>
      </c>
      <c r="AC49" s="4">
        <f t="shared" si="61"/>
        <v>0</v>
      </c>
      <c r="AD49" s="91">
        <f t="shared" si="61"/>
        <v>1394.7368421052631</v>
      </c>
      <c r="AE49" s="79" t="str">
        <f t="shared" si="62"/>
        <v>계</v>
      </c>
      <c r="AF49" s="79" t="str">
        <f t="shared" si="63"/>
        <v>3/2</v>
      </c>
      <c r="AH49" s="20" t="str">
        <f t="shared" si="50"/>
        <v>금호어울림2단지</v>
      </c>
      <c r="AI49" s="87">
        <f t="shared" si="49"/>
        <v>38</v>
      </c>
      <c r="AJ49" s="79" t="str">
        <f t="shared" si="64"/>
        <v>A-</v>
      </c>
      <c r="AK49" s="79" t="s">
        <v>13</v>
      </c>
      <c r="AL49" s="79" t="s">
        <v>60</v>
      </c>
      <c r="AM49" s="79" t="s">
        <v>61</v>
      </c>
      <c r="AN49" s="79" t="str">
        <f t="shared" si="65"/>
        <v>C</v>
      </c>
      <c r="AO49" s="79" t="str">
        <f t="shared" si="66"/>
        <v>X</v>
      </c>
      <c r="AP49" s="79" t="str">
        <f t="shared" si="67"/>
        <v>X</v>
      </c>
      <c r="AQ49" s="79" t="str">
        <f t="shared" si="68"/>
        <v>O</v>
      </c>
      <c r="AR49" s="79" t="str">
        <f t="shared" si="69"/>
        <v>X</v>
      </c>
      <c r="AS49" s="79" t="s">
        <v>2</v>
      </c>
      <c r="AT49" s="79" t="str">
        <f t="shared" si="70"/>
        <v>X</v>
      </c>
      <c r="AU49" s="79" t="str">
        <f t="shared" si="71"/>
        <v>O</v>
      </c>
      <c r="AV49" s="79" t="str">
        <f t="shared" si="72"/>
        <v>X</v>
      </c>
    </row>
    <row r="50" spans="1:48" x14ac:dyDescent="0.3">
      <c r="A50" s="9" t="s">
        <v>746</v>
      </c>
      <c r="B50" s="10" t="s">
        <v>1379</v>
      </c>
      <c r="C50" s="88">
        <v>586</v>
      </c>
      <c r="D50" s="86">
        <v>154.1</v>
      </c>
      <c r="E50" s="87">
        <v>47</v>
      </c>
      <c r="F50" s="86">
        <v>123.6</v>
      </c>
      <c r="G50" s="17">
        <v>37</v>
      </c>
      <c r="H50" s="88">
        <v>89</v>
      </c>
      <c r="I50" s="89">
        <v>65000</v>
      </c>
      <c r="J50" s="89" t="s">
        <v>102</v>
      </c>
      <c r="K50" s="89"/>
      <c r="L50" s="89"/>
      <c r="M50" s="90">
        <f t="shared" si="54"/>
        <v>65000</v>
      </c>
      <c r="N50" s="4">
        <f t="shared" si="55"/>
        <v>0</v>
      </c>
      <c r="O50" s="91">
        <f t="shared" si="56"/>
        <v>1382.9787234042553</v>
      </c>
      <c r="P50" s="91">
        <f t="shared" si="57"/>
        <v>0</v>
      </c>
      <c r="Q50" s="79">
        <v>4</v>
      </c>
      <c r="R50" s="79">
        <v>2</v>
      </c>
      <c r="S50" s="79" t="s">
        <v>62</v>
      </c>
      <c r="T50" s="5">
        <v>154</v>
      </c>
      <c r="U50" s="9"/>
      <c r="W50" s="86">
        <f t="shared" si="58"/>
        <v>154.1</v>
      </c>
      <c r="X50" s="87">
        <f t="shared" si="58"/>
        <v>47</v>
      </c>
      <c r="Y50" s="92">
        <f t="shared" si="59"/>
        <v>89</v>
      </c>
      <c r="Z50" s="90">
        <f t="shared" si="59"/>
        <v>65000</v>
      </c>
      <c r="AA50" s="90">
        <f t="shared" si="60"/>
        <v>0</v>
      </c>
      <c r="AB50" s="90">
        <f t="shared" si="61"/>
        <v>65000</v>
      </c>
      <c r="AC50" s="4">
        <f t="shared" si="61"/>
        <v>0</v>
      </c>
      <c r="AD50" s="91">
        <f t="shared" si="61"/>
        <v>1382.9787234042553</v>
      </c>
      <c r="AE50" s="79" t="str">
        <f t="shared" si="62"/>
        <v>계</v>
      </c>
      <c r="AF50" s="79" t="str">
        <f t="shared" si="63"/>
        <v>4/2</v>
      </c>
      <c r="AH50" s="20" t="str">
        <f t="shared" si="50"/>
        <v>금호어울림2단지</v>
      </c>
      <c r="AI50" s="87">
        <f t="shared" si="49"/>
        <v>47</v>
      </c>
      <c r="AJ50" s="79" t="str">
        <f t="shared" si="64"/>
        <v>A-</v>
      </c>
      <c r="AK50" s="79" t="s">
        <v>13</v>
      </c>
      <c r="AL50" s="79" t="s">
        <v>60</v>
      </c>
      <c r="AM50" s="79" t="s">
        <v>61</v>
      </c>
      <c r="AN50" s="79" t="str">
        <f t="shared" si="65"/>
        <v>C</v>
      </c>
      <c r="AO50" s="79" t="str">
        <f t="shared" si="66"/>
        <v>X</v>
      </c>
      <c r="AP50" s="79" t="str">
        <f t="shared" si="67"/>
        <v>X</v>
      </c>
      <c r="AQ50" s="79" t="str">
        <f t="shared" si="68"/>
        <v>O</v>
      </c>
      <c r="AR50" s="79" t="str">
        <f t="shared" si="69"/>
        <v>X</v>
      </c>
      <c r="AS50" s="79" t="s">
        <v>2</v>
      </c>
      <c r="AT50" s="79" t="str">
        <f t="shared" si="70"/>
        <v>X</v>
      </c>
      <c r="AU50" s="79" t="str">
        <f t="shared" si="71"/>
        <v>O</v>
      </c>
      <c r="AV50" s="79" t="str">
        <f t="shared" si="72"/>
        <v>X</v>
      </c>
    </row>
    <row r="51" spans="1:48" x14ac:dyDescent="0.3">
      <c r="A51" s="9" t="s">
        <v>746</v>
      </c>
      <c r="B51" s="10" t="s">
        <v>1379</v>
      </c>
      <c r="C51" s="88">
        <v>586</v>
      </c>
      <c r="D51" s="86">
        <v>164.7</v>
      </c>
      <c r="E51" s="87">
        <v>50</v>
      </c>
      <c r="F51" s="86">
        <v>131.30000000000001</v>
      </c>
      <c r="G51" s="17">
        <v>40</v>
      </c>
      <c r="H51" s="88">
        <v>56</v>
      </c>
      <c r="I51" s="89">
        <v>70000</v>
      </c>
      <c r="J51" s="89" t="s">
        <v>71</v>
      </c>
      <c r="K51" s="89">
        <v>45000</v>
      </c>
      <c r="L51" s="89" t="s">
        <v>71</v>
      </c>
      <c r="M51" s="90">
        <f t="shared" si="54"/>
        <v>25000</v>
      </c>
      <c r="N51" s="4">
        <f t="shared" si="55"/>
        <v>0.6428571428571429</v>
      </c>
      <c r="O51" s="91">
        <f t="shared" si="56"/>
        <v>1400</v>
      </c>
      <c r="P51" s="91">
        <f t="shared" si="57"/>
        <v>900</v>
      </c>
      <c r="Q51" s="79">
        <v>4</v>
      </c>
      <c r="R51" s="79">
        <v>2</v>
      </c>
      <c r="S51" s="79" t="s">
        <v>62</v>
      </c>
      <c r="T51" s="5" t="s">
        <v>141</v>
      </c>
      <c r="U51" s="9"/>
      <c r="W51" s="86">
        <f t="shared" si="58"/>
        <v>164.7</v>
      </c>
      <c r="X51" s="87">
        <f t="shared" si="58"/>
        <v>50</v>
      </c>
      <c r="Y51" s="92">
        <f t="shared" si="59"/>
        <v>56</v>
      </c>
      <c r="Z51" s="90">
        <f t="shared" si="59"/>
        <v>70000</v>
      </c>
      <c r="AA51" s="90">
        <f t="shared" si="60"/>
        <v>45000</v>
      </c>
      <c r="AB51" s="90">
        <f t="shared" si="61"/>
        <v>25000</v>
      </c>
      <c r="AC51" s="4">
        <f t="shared" si="61"/>
        <v>0.6428571428571429</v>
      </c>
      <c r="AD51" s="91">
        <f t="shared" si="61"/>
        <v>1400</v>
      </c>
      <c r="AE51" s="79" t="str">
        <f t="shared" si="62"/>
        <v>계</v>
      </c>
      <c r="AF51" s="79" t="str">
        <f t="shared" si="63"/>
        <v>4/2</v>
      </c>
      <c r="AH51" s="20" t="str">
        <f t="shared" si="50"/>
        <v>금호어울림2단지</v>
      </c>
      <c r="AI51" s="87">
        <f t="shared" si="49"/>
        <v>50</v>
      </c>
      <c r="AJ51" s="79" t="str">
        <f t="shared" si="64"/>
        <v>A-</v>
      </c>
      <c r="AK51" s="79" t="s">
        <v>13</v>
      </c>
      <c r="AL51" s="79" t="s">
        <v>60</v>
      </c>
      <c r="AM51" s="79" t="s">
        <v>61</v>
      </c>
      <c r="AN51" s="79" t="str">
        <f t="shared" si="65"/>
        <v>C</v>
      </c>
      <c r="AO51" s="79" t="str">
        <f t="shared" si="66"/>
        <v>X</v>
      </c>
      <c r="AP51" s="79" t="str">
        <f t="shared" si="67"/>
        <v>X</v>
      </c>
      <c r="AQ51" s="79" t="str">
        <f t="shared" si="68"/>
        <v>O</v>
      </c>
      <c r="AR51" s="79" t="str">
        <f t="shared" si="69"/>
        <v>X</v>
      </c>
      <c r="AS51" s="79" t="s">
        <v>2</v>
      </c>
      <c r="AT51" s="79" t="str">
        <f t="shared" si="70"/>
        <v>X</v>
      </c>
      <c r="AU51" s="79" t="str">
        <f t="shared" si="71"/>
        <v>O</v>
      </c>
      <c r="AV51" s="79" t="str">
        <f t="shared" si="72"/>
        <v>X</v>
      </c>
    </row>
    <row r="52" spans="1:48" x14ac:dyDescent="0.3">
      <c r="A52" s="9" t="s">
        <v>746</v>
      </c>
      <c r="B52" s="10" t="s">
        <v>1379</v>
      </c>
      <c r="C52" s="88">
        <v>586</v>
      </c>
      <c r="D52" s="86">
        <v>197</v>
      </c>
      <c r="E52" s="87">
        <v>60</v>
      </c>
      <c r="F52" s="86">
        <v>163.80000000000001</v>
      </c>
      <c r="G52" s="17">
        <v>50</v>
      </c>
      <c r="H52" s="88">
        <v>114</v>
      </c>
      <c r="I52" s="89">
        <v>72000</v>
      </c>
      <c r="J52" s="89" t="s">
        <v>89</v>
      </c>
      <c r="K52" s="89"/>
      <c r="L52" s="89"/>
      <c r="M52" s="90">
        <f t="shared" si="54"/>
        <v>72000</v>
      </c>
      <c r="N52" s="4">
        <f t="shared" si="55"/>
        <v>0</v>
      </c>
      <c r="O52" s="91">
        <f t="shared" si="56"/>
        <v>1200</v>
      </c>
      <c r="P52" s="91">
        <f t="shared" si="57"/>
        <v>0</v>
      </c>
      <c r="Q52" s="79">
        <v>4</v>
      </c>
      <c r="R52" s="79">
        <v>2</v>
      </c>
      <c r="S52" s="79" t="s">
        <v>62</v>
      </c>
      <c r="T52" s="5">
        <v>196</v>
      </c>
      <c r="U52" s="9"/>
      <c r="W52" s="86">
        <f t="shared" si="58"/>
        <v>197</v>
      </c>
      <c r="X52" s="87">
        <f t="shared" si="58"/>
        <v>60</v>
      </c>
      <c r="Y52" s="92">
        <f t="shared" si="59"/>
        <v>114</v>
      </c>
      <c r="Z52" s="90">
        <f t="shared" si="59"/>
        <v>72000</v>
      </c>
      <c r="AA52" s="90">
        <f t="shared" si="60"/>
        <v>0</v>
      </c>
      <c r="AB52" s="90">
        <f t="shared" si="61"/>
        <v>72000</v>
      </c>
      <c r="AC52" s="4">
        <f t="shared" si="61"/>
        <v>0</v>
      </c>
      <c r="AD52" s="91">
        <f t="shared" si="61"/>
        <v>1200</v>
      </c>
      <c r="AE52" s="79" t="str">
        <f t="shared" si="62"/>
        <v>계</v>
      </c>
      <c r="AF52" s="79" t="str">
        <f t="shared" si="63"/>
        <v>4/2</v>
      </c>
      <c r="AH52" s="20" t="str">
        <f t="shared" si="50"/>
        <v>금호어울림2단지</v>
      </c>
      <c r="AI52" s="87">
        <f t="shared" si="49"/>
        <v>60</v>
      </c>
      <c r="AJ52" s="79" t="str">
        <f t="shared" si="64"/>
        <v>A-</v>
      </c>
      <c r="AK52" s="79" t="s">
        <v>13</v>
      </c>
      <c r="AL52" s="79" t="s">
        <v>60</v>
      </c>
      <c r="AM52" s="79" t="s">
        <v>61</v>
      </c>
      <c r="AN52" s="79" t="str">
        <f t="shared" si="65"/>
        <v>C</v>
      </c>
      <c r="AO52" s="79" t="str">
        <f t="shared" si="66"/>
        <v>X</v>
      </c>
      <c r="AP52" s="79" t="str">
        <f t="shared" si="67"/>
        <v>X</v>
      </c>
      <c r="AQ52" s="79" t="str">
        <f t="shared" si="68"/>
        <v>O</v>
      </c>
      <c r="AR52" s="79" t="str">
        <f t="shared" si="69"/>
        <v>X</v>
      </c>
      <c r="AS52" s="79" t="s">
        <v>2</v>
      </c>
      <c r="AT52" s="79" t="str">
        <f t="shared" si="70"/>
        <v>X</v>
      </c>
      <c r="AU52" s="79" t="str">
        <f t="shared" si="71"/>
        <v>O</v>
      </c>
      <c r="AV52" s="79" t="str">
        <f t="shared" si="72"/>
        <v>X</v>
      </c>
    </row>
    <row r="53" spans="1:48" x14ac:dyDescent="0.3">
      <c r="A53" s="9" t="s">
        <v>746</v>
      </c>
      <c r="B53" s="10" t="s">
        <v>1379</v>
      </c>
      <c r="C53" s="88">
        <v>586</v>
      </c>
      <c r="D53" s="86">
        <v>258.39999999999998</v>
      </c>
      <c r="E53" s="87">
        <v>78</v>
      </c>
      <c r="F53" s="86">
        <v>212</v>
      </c>
      <c r="G53" s="17">
        <v>64</v>
      </c>
      <c r="H53" s="88">
        <v>3</v>
      </c>
      <c r="I53" s="89">
        <v>170000</v>
      </c>
      <c r="J53" s="89" t="s">
        <v>68</v>
      </c>
      <c r="K53" s="89"/>
      <c r="L53" s="89"/>
      <c r="M53" s="90">
        <f t="shared" si="54"/>
        <v>170000</v>
      </c>
      <c r="N53" s="4">
        <f t="shared" si="55"/>
        <v>0</v>
      </c>
      <c r="O53" s="91">
        <f t="shared" si="56"/>
        <v>2179.4871794871797</v>
      </c>
      <c r="P53" s="91">
        <f t="shared" si="57"/>
        <v>0</v>
      </c>
      <c r="Q53" s="79">
        <v>4</v>
      </c>
      <c r="R53" s="79">
        <v>2</v>
      </c>
      <c r="S53" s="79" t="s">
        <v>62</v>
      </c>
      <c r="T53" s="5">
        <v>258</v>
      </c>
      <c r="U53" s="9"/>
      <c r="W53" s="86">
        <f t="shared" si="58"/>
        <v>258.39999999999998</v>
      </c>
      <c r="X53" s="87">
        <f t="shared" si="58"/>
        <v>78</v>
      </c>
      <c r="Y53" s="92">
        <f t="shared" si="59"/>
        <v>3</v>
      </c>
      <c r="Z53" s="90">
        <f t="shared" si="59"/>
        <v>170000</v>
      </c>
      <c r="AA53" s="90">
        <f t="shared" si="60"/>
        <v>0</v>
      </c>
      <c r="AB53" s="90">
        <f t="shared" si="61"/>
        <v>170000</v>
      </c>
      <c r="AC53" s="4">
        <f t="shared" si="61"/>
        <v>0</v>
      </c>
      <c r="AD53" s="91">
        <f t="shared" si="61"/>
        <v>2179.4871794871797</v>
      </c>
      <c r="AE53" s="79" t="str">
        <f t="shared" si="62"/>
        <v>계</v>
      </c>
      <c r="AF53" s="79" t="str">
        <f t="shared" si="63"/>
        <v>4/2</v>
      </c>
      <c r="AH53" s="20" t="str">
        <f t="shared" si="50"/>
        <v>금호어울림2단지</v>
      </c>
      <c r="AI53" s="87">
        <f t="shared" si="49"/>
        <v>78</v>
      </c>
      <c r="AJ53" s="79" t="str">
        <f t="shared" si="64"/>
        <v>A-</v>
      </c>
      <c r="AK53" s="79" t="s">
        <v>13</v>
      </c>
      <c r="AL53" s="79" t="s">
        <v>60</v>
      </c>
      <c r="AM53" s="79" t="s">
        <v>61</v>
      </c>
      <c r="AN53" s="79" t="str">
        <f t="shared" si="65"/>
        <v>C</v>
      </c>
      <c r="AO53" s="79" t="str">
        <f t="shared" si="66"/>
        <v>X</v>
      </c>
      <c r="AP53" s="79" t="str">
        <f t="shared" si="67"/>
        <v>X</v>
      </c>
      <c r="AQ53" s="79" t="str">
        <f t="shared" si="68"/>
        <v>X</v>
      </c>
      <c r="AR53" s="79" t="str">
        <f t="shared" si="69"/>
        <v>X</v>
      </c>
      <c r="AS53" s="79" t="s">
        <v>2</v>
      </c>
      <c r="AT53" s="79" t="str">
        <f t="shared" si="70"/>
        <v>X</v>
      </c>
      <c r="AU53" s="79" t="str">
        <f t="shared" si="71"/>
        <v>O</v>
      </c>
      <c r="AV53" s="79" t="str">
        <f t="shared" si="72"/>
        <v>X</v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복대동 삼일(3034)('98.11.,478^)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11" t="str">
        <f t="shared" si="49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761</v>
      </c>
      <c r="B55" s="10" t="s">
        <v>1380</v>
      </c>
      <c r="C55" s="88">
        <v>478</v>
      </c>
      <c r="D55" s="86">
        <v>105.5</v>
      </c>
      <c r="E55" s="87">
        <v>32</v>
      </c>
      <c r="F55" s="86">
        <v>84.9</v>
      </c>
      <c r="G55" s="17">
        <v>26</v>
      </c>
      <c r="H55" s="88">
        <v>328</v>
      </c>
      <c r="I55" s="89">
        <v>26500</v>
      </c>
      <c r="J55" s="89" t="s">
        <v>71</v>
      </c>
      <c r="K55" s="89">
        <v>24700</v>
      </c>
      <c r="L55" s="89" t="s">
        <v>102</v>
      </c>
      <c r="M55" s="90">
        <f>I55-K55</f>
        <v>1800</v>
      </c>
      <c r="N55" s="4">
        <f>IF(ISERROR(K55/I55),"",K55/I55)</f>
        <v>0.93207547169811322</v>
      </c>
      <c r="O55" s="91">
        <f>I55/E55</f>
        <v>828.125</v>
      </c>
      <c r="P55" s="91">
        <f>K55/E55</f>
        <v>771.875</v>
      </c>
      <c r="Q55" s="79">
        <v>3</v>
      </c>
      <c r="R55" s="79">
        <v>2</v>
      </c>
      <c r="S55" s="79" t="s">
        <v>62</v>
      </c>
      <c r="T55" s="5">
        <v>105</v>
      </c>
      <c r="U55" s="9"/>
      <c r="W55" s="86">
        <f>D55</f>
        <v>105.5</v>
      </c>
      <c r="X55" s="87">
        <f>E55</f>
        <v>32</v>
      </c>
      <c r="Y55" s="92">
        <f>H55</f>
        <v>328</v>
      </c>
      <c r="Z55" s="90">
        <f>I55</f>
        <v>26500</v>
      </c>
      <c r="AA55" s="90">
        <f>K55</f>
        <v>24700</v>
      </c>
      <c r="AB55" s="90">
        <f t="shared" ref="AB55:AD56" si="73">M55</f>
        <v>1800</v>
      </c>
      <c r="AC55" s="4">
        <f t="shared" si="73"/>
        <v>0.93207547169811322</v>
      </c>
      <c r="AD55" s="91">
        <f t="shared" si="73"/>
        <v>828.125</v>
      </c>
      <c r="AE55" s="79" t="str">
        <f>S55</f>
        <v>계</v>
      </c>
      <c r="AF55" s="79" t="str">
        <f>Q55&amp;"/"&amp;R55</f>
        <v>3/2</v>
      </c>
      <c r="AH55" s="20" t="str">
        <f t="shared" si="50"/>
        <v>삼일(3034)</v>
      </c>
      <c r="AI55" s="87">
        <f t="shared" si="49"/>
        <v>32</v>
      </c>
      <c r="AJ55" s="79" t="str">
        <f>IF(AI55="","",$AJ$2)</f>
        <v>A-</v>
      </c>
      <c r="AK55" s="79" t="s">
        <v>13</v>
      </c>
      <c r="AL55" s="79" t="s">
        <v>60</v>
      </c>
      <c r="AM55" s="79" t="s">
        <v>61</v>
      </c>
      <c r="AN55" s="79" t="str">
        <f>IF(AI55="","",$AN$2)</f>
        <v>C</v>
      </c>
      <c r="AO55" s="79" t="str">
        <f>IF(N55="","",IF(N55&gt;=$AO$1/100,"O","X"))</f>
        <v>O</v>
      </c>
      <c r="AP55" s="79" t="str">
        <f>IF(I55="","",IF(I55&lt;=$AP$1,"O","X"))</f>
        <v>O</v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후보</v>
      </c>
    </row>
    <row r="56" spans="1:48" x14ac:dyDescent="0.3">
      <c r="A56" s="9" t="s">
        <v>761</v>
      </c>
      <c r="B56" s="10" t="s">
        <v>1380</v>
      </c>
      <c r="C56" s="88">
        <v>478</v>
      </c>
      <c r="D56" s="86">
        <v>108</v>
      </c>
      <c r="E56" s="87">
        <v>33</v>
      </c>
      <c r="F56" s="86">
        <v>84.9</v>
      </c>
      <c r="G56" s="17">
        <v>26</v>
      </c>
      <c r="H56" s="88">
        <v>150</v>
      </c>
      <c r="I56" s="89">
        <v>24500</v>
      </c>
      <c r="J56" s="89" t="s">
        <v>97</v>
      </c>
      <c r="K56" s="89"/>
      <c r="L56" s="89"/>
      <c r="M56" s="90">
        <f>I56-K56</f>
        <v>24500</v>
      </c>
      <c r="N56" s="4">
        <f>IF(ISERROR(K56/I56),"",K56/I56)</f>
        <v>0</v>
      </c>
      <c r="O56" s="91">
        <f>I56/E56</f>
        <v>742.42424242424238</v>
      </c>
      <c r="P56" s="91">
        <f>K56/E56</f>
        <v>0</v>
      </c>
      <c r="Q56" s="79">
        <v>3</v>
      </c>
      <c r="R56" s="79">
        <v>2</v>
      </c>
      <c r="S56" s="79" t="s">
        <v>62</v>
      </c>
      <c r="T56" s="5">
        <v>108</v>
      </c>
      <c r="U56" s="9"/>
      <c r="W56" s="86">
        <f>D56</f>
        <v>108</v>
      </c>
      <c r="X56" s="87">
        <f>E56</f>
        <v>33</v>
      </c>
      <c r="Y56" s="92">
        <f>H56</f>
        <v>150</v>
      </c>
      <c r="Z56" s="90">
        <f>I56</f>
        <v>24500</v>
      </c>
      <c r="AA56" s="90">
        <f>K56</f>
        <v>0</v>
      </c>
      <c r="AB56" s="90">
        <f t="shared" si="73"/>
        <v>24500</v>
      </c>
      <c r="AC56" s="4">
        <f t="shared" si="73"/>
        <v>0</v>
      </c>
      <c r="AD56" s="91">
        <f t="shared" si="73"/>
        <v>742.42424242424238</v>
      </c>
      <c r="AE56" s="79" t="str">
        <f>S56</f>
        <v>계</v>
      </c>
      <c r="AF56" s="79" t="str">
        <f>Q56&amp;"/"&amp;R56</f>
        <v>3/2</v>
      </c>
      <c r="AH56" s="20" t="str">
        <f t="shared" si="50"/>
        <v>삼일(3034)</v>
      </c>
      <c r="AI56" s="87">
        <f t="shared" si="49"/>
        <v>33</v>
      </c>
      <c r="AJ56" s="79" t="str">
        <f>IF(AI56="","",$AJ$2)</f>
        <v>A-</v>
      </c>
      <c r="AK56" s="79" t="s">
        <v>13</v>
      </c>
      <c r="AL56" s="79" t="s">
        <v>60</v>
      </c>
      <c r="AM56" s="79" t="s">
        <v>61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O</v>
      </c>
      <c r="AQ56" s="79" t="str">
        <f>IF(O56="","",IF(O56&lt;=$AQ$1,"O","X"))</f>
        <v>O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x14ac:dyDescent="0.3">
      <c r="A57" s="9"/>
      <c r="B57" s="79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복대동 주은('02.12.,220^)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11" t="str">
        <f t="shared" si="49"/>
        <v/>
      </c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</row>
    <row r="58" spans="1:48" x14ac:dyDescent="0.3">
      <c r="A58" s="9" t="s">
        <v>766</v>
      </c>
      <c r="B58" s="10" t="s">
        <v>1335</v>
      </c>
      <c r="C58" s="88">
        <v>220</v>
      </c>
      <c r="D58" s="86">
        <v>78</v>
      </c>
      <c r="E58" s="87">
        <v>24</v>
      </c>
      <c r="F58" s="86">
        <v>59.6</v>
      </c>
      <c r="G58" s="17">
        <v>18</v>
      </c>
      <c r="H58" s="88">
        <v>220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9">
        <v>3</v>
      </c>
      <c r="R58" s="79">
        <v>1</v>
      </c>
      <c r="S58" s="79" t="s">
        <v>62</v>
      </c>
      <c r="T58" s="5">
        <v>78</v>
      </c>
      <c r="U58" s="9"/>
      <c r="W58" s="86">
        <f>D58</f>
        <v>78</v>
      </c>
      <c r="X58" s="87">
        <f>E58</f>
        <v>24</v>
      </c>
      <c r="Y58" s="92">
        <f>H58</f>
        <v>220</v>
      </c>
      <c r="Z58" s="90">
        <f>I58</f>
        <v>0</v>
      </c>
      <c r="AA58" s="90">
        <f>K58</f>
        <v>0</v>
      </c>
      <c r="AB58" s="90">
        <f>M58</f>
        <v>0</v>
      </c>
      <c r="AC58" s="4" t="str">
        <f>N58</f>
        <v/>
      </c>
      <c r="AD58" s="91">
        <f>O58</f>
        <v>0</v>
      </c>
      <c r="AE58" s="79" t="str">
        <f>S58</f>
        <v>계</v>
      </c>
      <c r="AF58" s="79" t="str">
        <f>Q58&amp;"/"&amp;R58</f>
        <v>3/1</v>
      </c>
      <c r="AH58" s="20" t="str">
        <f t="shared" si="50"/>
        <v>주은</v>
      </c>
      <c r="AI58" s="87">
        <f t="shared" si="49"/>
        <v>24</v>
      </c>
      <c r="AJ58" s="79" t="str">
        <f>IF(AI58="","",$AJ$2)</f>
        <v>A-</v>
      </c>
      <c r="AK58" s="79" t="s">
        <v>13</v>
      </c>
      <c r="AL58" s="79" t="s">
        <v>60</v>
      </c>
      <c r="AM58" s="79" t="s">
        <v>61</v>
      </c>
      <c r="AN58" s="79" t="str">
        <f>IF(AI58="","",$AN$2)</f>
        <v>C</v>
      </c>
      <c r="AO58" s="79" t="str">
        <f>IF(N58="","",IF(N58&gt;=$AO$1/100,"O","X"))</f>
        <v/>
      </c>
      <c r="AP58" s="79" t="str">
        <f>IF(I58="","",IF(I58&lt;=$AP$1,"O","X"))</f>
        <v/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X</v>
      </c>
      <c r="AV58" s="79" t="str">
        <f>IF(AO58="","",IF(AND(AO58="O",AP58="O",AR58="O",AT58="O",AU58="O"),"후보","X"))</f>
        <v/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복대동 청주지웰시티푸르지오('19.10.,466^)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0"/>
        <v/>
      </c>
      <c r="AI59" s="111" t="str">
        <f t="shared" si="49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770</v>
      </c>
      <c r="B60" s="10" t="s">
        <v>1381</v>
      </c>
      <c r="C60" s="88">
        <v>466</v>
      </c>
      <c r="D60" s="86">
        <v>106.1</v>
      </c>
      <c r="E60" s="87">
        <v>32</v>
      </c>
      <c r="F60" s="86">
        <v>70.7</v>
      </c>
      <c r="G60" s="17">
        <v>21</v>
      </c>
      <c r="H60" s="88">
        <v>47</v>
      </c>
      <c r="I60" s="89"/>
      <c r="J60" s="89"/>
      <c r="K60" s="89"/>
      <c r="L60" s="89"/>
      <c r="M60" s="90">
        <f t="shared" ref="M60:M66" si="74">I60-K60</f>
        <v>0</v>
      </c>
      <c r="N60" s="4" t="str">
        <f t="shared" ref="N60:N66" si="75">IF(ISERROR(K60/I60),"",K60/I60)</f>
        <v/>
      </c>
      <c r="O60" s="91">
        <f t="shared" ref="O60:O66" si="76">I60/E60</f>
        <v>0</v>
      </c>
      <c r="P60" s="91">
        <f t="shared" ref="P60:P66" si="77">K60/E60</f>
        <v>0</v>
      </c>
      <c r="Q60" s="79">
        <v>3</v>
      </c>
      <c r="R60" s="79">
        <v>2</v>
      </c>
      <c r="S60" s="79" t="s">
        <v>62</v>
      </c>
      <c r="T60" s="5" t="s">
        <v>142</v>
      </c>
      <c r="U60" s="9"/>
      <c r="W60" s="86">
        <f t="shared" ref="W60:X66" si="78">D60</f>
        <v>106.1</v>
      </c>
      <c r="X60" s="87">
        <f t="shared" si="78"/>
        <v>32</v>
      </c>
      <c r="Y60" s="92">
        <f t="shared" ref="Y60:Z66" si="79">H60</f>
        <v>47</v>
      </c>
      <c r="Z60" s="90">
        <f t="shared" si="79"/>
        <v>0</v>
      </c>
      <c r="AA60" s="90">
        <f t="shared" ref="AA60:AA66" si="80">K60</f>
        <v>0</v>
      </c>
      <c r="AB60" s="90">
        <f t="shared" ref="AB60:AD66" si="81">M60</f>
        <v>0</v>
      </c>
      <c r="AC60" s="4" t="str">
        <f t="shared" si="81"/>
        <v/>
      </c>
      <c r="AD60" s="91">
        <f t="shared" si="81"/>
        <v>0</v>
      </c>
      <c r="AE60" s="79" t="str">
        <f t="shared" ref="AE60:AE66" si="82">S60</f>
        <v>계</v>
      </c>
      <c r="AF60" s="79" t="str">
        <f t="shared" ref="AF60:AF66" si="83">Q60&amp;"/"&amp;R60</f>
        <v>3/2</v>
      </c>
      <c r="AH60" s="20" t="str">
        <f t="shared" si="50"/>
        <v>청주지웰시티푸르지오</v>
      </c>
      <c r="AI60" s="87">
        <f t="shared" si="49"/>
        <v>32</v>
      </c>
      <c r="AJ60" s="79" t="str">
        <f t="shared" ref="AJ60:AJ66" si="84">IF(AI60="","",$AJ$2)</f>
        <v>A-</v>
      </c>
      <c r="AK60" s="79" t="s">
        <v>13</v>
      </c>
      <c r="AL60" s="79" t="s">
        <v>60</v>
      </c>
      <c r="AM60" s="79" t="s">
        <v>61</v>
      </c>
      <c r="AN60" s="79" t="str">
        <f t="shared" ref="AN60:AN66" si="85">IF(AI60="","",$AN$2)</f>
        <v>C</v>
      </c>
      <c r="AO60" s="79" t="str">
        <f t="shared" ref="AO60:AO66" si="86">IF(N60="","",IF(N60&gt;=$AO$1/100,"O","X"))</f>
        <v/>
      </c>
      <c r="AP60" s="79" t="str">
        <f t="shared" ref="AP60:AP66" si="87">IF(I60="","",IF(I60&lt;=$AP$1,"O","X"))</f>
        <v/>
      </c>
      <c r="AQ60" s="79" t="str">
        <f t="shared" ref="AQ60:AQ66" si="88">IF(O60="","",IF(O60&lt;=$AQ$1,"O","X"))</f>
        <v>O</v>
      </c>
      <c r="AR60" s="79" t="str">
        <f t="shared" ref="AR60:AR66" si="89">IF(M60="","",IF(M60&lt;=$AR$1,"O","X"))</f>
        <v>O</v>
      </c>
      <c r="AS60" s="79" t="s">
        <v>2</v>
      </c>
      <c r="AT60" s="79" t="str">
        <f t="shared" ref="AT60:AT66" si="90">IF(OR(F60="",AI60=""),"",IF(AND((F60&lt;=85),(AI60&gt;=15)),"O","X"))</f>
        <v>O</v>
      </c>
      <c r="AU60" s="79" t="str">
        <f t="shared" ref="AU60:AU66" si="91">IF(C60="","",IF(C60&gt;=$AU$1,"O","X"))</f>
        <v>O</v>
      </c>
      <c r="AV60" s="79" t="str">
        <f t="shared" ref="AV60:AV66" si="92">IF(AO60="","",IF(AND(AO60="O",AP60="O",AR60="O",AT60="O",AU60="O"),"후보","X"))</f>
        <v/>
      </c>
    </row>
    <row r="61" spans="1:48" x14ac:dyDescent="0.3">
      <c r="A61" s="9" t="s">
        <v>770</v>
      </c>
      <c r="B61" s="10" t="s">
        <v>1381</v>
      </c>
      <c r="C61" s="88">
        <v>466</v>
      </c>
      <c r="D61" s="86">
        <v>107.3</v>
      </c>
      <c r="E61" s="87">
        <v>32</v>
      </c>
      <c r="F61" s="86">
        <v>70.900000000000006</v>
      </c>
      <c r="G61" s="17">
        <v>21</v>
      </c>
      <c r="H61" s="88">
        <v>47</v>
      </c>
      <c r="I61" s="89"/>
      <c r="J61" s="89"/>
      <c r="K61" s="89"/>
      <c r="L61" s="89"/>
      <c r="M61" s="90">
        <f t="shared" si="74"/>
        <v>0</v>
      </c>
      <c r="N61" s="4" t="str">
        <f t="shared" si="75"/>
        <v/>
      </c>
      <c r="O61" s="91">
        <f t="shared" si="76"/>
        <v>0</v>
      </c>
      <c r="P61" s="91">
        <f t="shared" si="77"/>
        <v>0</v>
      </c>
      <c r="Q61" s="79">
        <v>3</v>
      </c>
      <c r="R61" s="79">
        <v>2</v>
      </c>
      <c r="S61" s="79" t="s">
        <v>62</v>
      </c>
      <c r="T61" s="5" t="s">
        <v>93</v>
      </c>
      <c r="U61" s="9"/>
      <c r="W61" s="86">
        <f t="shared" si="78"/>
        <v>107.3</v>
      </c>
      <c r="X61" s="87">
        <f t="shared" si="78"/>
        <v>32</v>
      </c>
      <c r="Y61" s="92">
        <f t="shared" si="79"/>
        <v>47</v>
      </c>
      <c r="Z61" s="90">
        <f t="shared" si="79"/>
        <v>0</v>
      </c>
      <c r="AA61" s="90">
        <f t="shared" si="80"/>
        <v>0</v>
      </c>
      <c r="AB61" s="90">
        <f t="shared" si="81"/>
        <v>0</v>
      </c>
      <c r="AC61" s="4" t="str">
        <f t="shared" si="81"/>
        <v/>
      </c>
      <c r="AD61" s="91">
        <f t="shared" si="81"/>
        <v>0</v>
      </c>
      <c r="AE61" s="79" t="str">
        <f t="shared" si="82"/>
        <v>계</v>
      </c>
      <c r="AF61" s="79" t="str">
        <f t="shared" si="83"/>
        <v>3/2</v>
      </c>
      <c r="AH61" s="20" t="str">
        <f t="shared" si="50"/>
        <v>청주지웰시티푸르지오</v>
      </c>
      <c r="AI61" s="87">
        <f t="shared" si="49"/>
        <v>32</v>
      </c>
      <c r="AJ61" s="79" t="str">
        <f t="shared" si="84"/>
        <v>A-</v>
      </c>
      <c r="AK61" s="79" t="s">
        <v>13</v>
      </c>
      <c r="AL61" s="79" t="s">
        <v>60</v>
      </c>
      <c r="AM61" s="79" t="s">
        <v>61</v>
      </c>
      <c r="AN61" s="79" t="str">
        <f t="shared" si="85"/>
        <v>C</v>
      </c>
      <c r="AO61" s="79" t="str">
        <f t="shared" si="86"/>
        <v/>
      </c>
      <c r="AP61" s="79" t="str">
        <f t="shared" si="87"/>
        <v/>
      </c>
      <c r="AQ61" s="79" t="str">
        <f t="shared" si="88"/>
        <v>O</v>
      </c>
      <c r="AR61" s="79" t="str">
        <f t="shared" si="89"/>
        <v>O</v>
      </c>
      <c r="AS61" s="79" t="s">
        <v>2</v>
      </c>
      <c r="AT61" s="79" t="str">
        <f t="shared" si="90"/>
        <v>O</v>
      </c>
      <c r="AU61" s="79" t="str">
        <f t="shared" si="91"/>
        <v>O</v>
      </c>
      <c r="AV61" s="79" t="str">
        <f t="shared" si="92"/>
        <v/>
      </c>
    </row>
    <row r="62" spans="1:48" x14ac:dyDescent="0.3">
      <c r="A62" s="9" t="s">
        <v>770</v>
      </c>
      <c r="B62" s="10" t="s">
        <v>1381</v>
      </c>
      <c r="C62" s="88">
        <v>466</v>
      </c>
      <c r="D62" s="86">
        <v>125.3</v>
      </c>
      <c r="E62" s="87">
        <v>38</v>
      </c>
      <c r="F62" s="86">
        <v>84.8</v>
      </c>
      <c r="G62" s="17">
        <v>26</v>
      </c>
      <c r="H62" s="88">
        <v>47</v>
      </c>
      <c r="I62" s="89"/>
      <c r="J62" s="89"/>
      <c r="K62" s="89"/>
      <c r="L62" s="89"/>
      <c r="M62" s="90">
        <f t="shared" si="74"/>
        <v>0</v>
      </c>
      <c r="N62" s="4" t="str">
        <f t="shared" si="75"/>
        <v/>
      </c>
      <c r="O62" s="91">
        <f t="shared" si="76"/>
        <v>0</v>
      </c>
      <c r="P62" s="91">
        <f t="shared" si="77"/>
        <v>0</v>
      </c>
      <c r="Q62" s="79">
        <v>3</v>
      </c>
      <c r="R62" s="79">
        <v>2</v>
      </c>
      <c r="S62" s="79" t="s">
        <v>62</v>
      </c>
      <c r="T62" s="5" t="s">
        <v>143</v>
      </c>
      <c r="U62" s="9"/>
      <c r="W62" s="86">
        <f t="shared" si="78"/>
        <v>125.3</v>
      </c>
      <c r="X62" s="87">
        <f t="shared" si="78"/>
        <v>38</v>
      </c>
      <c r="Y62" s="92">
        <f t="shared" si="79"/>
        <v>47</v>
      </c>
      <c r="Z62" s="90">
        <f t="shared" si="79"/>
        <v>0</v>
      </c>
      <c r="AA62" s="90">
        <f t="shared" si="80"/>
        <v>0</v>
      </c>
      <c r="AB62" s="90">
        <f t="shared" si="81"/>
        <v>0</v>
      </c>
      <c r="AC62" s="4" t="str">
        <f t="shared" si="81"/>
        <v/>
      </c>
      <c r="AD62" s="91">
        <f t="shared" si="81"/>
        <v>0</v>
      </c>
      <c r="AE62" s="79" t="str">
        <f t="shared" si="82"/>
        <v>계</v>
      </c>
      <c r="AF62" s="79" t="str">
        <f t="shared" si="83"/>
        <v>3/2</v>
      </c>
      <c r="AH62" s="20" t="str">
        <f t="shared" si="50"/>
        <v>청주지웰시티푸르지오</v>
      </c>
      <c r="AI62" s="87">
        <f t="shared" si="49"/>
        <v>38</v>
      </c>
      <c r="AJ62" s="79" t="str">
        <f t="shared" si="84"/>
        <v>A-</v>
      </c>
      <c r="AK62" s="79" t="s">
        <v>13</v>
      </c>
      <c r="AL62" s="79" t="s">
        <v>60</v>
      </c>
      <c r="AM62" s="79" t="s">
        <v>61</v>
      </c>
      <c r="AN62" s="79" t="str">
        <f t="shared" si="85"/>
        <v>C</v>
      </c>
      <c r="AO62" s="79" t="str">
        <f t="shared" si="86"/>
        <v/>
      </c>
      <c r="AP62" s="79" t="str">
        <f t="shared" si="87"/>
        <v/>
      </c>
      <c r="AQ62" s="79" t="str">
        <f t="shared" si="88"/>
        <v>O</v>
      </c>
      <c r="AR62" s="79" t="str">
        <f t="shared" si="89"/>
        <v>O</v>
      </c>
      <c r="AS62" s="79" t="s">
        <v>2</v>
      </c>
      <c r="AT62" s="79" t="str">
        <f t="shared" si="90"/>
        <v>O</v>
      </c>
      <c r="AU62" s="79" t="str">
        <f t="shared" si="91"/>
        <v>O</v>
      </c>
      <c r="AV62" s="79" t="str">
        <f t="shared" si="92"/>
        <v/>
      </c>
    </row>
    <row r="63" spans="1:48" x14ac:dyDescent="0.3">
      <c r="A63" s="9" t="s">
        <v>770</v>
      </c>
      <c r="B63" s="10" t="s">
        <v>1381</v>
      </c>
      <c r="C63" s="88">
        <v>466</v>
      </c>
      <c r="D63" s="86">
        <v>126.4</v>
      </c>
      <c r="E63" s="87">
        <v>38</v>
      </c>
      <c r="F63" s="86">
        <v>84.7</v>
      </c>
      <c r="G63" s="17">
        <v>26</v>
      </c>
      <c r="H63" s="88">
        <v>94</v>
      </c>
      <c r="I63" s="89"/>
      <c r="J63" s="89"/>
      <c r="K63" s="89"/>
      <c r="L63" s="89"/>
      <c r="M63" s="90">
        <f t="shared" si="74"/>
        <v>0</v>
      </c>
      <c r="N63" s="4" t="str">
        <f t="shared" si="75"/>
        <v/>
      </c>
      <c r="O63" s="91">
        <f t="shared" si="76"/>
        <v>0</v>
      </c>
      <c r="P63" s="91">
        <f t="shared" si="77"/>
        <v>0</v>
      </c>
      <c r="Q63" s="79">
        <v>3</v>
      </c>
      <c r="R63" s="79">
        <v>2</v>
      </c>
      <c r="S63" s="79" t="s">
        <v>62</v>
      </c>
      <c r="T63" s="5" t="s">
        <v>144</v>
      </c>
      <c r="U63" s="9"/>
      <c r="W63" s="86">
        <f t="shared" si="78"/>
        <v>126.4</v>
      </c>
      <c r="X63" s="87">
        <f t="shared" si="78"/>
        <v>38</v>
      </c>
      <c r="Y63" s="92">
        <f t="shared" si="79"/>
        <v>94</v>
      </c>
      <c r="Z63" s="90">
        <f t="shared" si="79"/>
        <v>0</v>
      </c>
      <c r="AA63" s="90">
        <f t="shared" si="80"/>
        <v>0</v>
      </c>
      <c r="AB63" s="90">
        <f t="shared" si="81"/>
        <v>0</v>
      </c>
      <c r="AC63" s="4" t="str">
        <f t="shared" si="81"/>
        <v/>
      </c>
      <c r="AD63" s="91">
        <f t="shared" si="81"/>
        <v>0</v>
      </c>
      <c r="AE63" s="79" t="str">
        <f t="shared" si="82"/>
        <v>계</v>
      </c>
      <c r="AF63" s="79" t="str">
        <f t="shared" si="83"/>
        <v>3/2</v>
      </c>
      <c r="AH63" s="20" t="str">
        <f t="shared" si="50"/>
        <v>청주지웰시티푸르지오</v>
      </c>
      <c r="AI63" s="87">
        <f t="shared" si="49"/>
        <v>38</v>
      </c>
      <c r="AJ63" s="79" t="str">
        <f t="shared" si="84"/>
        <v>A-</v>
      </c>
      <c r="AK63" s="79" t="s">
        <v>13</v>
      </c>
      <c r="AL63" s="79" t="s">
        <v>60</v>
      </c>
      <c r="AM63" s="79" t="s">
        <v>61</v>
      </c>
      <c r="AN63" s="79" t="str">
        <f t="shared" si="85"/>
        <v>C</v>
      </c>
      <c r="AO63" s="79" t="str">
        <f t="shared" si="86"/>
        <v/>
      </c>
      <c r="AP63" s="79" t="str">
        <f t="shared" si="87"/>
        <v/>
      </c>
      <c r="AQ63" s="79" t="str">
        <f t="shared" si="88"/>
        <v>O</v>
      </c>
      <c r="AR63" s="79" t="str">
        <f t="shared" si="89"/>
        <v>O</v>
      </c>
      <c r="AS63" s="79" t="s">
        <v>2</v>
      </c>
      <c r="AT63" s="79" t="str">
        <f t="shared" si="90"/>
        <v>O</v>
      </c>
      <c r="AU63" s="79" t="str">
        <f t="shared" si="91"/>
        <v>O</v>
      </c>
      <c r="AV63" s="79" t="str">
        <f t="shared" si="92"/>
        <v/>
      </c>
    </row>
    <row r="64" spans="1:48" x14ac:dyDescent="0.3">
      <c r="A64" s="9" t="s">
        <v>770</v>
      </c>
      <c r="B64" s="10" t="s">
        <v>1381</v>
      </c>
      <c r="C64" s="88">
        <v>466</v>
      </c>
      <c r="D64" s="86">
        <v>126.4</v>
      </c>
      <c r="E64" s="87">
        <v>38</v>
      </c>
      <c r="F64" s="86">
        <v>84.7</v>
      </c>
      <c r="G64" s="17">
        <v>26</v>
      </c>
      <c r="H64" s="88">
        <v>92</v>
      </c>
      <c r="I64" s="89"/>
      <c r="J64" s="89"/>
      <c r="K64" s="89"/>
      <c r="L64" s="89"/>
      <c r="M64" s="90">
        <f t="shared" si="74"/>
        <v>0</v>
      </c>
      <c r="N64" s="4" t="str">
        <f t="shared" si="75"/>
        <v/>
      </c>
      <c r="O64" s="91">
        <f t="shared" si="76"/>
        <v>0</v>
      </c>
      <c r="P64" s="91">
        <f t="shared" si="77"/>
        <v>0</v>
      </c>
      <c r="Q64" s="79">
        <v>3</v>
      </c>
      <c r="R64" s="79">
        <v>2</v>
      </c>
      <c r="S64" s="79" t="s">
        <v>62</v>
      </c>
      <c r="T64" s="5" t="s">
        <v>145</v>
      </c>
      <c r="U64" s="9"/>
      <c r="W64" s="86">
        <f t="shared" si="78"/>
        <v>126.4</v>
      </c>
      <c r="X64" s="87">
        <f t="shared" si="78"/>
        <v>38</v>
      </c>
      <c r="Y64" s="92">
        <f t="shared" si="79"/>
        <v>92</v>
      </c>
      <c r="Z64" s="90">
        <f t="shared" si="79"/>
        <v>0</v>
      </c>
      <c r="AA64" s="90">
        <f t="shared" si="80"/>
        <v>0</v>
      </c>
      <c r="AB64" s="90">
        <f t="shared" si="81"/>
        <v>0</v>
      </c>
      <c r="AC64" s="4" t="str">
        <f t="shared" si="81"/>
        <v/>
      </c>
      <c r="AD64" s="91">
        <f t="shared" si="81"/>
        <v>0</v>
      </c>
      <c r="AE64" s="79" t="str">
        <f t="shared" si="82"/>
        <v>계</v>
      </c>
      <c r="AF64" s="79" t="str">
        <f t="shared" si="83"/>
        <v>3/2</v>
      </c>
      <c r="AH64" s="20" t="str">
        <f t="shared" si="50"/>
        <v>청주지웰시티푸르지오</v>
      </c>
      <c r="AI64" s="87">
        <f t="shared" si="49"/>
        <v>38</v>
      </c>
      <c r="AJ64" s="79" t="str">
        <f t="shared" si="84"/>
        <v>A-</v>
      </c>
      <c r="AK64" s="79" t="s">
        <v>13</v>
      </c>
      <c r="AL64" s="79" t="s">
        <v>60</v>
      </c>
      <c r="AM64" s="79" t="s">
        <v>61</v>
      </c>
      <c r="AN64" s="79" t="str">
        <f t="shared" si="85"/>
        <v>C</v>
      </c>
      <c r="AO64" s="79" t="str">
        <f t="shared" si="86"/>
        <v/>
      </c>
      <c r="AP64" s="79" t="str">
        <f t="shared" si="87"/>
        <v/>
      </c>
      <c r="AQ64" s="79" t="str">
        <f t="shared" si="88"/>
        <v>O</v>
      </c>
      <c r="AR64" s="79" t="str">
        <f t="shared" si="89"/>
        <v>O</v>
      </c>
      <c r="AS64" s="79" t="s">
        <v>2</v>
      </c>
      <c r="AT64" s="79" t="str">
        <f t="shared" si="90"/>
        <v>O</v>
      </c>
      <c r="AU64" s="79" t="str">
        <f t="shared" si="91"/>
        <v>O</v>
      </c>
      <c r="AV64" s="79" t="str">
        <f t="shared" si="92"/>
        <v/>
      </c>
    </row>
    <row r="65" spans="1:48" x14ac:dyDescent="0.3">
      <c r="A65" s="9" t="s">
        <v>770</v>
      </c>
      <c r="B65" s="10" t="s">
        <v>1381</v>
      </c>
      <c r="C65" s="88">
        <v>466</v>
      </c>
      <c r="D65" s="86">
        <v>126.1</v>
      </c>
      <c r="E65" s="87">
        <v>38</v>
      </c>
      <c r="F65" s="86">
        <v>84.7</v>
      </c>
      <c r="G65" s="17">
        <v>26</v>
      </c>
      <c r="H65" s="88">
        <v>92</v>
      </c>
      <c r="I65" s="89"/>
      <c r="J65" s="89"/>
      <c r="K65" s="89"/>
      <c r="L65" s="89"/>
      <c r="M65" s="90">
        <f t="shared" si="74"/>
        <v>0</v>
      </c>
      <c r="N65" s="4" t="str">
        <f t="shared" si="75"/>
        <v/>
      </c>
      <c r="O65" s="91">
        <f t="shared" si="76"/>
        <v>0</v>
      </c>
      <c r="P65" s="91">
        <f t="shared" si="77"/>
        <v>0</v>
      </c>
      <c r="Q65" s="79">
        <v>3</v>
      </c>
      <c r="R65" s="79">
        <v>2</v>
      </c>
      <c r="S65" s="79" t="s">
        <v>62</v>
      </c>
      <c r="T65" s="5" t="s">
        <v>146</v>
      </c>
      <c r="U65" s="9"/>
      <c r="W65" s="86">
        <f t="shared" si="78"/>
        <v>126.1</v>
      </c>
      <c r="X65" s="87">
        <f t="shared" si="78"/>
        <v>38</v>
      </c>
      <c r="Y65" s="92">
        <f t="shared" si="79"/>
        <v>92</v>
      </c>
      <c r="Z65" s="90">
        <f t="shared" si="79"/>
        <v>0</v>
      </c>
      <c r="AA65" s="90">
        <f t="shared" si="80"/>
        <v>0</v>
      </c>
      <c r="AB65" s="90">
        <f t="shared" si="81"/>
        <v>0</v>
      </c>
      <c r="AC65" s="4" t="str">
        <f t="shared" si="81"/>
        <v/>
      </c>
      <c r="AD65" s="91">
        <f t="shared" si="81"/>
        <v>0</v>
      </c>
      <c r="AE65" s="79" t="str">
        <f t="shared" si="82"/>
        <v>계</v>
      </c>
      <c r="AF65" s="79" t="str">
        <f t="shared" si="83"/>
        <v>3/2</v>
      </c>
      <c r="AH65" s="20" t="str">
        <f t="shared" si="50"/>
        <v>청주지웰시티푸르지오</v>
      </c>
      <c r="AI65" s="87">
        <f t="shared" si="49"/>
        <v>38</v>
      </c>
      <c r="AJ65" s="79" t="str">
        <f t="shared" si="84"/>
        <v>A-</v>
      </c>
      <c r="AK65" s="79" t="s">
        <v>13</v>
      </c>
      <c r="AL65" s="79" t="s">
        <v>60</v>
      </c>
      <c r="AM65" s="79" t="s">
        <v>61</v>
      </c>
      <c r="AN65" s="79" t="str">
        <f t="shared" si="85"/>
        <v>C</v>
      </c>
      <c r="AO65" s="79" t="str">
        <f t="shared" si="86"/>
        <v/>
      </c>
      <c r="AP65" s="79" t="str">
        <f t="shared" si="87"/>
        <v/>
      </c>
      <c r="AQ65" s="79" t="str">
        <f t="shared" si="88"/>
        <v>O</v>
      </c>
      <c r="AR65" s="79" t="str">
        <f t="shared" si="89"/>
        <v>O</v>
      </c>
      <c r="AS65" s="79" t="s">
        <v>2</v>
      </c>
      <c r="AT65" s="79" t="str">
        <f t="shared" si="90"/>
        <v>O</v>
      </c>
      <c r="AU65" s="79" t="str">
        <f t="shared" si="91"/>
        <v>O</v>
      </c>
      <c r="AV65" s="79" t="str">
        <f t="shared" si="92"/>
        <v/>
      </c>
    </row>
    <row r="66" spans="1:48" x14ac:dyDescent="0.3">
      <c r="A66" s="9" t="s">
        <v>770</v>
      </c>
      <c r="B66" s="10" t="s">
        <v>1381</v>
      </c>
      <c r="C66" s="88">
        <v>466</v>
      </c>
      <c r="D66" s="86">
        <v>126.1</v>
      </c>
      <c r="E66" s="87">
        <v>38</v>
      </c>
      <c r="F66" s="86">
        <v>84.7</v>
      </c>
      <c r="G66" s="17">
        <v>26</v>
      </c>
      <c r="H66" s="88">
        <v>47</v>
      </c>
      <c r="I66" s="89"/>
      <c r="J66" s="89"/>
      <c r="K66" s="89"/>
      <c r="L66" s="89"/>
      <c r="M66" s="90">
        <f t="shared" si="74"/>
        <v>0</v>
      </c>
      <c r="N66" s="4" t="str">
        <f t="shared" si="75"/>
        <v/>
      </c>
      <c r="O66" s="91">
        <f t="shared" si="76"/>
        <v>0</v>
      </c>
      <c r="P66" s="91">
        <f t="shared" si="77"/>
        <v>0</v>
      </c>
      <c r="Q66" s="79">
        <v>3</v>
      </c>
      <c r="R66" s="79">
        <v>2</v>
      </c>
      <c r="S66" s="79" t="s">
        <v>62</v>
      </c>
      <c r="T66" s="5" t="s">
        <v>147</v>
      </c>
      <c r="U66" s="9"/>
      <c r="W66" s="86">
        <f t="shared" si="78"/>
        <v>126.1</v>
      </c>
      <c r="X66" s="87">
        <f t="shared" si="78"/>
        <v>38</v>
      </c>
      <c r="Y66" s="92">
        <f t="shared" si="79"/>
        <v>47</v>
      </c>
      <c r="Z66" s="90">
        <f t="shared" si="79"/>
        <v>0</v>
      </c>
      <c r="AA66" s="90">
        <f t="shared" si="80"/>
        <v>0</v>
      </c>
      <c r="AB66" s="90">
        <f t="shared" si="81"/>
        <v>0</v>
      </c>
      <c r="AC66" s="4" t="str">
        <f t="shared" si="81"/>
        <v/>
      </c>
      <c r="AD66" s="91">
        <f t="shared" si="81"/>
        <v>0</v>
      </c>
      <c r="AE66" s="79" t="str">
        <f t="shared" si="82"/>
        <v>계</v>
      </c>
      <c r="AF66" s="79" t="str">
        <f t="shared" si="83"/>
        <v>3/2</v>
      </c>
      <c r="AH66" s="20" t="str">
        <f t="shared" si="50"/>
        <v>청주지웰시티푸르지오</v>
      </c>
      <c r="AI66" s="87">
        <f t="shared" si="49"/>
        <v>38</v>
      </c>
      <c r="AJ66" s="79" t="str">
        <f t="shared" si="84"/>
        <v>A-</v>
      </c>
      <c r="AK66" s="79" t="s">
        <v>13</v>
      </c>
      <c r="AL66" s="79" t="s">
        <v>60</v>
      </c>
      <c r="AM66" s="79" t="s">
        <v>61</v>
      </c>
      <c r="AN66" s="79" t="str">
        <f t="shared" si="85"/>
        <v>C</v>
      </c>
      <c r="AO66" s="79" t="str">
        <f t="shared" si="86"/>
        <v/>
      </c>
      <c r="AP66" s="79" t="str">
        <f t="shared" si="87"/>
        <v/>
      </c>
      <c r="AQ66" s="79" t="str">
        <f t="shared" si="88"/>
        <v>O</v>
      </c>
      <c r="AR66" s="79" t="str">
        <f t="shared" si="89"/>
        <v>O</v>
      </c>
      <c r="AS66" s="79" t="s">
        <v>2</v>
      </c>
      <c r="AT66" s="79" t="str">
        <f t="shared" si="90"/>
        <v>O</v>
      </c>
      <c r="AU66" s="79" t="str">
        <f t="shared" si="91"/>
        <v>O</v>
      </c>
      <c r="AV66" s="79" t="str">
        <f t="shared" si="92"/>
        <v/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복대동 형석(992)('90.01.,355^)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0"/>
        <v/>
      </c>
      <c r="AI67" s="111" t="str">
        <f t="shared" ref="AI67:AI98" si="93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775</v>
      </c>
      <c r="B68" s="10" t="s">
        <v>1382</v>
      </c>
      <c r="C68" s="88">
        <v>355</v>
      </c>
      <c r="D68" s="86">
        <v>35.4</v>
      </c>
      <c r="E68" s="87">
        <v>11</v>
      </c>
      <c r="F68" s="86">
        <v>22.7</v>
      </c>
      <c r="G68" s="17">
        <v>7</v>
      </c>
      <c r="H68" s="88">
        <v>95</v>
      </c>
      <c r="I68" s="89">
        <v>7000</v>
      </c>
      <c r="J68" s="89" t="s">
        <v>83</v>
      </c>
      <c r="K68" s="89"/>
      <c r="L68" s="89"/>
      <c r="M68" s="90">
        <f>I68-K68</f>
        <v>7000</v>
      </c>
      <c r="N68" s="4">
        <f>IF(ISERROR(K68/I68),"",K68/I68)</f>
        <v>0</v>
      </c>
      <c r="O68" s="91">
        <f>I68/E68</f>
        <v>636.36363636363637</v>
      </c>
      <c r="P68" s="91">
        <f>K68/E68</f>
        <v>0</v>
      </c>
      <c r="Q68" s="79">
        <v>1</v>
      </c>
      <c r="R68" s="79">
        <v>1</v>
      </c>
      <c r="S68" s="79" t="s">
        <v>62</v>
      </c>
      <c r="T68" s="5">
        <v>35</v>
      </c>
      <c r="U68" s="9"/>
      <c r="W68" s="86">
        <f t="shared" ref="W68:X71" si="94">D68</f>
        <v>35.4</v>
      </c>
      <c r="X68" s="87">
        <f t="shared" si="94"/>
        <v>11</v>
      </c>
      <c r="Y68" s="92">
        <f t="shared" ref="Y68:Z71" si="95">H68</f>
        <v>95</v>
      </c>
      <c r="Z68" s="90">
        <f t="shared" si="95"/>
        <v>7000</v>
      </c>
      <c r="AA68" s="90">
        <f>K68</f>
        <v>0</v>
      </c>
      <c r="AB68" s="90">
        <f t="shared" ref="AB68:AD71" si="96">M68</f>
        <v>7000</v>
      </c>
      <c r="AC68" s="4">
        <f t="shared" si="96"/>
        <v>0</v>
      </c>
      <c r="AD68" s="91">
        <f t="shared" si="96"/>
        <v>636.36363636363637</v>
      </c>
      <c r="AE68" s="79" t="str">
        <f>S68</f>
        <v>계</v>
      </c>
      <c r="AF68" s="79" t="str">
        <f>Q68&amp;"/"&amp;R68</f>
        <v>1/1</v>
      </c>
      <c r="AH68" s="20" t="str">
        <f t="shared" si="50"/>
        <v>형석(992)</v>
      </c>
      <c r="AI68" s="87">
        <f t="shared" si="93"/>
        <v>11</v>
      </c>
      <c r="AJ68" s="79" t="str">
        <f>IF(AI68="","",$AJ$2)</f>
        <v>A-</v>
      </c>
      <c r="AK68" s="79" t="s">
        <v>13</v>
      </c>
      <c r="AL68" s="79" t="s">
        <v>60</v>
      </c>
      <c r="AM68" s="79" t="s">
        <v>61</v>
      </c>
      <c r="AN68" s="79" t="str">
        <f>IF(AI68="","",$AN$2)</f>
        <v>C</v>
      </c>
      <c r="AO68" s="79" t="str">
        <f>IF(N68="","",IF(N68&gt;=$AO$1/100,"O","X"))</f>
        <v>X</v>
      </c>
      <c r="AP68" s="79" t="str">
        <f>IF(I68="","",IF(I68&lt;=$AP$1,"O","X"))</f>
        <v>O</v>
      </c>
      <c r="AQ68" s="79" t="str">
        <f>IF(O68="","",IF(O68&lt;=$AQ$1,"O","X"))</f>
        <v>O</v>
      </c>
      <c r="AR68" s="79" t="str">
        <f>IF(M68="","",IF(M68&lt;=$AR$1,"O","X"))</f>
        <v>X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O</v>
      </c>
      <c r="AV68" s="79" t="str">
        <f>IF(AO68="","",IF(AND(AO68="O",AP68="O",AR68="O",AT68="O",AU68="O"),"후보","X"))</f>
        <v>X</v>
      </c>
    </row>
    <row r="69" spans="1:48" x14ac:dyDescent="0.3">
      <c r="A69" s="9" t="s">
        <v>775</v>
      </c>
      <c r="B69" s="10" t="s">
        <v>1382</v>
      </c>
      <c r="C69" s="88">
        <v>355</v>
      </c>
      <c r="D69" s="86">
        <v>50.9</v>
      </c>
      <c r="E69" s="87">
        <v>15</v>
      </c>
      <c r="F69" s="86">
        <v>39.799999999999997</v>
      </c>
      <c r="G69" s="17">
        <v>12</v>
      </c>
      <c r="H69" s="88">
        <v>100</v>
      </c>
      <c r="I69" s="89">
        <v>12000</v>
      </c>
      <c r="J69" s="89" t="s">
        <v>83</v>
      </c>
      <c r="K69" s="89"/>
      <c r="L69" s="89"/>
      <c r="M69" s="90">
        <f>I69-K69</f>
        <v>12000</v>
      </c>
      <c r="N69" s="4">
        <f>IF(ISERROR(K69/I69),"",K69/I69)</f>
        <v>0</v>
      </c>
      <c r="O69" s="91">
        <f>I69/E69</f>
        <v>800</v>
      </c>
      <c r="P69" s="91">
        <f>K69/E69</f>
        <v>0</v>
      </c>
      <c r="Q69" s="79">
        <v>2</v>
      </c>
      <c r="R69" s="79">
        <v>1</v>
      </c>
      <c r="S69" s="79" t="s">
        <v>62</v>
      </c>
      <c r="T69" s="5">
        <v>50</v>
      </c>
      <c r="U69" s="9"/>
      <c r="W69" s="86">
        <f t="shared" si="94"/>
        <v>50.9</v>
      </c>
      <c r="X69" s="87">
        <f t="shared" si="94"/>
        <v>15</v>
      </c>
      <c r="Y69" s="92">
        <f t="shared" si="95"/>
        <v>100</v>
      </c>
      <c r="Z69" s="90">
        <f t="shared" si="95"/>
        <v>12000</v>
      </c>
      <c r="AA69" s="90">
        <f>K69</f>
        <v>0</v>
      </c>
      <c r="AB69" s="90">
        <f t="shared" si="96"/>
        <v>12000</v>
      </c>
      <c r="AC69" s="4">
        <f t="shared" si="96"/>
        <v>0</v>
      </c>
      <c r="AD69" s="91">
        <f t="shared" si="96"/>
        <v>800</v>
      </c>
      <c r="AE69" s="79" t="str">
        <f>S69</f>
        <v>계</v>
      </c>
      <c r="AF69" s="79" t="str">
        <f>Q69&amp;"/"&amp;R69</f>
        <v>2/1</v>
      </c>
      <c r="AH69" s="20" t="str">
        <f t="shared" ref="AH69:AH100" si="97">IF(A69="","",A69)</f>
        <v>형석(992)</v>
      </c>
      <c r="AI69" s="87">
        <f t="shared" si="93"/>
        <v>15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 t="s">
        <v>775</v>
      </c>
      <c r="B70" s="10" t="s">
        <v>1382</v>
      </c>
      <c r="C70" s="88">
        <v>355</v>
      </c>
      <c r="D70" s="86">
        <v>73.099999999999994</v>
      </c>
      <c r="E70" s="87">
        <v>22</v>
      </c>
      <c r="F70" s="86">
        <v>59.9</v>
      </c>
      <c r="G70" s="17">
        <v>18</v>
      </c>
      <c r="H70" s="88">
        <v>80</v>
      </c>
      <c r="I70" s="89">
        <v>13500</v>
      </c>
      <c r="J70" s="89" t="s">
        <v>83</v>
      </c>
      <c r="K70" s="89"/>
      <c r="L70" s="89"/>
      <c r="M70" s="90">
        <f>I70-K70</f>
        <v>13500</v>
      </c>
      <c r="N70" s="4">
        <f>IF(ISERROR(K70/I70),"",K70/I70)</f>
        <v>0</v>
      </c>
      <c r="O70" s="91">
        <f>I70/E70</f>
        <v>613.63636363636363</v>
      </c>
      <c r="P70" s="91">
        <f>K70/E70</f>
        <v>0</v>
      </c>
      <c r="Q70" s="79">
        <v>3</v>
      </c>
      <c r="R70" s="79">
        <v>1</v>
      </c>
      <c r="S70" s="79" t="s">
        <v>62</v>
      </c>
      <c r="T70" s="5">
        <v>73</v>
      </c>
      <c r="U70" s="9"/>
      <c r="W70" s="86">
        <f t="shared" si="94"/>
        <v>73.099999999999994</v>
      </c>
      <c r="X70" s="87">
        <f t="shared" si="94"/>
        <v>22</v>
      </c>
      <c r="Y70" s="92">
        <f t="shared" si="95"/>
        <v>80</v>
      </c>
      <c r="Z70" s="90">
        <f t="shared" si="95"/>
        <v>13500</v>
      </c>
      <c r="AA70" s="90">
        <f>K70</f>
        <v>0</v>
      </c>
      <c r="AB70" s="90">
        <f t="shared" si="96"/>
        <v>13500</v>
      </c>
      <c r="AC70" s="4">
        <f t="shared" si="96"/>
        <v>0</v>
      </c>
      <c r="AD70" s="91">
        <f t="shared" si="96"/>
        <v>613.63636363636363</v>
      </c>
      <c r="AE70" s="79" t="str">
        <f>S70</f>
        <v>계</v>
      </c>
      <c r="AF70" s="79" t="str">
        <f>Q70&amp;"/"&amp;R70</f>
        <v>3/1</v>
      </c>
      <c r="AH70" s="20" t="str">
        <f t="shared" si="97"/>
        <v>형석(992)</v>
      </c>
      <c r="AI70" s="87">
        <f t="shared" si="93"/>
        <v>22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>X</v>
      </c>
      <c r="AP70" s="79" t="str">
        <f>IF(I70="","",IF(I70&lt;=$AP$1,"O","X"))</f>
        <v>O</v>
      </c>
      <c r="AQ70" s="79" t="str">
        <f>IF(O70="","",IF(O70&lt;=$AQ$1,"O","X"))</f>
        <v>O</v>
      </c>
      <c r="AR70" s="79" t="str">
        <f>IF(M70="","",IF(M70&lt;=$AR$1,"O","X"))</f>
        <v>X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X</v>
      </c>
    </row>
    <row r="71" spans="1:48" x14ac:dyDescent="0.3">
      <c r="A71" s="9" t="s">
        <v>775</v>
      </c>
      <c r="B71" s="10" t="s">
        <v>1382</v>
      </c>
      <c r="C71" s="88">
        <v>355</v>
      </c>
      <c r="D71" s="86">
        <v>99.4</v>
      </c>
      <c r="E71" s="87">
        <v>30</v>
      </c>
      <c r="F71" s="86">
        <v>84.9</v>
      </c>
      <c r="G71" s="17">
        <v>26</v>
      </c>
      <c r="H71" s="88">
        <v>80</v>
      </c>
      <c r="I71" s="89">
        <v>17500</v>
      </c>
      <c r="J71" s="89" t="s">
        <v>89</v>
      </c>
      <c r="K71" s="89"/>
      <c r="L71" s="89"/>
      <c r="M71" s="90">
        <f>I71-K71</f>
        <v>17500</v>
      </c>
      <c r="N71" s="4">
        <f>IF(ISERROR(K71/I71),"",K71/I71)</f>
        <v>0</v>
      </c>
      <c r="O71" s="91">
        <f>I71/E71</f>
        <v>583.33333333333337</v>
      </c>
      <c r="P71" s="91">
        <f>K71/E71</f>
        <v>0</v>
      </c>
      <c r="Q71" s="79">
        <v>3</v>
      </c>
      <c r="R71" s="79">
        <v>2</v>
      </c>
      <c r="S71" s="79" t="s">
        <v>62</v>
      </c>
      <c r="T71" s="5">
        <v>99</v>
      </c>
      <c r="U71" s="9"/>
      <c r="W71" s="86">
        <f t="shared" si="94"/>
        <v>99.4</v>
      </c>
      <c r="X71" s="87">
        <f t="shared" si="94"/>
        <v>30</v>
      </c>
      <c r="Y71" s="92">
        <f t="shared" si="95"/>
        <v>80</v>
      </c>
      <c r="Z71" s="90">
        <f t="shared" si="95"/>
        <v>17500</v>
      </c>
      <c r="AA71" s="90">
        <f>K71</f>
        <v>0</v>
      </c>
      <c r="AB71" s="90">
        <f t="shared" si="96"/>
        <v>17500</v>
      </c>
      <c r="AC71" s="4">
        <f t="shared" si="96"/>
        <v>0</v>
      </c>
      <c r="AD71" s="91">
        <f t="shared" si="96"/>
        <v>583.33333333333337</v>
      </c>
      <c r="AE71" s="79" t="str">
        <f>S71</f>
        <v>계</v>
      </c>
      <c r="AF71" s="79" t="str">
        <f>Q71&amp;"/"&amp;R71</f>
        <v>3/2</v>
      </c>
      <c r="AH71" s="20" t="str">
        <f t="shared" si="97"/>
        <v>형석(992)</v>
      </c>
      <c r="AI71" s="87">
        <f t="shared" si="93"/>
        <v>30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복대동 벽산('99.06.,274^)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97"/>
        <v/>
      </c>
      <c r="AI72" s="111" t="str">
        <f t="shared" si="93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343</v>
      </c>
      <c r="B73" s="10" t="s">
        <v>1383</v>
      </c>
      <c r="C73" s="88">
        <v>274</v>
      </c>
      <c r="D73" s="86">
        <v>124.5</v>
      </c>
      <c r="E73" s="87">
        <v>38</v>
      </c>
      <c r="F73" s="86">
        <v>99.7</v>
      </c>
      <c r="G73" s="17">
        <v>30</v>
      </c>
      <c r="H73" s="88">
        <v>26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9">
        <v>3</v>
      </c>
      <c r="R73" s="79">
        <v>2</v>
      </c>
      <c r="S73" s="79" t="s">
        <v>62</v>
      </c>
      <c r="T73" s="5">
        <v>124</v>
      </c>
      <c r="U73" s="9"/>
      <c r="W73" s="86">
        <f t="shared" ref="W73:X76" si="98">D73</f>
        <v>124.5</v>
      </c>
      <c r="X73" s="87">
        <f t="shared" si="98"/>
        <v>38</v>
      </c>
      <c r="Y73" s="92">
        <f t="shared" ref="Y73:Z76" si="99">H73</f>
        <v>26</v>
      </c>
      <c r="Z73" s="90">
        <f t="shared" si="99"/>
        <v>0</v>
      </c>
      <c r="AA73" s="90">
        <f>K73</f>
        <v>0</v>
      </c>
      <c r="AB73" s="90">
        <f t="shared" ref="AB73:AD76" si="100">M73</f>
        <v>0</v>
      </c>
      <c r="AC73" s="4" t="str">
        <f t="shared" si="100"/>
        <v/>
      </c>
      <c r="AD73" s="91">
        <f t="shared" si="100"/>
        <v>0</v>
      </c>
      <c r="AE73" s="79" t="str">
        <f>S73</f>
        <v>계</v>
      </c>
      <c r="AF73" s="79" t="str">
        <f>Q73&amp;"/"&amp;R73</f>
        <v>3/2</v>
      </c>
      <c r="AH73" s="20" t="str">
        <f t="shared" si="97"/>
        <v>벽산</v>
      </c>
      <c r="AI73" s="87">
        <f t="shared" si="93"/>
        <v>38</v>
      </c>
      <c r="AJ73" s="79" t="str">
        <f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>IF(AI73="","",$AN$2)</f>
        <v>C</v>
      </c>
      <c r="AO73" s="79" t="str">
        <f>IF(N73="","",IF(N73&gt;=$AO$1/100,"O","X"))</f>
        <v/>
      </c>
      <c r="AP73" s="79" t="str">
        <f>IF(I73="","",IF(I73&lt;=$AP$1,"O","X"))</f>
        <v/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X</v>
      </c>
      <c r="AU73" s="79" t="str">
        <f>IF(C73="","",IF(C73&gt;=$AU$1,"O","X"))</f>
        <v>X</v>
      </c>
      <c r="AV73" s="79" t="str">
        <f>IF(AO73="","",IF(AND(AO73="O",AP73="O",AR73="O",AT73="O",AU73="O"),"후보","X"))</f>
        <v/>
      </c>
    </row>
    <row r="74" spans="1:48" x14ac:dyDescent="0.3">
      <c r="A74" s="9" t="s">
        <v>343</v>
      </c>
      <c r="B74" s="10" t="s">
        <v>1383</v>
      </c>
      <c r="C74" s="88">
        <v>274</v>
      </c>
      <c r="D74" s="86">
        <v>126.3</v>
      </c>
      <c r="E74" s="87">
        <v>38</v>
      </c>
      <c r="F74" s="86">
        <v>100.9</v>
      </c>
      <c r="G74" s="17">
        <v>31</v>
      </c>
      <c r="H74" s="88">
        <v>102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>
        <v>126</v>
      </c>
      <c r="U74" s="9"/>
      <c r="W74" s="86">
        <f t="shared" si="98"/>
        <v>126.3</v>
      </c>
      <c r="X74" s="87">
        <f t="shared" si="98"/>
        <v>38</v>
      </c>
      <c r="Y74" s="92">
        <f t="shared" si="99"/>
        <v>102</v>
      </c>
      <c r="Z74" s="90">
        <f t="shared" si="99"/>
        <v>0</v>
      </c>
      <c r="AA74" s="90">
        <f>K74</f>
        <v>0</v>
      </c>
      <c r="AB74" s="90">
        <f t="shared" si="100"/>
        <v>0</v>
      </c>
      <c r="AC74" s="4" t="str">
        <f t="shared" si="100"/>
        <v/>
      </c>
      <c r="AD74" s="91">
        <f t="shared" si="100"/>
        <v>0</v>
      </c>
      <c r="AE74" s="79" t="str">
        <f>S74</f>
        <v>계</v>
      </c>
      <c r="AF74" s="79" t="str">
        <f>Q74&amp;"/"&amp;R74</f>
        <v>3/2</v>
      </c>
      <c r="AH74" s="20" t="str">
        <f t="shared" si="97"/>
        <v>벽산</v>
      </c>
      <c r="AI74" s="87">
        <f t="shared" si="93"/>
        <v>38</v>
      </c>
      <c r="AJ74" s="79" t="str">
        <f>IF(AI74="","",$AJ$2)</f>
        <v>A-</v>
      </c>
      <c r="AK74" s="79" t="s">
        <v>13</v>
      </c>
      <c r="AL74" s="79" t="s">
        <v>60</v>
      </c>
      <c r="AM74" s="79" t="s">
        <v>61</v>
      </c>
      <c r="AN74" s="79" t="str">
        <f>IF(AI74="","",$AN$2)</f>
        <v>C</v>
      </c>
      <c r="AO74" s="79" t="str">
        <f>IF(N74="","",IF(N74&gt;=$AO$1/100,"O","X"))</f>
        <v/>
      </c>
      <c r="AP74" s="79" t="str">
        <f>IF(I74="","",IF(I74&lt;=$AP$1,"O","X"))</f>
        <v/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X</v>
      </c>
      <c r="AU74" s="79" t="str">
        <f>IF(C74="","",IF(C74&gt;=$AU$1,"O","X"))</f>
        <v>X</v>
      </c>
      <c r="AV74" s="79" t="str">
        <f>IF(AO74="","",IF(AND(AO74="O",AP74="O",AR74="O",AT74="O",AU74="O"),"후보","X"))</f>
        <v/>
      </c>
    </row>
    <row r="75" spans="1:48" x14ac:dyDescent="0.3">
      <c r="A75" s="9" t="s">
        <v>343</v>
      </c>
      <c r="B75" s="10" t="s">
        <v>1383</v>
      </c>
      <c r="C75" s="88">
        <v>274</v>
      </c>
      <c r="D75" s="86">
        <v>159.1</v>
      </c>
      <c r="E75" s="87">
        <v>48</v>
      </c>
      <c r="F75" s="86">
        <v>134.19999999999999</v>
      </c>
      <c r="G75" s="17">
        <v>41</v>
      </c>
      <c r="H75" s="88">
        <v>116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9">
        <v>4</v>
      </c>
      <c r="R75" s="79">
        <v>2</v>
      </c>
      <c r="S75" s="79" t="s">
        <v>62</v>
      </c>
      <c r="T75" s="5">
        <v>159</v>
      </c>
      <c r="U75" s="9"/>
      <c r="W75" s="86">
        <f t="shared" si="98"/>
        <v>159.1</v>
      </c>
      <c r="X75" s="87">
        <f t="shared" si="98"/>
        <v>48</v>
      </c>
      <c r="Y75" s="92">
        <f t="shared" si="99"/>
        <v>116</v>
      </c>
      <c r="Z75" s="90">
        <f t="shared" si="99"/>
        <v>0</v>
      </c>
      <c r="AA75" s="90">
        <f>K75</f>
        <v>0</v>
      </c>
      <c r="AB75" s="90">
        <f t="shared" si="100"/>
        <v>0</v>
      </c>
      <c r="AC75" s="4" t="str">
        <f t="shared" si="100"/>
        <v/>
      </c>
      <c r="AD75" s="91">
        <f t="shared" si="100"/>
        <v>0</v>
      </c>
      <c r="AE75" s="79" t="str">
        <f>S75</f>
        <v>계</v>
      </c>
      <c r="AF75" s="79" t="str">
        <f>Q75&amp;"/"&amp;R75</f>
        <v>4/2</v>
      </c>
      <c r="AH75" s="20" t="str">
        <f t="shared" si="97"/>
        <v>벽산</v>
      </c>
      <c r="AI75" s="87">
        <f t="shared" si="93"/>
        <v>48</v>
      </c>
      <c r="AJ75" s="79" t="str">
        <f>IF(AI75="","",$AJ$2)</f>
        <v>A-</v>
      </c>
      <c r="AK75" s="79" t="s">
        <v>13</v>
      </c>
      <c r="AL75" s="79" t="s">
        <v>60</v>
      </c>
      <c r="AM75" s="79" t="s">
        <v>61</v>
      </c>
      <c r="AN75" s="79" t="str">
        <f>IF(AI75="","",$AN$2)</f>
        <v>C</v>
      </c>
      <c r="AO75" s="79" t="str">
        <f>IF(N75="","",IF(N75&gt;=$AO$1/100,"O","X"))</f>
        <v/>
      </c>
      <c r="AP75" s="79" t="str">
        <f>IF(I75="","",IF(I75&lt;=$AP$1,"O","X"))</f>
        <v/>
      </c>
      <c r="AQ75" s="79" t="str">
        <f>IF(O75="","",IF(O75&lt;=$AQ$1,"O","X"))</f>
        <v>O</v>
      </c>
      <c r="AR75" s="79" t="str">
        <f>IF(M75="","",IF(M75&lt;=$AR$1,"O","X"))</f>
        <v>O</v>
      </c>
      <c r="AS75" s="79" t="s">
        <v>2</v>
      </c>
      <c r="AT75" s="79" t="str">
        <f>IF(OR(F75="",AI75=""),"",IF(AND((F75&lt;=85),(AI75&gt;=15)),"O","X"))</f>
        <v>X</v>
      </c>
      <c r="AU75" s="79" t="str">
        <f>IF(C75="","",IF(C75&gt;=$AU$1,"O","X"))</f>
        <v>X</v>
      </c>
      <c r="AV75" s="79" t="str">
        <f>IF(AO75="","",IF(AND(AO75="O",AP75="O",AR75="O",AT75="O",AU75="O"),"후보","X"))</f>
        <v/>
      </c>
    </row>
    <row r="76" spans="1:48" x14ac:dyDescent="0.3">
      <c r="A76" s="9" t="s">
        <v>343</v>
      </c>
      <c r="B76" s="10" t="s">
        <v>1383</v>
      </c>
      <c r="C76" s="88">
        <v>274</v>
      </c>
      <c r="D76" s="86">
        <v>206.8</v>
      </c>
      <c r="E76" s="87">
        <v>63</v>
      </c>
      <c r="F76" s="86">
        <v>175.8</v>
      </c>
      <c r="G76" s="17">
        <v>53</v>
      </c>
      <c r="H76" s="88">
        <v>30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5</v>
      </c>
      <c r="R76" s="79">
        <v>2</v>
      </c>
      <c r="S76" s="79" t="s">
        <v>62</v>
      </c>
      <c r="T76" s="5">
        <v>206</v>
      </c>
      <c r="U76" s="9"/>
      <c r="W76" s="86">
        <f t="shared" si="98"/>
        <v>206.8</v>
      </c>
      <c r="X76" s="87">
        <f t="shared" si="98"/>
        <v>63</v>
      </c>
      <c r="Y76" s="92">
        <f t="shared" si="99"/>
        <v>30</v>
      </c>
      <c r="Z76" s="90">
        <f t="shared" si="99"/>
        <v>0</v>
      </c>
      <c r="AA76" s="90">
        <f>K76</f>
        <v>0</v>
      </c>
      <c r="AB76" s="90">
        <f t="shared" si="100"/>
        <v>0</v>
      </c>
      <c r="AC76" s="4" t="str">
        <f t="shared" si="100"/>
        <v/>
      </c>
      <c r="AD76" s="91">
        <f t="shared" si="100"/>
        <v>0</v>
      </c>
      <c r="AE76" s="79" t="str">
        <f>S76</f>
        <v>계</v>
      </c>
      <c r="AF76" s="79" t="str">
        <f>Q76&amp;"/"&amp;R76</f>
        <v>5/2</v>
      </c>
      <c r="AH76" s="20" t="str">
        <f t="shared" si="97"/>
        <v>벽산</v>
      </c>
      <c r="AI76" s="87">
        <f t="shared" si="93"/>
        <v>63</v>
      </c>
      <c r="AJ76" s="79" t="str">
        <f>IF(AI76="","",$AJ$2)</f>
        <v>A-</v>
      </c>
      <c r="AK76" s="79" t="s">
        <v>13</v>
      </c>
      <c r="AL76" s="79" t="s">
        <v>60</v>
      </c>
      <c r="AM76" s="79" t="s">
        <v>61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X</v>
      </c>
      <c r="AV76" s="79" t="str">
        <f>IF(AO76="","",IF(AND(AO76="O",AP76="O",AR76="O",AT76="O",AU76="O"),"후보","X"))</f>
        <v/>
      </c>
    </row>
    <row r="77" spans="1:48" x14ac:dyDescent="0.3">
      <c r="A77" s="9"/>
      <c r="B77" s="79"/>
      <c r="C77" s="6"/>
      <c r="D77" s="9"/>
      <c r="E77" s="14"/>
      <c r="F77" s="86"/>
      <c r="G77" s="9"/>
      <c r="H77" s="9"/>
      <c r="I77" s="9"/>
      <c r="J77" s="9"/>
      <c r="K77" s="9"/>
      <c r="L77" s="9"/>
      <c r="M77" s="9"/>
      <c r="N77" s="9"/>
      <c r="O77" s="91"/>
      <c r="P77" s="91"/>
      <c r="Q77" s="87"/>
      <c r="R77" s="87"/>
      <c r="S77" s="9"/>
      <c r="T77" s="47"/>
      <c r="U77" s="9"/>
      <c r="W77" s="67" t="str">
        <f>$A$4&amp;" "&amp;A78&amp;"("&amp;B78&amp;","&amp;C78&amp;"^)"</f>
        <v>복대동 복대대원('99.10.,812^)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7"/>
        <v/>
      </c>
      <c r="AI77" s="111" t="str">
        <f t="shared" si="93"/>
        <v/>
      </c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</row>
    <row r="78" spans="1:48" x14ac:dyDescent="0.3">
      <c r="A78" s="9" t="s">
        <v>799</v>
      </c>
      <c r="B78" s="10" t="s">
        <v>1384</v>
      </c>
      <c r="C78" s="88">
        <v>812</v>
      </c>
      <c r="D78" s="86">
        <v>76.2</v>
      </c>
      <c r="E78" s="87">
        <v>23</v>
      </c>
      <c r="F78" s="86">
        <v>59.9</v>
      </c>
      <c r="G78" s="17">
        <v>18</v>
      </c>
      <c r="H78" s="88">
        <v>169</v>
      </c>
      <c r="I78" s="89">
        <v>18000</v>
      </c>
      <c r="J78" s="89" t="s">
        <v>63</v>
      </c>
      <c r="K78" s="89"/>
      <c r="L78" s="89"/>
      <c r="M78" s="90">
        <f>I78-K78</f>
        <v>18000</v>
      </c>
      <c r="N78" s="4">
        <f>IF(ISERROR(K78/I78),"",K78/I78)</f>
        <v>0</v>
      </c>
      <c r="O78" s="91">
        <f>I78/E78</f>
        <v>782.60869565217388</v>
      </c>
      <c r="P78" s="91">
        <f>K78/E78</f>
        <v>0</v>
      </c>
      <c r="Q78" s="79">
        <v>3</v>
      </c>
      <c r="R78" s="79">
        <v>2</v>
      </c>
      <c r="S78" s="79" t="s">
        <v>62</v>
      </c>
      <c r="T78" s="5" t="s">
        <v>111</v>
      </c>
      <c r="U78" s="9"/>
      <c r="W78" s="86">
        <f t="shared" ref="W78:X82" si="101">D78</f>
        <v>76.2</v>
      </c>
      <c r="X78" s="87">
        <f t="shared" si="101"/>
        <v>23</v>
      </c>
      <c r="Y78" s="92">
        <f t="shared" ref="Y78:Z82" si="102">H78</f>
        <v>169</v>
      </c>
      <c r="Z78" s="90">
        <f t="shared" si="102"/>
        <v>18000</v>
      </c>
      <c r="AA78" s="90">
        <f>K78</f>
        <v>0</v>
      </c>
      <c r="AB78" s="90">
        <f t="shared" ref="AB78:AD82" si="103">M78</f>
        <v>18000</v>
      </c>
      <c r="AC78" s="4">
        <f t="shared" si="103"/>
        <v>0</v>
      </c>
      <c r="AD78" s="91">
        <f t="shared" si="103"/>
        <v>782.60869565217388</v>
      </c>
      <c r="AE78" s="79" t="str">
        <f>S78</f>
        <v>계</v>
      </c>
      <c r="AF78" s="79" t="str">
        <f>Q78&amp;"/"&amp;R78</f>
        <v>3/2</v>
      </c>
      <c r="AH78" s="20" t="str">
        <f t="shared" si="97"/>
        <v>복대대원</v>
      </c>
      <c r="AI78" s="87">
        <f t="shared" si="93"/>
        <v>23</v>
      </c>
      <c r="AJ78" s="79" t="str">
        <f>IF(AI78="","",$AJ$2)</f>
        <v>A-</v>
      </c>
      <c r="AK78" s="79" t="s">
        <v>13</v>
      </c>
      <c r="AL78" s="79" t="s">
        <v>60</v>
      </c>
      <c r="AM78" s="79" t="s">
        <v>61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799</v>
      </c>
      <c r="B79" s="10" t="s">
        <v>1384</v>
      </c>
      <c r="C79" s="88">
        <v>812</v>
      </c>
      <c r="D79" s="86">
        <v>76.8</v>
      </c>
      <c r="E79" s="87">
        <v>23</v>
      </c>
      <c r="F79" s="86">
        <v>60</v>
      </c>
      <c r="G79" s="17">
        <v>18</v>
      </c>
      <c r="H79" s="88">
        <v>69</v>
      </c>
      <c r="I79" s="89">
        <v>19200</v>
      </c>
      <c r="J79" s="89" t="s">
        <v>102</v>
      </c>
      <c r="K79" s="89">
        <v>18000</v>
      </c>
      <c r="L79" s="89" t="s">
        <v>102</v>
      </c>
      <c r="M79" s="90">
        <f>I79-K79</f>
        <v>1200</v>
      </c>
      <c r="N79" s="4">
        <f>IF(ISERROR(K79/I79),"",K79/I79)</f>
        <v>0.9375</v>
      </c>
      <c r="O79" s="91">
        <f>I79/E79</f>
        <v>834.78260869565213</v>
      </c>
      <c r="P79" s="91">
        <f>K79/E79</f>
        <v>782.60869565217388</v>
      </c>
      <c r="Q79" s="79">
        <v>2</v>
      </c>
      <c r="R79" s="79">
        <v>1</v>
      </c>
      <c r="S79" s="79" t="s">
        <v>62</v>
      </c>
      <c r="T79" s="5" t="s">
        <v>110</v>
      </c>
      <c r="U79" s="9"/>
      <c r="W79" s="86">
        <f t="shared" si="101"/>
        <v>76.8</v>
      </c>
      <c r="X79" s="87">
        <f t="shared" si="101"/>
        <v>23</v>
      </c>
      <c r="Y79" s="92">
        <f t="shared" si="102"/>
        <v>69</v>
      </c>
      <c r="Z79" s="90">
        <f t="shared" si="102"/>
        <v>19200</v>
      </c>
      <c r="AA79" s="90">
        <f>K79</f>
        <v>18000</v>
      </c>
      <c r="AB79" s="90">
        <f t="shared" si="103"/>
        <v>1200</v>
      </c>
      <c r="AC79" s="4">
        <f t="shared" si="103"/>
        <v>0.9375</v>
      </c>
      <c r="AD79" s="91">
        <f t="shared" si="103"/>
        <v>834.78260869565213</v>
      </c>
      <c r="AE79" s="79" t="str">
        <f>S79</f>
        <v>계</v>
      </c>
      <c r="AF79" s="79" t="str">
        <f>Q79&amp;"/"&amp;R79</f>
        <v>2/1</v>
      </c>
      <c r="AH79" s="20" t="str">
        <f t="shared" si="97"/>
        <v>복대대원</v>
      </c>
      <c r="AI79" s="87">
        <f t="shared" si="93"/>
        <v>23</v>
      </c>
      <c r="AJ79" s="79" t="str">
        <f>IF(AI79="","",$AJ$2)</f>
        <v>A-</v>
      </c>
      <c r="AK79" s="79" t="s">
        <v>13</v>
      </c>
      <c r="AL79" s="79" t="s">
        <v>60</v>
      </c>
      <c r="AM79" s="79" t="s">
        <v>61</v>
      </c>
      <c r="AN79" s="79" t="str">
        <f>IF(AI79="","",$AN$2)</f>
        <v>C</v>
      </c>
      <c r="AO79" s="79" t="str">
        <f>IF(N79="","",IF(N79&gt;=$AO$1/100,"O","X"))</f>
        <v>O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O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후보</v>
      </c>
    </row>
    <row r="80" spans="1:48" x14ac:dyDescent="0.3">
      <c r="A80" s="9" t="s">
        <v>799</v>
      </c>
      <c r="B80" s="10" t="s">
        <v>1384</v>
      </c>
      <c r="C80" s="88">
        <v>812</v>
      </c>
      <c r="D80" s="86">
        <v>83.1</v>
      </c>
      <c r="E80" s="87">
        <v>25</v>
      </c>
      <c r="F80" s="86">
        <v>69.900000000000006</v>
      </c>
      <c r="G80" s="17">
        <v>21</v>
      </c>
      <c r="H80" s="88">
        <v>12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9">
        <v>3</v>
      </c>
      <c r="R80" s="79">
        <v>2</v>
      </c>
      <c r="S80" s="79" t="s">
        <v>62</v>
      </c>
      <c r="T80" s="5">
        <v>83</v>
      </c>
      <c r="U80" s="9"/>
      <c r="W80" s="86">
        <f t="shared" si="101"/>
        <v>83.1</v>
      </c>
      <c r="X80" s="87">
        <f t="shared" si="101"/>
        <v>25</v>
      </c>
      <c r="Y80" s="92">
        <f t="shared" si="102"/>
        <v>12</v>
      </c>
      <c r="Z80" s="90">
        <f t="shared" si="102"/>
        <v>0</v>
      </c>
      <c r="AA80" s="90">
        <f>K80</f>
        <v>0</v>
      </c>
      <c r="AB80" s="90">
        <f t="shared" si="103"/>
        <v>0</v>
      </c>
      <c r="AC80" s="4" t="str">
        <f t="shared" si="103"/>
        <v/>
      </c>
      <c r="AD80" s="91">
        <f t="shared" si="103"/>
        <v>0</v>
      </c>
      <c r="AE80" s="79" t="str">
        <f>S80</f>
        <v>계</v>
      </c>
      <c r="AF80" s="79" t="str">
        <f>Q80&amp;"/"&amp;R80</f>
        <v>3/2</v>
      </c>
      <c r="AH80" s="20" t="str">
        <f t="shared" si="97"/>
        <v>복대대원</v>
      </c>
      <c r="AI80" s="87">
        <f t="shared" si="93"/>
        <v>25</v>
      </c>
      <c r="AJ80" s="79" t="str">
        <f>IF(AI80="","",$AJ$2)</f>
        <v>A-</v>
      </c>
      <c r="AK80" s="79" t="s">
        <v>13</v>
      </c>
      <c r="AL80" s="79" t="s">
        <v>60</v>
      </c>
      <c r="AM80" s="79" t="s">
        <v>61</v>
      </c>
      <c r="AN80" s="79" t="str">
        <f>IF(AI80="","",$AN$2)</f>
        <v>C</v>
      </c>
      <c r="AO80" s="79" t="str">
        <f>IF(N80="","",IF(N80&gt;=$AO$1/100,"O","X"))</f>
        <v/>
      </c>
      <c r="AP80" s="79" t="str">
        <f>IF(I80="","",IF(I80&lt;=$AP$1,"O","X"))</f>
        <v/>
      </c>
      <c r="AQ80" s="79" t="str">
        <f>IF(O80="","",IF(O80&lt;=$AQ$1,"O","X"))</f>
        <v>O</v>
      </c>
      <c r="AR80" s="79" t="str">
        <f>IF(M80="","",IF(M80&lt;=$AR$1,"O","X"))</f>
        <v>O</v>
      </c>
      <c r="AS80" s="79" t="s">
        <v>2</v>
      </c>
      <c r="AT80" s="79" t="str">
        <f>IF(OR(F80="",AI80=""),"",IF(AND((F80&lt;=85),(AI80&gt;=15)),"O","X"))</f>
        <v>O</v>
      </c>
      <c r="AU80" s="79" t="str">
        <f>IF(C80="","",IF(C80&gt;=$AU$1,"O","X"))</f>
        <v>O</v>
      </c>
      <c r="AV80" s="79" t="str">
        <f>IF(AO80="","",IF(AND(AO80="O",AP80="O",AR80="O",AT80="O",AU80="O"),"후보","X"))</f>
        <v/>
      </c>
    </row>
    <row r="81" spans="1:48" x14ac:dyDescent="0.3">
      <c r="A81" s="9" t="s">
        <v>799</v>
      </c>
      <c r="B81" s="10" t="s">
        <v>1384</v>
      </c>
      <c r="C81" s="88">
        <v>812</v>
      </c>
      <c r="D81" s="86">
        <v>97.9</v>
      </c>
      <c r="E81" s="87">
        <v>30</v>
      </c>
      <c r="F81" s="86">
        <v>80.3</v>
      </c>
      <c r="G81" s="17">
        <v>24</v>
      </c>
      <c r="H81" s="88">
        <v>298</v>
      </c>
      <c r="I81" s="89">
        <v>21200</v>
      </c>
      <c r="J81" s="89" t="s">
        <v>88</v>
      </c>
      <c r="K81" s="89"/>
      <c r="L81" s="89"/>
      <c r="M81" s="90">
        <f>I81-K81</f>
        <v>21200</v>
      </c>
      <c r="N81" s="4">
        <f>IF(ISERROR(K81/I81),"",K81/I81)</f>
        <v>0</v>
      </c>
      <c r="O81" s="91">
        <f>I81/E81</f>
        <v>706.66666666666663</v>
      </c>
      <c r="P81" s="91">
        <f>K81/E81</f>
        <v>0</v>
      </c>
      <c r="Q81" s="79">
        <v>3</v>
      </c>
      <c r="R81" s="79">
        <v>2</v>
      </c>
      <c r="S81" s="79" t="s">
        <v>62</v>
      </c>
      <c r="T81" s="5">
        <v>97</v>
      </c>
      <c r="U81" s="9"/>
      <c r="W81" s="86">
        <f t="shared" si="101"/>
        <v>97.9</v>
      </c>
      <c r="X81" s="87">
        <f t="shared" si="101"/>
        <v>30</v>
      </c>
      <c r="Y81" s="92">
        <f t="shared" si="102"/>
        <v>298</v>
      </c>
      <c r="Z81" s="90">
        <f t="shared" si="102"/>
        <v>21200</v>
      </c>
      <c r="AA81" s="90">
        <f>K81</f>
        <v>0</v>
      </c>
      <c r="AB81" s="90">
        <f t="shared" si="103"/>
        <v>21200</v>
      </c>
      <c r="AC81" s="4">
        <f t="shared" si="103"/>
        <v>0</v>
      </c>
      <c r="AD81" s="91">
        <f t="shared" si="103"/>
        <v>706.66666666666663</v>
      </c>
      <c r="AE81" s="79" t="str">
        <f>S81</f>
        <v>계</v>
      </c>
      <c r="AF81" s="79" t="str">
        <f>Q81&amp;"/"&amp;R81</f>
        <v>3/2</v>
      </c>
      <c r="AH81" s="20" t="str">
        <f t="shared" si="97"/>
        <v>복대대원</v>
      </c>
      <c r="AI81" s="87">
        <f t="shared" si="93"/>
        <v>30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X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x14ac:dyDescent="0.3">
      <c r="A82" s="9" t="s">
        <v>799</v>
      </c>
      <c r="B82" s="10" t="s">
        <v>1384</v>
      </c>
      <c r="C82" s="88">
        <v>812</v>
      </c>
      <c r="D82" s="86">
        <v>107.6</v>
      </c>
      <c r="E82" s="87">
        <v>33</v>
      </c>
      <c r="F82" s="86">
        <v>85</v>
      </c>
      <c r="G82" s="17">
        <v>26</v>
      </c>
      <c r="H82" s="88">
        <v>264</v>
      </c>
      <c r="I82" s="89">
        <v>25500</v>
      </c>
      <c r="J82" s="89" t="s">
        <v>64</v>
      </c>
      <c r="K82" s="89"/>
      <c r="L82" s="89"/>
      <c r="M82" s="90">
        <f>I82-K82</f>
        <v>25500</v>
      </c>
      <c r="N82" s="4">
        <f>IF(ISERROR(K82/I82),"",K82/I82)</f>
        <v>0</v>
      </c>
      <c r="O82" s="91">
        <f>I82/E82</f>
        <v>772.72727272727275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107</v>
      </c>
      <c r="U82" s="9"/>
      <c r="W82" s="86">
        <f t="shared" si="101"/>
        <v>107.6</v>
      </c>
      <c r="X82" s="87">
        <f t="shared" si="101"/>
        <v>33</v>
      </c>
      <c r="Y82" s="92">
        <f t="shared" si="102"/>
        <v>264</v>
      </c>
      <c r="Z82" s="90">
        <f t="shared" si="102"/>
        <v>25500</v>
      </c>
      <c r="AA82" s="90">
        <f>K82</f>
        <v>0</v>
      </c>
      <c r="AB82" s="90">
        <f t="shared" si="103"/>
        <v>25500</v>
      </c>
      <c r="AC82" s="4">
        <f t="shared" si="103"/>
        <v>0</v>
      </c>
      <c r="AD82" s="91">
        <f t="shared" si="103"/>
        <v>772.72727272727275</v>
      </c>
      <c r="AE82" s="79" t="str">
        <f>S82</f>
        <v>계</v>
      </c>
      <c r="AF82" s="79" t="str">
        <f>Q82&amp;"/"&amp;R82</f>
        <v>3/2</v>
      </c>
      <c r="AH82" s="20" t="str">
        <f t="shared" si="97"/>
        <v>복대대원</v>
      </c>
      <c r="AI82" s="87">
        <f t="shared" si="93"/>
        <v>33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O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복대동 신영지웰홈스('09.12.,452^)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97"/>
        <v/>
      </c>
      <c r="AI83" s="111" t="str">
        <f t="shared" si="93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804</v>
      </c>
      <c r="B84" s="10" t="s">
        <v>1385</v>
      </c>
      <c r="C84" s="88">
        <v>452</v>
      </c>
      <c r="D84" s="86">
        <v>110.8</v>
      </c>
      <c r="E84" s="87">
        <v>34</v>
      </c>
      <c r="F84" s="86">
        <v>84.8</v>
      </c>
      <c r="G84" s="17">
        <v>26</v>
      </c>
      <c r="H84" s="88">
        <v>129</v>
      </c>
      <c r="I84" s="89">
        <v>49000</v>
      </c>
      <c r="J84" s="89" t="s">
        <v>71</v>
      </c>
      <c r="K84" s="89">
        <v>38000</v>
      </c>
      <c r="L84" s="89" t="s">
        <v>71</v>
      </c>
      <c r="M84" s="90">
        <f>I84-K84</f>
        <v>11000</v>
      </c>
      <c r="N84" s="4">
        <f>IF(ISERROR(K84/I84),"",K84/I84)</f>
        <v>0.77551020408163263</v>
      </c>
      <c r="O84" s="91">
        <f>I84/E84</f>
        <v>1441.1764705882354</v>
      </c>
      <c r="P84" s="91">
        <f>K84/E84</f>
        <v>1117.6470588235295</v>
      </c>
      <c r="Q84" s="79">
        <v>3</v>
      </c>
      <c r="R84" s="79">
        <v>2</v>
      </c>
      <c r="S84" s="79" t="s">
        <v>62</v>
      </c>
      <c r="T84" s="5" t="s">
        <v>72</v>
      </c>
      <c r="U84" s="9"/>
      <c r="W84" s="86">
        <f t="shared" ref="W84:X88" si="104">D84</f>
        <v>110.8</v>
      </c>
      <c r="X84" s="87">
        <f t="shared" si="104"/>
        <v>34</v>
      </c>
      <c r="Y84" s="92">
        <f t="shared" ref="Y84:Z88" si="105">H84</f>
        <v>129</v>
      </c>
      <c r="Z84" s="90">
        <f t="shared" si="105"/>
        <v>49000</v>
      </c>
      <c r="AA84" s="90">
        <f>K84</f>
        <v>38000</v>
      </c>
      <c r="AB84" s="90">
        <f t="shared" ref="AB84:AD88" si="106">M84</f>
        <v>11000</v>
      </c>
      <c r="AC84" s="4">
        <f t="shared" si="106"/>
        <v>0.77551020408163263</v>
      </c>
      <c r="AD84" s="91">
        <f t="shared" si="106"/>
        <v>1441.1764705882354</v>
      </c>
      <c r="AE84" s="79" t="str">
        <f>S84</f>
        <v>계</v>
      </c>
      <c r="AF84" s="79" t="str">
        <f>Q84&amp;"/"&amp;R84</f>
        <v>3/2</v>
      </c>
      <c r="AH84" s="20" t="str">
        <f t="shared" si="97"/>
        <v>신영지웰홈스</v>
      </c>
      <c r="AI84" s="87">
        <f t="shared" si="93"/>
        <v>34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O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x14ac:dyDescent="0.3">
      <c r="A85" s="9" t="s">
        <v>804</v>
      </c>
      <c r="B85" s="10" t="s">
        <v>1385</v>
      </c>
      <c r="C85" s="88">
        <v>452</v>
      </c>
      <c r="D85" s="86">
        <v>110.8</v>
      </c>
      <c r="E85" s="87">
        <v>34</v>
      </c>
      <c r="F85" s="86">
        <v>84.8</v>
      </c>
      <c r="G85" s="17">
        <v>26</v>
      </c>
      <c r="H85" s="88">
        <v>115</v>
      </c>
      <c r="I85" s="89">
        <v>49000</v>
      </c>
      <c r="J85" s="89" t="s">
        <v>71</v>
      </c>
      <c r="K85" s="89">
        <v>38000</v>
      </c>
      <c r="L85" s="89" t="s">
        <v>71</v>
      </c>
      <c r="M85" s="90">
        <f>I85-K85</f>
        <v>11000</v>
      </c>
      <c r="N85" s="4">
        <f>IF(ISERROR(K85/I85),"",K85/I85)</f>
        <v>0.77551020408163263</v>
      </c>
      <c r="O85" s="91">
        <f>I85/E85</f>
        <v>1441.1764705882354</v>
      </c>
      <c r="P85" s="91">
        <f>K85/E85</f>
        <v>1117.6470588235295</v>
      </c>
      <c r="Q85" s="79">
        <v>3</v>
      </c>
      <c r="R85" s="79">
        <v>2</v>
      </c>
      <c r="S85" s="79" t="s">
        <v>62</v>
      </c>
      <c r="T85" s="5" t="s">
        <v>90</v>
      </c>
      <c r="U85" s="9"/>
      <c r="W85" s="86">
        <f t="shared" si="104"/>
        <v>110.8</v>
      </c>
      <c r="X85" s="87">
        <f t="shared" si="104"/>
        <v>34</v>
      </c>
      <c r="Y85" s="92">
        <f t="shared" si="105"/>
        <v>115</v>
      </c>
      <c r="Z85" s="90">
        <f t="shared" si="105"/>
        <v>49000</v>
      </c>
      <c r="AA85" s="90">
        <f>K85</f>
        <v>38000</v>
      </c>
      <c r="AB85" s="90">
        <f t="shared" si="106"/>
        <v>11000</v>
      </c>
      <c r="AC85" s="4">
        <f t="shared" si="106"/>
        <v>0.77551020408163263</v>
      </c>
      <c r="AD85" s="91">
        <f t="shared" si="106"/>
        <v>1441.1764705882354</v>
      </c>
      <c r="AE85" s="79" t="str">
        <f>S85</f>
        <v>계</v>
      </c>
      <c r="AF85" s="79" t="str">
        <f>Q85&amp;"/"&amp;R85</f>
        <v>3/2</v>
      </c>
      <c r="AH85" s="20" t="str">
        <f t="shared" si="97"/>
        <v>신영지웰홈스</v>
      </c>
      <c r="AI85" s="87">
        <f t="shared" si="93"/>
        <v>34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X</v>
      </c>
      <c r="AP85" s="79" t="str">
        <f>IF(I85="","",IF(I85&lt;=$AP$1,"O","X"))</f>
        <v>X</v>
      </c>
      <c r="AQ85" s="79" t="str">
        <f>IF(O85="","",IF(O85&lt;=$AQ$1,"O","X"))</f>
        <v>O</v>
      </c>
      <c r="AR85" s="79" t="str">
        <f>IF(M85="","",IF(M85&lt;=$AR$1,"O","X"))</f>
        <v>X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X</v>
      </c>
    </row>
    <row r="86" spans="1:48" x14ac:dyDescent="0.3">
      <c r="A86" s="9" t="s">
        <v>804</v>
      </c>
      <c r="B86" s="10" t="s">
        <v>1385</v>
      </c>
      <c r="C86" s="88">
        <v>452</v>
      </c>
      <c r="D86" s="86">
        <v>111.5</v>
      </c>
      <c r="E86" s="87">
        <v>34</v>
      </c>
      <c r="F86" s="86">
        <v>84.9</v>
      </c>
      <c r="G86" s="17">
        <v>26</v>
      </c>
      <c r="H86" s="88">
        <v>127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9">
        <v>3</v>
      </c>
      <c r="R86" s="79">
        <v>2</v>
      </c>
      <c r="S86" s="79" t="s">
        <v>62</v>
      </c>
      <c r="T86" s="5" t="s">
        <v>73</v>
      </c>
      <c r="U86" s="9"/>
      <c r="W86" s="86">
        <f t="shared" si="104"/>
        <v>111.5</v>
      </c>
      <c r="X86" s="87">
        <f t="shared" si="104"/>
        <v>34</v>
      </c>
      <c r="Y86" s="92">
        <f t="shared" si="105"/>
        <v>127</v>
      </c>
      <c r="Z86" s="90">
        <f t="shared" si="105"/>
        <v>0</v>
      </c>
      <c r="AA86" s="90">
        <f>K86</f>
        <v>0</v>
      </c>
      <c r="AB86" s="90">
        <f t="shared" si="106"/>
        <v>0</v>
      </c>
      <c r="AC86" s="4" t="str">
        <f t="shared" si="106"/>
        <v/>
      </c>
      <c r="AD86" s="91">
        <f t="shared" si="106"/>
        <v>0</v>
      </c>
      <c r="AE86" s="79" t="str">
        <f>S86</f>
        <v>계</v>
      </c>
      <c r="AF86" s="79" t="str">
        <f>Q86&amp;"/"&amp;R86</f>
        <v>3/2</v>
      </c>
      <c r="AH86" s="20" t="str">
        <f t="shared" si="97"/>
        <v>신영지웰홈스</v>
      </c>
      <c r="AI86" s="87">
        <f t="shared" si="93"/>
        <v>34</v>
      </c>
      <c r="AJ86" s="79" t="str">
        <f>IF(AI86="","",$AJ$2)</f>
        <v>A-</v>
      </c>
      <c r="AK86" s="79" t="s">
        <v>13</v>
      </c>
      <c r="AL86" s="79" t="s">
        <v>60</v>
      </c>
      <c r="AM86" s="79" t="s">
        <v>61</v>
      </c>
      <c r="AN86" s="79" t="str">
        <f>IF(AI86="","",$AN$2)</f>
        <v>C</v>
      </c>
      <c r="AO86" s="79" t="str">
        <f>IF(N86="","",IF(N86&gt;=$AO$1/100,"O","X"))</f>
        <v/>
      </c>
      <c r="AP86" s="79" t="str">
        <f>IF(I86="","",IF(I86&lt;=$AP$1,"O","X"))</f>
        <v/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/>
      </c>
    </row>
    <row r="87" spans="1:48" x14ac:dyDescent="0.3">
      <c r="A87" s="9" t="s">
        <v>804</v>
      </c>
      <c r="B87" s="10" t="s">
        <v>1385</v>
      </c>
      <c r="C87" s="88">
        <v>452</v>
      </c>
      <c r="D87" s="86">
        <v>156.80000000000001</v>
      </c>
      <c r="E87" s="87">
        <v>47</v>
      </c>
      <c r="F87" s="86">
        <v>124.9</v>
      </c>
      <c r="G87" s="17">
        <v>38</v>
      </c>
      <c r="H87" s="88">
        <v>78</v>
      </c>
      <c r="I87" s="89">
        <v>77000</v>
      </c>
      <c r="J87" s="89" t="s">
        <v>89</v>
      </c>
      <c r="K87" s="89"/>
      <c r="L87" s="89"/>
      <c r="M87" s="90">
        <f>I87-K87</f>
        <v>77000</v>
      </c>
      <c r="N87" s="4">
        <f>IF(ISERROR(K87/I87),"",K87/I87)</f>
        <v>0</v>
      </c>
      <c r="O87" s="91">
        <f>I87/E87</f>
        <v>1638.2978723404256</v>
      </c>
      <c r="P87" s="91">
        <f>K87/E87</f>
        <v>0</v>
      </c>
      <c r="Q87" s="79">
        <v>4</v>
      </c>
      <c r="R87" s="79">
        <v>2</v>
      </c>
      <c r="S87" s="79" t="s">
        <v>62</v>
      </c>
      <c r="T87" s="5">
        <v>156</v>
      </c>
      <c r="U87" s="9"/>
      <c r="W87" s="86">
        <f t="shared" si="104"/>
        <v>156.80000000000001</v>
      </c>
      <c r="X87" s="87">
        <f t="shared" si="104"/>
        <v>47</v>
      </c>
      <c r="Y87" s="92">
        <f t="shared" si="105"/>
        <v>78</v>
      </c>
      <c r="Z87" s="90">
        <f t="shared" si="105"/>
        <v>77000</v>
      </c>
      <c r="AA87" s="90">
        <f>K87</f>
        <v>0</v>
      </c>
      <c r="AB87" s="90">
        <f t="shared" si="106"/>
        <v>77000</v>
      </c>
      <c r="AC87" s="4">
        <f t="shared" si="106"/>
        <v>0</v>
      </c>
      <c r="AD87" s="91">
        <f t="shared" si="106"/>
        <v>1638.2978723404256</v>
      </c>
      <c r="AE87" s="79" t="str">
        <f>S87</f>
        <v>계</v>
      </c>
      <c r="AF87" s="79" t="str">
        <f>Q87&amp;"/"&amp;R87</f>
        <v>4/2</v>
      </c>
      <c r="AH87" s="20" t="str">
        <f t="shared" si="97"/>
        <v>신영지웰홈스</v>
      </c>
      <c r="AI87" s="87">
        <f t="shared" si="93"/>
        <v>47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X</v>
      </c>
      <c r="AP87" s="79" t="str">
        <f>IF(I87="","",IF(I87&lt;=$AP$1,"O","X"))</f>
        <v>X</v>
      </c>
      <c r="AQ87" s="79" t="str">
        <f>IF(O87="","",IF(O87&lt;=$AQ$1,"O","X"))</f>
        <v>X</v>
      </c>
      <c r="AR87" s="79" t="str">
        <f>IF(M87="","",IF(M87&lt;=$AR$1,"O","X"))</f>
        <v>X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x14ac:dyDescent="0.3">
      <c r="A88" s="9" t="s">
        <v>804</v>
      </c>
      <c r="B88" s="10" t="s">
        <v>1385</v>
      </c>
      <c r="C88" s="88">
        <v>452</v>
      </c>
      <c r="D88" s="86">
        <v>225.6</v>
      </c>
      <c r="E88" s="87">
        <v>68</v>
      </c>
      <c r="F88" s="86">
        <v>176.9</v>
      </c>
      <c r="G88" s="17">
        <v>54</v>
      </c>
      <c r="H88" s="88">
        <v>3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4</v>
      </c>
      <c r="R88" s="79">
        <v>3</v>
      </c>
      <c r="S88" s="79" t="s">
        <v>62</v>
      </c>
      <c r="T88" s="5">
        <v>225</v>
      </c>
      <c r="U88" s="9"/>
      <c r="W88" s="86">
        <f t="shared" si="104"/>
        <v>225.6</v>
      </c>
      <c r="X88" s="87">
        <f t="shared" si="104"/>
        <v>68</v>
      </c>
      <c r="Y88" s="92">
        <f t="shared" si="105"/>
        <v>3</v>
      </c>
      <c r="Z88" s="90">
        <f t="shared" si="105"/>
        <v>0</v>
      </c>
      <c r="AA88" s="90">
        <f>K88</f>
        <v>0</v>
      </c>
      <c r="AB88" s="90">
        <f t="shared" si="106"/>
        <v>0</v>
      </c>
      <c r="AC88" s="4" t="str">
        <f t="shared" si="106"/>
        <v/>
      </c>
      <c r="AD88" s="91">
        <f t="shared" si="106"/>
        <v>0</v>
      </c>
      <c r="AE88" s="79" t="str">
        <f>S88</f>
        <v>계</v>
      </c>
      <c r="AF88" s="79" t="str">
        <f>Q88&amp;"/"&amp;R88</f>
        <v>4/3</v>
      </c>
      <c r="AH88" s="20" t="str">
        <f t="shared" si="97"/>
        <v>신영지웰홈스</v>
      </c>
      <c r="AI88" s="87">
        <f t="shared" si="93"/>
        <v>68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/>
      </c>
    </row>
    <row r="89" spans="1:48" x14ac:dyDescent="0.3">
      <c r="A89" s="9"/>
      <c r="B89" s="79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복대동 영조아름다운나날1차('03.10.,952^)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7"/>
        <v/>
      </c>
      <c r="AI89" s="111" t="str">
        <f t="shared" si="93"/>
        <v/>
      </c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</row>
    <row r="90" spans="1:48" x14ac:dyDescent="0.3">
      <c r="A90" s="9" t="s">
        <v>809</v>
      </c>
      <c r="B90" s="10" t="s">
        <v>1386</v>
      </c>
      <c r="C90" s="88">
        <v>952</v>
      </c>
      <c r="D90" s="86">
        <v>76.3</v>
      </c>
      <c r="E90" s="87">
        <v>23</v>
      </c>
      <c r="F90" s="86">
        <v>59.3</v>
      </c>
      <c r="G90" s="17">
        <v>18</v>
      </c>
      <c r="H90" s="88">
        <v>734</v>
      </c>
      <c r="I90" s="89">
        <v>20000</v>
      </c>
      <c r="J90" s="89" t="s">
        <v>64</v>
      </c>
      <c r="K90" s="89">
        <v>21000</v>
      </c>
      <c r="L90" s="89" t="s">
        <v>79</v>
      </c>
      <c r="M90" s="90">
        <f>I90-K90</f>
        <v>-1000</v>
      </c>
      <c r="N90" s="4">
        <f>IF(ISERROR(K90/I90),"",K90/I90)</f>
        <v>1.05</v>
      </c>
      <c r="O90" s="91">
        <f>I90/E90</f>
        <v>869.56521739130437</v>
      </c>
      <c r="P90" s="91">
        <f>K90/E90</f>
        <v>913.04347826086962</v>
      </c>
      <c r="Q90" s="79">
        <v>3</v>
      </c>
      <c r="R90" s="79">
        <v>1</v>
      </c>
      <c r="S90" s="79" t="s">
        <v>62</v>
      </c>
      <c r="T90" s="5" t="s">
        <v>111</v>
      </c>
      <c r="U90" s="9"/>
      <c r="W90" s="86">
        <f>D90</f>
        <v>76.3</v>
      </c>
      <c r="X90" s="87">
        <f>E90</f>
        <v>23</v>
      </c>
      <c r="Y90" s="92">
        <f>H90</f>
        <v>734</v>
      </c>
      <c r="Z90" s="90">
        <f>I90</f>
        <v>20000</v>
      </c>
      <c r="AA90" s="90">
        <f>K90</f>
        <v>21000</v>
      </c>
      <c r="AB90" s="90">
        <f t="shared" ref="AB90:AD91" si="107">M90</f>
        <v>-1000</v>
      </c>
      <c r="AC90" s="4">
        <f t="shared" si="107"/>
        <v>1.05</v>
      </c>
      <c r="AD90" s="91">
        <f t="shared" si="107"/>
        <v>869.56521739130437</v>
      </c>
      <c r="AE90" s="79" t="str">
        <f>S90</f>
        <v>계</v>
      </c>
      <c r="AF90" s="79" t="str">
        <f>Q90&amp;"/"&amp;R90</f>
        <v>3/1</v>
      </c>
      <c r="AH90" s="20" t="str">
        <f t="shared" si="97"/>
        <v>영조아름다운나날1차</v>
      </c>
      <c r="AI90" s="87">
        <f t="shared" si="93"/>
        <v>23</v>
      </c>
      <c r="AJ90" s="79" t="str">
        <f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>IF(AI90="","",$AN$2)</f>
        <v>C</v>
      </c>
      <c r="AO90" s="79" t="str">
        <f>IF(N90="","",IF(N90&gt;=$AO$1/100,"O","X"))</f>
        <v>O</v>
      </c>
      <c r="AP90" s="79" t="str">
        <f>IF(I90="","",IF(I90&lt;=$AP$1,"O","X"))</f>
        <v>O</v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O</v>
      </c>
      <c r="AU90" s="79" t="str">
        <f>IF(C90="","",IF(C90&gt;=$AU$1,"O","X"))</f>
        <v>O</v>
      </c>
      <c r="AV90" s="79" t="str">
        <f>IF(AO90="","",IF(AND(AO90="O",AP90="O",AR90="O",AT90="O",AU90="O"),"후보","X"))</f>
        <v>후보</v>
      </c>
    </row>
    <row r="91" spans="1:48" x14ac:dyDescent="0.3">
      <c r="A91" s="9" t="s">
        <v>809</v>
      </c>
      <c r="B91" s="10" t="s">
        <v>1386</v>
      </c>
      <c r="C91" s="88">
        <v>952</v>
      </c>
      <c r="D91" s="86">
        <v>76.400000000000006</v>
      </c>
      <c r="E91" s="87">
        <v>23</v>
      </c>
      <c r="F91" s="86">
        <v>59.3</v>
      </c>
      <c r="G91" s="17">
        <v>18</v>
      </c>
      <c r="H91" s="88">
        <v>218</v>
      </c>
      <c r="I91" s="89">
        <v>22000</v>
      </c>
      <c r="J91" s="89" t="s">
        <v>92</v>
      </c>
      <c r="K91" s="89">
        <v>19000</v>
      </c>
      <c r="L91" s="89" t="s">
        <v>64</v>
      </c>
      <c r="M91" s="90">
        <f>I91-K91</f>
        <v>3000</v>
      </c>
      <c r="N91" s="4">
        <f>IF(ISERROR(K91/I91),"",K91/I91)</f>
        <v>0.86363636363636365</v>
      </c>
      <c r="O91" s="91">
        <f>I91/E91</f>
        <v>956.52173913043475</v>
      </c>
      <c r="P91" s="91">
        <f>K91/E91</f>
        <v>826.08695652173913</v>
      </c>
      <c r="Q91" s="79">
        <v>3</v>
      </c>
      <c r="R91" s="79">
        <v>1</v>
      </c>
      <c r="S91" s="79" t="s">
        <v>62</v>
      </c>
      <c r="T91" s="5" t="s">
        <v>110</v>
      </c>
      <c r="U91" s="9"/>
      <c r="W91" s="86">
        <f>D91</f>
        <v>76.400000000000006</v>
      </c>
      <c r="X91" s="87">
        <f>E91</f>
        <v>23</v>
      </c>
      <c r="Y91" s="92">
        <f>H91</f>
        <v>218</v>
      </c>
      <c r="Z91" s="90">
        <f>I91</f>
        <v>22000</v>
      </c>
      <c r="AA91" s="90">
        <f>K91</f>
        <v>19000</v>
      </c>
      <c r="AB91" s="90">
        <f t="shared" si="107"/>
        <v>3000</v>
      </c>
      <c r="AC91" s="4">
        <f t="shared" si="107"/>
        <v>0.86363636363636365</v>
      </c>
      <c r="AD91" s="91">
        <f t="shared" si="107"/>
        <v>956.52173913043475</v>
      </c>
      <c r="AE91" s="79" t="str">
        <f>S91</f>
        <v>계</v>
      </c>
      <c r="AF91" s="79" t="str">
        <f>Q91&amp;"/"&amp;R91</f>
        <v>3/1</v>
      </c>
      <c r="AH91" s="20" t="str">
        <f t="shared" si="97"/>
        <v>영조아름다운나날1차</v>
      </c>
      <c r="AI91" s="87">
        <f t="shared" si="93"/>
        <v>23</v>
      </c>
      <c r="AJ91" s="79" t="str">
        <f>IF(AI91="","",$AJ$2)</f>
        <v>A-</v>
      </c>
      <c r="AK91" s="79" t="s">
        <v>13</v>
      </c>
      <c r="AL91" s="79" t="s">
        <v>60</v>
      </c>
      <c r="AM91" s="79" t="s">
        <v>61</v>
      </c>
      <c r="AN91" s="79" t="str">
        <f>IF(AI91="","",$AN$2)</f>
        <v>C</v>
      </c>
      <c r="AO91" s="79" t="str">
        <f>IF(N91="","",IF(N91&gt;=$AO$1/100,"O","X"))</f>
        <v>O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O</v>
      </c>
      <c r="AS91" s="79" t="s">
        <v>2</v>
      </c>
      <c r="AT91" s="79" t="str">
        <f>IF(OR(F91="",AI91=""),"",IF(AND((F91&lt;=85),(AI91&gt;=15)),"O","X"))</f>
        <v>O</v>
      </c>
      <c r="AU91" s="79" t="str">
        <f>IF(C91="","",IF(C91&gt;=$AU$1,"O","X"))</f>
        <v>O</v>
      </c>
      <c r="AV91" s="79" t="str">
        <f>IF(AO91="","",IF(AND(AO91="O",AP91="O",AR91="O",AT91="O",AU91="O"),"후보","X"))</f>
        <v>후보</v>
      </c>
    </row>
    <row r="92" spans="1:48" x14ac:dyDescent="0.3">
      <c r="A92" s="9"/>
      <c r="B92" s="79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복대동 현대2차('99.05.,1464^)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7"/>
        <v/>
      </c>
      <c r="AI92" s="111" t="str">
        <f t="shared" si="93"/>
        <v/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</row>
    <row r="93" spans="1:48" x14ac:dyDescent="0.3">
      <c r="A93" s="9" t="s">
        <v>814</v>
      </c>
      <c r="B93" s="10" t="s">
        <v>1373</v>
      </c>
      <c r="C93" s="88">
        <v>1464</v>
      </c>
      <c r="D93" s="86">
        <v>77.400000000000006</v>
      </c>
      <c r="E93" s="87">
        <v>23</v>
      </c>
      <c r="F93" s="86">
        <v>60</v>
      </c>
      <c r="G93" s="17">
        <v>18</v>
      </c>
      <c r="H93" s="88">
        <v>1158</v>
      </c>
      <c r="I93" s="89">
        <v>21500</v>
      </c>
      <c r="J93" s="89" t="s">
        <v>83</v>
      </c>
      <c r="K93" s="89">
        <v>22000</v>
      </c>
      <c r="L93" s="89" t="s">
        <v>81</v>
      </c>
      <c r="M93" s="90">
        <f>I93-K93</f>
        <v>-500</v>
      </c>
      <c r="N93" s="4">
        <f>IF(ISERROR(K93/I93),"",K93/I93)</f>
        <v>1.0232558139534884</v>
      </c>
      <c r="O93" s="91">
        <f>I93/E93</f>
        <v>934.78260869565213</v>
      </c>
      <c r="P93" s="91">
        <f>K93/E93</f>
        <v>956.52173913043475</v>
      </c>
      <c r="Q93" s="79">
        <v>3</v>
      </c>
      <c r="R93" s="79">
        <v>2</v>
      </c>
      <c r="S93" s="79" t="s">
        <v>62</v>
      </c>
      <c r="T93" s="5" t="s">
        <v>148</v>
      </c>
      <c r="U93" s="9"/>
      <c r="W93" s="86">
        <f>D93</f>
        <v>77.400000000000006</v>
      </c>
      <c r="X93" s="87">
        <f>E93</f>
        <v>23</v>
      </c>
      <c r="Y93" s="92">
        <f>H93</f>
        <v>1158</v>
      </c>
      <c r="Z93" s="90">
        <f>I93</f>
        <v>21500</v>
      </c>
      <c r="AA93" s="90">
        <f>K93</f>
        <v>22000</v>
      </c>
      <c r="AB93" s="90">
        <f t="shared" ref="AB93:AD94" si="108">M93</f>
        <v>-500</v>
      </c>
      <c r="AC93" s="4">
        <f t="shared" si="108"/>
        <v>1.0232558139534884</v>
      </c>
      <c r="AD93" s="91">
        <f t="shared" si="108"/>
        <v>934.78260869565213</v>
      </c>
      <c r="AE93" s="79" t="str">
        <f>S93</f>
        <v>계</v>
      </c>
      <c r="AF93" s="79" t="str">
        <f>Q93&amp;"/"&amp;R93</f>
        <v>3/2</v>
      </c>
      <c r="AH93" s="20" t="str">
        <f t="shared" si="97"/>
        <v>현대2차</v>
      </c>
      <c r="AI93" s="87">
        <f t="shared" si="93"/>
        <v>23</v>
      </c>
      <c r="AJ93" s="79" t="str">
        <f>IF(AI93="","",$AJ$2)</f>
        <v>A-</v>
      </c>
      <c r="AK93" s="79" t="s">
        <v>13</v>
      </c>
      <c r="AL93" s="79" t="s">
        <v>60</v>
      </c>
      <c r="AM93" s="79" t="s">
        <v>61</v>
      </c>
      <c r="AN93" s="79" t="str">
        <f>IF(AI93="","",$AN$2)</f>
        <v>C</v>
      </c>
      <c r="AO93" s="79" t="str">
        <f>IF(N93="","",IF(N93&gt;=$AO$1/100,"O","X"))</f>
        <v>O</v>
      </c>
      <c r="AP93" s="79" t="str">
        <f>IF(I93="","",IF(I93&lt;=$AP$1,"O","X"))</f>
        <v>O</v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후보</v>
      </c>
    </row>
    <row r="94" spans="1:48" x14ac:dyDescent="0.3">
      <c r="A94" s="9" t="s">
        <v>814</v>
      </c>
      <c r="B94" s="10" t="s">
        <v>1373</v>
      </c>
      <c r="C94" s="88">
        <v>1464</v>
      </c>
      <c r="D94" s="86">
        <v>77.5</v>
      </c>
      <c r="E94" s="87">
        <v>23</v>
      </c>
      <c r="F94" s="86">
        <v>59.9</v>
      </c>
      <c r="G94" s="17">
        <v>18</v>
      </c>
      <c r="H94" s="88">
        <v>306</v>
      </c>
      <c r="I94" s="89">
        <v>22000</v>
      </c>
      <c r="J94" s="89" t="s">
        <v>97</v>
      </c>
      <c r="K94" s="89">
        <v>22000</v>
      </c>
      <c r="L94" s="89" t="s">
        <v>102</v>
      </c>
      <c r="M94" s="90">
        <f>I94-K94</f>
        <v>0</v>
      </c>
      <c r="N94" s="4">
        <f>IF(ISERROR(K94/I94),"",K94/I94)</f>
        <v>1</v>
      </c>
      <c r="O94" s="91">
        <f>I94/E94</f>
        <v>956.52173913043475</v>
      </c>
      <c r="P94" s="91">
        <f>K94/E94</f>
        <v>956.52173913043475</v>
      </c>
      <c r="Q94" s="79">
        <v>2</v>
      </c>
      <c r="R94" s="79">
        <v>1</v>
      </c>
      <c r="S94" s="79" t="s">
        <v>62</v>
      </c>
      <c r="T94" s="5" t="s">
        <v>149</v>
      </c>
      <c r="U94" s="9"/>
      <c r="W94" s="86">
        <f>D94</f>
        <v>77.5</v>
      </c>
      <c r="X94" s="87">
        <f>E94</f>
        <v>23</v>
      </c>
      <c r="Y94" s="92">
        <f>H94</f>
        <v>306</v>
      </c>
      <c r="Z94" s="90">
        <f>I94</f>
        <v>22000</v>
      </c>
      <c r="AA94" s="90">
        <f>K94</f>
        <v>22000</v>
      </c>
      <c r="AB94" s="90">
        <f t="shared" si="108"/>
        <v>0</v>
      </c>
      <c r="AC94" s="4">
        <f t="shared" si="108"/>
        <v>1</v>
      </c>
      <c r="AD94" s="91">
        <f t="shared" si="108"/>
        <v>956.52173913043475</v>
      </c>
      <c r="AE94" s="79" t="str">
        <f>S94</f>
        <v>계</v>
      </c>
      <c r="AF94" s="79" t="str">
        <f>Q94&amp;"/"&amp;R94</f>
        <v>2/1</v>
      </c>
      <c r="AH94" s="20" t="str">
        <f t="shared" si="97"/>
        <v>현대2차</v>
      </c>
      <c r="AI94" s="87">
        <f t="shared" si="93"/>
        <v>23</v>
      </c>
      <c r="AJ94" s="79" t="str">
        <f>IF(AI94="","",$AJ$2)</f>
        <v>A-</v>
      </c>
      <c r="AK94" s="79" t="s">
        <v>13</v>
      </c>
      <c r="AL94" s="79" t="s">
        <v>60</v>
      </c>
      <c r="AM94" s="79" t="s">
        <v>61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복대동 청주복대두진하트리움2차('18.11.,293^)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97"/>
        <v/>
      </c>
      <c r="AI95" s="111" t="str">
        <f t="shared" si="93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818</v>
      </c>
      <c r="B96" s="10" t="s">
        <v>1387</v>
      </c>
      <c r="C96" s="88">
        <v>293</v>
      </c>
      <c r="D96" s="86">
        <v>101.4</v>
      </c>
      <c r="E96" s="87">
        <v>31</v>
      </c>
      <c r="F96" s="86">
        <v>74.900000000000006</v>
      </c>
      <c r="G96" s="17">
        <v>23</v>
      </c>
      <c r="H96" s="88">
        <v>126</v>
      </c>
      <c r="I96" s="89">
        <v>51000</v>
      </c>
      <c r="J96" s="89">
        <v>11</v>
      </c>
      <c r="K96" s="89">
        <v>39000</v>
      </c>
      <c r="L96" s="89">
        <v>7</v>
      </c>
      <c r="M96" s="90">
        <f>I96-K96</f>
        <v>12000</v>
      </c>
      <c r="N96" s="4">
        <f>IF(ISERROR(K96/I96),"",K96/I96)</f>
        <v>0.76470588235294112</v>
      </c>
      <c r="O96" s="91">
        <f>I96/E96</f>
        <v>1645.1612903225807</v>
      </c>
      <c r="P96" s="91">
        <f>K96/E96</f>
        <v>1258.0645161290322</v>
      </c>
      <c r="Q96" s="79">
        <v>3</v>
      </c>
      <c r="R96" s="79">
        <v>2</v>
      </c>
      <c r="S96" s="79" t="s">
        <v>62</v>
      </c>
      <c r="T96" s="5" t="s">
        <v>150</v>
      </c>
      <c r="U96" s="9"/>
      <c r="W96" s="86">
        <f t="shared" ref="W96:X98" si="109">D96</f>
        <v>101.4</v>
      </c>
      <c r="X96" s="87">
        <f t="shared" si="109"/>
        <v>31</v>
      </c>
      <c r="Y96" s="92">
        <f t="shared" ref="Y96:Z98" si="110">H96</f>
        <v>126</v>
      </c>
      <c r="Z96" s="90">
        <f t="shared" si="110"/>
        <v>51000</v>
      </c>
      <c r="AA96" s="90">
        <f>K96</f>
        <v>39000</v>
      </c>
      <c r="AB96" s="90">
        <f t="shared" ref="AB96:AD98" si="111">M96</f>
        <v>12000</v>
      </c>
      <c r="AC96" s="4">
        <f t="shared" si="111"/>
        <v>0.76470588235294112</v>
      </c>
      <c r="AD96" s="91">
        <f t="shared" si="111"/>
        <v>1645.1612903225807</v>
      </c>
      <c r="AE96" s="79" t="str">
        <f>S96</f>
        <v>계</v>
      </c>
      <c r="AF96" s="79" t="str">
        <f>Q96&amp;"/"&amp;R96</f>
        <v>3/2</v>
      </c>
      <c r="AH96" s="20" t="str">
        <f t="shared" si="97"/>
        <v>청주복대두진하트리움2차</v>
      </c>
      <c r="AI96" s="87">
        <f t="shared" si="93"/>
        <v>31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>X</v>
      </c>
      <c r="AP96" s="79" t="str">
        <f>IF(I96="","",IF(I96&lt;=$AP$1,"O","X"))</f>
        <v>X</v>
      </c>
      <c r="AQ96" s="79" t="str">
        <f>IF(O96="","",IF(O96&lt;=$AQ$1,"O","X"))</f>
        <v>X</v>
      </c>
      <c r="AR96" s="79" t="str">
        <f>IF(M96="","",IF(M96&lt;=$AR$1,"O","X"))</f>
        <v>X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X</v>
      </c>
      <c r="AV96" s="79" t="str">
        <f>IF(AO96="","",IF(AND(AO96="O",AP96="O",AR96="O",AT96="O",AU96="O"),"후보","X"))</f>
        <v>X</v>
      </c>
    </row>
    <row r="97" spans="1:48" x14ac:dyDescent="0.3">
      <c r="A97" s="9" t="s">
        <v>818</v>
      </c>
      <c r="B97" s="10" t="s">
        <v>1387</v>
      </c>
      <c r="C97" s="88">
        <v>293</v>
      </c>
      <c r="D97" s="86">
        <v>102</v>
      </c>
      <c r="E97" s="87">
        <v>31</v>
      </c>
      <c r="F97" s="86">
        <v>74.900000000000006</v>
      </c>
      <c r="G97" s="17">
        <v>23</v>
      </c>
      <c r="H97" s="88">
        <v>137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3</v>
      </c>
      <c r="R97" s="79">
        <v>2</v>
      </c>
      <c r="S97" s="79" t="s">
        <v>62</v>
      </c>
      <c r="T97" s="5" t="s">
        <v>151</v>
      </c>
      <c r="U97" s="9"/>
      <c r="W97" s="86">
        <f t="shared" si="109"/>
        <v>102</v>
      </c>
      <c r="X97" s="87">
        <f t="shared" si="109"/>
        <v>31</v>
      </c>
      <c r="Y97" s="92">
        <f t="shared" si="110"/>
        <v>137</v>
      </c>
      <c r="Z97" s="90">
        <f t="shared" si="110"/>
        <v>0</v>
      </c>
      <c r="AA97" s="90">
        <f>K97</f>
        <v>0</v>
      </c>
      <c r="AB97" s="90">
        <f t="shared" si="111"/>
        <v>0</v>
      </c>
      <c r="AC97" s="4" t="str">
        <f t="shared" si="111"/>
        <v/>
      </c>
      <c r="AD97" s="91">
        <f t="shared" si="111"/>
        <v>0</v>
      </c>
      <c r="AE97" s="79" t="str">
        <f>S97</f>
        <v>계</v>
      </c>
      <c r="AF97" s="79" t="str">
        <f>Q97&amp;"/"&amp;R97</f>
        <v>3/2</v>
      </c>
      <c r="AH97" s="20" t="str">
        <f t="shared" si="97"/>
        <v>청주복대두진하트리움2차</v>
      </c>
      <c r="AI97" s="87">
        <f t="shared" si="93"/>
        <v>31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X</v>
      </c>
      <c r="AV97" s="79" t="str">
        <f>IF(AO97="","",IF(AND(AO97="O",AP97="O",AR97="O",AT97="O",AU97="O"),"후보","X"))</f>
        <v/>
      </c>
    </row>
    <row r="98" spans="1:48" x14ac:dyDescent="0.3">
      <c r="A98" s="9" t="s">
        <v>818</v>
      </c>
      <c r="B98" s="10" t="s">
        <v>1387</v>
      </c>
      <c r="C98" s="88">
        <v>293</v>
      </c>
      <c r="D98" s="86">
        <v>102.1</v>
      </c>
      <c r="E98" s="87">
        <v>31</v>
      </c>
      <c r="F98" s="86">
        <v>74.8</v>
      </c>
      <c r="G98" s="17">
        <v>23</v>
      </c>
      <c r="H98" s="88">
        <v>30</v>
      </c>
      <c r="I98" s="89">
        <v>53000</v>
      </c>
      <c r="J98" s="89">
        <v>10</v>
      </c>
      <c r="K98" s="89">
        <v>40000</v>
      </c>
      <c r="L98" s="89">
        <v>15</v>
      </c>
      <c r="M98" s="90">
        <f>I98-K98</f>
        <v>13000</v>
      </c>
      <c r="N98" s="4">
        <f>IF(ISERROR(K98/I98),"",K98/I98)</f>
        <v>0.75471698113207553</v>
      </c>
      <c r="O98" s="91">
        <f>I98/E98</f>
        <v>1709.6774193548388</v>
      </c>
      <c r="P98" s="91">
        <f>K98/E98</f>
        <v>1290.3225806451612</v>
      </c>
      <c r="Q98" s="79">
        <v>3</v>
      </c>
      <c r="R98" s="79">
        <v>2</v>
      </c>
      <c r="S98" s="79" t="s">
        <v>62</v>
      </c>
      <c r="T98" s="5" t="s">
        <v>152</v>
      </c>
      <c r="U98" s="9"/>
      <c r="W98" s="86">
        <f t="shared" si="109"/>
        <v>102.1</v>
      </c>
      <c r="X98" s="87">
        <f t="shared" si="109"/>
        <v>31</v>
      </c>
      <c r="Y98" s="92">
        <f t="shared" si="110"/>
        <v>30</v>
      </c>
      <c r="Z98" s="90">
        <f t="shared" si="110"/>
        <v>53000</v>
      </c>
      <c r="AA98" s="90">
        <f>K98</f>
        <v>40000</v>
      </c>
      <c r="AB98" s="90">
        <f t="shared" si="111"/>
        <v>13000</v>
      </c>
      <c r="AC98" s="4">
        <f t="shared" si="111"/>
        <v>0.75471698113207553</v>
      </c>
      <c r="AD98" s="91">
        <f t="shared" si="111"/>
        <v>1709.6774193548388</v>
      </c>
      <c r="AE98" s="79" t="str">
        <f>S98</f>
        <v>계</v>
      </c>
      <c r="AF98" s="79" t="str">
        <f>Q98&amp;"/"&amp;R98</f>
        <v>3/2</v>
      </c>
      <c r="AH98" s="20" t="str">
        <f t="shared" si="97"/>
        <v>청주복대두진하트리움2차</v>
      </c>
      <c r="AI98" s="87">
        <f t="shared" si="93"/>
        <v>31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>X</v>
      </c>
      <c r="AP98" s="79" t="str">
        <f>IF(I98="","",IF(I98&lt;=$AP$1,"O","X"))</f>
        <v>X</v>
      </c>
      <c r="AQ98" s="79" t="str">
        <f>IF(O98="","",IF(O98&lt;=$AQ$1,"O","X"))</f>
        <v>X</v>
      </c>
      <c r="AR98" s="79" t="str">
        <f>IF(M98="","",IF(M98&lt;=$AR$1,"O","X"))</f>
        <v>X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X</v>
      </c>
      <c r="AV98" s="79" t="str">
        <f>IF(AO98="","",IF(AND(AO98="O",AP98="O",AR98="O",AT98="O",AU98="O"),"후보","X"))</f>
        <v>X</v>
      </c>
    </row>
    <row r="99" spans="1:48" x14ac:dyDescent="0.3">
      <c r="A99" s="9"/>
      <c r="B99" s="79"/>
      <c r="C99" s="6"/>
      <c r="D99" s="9"/>
      <c r="E99" s="14"/>
      <c r="F99" s="86"/>
      <c r="G99" s="9"/>
      <c r="H99" s="9"/>
      <c r="I99" s="9"/>
      <c r="J99" s="9"/>
      <c r="K99" s="9"/>
      <c r="L99" s="9"/>
      <c r="M99" s="9"/>
      <c r="N99" s="9"/>
      <c r="O99" s="91"/>
      <c r="P99" s="91"/>
      <c r="Q99" s="87"/>
      <c r="R99" s="87"/>
      <c r="S99" s="9"/>
      <c r="T99" s="47"/>
      <c r="U99" s="9"/>
      <c r="W99" s="67" t="str">
        <f>$A$4&amp;" "&amp;A100&amp;"("&amp;B100&amp;","&amp;C100&amp;"^)"</f>
        <v>복대동 두산위브지웰시티2차('15.06.,1956^)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97"/>
        <v/>
      </c>
      <c r="AI99" s="111" t="str">
        <f t="shared" ref="AI99:AI129" si="112">IF(E99="","",E99)</f>
        <v/>
      </c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</row>
    <row r="100" spans="1:48" x14ac:dyDescent="0.3">
      <c r="A100" s="9" t="s">
        <v>823</v>
      </c>
      <c r="B100" s="10" t="s">
        <v>1388</v>
      </c>
      <c r="C100" s="88">
        <v>1956</v>
      </c>
      <c r="D100" s="86">
        <v>112.9</v>
      </c>
      <c r="E100" s="87">
        <v>34</v>
      </c>
      <c r="F100" s="86">
        <v>80.5</v>
      </c>
      <c r="G100" s="17">
        <v>24</v>
      </c>
      <c r="H100" s="88">
        <v>652</v>
      </c>
      <c r="I100" s="89">
        <v>63000</v>
      </c>
      <c r="J100" s="89">
        <v>4</v>
      </c>
      <c r="K100" s="89">
        <v>52000</v>
      </c>
      <c r="L100" s="89">
        <v>16</v>
      </c>
      <c r="M100" s="90">
        <f>I100-K100</f>
        <v>11000</v>
      </c>
      <c r="N100" s="4">
        <f>IF(ISERROR(K100/I100),"",K100/I100)</f>
        <v>0.82539682539682535</v>
      </c>
      <c r="O100" s="91">
        <f>I100/E100</f>
        <v>1852.9411764705883</v>
      </c>
      <c r="P100" s="91">
        <f>K100/E100</f>
        <v>1529.4117647058824</v>
      </c>
      <c r="Q100" s="79">
        <v>3</v>
      </c>
      <c r="R100" s="79">
        <v>2</v>
      </c>
      <c r="S100" s="79" t="s">
        <v>62</v>
      </c>
      <c r="T100" s="5" t="s">
        <v>107</v>
      </c>
      <c r="U100" s="9"/>
      <c r="W100" s="86">
        <f t="shared" ref="W100:X102" si="113">D100</f>
        <v>112.9</v>
      </c>
      <c r="X100" s="87">
        <f t="shared" si="113"/>
        <v>34</v>
      </c>
      <c r="Y100" s="92">
        <f t="shared" ref="Y100:Z102" si="114">H100</f>
        <v>652</v>
      </c>
      <c r="Z100" s="90">
        <f t="shared" si="114"/>
        <v>63000</v>
      </c>
      <c r="AA100" s="90">
        <f>K100</f>
        <v>52000</v>
      </c>
      <c r="AB100" s="90">
        <f t="shared" ref="AB100:AD102" si="115">M100</f>
        <v>11000</v>
      </c>
      <c r="AC100" s="4">
        <f t="shared" si="115"/>
        <v>0.82539682539682535</v>
      </c>
      <c r="AD100" s="91">
        <f t="shared" si="115"/>
        <v>1852.9411764705883</v>
      </c>
      <c r="AE100" s="79" t="str">
        <f>S100</f>
        <v>계</v>
      </c>
      <c r="AF100" s="79" t="str">
        <f>Q100&amp;"/"&amp;R100</f>
        <v>3/2</v>
      </c>
      <c r="AH100" s="20" t="str">
        <f t="shared" si="97"/>
        <v>두산위브지웰시티2차</v>
      </c>
      <c r="AI100" s="87">
        <f t="shared" si="112"/>
        <v>34</v>
      </c>
      <c r="AJ100" s="79" t="str">
        <f>IF(AI100="","",$AJ$2)</f>
        <v>A-</v>
      </c>
      <c r="AK100" s="79" t="s">
        <v>13</v>
      </c>
      <c r="AL100" s="79" t="s">
        <v>60</v>
      </c>
      <c r="AM100" s="79" t="s">
        <v>61</v>
      </c>
      <c r="AN100" s="79" t="str">
        <f>IF(AI100="","",$AN$2)</f>
        <v>C</v>
      </c>
      <c r="AO100" s="79" t="str">
        <f>IF(N100="","",IF(N100&gt;=$AO$1/100,"O","X"))</f>
        <v>O</v>
      </c>
      <c r="AP100" s="79" t="str">
        <f>IF(I100="","",IF(I100&lt;=$AP$1,"O","X"))</f>
        <v>X</v>
      </c>
      <c r="AQ100" s="79" t="str">
        <f>IF(O100="","",IF(O100&lt;=$AQ$1,"O","X"))</f>
        <v>X</v>
      </c>
      <c r="AR100" s="79" t="str">
        <f>IF(M100="","",IF(M100&lt;=$AR$1,"O","X"))</f>
        <v>X</v>
      </c>
      <c r="AS100" s="79" t="s">
        <v>2</v>
      </c>
      <c r="AT100" s="79" t="str">
        <f>IF(OR(F100="",AI100=""),"",IF(AND((F100&lt;=85),(AI100&gt;=15)),"O","X"))</f>
        <v>O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>X</v>
      </c>
    </row>
    <row r="101" spans="1:48" x14ac:dyDescent="0.3">
      <c r="A101" s="9" t="s">
        <v>823</v>
      </c>
      <c r="B101" s="10" t="s">
        <v>1388</v>
      </c>
      <c r="C101" s="88">
        <v>1956</v>
      </c>
      <c r="D101" s="86">
        <v>113.1</v>
      </c>
      <c r="E101" s="87">
        <v>34</v>
      </c>
      <c r="F101" s="86">
        <v>80.099999999999994</v>
      </c>
      <c r="G101" s="17">
        <v>24</v>
      </c>
      <c r="H101" s="88">
        <v>652</v>
      </c>
      <c r="I101" s="89">
        <v>63000</v>
      </c>
      <c r="J101" s="89">
        <v>8</v>
      </c>
      <c r="K101" s="89">
        <v>50000</v>
      </c>
      <c r="L101" s="89">
        <v>36</v>
      </c>
      <c r="M101" s="90">
        <f>I101-K101</f>
        <v>13000</v>
      </c>
      <c r="N101" s="4">
        <f>IF(ISERROR(K101/I101),"",K101/I101)</f>
        <v>0.79365079365079361</v>
      </c>
      <c r="O101" s="91">
        <f>I101/E101</f>
        <v>1852.9411764705883</v>
      </c>
      <c r="P101" s="91">
        <f>K101/E101</f>
        <v>1470.5882352941176</v>
      </c>
      <c r="Q101" s="79">
        <v>3</v>
      </c>
      <c r="R101" s="79">
        <v>2</v>
      </c>
      <c r="S101" s="79" t="s">
        <v>62</v>
      </c>
      <c r="T101" s="5" t="s">
        <v>153</v>
      </c>
      <c r="U101" s="9"/>
      <c r="W101" s="86">
        <f t="shared" si="113"/>
        <v>113.1</v>
      </c>
      <c r="X101" s="87">
        <f t="shared" si="113"/>
        <v>34</v>
      </c>
      <c r="Y101" s="92">
        <f t="shared" si="114"/>
        <v>652</v>
      </c>
      <c r="Z101" s="90">
        <f t="shared" si="114"/>
        <v>63000</v>
      </c>
      <c r="AA101" s="90">
        <f>K101</f>
        <v>50000</v>
      </c>
      <c r="AB101" s="90">
        <f t="shared" si="115"/>
        <v>13000</v>
      </c>
      <c r="AC101" s="4">
        <f t="shared" si="115"/>
        <v>0.79365079365079361</v>
      </c>
      <c r="AD101" s="91">
        <f t="shared" si="115"/>
        <v>1852.9411764705883</v>
      </c>
      <c r="AE101" s="79" t="str">
        <f>S101</f>
        <v>계</v>
      </c>
      <c r="AF101" s="79" t="str">
        <f>Q101&amp;"/"&amp;R101</f>
        <v>3/2</v>
      </c>
      <c r="AH101" s="20" t="str">
        <f t="shared" ref="AH101:AH129" si="116">IF(A101="","",A101)</f>
        <v>두산위브지웰시티2차</v>
      </c>
      <c r="AI101" s="87">
        <f t="shared" si="112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>X</v>
      </c>
      <c r="AP101" s="79" t="str">
        <f>IF(I101="","",IF(I101&lt;=$AP$1,"O","X"))</f>
        <v>X</v>
      </c>
      <c r="AQ101" s="79" t="str">
        <f>IF(O101="","",IF(O101&lt;=$AQ$1,"O","X"))</f>
        <v>X</v>
      </c>
      <c r="AR101" s="79" t="str">
        <f>IF(M101="","",IF(M101&lt;=$AR$1,"O","X"))</f>
        <v>X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>X</v>
      </c>
    </row>
    <row r="102" spans="1:48" x14ac:dyDescent="0.3">
      <c r="A102" s="9" t="s">
        <v>823</v>
      </c>
      <c r="B102" s="10" t="s">
        <v>1388</v>
      </c>
      <c r="C102" s="88">
        <v>1956</v>
      </c>
      <c r="D102" s="86">
        <v>113.4</v>
      </c>
      <c r="E102" s="87">
        <v>34</v>
      </c>
      <c r="F102" s="86">
        <v>80</v>
      </c>
      <c r="G102" s="17">
        <v>24</v>
      </c>
      <c r="H102" s="88">
        <v>652</v>
      </c>
      <c r="I102" s="89">
        <v>65000</v>
      </c>
      <c r="J102" s="89">
        <v>6</v>
      </c>
      <c r="K102" s="89">
        <v>52000</v>
      </c>
      <c r="L102" s="89">
        <v>15</v>
      </c>
      <c r="M102" s="90">
        <f>I102-K102</f>
        <v>13000</v>
      </c>
      <c r="N102" s="4">
        <f>IF(ISERROR(K102/I102),"",K102/I102)</f>
        <v>0.8</v>
      </c>
      <c r="O102" s="91">
        <f>I102/E102</f>
        <v>1911.7647058823529</v>
      </c>
      <c r="P102" s="91">
        <f>K102/E102</f>
        <v>1529.4117647058824</v>
      </c>
      <c r="Q102" s="79">
        <v>3</v>
      </c>
      <c r="R102" s="79">
        <v>2</v>
      </c>
      <c r="S102" s="79" t="s">
        <v>62</v>
      </c>
      <c r="T102" s="5" t="s">
        <v>154</v>
      </c>
      <c r="U102" s="9"/>
      <c r="W102" s="86">
        <f t="shared" si="113"/>
        <v>113.4</v>
      </c>
      <c r="X102" s="87">
        <f t="shared" si="113"/>
        <v>34</v>
      </c>
      <c r="Y102" s="92">
        <f t="shared" si="114"/>
        <v>652</v>
      </c>
      <c r="Z102" s="90">
        <f t="shared" si="114"/>
        <v>65000</v>
      </c>
      <c r="AA102" s="90">
        <f>K102</f>
        <v>52000</v>
      </c>
      <c r="AB102" s="90">
        <f t="shared" si="115"/>
        <v>13000</v>
      </c>
      <c r="AC102" s="4">
        <f t="shared" si="115"/>
        <v>0.8</v>
      </c>
      <c r="AD102" s="91">
        <f t="shared" si="115"/>
        <v>1911.7647058823529</v>
      </c>
      <c r="AE102" s="79" t="str">
        <f>S102</f>
        <v>계</v>
      </c>
      <c r="AF102" s="79" t="str">
        <f>Q102&amp;"/"&amp;R102</f>
        <v>3/2</v>
      </c>
      <c r="AH102" s="20" t="str">
        <f t="shared" si="116"/>
        <v>두산위브지웰시티2차</v>
      </c>
      <c r="AI102" s="87">
        <f t="shared" si="112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>O</v>
      </c>
      <c r="AP102" s="79" t="str">
        <f>IF(I102="","",IF(I102&lt;=$AP$1,"O","X"))</f>
        <v>X</v>
      </c>
      <c r="AQ102" s="79" t="str">
        <f>IF(O102="","",IF(O102&lt;=$AQ$1,"O","X"))</f>
        <v>X</v>
      </c>
      <c r="AR102" s="79" t="str">
        <f>IF(M102="","",IF(M102&lt;=$AR$1,"O","X"))</f>
        <v>X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x14ac:dyDescent="0.3">
      <c r="A103" s="9"/>
      <c r="B103" s="79"/>
      <c r="C103" s="6"/>
      <c r="D103" s="9"/>
      <c r="E103" s="14"/>
      <c r="F103" s="86"/>
      <c r="G103" s="9"/>
      <c r="H103" s="9"/>
      <c r="I103" s="9"/>
      <c r="J103" s="9"/>
      <c r="K103" s="9"/>
      <c r="L103" s="9"/>
      <c r="M103" s="9"/>
      <c r="N103" s="9"/>
      <c r="O103" s="91"/>
      <c r="P103" s="91"/>
      <c r="Q103" s="87"/>
      <c r="R103" s="87"/>
      <c r="S103" s="9"/>
      <c r="T103" s="47"/>
      <c r="U103" s="9"/>
      <c r="W103" s="67" t="str">
        <f>$A$4&amp;" "&amp;A104&amp;"("&amp;B104&amp;","&amp;C104&amp;"^)"</f>
        <v>복대동 덕성('91.12.,498^)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16"/>
        <v/>
      </c>
      <c r="AI103" s="111" t="str">
        <f t="shared" si="112"/>
        <v/>
      </c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</row>
    <row r="104" spans="1:48" x14ac:dyDescent="0.3">
      <c r="A104" s="9" t="s">
        <v>832</v>
      </c>
      <c r="B104" s="10" t="s">
        <v>1389</v>
      </c>
      <c r="C104" s="88">
        <v>498</v>
      </c>
      <c r="D104" s="86">
        <v>35.1</v>
      </c>
      <c r="E104" s="87">
        <v>11</v>
      </c>
      <c r="F104" s="86">
        <v>22.7</v>
      </c>
      <c r="G104" s="17">
        <v>7</v>
      </c>
      <c r="H104" s="88">
        <v>456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9">
        <v>1</v>
      </c>
      <c r="R104" s="79">
        <v>1</v>
      </c>
      <c r="S104" s="79" t="s">
        <v>59</v>
      </c>
      <c r="T104" s="5">
        <v>35</v>
      </c>
      <c r="U104" s="9"/>
      <c r="W104" s="86">
        <f>D104</f>
        <v>35.1</v>
      </c>
      <c r="X104" s="87">
        <f>E104</f>
        <v>11</v>
      </c>
      <c r="Y104" s="92">
        <f>H104</f>
        <v>456</v>
      </c>
      <c r="Z104" s="90">
        <f>I104</f>
        <v>0</v>
      </c>
      <c r="AA104" s="90">
        <f>K104</f>
        <v>0</v>
      </c>
      <c r="AB104" s="90">
        <f t="shared" ref="AB104:AD105" si="117">M104</f>
        <v>0</v>
      </c>
      <c r="AC104" s="4" t="str">
        <f t="shared" si="117"/>
        <v/>
      </c>
      <c r="AD104" s="91">
        <f t="shared" si="117"/>
        <v>0</v>
      </c>
      <c r="AE104" s="79" t="str">
        <f>S104</f>
        <v>복</v>
      </c>
      <c r="AF104" s="79" t="str">
        <f>Q104&amp;"/"&amp;R104</f>
        <v>1/1</v>
      </c>
      <c r="AH104" s="20" t="str">
        <f t="shared" si="116"/>
        <v>덕성</v>
      </c>
      <c r="AI104" s="87">
        <f t="shared" si="112"/>
        <v>11</v>
      </c>
      <c r="AJ104" s="79" t="str">
        <f>IF(AI104="","",$AJ$2)</f>
        <v>A-</v>
      </c>
      <c r="AK104" s="79" t="s">
        <v>13</v>
      </c>
      <c r="AL104" s="79" t="s">
        <v>60</v>
      </c>
      <c r="AM104" s="79" t="s">
        <v>61</v>
      </c>
      <c r="AN104" s="79" t="str">
        <f>IF(AI104="","",$AN$2)</f>
        <v>C</v>
      </c>
      <c r="AO104" s="79" t="str">
        <f>IF(N104="","",IF(N104&gt;=$AO$1/100,"O","X"))</f>
        <v/>
      </c>
      <c r="AP104" s="79" t="str">
        <f>IF(I104="","",IF(I104&lt;=$AP$1,"O","X"))</f>
        <v/>
      </c>
      <c r="AQ104" s="79" t="str">
        <f>IF(O104="","",IF(O104&lt;=$AQ$1,"O","X"))</f>
        <v>O</v>
      </c>
      <c r="AR104" s="79" t="str">
        <f>IF(M104="","",IF(M104&lt;=$AR$1,"O","X"))</f>
        <v>O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/>
      </c>
    </row>
    <row r="105" spans="1:48" x14ac:dyDescent="0.3">
      <c r="A105" s="9" t="s">
        <v>832</v>
      </c>
      <c r="B105" s="10" t="s">
        <v>1389</v>
      </c>
      <c r="C105" s="88">
        <v>498</v>
      </c>
      <c r="D105" s="86">
        <v>80.5</v>
      </c>
      <c r="E105" s="87">
        <v>24</v>
      </c>
      <c r="F105" s="86">
        <v>52.1</v>
      </c>
      <c r="G105" s="17">
        <v>16</v>
      </c>
      <c r="H105" s="88">
        <v>42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59</v>
      </c>
      <c r="T105" s="5">
        <v>80</v>
      </c>
      <c r="U105" s="9"/>
      <c r="W105" s="86">
        <f>D105</f>
        <v>80.5</v>
      </c>
      <c r="X105" s="87">
        <f>E105</f>
        <v>24</v>
      </c>
      <c r="Y105" s="92">
        <f>H105</f>
        <v>42</v>
      </c>
      <c r="Z105" s="90">
        <f>I105</f>
        <v>0</v>
      </c>
      <c r="AA105" s="90">
        <f>K105</f>
        <v>0</v>
      </c>
      <c r="AB105" s="90">
        <f t="shared" si="117"/>
        <v>0</v>
      </c>
      <c r="AC105" s="4" t="str">
        <f t="shared" si="117"/>
        <v/>
      </c>
      <c r="AD105" s="91">
        <f t="shared" si="117"/>
        <v>0</v>
      </c>
      <c r="AE105" s="79" t="str">
        <f>S105</f>
        <v>복</v>
      </c>
      <c r="AF105" s="79" t="str">
        <f>Q105&amp;"/"&amp;R105</f>
        <v>3/2</v>
      </c>
      <c r="AH105" s="20" t="str">
        <f t="shared" si="116"/>
        <v>덕성</v>
      </c>
      <c r="AI105" s="87">
        <f t="shared" si="112"/>
        <v>24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/>
      </c>
    </row>
    <row r="106" spans="1:48" x14ac:dyDescent="0.3">
      <c r="A106" s="9"/>
      <c r="B106" s="79"/>
      <c r="C106" s="6"/>
      <c r="D106" s="9"/>
      <c r="E106" s="14"/>
      <c r="F106" s="86"/>
      <c r="G106" s="9"/>
      <c r="H106" s="9"/>
      <c r="I106" s="9"/>
      <c r="J106" s="9"/>
      <c r="K106" s="9"/>
      <c r="L106" s="9"/>
      <c r="M106" s="9"/>
      <c r="N106" s="9"/>
      <c r="O106" s="91"/>
      <c r="P106" s="91"/>
      <c r="Q106" s="87"/>
      <c r="R106" s="87"/>
      <c r="S106" s="9"/>
      <c r="T106" s="47"/>
      <c r="U106" s="9"/>
      <c r="W106" s="67" t="str">
        <f>$A$4&amp;" "&amp;A107&amp;"("&amp;B107&amp;","&amp;C107&amp;"^)"</f>
        <v>복대동 세원('90.08.,200^)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16"/>
        <v/>
      </c>
      <c r="AI106" s="111" t="str">
        <f t="shared" si="112"/>
        <v/>
      </c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</row>
    <row r="107" spans="1:48" x14ac:dyDescent="0.3">
      <c r="A107" s="9" t="s">
        <v>835</v>
      </c>
      <c r="B107" s="10" t="s">
        <v>1390</v>
      </c>
      <c r="C107" s="88">
        <v>200</v>
      </c>
      <c r="D107" s="86">
        <v>60.7</v>
      </c>
      <c r="E107" s="87">
        <v>18</v>
      </c>
      <c r="F107" s="86">
        <v>48.4</v>
      </c>
      <c r="G107" s="17">
        <v>15</v>
      </c>
      <c r="H107" s="88">
        <v>5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2</v>
      </c>
      <c r="R107" s="79">
        <v>1</v>
      </c>
      <c r="S107" s="79" t="s">
        <v>62</v>
      </c>
      <c r="T107" s="5">
        <v>60</v>
      </c>
      <c r="U107" s="9"/>
      <c r="W107" s="86">
        <f t="shared" ref="W107:X109" si="118">D107</f>
        <v>60.7</v>
      </c>
      <c r="X107" s="87">
        <f t="shared" si="118"/>
        <v>18</v>
      </c>
      <c r="Y107" s="92">
        <f t="shared" ref="Y107:Z109" si="119">H107</f>
        <v>5</v>
      </c>
      <c r="Z107" s="90">
        <f t="shared" si="119"/>
        <v>0</v>
      </c>
      <c r="AA107" s="90">
        <f>K107</f>
        <v>0</v>
      </c>
      <c r="AB107" s="90">
        <f t="shared" ref="AB107:AD109" si="120">M107</f>
        <v>0</v>
      </c>
      <c r="AC107" s="4" t="str">
        <f t="shared" si="120"/>
        <v/>
      </c>
      <c r="AD107" s="91">
        <f t="shared" si="120"/>
        <v>0</v>
      </c>
      <c r="AE107" s="79" t="str">
        <f>S107</f>
        <v>계</v>
      </c>
      <c r="AF107" s="79" t="str">
        <f>Q107&amp;"/"&amp;R107</f>
        <v>2/1</v>
      </c>
      <c r="AH107" s="20" t="str">
        <f t="shared" si="116"/>
        <v>세원</v>
      </c>
      <c r="AI107" s="87">
        <f t="shared" si="112"/>
        <v>18</v>
      </c>
      <c r="AJ107" s="79" t="str">
        <f>IF(AI107="","",$AJ$2)</f>
        <v>A-</v>
      </c>
      <c r="AK107" s="79" t="s">
        <v>13</v>
      </c>
      <c r="AL107" s="79" t="s">
        <v>60</v>
      </c>
      <c r="AM107" s="79" t="s">
        <v>61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O</v>
      </c>
      <c r="AU107" s="79" t="str">
        <f>IF(C107="","",IF(C107&gt;=$AU$1,"O","X"))</f>
        <v>X</v>
      </c>
      <c r="AV107" s="79" t="str">
        <f>IF(AO107="","",IF(AND(AO107="O",AP107="O",AR107="O",AT107="O",AU107="O"),"후보","X"))</f>
        <v/>
      </c>
    </row>
    <row r="108" spans="1:48" x14ac:dyDescent="0.3">
      <c r="A108" s="9" t="s">
        <v>835</v>
      </c>
      <c r="B108" s="10" t="s">
        <v>1390</v>
      </c>
      <c r="C108" s="88">
        <v>200</v>
      </c>
      <c r="D108" s="86">
        <v>72.900000000000006</v>
      </c>
      <c r="E108" s="87">
        <v>22</v>
      </c>
      <c r="F108" s="86">
        <v>59.4</v>
      </c>
      <c r="G108" s="17">
        <v>18</v>
      </c>
      <c r="H108" s="88">
        <v>75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3</v>
      </c>
      <c r="R108" s="79">
        <v>1</v>
      </c>
      <c r="S108" s="79" t="s">
        <v>62</v>
      </c>
      <c r="T108" s="5">
        <v>72</v>
      </c>
      <c r="U108" s="9"/>
      <c r="W108" s="86">
        <f t="shared" si="118"/>
        <v>72.900000000000006</v>
      </c>
      <c r="X108" s="87">
        <f t="shared" si="118"/>
        <v>22</v>
      </c>
      <c r="Y108" s="92">
        <f t="shared" si="119"/>
        <v>75</v>
      </c>
      <c r="Z108" s="90">
        <f t="shared" si="119"/>
        <v>0</v>
      </c>
      <c r="AA108" s="90">
        <f>K108</f>
        <v>0</v>
      </c>
      <c r="AB108" s="90">
        <f t="shared" si="120"/>
        <v>0</v>
      </c>
      <c r="AC108" s="4" t="str">
        <f t="shared" si="120"/>
        <v/>
      </c>
      <c r="AD108" s="91">
        <f t="shared" si="120"/>
        <v>0</v>
      </c>
      <c r="AE108" s="79" t="str">
        <f>S108</f>
        <v>계</v>
      </c>
      <c r="AF108" s="79" t="str">
        <f>Q108&amp;"/"&amp;R108</f>
        <v>3/1</v>
      </c>
      <c r="AH108" s="20" t="str">
        <f t="shared" si="116"/>
        <v>세원</v>
      </c>
      <c r="AI108" s="87">
        <f t="shared" si="112"/>
        <v>22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x14ac:dyDescent="0.3">
      <c r="A109" s="9" t="s">
        <v>835</v>
      </c>
      <c r="B109" s="10" t="s">
        <v>1390</v>
      </c>
      <c r="C109" s="88">
        <v>200</v>
      </c>
      <c r="D109" s="86">
        <v>101.9</v>
      </c>
      <c r="E109" s="87">
        <v>31</v>
      </c>
      <c r="F109" s="86">
        <v>84.9</v>
      </c>
      <c r="G109" s="17">
        <v>26</v>
      </c>
      <c r="H109" s="88">
        <v>120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62</v>
      </c>
      <c r="T109" s="5">
        <v>101</v>
      </c>
      <c r="U109" s="9"/>
      <c r="W109" s="86">
        <f t="shared" si="118"/>
        <v>101.9</v>
      </c>
      <c r="X109" s="87">
        <f t="shared" si="118"/>
        <v>31</v>
      </c>
      <c r="Y109" s="92">
        <f t="shared" si="119"/>
        <v>120</v>
      </c>
      <c r="Z109" s="90">
        <f t="shared" si="119"/>
        <v>0</v>
      </c>
      <c r="AA109" s="90">
        <f>K109</f>
        <v>0</v>
      </c>
      <c r="AB109" s="90">
        <f t="shared" si="120"/>
        <v>0</v>
      </c>
      <c r="AC109" s="4" t="str">
        <f t="shared" si="120"/>
        <v/>
      </c>
      <c r="AD109" s="91">
        <f t="shared" si="120"/>
        <v>0</v>
      </c>
      <c r="AE109" s="79" t="str">
        <f>S109</f>
        <v>계</v>
      </c>
      <c r="AF109" s="79" t="str">
        <f>Q109&amp;"/"&amp;R109</f>
        <v>3/2</v>
      </c>
      <c r="AH109" s="20" t="str">
        <f t="shared" si="116"/>
        <v>세원</v>
      </c>
      <c r="AI109" s="87">
        <f t="shared" si="112"/>
        <v>31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X</v>
      </c>
      <c r="AV109" s="79" t="str">
        <f>IF(AO109="","",IF(AND(AO109="O",AP109="O",AR109="O",AT109="O",AU109="O"),"후보","X"))</f>
        <v/>
      </c>
    </row>
    <row r="110" spans="1:48" x14ac:dyDescent="0.3">
      <c r="A110" s="9"/>
      <c r="B110" s="79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복대동 덕일('89.12.,350^)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16"/>
        <v/>
      </c>
      <c r="AI110" s="111" t="str">
        <f t="shared" si="112"/>
        <v/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</row>
    <row r="111" spans="1:48" x14ac:dyDescent="0.3">
      <c r="A111" s="9" t="s">
        <v>844</v>
      </c>
      <c r="B111" s="10" t="s">
        <v>1391</v>
      </c>
      <c r="C111" s="88">
        <v>350</v>
      </c>
      <c r="D111" s="86">
        <v>58.7</v>
      </c>
      <c r="E111" s="87">
        <v>18</v>
      </c>
      <c r="F111" s="86">
        <v>49.6</v>
      </c>
      <c r="G111" s="17">
        <v>15</v>
      </c>
      <c r="H111" s="88">
        <v>200</v>
      </c>
      <c r="I111" s="89">
        <v>12000</v>
      </c>
      <c r="J111" s="89" t="s">
        <v>83</v>
      </c>
      <c r="K111" s="89">
        <v>11000</v>
      </c>
      <c r="L111" s="89" t="s">
        <v>83</v>
      </c>
      <c r="M111" s="90">
        <f>I111-K111</f>
        <v>1000</v>
      </c>
      <c r="N111" s="4">
        <f>IF(ISERROR(K111/I111),"",K111/I111)</f>
        <v>0.91666666666666663</v>
      </c>
      <c r="O111" s="91">
        <f>I111/E111</f>
        <v>666.66666666666663</v>
      </c>
      <c r="P111" s="91">
        <f>K111/E111</f>
        <v>611.11111111111109</v>
      </c>
      <c r="Q111" s="79">
        <v>2</v>
      </c>
      <c r="R111" s="79">
        <v>1</v>
      </c>
      <c r="S111" s="79" t="s">
        <v>62</v>
      </c>
      <c r="T111" s="5">
        <v>58</v>
      </c>
      <c r="U111" s="9"/>
      <c r="W111" s="86">
        <f t="shared" ref="W111:X115" si="121">D111</f>
        <v>58.7</v>
      </c>
      <c r="X111" s="87">
        <f t="shared" si="121"/>
        <v>18</v>
      </c>
      <c r="Y111" s="92">
        <f t="shared" ref="Y111:Z115" si="122">H111</f>
        <v>200</v>
      </c>
      <c r="Z111" s="90">
        <f t="shared" si="122"/>
        <v>12000</v>
      </c>
      <c r="AA111" s="90">
        <f>K111</f>
        <v>11000</v>
      </c>
      <c r="AB111" s="90">
        <f t="shared" ref="AB111:AD115" si="123">M111</f>
        <v>1000</v>
      </c>
      <c r="AC111" s="4">
        <f t="shared" si="123"/>
        <v>0.91666666666666663</v>
      </c>
      <c r="AD111" s="91">
        <f t="shared" si="123"/>
        <v>666.66666666666663</v>
      </c>
      <c r="AE111" s="79" t="str">
        <f>S111</f>
        <v>계</v>
      </c>
      <c r="AF111" s="79" t="str">
        <f>Q111&amp;"/"&amp;R111</f>
        <v>2/1</v>
      </c>
      <c r="AH111" s="20" t="str">
        <f t="shared" si="116"/>
        <v>덕일</v>
      </c>
      <c r="AI111" s="87">
        <f t="shared" si="112"/>
        <v>18</v>
      </c>
      <c r="AJ111" s="79" t="str">
        <f>IF(AI111="","",$AJ$2)</f>
        <v>A-</v>
      </c>
      <c r="AK111" s="79" t="s">
        <v>13</v>
      </c>
      <c r="AL111" s="79" t="s">
        <v>60</v>
      </c>
      <c r="AM111" s="79" t="s">
        <v>61</v>
      </c>
      <c r="AN111" s="79" t="str">
        <f>IF(AI111="","",$AN$2)</f>
        <v>C</v>
      </c>
      <c r="AO111" s="79" t="str">
        <f>IF(N111="","",IF(N111&gt;=$AO$1/100,"O","X"))</f>
        <v>O</v>
      </c>
      <c r="AP111" s="79" t="str">
        <f>IF(I111="","",IF(I111&lt;=$AP$1,"O","X"))</f>
        <v>O</v>
      </c>
      <c r="AQ111" s="79" t="str">
        <f>IF(O111="","",IF(O111&lt;=$AQ$1,"O","X"))</f>
        <v>O</v>
      </c>
      <c r="AR111" s="79" t="str">
        <f>IF(M111="","",IF(M111&lt;=$AR$1,"O","X"))</f>
        <v>O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후보</v>
      </c>
    </row>
    <row r="112" spans="1:48" x14ac:dyDescent="0.3">
      <c r="A112" s="9" t="s">
        <v>844</v>
      </c>
      <c r="B112" s="10" t="s">
        <v>1391</v>
      </c>
      <c r="C112" s="88">
        <v>350</v>
      </c>
      <c r="D112" s="86">
        <v>64.900000000000006</v>
      </c>
      <c r="E112" s="87">
        <v>20</v>
      </c>
      <c r="F112" s="86">
        <v>49.6</v>
      </c>
      <c r="G112" s="17">
        <v>15</v>
      </c>
      <c r="H112" s="88">
        <v>10</v>
      </c>
      <c r="I112" s="89"/>
      <c r="J112" s="89"/>
      <c r="K112" s="89"/>
      <c r="L112" s="89"/>
      <c r="M112" s="90">
        <f>I112-K112</f>
        <v>0</v>
      </c>
      <c r="N112" s="4" t="str">
        <f>IF(ISERROR(K112/I112),"",K112/I112)</f>
        <v/>
      </c>
      <c r="O112" s="91">
        <f>I112/E112</f>
        <v>0</v>
      </c>
      <c r="P112" s="91">
        <f>K112/E112</f>
        <v>0</v>
      </c>
      <c r="Q112" s="79">
        <v>3</v>
      </c>
      <c r="R112" s="79">
        <v>2</v>
      </c>
      <c r="S112" s="79" t="s">
        <v>62</v>
      </c>
      <c r="T112" s="5">
        <v>64</v>
      </c>
      <c r="U112" s="9"/>
      <c r="W112" s="86">
        <f t="shared" si="121"/>
        <v>64.900000000000006</v>
      </c>
      <c r="X112" s="87">
        <f t="shared" si="121"/>
        <v>20</v>
      </c>
      <c r="Y112" s="92">
        <f t="shared" si="122"/>
        <v>10</v>
      </c>
      <c r="Z112" s="90">
        <f t="shared" si="122"/>
        <v>0</v>
      </c>
      <c r="AA112" s="90">
        <f>K112</f>
        <v>0</v>
      </c>
      <c r="AB112" s="90">
        <f t="shared" si="123"/>
        <v>0</v>
      </c>
      <c r="AC112" s="4" t="str">
        <f t="shared" si="123"/>
        <v/>
      </c>
      <c r="AD112" s="91">
        <f t="shared" si="123"/>
        <v>0</v>
      </c>
      <c r="AE112" s="79" t="str">
        <f>S112</f>
        <v>계</v>
      </c>
      <c r="AF112" s="79" t="str">
        <f>Q112&amp;"/"&amp;R112</f>
        <v>3/2</v>
      </c>
      <c r="AH112" s="20" t="str">
        <f t="shared" si="116"/>
        <v>덕일</v>
      </c>
      <c r="AI112" s="87">
        <f t="shared" si="112"/>
        <v>20</v>
      </c>
      <c r="AJ112" s="79" t="str">
        <f>IF(AI112="","",$AJ$2)</f>
        <v>A-</v>
      </c>
      <c r="AK112" s="79" t="s">
        <v>13</v>
      </c>
      <c r="AL112" s="79" t="s">
        <v>60</v>
      </c>
      <c r="AM112" s="79" t="s">
        <v>61</v>
      </c>
      <c r="AN112" s="79" t="str">
        <f>IF(AI112="","",$AN$2)</f>
        <v>C</v>
      </c>
      <c r="AO112" s="79" t="str">
        <f>IF(N112="","",IF(N112&gt;=$AO$1/100,"O","X"))</f>
        <v/>
      </c>
      <c r="AP112" s="79" t="str">
        <f>IF(I112="","",IF(I112&lt;=$AP$1,"O","X"))</f>
        <v/>
      </c>
      <c r="AQ112" s="79" t="str">
        <f>IF(O112="","",IF(O112&lt;=$AQ$1,"O","X"))</f>
        <v>O</v>
      </c>
      <c r="AR112" s="79" t="str">
        <f>IF(M112="","",IF(M112&lt;=$AR$1,"O","X"))</f>
        <v>O</v>
      </c>
      <c r="AS112" s="79" t="s">
        <v>2</v>
      </c>
      <c r="AT112" s="79" t="str">
        <f>IF(OR(F112="",AI112=""),"",IF(AND((F112&lt;=85),(AI112&gt;=15)),"O","X"))</f>
        <v>O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/>
      </c>
    </row>
    <row r="113" spans="1:48" x14ac:dyDescent="0.3">
      <c r="A113" s="9" t="s">
        <v>844</v>
      </c>
      <c r="B113" s="10" t="s">
        <v>1391</v>
      </c>
      <c r="C113" s="88">
        <v>350</v>
      </c>
      <c r="D113" s="86">
        <v>68.7</v>
      </c>
      <c r="E113" s="87">
        <v>21</v>
      </c>
      <c r="F113" s="86">
        <v>59.6</v>
      </c>
      <c r="G113" s="17">
        <v>18</v>
      </c>
      <c r="H113" s="88">
        <v>5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9">
        <v>3</v>
      </c>
      <c r="R113" s="79">
        <v>1</v>
      </c>
      <c r="S113" s="79" t="s">
        <v>62</v>
      </c>
      <c r="T113" s="5" t="s">
        <v>155</v>
      </c>
      <c r="U113" s="9"/>
      <c r="W113" s="86">
        <f t="shared" si="121"/>
        <v>68.7</v>
      </c>
      <c r="X113" s="87">
        <f t="shared" si="121"/>
        <v>21</v>
      </c>
      <c r="Y113" s="92">
        <f t="shared" si="122"/>
        <v>5</v>
      </c>
      <c r="Z113" s="90">
        <f t="shared" si="122"/>
        <v>0</v>
      </c>
      <c r="AA113" s="90">
        <f>K113</f>
        <v>0</v>
      </c>
      <c r="AB113" s="90">
        <f t="shared" si="123"/>
        <v>0</v>
      </c>
      <c r="AC113" s="4" t="str">
        <f t="shared" si="123"/>
        <v/>
      </c>
      <c r="AD113" s="91">
        <f t="shared" si="123"/>
        <v>0</v>
      </c>
      <c r="AE113" s="79" t="str">
        <f>S113</f>
        <v>계</v>
      </c>
      <c r="AF113" s="79" t="str">
        <f>Q113&amp;"/"&amp;R113</f>
        <v>3/1</v>
      </c>
      <c r="AH113" s="20" t="str">
        <f t="shared" si="116"/>
        <v>덕일</v>
      </c>
      <c r="AI113" s="87">
        <f t="shared" si="112"/>
        <v>21</v>
      </c>
      <c r="AJ113" s="79" t="str">
        <f>IF(AI113="","",$AJ$2)</f>
        <v>A-</v>
      </c>
      <c r="AK113" s="79" t="s">
        <v>13</v>
      </c>
      <c r="AL113" s="79" t="s">
        <v>60</v>
      </c>
      <c r="AM113" s="79" t="s">
        <v>61</v>
      </c>
      <c r="AN113" s="79" t="str">
        <f>IF(AI113="","",$AN$2)</f>
        <v>C</v>
      </c>
      <c r="AO113" s="79" t="str">
        <f>IF(N113="","",IF(N113&gt;=$AO$1/100,"O","X"))</f>
        <v/>
      </c>
      <c r="AP113" s="79" t="str">
        <f>IF(I113="","",IF(I113&lt;=$AP$1,"O","X"))</f>
        <v/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/>
      </c>
    </row>
    <row r="114" spans="1:48" x14ac:dyDescent="0.3">
      <c r="A114" s="9" t="s">
        <v>844</v>
      </c>
      <c r="B114" s="10" t="s">
        <v>1391</v>
      </c>
      <c r="C114" s="88">
        <v>350</v>
      </c>
      <c r="D114" s="86">
        <v>68.7</v>
      </c>
      <c r="E114" s="87">
        <v>21</v>
      </c>
      <c r="F114" s="86">
        <v>59.6</v>
      </c>
      <c r="G114" s="17">
        <v>18</v>
      </c>
      <c r="H114" s="88">
        <v>5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9">
        <v>3</v>
      </c>
      <c r="R114" s="79">
        <v>1</v>
      </c>
      <c r="S114" s="79" t="s">
        <v>62</v>
      </c>
      <c r="T114" s="5" t="s">
        <v>156</v>
      </c>
      <c r="U114" s="9"/>
      <c r="W114" s="86">
        <f t="shared" si="121"/>
        <v>68.7</v>
      </c>
      <c r="X114" s="87">
        <f t="shared" si="121"/>
        <v>21</v>
      </c>
      <c r="Y114" s="92">
        <f t="shared" si="122"/>
        <v>5</v>
      </c>
      <c r="Z114" s="90">
        <f t="shared" si="122"/>
        <v>0</v>
      </c>
      <c r="AA114" s="90">
        <f>K114</f>
        <v>0</v>
      </c>
      <c r="AB114" s="90">
        <f t="shared" si="123"/>
        <v>0</v>
      </c>
      <c r="AC114" s="4" t="str">
        <f t="shared" si="123"/>
        <v/>
      </c>
      <c r="AD114" s="91">
        <f t="shared" si="123"/>
        <v>0</v>
      </c>
      <c r="AE114" s="79" t="str">
        <f>S114</f>
        <v>계</v>
      </c>
      <c r="AF114" s="79" t="str">
        <f>Q114&amp;"/"&amp;R114</f>
        <v>3/1</v>
      </c>
      <c r="AH114" s="20" t="str">
        <f t="shared" si="116"/>
        <v>덕일</v>
      </c>
      <c r="AI114" s="87">
        <f t="shared" si="112"/>
        <v>21</v>
      </c>
      <c r="AJ114" s="79" t="str">
        <f>IF(AI114="","",$AJ$2)</f>
        <v>A-</v>
      </c>
      <c r="AK114" s="79" t="s">
        <v>13</v>
      </c>
      <c r="AL114" s="79" t="s">
        <v>60</v>
      </c>
      <c r="AM114" s="79" t="s">
        <v>61</v>
      </c>
      <c r="AN114" s="79" t="str">
        <f>IF(AI114="","",$AN$2)</f>
        <v>C</v>
      </c>
      <c r="AO114" s="79" t="str">
        <f>IF(N114="","",IF(N114&gt;=$AO$1/100,"O","X"))</f>
        <v/>
      </c>
      <c r="AP114" s="79" t="str">
        <f>IF(I114="","",IF(I114&lt;=$AP$1,"O","X"))</f>
        <v/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/>
      </c>
    </row>
    <row r="115" spans="1:48" x14ac:dyDescent="0.3">
      <c r="A115" s="9" t="s">
        <v>844</v>
      </c>
      <c r="B115" s="10" t="s">
        <v>1391</v>
      </c>
      <c r="C115" s="88">
        <v>350</v>
      </c>
      <c r="D115" s="86">
        <v>69</v>
      </c>
      <c r="E115" s="87">
        <v>21</v>
      </c>
      <c r="F115" s="86">
        <v>59.9</v>
      </c>
      <c r="G115" s="17">
        <v>18</v>
      </c>
      <c r="H115" s="88">
        <v>130</v>
      </c>
      <c r="I115" s="89">
        <v>13600</v>
      </c>
      <c r="J115" s="89" t="s">
        <v>83</v>
      </c>
      <c r="K115" s="89"/>
      <c r="L115" s="89"/>
      <c r="M115" s="90">
        <f>I115-K115</f>
        <v>13600</v>
      </c>
      <c r="N115" s="4">
        <f>IF(ISERROR(K115/I115),"",K115/I115)</f>
        <v>0</v>
      </c>
      <c r="O115" s="91">
        <f>I115/E115</f>
        <v>647.61904761904759</v>
      </c>
      <c r="P115" s="91">
        <f>K115/E115</f>
        <v>0</v>
      </c>
      <c r="Q115" s="79">
        <v>3</v>
      </c>
      <c r="R115" s="79">
        <v>1</v>
      </c>
      <c r="S115" s="79" t="s">
        <v>62</v>
      </c>
      <c r="T115" s="5">
        <v>69</v>
      </c>
      <c r="U115" s="9"/>
      <c r="W115" s="86">
        <f t="shared" si="121"/>
        <v>69</v>
      </c>
      <c r="X115" s="87">
        <f t="shared" si="121"/>
        <v>21</v>
      </c>
      <c r="Y115" s="92">
        <f t="shared" si="122"/>
        <v>130</v>
      </c>
      <c r="Z115" s="90">
        <f t="shared" si="122"/>
        <v>13600</v>
      </c>
      <c r="AA115" s="90">
        <f>K115</f>
        <v>0</v>
      </c>
      <c r="AB115" s="90">
        <f t="shared" si="123"/>
        <v>13600</v>
      </c>
      <c r="AC115" s="4">
        <f t="shared" si="123"/>
        <v>0</v>
      </c>
      <c r="AD115" s="91">
        <f t="shared" si="123"/>
        <v>647.61904761904759</v>
      </c>
      <c r="AE115" s="79" t="str">
        <f>S115</f>
        <v>계</v>
      </c>
      <c r="AF115" s="79" t="str">
        <f>Q115&amp;"/"&amp;R115</f>
        <v>3/1</v>
      </c>
      <c r="AH115" s="20" t="str">
        <f t="shared" si="116"/>
        <v>덕일</v>
      </c>
      <c r="AI115" s="87">
        <f t="shared" si="112"/>
        <v>21</v>
      </c>
      <c r="AJ115" s="79" t="str">
        <f>IF(AI115="","",$AJ$2)</f>
        <v>A-</v>
      </c>
      <c r="AK115" s="79" t="s">
        <v>13</v>
      </c>
      <c r="AL115" s="79" t="s">
        <v>60</v>
      </c>
      <c r="AM115" s="79" t="s">
        <v>61</v>
      </c>
      <c r="AN115" s="79" t="str">
        <f>IF(AI115="","",$AN$2)</f>
        <v>C</v>
      </c>
      <c r="AO115" s="79" t="str">
        <f>IF(N115="","",IF(N115&gt;=$AO$1/100,"O","X"))</f>
        <v>X</v>
      </c>
      <c r="AP115" s="79" t="str">
        <f>IF(I115="","",IF(I115&lt;=$AP$1,"O","X"))</f>
        <v>O</v>
      </c>
      <c r="AQ115" s="79" t="str">
        <f>IF(O115="","",IF(O115&lt;=$AQ$1,"O","X"))</f>
        <v>O</v>
      </c>
      <c r="AR115" s="79" t="str">
        <f>IF(M115="","",IF(M115&lt;=$AR$1,"O","X"))</f>
        <v>X</v>
      </c>
      <c r="AS115" s="79" t="s">
        <v>2</v>
      </c>
      <c r="AT115" s="79" t="str">
        <f>IF(OR(F115="",AI115=""),"",IF(AND((F115&lt;=85),(AI115&gt;=15)),"O","X"))</f>
        <v>O</v>
      </c>
      <c r="AU115" s="79" t="str">
        <f>IF(C115="","",IF(C115&gt;=$AU$1,"O","X"))</f>
        <v>O</v>
      </c>
      <c r="AV115" s="79" t="str">
        <f>IF(AO115="","",IF(AND(AO115="O",AP115="O",AR115="O",AT115="O",AU115="O"),"후보","X"))</f>
        <v>X</v>
      </c>
    </row>
    <row r="116" spans="1:48" x14ac:dyDescent="0.3">
      <c r="A116" s="9"/>
      <c r="B116" s="79"/>
      <c r="C116" s="6"/>
      <c r="D116" s="9"/>
      <c r="E116" s="14"/>
      <c r="F116" s="86"/>
      <c r="G116" s="9"/>
      <c r="H116" s="9"/>
      <c r="I116" s="9"/>
      <c r="J116" s="9"/>
      <c r="K116" s="9"/>
      <c r="L116" s="9"/>
      <c r="M116" s="9"/>
      <c r="N116" s="9"/>
      <c r="O116" s="91"/>
      <c r="P116" s="91"/>
      <c r="Q116" s="87"/>
      <c r="R116" s="87"/>
      <c r="S116" s="9"/>
      <c r="T116" s="47"/>
      <c r="U116" s="9"/>
      <c r="W116" s="67" t="str">
        <f>$A$4&amp;" "&amp;A117&amp;"("&amp;B117&amp;","&amp;C117&amp;"^)"</f>
        <v>복대동 세원느티마을('99.09.,526^)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16"/>
        <v/>
      </c>
      <c r="AI116" s="111" t="str">
        <f t="shared" si="112"/>
        <v/>
      </c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79"/>
    </row>
    <row r="117" spans="1:48" x14ac:dyDescent="0.3">
      <c r="A117" s="9" t="s">
        <v>849</v>
      </c>
      <c r="B117" s="10" t="s">
        <v>1392</v>
      </c>
      <c r="C117" s="88">
        <v>526</v>
      </c>
      <c r="D117" s="86">
        <v>76.3</v>
      </c>
      <c r="E117" s="87">
        <v>23</v>
      </c>
      <c r="F117" s="86">
        <v>60</v>
      </c>
      <c r="G117" s="17">
        <v>18</v>
      </c>
      <c r="H117" s="88">
        <v>380</v>
      </c>
      <c r="I117" s="89">
        <v>19500</v>
      </c>
      <c r="J117" s="89" t="s">
        <v>79</v>
      </c>
      <c r="K117" s="89">
        <v>19500</v>
      </c>
      <c r="L117" s="89" t="s">
        <v>79</v>
      </c>
      <c r="M117" s="90">
        <f>I117-K117</f>
        <v>0</v>
      </c>
      <c r="N117" s="4">
        <f>IF(ISERROR(K117/I117),"",K117/I117)</f>
        <v>1</v>
      </c>
      <c r="O117" s="91">
        <f>I117/E117</f>
        <v>847.82608695652175</v>
      </c>
      <c r="P117" s="91">
        <f>K117/E117</f>
        <v>847.82608695652175</v>
      </c>
      <c r="Q117" s="79">
        <v>3</v>
      </c>
      <c r="R117" s="79">
        <v>2</v>
      </c>
      <c r="S117" s="79" t="s">
        <v>62</v>
      </c>
      <c r="T117" s="5">
        <v>76</v>
      </c>
      <c r="U117" s="9"/>
      <c r="W117" s="86">
        <f>D117</f>
        <v>76.3</v>
      </c>
      <c r="X117" s="87">
        <f>E117</f>
        <v>23</v>
      </c>
      <c r="Y117" s="92">
        <f>H117</f>
        <v>380</v>
      </c>
      <c r="Z117" s="90">
        <f>I117</f>
        <v>19500</v>
      </c>
      <c r="AA117" s="90">
        <f>K117</f>
        <v>19500</v>
      </c>
      <c r="AB117" s="90">
        <f t="shared" ref="AB117:AD118" si="124">M117</f>
        <v>0</v>
      </c>
      <c r="AC117" s="4">
        <f t="shared" si="124"/>
        <v>1</v>
      </c>
      <c r="AD117" s="91">
        <f t="shared" si="124"/>
        <v>847.82608695652175</v>
      </c>
      <c r="AE117" s="79" t="str">
        <f>S117</f>
        <v>계</v>
      </c>
      <c r="AF117" s="79" t="str">
        <f>Q117&amp;"/"&amp;R117</f>
        <v>3/2</v>
      </c>
      <c r="AH117" s="20" t="str">
        <f t="shared" si="116"/>
        <v>세원느티마을</v>
      </c>
      <c r="AI117" s="87">
        <f t="shared" si="112"/>
        <v>23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>O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후보</v>
      </c>
    </row>
    <row r="118" spans="1:48" x14ac:dyDescent="0.3">
      <c r="A118" s="9" t="s">
        <v>849</v>
      </c>
      <c r="B118" s="10" t="s">
        <v>1392</v>
      </c>
      <c r="C118" s="88">
        <v>526</v>
      </c>
      <c r="D118" s="86">
        <v>81.599999999999994</v>
      </c>
      <c r="E118" s="87">
        <v>25</v>
      </c>
      <c r="F118" s="86">
        <v>60</v>
      </c>
      <c r="G118" s="17">
        <v>18</v>
      </c>
      <c r="H118" s="88">
        <v>146</v>
      </c>
      <c r="I118" s="89">
        <v>19700</v>
      </c>
      <c r="J118" s="89" t="s">
        <v>75</v>
      </c>
      <c r="K118" s="89">
        <v>20000</v>
      </c>
      <c r="L118" s="89" t="s">
        <v>83</v>
      </c>
      <c r="M118" s="90">
        <f>I118-K118</f>
        <v>-300</v>
      </c>
      <c r="N118" s="4">
        <f>IF(ISERROR(K118/I118),"",K118/I118)</f>
        <v>1.015228426395939</v>
      </c>
      <c r="O118" s="91">
        <f>I118/E118</f>
        <v>788</v>
      </c>
      <c r="P118" s="91">
        <f>K118/E118</f>
        <v>800</v>
      </c>
      <c r="Q118" s="79">
        <v>3</v>
      </c>
      <c r="R118" s="79">
        <v>2</v>
      </c>
      <c r="S118" s="79" t="s">
        <v>62</v>
      </c>
      <c r="T118" s="5">
        <v>81</v>
      </c>
      <c r="U118" s="9"/>
      <c r="W118" s="86">
        <f>D118</f>
        <v>81.599999999999994</v>
      </c>
      <c r="X118" s="87">
        <f>E118</f>
        <v>25</v>
      </c>
      <c r="Y118" s="92">
        <f>H118</f>
        <v>146</v>
      </c>
      <c r="Z118" s="90">
        <f>I118</f>
        <v>19700</v>
      </c>
      <c r="AA118" s="90">
        <f>K118</f>
        <v>20000</v>
      </c>
      <c r="AB118" s="90">
        <f t="shared" si="124"/>
        <v>-300</v>
      </c>
      <c r="AC118" s="4">
        <f t="shared" si="124"/>
        <v>1.015228426395939</v>
      </c>
      <c r="AD118" s="91">
        <f t="shared" si="124"/>
        <v>788</v>
      </c>
      <c r="AE118" s="79" t="str">
        <f>S118</f>
        <v>계</v>
      </c>
      <c r="AF118" s="79" t="str">
        <f>Q118&amp;"/"&amp;R118</f>
        <v>3/2</v>
      </c>
      <c r="AH118" s="20" t="str">
        <f t="shared" si="116"/>
        <v>세원느티마을</v>
      </c>
      <c r="AI118" s="87">
        <f t="shared" si="112"/>
        <v>25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>O</v>
      </c>
      <c r="AP118" s="79" t="str">
        <f>IF(I118="","",IF(I118&lt;=$AP$1,"O","X"))</f>
        <v>O</v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>후보</v>
      </c>
    </row>
    <row r="119" spans="1:48" x14ac:dyDescent="0.3">
      <c r="A119" s="9"/>
      <c r="B119" s="79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복대동 아름다운나날2차('04.11.,539^)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16"/>
        <v/>
      </c>
      <c r="AI119" s="111" t="str">
        <f t="shared" si="112"/>
        <v/>
      </c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</row>
    <row r="120" spans="1:48" x14ac:dyDescent="0.3">
      <c r="A120" s="9" t="s">
        <v>876</v>
      </c>
      <c r="B120" s="10" t="s">
        <v>1393</v>
      </c>
      <c r="C120" s="88">
        <v>539</v>
      </c>
      <c r="D120" s="86">
        <v>103.2</v>
      </c>
      <c r="E120" s="87">
        <v>31</v>
      </c>
      <c r="F120" s="86">
        <v>79.400000000000006</v>
      </c>
      <c r="G120" s="17">
        <v>24</v>
      </c>
      <c r="H120" s="88">
        <v>202</v>
      </c>
      <c r="I120" s="89">
        <v>30500</v>
      </c>
      <c r="J120" s="89" t="s">
        <v>88</v>
      </c>
      <c r="K120" s="89">
        <v>26000</v>
      </c>
      <c r="L120" s="89" t="s">
        <v>83</v>
      </c>
      <c r="M120" s="90">
        <f>I120-K120</f>
        <v>4500</v>
      </c>
      <c r="N120" s="4">
        <f>IF(ISERROR(K120/I120),"",K120/I120)</f>
        <v>0.85245901639344257</v>
      </c>
      <c r="O120" s="91">
        <f>I120/E120</f>
        <v>983.87096774193549</v>
      </c>
      <c r="P120" s="91">
        <f>K120/E120</f>
        <v>838.70967741935488</v>
      </c>
      <c r="Q120" s="79">
        <v>3</v>
      </c>
      <c r="R120" s="79">
        <v>2</v>
      </c>
      <c r="S120" s="79" t="s">
        <v>62</v>
      </c>
      <c r="T120" s="5">
        <v>103</v>
      </c>
      <c r="U120" s="9"/>
      <c r="W120" s="86">
        <f>D120</f>
        <v>103.2</v>
      </c>
      <c r="X120" s="87">
        <f>E120</f>
        <v>31</v>
      </c>
      <c r="Y120" s="92">
        <f>H120</f>
        <v>202</v>
      </c>
      <c r="Z120" s="90">
        <f>I120</f>
        <v>30500</v>
      </c>
      <c r="AA120" s="90">
        <f>K120</f>
        <v>26000</v>
      </c>
      <c r="AB120" s="90">
        <f t="shared" ref="AB120:AD121" si="125">M120</f>
        <v>4500</v>
      </c>
      <c r="AC120" s="4">
        <f t="shared" si="125"/>
        <v>0.85245901639344257</v>
      </c>
      <c r="AD120" s="91">
        <f t="shared" si="125"/>
        <v>983.87096774193549</v>
      </c>
      <c r="AE120" s="79" t="str">
        <f>S120</f>
        <v>계</v>
      </c>
      <c r="AF120" s="79" t="str">
        <f>Q120&amp;"/"&amp;R120</f>
        <v>3/2</v>
      </c>
      <c r="AH120" s="20" t="str">
        <f t="shared" si="116"/>
        <v>아름다운나날2차</v>
      </c>
      <c r="AI120" s="87">
        <f t="shared" si="112"/>
        <v>31</v>
      </c>
      <c r="AJ120" s="79" t="str">
        <f>IF(AI120="","",$AJ$2)</f>
        <v>A-</v>
      </c>
      <c r="AK120" s="79" t="s">
        <v>13</v>
      </c>
      <c r="AL120" s="79" t="s">
        <v>60</v>
      </c>
      <c r="AM120" s="79" t="s">
        <v>61</v>
      </c>
      <c r="AN120" s="79" t="str">
        <f>IF(AI120="","",$AN$2)</f>
        <v>C</v>
      </c>
      <c r="AO120" s="79" t="str">
        <f>IF(N120="","",IF(N120&gt;=$AO$1/100,"O","X"))</f>
        <v>O</v>
      </c>
      <c r="AP120" s="79" t="str">
        <f>IF(I120="","",IF(I120&lt;=$AP$1,"O","X"))</f>
        <v>O</v>
      </c>
      <c r="AQ120" s="79" t="str">
        <f>IF(O120="","",IF(O120&lt;=$AQ$1,"O","X"))</f>
        <v>O</v>
      </c>
      <c r="AR120" s="79" t="str">
        <f>IF(M120="","",IF(M120&lt;=$AR$1,"O","X"))</f>
        <v>O</v>
      </c>
      <c r="AS120" s="79" t="s">
        <v>2</v>
      </c>
      <c r="AT120" s="79" t="str">
        <f>IF(OR(F120="",AI120=""),"",IF(AND((F120&lt;=85),(AI120&gt;=15)),"O","X"))</f>
        <v>O</v>
      </c>
      <c r="AU120" s="79" t="str">
        <f>IF(C120="","",IF(C120&gt;=$AU$1,"O","X"))</f>
        <v>O</v>
      </c>
      <c r="AV120" s="79" t="str">
        <f>IF(AO120="","",IF(AND(AO120="O",AP120="O",AR120="O",AT120="O",AU120="O"),"후보","X"))</f>
        <v>후보</v>
      </c>
    </row>
    <row r="121" spans="1:48" x14ac:dyDescent="0.3">
      <c r="A121" s="9" t="s">
        <v>876</v>
      </c>
      <c r="B121" s="10" t="s">
        <v>1393</v>
      </c>
      <c r="C121" s="88">
        <v>539</v>
      </c>
      <c r="D121" s="86">
        <v>112.9</v>
      </c>
      <c r="E121" s="87">
        <v>34</v>
      </c>
      <c r="F121" s="86">
        <v>84.9</v>
      </c>
      <c r="G121" s="17">
        <v>26</v>
      </c>
      <c r="H121" s="88">
        <v>337</v>
      </c>
      <c r="I121" s="89">
        <v>32000</v>
      </c>
      <c r="J121" s="89" t="s">
        <v>81</v>
      </c>
      <c r="K121" s="89"/>
      <c r="L121" s="89"/>
      <c r="M121" s="90">
        <f>I121-K121</f>
        <v>32000</v>
      </c>
      <c r="N121" s="4">
        <f>IF(ISERROR(K121/I121),"",K121/I121)</f>
        <v>0</v>
      </c>
      <c r="O121" s="91">
        <f>I121/E121</f>
        <v>941.17647058823525</v>
      </c>
      <c r="P121" s="91">
        <f>K121/E121</f>
        <v>0</v>
      </c>
      <c r="Q121" s="79">
        <v>3</v>
      </c>
      <c r="R121" s="79">
        <v>2</v>
      </c>
      <c r="S121" s="79" t="s">
        <v>62</v>
      </c>
      <c r="T121" s="5">
        <v>112</v>
      </c>
      <c r="U121" s="9"/>
      <c r="W121" s="86">
        <f>D121</f>
        <v>112.9</v>
      </c>
      <c r="X121" s="87">
        <f>E121</f>
        <v>34</v>
      </c>
      <c r="Y121" s="92">
        <f>H121</f>
        <v>337</v>
      </c>
      <c r="Z121" s="90">
        <f>I121</f>
        <v>32000</v>
      </c>
      <c r="AA121" s="90">
        <f>K121</f>
        <v>0</v>
      </c>
      <c r="AB121" s="90">
        <f t="shared" si="125"/>
        <v>32000</v>
      </c>
      <c r="AC121" s="4">
        <f t="shared" si="125"/>
        <v>0</v>
      </c>
      <c r="AD121" s="91">
        <f t="shared" si="125"/>
        <v>941.17647058823525</v>
      </c>
      <c r="AE121" s="79" t="str">
        <f>S121</f>
        <v>계</v>
      </c>
      <c r="AF121" s="79" t="str">
        <f>Q121&amp;"/"&amp;R121</f>
        <v>3/2</v>
      </c>
      <c r="AH121" s="20" t="str">
        <f t="shared" si="116"/>
        <v>아름다운나날2차</v>
      </c>
      <c r="AI121" s="87">
        <f t="shared" si="112"/>
        <v>34</v>
      </c>
      <c r="AJ121" s="79" t="str">
        <f>IF(AI121="","",$AJ$2)</f>
        <v>A-</v>
      </c>
      <c r="AK121" s="79" t="s">
        <v>13</v>
      </c>
      <c r="AL121" s="79" t="s">
        <v>60</v>
      </c>
      <c r="AM121" s="79" t="s">
        <v>61</v>
      </c>
      <c r="AN121" s="79" t="str">
        <f>IF(AI121="","",$AN$2)</f>
        <v>C</v>
      </c>
      <c r="AO121" s="79" t="str">
        <f>IF(N121="","",IF(N121&gt;=$AO$1/100,"O","X"))</f>
        <v>X</v>
      </c>
      <c r="AP121" s="79" t="str">
        <f>IF(I121="","",IF(I121&lt;=$AP$1,"O","X"))</f>
        <v>O</v>
      </c>
      <c r="AQ121" s="79" t="str">
        <f>IF(O121="","",IF(O121&lt;=$AQ$1,"O","X"))</f>
        <v>O</v>
      </c>
      <c r="AR121" s="79" t="str">
        <f>IF(M121="","",IF(M121&lt;=$AR$1,"O","X"))</f>
        <v>X</v>
      </c>
      <c r="AS121" s="79" t="s">
        <v>2</v>
      </c>
      <c r="AT121" s="79" t="str">
        <f>IF(OR(F121="",AI121=""),"",IF(AND((F121&lt;=85),(AI121&gt;=15)),"O","X"))</f>
        <v>O</v>
      </c>
      <c r="AU121" s="79" t="str">
        <f>IF(C121="","",IF(C121&gt;=$AU$1,"O","X"))</f>
        <v>O</v>
      </c>
      <c r="AV121" s="79" t="str">
        <f>IF(AO121="","",IF(AND(AO121="O",AP121="O",AR121="O",AT121="O",AU121="O"),"후보","X"))</f>
        <v>X</v>
      </c>
    </row>
    <row r="122" spans="1:48" x14ac:dyDescent="0.3">
      <c r="A122" s="9"/>
      <c r="B122" s="79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복대동 금호어울림1단지('09.02.,648^)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16"/>
        <v/>
      </c>
      <c r="AI122" s="111" t="str">
        <f t="shared" si="112"/>
        <v/>
      </c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</row>
    <row r="123" spans="1:48" x14ac:dyDescent="0.3">
      <c r="A123" s="9" t="s">
        <v>881</v>
      </c>
      <c r="B123" s="10" t="s">
        <v>1379</v>
      </c>
      <c r="C123" s="88">
        <v>648</v>
      </c>
      <c r="D123" s="86">
        <v>114.2</v>
      </c>
      <c r="E123" s="87">
        <v>35</v>
      </c>
      <c r="F123" s="86">
        <v>84.6</v>
      </c>
      <c r="G123" s="17">
        <v>26</v>
      </c>
      <c r="H123" s="88">
        <v>136</v>
      </c>
      <c r="I123" s="89">
        <v>49000</v>
      </c>
      <c r="J123" s="89" t="s">
        <v>83</v>
      </c>
      <c r="K123" s="89">
        <v>38000</v>
      </c>
      <c r="L123" s="89" t="s">
        <v>79</v>
      </c>
      <c r="M123" s="90">
        <f t="shared" ref="M123:M129" si="126">I123-K123</f>
        <v>11000</v>
      </c>
      <c r="N123" s="4">
        <f t="shared" ref="N123:N129" si="127">IF(ISERROR(K123/I123),"",K123/I123)</f>
        <v>0.77551020408163263</v>
      </c>
      <c r="O123" s="91">
        <f t="shared" ref="O123:O129" si="128">I123/E123</f>
        <v>1400</v>
      </c>
      <c r="P123" s="91">
        <f t="shared" ref="P123:P129" si="129">K123/E123</f>
        <v>1085.7142857142858</v>
      </c>
      <c r="Q123" s="79">
        <v>3</v>
      </c>
      <c r="R123" s="79">
        <v>2</v>
      </c>
      <c r="S123" s="79" t="s">
        <v>62</v>
      </c>
      <c r="T123" s="5">
        <v>114</v>
      </c>
      <c r="U123" s="9"/>
      <c r="W123" s="86">
        <f t="shared" ref="W123:X129" si="130">D123</f>
        <v>114.2</v>
      </c>
      <c r="X123" s="87">
        <f t="shared" si="130"/>
        <v>35</v>
      </c>
      <c r="Y123" s="92">
        <f t="shared" ref="Y123:Z129" si="131">H123</f>
        <v>136</v>
      </c>
      <c r="Z123" s="90">
        <f t="shared" si="131"/>
        <v>49000</v>
      </c>
      <c r="AA123" s="90">
        <f t="shared" ref="AA123:AA129" si="132">K123</f>
        <v>38000</v>
      </c>
      <c r="AB123" s="90">
        <f t="shared" ref="AB123:AD129" si="133">M123</f>
        <v>11000</v>
      </c>
      <c r="AC123" s="4">
        <f t="shared" si="133"/>
        <v>0.77551020408163263</v>
      </c>
      <c r="AD123" s="91">
        <f t="shared" si="133"/>
        <v>1400</v>
      </c>
      <c r="AE123" s="79" t="str">
        <f t="shared" ref="AE123:AE129" si="134">S123</f>
        <v>계</v>
      </c>
      <c r="AF123" s="79" t="str">
        <f t="shared" ref="AF123:AF129" si="135">Q123&amp;"/"&amp;R123</f>
        <v>3/2</v>
      </c>
      <c r="AH123" s="20" t="str">
        <f t="shared" si="116"/>
        <v>금호어울림1단지</v>
      </c>
      <c r="AI123" s="87">
        <f t="shared" si="112"/>
        <v>35</v>
      </c>
      <c r="AJ123" s="79" t="str">
        <f t="shared" ref="AJ123:AJ129" si="136">IF(AI123="","",$AJ$2)</f>
        <v>A-</v>
      </c>
      <c r="AK123" s="79" t="s">
        <v>13</v>
      </c>
      <c r="AL123" s="79" t="s">
        <v>60</v>
      </c>
      <c r="AM123" s="79" t="s">
        <v>61</v>
      </c>
      <c r="AN123" s="79" t="str">
        <f t="shared" ref="AN123:AN129" si="137">IF(AI123="","",$AN$2)</f>
        <v>C</v>
      </c>
      <c r="AO123" s="79" t="str">
        <f t="shared" ref="AO123:AO129" si="138">IF(N123="","",IF(N123&gt;=$AO$1/100,"O","X"))</f>
        <v>X</v>
      </c>
      <c r="AP123" s="79" t="str">
        <f t="shared" ref="AP123:AP129" si="139">IF(I123="","",IF(I123&lt;=$AP$1,"O","X"))</f>
        <v>X</v>
      </c>
      <c r="AQ123" s="79" t="str">
        <f t="shared" ref="AQ123:AQ129" si="140">IF(O123="","",IF(O123&lt;=$AQ$1,"O","X"))</f>
        <v>O</v>
      </c>
      <c r="AR123" s="79" t="str">
        <f t="shared" ref="AR123:AR129" si="141">IF(M123="","",IF(M123&lt;=$AR$1,"O","X"))</f>
        <v>X</v>
      </c>
      <c r="AS123" s="79" t="s">
        <v>2</v>
      </c>
      <c r="AT123" s="79" t="str">
        <f t="shared" ref="AT123:AT129" si="142">IF(OR(F123="",AI123=""),"",IF(AND((F123&lt;=85),(AI123&gt;=15)),"O","X"))</f>
        <v>O</v>
      </c>
      <c r="AU123" s="79" t="str">
        <f t="shared" ref="AU123:AU129" si="143">IF(C123="","",IF(C123&gt;=$AU$1,"O","X"))</f>
        <v>O</v>
      </c>
      <c r="AV123" s="79" t="str">
        <f t="shared" ref="AV123:AV129" si="144">IF(AO123="","",IF(AND(AO123="O",AP123="O",AR123="O",AT123="O",AU123="O"),"후보","X"))</f>
        <v>X</v>
      </c>
    </row>
    <row r="124" spans="1:48" x14ac:dyDescent="0.3">
      <c r="A124" s="9" t="s">
        <v>881</v>
      </c>
      <c r="B124" s="10" t="s">
        <v>1379</v>
      </c>
      <c r="C124" s="88">
        <v>648</v>
      </c>
      <c r="D124" s="86">
        <v>125.1</v>
      </c>
      <c r="E124" s="87">
        <v>38</v>
      </c>
      <c r="F124" s="86">
        <v>99.7</v>
      </c>
      <c r="G124" s="17">
        <v>30</v>
      </c>
      <c r="H124" s="88">
        <v>76</v>
      </c>
      <c r="I124" s="89">
        <v>52000</v>
      </c>
      <c r="J124" s="89" t="s">
        <v>83</v>
      </c>
      <c r="K124" s="89"/>
      <c r="L124" s="89"/>
      <c r="M124" s="90">
        <f t="shared" si="126"/>
        <v>52000</v>
      </c>
      <c r="N124" s="4">
        <f t="shared" si="127"/>
        <v>0</v>
      </c>
      <c r="O124" s="91">
        <f t="shared" si="128"/>
        <v>1368.421052631579</v>
      </c>
      <c r="P124" s="91">
        <f t="shared" si="129"/>
        <v>0</v>
      </c>
      <c r="Q124" s="79">
        <v>3</v>
      </c>
      <c r="R124" s="79">
        <v>2</v>
      </c>
      <c r="S124" s="79" t="s">
        <v>62</v>
      </c>
      <c r="T124" s="5" t="s">
        <v>157</v>
      </c>
      <c r="U124" s="9"/>
      <c r="W124" s="86">
        <f t="shared" si="130"/>
        <v>125.1</v>
      </c>
      <c r="X124" s="87">
        <f t="shared" si="130"/>
        <v>38</v>
      </c>
      <c r="Y124" s="92">
        <f t="shared" si="131"/>
        <v>76</v>
      </c>
      <c r="Z124" s="90">
        <f t="shared" si="131"/>
        <v>52000</v>
      </c>
      <c r="AA124" s="90">
        <f t="shared" si="132"/>
        <v>0</v>
      </c>
      <c r="AB124" s="90">
        <f t="shared" si="133"/>
        <v>52000</v>
      </c>
      <c r="AC124" s="4">
        <f t="shared" si="133"/>
        <v>0</v>
      </c>
      <c r="AD124" s="91">
        <f t="shared" si="133"/>
        <v>1368.421052631579</v>
      </c>
      <c r="AE124" s="79" t="str">
        <f t="shared" si="134"/>
        <v>계</v>
      </c>
      <c r="AF124" s="79" t="str">
        <f t="shared" si="135"/>
        <v>3/2</v>
      </c>
      <c r="AH124" s="20" t="str">
        <f t="shared" si="116"/>
        <v>금호어울림1단지</v>
      </c>
      <c r="AI124" s="87">
        <f t="shared" si="112"/>
        <v>38</v>
      </c>
      <c r="AJ124" s="79" t="str">
        <f t="shared" si="136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37"/>
        <v>C</v>
      </c>
      <c r="AO124" s="79" t="str">
        <f t="shared" si="138"/>
        <v>X</v>
      </c>
      <c r="AP124" s="79" t="str">
        <f t="shared" si="139"/>
        <v>X</v>
      </c>
      <c r="AQ124" s="79" t="str">
        <f t="shared" si="140"/>
        <v>O</v>
      </c>
      <c r="AR124" s="79" t="str">
        <f t="shared" si="141"/>
        <v>X</v>
      </c>
      <c r="AS124" s="79" t="s">
        <v>2</v>
      </c>
      <c r="AT124" s="79" t="str">
        <f t="shared" si="142"/>
        <v>X</v>
      </c>
      <c r="AU124" s="79" t="str">
        <f t="shared" si="143"/>
        <v>O</v>
      </c>
      <c r="AV124" s="79" t="str">
        <f t="shared" si="144"/>
        <v>X</v>
      </c>
    </row>
    <row r="125" spans="1:48" x14ac:dyDescent="0.3">
      <c r="A125" s="9" t="s">
        <v>881</v>
      </c>
      <c r="B125" s="10" t="s">
        <v>1379</v>
      </c>
      <c r="C125" s="88">
        <v>648</v>
      </c>
      <c r="D125" s="86">
        <v>125.2</v>
      </c>
      <c r="E125" s="87">
        <v>38</v>
      </c>
      <c r="F125" s="86">
        <v>99.7</v>
      </c>
      <c r="G125" s="17">
        <v>30</v>
      </c>
      <c r="H125" s="88">
        <v>73</v>
      </c>
      <c r="I125" s="89">
        <v>58000</v>
      </c>
      <c r="J125" s="89" t="s">
        <v>158</v>
      </c>
      <c r="K125" s="89">
        <v>45000</v>
      </c>
      <c r="L125" s="89" t="s">
        <v>158</v>
      </c>
      <c r="M125" s="90">
        <f t="shared" si="126"/>
        <v>13000</v>
      </c>
      <c r="N125" s="4">
        <f t="shared" si="127"/>
        <v>0.77586206896551724</v>
      </c>
      <c r="O125" s="91">
        <f t="shared" si="128"/>
        <v>1526.3157894736842</v>
      </c>
      <c r="P125" s="91">
        <f t="shared" si="129"/>
        <v>1184.2105263157894</v>
      </c>
      <c r="Q125" s="79">
        <v>3</v>
      </c>
      <c r="R125" s="79">
        <v>2</v>
      </c>
      <c r="S125" s="79" t="s">
        <v>62</v>
      </c>
      <c r="T125" s="5" t="s">
        <v>140</v>
      </c>
      <c r="U125" s="9"/>
      <c r="W125" s="86">
        <f t="shared" si="130"/>
        <v>125.2</v>
      </c>
      <c r="X125" s="87">
        <f t="shared" si="130"/>
        <v>38</v>
      </c>
      <c r="Y125" s="92">
        <f t="shared" si="131"/>
        <v>73</v>
      </c>
      <c r="Z125" s="90">
        <f t="shared" si="131"/>
        <v>58000</v>
      </c>
      <c r="AA125" s="90">
        <f t="shared" si="132"/>
        <v>45000</v>
      </c>
      <c r="AB125" s="90">
        <f t="shared" si="133"/>
        <v>13000</v>
      </c>
      <c r="AC125" s="4">
        <f t="shared" si="133"/>
        <v>0.77586206896551724</v>
      </c>
      <c r="AD125" s="91">
        <f t="shared" si="133"/>
        <v>1526.3157894736842</v>
      </c>
      <c r="AE125" s="79" t="str">
        <f t="shared" si="134"/>
        <v>계</v>
      </c>
      <c r="AF125" s="79" t="str">
        <f t="shared" si="135"/>
        <v>3/2</v>
      </c>
      <c r="AH125" s="20" t="str">
        <f t="shared" si="116"/>
        <v>금호어울림1단지</v>
      </c>
      <c r="AI125" s="87">
        <f t="shared" si="112"/>
        <v>38</v>
      </c>
      <c r="AJ125" s="79" t="str">
        <f t="shared" si="136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37"/>
        <v>C</v>
      </c>
      <c r="AO125" s="79" t="str">
        <f t="shared" si="138"/>
        <v>X</v>
      </c>
      <c r="AP125" s="79" t="str">
        <f t="shared" si="139"/>
        <v>X</v>
      </c>
      <c r="AQ125" s="79" t="str">
        <f t="shared" si="140"/>
        <v>X</v>
      </c>
      <c r="AR125" s="79" t="str">
        <f t="shared" si="141"/>
        <v>X</v>
      </c>
      <c r="AS125" s="79" t="s">
        <v>2</v>
      </c>
      <c r="AT125" s="79" t="str">
        <f t="shared" si="142"/>
        <v>X</v>
      </c>
      <c r="AU125" s="79" t="str">
        <f t="shared" si="143"/>
        <v>O</v>
      </c>
      <c r="AV125" s="79" t="str">
        <f t="shared" si="144"/>
        <v>X</v>
      </c>
    </row>
    <row r="126" spans="1:48" x14ac:dyDescent="0.3">
      <c r="A126" s="9" t="s">
        <v>881</v>
      </c>
      <c r="B126" s="10" t="s">
        <v>1379</v>
      </c>
      <c r="C126" s="88">
        <v>648</v>
      </c>
      <c r="D126" s="86">
        <v>152.6</v>
      </c>
      <c r="E126" s="87">
        <v>46</v>
      </c>
      <c r="F126" s="86">
        <v>123.6</v>
      </c>
      <c r="G126" s="17">
        <v>37</v>
      </c>
      <c r="H126" s="88">
        <v>136</v>
      </c>
      <c r="I126" s="89">
        <v>62000</v>
      </c>
      <c r="J126" s="89" t="s">
        <v>64</v>
      </c>
      <c r="K126" s="89">
        <v>45000</v>
      </c>
      <c r="L126" s="89" t="s">
        <v>64</v>
      </c>
      <c r="M126" s="90">
        <f t="shared" si="126"/>
        <v>17000</v>
      </c>
      <c r="N126" s="4">
        <f t="shared" si="127"/>
        <v>0.72580645161290325</v>
      </c>
      <c r="O126" s="91">
        <f t="shared" si="128"/>
        <v>1347.8260869565217</v>
      </c>
      <c r="P126" s="91">
        <f t="shared" si="129"/>
        <v>978.26086956521738</v>
      </c>
      <c r="Q126" s="79">
        <v>4</v>
      </c>
      <c r="R126" s="79">
        <v>2</v>
      </c>
      <c r="S126" s="79" t="s">
        <v>62</v>
      </c>
      <c r="T126" s="5">
        <v>152</v>
      </c>
      <c r="U126" s="9"/>
      <c r="W126" s="86">
        <f t="shared" si="130"/>
        <v>152.6</v>
      </c>
      <c r="X126" s="87">
        <f t="shared" si="130"/>
        <v>46</v>
      </c>
      <c r="Y126" s="92">
        <f t="shared" si="131"/>
        <v>136</v>
      </c>
      <c r="Z126" s="90">
        <f t="shared" si="131"/>
        <v>62000</v>
      </c>
      <c r="AA126" s="90">
        <f t="shared" si="132"/>
        <v>45000</v>
      </c>
      <c r="AB126" s="90">
        <f t="shared" si="133"/>
        <v>17000</v>
      </c>
      <c r="AC126" s="4">
        <f t="shared" si="133"/>
        <v>0.72580645161290325</v>
      </c>
      <c r="AD126" s="91">
        <f t="shared" si="133"/>
        <v>1347.8260869565217</v>
      </c>
      <c r="AE126" s="79" t="str">
        <f t="shared" si="134"/>
        <v>계</v>
      </c>
      <c r="AF126" s="79" t="str">
        <f t="shared" si="135"/>
        <v>4/2</v>
      </c>
      <c r="AH126" s="20" t="str">
        <f t="shared" si="116"/>
        <v>금호어울림1단지</v>
      </c>
      <c r="AI126" s="87">
        <f t="shared" si="112"/>
        <v>46</v>
      </c>
      <c r="AJ126" s="79" t="str">
        <f t="shared" si="136"/>
        <v>A-</v>
      </c>
      <c r="AK126" s="79" t="s">
        <v>13</v>
      </c>
      <c r="AL126" s="79" t="s">
        <v>60</v>
      </c>
      <c r="AM126" s="79" t="s">
        <v>61</v>
      </c>
      <c r="AN126" s="79" t="str">
        <f t="shared" si="137"/>
        <v>C</v>
      </c>
      <c r="AO126" s="79" t="str">
        <f t="shared" si="138"/>
        <v>X</v>
      </c>
      <c r="AP126" s="79" t="str">
        <f t="shared" si="139"/>
        <v>X</v>
      </c>
      <c r="AQ126" s="79" t="str">
        <f t="shared" si="140"/>
        <v>O</v>
      </c>
      <c r="AR126" s="79" t="str">
        <f t="shared" si="141"/>
        <v>X</v>
      </c>
      <c r="AS126" s="79" t="s">
        <v>2</v>
      </c>
      <c r="AT126" s="79" t="str">
        <f t="shared" si="142"/>
        <v>X</v>
      </c>
      <c r="AU126" s="79" t="str">
        <f t="shared" si="143"/>
        <v>O</v>
      </c>
      <c r="AV126" s="79" t="str">
        <f t="shared" si="144"/>
        <v>X</v>
      </c>
    </row>
    <row r="127" spans="1:48" x14ac:dyDescent="0.3">
      <c r="A127" s="9" t="s">
        <v>881</v>
      </c>
      <c r="B127" s="10" t="s">
        <v>1379</v>
      </c>
      <c r="C127" s="88">
        <v>648</v>
      </c>
      <c r="D127" s="86">
        <v>164.7</v>
      </c>
      <c r="E127" s="87">
        <v>50</v>
      </c>
      <c r="F127" s="86">
        <v>131.6</v>
      </c>
      <c r="G127" s="17">
        <v>40</v>
      </c>
      <c r="H127" s="88">
        <v>150</v>
      </c>
      <c r="I127" s="89">
        <v>65000</v>
      </c>
      <c r="J127" s="89" t="s">
        <v>88</v>
      </c>
      <c r="K127" s="89">
        <v>50000</v>
      </c>
      <c r="L127" s="89" t="s">
        <v>70</v>
      </c>
      <c r="M127" s="90">
        <f t="shared" si="126"/>
        <v>15000</v>
      </c>
      <c r="N127" s="4">
        <f t="shared" si="127"/>
        <v>0.76923076923076927</v>
      </c>
      <c r="O127" s="91">
        <f t="shared" si="128"/>
        <v>1300</v>
      </c>
      <c r="P127" s="91">
        <f t="shared" si="129"/>
        <v>1000</v>
      </c>
      <c r="Q127" s="79">
        <v>4</v>
      </c>
      <c r="R127" s="79">
        <v>2</v>
      </c>
      <c r="S127" s="79" t="s">
        <v>62</v>
      </c>
      <c r="T127" s="5" t="s">
        <v>159</v>
      </c>
      <c r="U127" s="9"/>
      <c r="W127" s="86">
        <f t="shared" si="130"/>
        <v>164.7</v>
      </c>
      <c r="X127" s="87">
        <f t="shared" si="130"/>
        <v>50</v>
      </c>
      <c r="Y127" s="92">
        <f t="shared" si="131"/>
        <v>150</v>
      </c>
      <c r="Z127" s="90">
        <f t="shared" si="131"/>
        <v>65000</v>
      </c>
      <c r="AA127" s="90">
        <f t="shared" si="132"/>
        <v>50000</v>
      </c>
      <c r="AB127" s="90">
        <f t="shared" si="133"/>
        <v>15000</v>
      </c>
      <c r="AC127" s="4">
        <f t="shared" si="133"/>
        <v>0.76923076923076927</v>
      </c>
      <c r="AD127" s="91">
        <f t="shared" si="133"/>
        <v>1300</v>
      </c>
      <c r="AE127" s="79" t="str">
        <f t="shared" si="134"/>
        <v>계</v>
      </c>
      <c r="AF127" s="79" t="str">
        <f t="shared" si="135"/>
        <v>4/2</v>
      </c>
      <c r="AH127" s="20" t="str">
        <f t="shared" si="116"/>
        <v>금호어울림1단지</v>
      </c>
      <c r="AI127" s="87">
        <f t="shared" si="112"/>
        <v>50</v>
      </c>
      <c r="AJ127" s="79" t="str">
        <f t="shared" si="136"/>
        <v>A-</v>
      </c>
      <c r="AK127" s="79" t="s">
        <v>13</v>
      </c>
      <c r="AL127" s="79" t="s">
        <v>60</v>
      </c>
      <c r="AM127" s="79" t="s">
        <v>61</v>
      </c>
      <c r="AN127" s="79" t="str">
        <f t="shared" si="137"/>
        <v>C</v>
      </c>
      <c r="AO127" s="79" t="str">
        <f t="shared" si="138"/>
        <v>X</v>
      </c>
      <c r="AP127" s="79" t="str">
        <f t="shared" si="139"/>
        <v>X</v>
      </c>
      <c r="AQ127" s="79" t="str">
        <f t="shared" si="140"/>
        <v>O</v>
      </c>
      <c r="AR127" s="79" t="str">
        <f t="shared" si="141"/>
        <v>X</v>
      </c>
      <c r="AS127" s="79" t="s">
        <v>2</v>
      </c>
      <c r="AT127" s="79" t="str">
        <f t="shared" si="142"/>
        <v>X</v>
      </c>
      <c r="AU127" s="79" t="str">
        <f t="shared" si="143"/>
        <v>O</v>
      </c>
      <c r="AV127" s="79" t="str">
        <f t="shared" si="144"/>
        <v>X</v>
      </c>
    </row>
    <row r="128" spans="1:48" x14ac:dyDescent="0.3">
      <c r="A128" s="9" t="s">
        <v>881</v>
      </c>
      <c r="B128" s="10" t="s">
        <v>1379</v>
      </c>
      <c r="C128" s="88">
        <v>648</v>
      </c>
      <c r="D128" s="86">
        <v>164.2</v>
      </c>
      <c r="E128" s="87">
        <v>50</v>
      </c>
      <c r="F128" s="86">
        <v>131.30000000000001</v>
      </c>
      <c r="G128" s="17">
        <v>40</v>
      </c>
      <c r="H128" s="88">
        <v>73</v>
      </c>
      <c r="I128" s="89">
        <v>68000</v>
      </c>
      <c r="J128" s="89" t="s">
        <v>92</v>
      </c>
      <c r="K128" s="89">
        <v>46000</v>
      </c>
      <c r="L128" s="89" t="s">
        <v>71</v>
      </c>
      <c r="M128" s="90">
        <f t="shared" si="126"/>
        <v>22000</v>
      </c>
      <c r="N128" s="4">
        <f t="shared" si="127"/>
        <v>0.67647058823529416</v>
      </c>
      <c r="O128" s="91">
        <f t="shared" si="128"/>
        <v>1360</v>
      </c>
      <c r="P128" s="91">
        <f t="shared" si="129"/>
        <v>920</v>
      </c>
      <c r="Q128" s="79">
        <v>4</v>
      </c>
      <c r="R128" s="79">
        <v>2</v>
      </c>
      <c r="S128" s="79" t="s">
        <v>62</v>
      </c>
      <c r="T128" s="5" t="s">
        <v>141</v>
      </c>
      <c r="U128" s="9"/>
      <c r="W128" s="86">
        <f t="shared" si="130"/>
        <v>164.2</v>
      </c>
      <c r="X128" s="87">
        <f t="shared" si="130"/>
        <v>50</v>
      </c>
      <c r="Y128" s="92">
        <f t="shared" si="131"/>
        <v>73</v>
      </c>
      <c r="Z128" s="90">
        <f t="shared" si="131"/>
        <v>68000</v>
      </c>
      <c r="AA128" s="90">
        <f t="shared" si="132"/>
        <v>46000</v>
      </c>
      <c r="AB128" s="90">
        <f t="shared" si="133"/>
        <v>22000</v>
      </c>
      <c r="AC128" s="4">
        <f t="shared" si="133"/>
        <v>0.67647058823529416</v>
      </c>
      <c r="AD128" s="91">
        <f t="shared" si="133"/>
        <v>1360</v>
      </c>
      <c r="AE128" s="79" t="str">
        <f t="shared" si="134"/>
        <v>계</v>
      </c>
      <c r="AF128" s="79" t="str">
        <f t="shared" si="135"/>
        <v>4/2</v>
      </c>
      <c r="AH128" s="20" t="str">
        <f t="shared" si="116"/>
        <v>금호어울림1단지</v>
      </c>
      <c r="AI128" s="87">
        <f t="shared" si="112"/>
        <v>50</v>
      </c>
      <c r="AJ128" s="79" t="str">
        <f t="shared" si="136"/>
        <v>A-</v>
      </c>
      <c r="AK128" s="79" t="s">
        <v>13</v>
      </c>
      <c r="AL128" s="79" t="s">
        <v>60</v>
      </c>
      <c r="AM128" s="79" t="s">
        <v>61</v>
      </c>
      <c r="AN128" s="79" t="str">
        <f t="shared" si="137"/>
        <v>C</v>
      </c>
      <c r="AO128" s="79" t="str">
        <f t="shared" si="138"/>
        <v>X</v>
      </c>
      <c r="AP128" s="79" t="str">
        <f t="shared" si="139"/>
        <v>X</v>
      </c>
      <c r="AQ128" s="79" t="str">
        <f t="shared" si="140"/>
        <v>O</v>
      </c>
      <c r="AR128" s="79" t="str">
        <f t="shared" si="141"/>
        <v>X</v>
      </c>
      <c r="AS128" s="79" t="s">
        <v>2</v>
      </c>
      <c r="AT128" s="79" t="str">
        <f t="shared" si="142"/>
        <v>X</v>
      </c>
      <c r="AU128" s="79" t="str">
        <f t="shared" si="143"/>
        <v>O</v>
      </c>
      <c r="AV128" s="79" t="str">
        <f t="shared" si="144"/>
        <v>X</v>
      </c>
    </row>
    <row r="129" spans="1:48" x14ac:dyDescent="0.3">
      <c r="A129" s="9" t="s">
        <v>881</v>
      </c>
      <c r="B129" s="10" t="s">
        <v>1379</v>
      </c>
      <c r="C129" s="88">
        <v>648</v>
      </c>
      <c r="D129" s="86">
        <v>256.60000000000002</v>
      </c>
      <c r="E129" s="87">
        <v>78</v>
      </c>
      <c r="F129" s="86">
        <v>201.5</v>
      </c>
      <c r="G129" s="17">
        <v>61</v>
      </c>
      <c r="H129" s="88">
        <v>4</v>
      </c>
      <c r="I129" s="89"/>
      <c r="J129" s="89"/>
      <c r="K129" s="89"/>
      <c r="L129" s="89"/>
      <c r="M129" s="90">
        <f t="shared" si="126"/>
        <v>0</v>
      </c>
      <c r="N129" s="4" t="str">
        <f t="shared" si="127"/>
        <v/>
      </c>
      <c r="O129" s="91">
        <f t="shared" si="128"/>
        <v>0</v>
      </c>
      <c r="P129" s="91">
        <f t="shared" si="129"/>
        <v>0</v>
      </c>
      <c r="Q129" s="79">
        <v>4</v>
      </c>
      <c r="R129" s="79">
        <v>2</v>
      </c>
      <c r="S129" s="79" t="s">
        <v>62</v>
      </c>
      <c r="T129" s="5">
        <v>256</v>
      </c>
      <c r="U129" s="9"/>
      <c r="W129" s="86">
        <f t="shared" si="130"/>
        <v>256.60000000000002</v>
      </c>
      <c r="X129" s="87">
        <f t="shared" si="130"/>
        <v>78</v>
      </c>
      <c r="Y129" s="92">
        <f t="shared" si="131"/>
        <v>4</v>
      </c>
      <c r="Z129" s="90">
        <f t="shared" si="131"/>
        <v>0</v>
      </c>
      <c r="AA129" s="90">
        <f t="shared" si="132"/>
        <v>0</v>
      </c>
      <c r="AB129" s="90">
        <f t="shared" si="133"/>
        <v>0</v>
      </c>
      <c r="AC129" s="4" t="str">
        <f t="shared" si="133"/>
        <v/>
      </c>
      <c r="AD129" s="91">
        <f t="shared" si="133"/>
        <v>0</v>
      </c>
      <c r="AE129" s="79" t="str">
        <f t="shared" si="134"/>
        <v>계</v>
      </c>
      <c r="AF129" s="79" t="str">
        <f t="shared" si="135"/>
        <v>4/2</v>
      </c>
      <c r="AH129" s="20" t="str">
        <f t="shared" si="116"/>
        <v>금호어울림1단지</v>
      </c>
      <c r="AI129" s="87">
        <f t="shared" si="112"/>
        <v>78</v>
      </c>
      <c r="AJ129" s="79" t="str">
        <f t="shared" si="136"/>
        <v>A-</v>
      </c>
      <c r="AK129" s="79" t="s">
        <v>13</v>
      </c>
      <c r="AL129" s="79" t="s">
        <v>60</v>
      </c>
      <c r="AM129" s="79" t="s">
        <v>61</v>
      </c>
      <c r="AN129" s="79" t="str">
        <f t="shared" si="137"/>
        <v>C</v>
      </c>
      <c r="AO129" s="79" t="str">
        <f t="shared" si="138"/>
        <v/>
      </c>
      <c r="AP129" s="79" t="str">
        <f t="shared" si="139"/>
        <v/>
      </c>
      <c r="AQ129" s="79" t="str">
        <f t="shared" si="140"/>
        <v>O</v>
      </c>
      <c r="AR129" s="79" t="str">
        <f t="shared" si="141"/>
        <v>O</v>
      </c>
      <c r="AS129" s="79" t="s">
        <v>2</v>
      </c>
      <c r="AT129" s="79" t="str">
        <f t="shared" si="142"/>
        <v>X</v>
      </c>
      <c r="AU129" s="79" t="str">
        <f t="shared" si="143"/>
        <v>O</v>
      </c>
      <c r="AV129" s="79" t="str">
        <f t="shared" si="144"/>
        <v/>
      </c>
    </row>
  </sheetData>
  <mergeCells count="1">
    <mergeCell ref="AJ1:AN1"/>
  </mergeCells>
  <phoneticPr fontId="2" type="noConversion"/>
  <conditionalFormatting sqref="AV4:AV6">
    <cfRule type="expression" dxfId="4159" priority="2007">
      <formula>AV4="X"</formula>
    </cfRule>
    <cfRule type="expression" dxfId="4158" priority="2008">
      <formula>AV4="후보"</formula>
    </cfRule>
  </conditionalFormatting>
  <conditionalFormatting sqref="AC1:AC2 AC4:AC6 N4:N5">
    <cfRule type="cellIs" dxfId="4157" priority="2004" operator="greaterThan">
      <formula>0.9</formula>
    </cfRule>
    <cfRule type="cellIs" dxfId="4156" priority="2005" operator="greaterThan">
      <formula>0.85</formula>
    </cfRule>
  </conditionalFormatting>
  <conditionalFormatting sqref="N1:N2">
    <cfRule type="cellIs" dxfId="4155" priority="2002" operator="greaterThan">
      <formula>0.9</formula>
    </cfRule>
    <cfRule type="cellIs" dxfId="4154" priority="2003" operator="greaterThan">
      <formula>0.85</formula>
    </cfRule>
  </conditionalFormatting>
  <conditionalFormatting sqref="N6">
    <cfRule type="cellIs" dxfId="4153" priority="2000" operator="greaterThan">
      <formula>0.9</formula>
    </cfRule>
    <cfRule type="cellIs" dxfId="4152" priority="2001" operator="greaterThan">
      <formula>0.85</formula>
    </cfRule>
  </conditionalFormatting>
  <conditionalFormatting sqref="E6">
    <cfRule type="expression" dxfId="4151" priority="1996">
      <formula>AND(IF(OR($Q6=1,$Q6=2),1,0),IF($X6&lt;=20,1,0))</formula>
    </cfRule>
    <cfRule type="expression" dxfId="4150" priority="1997">
      <formula>AND(IF($Q6=2,1,0),IF($X6&lt;30,1,0))</formula>
    </cfRule>
    <cfRule type="expression" dxfId="4149" priority="1998">
      <formula>AND(IF($Q6=3,1,0),IF($X6&lt;30,1,0))</formula>
    </cfRule>
    <cfRule type="expression" dxfId="4148" priority="1999">
      <formula>AND(IF($Q6=3,1,IF($Q6=4,1,0)),IF($F6&lt;=85,1,0))</formula>
    </cfRule>
  </conditionalFormatting>
  <conditionalFormatting sqref="X6">
    <cfRule type="expression" dxfId="4147" priority="1992">
      <formula>AND(IF(OR($Q6=1,$Q6=2),1,0),IF($X6&lt;=20,1,0))</formula>
    </cfRule>
    <cfRule type="expression" dxfId="4146" priority="1993">
      <formula>AND(IF($Q6=2,1,0),IF($X6&lt;30,1,0))</formula>
    </cfRule>
    <cfRule type="expression" dxfId="4145" priority="1994">
      <formula>AND(IF($Q6=3,1,0),IF($X6&lt;30,1,0))</formula>
    </cfRule>
    <cfRule type="expression" dxfId="4144" priority="1995">
      <formula>AND(IF($Q6=3,1,IF($Q6=4,1,0)),IF($F6&lt;=85,1,0))</formula>
    </cfRule>
  </conditionalFormatting>
  <conditionalFormatting sqref="AI6">
    <cfRule type="expression" dxfId="4143" priority="1988">
      <formula>AND(IF(OR($Q6=1,$Q6=2),1,0),IF($X6&lt;=20,1,0))</formula>
    </cfRule>
    <cfRule type="expression" dxfId="4142" priority="1989">
      <formula>AND(IF($Q6=2,1,0),IF($X6&lt;30,1,0))</formula>
    </cfRule>
    <cfRule type="expression" dxfId="4141" priority="1990">
      <formula>AND(IF($Q6=3,1,0),IF($X6&lt;30,1,0))</formula>
    </cfRule>
    <cfRule type="expression" dxfId="4140" priority="1991">
      <formula>AND(IF($Q6=3,1,IF($Q6=4,1,0)),IF($F6&lt;=85,1,0))</formula>
    </cfRule>
  </conditionalFormatting>
  <conditionalFormatting sqref="AV7">
    <cfRule type="expression" dxfId="4139" priority="1986">
      <formula>AV7="X"</formula>
    </cfRule>
    <cfRule type="expression" dxfId="4138" priority="1987">
      <formula>AV7="후보"</formula>
    </cfRule>
  </conditionalFormatting>
  <conditionalFormatting sqref="AC7">
    <cfRule type="cellIs" dxfId="4137" priority="1983" operator="greaterThan">
      <formula>0.9</formula>
    </cfRule>
    <cfRule type="cellIs" dxfId="4136" priority="1984" operator="greaterThan">
      <formula>0.85</formula>
    </cfRule>
  </conditionalFormatting>
  <conditionalFormatting sqref="N7">
    <cfRule type="cellIs" dxfId="4135" priority="1981" operator="greaterThan">
      <formula>0.9</formula>
    </cfRule>
    <cfRule type="cellIs" dxfId="4134" priority="1982" operator="greaterThan">
      <formula>0.85</formula>
    </cfRule>
  </conditionalFormatting>
  <conditionalFormatting sqref="E7">
    <cfRule type="expression" dxfId="4133" priority="1977">
      <formula>AND(IF(OR($Q7=1,$Q7=2),1,0),IF($X7&lt;=20,1,0))</formula>
    </cfRule>
    <cfRule type="expression" dxfId="4132" priority="1978">
      <formula>AND(IF($Q7=2,1,0),IF($X7&lt;30,1,0))</formula>
    </cfRule>
    <cfRule type="expression" dxfId="4131" priority="1979">
      <formula>AND(IF($Q7=3,1,0),IF($X7&lt;30,1,0))</formula>
    </cfRule>
    <cfRule type="expression" dxfId="4130" priority="1980">
      <formula>AND(IF($Q7=3,1,IF($Q7=4,1,0)),IF($F7&lt;=85,1,0))</formula>
    </cfRule>
  </conditionalFormatting>
  <conditionalFormatting sqref="X7">
    <cfRule type="expression" dxfId="4129" priority="1973">
      <formula>AND(IF(OR($Q7=1,$Q7=2),1,0),IF($X7&lt;=20,1,0))</formula>
    </cfRule>
    <cfRule type="expression" dxfId="4128" priority="1974">
      <formula>AND(IF($Q7=2,1,0),IF($X7&lt;30,1,0))</formula>
    </cfRule>
    <cfRule type="expression" dxfId="4127" priority="1975">
      <formula>AND(IF($Q7=3,1,0),IF($X7&lt;30,1,0))</formula>
    </cfRule>
    <cfRule type="expression" dxfId="4126" priority="1976">
      <formula>AND(IF($Q7=3,1,IF($Q7=4,1,0)),IF($F7&lt;=85,1,0))</formula>
    </cfRule>
  </conditionalFormatting>
  <conditionalFormatting sqref="AI7">
    <cfRule type="expression" dxfId="4125" priority="1969">
      <formula>AND(IF(OR($Q7=1,$Q7=2),1,0),IF($X7&lt;=20,1,0))</formula>
    </cfRule>
    <cfRule type="expression" dxfId="4124" priority="1970">
      <formula>AND(IF($Q7=2,1,0),IF($X7&lt;30,1,0))</formula>
    </cfRule>
    <cfRule type="expression" dxfId="4123" priority="1971">
      <formula>AND(IF($Q7=3,1,0),IF($X7&lt;30,1,0))</formula>
    </cfRule>
    <cfRule type="expression" dxfId="4122" priority="1972">
      <formula>AND(IF($Q7=3,1,IF($Q7=4,1,0)),IF($F7&lt;=85,1,0))</formula>
    </cfRule>
  </conditionalFormatting>
  <conditionalFormatting sqref="AV8">
    <cfRule type="expression" dxfId="4121" priority="1967">
      <formula>AV8="X"</formula>
    </cfRule>
    <cfRule type="expression" dxfId="4120" priority="1968">
      <formula>AV8="후보"</formula>
    </cfRule>
  </conditionalFormatting>
  <conditionalFormatting sqref="AC8 N8">
    <cfRule type="cellIs" dxfId="4119" priority="1964" operator="greaterThan">
      <formula>0.9</formula>
    </cfRule>
    <cfRule type="cellIs" dxfId="4118" priority="1965" operator="greaterThan">
      <formula>0.85</formula>
    </cfRule>
  </conditionalFormatting>
  <conditionalFormatting sqref="AV9">
    <cfRule type="expression" dxfId="4117" priority="1962">
      <formula>AV9="X"</formula>
    </cfRule>
    <cfRule type="expression" dxfId="4116" priority="1963">
      <formula>AV9="후보"</formula>
    </cfRule>
  </conditionalFormatting>
  <conditionalFormatting sqref="AC9">
    <cfRule type="cellIs" dxfId="4115" priority="1959" operator="greaterThan">
      <formula>0.9</formula>
    </cfRule>
    <cfRule type="cellIs" dxfId="4114" priority="1960" operator="greaterThan">
      <formula>0.85</formula>
    </cfRule>
  </conditionalFormatting>
  <conditionalFormatting sqref="N9">
    <cfRule type="cellIs" dxfId="4113" priority="1957" operator="greaterThan">
      <formula>0.9</formula>
    </cfRule>
    <cfRule type="cellIs" dxfId="4112" priority="1958" operator="greaterThan">
      <formula>0.85</formula>
    </cfRule>
  </conditionalFormatting>
  <conditionalFormatting sqref="E9">
    <cfRule type="expression" dxfId="4111" priority="1953">
      <formula>AND(IF(OR($Q9=1,$Q9=2),1,0),IF($X9&lt;=20,1,0))</formula>
    </cfRule>
    <cfRule type="expression" dxfId="4110" priority="1954">
      <formula>AND(IF($Q9=2,1,0),IF($X9&lt;30,1,0))</formula>
    </cfRule>
    <cfRule type="expression" dxfId="4109" priority="1955">
      <formula>AND(IF($Q9=3,1,0),IF($X9&lt;30,1,0))</formula>
    </cfRule>
    <cfRule type="expression" dxfId="4108" priority="1956">
      <formula>AND(IF($Q9=3,1,IF($Q9=4,1,0)),IF($F9&lt;=85,1,0))</formula>
    </cfRule>
  </conditionalFormatting>
  <conditionalFormatting sqref="X9">
    <cfRule type="expression" dxfId="4107" priority="1949">
      <formula>AND(IF(OR($Q9=1,$Q9=2),1,0),IF($X9&lt;=20,1,0))</formula>
    </cfRule>
    <cfRule type="expression" dxfId="4106" priority="1950">
      <formula>AND(IF($Q9=2,1,0),IF($X9&lt;30,1,0))</formula>
    </cfRule>
    <cfRule type="expression" dxfId="4105" priority="1951">
      <formula>AND(IF($Q9=3,1,0),IF($X9&lt;30,1,0))</formula>
    </cfRule>
    <cfRule type="expression" dxfId="4104" priority="1952">
      <formula>AND(IF($Q9=3,1,IF($Q9=4,1,0)),IF($F9&lt;=85,1,0))</formula>
    </cfRule>
  </conditionalFormatting>
  <conditionalFormatting sqref="AI9">
    <cfRule type="expression" dxfId="4103" priority="1945">
      <formula>AND(IF(OR($Q9=1,$Q9=2),1,0),IF($X9&lt;=20,1,0))</formula>
    </cfRule>
    <cfRule type="expression" dxfId="4102" priority="1946">
      <formula>AND(IF($Q9=2,1,0),IF($X9&lt;30,1,0))</formula>
    </cfRule>
    <cfRule type="expression" dxfId="4101" priority="1947">
      <formula>AND(IF($Q9=3,1,0),IF($X9&lt;30,1,0))</formula>
    </cfRule>
    <cfRule type="expression" dxfId="4100" priority="1948">
      <formula>AND(IF($Q9=3,1,IF($Q9=4,1,0)),IF($F9&lt;=85,1,0))</formula>
    </cfRule>
  </conditionalFormatting>
  <conditionalFormatting sqref="AV10">
    <cfRule type="expression" dxfId="4099" priority="1943">
      <formula>AV10="X"</formula>
    </cfRule>
    <cfRule type="expression" dxfId="4098" priority="1944">
      <formula>AV10="후보"</formula>
    </cfRule>
  </conditionalFormatting>
  <conditionalFormatting sqref="AC10">
    <cfRule type="cellIs" dxfId="4097" priority="1940" operator="greaterThan">
      <formula>0.9</formula>
    </cfRule>
    <cfRule type="cellIs" dxfId="4096" priority="1941" operator="greaterThan">
      <formula>0.85</formula>
    </cfRule>
  </conditionalFormatting>
  <conditionalFormatting sqref="N10">
    <cfRule type="cellIs" dxfId="4095" priority="1938" operator="greaterThan">
      <formula>0.9</formula>
    </cfRule>
    <cfRule type="cellIs" dxfId="4094" priority="1939" operator="greaterThan">
      <formula>0.85</formula>
    </cfRule>
  </conditionalFormatting>
  <conditionalFormatting sqref="E10">
    <cfRule type="expression" dxfId="4093" priority="1934">
      <formula>AND(IF(OR($Q10=1,$Q10=2),1,0),IF($X10&lt;=20,1,0))</formula>
    </cfRule>
    <cfRule type="expression" dxfId="4092" priority="1935">
      <formula>AND(IF($Q10=2,1,0),IF($X10&lt;30,1,0))</formula>
    </cfRule>
    <cfRule type="expression" dxfId="4091" priority="1936">
      <formula>AND(IF($Q10=3,1,0),IF($X10&lt;30,1,0))</formula>
    </cfRule>
    <cfRule type="expression" dxfId="4090" priority="1937">
      <formula>AND(IF($Q10=3,1,IF($Q10=4,1,0)),IF($F10&lt;=85,1,0))</formula>
    </cfRule>
  </conditionalFormatting>
  <conditionalFormatting sqref="X10">
    <cfRule type="expression" dxfId="4089" priority="1930">
      <formula>AND(IF(OR($Q10=1,$Q10=2),1,0),IF($X10&lt;=20,1,0))</formula>
    </cfRule>
    <cfRule type="expression" dxfId="4088" priority="1931">
      <formula>AND(IF($Q10=2,1,0),IF($X10&lt;30,1,0))</formula>
    </cfRule>
    <cfRule type="expression" dxfId="4087" priority="1932">
      <formula>AND(IF($Q10=3,1,0),IF($X10&lt;30,1,0))</formula>
    </cfRule>
    <cfRule type="expression" dxfId="4086" priority="1933">
      <formula>AND(IF($Q10=3,1,IF($Q10=4,1,0)),IF($F10&lt;=85,1,0))</formula>
    </cfRule>
  </conditionalFormatting>
  <conditionalFormatting sqref="AI10">
    <cfRule type="expression" dxfId="4085" priority="1926">
      <formula>AND(IF(OR($Q10=1,$Q10=2),1,0),IF($X10&lt;=20,1,0))</formula>
    </cfRule>
    <cfRule type="expression" dxfId="4084" priority="1927">
      <formula>AND(IF($Q10=2,1,0),IF($X10&lt;30,1,0))</formula>
    </cfRule>
    <cfRule type="expression" dxfId="4083" priority="1928">
      <formula>AND(IF($Q10=3,1,0),IF($X10&lt;30,1,0))</formula>
    </cfRule>
    <cfRule type="expression" dxfId="4082" priority="1929">
      <formula>AND(IF($Q10=3,1,IF($Q10=4,1,0)),IF($F10&lt;=85,1,0))</formula>
    </cfRule>
  </conditionalFormatting>
  <conditionalFormatting sqref="AV11">
    <cfRule type="expression" dxfId="4081" priority="1924">
      <formula>AV11="X"</formula>
    </cfRule>
    <cfRule type="expression" dxfId="4080" priority="1925">
      <formula>AV11="후보"</formula>
    </cfRule>
  </conditionalFormatting>
  <conditionalFormatting sqref="AC11">
    <cfRule type="cellIs" dxfId="4079" priority="1921" operator="greaterThan">
      <formula>0.9</formula>
    </cfRule>
    <cfRule type="cellIs" dxfId="4078" priority="1922" operator="greaterThan">
      <formula>0.85</formula>
    </cfRule>
  </conditionalFormatting>
  <conditionalFormatting sqref="N11">
    <cfRule type="cellIs" dxfId="4077" priority="1919" operator="greaterThan">
      <formula>0.9</formula>
    </cfRule>
    <cfRule type="cellIs" dxfId="4076" priority="1920" operator="greaterThan">
      <formula>0.85</formula>
    </cfRule>
  </conditionalFormatting>
  <conditionalFormatting sqref="E11">
    <cfRule type="expression" dxfId="4075" priority="1915">
      <formula>AND(IF(OR($Q11=1,$Q11=2),1,0),IF($X11&lt;=20,1,0))</formula>
    </cfRule>
    <cfRule type="expression" dxfId="4074" priority="1916">
      <formula>AND(IF($Q11=2,1,0),IF($X11&lt;30,1,0))</formula>
    </cfRule>
    <cfRule type="expression" dxfId="4073" priority="1917">
      <formula>AND(IF($Q11=3,1,0),IF($X11&lt;30,1,0))</formula>
    </cfRule>
    <cfRule type="expression" dxfId="4072" priority="1918">
      <formula>AND(IF($Q11=3,1,IF($Q11=4,1,0)),IF($F11&lt;=85,1,0))</formula>
    </cfRule>
  </conditionalFormatting>
  <conditionalFormatting sqref="X11">
    <cfRule type="expression" dxfId="4071" priority="1911">
      <formula>AND(IF(OR($Q11=1,$Q11=2),1,0),IF($X11&lt;=20,1,0))</formula>
    </cfRule>
    <cfRule type="expression" dxfId="4070" priority="1912">
      <formula>AND(IF($Q11=2,1,0),IF($X11&lt;30,1,0))</formula>
    </cfRule>
    <cfRule type="expression" dxfId="4069" priority="1913">
      <formula>AND(IF($Q11=3,1,0),IF($X11&lt;30,1,0))</formula>
    </cfRule>
    <cfRule type="expression" dxfId="4068" priority="1914">
      <formula>AND(IF($Q11=3,1,IF($Q11=4,1,0)),IF($F11&lt;=85,1,0))</formula>
    </cfRule>
  </conditionalFormatting>
  <conditionalFormatting sqref="AI11">
    <cfRule type="expression" dxfId="4067" priority="1907">
      <formula>AND(IF(OR($Q11=1,$Q11=2),1,0),IF($X11&lt;=20,1,0))</formula>
    </cfRule>
    <cfRule type="expression" dxfId="4066" priority="1908">
      <formula>AND(IF($Q11=2,1,0),IF($X11&lt;30,1,0))</formula>
    </cfRule>
    <cfRule type="expression" dxfId="4065" priority="1909">
      <formula>AND(IF($Q11=3,1,0),IF($X11&lt;30,1,0))</formula>
    </cfRule>
    <cfRule type="expression" dxfId="4064" priority="1910">
      <formula>AND(IF($Q11=3,1,IF($Q11=4,1,0)),IF($F11&lt;=85,1,0))</formula>
    </cfRule>
  </conditionalFormatting>
  <conditionalFormatting sqref="AV12">
    <cfRule type="expression" dxfId="4063" priority="1905">
      <formula>AV12="X"</formula>
    </cfRule>
    <cfRule type="expression" dxfId="4062" priority="1906">
      <formula>AV12="후보"</formula>
    </cfRule>
  </conditionalFormatting>
  <conditionalFormatting sqref="AC12">
    <cfRule type="cellIs" dxfId="4061" priority="1902" operator="greaterThan">
      <formula>0.9</formula>
    </cfRule>
    <cfRule type="cellIs" dxfId="4060" priority="1903" operator="greaterThan">
      <formula>0.85</formula>
    </cfRule>
  </conditionalFormatting>
  <conditionalFormatting sqref="N12">
    <cfRule type="cellIs" dxfId="4059" priority="1900" operator="greaterThan">
      <formula>0.9</formula>
    </cfRule>
    <cfRule type="cellIs" dxfId="4058" priority="1901" operator="greaterThan">
      <formula>0.85</formula>
    </cfRule>
  </conditionalFormatting>
  <conditionalFormatting sqref="E12">
    <cfRule type="expression" dxfId="4057" priority="1896">
      <formula>AND(IF(OR($Q12=1,$Q12=2),1,0),IF($X12&lt;=20,1,0))</formula>
    </cfRule>
    <cfRule type="expression" dxfId="4056" priority="1897">
      <formula>AND(IF($Q12=2,1,0),IF($X12&lt;30,1,0))</formula>
    </cfRule>
    <cfRule type="expression" dxfId="4055" priority="1898">
      <formula>AND(IF($Q12=3,1,0),IF($X12&lt;30,1,0))</formula>
    </cfRule>
    <cfRule type="expression" dxfId="4054" priority="1899">
      <formula>AND(IF($Q12=3,1,IF($Q12=4,1,0)),IF($F12&lt;=85,1,0))</formula>
    </cfRule>
  </conditionalFormatting>
  <conditionalFormatting sqref="X12">
    <cfRule type="expression" dxfId="4053" priority="1892">
      <formula>AND(IF(OR($Q12=1,$Q12=2),1,0),IF($X12&lt;=20,1,0))</formula>
    </cfRule>
    <cfRule type="expression" dxfId="4052" priority="1893">
      <formula>AND(IF($Q12=2,1,0),IF($X12&lt;30,1,0))</formula>
    </cfRule>
    <cfRule type="expression" dxfId="4051" priority="1894">
      <formula>AND(IF($Q12=3,1,0),IF($X12&lt;30,1,0))</formula>
    </cfRule>
    <cfRule type="expression" dxfId="4050" priority="1895">
      <formula>AND(IF($Q12=3,1,IF($Q12=4,1,0)),IF($F12&lt;=85,1,0))</formula>
    </cfRule>
  </conditionalFormatting>
  <conditionalFormatting sqref="AI12">
    <cfRule type="expression" dxfId="4049" priority="1888">
      <formula>AND(IF(OR($Q12=1,$Q12=2),1,0),IF($X12&lt;=20,1,0))</formula>
    </cfRule>
    <cfRule type="expression" dxfId="4048" priority="1889">
      <formula>AND(IF($Q12=2,1,0),IF($X12&lt;30,1,0))</formula>
    </cfRule>
    <cfRule type="expression" dxfId="4047" priority="1890">
      <formula>AND(IF($Q12=3,1,0),IF($X12&lt;30,1,0))</formula>
    </cfRule>
    <cfRule type="expression" dxfId="4046" priority="1891">
      <formula>AND(IF($Q12=3,1,IF($Q12=4,1,0)),IF($F12&lt;=85,1,0))</formula>
    </cfRule>
  </conditionalFormatting>
  <conditionalFormatting sqref="AV13">
    <cfRule type="expression" dxfId="4045" priority="1886">
      <formula>AV13="X"</formula>
    </cfRule>
    <cfRule type="expression" dxfId="4044" priority="1887">
      <formula>AV13="후보"</formula>
    </cfRule>
  </conditionalFormatting>
  <conditionalFormatting sqref="AC13">
    <cfRule type="cellIs" dxfId="4043" priority="1883" operator="greaterThan">
      <formula>0.9</formula>
    </cfRule>
    <cfRule type="cellIs" dxfId="4042" priority="1884" operator="greaterThan">
      <formula>0.85</formula>
    </cfRule>
  </conditionalFormatting>
  <conditionalFormatting sqref="N13">
    <cfRule type="cellIs" dxfId="4041" priority="1881" operator="greaterThan">
      <formula>0.9</formula>
    </cfRule>
    <cfRule type="cellIs" dxfId="4040" priority="1882" operator="greaterThan">
      <formula>0.85</formula>
    </cfRule>
  </conditionalFormatting>
  <conditionalFormatting sqref="E13">
    <cfRule type="expression" dxfId="4039" priority="1877">
      <formula>AND(IF(OR($Q13=1,$Q13=2),1,0),IF($X13&lt;=20,1,0))</formula>
    </cfRule>
    <cfRule type="expression" dxfId="4038" priority="1878">
      <formula>AND(IF($Q13=2,1,0),IF($X13&lt;30,1,0))</formula>
    </cfRule>
    <cfRule type="expression" dxfId="4037" priority="1879">
      <formula>AND(IF($Q13=3,1,0),IF($X13&lt;30,1,0))</formula>
    </cfRule>
    <cfRule type="expression" dxfId="4036" priority="1880">
      <formula>AND(IF($Q13=3,1,IF($Q13=4,1,0)),IF($F13&lt;=85,1,0))</formula>
    </cfRule>
  </conditionalFormatting>
  <conditionalFormatting sqref="X13">
    <cfRule type="expression" dxfId="4035" priority="1873">
      <formula>AND(IF(OR($Q13=1,$Q13=2),1,0),IF($X13&lt;=20,1,0))</formula>
    </cfRule>
    <cfRule type="expression" dxfId="4034" priority="1874">
      <formula>AND(IF($Q13=2,1,0),IF($X13&lt;30,1,0))</formula>
    </cfRule>
    <cfRule type="expression" dxfId="4033" priority="1875">
      <formula>AND(IF($Q13=3,1,0),IF($X13&lt;30,1,0))</formula>
    </cfRule>
    <cfRule type="expression" dxfId="4032" priority="1876">
      <formula>AND(IF($Q13=3,1,IF($Q13=4,1,0)),IF($F13&lt;=85,1,0))</formula>
    </cfRule>
  </conditionalFormatting>
  <conditionalFormatting sqref="AI13">
    <cfRule type="expression" dxfId="4031" priority="1869">
      <formula>AND(IF(OR($Q13=1,$Q13=2),1,0),IF($X13&lt;=20,1,0))</formula>
    </cfRule>
    <cfRule type="expression" dxfId="4030" priority="1870">
      <formula>AND(IF($Q13=2,1,0),IF($X13&lt;30,1,0))</formula>
    </cfRule>
    <cfRule type="expression" dxfId="4029" priority="1871">
      <formula>AND(IF($Q13=3,1,0),IF($X13&lt;30,1,0))</formula>
    </cfRule>
    <cfRule type="expression" dxfId="4028" priority="1872">
      <formula>AND(IF($Q13=3,1,IF($Q13=4,1,0)),IF($F13&lt;=85,1,0))</formula>
    </cfRule>
  </conditionalFormatting>
  <conditionalFormatting sqref="AV14">
    <cfRule type="expression" dxfId="4027" priority="1867">
      <formula>AV14="X"</formula>
    </cfRule>
    <cfRule type="expression" dxfId="4026" priority="1868">
      <formula>AV14="후보"</formula>
    </cfRule>
  </conditionalFormatting>
  <conditionalFormatting sqref="AC14 N14">
    <cfRule type="cellIs" dxfId="4025" priority="1864" operator="greaterThan">
      <formula>0.9</formula>
    </cfRule>
    <cfRule type="cellIs" dxfId="4024" priority="1865" operator="greaterThan">
      <formula>0.85</formula>
    </cfRule>
  </conditionalFormatting>
  <conditionalFormatting sqref="AV15">
    <cfRule type="expression" dxfId="4023" priority="1862">
      <formula>AV15="X"</formula>
    </cfRule>
    <cfRule type="expression" dxfId="4022" priority="1863">
      <formula>AV15="후보"</formula>
    </cfRule>
  </conditionalFormatting>
  <conditionalFormatting sqref="AC15">
    <cfRule type="cellIs" dxfId="4021" priority="1859" operator="greaterThan">
      <formula>0.9</formula>
    </cfRule>
    <cfRule type="cellIs" dxfId="4020" priority="1860" operator="greaterThan">
      <formula>0.85</formula>
    </cfRule>
  </conditionalFormatting>
  <conditionalFormatting sqref="N15">
    <cfRule type="cellIs" dxfId="4019" priority="1857" operator="greaterThan">
      <formula>0.9</formula>
    </cfRule>
    <cfRule type="cellIs" dxfId="4018" priority="1858" operator="greaterThan">
      <formula>0.85</formula>
    </cfRule>
  </conditionalFormatting>
  <conditionalFormatting sqref="E15">
    <cfRule type="expression" dxfId="4017" priority="1853">
      <formula>AND(IF(OR($Q15=1,$Q15=2),1,0),IF($X15&lt;=20,1,0))</formula>
    </cfRule>
    <cfRule type="expression" dxfId="4016" priority="1854">
      <formula>AND(IF($Q15=2,1,0),IF($X15&lt;30,1,0))</formula>
    </cfRule>
    <cfRule type="expression" dxfId="4015" priority="1855">
      <formula>AND(IF($Q15=3,1,0),IF($X15&lt;30,1,0))</formula>
    </cfRule>
    <cfRule type="expression" dxfId="4014" priority="1856">
      <formula>AND(IF($Q15=3,1,IF($Q15=4,1,0)),IF($F15&lt;=85,1,0))</formula>
    </cfRule>
  </conditionalFormatting>
  <conditionalFormatting sqref="X15">
    <cfRule type="expression" dxfId="4013" priority="1849">
      <formula>AND(IF(OR($Q15=1,$Q15=2),1,0),IF($X15&lt;=20,1,0))</formula>
    </cfRule>
    <cfRule type="expression" dxfId="4012" priority="1850">
      <formula>AND(IF($Q15=2,1,0),IF($X15&lt;30,1,0))</formula>
    </cfRule>
    <cfRule type="expression" dxfId="4011" priority="1851">
      <formula>AND(IF($Q15=3,1,0),IF($X15&lt;30,1,0))</formula>
    </cfRule>
    <cfRule type="expression" dxfId="4010" priority="1852">
      <formula>AND(IF($Q15=3,1,IF($Q15=4,1,0)),IF($F15&lt;=85,1,0))</formula>
    </cfRule>
  </conditionalFormatting>
  <conditionalFormatting sqref="AI15">
    <cfRule type="expression" dxfId="4009" priority="1845">
      <formula>AND(IF(OR($Q15=1,$Q15=2),1,0),IF($X15&lt;=20,1,0))</formula>
    </cfRule>
    <cfRule type="expression" dxfId="4008" priority="1846">
      <formula>AND(IF($Q15=2,1,0),IF($X15&lt;30,1,0))</formula>
    </cfRule>
    <cfRule type="expression" dxfId="4007" priority="1847">
      <formula>AND(IF($Q15=3,1,0),IF($X15&lt;30,1,0))</formula>
    </cfRule>
    <cfRule type="expression" dxfId="4006" priority="1848">
      <formula>AND(IF($Q15=3,1,IF($Q15=4,1,0)),IF($F15&lt;=85,1,0))</formula>
    </cfRule>
  </conditionalFormatting>
  <conditionalFormatting sqref="AV16">
    <cfRule type="expression" dxfId="4005" priority="1843">
      <formula>AV16="X"</formula>
    </cfRule>
    <cfRule type="expression" dxfId="4004" priority="1844">
      <formula>AV16="후보"</formula>
    </cfRule>
  </conditionalFormatting>
  <conditionalFormatting sqref="AC16">
    <cfRule type="cellIs" dxfId="4003" priority="1840" operator="greaterThan">
      <formula>0.9</formula>
    </cfRule>
    <cfRule type="cellIs" dxfId="4002" priority="1841" operator="greaterThan">
      <formula>0.85</formula>
    </cfRule>
  </conditionalFormatting>
  <conditionalFormatting sqref="N16">
    <cfRule type="cellIs" dxfId="4001" priority="1838" operator="greaterThan">
      <formula>0.9</formula>
    </cfRule>
    <cfRule type="cellIs" dxfId="4000" priority="1839" operator="greaterThan">
      <formula>0.85</formula>
    </cfRule>
  </conditionalFormatting>
  <conditionalFormatting sqref="E16">
    <cfRule type="expression" dxfId="3999" priority="1834">
      <formula>AND(IF(OR($Q16=1,$Q16=2),1,0),IF($X16&lt;=20,1,0))</formula>
    </cfRule>
    <cfRule type="expression" dxfId="3998" priority="1835">
      <formula>AND(IF($Q16=2,1,0),IF($X16&lt;30,1,0))</formula>
    </cfRule>
    <cfRule type="expression" dxfId="3997" priority="1836">
      <formula>AND(IF($Q16=3,1,0),IF($X16&lt;30,1,0))</formula>
    </cfRule>
    <cfRule type="expression" dxfId="3996" priority="1837">
      <formula>AND(IF($Q16=3,1,IF($Q16=4,1,0)),IF($F16&lt;=85,1,0))</formula>
    </cfRule>
  </conditionalFormatting>
  <conditionalFormatting sqref="X16">
    <cfRule type="expression" dxfId="3995" priority="1830">
      <formula>AND(IF(OR($Q16=1,$Q16=2),1,0),IF($X16&lt;=20,1,0))</formula>
    </cfRule>
    <cfRule type="expression" dxfId="3994" priority="1831">
      <formula>AND(IF($Q16=2,1,0),IF($X16&lt;30,1,0))</formula>
    </cfRule>
    <cfRule type="expression" dxfId="3993" priority="1832">
      <formula>AND(IF($Q16=3,1,0),IF($X16&lt;30,1,0))</formula>
    </cfRule>
    <cfRule type="expression" dxfId="3992" priority="1833">
      <formula>AND(IF($Q16=3,1,IF($Q16=4,1,0)),IF($F16&lt;=85,1,0))</formula>
    </cfRule>
  </conditionalFormatting>
  <conditionalFormatting sqref="AI16">
    <cfRule type="expression" dxfId="3991" priority="1826">
      <formula>AND(IF(OR($Q16=1,$Q16=2),1,0),IF($X16&lt;=20,1,0))</formula>
    </cfRule>
    <cfRule type="expression" dxfId="3990" priority="1827">
      <formula>AND(IF($Q16=2,1,0),IF($X16&lt;30,1,0))</formula>
    </cfRule>
    <cfRule type="expression" dxfId="3989" priority="1828">
      <formula>AND(IF($Q16=3,1,0),IF($X16&lt;30,1,0))</formula>
    </cfRule>
    <cfRule type="expression" dxfId="3988" priority="1829">
      <formula>AND(IF($Q16=3,1,IF($Q16=4,1,0)),IF($F16&lt;=85,1,0))</formula>
    </cfRule>
  </conditionalFormatting>
  <conditionalFormatting sqref="AV17">
    <cfRule type="expression" dxfId="3987" priority="1824">
      <formula>AV17="X"</formula>
    </cfRule>
    <cfRule type="expression" dxfId="3986" priority="1825">
      <formula>AV17="후보"</formula>
    </cfRule>
  </conditionalFormatting>
  <conditionalFormatting sqref="AC17">
    <cfRule type="cellIs" dxfId="3985" priority="1821" operator="greaterThan">
      <formula>0.9</formula>
    </cfRule>
    <cfRule type="cellIs" dxfId="3984" priority="1822" operator="greaterThan">
      <formula>0.85</formula>
    </cfRule>
  </conditionalFormatting>
  <conditionalFormatting sqref="N17">
    <cfRule type="cellIs" dxfId="3983" priority="1819" operator="greaterThan">
      <formula>0.9</formula>
    </cfRule>
    <cfRule type="cellIs" dxfId="3982" priority="1820" operator="greaterThan">
      <formula>0.85</formula>
    </cfRule>
  </conditionalFormatting>
  <conditionalFormatting sqref="E17">
    <cfRule type="expression" dxfId="3981" priority="1815">
      <formula>AND(IF(OR($Q17=1,$Q17=2),1,0),IF($X17&lt;=20,1,0))</formula>
    </cfRule>
    <cfRule type="expression" dxfId="3980" priority="1816">
      <formula>AND(IF($Q17=2,1,0),IF($X17&lt;30,1,0))</formula>
    </cfRule>
    <cfRule type="expression" dxfId="3979" priority="1817">
      <formula>AND(IF($Q17=3,1,0),IF($X17&lt;30,1,0))</formula>
    </cfRule>
    <cfRule type="expression" dxfId="3978" priority="1818">
      <formula>AND(IF($Q17=3,1,IF($Q17=4,1,0)),IF($F17&lt;=85,1,0))</formula>
    </cfRule>
  </conditionalFormatting>
  <conditionalFormatting sqref="X17">
    <cfRule type="expression" dxfId="3977" priority="1811">
      <formula>AND(IF(OR($Q17=1,$Q17=2),1,0),IF($X17&lt;=20,1,0))</formula>
    </cfRule>
    <cfRule type="expression" dxfId="3976" priority="1812">
      <formula>AND(IF($Q17=2,1,0),IF($X17&lt;30,1,0))</formula>
    </cfRule>
    <cfRule type="expression" dxfId="3975" priority="1813">
      <formula>AND(IF($Q17=3,1,0),IF($X17&lt;30,1,0))</formula>
    </cfRule>
    <cfRule type="expression" dxfId="3974" priority="1814">
      <formula>AND(IF($Q17=3,1,IF($Q17=4,1,0)),IF($F17&lt;=85,1,0))</formula>
    </cfRule>
  </conditionalFormatting>
  <conditionalFormatting sqref="AI17">
    <cfRule type="expression" dxfId="3973" priority="1807">
      <formula>AND(IF(OR($Q17=1,$Q17=2),1,0),IF($X17&lt;=20,1,0))</formula>
    </cfRule>
    <cfRule type="expression" dxfId="3972" priority="1808">
      <formula>AND(IF($Q17=2,1,0),IF($X17&lt;30,1,0))</formula>
    </cfRule>
    <cfRule type="expression" dxfId="3971" priority="1809">
      <formula>AND(IF($Q17=3,1,0),IF($X17&lt;30,1,0))</formula>
    </cfRule>
    <cfRule type="expression" dxfId="3970" priority="1810">
      <formula>AND(IF($Q17=3,1,IF($Q17=4,1,0)),IF($F17&lt;=85,1,0))</formula>
    </cfRule>
  </conditionalFormatting>
  <conditionalFormatting sqref="AV18">
    <cfRule type="expression" dxfId="3969" priority="1805">
      <formula>AV18="X"</formula>
    </cfRule>
    <cfRule type="expression" dxfId="3968" priority="1806">
      <formula>AV18="후보"</formula>
    </cfRule>
  </conditionalFormatting>
  <conditionalFormatting sqref="AC18">
    <cfRule type="cellIs" dxfId="3967" priority="1802" operator="greaterThan">
      <formula>0.9</formula>
    </cfRule>
    <cfRule type="cellIs" dxfId="3966" priority="1803" operator="greaterThan">
      <formula>0.85</formula>
    </cfRule>
  </conditionalFormatting>
  <conditionalFormatting sqref="N18">
    <cfRule type="cellIs" dxfId="3965" priority="1800" operator="greaterThan">
      <formula>0.9</formula>
    </cfRule>
    <cfRule type="cellIs" dxfId="3964" priority="1801" operator="greaterThan">
      <formula>0.85</formula>
    </cfRule>
  </conditionalFormatting>
  <conditionalFormatting sqref="E18">
    <cfRule type="expression" dxfId="3963" priority="1796">
      <formula>AND(IF(OR($Q18=1,$Q18=2),1,0),IF($X18&lt;=20,1,0))</formula>
    </cfRule>
    <cfRule type="expression" dxfId="3962" priority="1797">
      <formula>AND(IF($Q18=2,1,0),IF($X18&lt;30,1,0))</formula>
    </cfRule>
    <cfRule type="expression" dxfId="3961" priority="1798">
      <formula>AND(IF($Q18=3,1,0),IF($X18&lt;30,1,0))</formula>
    </cfRule>
    <cfRule type="expression" dxfId="3960" priority="1799">
      <formula>AND(IF($Q18=3,1,IF($Q18=4,1,0)),IF($F18&lt;=85,1,0))</formula>
    </cfRule>
  </conditionalFormatting>
  <conditionalFormatting sqref="X18">
    <cfRule type="expression" dxfId="3959" priority="1792">
      <formula>AND(IF(OR($Q18=1,$Q18=2),1,0),IF($X18&lt;=20,1,0))</formula>
    </cfRule>
    <cfRule type="expression" dxfId="3958" priority="1793">
      <formula>AND(IF($Q18=2,1,0),IF($X18&lt;30,1,0))</formula>
    </cfRule>
    <cfRule type="expression" dxfId="3957" priority="1794">
      <formula>AND(IF($Q18=3,1,0),IF($X18&lt;30,1,0))</formula>
    </cfRule>
    <cfRule type="expression" dxfId="3956" priority="1795">
      <formula>AND(IF($Q18=3,1,IF($Q18=4,1,0)),IF($F18&lt;=85,1,0))</formula>
    </cfRule>
  </conditionalFormatting>
  <conditionalFormatting sqref="AI18">
    <cfRule type="expression" dxfId="3955" priority="1788">
      <formula>AND(IF(OR($Q18=1,$Q18=2),1,0),IF($X18&lt;=20,1,0))</formula>
    </cfRule>
    <cfRule type="expression" dxfId="3954" priority="1789">
      <formula>AND(IF($Q18=2,1,0),IF($X18&lt;30,1,0))</formula>
    </cfRule>
    <cfRule type="expression" dxfId="3953" priority="1790">
      <formula>AND(IF($Q18=3,1,0),IF($X18&lt;30,1,0))</formula>
    </cfRule>
    <cfRule type="expression" dxfId="3952" priority="1791">
      <formula>AND(IF($Q18=3,1,IF($Q18=4,1,0)),IF($F18&lt;=85,1,0))</formula>
    </cfRule>
  </conditionalFormatting>
  <conditionalFormatting sqref="AV19">
    <cfRule type="expression" dxfId="3951" priority="1786">
      <formula>AV19="X"</formula>
    </cfRule>
    <cfRule type="expression" dxfId="3950" priority="1787">
      <formula>AV19="후보"</formula>
    </cfRule>
  </conditionalFormatting>
  <conditionalFormatting sqref="AC19">
    <cfRule type="cellIs" dxfId="3949" priority="1783" operator="greaterThan">
      <formula>0.9</formula>
    </cfRule>
    <cfRule type="cellIs" dxfId="3948" priority="1784" operator="greaterThan">
      <formula>0.85</formula>
    </cfRule>
  </conditionalFormatting>
  <conditionalFormatting sqref="N19">
    <cfRule type="cellIs" dxfId="3947" priority="1781" operator="greaterThan">
      <formula>0.9</formula>
    </cfRule>
    <cfRule type="cellIs" dxfId="3946" priority="1782" operator="greaterThan">
      <formula>0.85</formula>
    </cfRule>
  </conditionalFormatting>
  <conditionalFormatting sqref="E19">
    <cfRule type="expression" dxfId="3945" priority="1777">
      <formula>AND(IF(OR($Q19=1,$Q19=2),1,0),IF($X19&lt;=20,1,0))</formula>
    </cfRule>
    <cfRule type="expression" dxfId="3944" priority="1778">
      <formula>AND(IF($Q19=2,1,0),IF($X19&lt;30,1,0))</formula>
    </cfRule>
    <cfRule type="expression" dxfId="3943" priority="1779">
      <formula>AND(IF($Q19=3,1,0),IF($X19&lt;30,1,0))</formula>
    </cfRule>
    <cfRule type="expression" dxfId="3942" priority="1780">
      <formula>AND(IF($Q19=3,1,IF($Q19=4,1,0)),IF($F19&lt;=85,1,0))</formula>
    </cfRule>
  </conditionalFormatting>
  <conditionalFormatting sqref="X19">
    <cfRule type="expression" dxfId="3941" priority="1773">
      <formula>AND(IF(OR($Q19=1,$Q19=2),1,0),IF($X19&lt;=20,1,0))</formula>
    </cfRule>
    <cfRule type="expression" dxfId="3940" priority="1774">
      <formula>AND(IF($Q19=2,1,0),IF($X19&lt;30,1,0))</formula>
    </cfRule>
    <cfRule type="expression" dxfId="3939" priority="1775">
      <formula>AND(IF($Q19=3,1,0),IF($X19&lt;30,1,0))</formula>
    </cfRule>
    <cfRule type="expression" dxfId="3938" priority="1776">
      <formula>AND(IF($Q19=3,1,IF($Q19=4,1,0)),IF($F19&lt;=85,1,0))</formula>
    </cfRule>
  </conditionalFormatting>
  <conditionalFormatting sqref="AI19">
    <cfRule type="expression" dxfId="3937" priority="1769">
      <formula>AND(IF(OR($Q19=1,$Q19=2),1,0),IF($X19&lt;=20,1,0))</formula>
    </cfRule>
    <cfRule type="expression" dxfId="3936" priority="1770">
      <formula>AND(IF($Q19=2,1,0),IF($X19&lt;30,1,0))</formula>
    </cfRule>
    <cfRule type="expression" dxfId="3935" priority="1771">
      <formula>AND(IF($Q19=3,1,0),IF($X19&lt;30,1,0))</formula>
    </cfRule>
    <cfRule type="expression" dxfId="3934" priority="1772">
      <formula>AND(IF($Q19=3,1,IF($Q19=4,1,0)),IF($F19&lt;=85,1,0))</formula>
    </cfRule>
  </conditionalFormatting>
  <conditionalFormatting sqref="AV20">
    <cfRule type="expression" dxfId="3933" priority="1767">
      <formula>AV20="X"</formula>
    </cfRule>
    <cfRule type="expression" dxfId="3932" priority="1768">
      <formula>AV20="후보"</formula>
    </cfRule>
  </conditionalFormatting>
  <conditionalFormatting sqref="AC20">
    <cfRule type="cellIs" dxfId="3931" priority="1764" operator="greaterThan">
      <formula>0.9</formula>
    </cfRule>
    <cfRule type="cellIs" dxfId="3930" priority="1765" operator="greaterThan">
      <formula>0.85</formula>
    </cfRule>
  </conditionalFormatting>
  <conditionalFormatting sqref="N20">
    <cfRule type="cellIs" dxfId="3929" priority="1762" operator="greaterThan">
      <formula>0.9</formula>
    </cfRule>
    <cfRule type="cellIs" dxfId="3928" priority="1763" operator="greaterThan">
      <formula>0.85</formula>
    </cfRule>
  </conditionalFormatting>
  <conditionalFormatting sqref="E20">
    <cfRule type="expression" dxfId="3927" priority="1758">
      <formula>AND(IF(OR($Q20=1,$Q20=2),1,0),IF($X20&lt;=20,1,0))</formula>
    </cfRule>
    <cfRule type="expression" dxfId="3926" priority="1759">
      <formula>AND(IF($Q20=2,1,0),IF($X20&lt;30,1,0))</formula>
    </cfRule>
    <cfRule type="expression" dxfId="3925" priority="1760">
      <formula>AND(IF($Q20=3,1,0),IF($X20&lt;30,1,0))</formula>
    </cfRule>
    <cfRule type="expression" dxfId="3924" priority="1761">
      <formula>AND(IF($Q20=3,1,IF($Q20=4,1,0)),IF($F20&lt;=85,1,0))</formula>
    </cfRule>
  </conditionalFormatting>
  <conditionalFormatting sqref="X20">
    <cfRule type="expression" dxfId="3923" priority="1754">
      <formula>AND(IF(OR($Q20=1,$Q20=2),1,0),IF($X20&lt;=20,1,0))</formula>
    </cfRule>
    <cfRule type="expression" dxfId="3922" priority="1755">
      <formula>AND(IF($Q20=2,1,0),IF($X20&lt;30,1,0))</formula>
    </cfRule>
    <cfRule type="expression" dxfId="3921" priority="1756">
      <formula>AND(IF($Q20=3,1,0),IF($X20&lt;30,1,0))</formula>
    </cfRule>
    <cfRule type="expression" dxfId="3920" priority="1757">
      <formula>AND(IF($Q20=3,1,IF($Q20=4,1,0)),IF($F20&lt;=85,1,0))</formula>
    </cfRule>
  </conditionalFormatting>
  <conditionalFormatting sqref="AI20">
    <cfRule type="expression" dxfId="3919" priority="1750">
      <formula>AND(IF(OR($Q20=1,$Q20=2),1,0),IF($X20&lt;=20,1,0))</formula>
    </cfRule>
    <cfRule type="expression" dxfId="3918" priority="1751">
      <formula>AND(IF($Q20=2,1,0),IF($X20&lt;30,1,0))</formula>
    </cfRule>
    <cfRule type="expression" dxfId="3917" priority="1752">
      <formula>AND(IF($Q20=3,1,0),IF($X20&lt;30,1,0))</formula>
    </cfRule>
    <cfRule type="expression" dxfId="3916" priority="1753">
      <formula>AND(IF($Q20=3,1,IF($Q20=4,1,0)),IF($F20&lt;=85,1,0))</formula>
    </cfRule>
  </conditionalFormatting>
  <conditionalFormatting sqref="AV21">
    <cfRule type="expression" dxfId="3915" priority="1748">
      <formula>AV21="X"</formula>
    </cfRule>
    <cfRule type="expression" dxfId="3914" priority="1749">
      <formula>AV21="후보"</formula>
    </cfRule>
  </conditionalFormatting>
  <conditionalFormatting sqref="AC21 N21">
    <cfRule type="cellIs" dxfId="3913" priority="1745" operator="greaterThan">
      <formula>0.9</formula>
    </cfRule>
    <cfRule type="cellIs" dxfId="3912" priority="1746" operator="greaterThan">
      <formula>0.85</formula>
    </cfRule>
  </conditionalFormatting>
  <conditionalFormatting sqref="AV22">
    <cfRule type="expression" dxfId="3911" priority="1743">
      <formula>AV22="X"</formula>
    </cfRule>
    <cfRule type="expression" dxfId="3910" priority="1744">
      <formula>AV22="후보"</formula>
    </cfRule>
  </conditionalFormatting>
  <conditionalFormatting sqref="AC22">
    <cfRule type="cellIs" dxfId="3909" priority="1740" operator="greaterThan">
      <formula>0.9</formula>
    </cfRule>
    <cfRule type="cellIs" dxfId="3908" priority="1741" operator="greaterThan">
      <formula>0.85</formula>
    </cfRule>
  </conditionalFormatting>
  <conditionalFormatting sqref="N22">
    <cfRule type="cellIs" dxfId="3907" priority="1738" operator="greaterThan">
      <formula>0.9</formula>
    </cfRule>
    <cfRule type="cellIs" dxfId="3906" priority="1739" operator="greaterThan">
      <formula>0.85</formula>
    </cfRule>
  </conditionalFormatting>
  <conditionalFormatting sqref="E22">
    <cfRule type="expression" dxfId="3905" priority="1734">
      <formula>AND(IF(OR($Q22=1,$Q22=2),1,0),IF($X22&lt;=20,1,0))</formula>
    </cfRule>
    <cfRule type="expression" dxfId="3904" priority="1735">
      <formula>AND(IF($Q22=2,1,0),IF($X22&lt;30,1,0))</formula>
    </cfRule>
    <cfRule type="expression" dxfId="3903" priority="1736">
      <formula>AND(IF($Q22=3,1,0),IF($X22&lt;30,1,0))</formula>
    </cfRule>
    <cfRule type="expression" dxfId="3902" priority="1737">
      <formula>AND(IF($Q22=3,1,IF($Q22=4,1,0)),IF($F22&lt;=85,1,0))</formula>
    </cfRule>
  </conditionalFormatting>
  <conditionalFormatting sqref="X22">
    <cfRule type="expression" dxfId="3901" priority="1730">
      <formula>AND(IF(OR($Q22=1,$Q22=2),1,0),IF($X22&lt;=20,1,0))</formula>
    </cfRule>
    <cfRule type="expression" dxfId="3900" priority="1731">
      <formula>AND(IF($Q22=2,1,0),IF($X22&lt;30,1,0))</formula>
    </cfRule>
    <cfRule type="expression" dxfId="3899" priority="1732">
      <formula>AND(IF($Q22=3,1,0),IF($X22&lt;30,1,0))</formula>
    </cfRule>
    <cfRule type="expression" dxfId="3898" priority="1733">
      <formula>AND(IF($Q22=3,1,IF($Q22=4,1,0)),IF($F22&lt;=85,1,0))</formula>
    </cfRule>
  </conditionalFormatting>
  <conditionalFormatting sqref="AI22">
    <cfRule type="expression" dxfId="3897" priority="1726">
      <formula>AND(IF(OR($Q22=1,$Q22=2),1,0),IF($X22&lt;=20,1,0))</formula>
    </cfRule>
    <cfRule type="expression" dxfId="3896" priority="1727">
      <formula>AND(IF($Q22=2,1,0),IF($X22&lt;30,1,0))</formula>
    </cfRule>
    <cfRule type="expression" dxfId="3895" priority="1728">
      <formula>AND(IF($Q22=3,1,0),IF($X22&lt;30,1,0))</formula>
    </cfRule>
    <cfRule type="expression" dxfId="3894" priority="1729">
      <formula>AND(IF($Q22=3,1,IF($Q22=4,1,0)),IF($F22&lt;=85,1,0))</formula>
    </cfRule>
  </conditionalFormatting>
  <conditionalFormatting sqref="AV23">
    <cfRule type="expression" dxfId="3893" priority="1724">
      <formula>AV23="X"</formula>
    </cfRule>
    <cfRule type="expression" dxfId="3892" priority="1725">
      <formula>AV23="후보"</formula>
    </cfRule>
  </conditionalFormatting>
  <conditionalFormatting sqref="AC23">
    <cfRule type="cellIs" dxfId="3891" priority="1721" operator="greaterThan">
      <formula>0.9</formula>
    </cfRule>
    <cfRule type="cellIs" dxfId="3890" priority="1722" operator="greaterThan">
      <formula>0.85</formula>
    </cfRule>
  </conditionalFormatting>
  <conditionalFormatting sqref="N23">
    <cfRule type="cellIs" dxfId="3889" priority="1719" operator="greaterThan">
      <formula>0.9</formula>
    </cfRule>
    <cfRule type="cellIs" dxfId="3888" priority="1720" operator="greaterThan">
      <formula>0.85</formula>
    </cfRule>
  </conditionalFormatting>
  <conditionalFormatting sqref="E23">
    <cfRule type="expression" dxfId="3887" priority="1715">
      <formula>AND(IF(OR($Q23=1,$Q23=2),1,0),IF($X23&lt;=20,1,0))</formula>
    </cfRule>
    <cfRule type="expression" dxfId="3886" priority="1716">
      <formula>AND(IF($Q23=2,1,0),IF($X23&lt;30,1,0))</formula>
    </cfRule>
    <cfRule type="expression" dxfId="3885" priority="1717">
      <formula>AND(IF($Q23=3,1,0),IF($X23&lt;30,1,0))</formula>
    </cfRule>
    <cfRule type="expression" dxfId="3884" priority="1718">
      <formula>AND(IF($Q23=3,1,IF($Q23=4,1,0)),IF($F23&lt;=85,1,0))</formula>
    </cfRule>
  </conditionalFormatting>
  <conditionalFormatting sqref="X23">
    <cfRule type="expression" dxfId="3883" priority="1711">
      <formula>AND(IF(OR($Q23=1,$Q23=2),1,0),IF($X23&lt;=20,1,0))</formula>
    </cfRule>
    <cfRule type="expression" dxfId="3882" priority="1712">
      <formula>AND(IF($Q23=2,1,0),IF($X23&lt;30,1,0))</formula>
    </cfRule>
    <cfRule type="expression" dxfId="3881" priority="1713">
      <formula>AND(IF($Q23=3,1,0),IF($X23&lt;30,1,0))</formula>
    </cfRule>
    <cfRule type="expression" dxfId="3880" priority="1714">
      <formula>AND(IF($Q23=3,1,IF($Q23=4,1,0)),IF($F23&lt;=85,1,0))</formula>
    </cfRule>
  </conditionalFormatting>
  <conditionalFormatting sqref="AI23">
    <cfRule type="expression" dxfId="3879" priority="1707">
      <formula>AND(IF(OR($Q23=1,$Q23=2),1,0),IF($X23&lt;=20,1,0))</formula>
    </cfRule>
    <cfRule type="expression" dxfId="3878" priority="1708">
      <formula>AND(IF($Q23=2,1,0),IF($X23&lt;30,1,0))</formula>
    </cfRule>
    <cfRule type="expression" dxfId="3877" priority="1709">
      <formula>AND(IF($Q23=3,1,0),IF($X23&lt;30,1,0))</formula>
    </cfRule>
    <cfRule type="expression" dxfId="3876" priority="1710">
      <formula>AND(IF($Q23=3,1,IF($Q23=4,1,0)),IF($F23&lt;=85,1,0))</formula>
    </cfRule>
  </conditionalFormatting>
  <conditionalFormatting sqref="AV24">
    <cfRule type="expression" dxfId="3875" priority="1705">
      <formula>AV24="X"</formula>
    </cfRule>
    <cfRule type="expression" dxfId="3874" priority="1706">
      <formula>AV24="후보"</formula>
    </cfRule>
  </conditionalFormatting>
  <conditionalFormatting sqref="AC24 N24">
    <cfRule type="cellIs" dxfId="3873" priority="1702" operator="greaterThan">
      <formula>0.9</formula>
    </cfRule>
    <cfRule type="cellIs" dxfId="3872" priority="1703" operator="greaterThan">
      <formula>0.85</formula>
    </cfRule>
  </conditionalFormatting>
  <conditionalFormatting sqref="AV25">
    <cfRule type="expression" dxfId="3871" priority="1700">
      <formula>AV25="X"</formula>
    </cfRule>
    <cfRule type="expression" dxfId="3870" priority="1701">
      <formula>AV25="후보"</formula>
    </cfRule>
  </conditionalFormatting>
  <conditionalFormatting sqref="AC25">
    <cfRule type="cellIs" dxfId="3869" priority="1697" operator="greaterThan">
      <formula>0.9</formula>
    </cfRule>
    <cfRule type="cellIs" dxfId="3868" priority="1698" operator="greaterThan">
      <formula>0.85</formula>
    </cfRule>
  </conditionalFormatting>
  <conditionalFormatting sqref="N25">
    <cfRule type="cellIs" dxfId="3867" priority="1695" operator="greaterThan">
      <formula>0.9</formula>
    </cfRule>
    <cfRule type="cellIs" dxfId="3866" priority="1696" operator="greaterThan">
      <formula>0.85</formula>
    </cfRule>
  </conditionalFormatting>
  <conditionalFormatting sqref="E25">
    <cfRule type="expression" dxfId="3865" priority="1691">
      <formula>AND(IF(OR($Q25=1,$Q25=2),1,0),IF($X25&lt;=20,1,0))</formula>
    </cfRule>
    <cfRule type="expression" dxfId="3864" priority="1692">
      <formula>AND(IF($Q25=2,1,0),IF($X25&lt;30,1,0))</formula>
    </cfRule>
    <cfRule type="expression" dxfId="3863" priority="1693">
      <formula>AND(IF($Q25=3,1,0),IF($X25&lt;30,1,0))</formula>
    </cfRule>
    <cfRule type="expression" dxfId="3862" priority="1694">
      <formula>AND(IF($Q25=3,1,IF($Q25=4,1,0)),IF($F25&lt;=85,1,0))</formula>
    </cfRule>
  </conditionalFormatting>
  <conditionalFormatting sqref="X25">
    <cfRule type="expression" dxfId="3861" priority="1687">
      <formula>AND(IF(OR($Q25=1,$Q25=2),1,0),IF($X25&lt;=20,1,0))</formula>
    </cfRule>
    <cfRule type="expression" dxfId="3860" priority="1688">
      <formula>AND(IF($Q25=2,1,0),IF($X25&lt;30,1,0))</formula>
    </cfRule>
    <cfRule type="expression" dxfId="3859" priority="1689">
      <formula>AND(IF($Q25=3,1,0),IF($X25&lt;30,1,0))</formula>
    </cfRule>
    <cfRule type="expression" dxfId="3858" priority="1690">
      <formula>AND(IF($Q25=3,1,IF($Q25=4,1,0)),IF($F25&lt;=85,1,0))</formula>
    </cfRule>
  </conditionalFormatting>
  <conditionalFormatting sqref="AI25">
    <cfRule type="expression" dxfId="3857" priority="1683">
      <formula>AND(IF(OR($Q25=1,$Q25=2),1,0),IF($X25&lt;=20,1,0))</formula>
    </cfRule>
    <cfRule type="expression" dxfId="3856" priority="1684">
      <formula>AND(IF($Q25=2,1,0),IF($X25&lt;30,1,0))</formula>
    </cfRule>
    <cfRule type="expression" dxfId="3855" priority="1685">
      <formula>AND(IF($Q25=3,1,0),IF($X25&lt;30,1,0))</formula>
    </cfRule>
    <cfRule type="expression" dxfId="3854" priority="1686">
      <formula>AND(IF($Q25=3,1,IF($Q25=4,1,0)),IF($F25&lt;=85,1,0))</formula>
    </cfRule>
  </conditionalFormatting>
  <conditionalFormatting sqref="AV26">
    <cfRule type="expression" dxfId="3853" priority="1681">
      <formula>AV26="X"</formula>
    </cfRule>
    <cfRule type="expression" dxfId="3852" priority="1682">
      <formula>AV26="후보"</formula>
    </cfRule>
  </conditionalFormatting>
  <conditionalFormatting sqref="AC26">
    <cfRule type="cellIs" dxfId="3851" priority="1678" operator="greaterThan">
      <formula>0.9</formula>
    </cfRule>
    <cfRule type="cellIs" dxfId="3850" priority="1679" operator="greaterThan">
      <formula>0.85</formula>
    </cfRule>
  </conditionalFormatting>
  <conditionalFormatting sqref="N26">
    <cfRule type="cellIs" dxfId="3849" priority="1676" operator="greaterThan">
      <formula>0.9</formula>
    </cfRule>
    <cfRule type="cellIs" dxfId="3848" priority="1677" operator="greaterThan">
      <formula>0.85</formula>
    </cfRule>
  </conditionalFormatting>
  <conditionalFormatting sqref="E26">
    <cfRule type="expression" dxfId="3847" priority="1672">
      <formula>AND(IF(OR($Q26=1,$Q26=2),1,0),IF($X26&lt;=20,1,0))</formula>
    </cfRule>
    <cfRule type="expression" dxfId="3846" priority="1673">
      <formula>AND(IF($Q26=2,1,0),IF($X26&lt;30,1,0))</formula>
    </cfRule>
    <cfRule type="expression" dxfId="3845" priority="1674">
      <formula>AND(IF($Q26=3,1,0),IF($X26&lt;30,1,0))</formula>
    </cfRule>
    <cfRule type="expression" dxfId="3844" priority="1675">
      <formula>AND(IF($Q26=3,1,IF($Q26=4,1,0)),IF($F26&lt;=85,1,0))</formula>
    </cfRule>
  </conditionalFormatting>
  <conditionalFormatting sqref="X26">
    <cfRule type="expression" dxfId="3843" priority="1668">
      <formula>AND(IF(OR($Q26=1,$Q26=2),1,0),IF($X26&lt;=20,1,0))</formula>
    </cfRule>
    <cfRule type="expression" dxfId="3842" priority="1669">
      <formula>AND(IF($Q26=2,1,0),IF($X26&lt;30,1,0))</formula>
    </cfRule>
    <cfRule type="expression" dxfId="3841" priority="1670">
      <formula>AND(IF($Q26=3,1,0),IF($X26&lt;30,1,0))</formula>
    </cfRule>
    <cfRule type="expression" dxfId="3840" priority="1671">
      <formula>AND(IF($Q26=3,1,IF($Q26=4,1,0)),IF($F26&lt;=85,1,0))</formula>
    </cfRule>
  </conditionalFormatting>
  <conditionalFormatting sqref="AI26">
    <cfRule type="expression" dxfId="3839" priority="1664">
      <formula>AND(IF(OR($Q26=1,$Q26=2),1,0),IF($X26&lt;=20,1,0))</formula>
    </cfRule>
    <cfRule type="expression" dxfId="3838" priority="1665">
      <formula>AND(IF($Q26=2,1,0),IF($X26&lt;30,1,0))</formula>
    </cfRule>
    <cfRule type="expression" dxfId="3837" priority="1666">
      <formula>AND(IF($Q26=3,1,0),IF($X26&lt;30,1,0))</formula>
    </cfRule>
    <cfRule type="expression" dxfId="3836" priority="1667">
      <formula>AND(IF($Q26=3,1,IF($Q26=4,1,0)),IF($F26&lt;=85,1,0))</formula>
    </cfRule>
  </conditionalFormatting>
  <conditionalFormatting sqref="AV27">
    <cfRule type="expression" dxfId="3835" priority="1662">
      <formula>AV27="X"</formula>
    </cfRule>
    <cfRule type="expression" dxfId="3834" priority="1663">
      <formula>AV27="후보"</formula>
    </cfRule>
  </conditionalFormatting>
  <conditionalFormatting sqref="AC27">
    <cfRule type="cellIs" dxfId="3833" priority="1659" operator="greaterThan">
      <formula>0.9</formula>
    </cfRule>
    <cfRule type="cellIs" dxfId="3832" priority="1660" operator="greaterThan">
      <formula>0.85</formula>
    </cfRule>
  </conditionalFormatting>
  <conditionalFormatting sqref="N27">
    <cfRule type="cellIs" dxfId="3831" priority="1657" operator="greaterThan">
      <formula>0.9</formula>
    </cfRule>
    <cfRule type="cellIs" dxfId="3830" priority="1658" operator="greaterThan">
      <formula>0.85</formula>
    </cfRule>
  </conditionalFormatting>
  <conditionalFormatting sqref="E27">
    <cfRule type="expression" dxfId="3829" priority="1653">
      <formula>AND(IF(OR($Q27=1,$Q27=2),1,0),IF($X27&lt;=20,1,0))</formula>
    </cfRule>
    <cfRule type="expression" dxfId="3828" priority="1654">
      <formula>AND(IF($Q27=2,1,0),IF($X27&lt;30,1,0))</formula>
    </cfRule>
    <cfRule type="expression" dxfId="3827" priority="1655">
      <formula>AND(IF($Q27=3,1,0),IF($X27&lt;30,1,0))</formula>
    </cfRule>
    <cfRule type="expression" dxfId="3826" priority="1656">
      <formula>AND(IF($Q27=3,1,IF($Q27=4,1,0)),IF($F27&lt;=85,1,0))</formula>
    </cfRule>
  </conditionalFormatting>
  <conditionalFormatting sqref="X27">
    <cfRule type="expression" dxfId="3825" priority="1649">
      <formula>AND(IF(OR($Q27=1,$Q27=2),1,0),IF($X27&lt;=20,1,0))</formula>
    </cfRule>
    <cfRule type="expression" dxfId="3824" priority="1650">
      <formula>AND(IF($Q27=2,1,0),IF($X27&lt;30,1,0))</formula>
    </cfRule>
    <cfRule type="expression" dxfId="3823" priority="1651">
      <formula>AND(IF($Q27=3,1,0),IF($X27&lt;30,1,0))</formula>
    </cfRule>
    <cfRule type="expression" dxfId="3822" priority="1652">
      <formula>AND(IF($Q27=3,1,IF($Q27=4,1,0)),IF($F27&lt;=85,1,0))</formula>
    </cfRule>
  </conditionalFormatting>
  <conditionalFormatting sqref="AI27">
    <cfRule type="expression" dxfId="3821" priority="1645">
      <formula>AND(IF(OR($Q27=1,$Q27=2),1,0),IF($X27&lt;=20,1,0))</formula>
    </cfRule>
    <cfRule type="expression" dxfId="3820" priority="1646">
      <formula>AND(IF($Q27=2,1,0),IF($X27&lt;30,1,0))</formula>
    </cfRule>
    <cfRule type="expression" dxfId="3819" priority="1647">
      <formula>AND(IF($Q27=3,1,0),IF($X27&lt;30,1,0))</formula>
    </cfRule>
    <cfRule type="expression" dxfId="3818" priority="1648">
      <formula>AND(IF($Q27=3,1,IF($Q27=4,1,0)),IF($F27&lt;=85,1,0))</formula>
    </cfRule>
  </conditionalFormatting>
  <conditionalFormatting sqref="AV28">
    <cfRule type="expression" dxfId="3817" priority="1643">
      <formula>AV28="X"</formula>
    </cfRule>
    <cfRule type="expression" dxfId="3816" priority="1644">
      <formula>AV28="후보"</formula>
    </cfRule>
  </conditionalFormatting>
  <conditionalFormatting sqref="AC28">
    <cfRule type="cellIs" dxfId="3815" priority="1640" operator="greaterThan">
      <formula>0.9</formula>
    </cfRule>
    <cfRule type="cellIs" dxfId="3814" priority="1641" operator="greaterThan">
      <formula>0.85</formula>
    </cfRule>
  </conditionalFormatting>
  <conditionalFormatting sqref="N28">
    <cfRule type="cellIs" dxfId="3813" priority="1638" operator="greaterThan">
      <formula>0.9</formula>
    </cfRule>
    <cfRule type="cellIs" dxfId="3812" priority="1639" operator="greaterThan">
      <formula>0.85</formula>
    </cfRule>
  </conditionalFormatting>
  <conditionalFormatting sqref="E28">
    <cfRule type="expression" dxfId="3811" priority="1634">
      <formula>AND(IF(OR($Q28=1,$Q28=2),1,0),IF($X28&lt;=20,1,0))</formula>
    </cfRule>
    <cfRule type="expression" dxfId="3810" priority="1635">
      <formula>AND(IF($Q28=2,1,0),IF($X28&lt;30,1,0))</formula>
    </cfRule>
    <cfRule type="expression" dxfId="3809" priority="1636">
      <formula>AND(IF($Q28=3,1,0),IF($X28&lt;30,1,0))</formula>
    </cfRule>
    <cfRule type="expression" dxfId="3808" priority="1637">
      <formula>AND(IF($Q28=3,1,IF($Q28=4,1,0)),IF($F28&lt;=85,1,0))</formula>
    </cfRule>
  </conditionalFormatting>
  <conditionalFormatting sqref="X28">
    <cfRule type="expression" dxfId="3807" priority="1630">
      <formula>AND(IF(OR($Q28=1,$Q28=2),1,0),IF($X28&lt;=20,1,0))</formula>
    </cfRule>
    <cfRule type="expression" dxfId="3806" priority="1631">
      <formula>AND(IF($Q28=2,1,0),IF($X28&lt;30,1,0))</formula>
    </cfRule>
    <cfRule type="expression" dxfId="3805" priority="1632">
      <formula>AND(IF($Q28=3,1,0),IF($X28&lt;30,1,0))</formula>
    </cfRule>
    <cfRule type="expression" dxfId="3804" priority="1633">
      <formula>AND(IF($Q28=3,1,IF($Q28=4,1,0)),IF($F28&lt;=85,1,0))</formula>
    </cfRule>
  </conditionalFormatting>
  <conditionalFormatting sqref="AI28">
    <cfRule type="expression" dxfId="3803" priority="1626">
      <formula>AND(IF(OR($Q28=1,$Q28=2),1,0),IF($X28&lt;=20,1,0))</formula>
    </cfRule>
    <cfRule type="expression" dxfId="3802" priority="1627">
      <formula>AND(IF($Q28=2,1,0),IF($X28&lt;30,1,0))</formula>
    </cfRule>
    <cfRule type="expression" dxfId="3801" priority="1628">
      <formula>AND(IF($Q28=3,1,0),IF($X28&lt;30,1,0))</formula>
    </cfRule>
    <cfRule type="expression" dxfId="3800" priority="1629">
      <formula>AND(IF($Q28=3,1,IF($Q28=4,1,0)),IF($F28&lt;=85,1,0))</formula>
    </cfRule>
  </conditionalFormatting>
  <conditionalFormatting sqref="AV29">
    <cfRule type="expression" dxfId="3799" priority="1624">
      <formula>AV29="X"</formula>
    </cfRule>
    <cfRule type="expression" dxfId="3798" priority="1625">
      <formula>AV29="후보"</formula>
    </cfRule>
  </conditionalFormatting>
  <conditionalFormatting sqref="AC29">
    <cfRule type="cellIs" dxfId="3797" priority="1621" operator="greaterThan">
      <formula>0.9</formula>
    </cfRule>
    <cfRule type="cellIs" dxfId="3796" priority="1622" operator="greaterThan">
      <formula>0.85</formula>
    </cfRule>
  </conditionalFormatting>
  <conditionalFormatting sqref="N29">
    <cfRule type="cellIs" dxfId="3795" priority="1619" operator="greaterThan">
      <formula>0.9</formula>
    </cfRule>
    <cfRule type="cellIs" dxfId="3794" priority="1620" operator="greaterThan">
      <formula>0.85</formula>
    </cfRule>
  </conditionalFormatting>
  <conditionalFormatting sqref="E29">
    <cfRule type="expression" dxfId="3793" priority="1615">
      <formula>AND(IF(OR($Q29=1,$Q29=2),1,0),IF($X29&lt;=20,1,0))</formula>
    </cfRule>
    <cfRule type="expression" dxfId="3792" priority="1616">
      <formula>AND(IF($Q29=2,1,0),IF($X29&lt;30,1,0))</formula>
    </cfRule>
    <cfRule type="expression" dxfId="3791" priority="1617">
      <formula>AND(IF($Q29=3,1,0),IF($X29&lt;30,1,0))</formula>
    </cfRule>
    <cfRule type="expression" dxfId="3790" priority="1618">
      <formula>AND(IF($Q29=3,1,IF($Q29=4,1,0)),IF($F29&lt;=85,1,0))</formula>
    </cfRule>
  </conditionalFormatting>
  <conditionalFormatting sqref="X29">
    <cfRule type="expression" dxfId="3789" priority="1611">
      <formula>AND(IF(OR($Q29=1,$Q29=2),1,0),IF($X29&lt;=20,1,0))</formula>
    </cfRule>
    <cfRule type="expression" dxfId="3788" priority="1612">
      <formula>AND(IF($Q29=2,1,0),IF($X29&lt;30,1,0))</formula>
    </cfRule>
    <cfRule type="expression" dxfId="3787" priority="1613">
      <formula>AND(IF($Q29=3,1,0),IF($X29&lt;30,1,0))</formula>
    </cfRule>
    <cfRule type="expression" dxfId="3786" priority="1614">
      <formula>AND(IF($Q29=3,1,IF($Q29=4,1,0)),IF($F29&lt;=85,1,0))</formula>
    </cfRule>
  </conditionalFormatting>
  <conditionalFormatting sqref="AI29">
    <cfRule type="expression" dxfId="3785" priority="1607">
      <formula>AND(IF(OR($Q29=1,$Q29=2),1,0),IF($X29&lt;=20,1,0))</formula>
    </cfRule>
    <cfRule type="expression" dxfId="3784" priority="1608">
      <formula>AND(IF($Q29=2,1,0),IF($X29&lt;30,1,0))</formula>
    </cfRule>
    <cfRule type="expression" dxfId="3783" priority="1609">
      <formula>AND(IF($Q29=3,1,0),IF($X29&lt;30,1,0))</formula>
    </cfRule>
    <cfRule type="expression" dxfId="3782" priority="1610">
      <formula>AND(IF($Q29=3,1,IF($Q29=4,1,0)),IF($F29&lt;=85,1,0))</formula>
    </cfRule>
  </conditionalFormatting>
  <conditionalFormatting sqref="AV30">
    <cfRule type="expression" dxfId="3781" priority="1605">
      <formula>AV30="X"</formula>
    </cfRule>
    <cfRule type="expression" dxfId="3780" priority="1606">
      <formula>AV30="후보"</formula>
    </cfRule>
  </conditionalFormatting>
  <conditionalFormatting sqref="AC30 N30">
    <cfRule type="cellIs" dxfId="3779" priority="1602" operator="greaterThan">
      <formula>0.9</formula>
    </cfRule>
    <cfRule type="cellIs" dxfId="3778" priority="1603" operator="greaterThan">
      <formula>0.85</formula>
    </cfRule>
  </conditionalFormatting>
  <conditionalFormatting sqref="AV31">
    <cfRule type="expression" dxfId="3777" priority="1600">
      <formula>AV31="X"</formula>
    </cfRule>
    <cfRule type="expression" dxfId="3776" priority="1601">
      <formula>AV31="후보"</formula>
    </cfRule>
  </conditionalFormatting>
  <conditionalFormatting sqref="AC31">
    <cfRule type="cellIs" dxfId="3775" priority="1597" operator="greaterThan">
      <formula>0.9</formula>
    </cfRule>
    <cfRule type="cellIs" dxfId="3774" priority="1598" operator="greaterThan">
      <formula>0.85</formula>
    </cfRule>
  </conditionalFormatting>
  <conditionalFormatting sqref="N31">
    <cfRule type="cellIs" dxfId="3773" priority="1595" operator="greaterThan">
      <formula>0.9</formula>
    </cfRule>
    <cfRule type="cellIs" dxfId="3772" priority="1596" operator="greaterThan">
      <formula>0.85</formula>
    </cfRule>
  </conditionalFormatting>
  <conditionalFormatting sqref="E31">
    <cfRule type="expression" dxfId="3771" priority="1591">
      <formula>AND(IF(OR($Q31=1,$Q31=2),1,0),IF($X31&lt;=20,1,0))</formula>
    </cfRule>
    <cfRule type="expression" dxfId="3770" priority="1592">
      <formula>AND(IF($Q31=2,1,0),IF($X31&lt;30,1,0))</formula>
    </cfRule>
    <cfRule type="expression" dxfId="3769" priority="1593">
      <formula>AND(IF($Q31=3,1,0),IF($X31&lt;30,1,0))</formula>
    </cfRule>
    <cfRule type="expression" dxfId="3768" priority="1594">
      <formula>AND(IF($Q31=3,1,IF($Q31=4,1,0)),IF($F31&lt;=85,1,0))</formula>
    </cfRule>
  </conditionalFormatting>
  <conditionalFormatting sqref="X31">
    <cfRule type="expression" dxfId="3767" priority="1587">
      <formula>AND(IF(OR($Q31=1,$Q31=2),1,0),IF($X31&lt;=20,1,0))</formula>
    </cfRule>
    <cfRule type="expression" dxfId="3766" priority="1588">
      <formula>AND(IF($Q31=2,1,0),IF($X31&lt;30,1,0))</formula>
    </cfRule>
    <cfRule type="expression" dxfId="3765" priority="1589">
      <formula>AND(IF($Q31=3,1,0),IF($X31&lt;30,1,0))</formula>
    </cfRule>
    <cfRule type="expression" dxfId="3764" priority="1590">
      <formula>AND(IF($Q31=3,1,IF($Q31=4,1,0)),IF($F31&lt;=85,1,0))</formula>
    </cfRule>
  </conditionalFormatting>
  <conditionalFormatting sqref="AI31">
    <cfRule type="expression" dxfId="3763" priority="1583">
      <formula>AND(IF(OR($Q31=1,$Q31=2),1,0),IF($X31&lt;=20,1,0))</formula>
    </cfRule>
    <cfRule type="expression" dxfId="3762" priority="1584">
      <formula>AND(IF($Q31=2,1,0),IF($X31&lt;30,1,0))</formula>
    </cfRule>
    <cfRule type="expression" dxfId="3761" priority="1585">
      <formula>AND(IF($Q31=3,1,0),IF($X31&lt;30,1,0))</formula>
    </cfRule>
    <cfRule type="expression" dxfId="3760" priority="1586">
      <formula>AND(IF($Q31=3,1,IF($Q31=4,1,0)),IF($F31&lt;=85,1,0))</formula>
    </cfRule>
  </conditionalFormatting>
  <conditionalFormatting sqref="AV32">
    <cfRule type="expression" dxfId="3759" priority="1581">
      <formula>AV32="X"</formula>
    </cfRule>
    <cfRule type="expression" dxfId="3758" priority="1582">
      <formula>AV32="후보"</formula>
    </cfRule>
  </conditionalFormatting>
  <conditionalFormatting sqref="AC32">
    <cfRule type="cellIs" dxfId="3757" priority="1578" operator="greaterThan">
      <formula>0.9</formula>
    </cfRule>
    <cfRule type="cellIs" dxfId="3756" priority="1579" operator="greaterThan">
      <formula>0.85</formula>
    </cfRule>
  </conditionalFormatting>
  <conditionalFormatting sqref="N32">
    <cfRule type="cellIs" dxfId="3755" priority="1576" operator="greaterThan">
      <formula>0.9</formula>
    </cfRule>
    <cfRule type="cellIs" dxfId="3754" priority="1577" operator="greaterThan">
      <formula>0.85</formula>
    </cfRule>
  </conditionalFormatting>
  <conditionalFormatting sqref="E32">
    <cfRule type="expression" dxfId="3753" priority="1572">
      <formula>AND(IF(OR($Q32=1,$Q32=2),1,0),IF($X32&lt;=20,1,0))</formula>
    </cfRule>
    <cfRule type="expression" dxfId="3752" priority="1573">
      <formula>AND(IF($Q32=2,1,0),IF($X32&lt;30,1,0))</formula>
    </cfRule>
    <cfRule type="expression" dxfId="3751" priority="1574">
      <formula>AND(IF($Q32=3,1,0),IF($X32&lt;30,1,0))</formula>
    </cfRule>
    <cfRule type="expression" dxfId="3750" priority="1575">
      <formula>AND(IF($Q32=3,1,IF($Q32=4,1,0)),IF($F32&lt;=85,1,0))</formula>
    </cfRule>
  </conditionalFormatting>
  <conditionalFormatting sqref="X32">
    <cfRule type="expression" dxfId="3749" priority="1568">
      <formula>AND(IF(OR($Q32=1,$Q32=2),1,0),IF($X32&lt;=20,1,0))</formula>
    </cfRule>
    <cfRule type="expression" dxfId="3748" priority="1569">
      <formula>AND(IF($Q32=2,1,0),IF($X32&lt;30,1,0))</formula>
    </cfRule>
    <cfRule type="expression" dxfId="3747" priority="1570">
      <formula>AND(IF($Q32=3,1,0),IF($X32&lt;30,1,0))</formula>
    </cfRule>
    <cfRule type="expression" dxfId="3746" priority="1571">
      <formula>AND(IF($Q32=3,1,IF($Q32=4,1,0)),IF($F32&lt;=85,1,0))</formula>
    </cfRule>
  </conditionalFormatting>
  <conditionalFormatting sqref="AI32">
    <cfRule type="expression" dxfId="3745" priority="1564">
      <formula>AND(IF(OR($Q32=1,$Q32=2),1,0),IF($X32&lt;=20,1,0))</formula>
    </cfRule>
    <cfRule type="expression" dxfId="3744" priority="1565">
      <formula>AND(IF($Q32=2,1,0),IF($X32&lt;30,1,0))</formula>
    </cfRule>
    <cfRule type="expression" dxfId="3743" priority="1566">
      <formula>AND(IF($Q32=3,1,0),IF($X32&lt;30,1,0))</formula>
    </cfRule>
    <cfRule type="expression" dxfId="3742" priority="1567">
      <formula>AND(IF($Q32=3,1,IF($Q32=4,1,0)),IF($F32&lt;=85,1,0))</formula>
    </cfRule>
  </conditionalFormatting>
  <conditionalFormatting sqref="AV33">
    <cfRule type="expression" dxfId="3741" priority="1562">
      <formula>AV33="X"</formula>
    </cfRule>
    <cfRule type="expression" dxfId="3740" priority="1563">
      <formula>AV33="후보"</formula>
    </cfRule>
  </conditionalFormatting>
  <conditionalFormatting sqref="AC33 N33">
    <cfRule type="cellIs" dxfId="3739" priority="1559" operator="greaterThan">
      <formula>0.9</formula>
    </cfRule>
    <cfRule type="cellIs" dxfId="3738" priority="1560" operator="greaterThan">
      <formula>0.85</formula>
    </cfRule>
  </conditionalFormatting>
  <conditionalFormatting sqref="AV34">
    <cfRule type="expression" dxfId="3737" priority="1557">
      <formula>AV34="X"</formula>
    </cfRule>
    <cfRule type="expression" dxfId="3736" priority="1558">
      <formula>AV34="후보"</formula>
    </cfRule>
  </conditionalFormatting>
  <conditionalFormatting sqref="AC34">
    <cfRule type="cellIs" dxfId="3735" priority="1554" operator="greaterThan">
      <formula>0.9</formula>
    </cfRule>
    <cfRule type="cellIs" dxfId="3734" priority="1555" operator="greaterThan">
      <formula>0.85</formula>
    </cfRule>
  </conditionalFormatting>
  <conditionalFormatting sqref="N34">
    <cfRule type="cellIs" dxfId="3733" priority="1552" operator="greaterThan">
      <formula>0.9</formula>
    </cfRule>
    <cfRule type="cellIs" dxfId="3732" priority="1553" operator="greaterThan">
      <formula>0.85</formula>
    </cfRule>
  </conditionalFormatting>
  <conditionalFormatting sqref="E34">
    <cfRule type="expression" dxfId="3731" priority="1548">
      <formula>AND(IF(OR($Q34=1,$Q34=2),1,0),IF($X34&lt;=20,1,0))</formula>
    </cfRule>
    <cfRule type="expression" dxfId="3730" priority="1549">
      <formula>AND(IF($Q34=2,1,0),IF($X34&lt;30,1,0))</formula>
    </cfRule>
    <cfRule type="expression" dxfId="3729" priority="1550">
      <formula>AND(IF($Q34=3,1,0),IF($X34&lt;30,1,0))</formula>
    </cfRule>
    <cfRule type="expression" dxfId="3728" priority="1551">
      <formula>AND(IF($Q34=3,1,IF($Q34=4,1,0)),IF($F34&lt;=85,1,0))</formula>
    </cfRule>
  </conditionalFormatting>
  <conditionalFormatting sqref="X34">
    <cfRule type="expression" dxfId="3727" priority="1544">
      <formula>AND(IF(OR($Q34=1,$Q34=2),1,0),IF($X34&lt;=20,1,0))</formula>
    </cfRule>
    <cfRule type="expression" dxfId="3726" priority="1545">
      <formula>AND(IF($Q34=2,1,0),IF($X34&lt;30,1,0))</formula>
    </cfRule>
    <cfRule type="expression" dxfId="3725" priority="1546">
      <formula>AND(IF($Q34=3,1,0),IF($X34&lt;30,1,0))</formula>
    </cfRule>
    <cfRule type="expression" dxfId="3724" priority="1547">
      <formula>AND(IF($Q34=3,1,IF($Q34=4,1,0)),IF($F34&lt;=85,1,0))</formula>
    </cfRule>
  </conditionalFormatting>
  <conditionalFormatting sqref="AI34">
    <cfRule type="expression" dxfId="3723" priority="1540">
      <formula>AND(IF(OR($Q34=1,$Q34=2),1,0),IF($X34&lt;=20,1,0))</formula>
    </cfRule>
    <cfRule type="expression" dxfId="3722" priority="1541">
      <formula>AND(IF($Q34=2,1,0),IF($X34&lt;30,1,0))</formula>
    </cfRule>
    <cfRule type="expression" dxfId="3721" priority="1542">
      <formula>AND(IF($Q34=3,1,0),IF($X34&lt;30,1,0))</formula>
    </cfRule>
    <cfRule type="expression" dxfId="3720" priority="1543">
      <formula>AND(IF($Q34=3,1,IF($Q34=4,1,0)),IF($F34&lt;=85,1,0))</formula>
    </cfRule>
  </conditionalFormatting>
  <conditionalFormatting sqref="AV35">
    <cfRule type="expression" dxfId="3719" priority="1538">
      <formula>AV35="X"</formula>
    </cfRule>
    <cfRule type="expression" dxfId="3718" priority="1539">
      <formula>AV35="후보"</formula>
    </cfRule>
  </conditionalFormatting>
  <conditionalFormatting sqref="AC35">
    <cfRule type="cellIs" dxfId="3717" priority="1535" operator="greaterThan">
      <formula>0.9</formula>
    </cfRule>
    <cfRule type="cellIs" dxfId="3716" priority="1536" operator="greaterThan">
      <formula>0.85</formula>
    </cfRule>
  </conditionalFormatting>
  <conditionalFormatting sqref="N35">
    <cfRule type="cellIs" dxfId="3715" priority="1533" operator="greaterThan">
      <formula>0.9</formula>
    </cfRule>
    <cfRule type="cellIs" dxfId="3714" priority="1534" operator="greaterThan">
      <formula>0.85</formula>
    </cfRule>
  </conditionalFormatting>
  <conditionalFormatting sqref="E35">
    <cfRule type="expression" dxfId="3713" priority="1529">
      <formula>AND(IF(OR($Q35=1,$Q35=2),1,0),IF($X35&lt;=20,1,0))</formula>
    </cfRule>
    <cfRule type="expression" dxfId="3712" priority="1530">
      <formula>AND(IF($Q35=2,1,0),IF($X35&lt;30,1,0))</formula>
    </cfRule>
    <cfRule type="expression" dxfId="3711" priority="1531">
      <formula>AND(IF($Q35=3,1,0),IF($X35&lt;30,1,0))</formula>
    </cfRule>
    <cfRule type="expression" dxfId="3710" priority="1532">
      <formula>AND(IF($Q35=3,1,IF($Q35=4,1,0)),IF($F35&lt;=85,1,0))</formula>
    </cfRule>
  </conditionalFormatting>
  <conditionalFormatting sqref="X35">
    <cfRule type="expression" dxfId="3709" priority="1525">
      <formula>AND(IF(OR($Q35=1,$Q35=2),1,0),IF($X35&lt;=20,1,0))</formula>
    </cfRule>
    <cfRule type="expression" dxfId="3708" priority="1526">
      <formula>AND(IF($Q35=2,1,0),IF($X35&lt;30,1,0))</formula>
    </cfRule>
    <cfRule type="expression" dxfId="3707" priority="1527">
      <formula>AND(IF($Q35=3,1,0),IF($X35&lt;30,1,0))</formula>
    </cfRule>
    <cfRule type="expression" dxfId="3706" priority="1528">
      <formula>AND(IF($Q35=3,1,IF($Q35=4,1,0)),IF($F35&lt;=85,1,0))</formula>
    </cfRule>
  </conditionalFormatting>
  <conditionalFormatting sqref="AI35">
    <cfRule type="expression" dxfId="3705" priority="1521">
      <formula>AND(IF(OR($Q35=1,$Q35=2),1,0),IF($X35&lt;=20,1,0))</formula>
    </cfRule>
    <cfRule type="expression" dxfId="3704" priority="1522">
      <formula>AND(IF($Q35=2,1,0),IF($X35&lt;30,1,0))</formula>
    </cfRule>
    <cfRule type="expression" dxfId="3703" priority="1523">
      <formula>AND(IF($Q35=3,1,0),IF($X35&lt;30,1,0))</formula>
    </cfRule>
    <cfRule type="expression" dxfId="3702" priority="1524">
      <formula>AND(IF($Q35=3,1,IF($Q35=4,1,0)),IF($F35&lt;=85,1,0))</formula>
    </cfRule>
  </conditionalFormatting>
  <conditionalFormatting sqref="AV36">
    <cfRule type="expression" dxfId="3701" priority="1519">
      <formula>AV36="X"</formula>
    </cfRule>
    <cfRule type="expression" dxfId="3700" priority="1520">
      <formula>AV36="후보"</formula>
    </cfRule>
  </conditionalFormatting>
  <conditionalFormatting sqref="AC36">
    <cfRule type="cellIs" dxfId="3699" priority="1516" operator="greaterThan">
      <formula>0.9</formula>
    </cfRule>
    <cfRule type="cellIs" dxfId="3698" priority="1517" operator="greaterThan">
      <formula>0.85</formula>
    </cfRule>
  </conditionalFormatting>
  <conditionalFormatting sqref="N36">
    <cfRule type="cellIs" dxfId="3697" priority="1514" operator="greaterThan">
      <formula>0.9</formula>
    </cfRule>
    <cfRule type="cellIs" dxfId="3696" priority="1515" operator="greaterThan">
      <formula>0.85</formula>
    </cfRule>
  </conditionalFormatting>
  <conditionalFormatting sqref="E36">
    <cfRule type="expression" dxfId="3695" priority="1510">
      <formula>AND(IF(OR($Q36=1,$Q36=2),1,0),IF($X36&lt;=20,1,0))</formula>
    </cfRule>
    <cfRule type="expression" dxfId="3694" priority="1511">
      <formula>AND(IF($Q36=2,1,0),IF($X36&lt;30,1,0))</formula>
    </cfRule>
    <cfRule type="expression" dxfId="3693" priority="1512">
      <formula>AND(IF($Q36=3,1,0),IF($X36&lt;30,1,0))</formula>
    </cfRule>
    <cfRule type="expression" dxfId="3692" priority="1513">
      <formula>AND(IF($Q36=3,1,IF($Q36=4,1,0)),IF($F36&lt;=85,1,0))</formula>
    </cfRule>
  </conditionalFormatting>
  <conditionalFormatting sqref="X36">
    <cfRule type="expression" dxfId="3691" priority="1506">
      <formula>AND(IF(OR($Q36=1,$Q36=2),1,0),IF($X36&lt;=20,1,0))</formula>
    </cfRule>
    <cfRule type="expression" dxfId="3690" priority="1507">
      <formula>AND(IF($Q36=2,1,0),IF($X36&lt;30,1,0))</formula>
    </cfRule>
    <cfRule type="expression" dxfId="3689" priority="1508">
      <formula>AND(IF($Q36=3,1,0),IF($X36&lt;30,1,0))</formula>
    </cfRule>
    <cfRule type="expression" dxfId="3688" priority="1509">
      <formula>AND(IF($Q36=3,1,IF($Q36=4,1,0)),IF($F36&lt;=85,1,0))</formula>
    </cfRule>
  </conditionalFormatting>
  <conditionalFormatting sqref="AI36">
    <cfRule type="expression" dxfId="3687" priority="1502">
      <formula>AND(IF(OR($Q36=1,$Q36=2),1,0),IF($X36&lt;=20,1,0))</formula>
    </cfRule>
    <cfRule type="expression" dxfId="3686" priority="1503">
      <formula>AND(IF($Q36=2,1,0),IF($X36&lt;30,1,0))</formula>
    </cfRule>
    <cfRule type="expression" dxfId="3685" priority="1504">
      <formula>AND(IF($Q36=3,1,0),IF($X36&lt;30,1,0))</formula>
    </cfRule>
    <cfRule type="expression" dxfId="3684" priority="1505">
      <formula>AND(IF($Q36=3,1,IF($Q36=4,1,0)),IF($F36&lt;=85,1,0))</formula>
    </cfRule>
  </conditionalFormatting>
  <conditionalFormatting sqref="AV37">
    <cfRule type="expression" dxfId="3683" priority="1500">
      <formula>AV37="X"</formula>
    </cfRule>
    <cfRule type="expression" dxfId="3682" priority="1501">
      <formula>AV37="후보"</formula>
    </cfRule>
  </conditionalFormatting>
  <conditionalFormatting sqref="AC37">
    <cfRule type="cellIs" dxfId="3681" priority="1497" operator="greaterThan">
      <formula>0.9</formula>
    </cfRule>
    <cfRule type="cellIs" dxfId="3680" priority="1498" operator="greaterThan">
      <formula>0.85</formula>
    </cfRule>
  </conditionalFormatting>
  <conditionalFormatting sqref="N37">
    <cfRule type="cellIs" dxfId="3679" priority="1495" operator="greaterThan">
      <formula>0.9</formula>
    </cfRule>
    <cfRule type="cellIs" dxfId="3678" priority="1496" operator="greaterThan">
      <formula>0.85</formula>
    </cfRule>
  </conditionalFormatting>
  <conditionalFormatting sqref="E37">
    <cfRule type="expression" dxfId="3677" priority="1491">
      <formula>AND(IF(OR($Q37=1,$Q37=2),1,0),IF($X37&lt;=20,1,0))</formula>
    </cfRule>
    <cfRule type="expression" dxfId="3676" priority="1492">
      <formula>AND(IF($Q37=2,1,0),IF($X37&lt;30,1,0))</formula>
    </cfRule>
    <cfRule type="expression" dxfId="3675" priority="1493">
      <formula>AND(IF($Q37=3,1,0),IF($X37&lt;30,1,0))</formula>
    </cfRule>
    <cfRule type="expression" dxfId="3674" priority="1494">
      <formula>AND(IF($Q37=3,1,IF($Q37=4,1,0)),IF($F37&lt;=85,1,0))</formula>
    </cfRule>
  </conditionalFormatting>
  <conditionalFormatting sqref="X37">
    <cfRule type="expression" dxfId="3673" priority="1487">
      <formula>AND(IF(OR($Q37=1,$Q37=2),1,0),IF($X37&lt;=20,1,0))</formula>
    </cfRule>
    <cfRule type="expression" dxfId="3672" priority="1488">
      <formula>AND(IF($Q37=2,1,0),IF($X37&lt;30,1,0))</formula>
    </cfRule>
    <cfRule type="expression" dxfId="3671" priority="1489">
      <formula>AND(IF($Q37=3,1,0),IF($X37&lt;30,1,0))</formula>
    </cfRule>
    <cfRule type="expression" dxfId="3670" priority="1490">
      <formula>AND(IF($Q37=3,1,IF($Q37=4,1,0)),IF($F37&lt;=85,1,0))</formula>
    </cfRule>
  </conditionalFormatting>
  <conditionalFormatting sqref="AI37">
    <cfRule type="expression" dxfId="3669" priority="1483">
      <formula>AND(IF(OR($Q37=1,$Q37=2),1,0),IF($X37&lt;=20,1,0))</formula>
    </cfRule>
    <cfRule type="expression" dxfId="3668" priority="1484">
      <formula>AND(IF($Q37=2,1,0),IF($X37&lt;30,1,0))</formula>
    </cfRule>
    <cfRule type="expression" dxfId="3667" priority="1485">
      <formula>AND(IF($Q37=3,1,0),IF($X37&lt;30,1,0))</formula>
    </cfRule>
    <cfRule type="expression" dxfId="3666" priority="1486">
      <formula>AND(IF($Q37=3,1,IF($Q37=4,1,0)),IF($F37&lt;=85,1,0))</formula>
    </cfRule>
  </conditionalFormatting>
  <conditionalFormatting sqref="AV38">
    <cfRule type="expression" dxfId="3665" priority="1481">
      <formula>AV38="X"</formula>
    </cfRule>
    <cfRule type="expression" dxfId="3664" priority="1482">
      <formula>AV38="후보"</formula>
    </cfRule>
  </conditionalFormatting>
  <conditionalFormatting sqref="AC38">
    <cfRule type="cellIs" dxfId="3663" priority="1478" operator="greaterThan">
      <formula>0.9</formula>
    </cfRule>
    <cfRule type="cellIs" dxfId="3662" priority="1479" operator="greaterThan">
      <formula>0.85</formula>
    </cfRule>
  </conditionalFormatting>
  <conditionalFormatting sqref="N38">
    <cfRule type="cellIs" dxfId="3661" priority="1476" operator="greaterThan">
      <formula>0.9</formula>
    </cfRule>
    <cfRule type="cellIs" dxfId="3660" priority="1477" operator="greaterThan">
      <formula>0.85</formula>
    </cfRule>
  </conditionalFormatting>
  <conditionalFormatting sqref="E38">
    <cfRule type="expression" dxfId="3659" priority="1472">
      <formula>AND(IF(OR($Q38=1,$Q38=2),1,0),IF($X38&lt;=20,1,0))</formula>
    </cfRule>
    <cfRule type="expression" dxfId="3658" priority="1473">
      <formula>AND(IF($Q38=2,1,0),IF($X38&lt;30,1,0))</formula>
    </cfRule>
    <cfRule type="expression" dxfId="3657" priority="1474">
      <formula>AND(IF($Q38=3,1,0),IF($X38&lt;30,1,0))</formula>
    </cfRule>
    <cfRule type="expression" dxfId="3656" priority="1475">
      <formula>AND(IF($Q38=3,1,IF($Q38=4,1,0)),IF($F38&lt;=85,1,0))</formula>
    </cfRule>
  </conditionalFormatting>
  <conditionalFormatting sqref="X38">
    <cfRule type="expression" dxfId="3655" priority="1468">
      <formula>AND(IF(OR($Q38=1,$Q38=2),1,0),IF($X38&lt;=20,1,0))</formula>
    </cfRule>
    <cfRule type="expression" dxfId="3654" priority="1469">
      <formula>AND(IF($Q38=2,1,0),IF($X38&lt;30,1,0))</formula>
    </cfRule>
    <cfRule type="expression" dxfId="3653" priority="1470">
      <formula>AND(IF($Q38=3,1,0),IF($X38&lt;30,1,0))</formula>
    </cfRule>
    <cfRule type="expression" dxfId="3652" priority="1471">
      <formula>AND(IF($Q38=3,1,IF($Q38=4,1,0)),IF($F38&lt;=85,1,0))</formula>
    </cfRule>
  </conditionalFormatting>
  <conditionalFormatting sqref="AI38">
    <cfRule type="expression" dxfId="3651" priority="1464">
      <formula>AND(IF(OR($Q38=1,$Q38=2),1,0),IF($X38&lt;=20,1,0))</formula>
    </cfRule>
    <cfRule type="expression" dxfId="3650" priority="1465">
      <formula>AND(IF($Q38=2,1,0),IF($X38&lt;30,1,0))</formula>
    </cfRule>
    <cfRule type="expression" dxfId="3649" priority="1466">
      <formula>AND(IF($Q38=3,1,0),IF($X38&lt;30,1,0))</formula>
    </cfRule>
    <cfRule type="expression" dxfId="3648" priority="1467">
      <formula>AND(IF($Q38=3,1,IF($Q38=4,1,0)),IF($F38&lt;=85,1,0))</formula>
    </cfRule>
  </conditionalFormatting>
  <conditionalFormatting sqref="AV39">
    <cfRule type="expression" dxfId="3647" priority="1462">
      <formula>AV39="X"</formula>
    </cfRule>
    <cfRule type="expression" dxfId="3646" priority="1463">
      <formula>AV39="후보"</formula>
    </cfRule>
  </conditionalFormatting>
  <conditionalFormatting sqref="AC39">
    <cfRule type="cellIs" dxfId="3645" priority="1459" operator="greaterThan">
      <formula>0.9</formula>
    </cfRule>
    <cfRule type="cellIs" dxfId="3644" priority="1460" operator="greaterThan">
      <formula>0.85</formula>
    </cfRule>
  </conditionalFormatting>
  <conditionalFormatting sqref="N39">
    <cfRule type="cellIs" dxfId="3643" priority="1457" operator="greaterThan">
      <formula>0.9</formula>
    </cfRule>
    <cfRule type="cellIs" dxfId="3642" priority="1458" operator="greaterThan">
      <formula>0.85</formula>
    </cfRule>
  </conditionalFormatting>
  <conditionalFormatting sqref="E39">
    <cfRule type="expression" dxfId="3641" priority="1453">
      <formula>AND(IF(OR($Q39=1,$Q39=2),1,0),IF($X39&lt;=20,1,0))</formula>
    </cfRule>
    <cfRule type="expression" dxfId="3640" priority="1454">
      <formula>AND(IF($Q39=2,1,0),IF($X39&lt;30,1,0))</formula>
    </cfRule>
    <cfRule type="expression" dxfId="3639" priority="1455">
      <formula>AND(IF($Q39=3,1,0),IF($X39&lt;30,1,0))</formula>
    </cfRule>
    <cfRule type="expression" dxfId="3638" priority="1456">
      <formula>AND(IF($Q39=3,1,IF($Q39=4,1,0)),IF($F39&lt;=85,1,0))</formula>
    </cfRule>
  </conditionalFormatting>
  <conditionalFormatting sqref="X39">
    <cfRule type="expression" dxfId="3637" priority="1449">
      <formula>AND(IF(OR($Q39=1,$Q39=2),1,0),IF($X39&lt;=20,1,0))</formula>
    </cfRule>
    <cfRule type="expression" dxfId="3636" priority="1450">
      <formula>AND(IF($Q39=2,1,0),IF($X39&lt;30,1,0))</formula>
    </cfRule>
    <cfRule type="expression" dxfId="3635" priority="1451">
      <formula>AND(IF($Q39=3,1,0),IF($X39&lt;30,1,0))</formula>
    </cfRule>
    <cfRule type="expression" dxfId="3634" priority="1452">
      <formula>AND(IF($Q39=3,1,IF($Q39=4,1,0)),IF($F39&lt;=85,1,0))</formula>
    </cfRule>
  </conditionalFormatting>
  <conditionalFormatting sqref="AI39">
    <cfRule type="expression" dxfId="3633" priority="1445">
      <formula>AND(IF(OR($Q39=1,$Q39=2),1,0),IF($X39&lt;=20,1,0))</formula>
    </cfRule>
    <cfRule type="expression" dxfId="3632" priority="1446">
      <formula>AND(IF($Q39=2,1,0),IF($X39&lt;30,1,0))</formula>
    </cfRule>
    <cfRule type="expression" dxfId="3631" priority="1447">
      <formula>AND(IF($Q39=3,1,0),IF($X39&lt;30,1,0))</formula>
    </cfRule>
    <cfRule type="expression" dxfId="3630" priority="1448">
      <formula>AND(IF($Q39=3,1,IF($Q39=4,1,0)),IF($F39&lt;=85,1,0))</formula>
    </cfRule>
  </conditionalFormatting>
  <conditionalFormatting sqref="AV40">
    <cfRule type="expression" dxfId="3629" priority="1443">
      <formula>AV40="X"</formula>
    </cfRule>
    <cfRule type="expression" dxfId="3628" priority="1444">
      <formula>AV40="후보"</formula>
    </cfRule>
  </conditionalFormatting>
  <conditionalFormatting sqref="AC40">
    <cfRule type="cellIs" dxfId="3627" priority="1440" operator="greaterThan">
      <formula>0.9</formula>
    </cfRule>
    <cfRule type="cellIs" dxfId="3626" priority="1441" operator="greaterThan">
      <formula>0.85</formula>
    </cfRule>
  </conditionalFormatting>
  <conditionalFormatting sqref="N40">
    <cfRule type="cellIs" dxfId="3625" priority="1438" operator="greaterThan">
      <formula>0.9</formula>
    </cfRule>
    <cfRule type="cellIs" dxfId="3624" priority="1439" operator="greaterThan">
      <formula>0.85</formula>
    </cfRule>
  </conditionalFormatting>
  <conditionalFormatting sqref="E40">
    <cfRule type="expression" dxfId="3623" priority="1434">
      <formula>AND(IF(OR($Q40=1,$Q40=2),1,0),IF($X40&lt;=20,1,0))</formula>
    </cfRule>
    <cfRule type="expression" dxfId="3622" priority="1435">
      <formula>AND(IF($Q40=2,1,0),IF($X40&lt;30,1,0))</formula>
    </cfRule>
    <cfRule type="expression" dxfId="3621" priority="1436">
      <formula>AND(IF($Q40=3,1,0),IF($X40&lt;30,1,0))</formula>
    </cfRule>
    <cfRule type="expression" dxfId="3620" priority="1437">
      <formula>AND(IF($Q40=3,1,IF($Q40=4,1,0)),IF($F40&lt;=85,1,0))</formula>
    </cfRule>
  </conditionalFormatting>
  <conditionalFormatting sqref="X40">
    <cfRule type="expression" dxfId="3619" priority="1430">
      <formula>AND(IF(OR($Q40=1,$Q40=2),1,0),IF($X40&lt;=20,1,0))</formula>
    </cfRule>
    <cfRule type="expression" dxfId="3618" priority="1431">
      <formula>AND(IF($Q40=2,1,0),IF($X40&lt;30,1,0))</formula>
    </cfRule>
    <cfRule type="expression" dxfId="3617" priority="1432">
      <formula>AND(IF($Q40=3,1,0),IF($X40&lt;30,1,0))</formula>
    </cfRule>
    <cfRule type="expression" dxfId="3616" priority="1433">
      <formula>AND(IF($Q40=3,1,IF($Q40=4,1,0)),IF($F40&lt;=85,1,0))</formula>
    </cfRule>
  </conditionalFormatting>
  <conditionalFormatting sqref="AI40">
    <cfRule type="expression" dxfId="3615" priority="1426">
      <formula>AND(IF(OR($Q40=1,$Q40=2),1,0),IF($X40&lt;=20,1,0))</formula>
    </cfRule>
    <cfRule type="expression" dxfId="3614" priority="1427">
      <formula>AND(IF($Q40=2,1,0),IF($X40&lt;30,1,0))</formula>
    </cfRule>
    <cfRule type="expression" dxfId="3613" priority="1428">
      <formula>AND(IF($Q40=3,1,0),IF($X40&lt;30,1,0))</formula>
    </cfRule>
    <cfRule type="expression" dxfId="3612" priority="1429">
      <formula>AND(IF($Q40=3,1,IF($Q40=4,1,0)),IF($F40&lt;=85,1,0))</formula>
    </cfRule>
  </conditionalFormatting>
  <conditionalFormatting sqref="AV41">
    <cfRule type="expression" dxfId="3611" priority="1424">
      <formula>AV41="X"</formula>
    </cfRule>
    <cfRule type="expression" dxfId="3610" priority="1425">
      <formula>AV41="후보"</formula>
    </cfRule>
  </conditionalFormatting>
  <conditionalFormatting sqref="AC41">
    <cfRule type="cellIs" dxfId="3609" priority="1421" operator="greaterThan">
      <formula>0.9</formula>
    </cfRule>
    <cfRule type="cellIs" dxfId="3608" priority="1422" operator="greaterThan">
      <formula>0.85</formula>
    </cfRule>
  </conditionalFormatting>
  <conditionalFormatting sqref="N41">
    <cfRule type="cellIs" dxfId="3607" priority="1419" operator="greaterThan">
      <formula>0.9</formula>
    </cfRule>
    <cfRule type="cellIs" dxfId="3606" priority="1420" operator="greaterThan">
      <formula>0.85</formula>
    </cfRule>
  </conditionalFormatting>
  <conditionalFormatting sqref="E41">
    <cfRule type="expression" dxfId="3605" priority="1415">
      <formula>AND(IF(OR($Q41=1,$Q41=2),1,0),IF($X41&lt;=20,1,0))</formula>
    </cfRule>
    <cfRule type="expression" dxfId="3604" priority="1416">
      <formula>AND(IF($Q41=2,1,0),IF($X41&lt;30,1,0))</formula>
    </cfRule>
    <cfRule type="expression" dxfId="3603" priority="1417">
      <formula>AND(IF($Q41=3,1,0),IF($X41&lt;30,1,0))</formula>
    </cfRule>
    <cfRule type="expression" dxfId="3602" priority="1418">
      <formula>AND(IF($Q41=3,1,IF($Q41=4,1,0)),IF($F41&lt;=85,1,0))</formula>
    </cfRule>
  </conditionalFormatting>
  <conditionalFormatting sqref="X41">
    <cfRule type="expression" dxfId="3601" priority="1411">
      <formula>AND(IF(OR($Q41=1,$Q41=2),1,0),IF($X41&lt;=20,1,0))</formula>
    </cfRule>
    <cfRule type="expression" dxfId="3600" priority="1412">
      <formula>AND(IF($Q41=2,1,0),IF($X41&lt;30,1,0))</formula>
    </cfRule>
    <cfRule type="expression" dxfId="3599" priority="1413">
      <formula>AND(IF($Q41=3,1,0),IF($X41&lt;30,1,0))</formula>
    </cfRule>
    <cfRule type="expression" dxfId="3598" priority="1414">
      <formula>AND(IF($Q41=3,1,IF($Q41=4,1,0)),IF($F41&lt;=85,1,0))</formula>
    </cfRule>
  </conditionalFormatting>
  <conditionalFormatting sqref="AI41">
    <cfRule type="expression" dxfId="3597" priority="1407">
      <formula>AND(IF(OR($Q41=1,$Q41=2),1,0),IF($X41&lt;=20,1,0))</formula>
    </cfRule>
    <cfRule type="expression" dxfId="3596" priority="1408">
      <formula>AND(IF($Q41=2,1,0),IF($X41&lt;30,1,0))</formula>
    </cfRule>
    <cfRule type="expression" dxfId="3595" priority="1409">
      <formula>AND(IF($Q41=3,1,0),IF($X41&lt;30,1,0))</formula>
    </cfRule>
    <cfRule type="expression" dxfId="3594" priority="1410">
      <formula>AND(IF($Q41=3,1,IF($Q41=4,1,0)),IF($F41&lt;=85,1,0))</formula>
    </cfRule>
  </conditionalFormatting>
  <conditionalFormatting sqref="AV42">
    <cfRule type="expression" dxfId="3593" priority="1405">
      <formula>AV42="X"</formula>
    </cfRule>
    <cfRule type="expression" dxfId="3592" priority="1406">
      <formula>AV42="후보"</formula>
    </cfRule>
  </conditionalFormatting>
  <conditionalFormatting sqref="AC42 N42">
    <cfRule type="cellIs" dxfId="3591" priority="1402" operator="greaterThan">
      <formula>0.9</formula>
    </cfRule>
    <cfRule type="cellIs" dxfId="3590" priority="1403" operator="greaterThan">
      <formula>0.85</formula>
    </cfRule>
  </conditionalFormatting>
  <conditionalFormatting sqref="AV43">
    <cfRule type="expression" dxfId="3589" priority="1400">
      <formula>AV43="X"</formula>
    </cfRule>
    <cfRule type="expression" dxfId="3588" priority="1401">
      <formula>AV43="후보"</formula>
    </cfRule>
  </conditionalFormatting>
  <conditionalFormatting sqref="AC43">
    <cfRule type="cellIs" dxfId="3587" priority="1397" operator="greaterThan">
      <formula>0.9</formula>
    </cfRule>
    <cfRule type="cellIs" dxfId="3586" priority="1398" operator="greaterThan">
      <formula>0.85</formula>
    </cfRule>
  </conditionalFormatting>
  <conditionalFormatting sqref="N43">
    <cfRule type="cellIs" dxfId="3585" priority="1395" operator="greaterThan">
      <formula>0.9</formula>
    </cfRule>
    <cfRule type="cellIs" dxfId="3584" priority="1396" operator="greaterThan">
      <formula>0.85</formula>
    </cfRule>
  </conditionalFormatting>
  <conditionalFormatting sqref="E43">
    <cfRule type="expression" dxfId="3583" priority="1391">
      <formula>AND(IF(OR($Q43=1,$Q43=2),1,0),IF($X43&lt;=20,1,0))</formula>
    </cfRule>
    <cfRule type="expression" dxfId="3582" priority="1392">
      <formula>AND(IF($Q43=2,1,0),IF($X43&lt;30,1,0))</formula>
    </cfRule>
    <cfRule type="expression" dxfId="3581" priority="1393">
      <formula>AND(IF($Q43=3,1,0),IF($X43&lt;30,1,0))</formula>
    </cfRule>
    <cfRule type="expression" dxfId="3580" priority="1394">
      <formula>AND(IF($Q43=3,1,IF($Q43=4,1,0)),IF($F43&lt;=85,1,0))</formula>
    </cfRule>
  </conditionalFormatting>
  <conditionalFormatting sqref="X43">
    <cfRule type="expression" dxfId="3579" priority="1387">
      <formula>AND(IF(OR($Q43=1,$Q43=2),1,0),IF($X43&lt;=20,1,0))</formula>
    </cfRule>
    <cfRule type="expression" dxfId="3578" priority="1388">
      <formula>AND(IF($Q43=2,1,0),IF($X43&lt;30,1,0))</formula>
    </cfRule>
    <cfRule type="expression" dxfId="3577" priority="1389">
      <formula>AND(IF($Q43=3,1,0),IF($X43&lt;30,1,0))</formula>
    </cfRule>
    <cfRule type="expression" dxfId="3576" priority="1390">
      <formula>AND(IF($Q43=3,1,IF($Q43=4,1,0)),IF($F43&lt;=85,1,0))</formula>
    </cfRule>
  </conditionalFormatting>
  <conditionalFormatting sqref="AI43">
    <cfRule type="expression" dxfId="3575" priority="1383">
      <formula>AND(IF(OR($Q43=1,$Q43=2),1,0),IF($X43&lt;=20,1,0))</formula>
    </cfRule>
    <cfRule type="expression" dxfId="3574" priority="1384">
      <formula>AND(IF($Q43=2,1,0),IF($X43&lt;30,1,0))</formula>
    </cfRule>
    <cfRule type="expression" dxfId="3573" priority="1385">
      <formula>AND(IF($Q43=3,1,0),IF($X43&lt;30,1,0))</formula>
    </cfRule>
    <cfRule type="expression" dxfId="3572" priority="1386">
      <formula>AND(IF($Q43=3,1,IF($Q43=4,1,0)),IF($F43&lt;=85,1,0))</formula>
    </cfRule>
  </conditionalFormatting>
  <conditionalFormatting sqref="AV44">
    <cfRule type="expression" dxfId="3571" priority="1381">
      <formula>AV44="X"</formula>
    </cfRule>
    <cfRule type="expression" dxfId="3570" priority="1382">
      <formula>AV44="후보"</formula>
    </cfRule>
  </conditionalFormatting>
  <conditionalFormatting sqref="AC44">
    <cfRule type="cellIs" dxfId="3569" priority="1378" operator="greaterThan">
      <formula>0.9</formula>
    </cfRule>
    <cfRule type="cellIs" dxfId="3568" priority="1379" operator="greaterThan">
      <formula>0.85</formula>
    </cfRule>
  </conditionalFormatting>
  <conditionalFormatting sqref="N44">
    <cfRule type="cellIs" dxfId="3567" priority="1376" operator="greaterThan">
      <formula>0.9</formula>
    </cfRule>
    <cfRule type="cellIs" dxfId="3566" priority="1377" operator="greaterThan">
      <formula>0.85</formula>
    </cfRule>
  </conditionalFormatting>
  <conditionalFormatting sqref="E44">
    <cfRule type="expression" dxfId="3565" priority="1372">
      <formula>AND(IF(OR($Q44=1,$Q44=2),1,0),IF($X44&lt;=20,1,0))</formula>
    </cfRule>
    <cfRule type="expression" dxfId="3564" priority="1373">
      <formula>AND(IF($Q44=2,1,0),IF($X44&lt;30,1,0))</formula>
    </cfRule>
    <cfRule type="expression" dxfId="3563" priority="1374">
      <formula>AND(IF($Q44=3,1,0),IF($X44&lt;30,1,0))</formula>
    </cfRule>
    <cfRule type="expression" dxfId="3562" priority="1375">
      <formula>AND(IF($Q44=3,1,IF($Q44=4,1,0)),IF($F44&lt;=85,1,0))</formula>
    </cfRule>
  </conditionalFormatting>
  <conditionalFormatting sqref="X44">
    <cfRule type="expression" dxfId="3561" priority="1368">
      <formula>AND(IF(OR($Q44=1,$Q44=2),1,0),IF($X44&lt;=20,1,0))</formula>
    </cfRule>
    <cfRule type="expression" dxfId="3560" priority="1369">
      <formula>AND(IF($Q44=2,1,0),IF($X44&lt;30,1,0))</formula>
    </cfRule>
    <cfRule type="expression" dxfId="3559" priority="1370">
      <formula>AND(IF($Q44=3,1,0),IF($X44&lt;30,1,0))</formula>
    </cfRule>
    <cfRule type="expression" dxfId="3558" priority="1371">
      <formula>AND(IF($Q44=3,1,IF($Q44=4,1,0)),IF($F44&lt;=85,1,0))</formula>
    </cfRule>
  </conditionalFormatting>
  <conditionalFormatting sqref="AI44">
    <cfRule type="expression" dxfId="3557" priority="1364">
      <formula>AND(IF(OR($Q44=1,$Q44=2),1,0),IF($X44&lt;=20,1,0))</formula>
    </cfRule>
    <cfRule type="expression" dxfId="3556" priority="1365">
      <formula>AND(IF($Q44=2,1,0),IF($X44&lt;30,1,0))</formula>
    </cfRule>
    <cfRule type="expression" dxfId="3555" priority="1366">
      <formula>AND(IF($Q44=3,1,0),IF($X44&lt;30,1,0))</formula>
    </cfRule>
    <cfRule type="expression" dxfId="3554" priority="1367">
      <formula>AND(IF($Q44=3,1,IF($Q44=4,1,0)),IF($F44&lt;=85,1,0))</formula>
    </cfRule>
  </conditionalFormatting>
  <conditionalFormatting sqref="AV45">
    <cfRule type="expression" dxfId="3553" priority="1362">
      <formula>AV45="X"</formula>
    </cfRule>
    <cfRule type="expression" dxfId="3552" priority="1363">
      <formula>AV45="후보"</formula>
    </cfRule>
  </conditionalFormatting>
  <conditionalFormatting sqref="AC45">
    <cfRule type="cellIs" dxfId="3551" priority="1359" operator="greaterThan">
      <formula>0.9</formula>
    </cfRule>
    <cfRule type="cellIs" dxfId="3550" priority="1360" operator="greaterThan">
      <formula>0.85</formula>
    </cfRule>
  </conditionalFormatting>
  <conditionalFormatting sqref="N45">
    <cfRule type="cellIs" dxfId="3549" priority="1357" operator="greaterThan">
      <formula>0.9</formula>
    </cfRule>
    <cfRule type="cellIs" dxfId="3548" priority="1358" operator="greaterThan">
      <formula>0.85</formula>
    </cfRule>
  </conditionalFormatting>
  <conditionalFormatting sqref="E45">
    <cfRule type="expression" dxfId="3547" priority="1353">
      <formula>AND(IF(OR($Q45=1,$Q45=2),1,0),IF($X45&lt;=20,1,0))</formula>
    </cfRule>
    <cfRule type="expression" dxfId="3546" priority="1354">
      <formula>AND(IF($Q45=2,1,0),IF($X45&lt;30,1,0))</formula>
    </cfRule>
    <cfRule type="expression" dxfId="3545" priority="1355">
      <formula>AND(IF($Q45=3,1,0),IF($X45&lt;30,1,0))</formula>
    </cfRule>
    <cfRule type="expression" dxfId="3544" priority="1356">
      <formula>AND(IF($Q45=3,1,IF($Q45=4,1,0)),IF($F45&lt;=85,1,0))</formula>
    </cfRule>
  </conditionalFormatting>
  <conditionalFormatting sqref="X45">
    <cfRule type="expression" dxfId="3543" priority="1349">
      <formula>AND(IF(OR($Q45=1,$Q45=2),1,0),IF($X45&lt;=20,1,0))</formula>
    </cfRule>
    <cfRule type="expression" dxfId="3542" priority="1350">
      <formula>AND(IF($Q45=2,1,0),IF($X45&lt;30,1,0))</formula>
    </cfRule>
    <cfRule type="expression" dxfId="3541" priority="1351">
      <formula>AND(IF($Q45=3,1,0),IF($X45&lt;30,1,0))</formula>
    </cfRule>
    <cfRule type="expression" dxfId="3540" priority="1352">
      <formula>AND(IF($Q45=3,1,IF($Q45=4,1,0)),IF($F45&lt;=85,1,0))</formula>
    </cfRule>
  </conditionalFormatting>
  <conditionalFormatting sqref="AI45">
    <cfRule type="expression" dxfId="3539" priority="1345">
      <formula>AND(IF(OR($Q45=1,$Q45=2),1,0),IF($X45&lt;=20,1,0))</formula>
    </cfRule>
    <cfRule type="expression" dxfId="3538" priority="1346">
      <formula>AND(IF($Q45=2,1,0),IF($X45&lt;30,1,0))</formula>
    </cfRule>
    <cfRule type="expression" dxfId="3537" priority="1347">
      <formula>AND(IF($Q45=3,1,0),IF($X45&lt;30,1,0))</formula>
    </cfRule>
    <cfRule type="expression" dxfId="3536" priority="1348">
      <formula>AND(IF($Q45=3,1,IF($Q45=4,1,0)),IF($F45&lt;=85,1,0))</formula>
    </cfRule>
  </conditionalFormatting>
  <conditionalFormatting sqref="AV46">
    <cfRule type="expression" dxfId="3535" priority="1343">
      <formula>AV46="X"</formula>
    </cfRule>
    <cfRule type="expression" dxfId="3534" priority="1344">
      <formula>AV46="후보"</formula>
    </cfRule>
  </conditionalFormatting>
  <conditionalFormatting sqref="AC46">
    <cfRule type="cellIs" dxfId="3533" priority="1340" operator="greaterThan">
      <formula>0.9</formula>
    </cfRule>
    <cfRule type="cellIs" dxfId="3532" priority="1341" operator="greaterThan">
      <formula>0.85</formula>
    </cfRule>
  </conditionalFormatting>
  <conditionalFormatting sqref="N46">
    <cfRule type="cellIs" dxfId="3531" priority="1338" operator="greaterThan">
      <formula>0.9</formula>
    </cfRule>
    <cfRule type="cellIs" dxfId="3530" priority="1339" operator="greaterThan">
      <formula>0.85</formula>
    </cfRule>
  </conditionalFormatting>
  <conditionalFormatting sqref="E46">
    <cfRule type="expression" dxfId="3529" priority="1334">
      <formula>AND(IF(OR($Q46=1,$Q46=2),1,0),IF($X46&lt;=20,1,0))</formula>
    </cfRule>
    <cfRule type="expression" dxfId="3528" priority="1335">
      <formula>AND(IF($Q46=2,1,0),IF($X46&lt;30,1,0))</formula>
    </cfRule>
    <cfRule type="expression" dxfId="3527" priority="1336">
      <formula>AND(IF($Q46=3,1,0),IF($X46&lt;30,1,0))</formula>
    </cfRule>
    <cfRule type="expression" dxfId="3526" priority="1337">
      <formula>AND(IF($Q46=3,1,IF($Q46=4,1,0)),IF($F46&lt;=85,1,0))</formula>
    </cfRule>
  </conditionalFormatting>
  <conditionalFormatting sqref="X46">
    <cfRule type="expression" dxfId="3525" priority="1330">
      <formula>AND(IF(OR($Q46=1,$Q46=2),1,0),IF($X46&lt;=20,1,0))</formula>
    </cfRule>
    <cfRule type="expression" dxfId="3524" priority="1331">
      <formula>AND(IF($Q46=2,1,0),IF($X46&lt;30,1,0))</formula>
    </cfRule>
    <cfRule type="expression" dxfId="3523" priority="1332">
      <formula>AND(IF($Q46=3,1,0),IF($X46&lt;30,1,0))</formula>
    </cfRule>
    <cfRule type="expression" dxfId="3522" priority="1333">
      <formula>AND(IF($Q46=3,1,IF($Q46=4,1,0)),IF($F46&lt;=85,1,0))</formula>
    </cfRule>
  </conditionalFormatting>
  <conditionalFormatting sqref="AI46">
    <cfRule type="expression" dxfId="3521" priority="1326">
      <formula>AND(IF(OR($Q46=1,$Q46=2),1,0),IF($X46&lt;=20,1,0))</formula>
    </cfRule>
    <cfRule type="expression" dxfId="3520" priority="1327">
      <formula>AND(IF($Q46=2,1,0),IF($X46&lt;30,1,0))</formula>
    </cfRule>
    <cfRule type="expression" dxfId="3519" priority="1328">
      <formula>AND(IF($Q46=3,1,0),IF($X46&lt;30,1,0))</formula>
    </cfRule>
    <cfRule type="expression" dxfId="3518" priority="1329">
      <formula>AND(IF($Q46=3,1,IF($Q46=4,1,0)),IF($F46&lt;=85,1,0))</formula>
    </cfRule>
  </conditionalFormatting>
  <conditionalFormatting sqref="AV47">
    <cfRule type="expression" dxfId="3517" priority="1324">
      <formula>AV47="X"</formula>
    </cfRule>
    <cfRule type="expression" dxfId="3516" priority="1325">
      <formula>AV47="후보"</formula>
    </cfRule>
  </conditionalFormatting>
  <conditionalFormatting sqref="AC47 N47">
    <cfRule type="cellIs" dxfId="3515" priority="1321" operator="greaterThan">
      <formula>0.9</formula>
    </cfRule>
    <cfRule type="cellIs" dxfId="3514" priority="1322" operator="greaterThan">
      <formula>0.85</formula>
    </cfRule>
  </conditionalFormatting>
  <conditionalFormatting sqref="AV48">
    <cfRule type="expression" dxfId="3513" priority="1319">
      <formula>AV48="X"</formula>
    </cfRule>
    <cfRule type="expression" dxfId="3512" priority="1320">
      <formula>AV48="후보"</formula>
    </cfRule>
  </conditionalFormatting>
  <conditionalFormatting sqref="AC48">
    <cfRule type="cellIs" dxfId="3511" priority="1316" operator="greaterThan">
      <formula>0.9</formula>
    </cfRule>
    <cfRule type="cellIs" dxfId="3510" priority="1317" operator="greaterThan">
      <formula>0.85</formula>
    </cfRule>
  </conditionalFormatting>
  <conditionalFormatting sqref="N48">
    <cfRule type="cellIs" dxfId="3509" priority="1314" operator="greaterThan">
      <formula>0.9</formula>
    </cfRule>
    <cfRule type="cellIs" dxfId="3508" priority="1315" operator="greaterThan">
      <formula>0.85</formula>
    </cfRule>
  </conditionalFormatting>
  <conditionalFormatting sqref="E48">
    <cfRule type="expression" dxfId="3507" priority="1310">
      <formula>AND(IF(OR($Q48=1,$Q48=2),1,0),IF($X48&lt;=20,1,0))</formula>
    </cfRule>
    <cfRule type="expression" dxfId="3506" priority="1311">
      <formula>AND(IF($Q48=2,1,0),IF($X48&lt;30,1,0))</formula>
    </cfRule>
    <cfRule type="expression" dxfId="3505" priority="1312">
      <formula>AND(IF($Q48=3,1,0),IF($X48&lt;30,1,0))</formula>
    </cfRule>
    <cfRule type="expression" dxfId="3504" priority="1313">
      <formula>AND(IF($Q48=3,1,IF($Q48=4,1,0)),IF($F48&lt;=85,1,0))</formula>
    </cfRule>
  </conditionalFormatting>
  <conditionalFormatting sqref="X48">
    <cfRule type="expression" dxfId="3503" priority="1306">
      <formula>AND(IF(OR($Q48=1,$Q48=2),1,0),IF($X48&lt;=20,1,0))</formula>
    </cfRule>
    <cfRule type="expression" dxfId="3502" priority="1307">
      <formula>AND(IF($Q48=2,1,0),IF($X48&lt;30,1,0))</formula>
    </cfRule>
    <cfRule type="expression" dxfId="3501" priority="1308">
      <formula>AND(IF($Q48=3,1,0),IF($X48&lt;30,1,0))</formula>
    </cfRule>
    <cfRule type="expression" dxfId="3500" priority="1309">
      <formula>AND(IF($Q48=3,1,IF($Q48=4,1,0)),IF($F48&lt;=85,1,0))</formula>
    </cfRule>
  </conditionalFormatting>
  <conditionalFormatting sqref="AI48">
    <cfRule type="expression" dxfId="3499" priority="1302">
      <formula>AND(IF(OR($Q48=1,$Q48=2),1,0),IF($X48&lt;=20,1,0))</formula>
    </cfRule>
    <cfRule type="expression" dxfId="3498" priority="1303">
      <formula>AND(IF($Q48=2,1,0),IF($X48&lt;30,1,0))</formula>
    </cfRule>
    <cfRule type="expression" dxfId="3497" priority="1304">
      <formula>AND(IF($Q48=3,1,0),IF($X48&lt;30,1,0))</formula>
    </cfRule>
    <cfRule type="expression" dxfId="3496" priority="1305">
      <formula>AND(IF($Q48=3,1,IF($Q48=4,1,0)),IF($F48&lt;=85,1,0))</formula>
    </cfRule>
  </conditionalFormatting>
  <conditionalFormatting sqref="AV49">
    <cfRule type="expression" dxfId="3495" priority="1300">
      <formula>AV49="X"</formula>
    </cfRule>
    <cfRule type="expression" dxfId="3494" priority="1301">
      <formula>AV49="후보"</formula>
    </cfRule>
  </conditionalFormatting>
  <conditionalFormatting sqref="AC49">
    <cfRule type="cellIs" dxfId="3493" priority="1297" operator="greaterThan">
      <formula>0.9</formula>
    </cfRule>
    <cfRule type="cellIs" dxfId="3492" priority="1298" operator="greaterThan">
      <formula>0.85</formula>
    </cfRule>
  </conditionalFormatting>
  <conditionalFormatting sqref="N49">
    <cfRule type="cellIs" dxfId="3491" priority="1295" operator="greaterThan">
      <formula>0.9</formula>
    </cfRule>
    <cfRule type="cellIs" dxfId="3490" priority="1296" operator="greaterThan">
      <formula>0.85</formula>
    </cfRule>
  </conditionalFormatting>
  <conditionalFormatting sqref="E49">
    <cfRule type="expression" dxfId="3489" priority="1291">
      <formula>AND(IF(OR($Q49=1,$Q49=2),1,0),IF($X49&lt;=20,1,0))</formula>
    </cfRule>
    <cfRule type="expression" dxfId="3488" priority="1292">
      <formula>AND(IF($Q49=2,1,0),IF($X49&lt;30,1,0))</formula>
    </cfRule>
    <cfRule type="expression" dxfId="3487" priority="1293">
      <formula>AND(IF($Q49=3,1,0),IF($X49&lt;30,1,0))</formula>
    </cfRule>
    <cfRule type="expression" dxfId="3486" priority="1294">
      <formula>AND(IF($Q49=3,1,IF($Q49=4,1,0)),IF($F49&lt;=85,1,0))</formula>
    </cfRule>
  </conditionalFormatting>
  <conditionalFormatting sqref="X49">
    <cfRule type="expression" dxfId="3485" priority="1287">
      <formula>AND(IF(OR($Q49=1,$Q49=2),1,0),IF($X49&lt;=20,1,0))</formula>
    </cfRule>
    <cfRule type="expression" dxfId="3484" priority="1288">
      <formula>AND(IF($Q49=2,1,0),IF($X49&lt;30,1,0))</formula>
    </cfRule>
    <cfRule type="expression" dxfId="3483" priority="1289">
      <formula>AND(IF($Q49=3,1,0),IF($X49&lt;30,1,0))</formula>
    </cfRule>
    <cfRule type="expression" dxfId="3482" priority="1290">
      <formula>AND(IF($Q49=3,1,IF($Q49=4,1,0)),IF($F49&lt;=85,1,0))</formula>
    </cfRule>
  </conditionalFormatting>
  <conditionalFormatting sqref="AI49">
    <cfRule type="expression" dxfId="3481" priority="1283">
      <formula>AND(IF(OR($Q49=1,$Q49=2),1,0),IF($X49&lt;=20,1,0))</formula>
    </cfRule>
    <cfRule type="expression" dxfId="3480" priority="1284">
      <formula>AND(IF($Q49=2,1,0),IF($X49&lt;30,1,0))</formula>
    </cfRule>
    <cfRule type="expression" dxfId="3479" priority="1285">
      <formula>AND(IF($Q49=3,1,0),IF($X49&lt;30,1,0))</formula>
    </cfRule>
    <cfRule type="expression" dxfId="3478" priority="1286">
      <formula>AND(IF($Q49=3,1,IF($Q49=4,1,0)),IF($F49&lt;=85,1,0))</formula>
    </cfRule>
  </conditionalFormatting>
  <conditionalFormatting sqref="AV50">
    <cfRule type="expression" dxfId="3477" priority="1281">
      <formula>AV50="X"</formula>
    </cfRule>
    <cfRule type="expression" dxfId="3476" priority="1282">
      <formula>AV50="후보"</formula>
    </cfRule>
  </conditionalFormatting>
  <conditionalFormatting sqref="AC50">
    <cfRule type="cellIs" dxfId="3475" priority="1278" operator="greaterThan">
      <formula>0.9</formula>
    </cfRule>
    <cfRule type="cellIs" dxfId="3474" priority="1279" operator="greaterThan">
      <formula>0.85</formula>
    </cfRule>
  </conditionalFormatting>
  <conditionalFormatting sqref="N50">
    <cfRule type="cellIs" dxfId="3473" priority="1276" operator="greaterThan">
      <formula>0.9</formula>
    </cfRule>
    <cfRule type="cellIs" dxfId="3472" priority="1277" operator="greaterThan">
      <formula>0.85</formula>
    </cfRule>
  </conditionalFormatting>
  <conditionalFormatting sqref="E50">
    <cfRule type="expression" dxfId="3471" priority="1272">
      <formula>AND(IF(OR($Q50=1,$Q50=2),1,0),IF($X50&lt;=20,1,0))</formula>
    </cfRule>
    <cfRule type="expression" dxfId="3470" priority="1273">
      <formula>AND(IF($Q50=2,1,0),IF($X50&lt;30,1,0))</formula>
    </cfRule>
    <cfRule type="expression" dxfId="3469" priority="1274">
      <formula>AND(IF($Q50=3,1,0),IF($X50&lt;30,1,0))</formula>
    </cfRule>
    <cfRule type="expression" dxfId="3468" priority="1275">
      <formula>AND(IF($Q50=3,1,IF($Q50=4,1,0)),IF($F50&lt;=85,1,0))</formula>
    </cfRule>
  </conditionalFormatting>
  <conditionalFormatting sqref="X50">
    <cfRule type="expression" dxfId="3467" priority="1268">
      <formula>AND(IF(OR($Q50=1,$Q50=2),1,0),IF($X50&lt;=20,1,0))</formula>
    </cfRule>
    <cfRule type="expression" dxfId="3466" priority="1269">
      <formula>AND(IF($Q50=2,1,0),IF($X50&lt;30,1,0))</formula>
    </cfRule>
    <cfRule type="expression" dxfId="3465" priority="1270">
      <formula>AND(IF($Q50=3,1,0),IF($X50&lt;30,1,0))</formula>
    </cfRule>
    <cfRule type="expression" dxfId="3464" priority="1271">
      <formula>AND(IF($Q50=3,1,IF($Q50=4,1,0)),IF($F50&lt;=85,1,0))</formula>
    </cfRule>
  </conditionalFormatting>
  <conditionalFormatting sqref="AI50">
    <cfRule type="expression" dxfId="3463" priority="1264">
      <formula>AND(IF(OR($Q50=1,$Q50=2),1,0),IF($X50&lt;=20,1,0))</formula>
    </cfRule>
    <cfRule type="expression" dxfId="3462" priority="1265">
      <formula>AND(IF($Q50=2,1,0),IF($X50&lt;30,1,0))</formula>
    </cfRule>
    <cfRule type="expression" dxfId="3461" priority="1266">
      <formula>AND(IF($Q50=3,1,0),IF($X50&lt;30,1,0))</formula>
    </cfRule>
    <cfRule type="expression" dxfId="3460" priority="1267">
      <formula>AND(IF($Q50=3,1,IF($Q50=4,1,0)),IF($F50&lt;=85,1,0))</formula>
    </cfRule>
  </conditionalFormatting>
  <conditionalFormatting sqref="AV51">
    <cfRule type="expression" dxfId="3459" priority="1262">
      <formula>AV51="X"</formula>
    </cfRule>
    <cfRule type="expression" dxfId="3458" priority="1263">
      <formula>AV51="후보"</formula>
    </cfRule>
  </conditionalFormatting>
  <conditionalFormatting sqref="AC51">
    <cfRule type="cellIs" dxfId="3457" priority="1259" operator="greaterThan">
      <formula>0.9</formula>
    </cfRule>
    <cfRule type="cellIs" dxfId="3456" priority="1260" operator="greaterThan">
      <formula>0.85</formula>
    </cfRule>
  </conditionalFormatting>
  <conditionalFormatting sqref="N51">
    <cfRule type="cellIs" dxfId="3455" priority="1257" operator="greaterThan">
      <formula>0.9</formula>
    </cfRule>
    <cfRule type="cellIs" dxfId="3454" priority="1258" operator="greaterThan">
      <formula>0.85</formula>
    </cfRule>
  </conditionalFormatting>
  <conditionalFormatting sqref="E51">
    <cfRule type="expression" dxfId="3453" priority="1253">
      <formula>AND(IF(OR($Q51=1,$Q51=2),1,0),IF($X51&lt;=20,1,0))</formula>
    </cfRule>
    <cfRule type="expression" dxfId="3452" priority="1254">
      <formula>AND(IF($Q51=2,1,0),IF($X51&lt;30,1,0))</formula>
    </cfRule>
    <cfRule type="expression" dxfId="3451" priority="1255">
      <formula>AND(IF($Q51=3,1,0),IF($X51&lt;30,1,0))</formula>
    </cfRule>
    <cfRule type="expression" dxfId="3450" priority="1256">
      <formula>AND(IF($Q51=3,1,IF($Q51=4,1,0)),IF($F51&lt;=85,1,0))</formula>
    </cfRule>
  </conditionalFormatting>
  <conditionalFormatting sqref="X51">
    <cfRule type="expression" dxfId="3449" priority="1249">
      <formula>AND(IF(OR($Q51=1,$Q51=2),1,0),IF($X51&lt;=20,1,0))</formula>
    </cfRule>
    <cfRule type="expression" dxfId="3448" priority="1250">
      <formula>AND(IF($Q51=2,1,0),IF($X51&lt;30,1,0))</formula>
    </cfRule>
    <cfRule type="expression" dxfId="3447" priority="1251">
      <formula>AND(IF($Q51=3,1,0),IF($X51&lt;30,1,0))</formula>
    </cfRule>
    <cfRule type="expression" dxfId="3446" priority="1252">
      <formula>AND(IF($Q51=3,1,IF($Q51=4,1,0)),IF($F51&lt;=85,1,0))</formula>
    </cfRule>
  </conditionalFormatting>
  <conditionalFormatting sqref="AI51">
    <cfRule type="expression" dxfId="3445" priority="1245">
      <formula>AND(IF(OR($Q51=1,$Q51=2),1,0),IF($X51&lt;=20,1,0))</formula>
    </cfRule>
    <cfRule type="expression" dxfId="3444" priority="1246">
      <formula>AND(IF($Q51=2,1,0),IF($X51&lt;30,1,0))</formula>
    </cfRule>
    <cfRule type="expression" dxfId="3443" priority="1247">
      <formula>AND(IF($Q51=3,1,0),IF($X51&lt;30,1,0))</formula>
    </cfRule>
    <cfRule type="expression" dxfId="3442" priority="1248">
      <formula>AND(IF($Q51=3,1,IF($Q51=4,1,0)),IF($F51&lt;=85,1,0))</formula>
    </cfRule>
  </conditionalFormatting>
  <conditionalFormatting sqref="AV52">
    <cfRule type="expression" dxfId="3441" priority="1243">
      <formula>AV52="X"</formula>
    </cfRule>
    <cfRule type="expression" dxfId="3440" priority="1244">
      <formula>AV52="후보"</formula>
    </cfRule>
  </conditionalFormatting>
  <conditionalFormatting sqref="AC52">
    <cfRule type="cellIs" dxfId="3439" priority="1240" operator="greaterThan">
      <formula>0.9</formula>
    </cfRule>
    <cfRule type="cellIs" dxfId="3438" priority="1241" operator="greaterThan">
      <formula>0.85</formula>
    </cfRule>
  </conditionalFormatting>
  <conditionalFormatting sqref="N52">
    <cfRule type="cellIs" dxfId="3437" priority="1238" operator="greaterThan">
      <formula>0.9</formula>
    </cfRule>
    <cfRule type="cellIs" dxfId="3436" priority="1239" operator="greaterThan">
      <formula>0.85</formula>
    </cfRule>
  </conditionalFormatting>
  <conditionalFormatting sqref="E52">
    <cfRule type="expression" dxfId="3435" priority="1234">
      <formula>AND(IF(OR($Q52=1,$Q52=2),1,0),IF($X52&lt;=20,1,0))</formula>
    </cfRule>
    <cfRule type="expression" dxfId="3434" priority="1235">
      <formula>AND(IF($Q52=2,1,0),IF($X52&lt;30,1,0))</formula>
    </cfRule>
    <cfRule type="expression" dxfId="3433" priority="1236">
      <formula>AND(IF($Q52=3,1,0),IF($X52&lt;30,1,0))</formula>
    </cfRule>
    <cfRule type="expression" dxfId="3432" priority="1237">
      <formula>AND(IF($Q52=3,1,IF($Q52=4,1,0)),IF($F52&lt;=85,1,0))</formula>
    </cfRule>
  </conditionalFormatting>
  <conditionalFormatting sqref="X52">
    <cfRule type="expression" dxfId="3431" priority="1230">
      <formula>AND(IF(OR($Q52=1,$Q52=2),1,0),IF($X52&lt;=20,1,0))</formula>
    </cfRule>
    <cfRule type="expression" dxfId="3430" priority="1231">
      <formula>AND(IF($Q52=2,1,0),IF($X52&lt;30,1,0))</formula>
    </cfRule>
    <cfRule type="expression" dxfId="3429" priority="1232">
      <formula>AND(IF($Q52=3,1,0),IF($X52&lt;30,1,0))</formula>
    </cfRule>
    <cfRule type="expression" dxfId="3428" priority="1233">
      <formula>AND(IF($Q52=3,1,IF($Q52=4,1,0)),IF($F52&lt;=85,1,0))</formula>
    </cfRule>
  </conditionalFormatting>
  <conditionalFormatting sqref="AI52">
    <cfRule type="expression" dxfId="3427" priority="1226">
      <formula>AND(IF(OR($Q52=1,$Q52=2),1,0),IF($X52&lt;=20,1,0))</formula>
    </cfRule>
    <cfRule type="expression" dxfId="3426" priority="1227">
      <formula>AND(IF($Q52=2,1,0),IF($X52&lt;30,1,0))</formula>
    </cfRule>
    <cfRule type="expression" dxfId="3425" priority="1228">
      <formula>AND(IF($Q52=3,1,0),IF($X52&lt;30,1,0))</formula>
    </cfRule>
    <cfRule type="expression" dxfId="3424" priority="1229">
      <formula>AND(IF($Q52=3,1,IF($Q52=4,1,0)),IF($F52&lt;=85,1,0))</formula>
    </cfRule>
  </conditionalFormatting>
  <conditionalFormatting sqref="AV53">
    <cfRule type="expression" dxfId="3423" priority="1224">
      <formula>AV53="X"</formula>
    </cfRule>
    <cfRule type="expression" dxfId="3422" priority="1225">
      <formula>AV53="후보"</formula>
    </cfRule>
  </conditionalFormatting>
  <conditionalFormatting sqref="AC53">
    <cfRule type="cellIs" dxfId="3421" priority="1221" operator="greaterThan">
      <formula>0.9</formula>
    </cfRule>
    <cfRule type="cellIs" dxfId="3420" priority="1222" operator="greaterThan">
      <formula>0.85</formula>
    </cfRule>
  </conditionalFormatting>
  <conditionalFormatting sqref="N53">
    <cfRule type="cellIs" dxfId="3419" priority="1219" operator="greaterThan">
      <formula>0.9</formula>
    </cfRule>
    <cfRule type="cellIs" dxfId="3418" priority="1220" operator="greaterThan">
      <formula>0.85</formula>
    </cfRule>
  </conditionalFormatting>
  <conditionalFormatting sqref="E53">
    <cfRule type="expression" dxfId="3417" priority="1215">
      <formula>AND(IF(OR($Q53=1,$Q53=2),1,0),IF($X53&lt;=20,1,0))</formula>
    </cfRule>
    <cfRule type="expression" dxfId="3416" priority="1216">
      <formula>AND(IF($Q53=2,1,0),IF($X53&lt;30,1,0))</formula>
    </cfRule>
    <cfRule type="expression" dxfId="3415" priority="1217">
      <formula>AND(IF($Q53=3,1,0),IF($X53&lt;30,1,0))</formula>
    </cfRule>
    <cfRule type="expression" dxfId="3414" priority="1218">
      <formula>AND(IF($Q53=3,1,IF($Q53=4,1,0)),IF($F53&lt;=85,1,0))</formula>
    </cfRule>
  </conditionalFormatting>
  <conditionalFormatting sqref="X53">
    <cfRule type="expression" dxfId="3413" priority="1211">
      <formula>AND(IF(OR($Q53=1,$Q53=2),1,0),IF($X53&lt;=20,1,0))</formula>
    </cfRule>
    <cfRule type="expression" dxfId="3412" priority="1212">
      <formula>AND(IF($Q53=2,1,0),IF($X53&lt;30,1,0))</formula>
    </cfRule>
    <cfRule type="expression" dxfId="3411" priority="1213">
      <formula>AND(IF($Q53=3,1,0),IF($X53&lt;30,1,0))</formula>
    </cfRule>
    <cfRule type="expression" dxfId="3410" priority="1214">
      <formula>AND(IF($Q53=3,1,IF($Q53=4,1,0)),IF($F53&lt;=85,1,0))</formula>
    </cfRule>
  </conditionalFormatting>
  <conditionalFormatting sqref="AI53">
    <cfRule type="expression" dxfId="3409" priority="1207">
      <formula>AND(IF(OR($Q53=1,$Q53=2),1,0),IF($X53&lt;=20,1,0))</formula>
    </cfRule>
    <cfRule type="expression" dxfId="3408" priority="1208">
      <formula>AND(IF($Q53=2,1,0),IF($X53&lt;30,1,0))</formula>
    </cfRule>
    <cfRule type="expression" dxfId="3407" priority="1209">
      <formula>AND(IF($Q53=3,1,0),IF($X53&lt;30,1,0))</formula>
    </cfRule>
    <cfRule type="expression" dxfId="3406" priority="1210">
      <formula>AND(IF($Q53=3,1,IF($Q53=4,1,0)),IF($F53&lt;=85,1,0))</formula>
    </cfRule>
  </conditionalFormatting>
  <conditionalFormatting sqref="AV54">
    <cfRule type="expression" dxfId="3405" priority="1205">
      <formula>AV54="X"</formula>
    </cfRule>
    <cfRule type="expression" dxfId="3404" priority="1206">
      <formula>AV54="후보"</formula>
    </cfRule>
  </conditionalFormatting>
  <conditionalFormatting sqref="AC54 N54">
    <cfRule type="cellIs" dxfId="3403" priority="1202" operator="greaterThan">
      <formula>0.9</formula>
    </cfRule>
    <cfRule type="cellIs" dxfId="3402" priority="1203" operator="greaterThan">
      <formula>0.85</formula>
    </cfRule>
  </conditionalFormatting>
  <conditionalFormatting sqref="AV55">
    <cfRule type="expression" dxfId="3401" priority="1200">
      <formula>AV55="X"</formula>
    </cfRule>
    <cfRule type="expression" dxfId="3400" priority="1201">
      <formula>AV55="후보"</formula>
    </cfRule>
  </conditionalFormatting>
  <conditionalFormatting sqref="AC55">
    <cfRule type="cellIs" dxfId="3399" priority="1197" operator="greaterThan">
      <formula>0.9</formula>
    </cfRule>
    <cfRule type="cellIs" dxfId="3398" priority="1198" operator="greaterThan">
      <formula>0.85</formula>
    </cfRule>
  </conditionalFormatting>
  <conditionalFormatting sqref="N55">
    <cfRule type="cellIs" dxfId="3397" priority="1195" operator="greaterThan">
      <formula>0.9</formula>
    </cfRule>
    <cfRule type="cellIs" dxfId="3396" priority="1196" operator="greaterThan">
      <formula>0.85</formula>
    </cfRule>
  </conditionalFormatting>
  <conditionalFormatting sqref="E55">
    <cfRule type="expression" dxfId="3395" priority="1191">
      <formula>AND(IF(OR($Q55=1,$Q55=2),1,0),IF($X55&lt;=20,1,0))</formula>
    </cfRule>
    <cfRule type="expression" dxfId="3394" priority="1192">
      <formula>AND(IF($Q55=2,1,0),IF($X55&lt;30,1,0))</formula>
    </cfRule>
    <cfRule type="expression" dxfId="3393" priority="1193">
      <formula>AND(IF($Q55=3,1,0),IF($X55&lt;30,1,0))</formula>
    </cfRule>
    <cfRule type="expression" dxfId="3392" priority="1194">
      <formula>AND(IF($Q55=3,1,IF($Q55=4,1,0)),IF($F55&lt;=85,1,0))</formula>
    </cfRule>
  </conditionalFormatting>
  <conditionalFormatting sqref="X55">
    <cfRule type="expression" dxfId="3391" priority="1187">
      <formula>AND(IF(OR($Q55=1,$Q55=2),1,0),IF($X55&lt;=20,1,0))</formula>
    </cfRule>
    <cfRule type="expression" dxfId="3390" priority="1188">
      <formula>AND(IF($Q55=2,1,0),IF($X55&lt;30,1,0))</formula>
    </cfRule>
    <cfRule type="expression" dxfId="3389" priority="1189">
      <formula>AND(IF($Q55=3,1,0),IF($X55&lt;30,1,0))</formula>
    </cfRule>
    <cfRule type="expression" dxfId="3388" priority="1190">
      <formula>AND(IF($Q55=3,1,IF($Q55=4,1,0)),IF($F55&lt;=85,1,0))</formula>
    </cfRule>
  </conditionalFormatting>
  <conditionalFormatting sqref="AI55">
    <cfRule type="expression" dxfId="3387" priority="1183">
      <formula>AND(IF(OR($Q55=1,$Q55=2),1,0),IF($X55&lt;=20,1,0))</formula>
    </cfRule>
    <cfRule type="expression" dxfId="3386" priority="1184">
      <formula>AND(IF($Q55=2,1,0),IF($X55&lt;30,1,0))</formula>
    </cfRule>
    <cfRule type="expression" dxfId="3385" priority="1185">
      <formula>AND(IF($Q55=3,1,0),IF($X55&lt;30,1,0))</formula>
    </cfRule>
    <cfRule type="expression" dxfId="3384" priority="1186">
      <formula>AND(IF($Q55=3,1,IF($Q55=4,1,0)),IF($F55&lt;=85,1,0))</formula>
    </cfRule>
  </conditionalFormatting>
  <conditionalFormatting sqref="AV56">
    <cfRule type="expression" dxfId="3383" priority="1181">
      <formula>AV56="X"</formula>
    </cfRule>
    <cfRule type="expression" dxfId="3382" priority="1182">
      <formula>AV56="후보"</formula>
    </cfRule>
  </conditionalFormatting>
  <conditionalFormatting sqref="AC56">
    <cfRule type="cellIs" dxfId="3381" priority="1178" operator="greaterThan">
      <formula>0.9</formula>
    </cfRule>
    <cfRule type="cellIs" dxfId="3380" priority="1179" operator="greaterThan">
      <formula>0.85</formula>
    </cfRule>
  </conditionalFormatting>
  <conditionalFormatting sqref="N56">
    <cfRule type="cellIs" dxfId="3379" priority="1176" operator="greaterThan">
      <formula>0.9</formula>
    </cfRule>
    <cfRule type="cellIs" dxfId="3378" priority="1177" operator="greaterThan">
      <formula>0.85</formula>
    </cfRule>
  </conditionalFormatting>
  <conditionalFormatting sqref="E56">
    <cfRule type="expression" dxfId="3377" priority="1172">
      <formula>AND(IF(OR($Q56=1,$Q56=2),1,0),IF($X56&lt;=20,1,0))</formula>
    </cfRule>
    <cfRule type="expression" dxfId="3376" priority="1173">
      <formula>AND(IF($Q56=2,1,0),IF($X56&lt;30,1,0))</formula>
    </cfRule>
    <cfRule type="expression" dxfId="3375" priority="1174">
      <formula>AND(IF($Q56=3,1,0),IF($X56&lt;30,1,0))</formula>
    </cfRule>
    <cfRule type="expression" dxfId="3374" priority="1175">
      <formula>AND(IF($Q56=3,1,IF($Q56=4,1,0)),IF($F56&lt;=85,1,0))</formula>
    </cfRule>
  </conditionalFormatting>
  <conditionalFormatting sqref="X56">
    <cfRule type="expression" dxfId="3373" priority="1168">
      <formula>AND(IF(OR($Q56=1,$Q56=2),1,0),IF($X56&lt;=20,1,0))</formula>
    </cfRule>
    <cfRule type="expression" dxfId="3372" priority="1169">
      <formula>AND(IF($Q56=2,1,0),IF($X56&lt;30,1,0))</formula>
    </cfRule>
    <cfRule type="expression" dxfId="3371" priority="1170">
      <formula>AND(IF($Q56=3,1,0),IF($X56&lt;30,1,0))</formula>
    </cfRule>
    <cfRule type="expression" dxfId="3370" priority="1171">
      <formula>AND(IF($Q56=3,1,IF($Q56=4,1,0)),IF($F56&lt;=85,1,0))</formula>
    </cfRule>
  </conditionalFormatting>
  <conditionalFormatting sqref="AI56">
    <cfRule type="expression" dxfId="3369" priority="1164">
      <formula>AND(IF(OR($Q56=1,$Q56=2),1,0),IF($X56&lt;=20,1,0))</formula>
    </cfRule>
    <cfRule type="expression" dxfId="3368" priority="1165">
      <formula>AND(IF($Q56=2,1,0),IF($X56&lt;30,1,0))</formula>
    </cfRule>
    <cfRule type="expression" dxfId="3367" priority="1166">
      <formula>AND(IF($Q56=3,1,0),IF($X56&lt;30,1,0))</formula>
    </cfRule>
    <cfRule type="expression" dxfId="3366" priority="1167">
      <formula>AND(IF($Q56=3,1,IF($Q56=4,1,0)),IF($F56&lt;=85,1,0))</formula>
    </cfRule>
  </conditionalFormatting>
  <conditionalFormatting sqref="AV57">
    <cfRule type="expression" dxfId="3365" priority="1162">
      <formula>AV57="X"</formula>
    </cfRule>
    <cfRule type="expression" dxfId="3364" priority="1163">
      <formula>AV57="후보"</formula>
    </cfRule>
  </conditionalFormatting>
  <conditionalFormatting sqref="AC57 N57">
    <cfRule type="cellIs" dxfId="3363" priority="1159" operator="greaterThan">
      <formula>0.9</formula>
    </cfRule>
    <cfRule type="cellIs" dxfId="3362" priority="1160" operator="greaterThan">
      <formula>0.85</formula>
    </cfRule>
  </conditionalFormatting>
  <conditionalFormatting sqref="AV58">
    <cfRule type="expression" dxfId="3361" priority="1157">
      <formula>AV58="X"</formula>
    </cfRule>
    <cfRule type="expression" dxfId="3360" priority="1158">
      <formula>AV58="후보"</formula>
    </cfRule>
  </conditionalFormatting>
  <conditionalFormatting sqref="AC58">
    <cfRule type="cellIs" dxfId="3359" priority="1154" operator="greaterThan">
      <formula>0.9</formula>
    </cfRule>
    <cfRule type="cellIs" dxfId="3358" priority="1155" operator="greaterThan">
      <formula>0.85</formula>
    </cfRule>
  </conditionalFormatting>
  <conditionalFormatting sqref="N58">
    <cfRule type="cellIs" dxfId="3357" priority="1152" operator="greaterThan">
      <formula>0.9</formula>
    </cfRule>
    <cfRule type="cellIs" dxfId="3356" priority="1153" operator="greaterThan">
      <formula>0.85</formula>
    </cfRule>
  </conditionalFormatting>
  <conditionalFormatting sqref="E58">
    <cfRule type="expression" dxfId="3355" priority="1148">
      <formula>AND(IF(OR($Q58=1,$Q58=2),1,0),IF($X58&lt;=20,1,0))</formula>
    </cfRule>
    <cfRule type="expression" dxfId="3354" priority="1149">
      <formula>AND(IF($Q58=2,1,0),IF($X58&lt;30,1,0))</formula>
    </cfRule>
    <cfRule type="expression" dxfId="3353" priority="1150">
      <formula>AND(IF($Q58=3,1,0),IF($X58&lt;30,1,0))</formula>
    </cfRule>
    <cfRule type="expression" dxfId="3352" priority="1151">
      <formula>AND(IF($Q58=3,1,IF($Q58=4,1,0)),IF($F58&lt;=85,1,0))</formula>
    </cfRule>
  </conditionalFormatting>
  <conditionalFormatting sqref="X58">
    <cfRule type="expression" dxfId="3351" priority="1144">
      <formula>AND(IF(OR($Q58=1,$Q58=2),1,0),IF($X58&lt;=20,1,0))</formula>
    </cfRule>
    <cfRule type="expression" dxfId="3350" priority="1145">
      <formula>AND(IF($Q58=2,1,0),IF($X58&lt;30,1,0))</formula>
    </cfRule>
    <cfRule type="expression" dxfId="3349" priority="1146">
      <formula>AND(IF($Q58=3,1,0),IF($X58&lt;30,1,0))</formula>
    </cfRule>
    <cfRule type="expression" dxfId="3348" priority="1147">
      <formula>AND(IF($Q58=3,1,IF($Q58=4,1,0)),IF($F58&lt;=85,1,0))</formula>
    </cfRule>
  </conditionalFormatting>
  <conditionalFormatting sqref="AI58">
    <cfRule type="expression" dxfId="3347" priority="1140">
      <formula>AND(IF(OR($Q58=1,$Q58=2),1,0),IF($X58&lt;=20,1,0))</formula>
    </cfRule>
    <cfRule type="expression" dxfId="3346" priority="1141">
      <formula>AND(IF($Q58=2,1,0),IF($X58&lt;30,1,0))</formula>
    </cfRule>
    <cfRule type="expression" dxfId="3345" priority="1142">
      <formula>AND(IF($Q58=3,1,0),IF($X58&lt;30,1,0))</formula>
    </cfRule>
    <cfRule type="expression" dxfId="3344" priority="1143">
      <formula>AND(IF($Q58=3,1,IF($Q58=4,1,0)),IF($F58&lt;=85,1,0))</formula>
    </cfRule>
  </conditionalFormatting>
  <conditionalFormatting sqref="AV59">
    <cfRule type="expression" dxfId="3343" priority="1138">
      <formula>AV59="X"</formula>
    </cfRule>
    <cfRule type="expression" dxfId="3342" priority="1139">
      <formula>AV59="후보"</formula>
    </cfRule>
  </conditionalFormatting>
  <conditionalFormatting sqref="AC59 N59">
    <cfRule type="cellIs" dxfId="3341" priority="1135" operator="greaterThan">
      <formula>0.9</formula>
    </cfRule>
    <cfRule type="cellIs" dxfId="3340" priority="1136" operator="greaterThan">
      <formula>0.85</formula>
    </cfRule>
  </conditionalFormatting>
  <conditionalFormatting sqref="AV60">
    <cfRule type="expression" dxfId="3339" priority="1133">
      <formula>AV60="X"</formula>
    </cfRule>
    <cfRule type="expression" dxfId="3338" priority="1134">
      <formula>AV60="후보"</formula>
    </cfRule>
  </conditionalFormatting>
  <conditionalFormatting sqref="AC60">
    <cfRule type="cellIs" dxfId="3337" priority="1130" operator="greaterThan">
      <formula>0.9</formula>
    </cfRule>
    <cfRule type="cellIs" dxfId="3336" priority="1131" operator="greaterThan">
      <formula>0.85</formula>
    </cfRule>
  </conditionalFormatting>
  <conditionalFormatting sqref="N60">
    <cfRule type="cellIs" dxfId="3335" priority="1128" operator="greaterThan">
      <formula>0.9</formula>
    </cfRule>
    <cfRule type="cellIs" dxfId="3334" priority="1129" operator="greaterThan">
      <formula>0.85</formula>
    </cfRule>
  </conditionalFormatting>
  <conditionalFormatting sqref="E60">
    <cfRule type="expression" dxfId="3333" priority="1124">
      <formula>AND(IF(OR($Q60=1,$Q60=2),1,0),IF($X60&lt;=20,1,0))</formula>
    </cfRule>
    <cfRule type="expression" dxfId="3332" priority="1125">
      <formula>AND(IF($Q60=2,1,0),IF($X60&lt;30,1,0))</formula>
    </cfRule>
    <cfRule type="expression" dxfId="3331" priority="1126">
      <formula>AND(IF($Q60=3,1,0),IF($X60&lt;30,1,0))</formula>
    </cfRule>
    <cfRule type="expression" dxfId="3330" priority="1127">
      <formula>AND(IF($Q60=3,1,IF($Q60=4,1,0)),IF($F60&lt;=85,1,0))</formula>
    </cfRule>
  </conditionalFormatting>
  <conditionalFormatting sqref="X60">
    <cfRule type="expression" dxfId="3329" priority="1120">
      <formula>AND(IF(OR($Q60=1,$Q60=2),1,0),IF($X60&lt;=20,1,0))</formula>
    </cfRule>
    <cfRule type="expression" dxfId="3328" priority="1121">
      <formula>AND(IF($Q60=2,1,0),IF($X60&lt;30,1,0))</formula>
    </cfRule>
    <cfRule type="expression" dxfId="3327" priority="1122">
      <formula>AND(IF($Q60=3,1,0),IF($X60&lt;30,1,0))</formula>
    </cfRule>
    <cfRule type="expression" dxfId="3326" priority="1123">
      <formula>AND(IF($Q60=3,1,IF($Q60=4,1,0)),IF($F60&lt;=85,1,0))</formula>
    </cfRule>
  </conditionalFormatting>
  <conditionalFormatting sqref="AI60">
    <cfRule type="expression" dxfId="3325" priority="1116">
      <formula>AND(IF(OR($Q60=1,$Q60=2),1,0),IF($X60&lt;=20,1,0))</formula>
    </cfRule>
    <cfRule type="expression" dxfId="3324" priority="1117">
      <formula>AND(IF($Q60=2,1,0),IF($X60&lt;30,1,0))</formula>
    </cfRule>
    <cfRule type="expression" dxfId="3323" priority="1118">
      <formula>AND(IF($Q60=3,1,0),IF($X60&lt;30,1,0))</formula>
    </cfRule>
    <cfRule type="expression" dxfId="3322" priority="1119">
      <formula>AND(IF($Q60=3,1,IF($Q60=4,1,0)),IF($F60&lt;=85,1,0))</formula>
    </cfRule>
  </conditionalFormatting>
  <conditionalFormatting sqref="AV61">
    <cfRule type="expression" dxfId="3321" priority="1114">
      <formula>AV61="X"</formula>
    </cfRule>
    <cfRule type="expression" dxfId="3320" priority="1115">
      <formula>AV61="후보"</formula>
    </cfRule>
  </conditionalFormatting>
  <conditionalFormatting sqref="AC61">
    <cfRule type="cellIs" dxfId="3319" priority="1111" operator="greaterThan">
      <formula>0.9</formula>
    </cfRule>
    <cfRule type="cellIs" dxfId="3318" priority="1112" operator="greaterThan">
      <formula>0.85</formula>
    </cfRule>
  </conditionalFormatting>
  <conditionalFormatting sqref="N61">
    <cfRule type="cellIs" dxfId="3317" priority="1109" operator="greaterThan">
      <formula>0.9</formula>
    </cfRule>
    <cfRule type="cellIs" dxfId="3316" priority="1110" operator="greaterThan">
      <formula>0.85</formula>
    </cfRule>
  </conditionalFormatting>
  <conditionalFormatting sqref="E61">
    <cfRule type="expression" dxfId="3315" priority="1105">
      <formula>AND(IF(OR($Q61=1,$Q61=2),1,0),IF($X61&lt;=20,1,0))</formula>
    </cfRule>
    <cfRule type="expression" dxfId="3314" priority="1106">
      <formula>AND(IF($Q61=2,1,0),IF($X61&lt;30,1,0))</formula>
    </cfRule>
    <cfRule type="expression" dxfId="3313" priority="1107">
      <formula>AND(IF($Q61=3,1,0),IF($X61&lt;30,1,0))</formula>
    </cfRule>
    <cfRule type="expression" dxfId="3312" priority="1108">
      <formula>AND(IF($Q61=3,1,IF($Q61=4,1,0)),IF($F61&lt;=85,1,0))</formula>
    </cfRule>
  </conditionalFormatting>
  <conditionalFormatting sqref="X61">
    <cfRule type="expression" dxfId="3311" priority="1101">
      <formula>AND(IF(OR($Q61=1,$Q61=2),1,0),IF($X61&lt;=20,1,0))</formula>
    </cfRule>
    <cfRule type="expression" dxfId="3310" priority="1102">
      <formula>AND(IF($Q61=2,1,0),IF($X61&lt;30,1,0))</formula>
    </cfRule>
    <cfRule type="expression" dxfId="3309" priority="1103">
      <formula>AND(IF($Q61=3,1,0),IF($X61&lt;30,1,0))</formula>
    </cfRule>
    <cfRule type="expression" dxfId="3308" priority="1104">
      <formula>AND(IF($Q61=3,1,IF($Q61=4,1,0)),IF($F61&lt;=85,1,0))</formula>
    </cfRule>
  </conditionalFormatting>
  <conditionalFormatting sqref="AI61">
    <cfRule type="expression" dxfId="3307" priority="1097">
      <formula>AND(IF(OR($Q61=1,$Q61=2),1,0),IF($X61&lt;=20,1,0))</formula>
    </cfRule>
    <cfRule type="expression" dxfId="3306" priority="1098">
      <formula>AND(IF($Q61=2,1,0),IF($X61&lt;30,1,0))</formula>
    </cfRule>
    <cfRule type="expression" dxfId="3305" priority="1099">
      <formula>AND(IF($Q61=3,1,0),IF($X61&lt;30,1,0))</formula>
    </cfRule>
    <cfRule type="expression" dxfId="3304" priority="1100">
      <formula>AND(IF($Q61=3,1,IF($Q61=4,1,0)),IF($F61&lt;=85,1,0))</formula>
    </cfRule>
  </conditionalFormatting>
  <conditionalFormatting sqref="AV62">
    <cfRule type="expression" dxfId="3303" priority="1095">
      <formula>AV62="X"</formula>
    </cfRule>
    <cfRule type="expression" dxfId="3302" priority="1096">
      <formula>AV62="후보"</formula>
    </cfRule>
  </conditionalFormatting>
  <conditionalFormatting sqref="AC62">
    <cfRule type="cellIs" dxfId="3301" priority="1092" operator="greaterThan">
      <formula>0.9</formula>
    </cfRule>
    <cfRule type="cellIs" dxfId="3300" priority="1093" operator="greaterThan">
      <formula>0.85</formula>
    </cfRule>
  </conditionalFormatting>
  <conditionalFormatting sqref="N62">
    <cfRule type="cellIs" dxfId="3299" priority="1090" operator="greaterThan">
      <formula>0.9</formula>
    </cfRule>
    <cfRule type="cellIs" dxfId="3298" priority="1091" operator="greaterThan">
      <formula>0.85</formula>
    </cfRule>
  </conditionalFormatting>
  <conditionalFormatting sqref="E62">
    <cfRule type="expression" dxfId="3297" priority="1086">
      <formula>AND(IF(OR($Q62=1,$Q62=2),1,0),IF($X62&lt;=20,1,0))</formula>
    </cfRule>
    <cfRule type="expression" dxfId="3296" priority="1087">
      <formula>AND(IF($Q62=2,1,0),IF($X62&lt;30,1,0))</formula>
    </cfRule>
    <cfRule type="expression" dxfId="3295" priority="1088">
      <formula>AND(IF($Q62=3,1,0),IF($X62&lt;30,1,0))</formula>
    </cfRule>
    <cfRule type="expression" dxfId="3294" priority="1089">
      <formula>AND(IF($Q62=3,1,IF($Q62=4,1,0)),IF($F62&lt;=85,1,0))</formula>
    </cfRule>
  </conditionalFormatting>
  <conditionalFormatting sqref="X62">
    <cfRule type="expression" dxfId="3293" priority="1082">
      <formula>AND(IF(OR($Q62=1,$Q62=2),1,0),IF($X62&lt;=20,1,0))</formula>
    </cfRule>
    <cfRule type="expression" dxfId="3292" priority="1083">
      <formula>AND(IF($Q62=2,1,0),IF($X62&lt;30,1,0))</formula>
    </cfRule>
    <cfRule type="expression" dxfId="3291" priority="1084">
      <formula>AND(IF($Q62=3,1,0),IF($X62&lt;30,1,0))</formula>
    </cfRule>
    <cfRule type="expression" dxfId="3290" priority="1085">
      <formula>AND(IF($Q62=3,1,IF($Q62=4,1,0)),IF($F62&lt;=85,1,0))</formula>
    </cfRule>
  </conditionalFormatting>
  <conditionalFormatting sqref="AI62">
    <cfRule type="expression" dxfId="3289" priority="1078">
      <formula>AND(IF(OR($Q62=1,$Q62=2),1,0),IF($X62&lt;=20,1,0))</formula>
    </cfRule>
    <cfRule type="expression" dxfId="3288" priority="1079">
      <formula>AND(IF($Q62=2,1,0),IF($X62&lt;30,1,0))</formula>
    </cfRule>
    <cfRule type="expression" dxfId="3287" priority="1080">
      <formula>AND(IF($Q62=3,1,0),IF($X62&lt;30,1,0))</formula>
    </cfRule>
    <cfRule type="expression" dxfId="3286" priority="1081">
      <formula>AND(IF($Q62=3,1,IF($Q62=4,1,0)),IF($F62&lt;=85,1,0))</formula>
    </cfRule>
  </conditionalFormatting>
  <conditionalFormatting sqref="AV63">
    <cfRule type="expression" dxfId="3285" priority="1076">
      <formula>AV63="X"</formula>
    </cfRule>
    <cfRule type="expression" dxfId="3284" priority="1077">
      <formula>AV63="후보"</formula>
    </cfRule>
  </conditionalFormatting>
  <conditionalFormatting sqref="AC63">
    <cfRule type="cellIs" dxfId="3283" priority="1073" operator="greaterThan">
      <formula>0.9</formula>
    </cfRule>
    <cfRule type="cellIs" dxfId="3282" priority="1074" operator="greaterThan">
      <formula>0.85</formula>
    </cfRule>
  </conditionalFormatting>
  <conditionalFormatting sqref="N63">
    <cfRule type="cellIs" dxfId="3281" priority="1071" operator="greaterThan">
      <formula>0.9</formula>
    </cfRule>
    <cfRule type="cellIs" dxfId="3280" priority="1072" operator="greaterThan">
      <formula>0.85</formula>
    </cfRule>
  </conditionalFormatting>
  <conditionalFormatting sqref="E63">
    <cfRule type="expression" dxfId="3279" priority="1067">
      <formula>AND(IF(OR($Q63=1,$Q63=2),1,0),IF($X63&lt;=20,1,0))</formula>
    </cfRule>
    <cfRule type="expression" dxfId="3278" priority="1068">
      <formula>AND(IF($Q63=2,1,0),IF($X63&lt;30,1,0))</formula>
    </cfRule>
    <cfRule type="expression" dxfId="3277" priority="1069">
      <formula>AND(IF($Q63=3,1,0),IF($X63&lt;30,1,0))</formula>
    </cfRule>
    <cfRule type="expression" dxfId="3276" priority="1070">
      <formula>AND(IF($Q63=3,1,IF($Q63=4,1,0)),IF($F63&lt;=85,1,0))</formula>
    </cfRule>
  </conditionalFormatting>
  <conditionalFormatting sqref="X63">
    <cfRule type="expression" dxfId="3275" priority="1063">
      <formula>AND(IF(OR($Q63=1,$Q63=2),1,0),IF($X63&lt;=20,1,0))</formula>
    </cfRule>
    <cfRule type="expression" dxfId="3274" priority="1064">
      <formula>AND(IF($Q63=2,1,0),IF($X63&lt;30,1,0))</formula>
    </cfRule>
    <cfRule type="expression" dxfId="3273" priority="1065">
      <formula>AND(IF($Q63=3,1,0),IF($X63&lt;30,1,0))</formula>
    </cfRule>
    <cfRule type="expression" dxfId="3272" priority="1066">
      <formula>AND(IF($Q63=3,1,IF($Q63=4,1,0)),IF($F63&lt;=85,1,0))</formula>
    </cfRule>
  </conditionalFormatting>
  <conditionalFormatting sqref="AI63">
    <cfRule type="expression" dxfId="3271" priority="1059">
      <formula>AND(IF(OR($Q63=1,$Q63=2),1,0),IF($X63&lt;=20,1,0))</formula>
    </cfRule>
    <cfRule type="expression" dxfId="3270" priority="1060">
      <formula>AND(IF($Q63=2,1,0),IF($X63&lt;30,1,0))</formula>
    </cfRule>
    <cfRule type="expression" dxfId="3269" priority="1061">
      <formula>AND(IF($Q63=3,1,0),IF($X63&lt;30,1,0))</formula>
    </cfRule>
    <cfRule type="expression" dxfId="3268" priority="1062">
      <formula>AND(IF($Q63=3,1,IF($Q63=4,1,0)),IF($F63&lt;=85,1,0))</formula>
    </cfRule>
  </conditionalFormatting>
  <conditionalFormatting sqref="AV64">
    <cfRule type="expression" dxfId="3267" priority="1057">
      <formula>AV64="X"</formula>
    </cfRule>
    <cfRule type="expression" dxfId="3266" priority="1058">
      <formula>AV64="후보"</formula>
    </cfRule>
  </conditionalFormatting>
  <conditionalFormatting sqref="AC64">
    <cfRule type="cellIs" dxfId="3265" priority="1054" operator="greaterThan">
      <formula>0.9</formula>
    </cfRule>
    <cfRule type="cellIs" dxfId="3264" priority="1055" operator="greaterThan">
      <formula>0.85</formula>
    </cfRule>
  </conditionalFormatting>
  <conditionalFormatting sqref="N64">
    <cfRule type="cellIs" dxfId="3263" priority="1052" operator="greaterThan">
      <formula>0.9</formula>
    </cfRule>
    <cfRule type="cellIs" dxfId="3262" priority="1053" operator="greaterThan">
      <formula>0.85</formula>
    </cfRule>
  </conditionalFormatting>
  <conditionalFormatting sqref="E64">
    <cfRule type="expression" dxfId="3261" priority="1048">
      <formula>AND(IF(OR($Q64=1,$Q64=2),1,0),IF($X64&lt;=20,1,0))</formula>
    </cfRule>
    <cfRule type="expression" dxfId="3260" priority="1049">
      <formula>AND(IF($Q64=2,1,0),IF($X64&lt;30,1,0))</formula>
    </cfRule>
    <cfRule type="expression" dxfId="3259" priority="1050">
      <formula>AND(IF($Q64=3,1,0),IF($X64&lt;30,1,0))</formula>
    </cfRule>
    <cfRule type="expression" dxfId="3258" priority="1051">
      <formula>AND(IF($Q64=3,1,IF($Q64=4,1,0)),IF($F64&lt;=85,1,0))</formula>
    </cfRule>
  </conditionalFormatting>
  <conditionalFormatting sqref="X64">
    <cfRule type="expression" dxfId="3257" priority="1044">
      <formula>AND(IF(OR($Q64=1,$Q64=2),1,0),IF($X64&lt;=20,1,0))</formula>
    </cfRule>
    <cfRule type="expression" dxfId="3256" priority="1045">
      <formula>AND(IF($Q64=2,1,0),IF($X64&lt;30,1,0))</formula>
    </cfRule>
    <cfRule type="expression" dxfId="3255" priority="1046">
      <formula>AND(IF($Q64=3,1,0),IF($X64&lt;30,1,0))</formula>
    </cfRule>
    <cfRule type="expression" dxfId="3254" priority="1047">
      <formula>AND(IF($Q64=3,1,IF($Q64=4,1,0)),IF($F64&lt;=85,1,0))</formula>
    </cfRule>
  </conditionalFormatting>
  <conditionalFormatting sqref="AI64">
    <cfRule type="expression" dxfId="3253" priority="1040">
      <formula>AND(IF(OR($Q64=1,$Q64=2),1,0),IF($X64&lt;=20,1,0))</formula>
    </cfRule>
    <cfRule type="expression" dxfId="3252" priority="1041">
      <formula>AND(IF($Q64=2,1,0),IF($X64&lt;30,1,0))</formula>
    </cfRule>
    <cfRule type="expression" dxfId="3251" priority="1042">
      <formula>AND(IF($Q64=3,1,0),IF($X64&lt;30,1,0))</formula>
    </cfRule>
    <cfRule type="expression" dxfId="3250" priority="1043">
      <formula>AND(IF($Q64=3,1,IF($Q64=4,1,0)),IF($F64&lt;=85,1,0))</formula>
    </cfRule>
  </conditionalFormatting>
  <conditionalFormatting sqref="AV65">
    <cfRule type="expression" dxfId="3249" priority="1038">
      <formula>AV65="X"</formula>
    </cfRule>
    <cfRule type="expression" dxfId="3248" priority="1039">
      <formula>AV65="후보"</formula>
    </cfRule>
  </conditionalFormatting>
  <conditionalFormatting sqref="AC65">
    <cfRule type="cellIs" dxfId="3247" priority="1035" operator="greaterThan">
      <formula>0.9</formula>
    </cfRule>
    <cfRule type="cellIs" dxfId="3246" priority="1036" operator="greaterThan">
      <formula>0.85</formula>
    </cfRule>
  </conditionalFormatting>
  <conditionalFormatting sqref="N65">
    <cfRule type="cellIs" dxfId="3245" priority="1033" operator="greaterThan">
      <formula>0.9</formula>
    </cfRule>
    <cfRule type="cellIs" dxfId="3244" priority="1034" operator="greaterThan">
      <formula>0.85</formula>
    </cfRule>
  </conditionalFormatting>
  <conditionalFormatting sqref="E65">
    <cfRule type="expression" dxfId="3243" priority="1029">
      <formula>AND(IF(OR($Q65=1,$Q65=2),1,0),IF($X65&lt;=20,1,0))</formula>
    </cfRule>
    <cfRule type="expression" dxfId="3242" priority="1030">
      <formula>AND(IF($Q65=2,1,0),IF($X65&lt;30,1,0))</formula>
    </cfRule>
    <cfRule type="expression" dxfId="3241" priority="1031">
      <formula>AND(IF($Q65=3,1,0),IF($X65&lt;30,1,0))</formula>
    </cfRule>
    <cfRule type="expression" dxfId="3240" priority="1032">
      <formula>AND(IF($Q65=3,1,IF($Q65=4,1,0)),IF($F65&lt;=85,1,0))</formula>
    </cfRule>
  </conditionalFormatting>
  <conditionalFormatting sqref="X65">
    <cfRule type="expression" dxfId="3239" priority="1025">
      <formula>AND(IF(OR($Q65=1,$Q65=2),1,0),IF($X65&lt;=20,1,0))</formula>
    </cfRule>
    <cfRule type="expression" dxfId="3238" priority="1026">
      <formula>AND(IF($Q65=2,1,0),IF($X65&lt;30,1,0))</formula>
    </cfRule>
    <cfRule type="expression" dxfId="3237" priority="1027">
      <formula>AND(IF($Q65=3,1,0),IF($X65&lt;30,1,0))</formula>
    </cfRule>
    <cfRule type="expression" dxfId="3236" priority="1028">
      <formula>AND(IF($Q65=3,1,IF($Q65=4,1,0)),IF($F65&lt;=85,1,0))</formula>
    </cfRule>
  </conditionalFormatting>
  <conditionalFormatting sqref="AI65">
    <cfRule type="expression" dxfId="3235" priority="1021">
      <formula>AND(IF(OR($Q65=1,$Q65=2),1,0),IF($X65&lt;=20,1,0))</formula>
    </cfRule>
    <cfRule type="expression" dxfId="3234" priority="1022">
      <formula>AND(IF($Q65=2,1,0),IF($X65&lt;30,1,0))</formula>
    </cfRule>
    <cfRule type="expression" dxfId="3233" priority="1023">
      <formula>AND(IF($Q65=3,1,0),IF($X65&lt;30,1,0))</formula>
    </cfRule>
    <cfRule type="expression" dxfId="3232" priority="1024">
      <formula>AND(IF($Q65=3,1,IF($Q65=4,1,0)),IF($F65&lt;=85,1,0))</formula>
    </cfRule>
  </conditionalFormatting>
  <conditionalFormatting sqref="AV66">
    <cfRule type="expression" dxfId="3231" priority="1019">
      <formula>AV66="X"</formula>
    </cfRule>
    <cfRule type="expression" dxfId="3230" priority="1020">
      <formula>AV66="후보"</formula>
    </cfRule>
  </conditionalFormatting>
  <conditionalFormatting sqref="AC66">
    <cfRule type="cellIs" dxfId="3229" priority="1016" operator="greaterThan">
      <formula>0.9</formula>
    </cfRule>
    <cfRule type="cellIs" dxfId="3228" priority="1017" operator="greaterThan">
      <formula>0.85</formula>
    </cfRule>
  </conditionalFormatting>
  <conditionalFormatting sqref="N66">
    <cfRule type="cellIs" dxfId="3227" priority="1014" operator="greaterThan">
      <formula>0.9</formula>
    </cfRule>
    <cfRule type="cellIs" dxfId="3226" priority="1015" operator="greaterThan">
      <formula>0.85</formula>
    </cfRule>
  </conditionalFormatting>
  <conditionalFormatting sqref="E66">
    <cfRule type="expression" dxfId="3225" priority="1010">
      <formula>AND(IF(OR($Q66=1,$Q66=2),1,0),IF($X66&lt;=20,1,0))</formula>
    </cfRule>
    <cfRule type="expression" dxfId="3224" priority="1011">
      <formula>AND(IF($Q66=2,1,0),IF($X66&lt;30,1,0))</formula>
    </cfRule>
    <cfRule type="expression" dxfId="3223" priority="1012">
      <formula>AND(IF($Q66=3,1,0),IF($X66&lt;30,1,0))</formula>
    </cfRule>
    <cfRule type="expression" dxfId="3222" priority="1013">
      <formula>AND(IF($Q66=3,1,IF($Q66=4,1,0)),IF($F66&lt;=85,1,0))</formula>
    </cfRule>
  </conditionalFormatting>
  <conditionalFormatting sqref="X66">
    <cfRule type="expression" dxfId="3221" priority="1006">
      <formula>AND(IF(OR($Q66=1,$Q66=2),1,0),IF($X66&lt;=20,1,0))</formula>
    </cfRule>
    <cfRule type="expression" dxfId="3220" priority="1007">
      <formula>AND(IF($Q66=2,1,0),IF($X66&lt;30,1,0))</formula>
    </cfRule>
    <cfRule type="expression" dxfId="3219" priority="1008">
      <formula>AND(IF($Q66=3,1,0),IF($X66&lt;30,1,0))</formula>
    </cfRule>
    <cfRule type="expression" dxfId="3218" priority="1009">
      <formula>AND(IF($Q66=3,1,IF($Q66=4,1,0)),IF($F66&lt;=85,1,0))</formula>
    </cfRule>
  </conditionalFormatting>
  <conditionalFormatting sqref="AI66">
    <cfRule type="expression" dxfId="3217" priority="1002">
      <formula>AND(IF(OR($Q66=1,$Q66=2),1,0),IF($X66&lt;=20,1,0))</formula>
    </cfRule>
    <cfRule type="expression" dxfId="3216" priority="1003">
      <formula>AND(IF($Q66=2,1,0),IF($X66&lt;30,1,0))</formula>
    </cfRule>
    <cfRule type="expression" dxfId="3215" priority="1004">
      <formula>AND(IF($Q66=3,1,0),IF($X66&lt;30,1,0))</formula>
    </cfRule>
    <cfRule type="expression" dxfId="3214" priority="1005">
      <formula>AND(IF($Q66=3,1,IF($Q66=4,1,0)),IF($F66&lt;=85,1,0))</formula>
    </cfRule>
  </conditionalFormatting>
  <conditionalFormatting sqref="AV67">
    <cfRule type="expression" dxfId="3213" priority="1000">
      <formula>AV67="X"</formula>
    </cfRule>
    <cfRule type="expression" dxfId="3212" priority="1001">
      <formula>AV67="후보"</formula>
    </cfRule>
  </conditionalFormatting>
  <conditionalFormatting sqref="AC67 N67">
    <cfRule type="cellIs" dxfId="3211" priority="997" operator="greaterThan">
      <formula>0.9</formula>
    </cfRule>
    <cfRule type="cellIs" dxfId="3210" priority="998" operator="greaterThan">
      <formula>0.85</formula>
    </cfRule>
  </conditionalFormatting>
  <conditionalFormatting sqref="AV68">
    <cfRule type="expression" dxfId="3209" priority="995">
      <formula>AV68="X"</formula>
    </cfRule>
    <cfRule type="expression" dxfId="3208" priority="996">
      <formula>AV68="후보"</formula>
    </cfRule>
  </conditionalFormatting>
  <conditionalFormatting sqref="AC68">
    <cfRule type="cellIs" dxfId="3207" priority="992" operator="greaterThan">
      <formula>0.9</formula>
    </cfRule>
    <cfRule type="cellIs" dxfId="3206" priority="993" operator="greaterThan">
      <formula>0.85</formula>
    </cfRule>
  </conditionalFormatting>
  <conditionalFormatting sqref="N68">
    <cfRule type="cellIs" dxfId="3205" priority="990" operator="greaterThan">
      <formula>0.9</formula>
    </cfRule>
    <cfRule type="cellIs" dxfId="3204" priority="991" operator="greaterThan">
      <formula>0.85</formula>
    </cfRule>
  </conditionalFormatting>
  <conditionalFormatting sqref="E68">
    <cfRule type="expression" dxfId="3203" priority="986">
      <formula>AND(IF(OR($Q68=1,$Q68=2),1,0),IF($X68&lt;=20,1,0))</formula>
    </cfRule>
    <cfRule type="expression" dxfId="3202" priority="987">
      <formula>AND(IF($Q68=2,1,0),IF($X68&lt;30,1,0))</formula>
    </cfRule>
    <cfRule type="expression" dxfId="3201" priority="988">
      <formula>AND(IF($Q68=3,1,0),IF($X68&lt;30,1,0))</formula>
    </cfRule>
    <cfRule type="expression" dxfId="3200" priority="989">
      <formula>AND(IF($Q68=3,1,IF($Q68=4,1,0)),IF($F68&lt;=85,1,0))</formula>
    </cfRule>
  </conditionalFormatting>
  <conditionalFormatting sqref="X68">
    <cfRule type="expression" dxfId="3199" priority="982">
      <formula>AND(IF(OR($Q68=1,$Q68=2),1,0),IF($X68&lt;=20,1,0))</formula>
    </cfRule>
    <cfRule type="expression" dxfId="3198" priority="983">
      <formula>AND(IF($Q68=2,1,0),IF($X68&lt;30,1,0))</formula>
    </cfRule>
    <cfRule type="expression" dxfId="3197" priority="984">
      <formula>AND(IF($Q68=3,1,0),IF($X68&lt;30,1,0))</formula>
    </cfRule>
    <cfRule type="expression" dxfId="3196" priority="985">
      <formula>AND(IF($Q68=3,1,IF($Q68=4,1,0)),IF($F68&lt;=85,1,0))</formula>
    </cfRule>
  </conditionalFormatting>
  <conditionalFormatting sqref="AI68">
    <cfRule type="expression" dxfId="3195" priority="978">
      <formula>AND(IF(OR($Q68=1,$Q68=2),1,0),IF($X68&lt;=20,1,0))</formula>
    </cfRule>
    <cfRule type="expression" dxfId="3194" priority="979">
      <formula>AND(IF($Q68=2,1,0),IF($X68&lt;30,1,0))</formula>
    </cfRule>
    <cfRule type="expression" dxfId="3193" priority="980">
      <formula>AND(IF($Q68=3,1,0),IF($X68&lt;30,1,0))</formula>
    </cfRule>
    <cfRule type="expression" dxfId="3192" priority="981">
      <formula>AND(IF($Q68=3,1,IF($Q68=4,1,0)),IF($F68&lt;=85,1,0))</formula>
    </cfRule>
  </conditionalFormatting>
  <conditionalFormatting sqref="AV69">
    <cfRule type="expression" dxfId="3191" priority="976">
      <formula>AV69="X"</formula>
    </cfRule>
    <cfRule type="expression" dxfId="3190" priority="977">
      <formula>AV69="후보"</formula>
    </cfRule>
  </conditionalFormatting>
  <conditionalFormatting sqref="AC69">
    <cfRule type="cellIs" dxfId="3189" priority="973" operator="greaterThan">
      <formula>0.9</formula>
    </cfRule>
    <cfRule type="cellIs" dxfId="3188" priority="974" operator="greaterThan">
      <formula>0.85</formula>
    </cfRule>
  </conditionalFormatting>
  <conditionalFormatting sqref="N69">
    <cfRule type="cellIs" dxfId="3187" priority="971" operator="greaterThan">
      <formula>0.9</formula>
    </cfRule>
    <cfRule type="cellIs" dxfId="3186" priority="972" operator="greaterThan">
      <formula>0.85</formula>
    </cfRule>
  </conditionalFormatting>
  <conditionalFormatting sqref="E69">
    <cfRule type="expression" dxfId="3185" priority="967">
      <formula>AND(IF(OR($Q69=1,$Q69=2),1,0),IF($X69&lt;=20,1,0))</formula>
    </cfRule>
    <cfRule type="expression" dxfId="3184" priority="968">
      <formula>AND(IF($Q69=2,1,0),IF($X69&lt;30,1,0))</formula>
    </cfRule>
    <cfRule type="expression" dxfId="3183" priority="969">
      <formula>AND(IF($Q69=3,1,0),IF($X69&lt;30,1,0))</formula>
    </cfRule>
    <cfRule type="expression" dxfId="3182" priority="970">
      <formula>AND(IF($Q69=3,1,IF($Q69=4,1,0)),IF($F69&lt;=85,1,0))</formula>
    </cfRule>
  </conditionalFormatting>
  <conditionalFormatting sqref="X69">
    <cfRule type="expression" dxfId="3181" priority="963">
      <formula>AND(IF(OR($Q69=1,$Q69=2),1,0),IF($X69&lt;=20,1,0))</formula>
    </cfRule>
    <cfRule type="expression" dxfId="3180" priority="964">
      <formula>AND(IF($Q69=2,1,0),IF($X69&lt;30,1,0))</formula>
    </cfRule>
    <cfRule type="expression" dxfId="3179" priority="965">
      <formula>AND(IF($Q69=3,1,0),IF($X69&lt;30,1,0))</formula>
    </cfRule>
    <cfRule type="expression" dxfId="3178" priority="966">
      <formula>AND(IF($Q69=3,1,IF($Q69=4,1,0)),IF($F69&lt;=85,1,0))</formula>
    </cfRule>
  </conditionalFormatting>
  <conditionalFormatting sqref="AI69">
    <cfRule type="expression" dxfId="3177" priority="959">
      <formula>AND(IF(OR($Q69=1,$Q69=2),1,0),IF($X69&lt;=20,1,0))</formula>
    </cfRule>
    <cfRule type="expression" dxfId="3176" priority="960">
      <formula>AND(IF($Q69=2,1,0),IF($X69&lt;30,1,0))</formula>
    </cfRule>
    <cfRule type="expression" dxfId="3175" priority="961">
      <formula>AND(IF($Q69=3,1,0),IF($X69&lt;30,1,0))</formula>
    </cfRule>
    <cfRule type="expression" dxfId="3174" priority="962">
      <formula>AND(IF($Q69=3,1,IF($Q69=4,1,0)),IF($F69&lt;=85,1,0))</formula>
    </cfRule>
  </conditionalFormatting>
  <conditionalFormatting sqref="AV70">
    <cfRule type="expression" dxfId="3173" priority="957">
      <formula>AV70="X"</formula>
    </cfRule>
    <cfRule type="expression" dxfId="3172" priority="958">
      <formula>AV70="후보"</formula>
    </cfRule>
  </conditionalFormatting>
  <conditionalFormatting sqref="AC70">
    <cfRule type="cellIs" dxfId="3171" priority="954" operator="greaterThan">
      <formula>0.9</formula>
    </cfRule>
    <cfRule type="cellIs" dxfId="3170" priority="955" operator="greaterThan">
      <formula>0.85</formula>
    </cfRule>
  </conditionalFormatting>
  <conditionalFormatting sqref="N70">
    <cfRule type="cellIs" dxfId="3169" priority="952" operator="greaterThan">
      <formula>0.9</formula>
    </cfRule>
    <cfRule type="cellIs" dxfId="3168" priority="953" operator="greaterThan">
      <formula>0.85</formula>
    </cfRule>
  </conditionalFormatting>
  <conditionalFormatting sqref="E70">
    <cfRule type="expression" dxfId="3167" priority="948">
      <formula>AND(IF(OR($Q70=1,$Q70=2),1,0),IF($X70&lt;=20,1,0))</formula>
    </cfRule>
    <cfRule type="expression" dxfId="3166" priority="949">
      <formula>AND(IF($Q70=2,1,0),IF($X70&lt;30,1,0))</formula>
    </cfRule>
    <cfRule type="expression" dxfId="3165" priority="950">
      <formula>AND(IF($Q70=3,1,0),IF($X70&lt;30,1,0))</formula>
    </cfRule>
    <cfRule type="expression" dxfId="3164" priority="951">
      <formula>AND(IF($Q70=3,1,IF($Q70=4,1,0)),IF($F70&lt;=85,1,0))</formula>
    </cfRule>
  </conditionalFormatting>
  <conditionalFormatting sqref="X70">
    <cfRule type="expression" dxfId="3163" priority="944">
      <formula>AND(IF(OR($Q70=1,$Q70=2),1,0),IF($X70&lt;=20,1,0))</formula>
    </cfRule>
    <cfRule type="expression" dxfId="3162" priority="945">
      <formula>AND(IF($Q70=2,1,0),IF($X70&lt;30,1,0))</formula>
    </cfRule>
    <cfRule type="expression" dxfId="3161" priority="946">
      <formula>AND(IF($Q70=3,1,0),IF($X70&lt;30,1,0))</formula>
    </cfRule>
    <cfRule type="expression" dxfId="3160" priority="947">
      <formula>AND(IF($Q70=3,1,IF($Q70=4,1,0)),IF($F70&lt;=85,1,0))</formula>
    </cfRule>
  </conditionalFormatting>
  <conditionalFormatting sqref="AI70">
    <cfRule type="expression" dxfId="3159" priority="940">
      <formula>AND(IF(OR($Q70=1,$Q70=2),1,0),IF($X70&lt;=20,1,0))</formula>
    </cfRule>
    <cfRule type="expression" dxfId="3158" priority="941">
      <formula>AND(IF($Q70=2,1,0),IF($X70&lt;30,1,0))</formula>
    </cfRule>
    <cfRule type="expression" dxfId="3157" priority="942">
      <formula>AND(IF($Q70=3,1,0),IF($X70&lt;30,1,0))</formula>
    </cfRule>
    <cfRule type="expression" dxfId="3156" priority="943">
      <formula>AND(IF($Q70=3,1,IF($Q70=4,1,0)),IF($F70&lt;=85,1,0))</formula>
    </cfRule>
  </conditionalFormatting>
  <conditionalFormatting sqref="AV71">
    <cfRule type="expression" dxfId="3155" priority="938">
      <formula>AV71="X"</formula>
    </cfRule>
    <cfRule type="expression" dxfId="3154" priority="939">
      <formula>AV71="후보"</formula>
    </cfRule>
  </conditionalFormatting>
  <conditionalFormatting sqref="AC71">
    <cfRule type="cellIs" dxfId="3153" priority="935" operator="greaterThan">
      <formula>0.9</formula>
    </cfRule>
    <cfRule type="cellIs" dxfId="3152" priority="936" operator="greaterThan">
      <formula>0.85</formula>
    </cfRule>
  </conditionalFormatting>
  <conditionalFormatting sqref="N71">
    <cfRule type="cellIs" dxfId="3151" priority="933" operator="greaterThan">
      <formula>0.9</formula>
    </cfRule>
    <cfRule type="cellIs" dxfId="3150" priority="934" operator="greaterThan">
      <formula>0.85</formula>
    </cfRule>
  </conditionalFormatting>
  <conditionalFormatting sqref="E71">
    <cfRule type="expression" dxfId="3149" priority="929">
      <formula>AND(IF(OR($Q71=1,$Q71=2),1,0),IF($X71&lt;=20,1,0))</formula>
    </cfRule>
    <cfRule type="expression" dxfId="3148" priority="930">
      <formula>AND(IF($Q71=2,1,0),IF($X71&lt;30,1,0))</formula>
    </cfRule>
    <cfRule type="expression" dxfId="3147" priority="931">
      <formula>AND(IF($Q71=3,1,0),IF($X71&lt;30,1,0))</formula>
    </cfRule>
    <cfRule type="expression" dxfId="3146" priority="932">
      <formula>AND(IF($Q71=3,1,IF($Q71=4,1,0)),IF($F71&lt;=85,1,0))</formula>
    </cfRule>
  </conditionalFormatting>
  <conditionalFormatting sqref="X71">
    <cfRule type="expression" dxfId="3145" priority="925">
      <formula>AND(IF(OR($Q71=1,$Q71=2),1,0),IF($X71&lt;=20,1,0))</formula>
    </cfRule>
    <cfRule type="expression" dxfId="3144" priority="926">
      <formula>AND(IF($Q71=2,1,0),IF($X71&lt;30,1,0))</formula>
    </cfRule>
    <cfRule type="expression" dxfId="3143" priority="927">
      <formula>AND(IF($Q71=3,1,0),IF($X71&lt;30,1,0))</formula>
    </cfRule>
    <cfRule type="expression" dxfId="3142" priority="928">
      <formula>AND(IF($Q71=3,1,IF($Q71=4,1,0)),IF($F71&lt;=85,1,0))</formula>
    </cfRule>
  </conditionalFormatting>
  <conditionalFormatting sqref="AI71">
    <cfRule type="expression" dxfId="3141" priority="921">
      <formula>AND(IF(OR($Q71=1,$Q71=2),1,0),IF($X71&lt;=20,1,0))</formula>
    </cfRule>
    <cfRule type="expression" dxfId="3140" priority="922">
      <formula>AND(IF($Q71=2,1,0),IF($X71&lt;30,1,0))</formula>
    </cfRule>
    <cfRule type="expression" dxfId="3139" priority="923">
      <formula>AND(IF($Q71=3,1,0),IF($X71&lt;30,1,0))</formula>
    </cfRule>
    <cfRule type="expression" dxfId="3138" priority="924">
      <formula>AND(IF($Q71=3,1,IF($Q71=4,1,0)),IF($F71&lt;=85,1,0))</formula>
    </cfRule>
  </conditionalFormatting>
  <conditionalFormatting sqref="AV72">
    <cfRule type="expression" dxfId="3137" priority="919">
      <formula>AV72="X"</formula>
    </cfRule>
    <cfRule type="expression" dxfId="3136" priority="920">
      <formula>AV72="후보"</formula>
    </cfRule>
  </conditionalFormatting>
  <conditionalFormatting sqref="AC72 N72">
    <cfRule type="cellIs" dxfId="3135" priority="916" operator="greaterThan">
      <formula>0.9</formula>
    </cfRule>
    <cfRule type="cellIs" dxfId="3134" priority="917" operator="greaterThan">
      <formula>0.85</formula>
    </cfRule>
  </conditionalFormatting>
  <conditionalFormatting sqref="AV73">
    <cfRule type="expression" dxfId="3133" priority="914">
      <formula>AV73="X"</formula>
    </cfRule>
    <cfRule type="expression" dxfId="3132" priority="915">
      <formula>AV73="후보"</formula>
    </cfRule>
  </conditionalFormatting>
  <conditionalFormatting sqref="AC73">
    <cfRule type="cellIs" dxfId="3131" priority="911" operator="greaterThan">
      <formula>0.9</formula>
    </cfRule>
    <cfRule type="cellIs" dxfId="3130" priority="912" operator="greaterThan">
      <formula>0.85</formula>
    </cfRule>
  </conditionalFormatting>
  <conditionalFormatting sqref="N73">
    <cfRule type="cellIs" dxfId="3129" priority="909" operator="greaterThan">
      <formula>0.9</formula>
    </cfRule>
    <cfRule type="cellIs" dxfId="3128" priority="910" operator="greaterThan">
      <formula>0.85</formula>
    </cfRule>
  </conditionalFormatting>
  <conditionalFormatting sqref="E73">
    <cfRule type="expression" dxfId="3127" priority="905">
      <formula>AND(IF(OR($Q73=1,$Q73=2),1,0),IF($X73&lt;=20,1,0))</formula>
    </cfRule>
    <cfRule type="expression" dxfId="3126" priority="906">
      <formula>AND(IF($Q73=2,1,0),IF($X73&lt;30,1,0))</formula>
    </cfRule>
    <cfRule type="expression" dxfId="3125" priority="907">
      <formula>AND(IF($Q73=3,1,0),IF($X73&lt;30,1,0))</formula>
    </cfRule>
    <cfRule type="expression" dxfId="3124" priority="908">
      <formula>AND(IF($Q73=3,1,IF($Q73=4,1,0)),IF($F73&lt;=85,1,0))</formula>
    </cfRule>
  </conditionalFormatting>
  <conditionalFormatting sqref="X73">
    <cfRule type="expression" dxfId="3123" priority="901">
      <formula>AND(IF(OR($Q73=1,$Q73=2),1,0),IF($X73&lt;=20,1,0))</formula>
    </cfRule>
    <cfRule type="expression" dxfId="3122" priority="902">
      <formula>AND(IF($Q73=2,1,0),IF($X73&lt;30,1,0))</formula>
    </cfRule>
    <cfRule type="expression" dxfId="3121" priority="903">
      <formula>AND(IF($Q73=3,1,0),IF($X73&lt;30,1,0))</formula>
    </cfRule>
    <cfRule type="expression" dxfId="3120" priority="904">
      <formula>AND(IF($Q73=3,1,IF($Q73=4,1,0)),IF($F73&lt;=85,1,0))</formula>
    </cfRule>
  </conditionalFormatting>
  <conditionalFormatting sqref="AI73">
    <cfRule type="expression" dxfId="3119" priority="897">
      <formula>AND(IF(OR($Q73=1,$Q73=2),1,0),IF($X73&lt;=20,1,0))</formula>
    </cfRule>
    <cfRule type="expression" dxfId="3118" priority="898">
      <formula>AND(IF($Q73=2,1,0),IF($X73&lt;30,1,0))</formula>
    </cfRule>
    <cfRule type="expression" dxfId="3117" priority="899">
      <formula>AND(IF($Q73=3,1,0),IF($X73&lt;30,1,0))</formula>
    </cfRule>
    <cfRule type="expression" dxfId="3116" priority="900">
      <formula>AND(IF($Q73=3,1,IF($Q73=4,1,0)),IF($F73&lt;=85,1,0))</formula>
    </cfRule>
  </conditionalFormatting>
  <conditionalFormatting sqref="AV74">
    <cfRule type="expression" dxfId="3115" priority="895">
      <formula>AV74="X"</formula>
    </cfRule>
    <cfRule type="expression" dxfId="3114" priority="896">
      <formula>AV74="후보"</formula>
    </cfRule>
  </conditionalFormatting>
  <conditionalFormatting sqref="AC74">
    <cfRule type="cellIs" dxfId="3113" priority="892" operator="greaterThan">
      <formula>0.9</formula>
    </cfRule>
    <cfRule type="cellIs" dxfId="3112" priority="893" operator="greaterThan">
      <formula>0.85</formula>
    </cfRule>
  </conditionalFormatting>
  <conditionalFormatting sqref="N74">
    <cfRule type="cellIs" dxfId="3111" priority="890" operator="greaterThan">
      <formula>0.9</formula>
    </cfRule>
    <cfRule type="cellIs" dxfId="3110" priority="891" operator="greaterThan">
      <formula>0.85</formula>
    </cfRule>
  </conditionalFormatting>
  <conditionalFormatting sqref="E74">
    <cfRule type="expression" dxfId="3109" priority="886">
      <formula>AND(IF(OR($Q74=1,$Q74=2),1,0),IF($X74&lt;=20,1,0))</formula>
    </cfRule>
    <cfRule type="expression" dxfId="3108" priority="887">
      <formula>AND(IF($Q74=2,1,0),IF($X74&lt;30,1,0))</formula>
    </cfRule>
    <cfRule type="expression" dxfId="3107" priority="888">
      <formula>AND(IF($Q74=3,1,0),IF($X74&lt;30,1,0))</formula>
    </cfRule>
    <cfRule type="expression" dxfId="3106" priority="889">
      <formula>AND(IF($Q74=3,1,IF($Q74=4,1,0)),IF($F74&lt;=85,1,0))</formula>
    </cfRule>
  </conditionalFormatting>
  <conditionalFormatting sqref="X74">
    <cfRule type="expression" dxfId="3105" priority="882">
      <formula>AND(IF(OR($Q74=1,$Q74=2),1,0),IF($X74&lt;=20,1,0))</formula>
    </cfRule>
    <cfRule type="expression" dxfId="3104" priority="883">
      <formula>AND(IF($Q74=2,1,0),IF($X74&lt;30,1,0))</formula>
    </cfRule>
    <cfRule type="expression" dxfId="3103" priority="884">
      <formula>AND(IF($Q74=3,1,0),IF($X74&lt;30,1,0))</formula>
    </cfRule>
    <cfRule type="expression" dxfId="3102" priority="885">
      <formula>AND(IF($Q74=3,1,IF($Q74=4,1,0)),IF($F74&lt;=85,1,0))</formula>
    </cfRule>
  </conditionalFormatting>
  <conditionalFormatting sqref="AI74">
    <cfRule type="expression" dxfId="3101" priority="878">
      <formula>AND(IF(OR($Q74=1,$Q74=2),1,0),IF($X74&lt;=20,1,0))</formula>
    </cfRule>
    <cfRule type="expression" dxfId="3100" priority="879">
      <formula>AND(IF($Q74=2,1,0),IF($X74&lt;30,1,0))</formula>
    </cfRule>
    <cfRule type="expression" dxfId="3099" priority="880">
      <formula>AND(IF($Q74=3,1,0),IF($X74&lt;30,1,0))</formula>
    </cfRule>
    <cfRule type="expression" dxfId="3098" priority="881">
      <formula>AND(IF($Q74=3,1,IF($Q74=4,1,0)),IF($F74&lt;=85,1,0))</formula>
    </cfRule>
  </conditionalFormatting>
  <conditionalFormatting sqref="AV75">
    <cfRule type="expression" dxfId="3097" priority="876">
      <formula>AV75="X"</formula>
    </cfRule>
    <cfRule type="expression" dxfId="3096" priority="877">
      <formula>AV75="후보"</formula>
    </cfRule>
  </conditionalFormatting>
  <conditionalFormatting sqref="AC75">
    <cfRule type="cellIs" dxfId="3095" priority="873" operator="greaterThan">
      <formula>0.9</formula>
    </cfRule>
    <cfRule type="cellIs" dxfId="3094" priority="874" operator="greaterThan">
      <formula>0.85</formula>
    </cfRule>
  </conditionalFormatting>
  <conditionalFormatting sqref="N75">
    <cfRule type="cellIs" dxfId="3093" priority="871" operator="greaterThan">
      <formula>0.9</formula>
    </cfRule>
    <cfRule type="cellIs" dxfId="3092" priority="872" operator="greaterThan">
      <formula>0.85</formula>
    </cfRule>
  </conditionalFormatting>
  <conditionalFormatting sqref="E75">
    <cfRule type="expression" dxfId="3091" priority="867">
      <formula>AND(IF(OR($Q75=1,$Q75=2),1,0),IF($X75&lt;=20,1,0))</formula>
    </cfRule>
    <cfRule type="expression" dxfId="3090" priority="868">
      <formula>AND(IF($Q75=2,1,0),IF($X75&lt;30,1,0))</formula>
    </cfRule>
    <cfRule type="expression" dxfId="3089" priority="869">
      <formula>AND(IF($Q75=3,1,0),IF($X75&lt;30,1,0))</formula>
    </cfRule>
    <cfRule type="expression" dxfId="3088" priority="870">
      <formula>AND(IF($Q75=3,1,IF($Q75=4,1,0)),IF($F75&lt;=85,1,0))</formula>
    </cfRule>
  </conditionalFormatting>
  <conditionalFormatting sqref="X75">
    <cfRule type="expression" dxfId="3087" priority="863">
      <formula>AND(IF(OR($Q75=1,$Q75=2),1,0),IF($X75&lt;=20,1,0))</formula>
    </cfRule>
    <cfRule type="expression" dxfId="3086" priority="864">
      <formula>AND(IF($Q75=2,1,0),IF($X75&lt;30,1,0))</formula>
    </cfRule>
    <cfRule type="expression" dxfId="3085" priority="865">
      <formula>AND(IF($Q75=3,1,0),IF($X75&lt;30,1,0))</formula>
    </cfRule>
    <cfRule type="expression" dxfId="3084" priority="866">
      <formula>AND(IF($Q75=3,1,IF($Q75=4,1,0)),IF($F75&lt;=85,1,0))</formula>
    </cfRule>
  </conditionalFormatting>
  <conditionalFormatting sqref="AI75">
    <cfRule type="expression" dxfId="3083" priority="859">
      <formula>AND(IF(OR($Q75=1,$Q75=2),1,0),IF($X75&lt;=20,1,0))</formula>
    </cfRule>
    <cfRule type="expression" dxfId="3082" priority="860">
      <formula>AND(IF($Q75=2,1,0),IF($X75&lt;30,1,0))</formula>
    </cfRule>
    <cfRule type="expression" dxfId="3081" priority="861">
      <formula>AND(IF($Q75=3,1,0),IF($X75&lt;30,1,0))</formula>
    </cfRule>
    <cfRule type="expression" dxfId="3080" priority="862">
      <formula>AND(IF($Q75=3,1,IF($Q75=4,1,0)),IF($F75&lt;=85,1,0))</formula>
    </cfRule>
  </conditionalFormatting>
  <conditionalFormatting sqref="AV76">
    <cfRule type="expression" dxfId="3079" priority="857">
      <formula>AV76="X"</formula>
    </cfRule>
    <cfRule type="expression" dxfId="3078" priority="858">
      <formula>AV76="후보"</formula>
    </cfRule>
  </conditionalFormatting>
  <conditionalFormatting sqref="AC76">
    <cfRule type="cellIs" dxfId="3077" priority="854" operator="greaterThan">
      <formula>0.9</formula>
    </cfRule>
    <cfRule type="cellIs" dxfId="3076" priority="855" operator="greaterThan">
      <formula>0.85</formula>
    </cfRule>
  </conditionalFormatting>
  <conditionalFormatting sqref="N76">
    <cfRule type="cellIs" dxfId="3075" priority="852" operator="greaterThan">
      <formula>0.9</formula>
    </cfRule>
    <cfRule type="cellIs" dxfId="3074" priority="853" operator="greaterThan">
      <formula>0.85</formula>
    </cfRule>
  </conditionalFormatting>
  <conditionalFormatting sqref="E76">
    <cfRule type="expression" dxfId="3073" priority="848">
      <formula>AND(IF(OR($Q76=1,$Q76=2),1,0),IF($X76&lt;=20,1,0))</formula>
    </cfRule>
    <cfRule type="expression" dxfId="3072" priority="849">
      <formula>AND(IF($Q76=2,1,0),IF($X76&lt;30,1,0))</formula>
    </cfRule>
    <cfRule type="expression" dxfId="3071" priority="850">
      <formula>AND(IF($Q76=3,1,0),IF($X76&lt;30,1,0))</formula>
    </cfRule>
    <cfRule type="expression" dxfId="3070" priority="851">
      <formula>AND(IF($Q76=3,1,IF($Q76=4,1,0)),IF($F76&lt;=85,1,0))</formula>
    </cfRule>
  </conditionalFormatting>
  <conditionalFormatting sqref="X76">
    <cfRule type="expression" dxfId="3069" priority="844">
      <formula>AND(IF(OR($Q76=1,$Q76=2),1,0),IF($X76&lt;=20,1,0))</formula>
    </cfRule>
    <cfRule type="expression" dxfId="3068" priority="845">
      <formula>AND(IF($Q76=2,1,0),IF($X76&lt;30,1,0))</formula>
    </cfRule>
    <cfRule type="expression" dxfId="3067" priority="846">
      <formula>AND(IF($Q76=3,1,0),IF($X76&lt;30,1,0))</formula>
    </cfRule>
    <cfRule type="expression" dxfId="3066" priority="847">
      <formula>AND(IF($Q76=3,1,IF($Q76=4,1,0)),IF($F76&lt;=85,1,0))</formula>
    </cfRule>
  </conditionalFormatting>
  <conditionalFormatting sqref="AI76">
    <cfRule type="expression" dxfId="3065" priority="840">
      <formula>AND(IF(OR($Q76=1,$Q76=2),1,0),IF($X76&lt;=20,1,0))</formula>
    </cfRule>
    <cfRule type="expression" dxfId="3064" priority="841">
      <formula>AND(IF($Q76=2,1,0),IF($X76&lt;30,1,0))</formula>
    </cfRule>
    <cfRule type="expression" dxfId="3063" priority="842">
      <formula>AND(IF($Q76=3,1,0),IF($X76&lt;30,1,0))</formula>
    </cfRule>
    <cfRule type="expression" dxfId="3062" priority="843">
      <formula>AND(IF($Q76=3,1,IF($Q76=4,1,0)),IF($F76&lt;=85,1,0))</formula>
    </cfRule>
  </conditionalFormatting>
  <conditionalFormatting sqref="AV77">
    <cfRule type="expression" dxfId="3061" priority="838">
      <formula>AV77="X"</formula>
    </cfRule>
    <cfRule type="expression" dxfId="3060" priority="839">
      <formula>AV77="후보"</formula>
    </cfRule>
  </conditionalFormatting>
  <conditionalFormatting sqref="AC77 N77">
    <cfRule type="cellIs" dxfId="3059" priority="835" operator="greaterThan">
      <formula>0.9</formula>
    </cfRule>
    <cfRule type="cellIs" dxfId="3058" priority="836" operator="greaterThan">
      <formula>0.85</formula>
    </cfRule>
  </conditionalFormatting>
  <conditionalFormatting sqref="AV78">
    <cfRule type="expression" dxfId="3057" priority="833">
      <formula>AV78="X"</formula>
    </cfRule>
    <cfRule type="expression" dxfId="3056" priority="834">
      <formula>AV78="후보"</formula>
    </cfRule>
  </conditionalFormatting>
  <conditionalFormatting sqref="AC78">
    <cfRule type="cellIs" dxfId="3055" priority="830" operator="greaterThan">
      <formula>0.9</formula>
    </cfRule>
    <cfRule type="cellIs" dxfId="3054" priority="831" operator="greaterThan">
      <formula>0.85</formula>
    </cfRule>
  </conditionalFormatting>
  <conditionalFormatting sqref="N78">
    <cfRule type="cellIs" dxfId="3053" priority="828" operator="greaterThan">
      <formula>0.9</formula>
    </cfRule>
    <cfRule type="cellIs" dxfId="3052" priority="829" operator="greaterThan">
      <formula>0.85</formula>
    </cfRule>
  </conditionalFormatting>
  <conditionalFormatting sqref="E78">
    <cfRule type="expression" dxfId="3051" priority="824">
      <formula>AND(IF(OR($Q78=1,$Q78=2),1,0),IF($X78&lt;=20,1,0))</formula>
    </cfRule>
    <cfRule type="expression" dxfId="3050" priority="825">
      <formula>AND(IF($Q78=2,1,0),IF($X78&lt;30,1,0))</formula>
    </cfRule>
    <cfRule type="expression" dxfId="3049" priority="826">
      <formula>AND(IF($Q78=3,1,0),IF($X78&lt;30,1,0))</formula>
    </cfRule>
    <cfRule type="expression" dxfId="3048" priority="827">
      <formula>AND(IF($Q78=3,1,IF($Q78=4,1,0)),IF($F78&lt;=85,1,0))</formula>
    </cfRule>
  </conditionalFormatting>
  <conditionalFormatting sqref="X78">
    <cfRule type="expression" dxfId="3047" priority="820">
      <formula>AND(IF(OR($Q78=1,$Q78=2),1,0),IF($X78&lt;=20,1,0))</formula>
    </cfRule>
    <cfRule type="expression" dxfId="3046" priority="821">
      <formula>AND(IF($Q78=2,1,0),IF($X78&lt;30,1,0))</formula>
    </cfRule>
    <cfRule type="expression" dxfId="3045" priority="822">
      <formula>AND(IF($Q78=3,1,0),IF($X78&lt;30,1,0))</formula>
    </cfRule>
    <cfRule type="expression" dxfId="3044" priority="823">
      <formula>AND(IF($Q78=3,1,IF($Q78=4,1,0)),IF($F78&lt;=85,1,0))</formula>
    </cfRule>
  </conditionalFormatting>
  <conditionalFormatting sqref="AI78">
    <cfRule type="expression" dxfId="3043" priority="816">
      <formula>AND(IF(OR($Q78=1,$Q78=2),1,0),IF($X78&lt;=20,1,0))</formula>
    </cfRule>
    <cfRule type="expression" dxfId="3042" priority="817">
      <formula>AND(IF($Q78=2,1,0),IF($X78&lt;30,1,0))</formula>
    </cfRule>
    <cfRule type="expression" dxfId="3041" priority="818">
      <formula>AND(IF($Q78=3,1,0),IF($X78&lt;30,1,0))</formula>
    </cfRule>
    <cfRule type="expression" dxfId="3040" priority="819">
      <formula>AND(IF($Q78=3,1,IF($Q78=4,1,0)),IF($F78&lt;=85,1,0))</formula>
    </cfRule>
  </conditionalFormatting>
  <conditionalFormatting sqref="AV79">
    <cfRule type="expression" dxfId="3039" priority="814">
      <formula>AV79="X"</formula>
    </cfRule>
    <cfRule type="expression" dxfId="3038" priority="815">
      <formula>AV79="후보"</formula>
    </cfRule>
  </conditionalFormatting>
  <conditionalFormatting sqref="AC79">
    <cfRule type="cellIs" dxfId="3037" priority="811" operator="greaterThan">
      <formula>0.9</formula>
    </cfRule>
    <cfRule type="cellIs" dxfId="3036" priority="812" operator="greaterThan">
      <formula>0.85</formula>
    </cfRule>
  </conditionalFormatting>
  <conditionalFormatting sqref="N79">
    <cfRule type="cellIs" dxfId="3035" priority="809" operator="greaterThan">
      <formula>0.9</formula>
    </cfRule>
    <cfRule type="cellIs" dxfId="3034" priority="810" operator="greaterThan">
      <formula>0.85</formula>
    </cfRule>
  </conditionalFormatting>
  <conditionalFormatting sqref="E79">
    <cfRule type="expression" dxfId="3033" priority="805">
      <formula>AND(IF(OR($Q79=1,$Q79=2),1,0),IF($X79&lt;=20,1,0))</formula>
    </cfRule>
    <cfRule type="expression" dxfId="3032" priority="806">
      <formula>AND(IF($Q79=2,1,0),IF($X79&lt;30,1,0))</formula>
    </cfRule>
    <cfRule type="expression" dxfId="3031" priority="807">
      <formula>AND(IF($Q79=3,1,0),IF($X79&lt;30,1,0))</formula>
    </cfRule>
    <cfRule type="expression" dxfId="3030" priority="808">
      <formula>AND(IF($Q79=3,1,IF($Q79=4,1,0)),IF($F79&lt;=85,1,0))</formula>
    </cfRule>
  </conditionalFormatting>
  <conditionalFormatting sqref="X79">
    <cfRule type="expression" dxfId="3029" priority="801">
      <formula>AND(IF(OR($Q79=1,$Q79=2),1,0),IF($X79&lt;=20,1,0))</formula>
    </cfRule>
    <cfRule type="expression" dxfId="3028" priority="802">
      <formula>AND(IF($Q79=2,1,0),IF($X79&lt;30,1,0))</formula>
    </cfRule>
    <cfRule type="expression" dxfId="3027" priority="803">
      <formula>AND(IF($Q79=3,1,0),IF($X79&lt;30,1,0))</formula>
    </cfRule>
    <cfRule type="expression" dxfId="3026" priority="804">
      <formula>AND(IF($Q79=3,1,IF($Q79=4,1,0)),IF($F79&lt;=85,1,0))</formula>
    </cfRule>
  </conditionalFormatting>
  <conditionalFormatting sqref="AI79">
    <cfRule type="expression" dxfId="3025" priority="797">
      <formula>AND(IF(OR($Q79=1,$Q79=2),1,0),IF($X79&lt;=20,1,0))</formula>
    </cfRule>
    <cfRule type="expression" dxfId="3024" priority="798">
      <formula>AND(IF($Q79=2,1,0),IF($X79&lt;30,1,0))</formula>
    </cfRule>
    <cfRule type="expression" dxfId="3023" priority="799">
      <formula>AND(IF($Q79=3,1,0),IF($X79&lt;30,1,0))</formula>
    </cfRule>
    <cfRule type="expression" dxfId="3022" priority="800">
      <formula>AND(IF($Q79=3,1,IF($Q79=4,1,0)),IF($F79&lt;=85,1,0))</formula>
    </cfRule>
  </conditionalFormatting>
  <conditionalFormatting sqref="AV80">
    <cfRule type="expression" dxfId="3021" priority="795">
      <formula>AV80="X"</formula>
    </cfRule>
    <cfRule type="expression" dxfId="3020" priority="796">
      <formula>AV80="후보"</formula>
    </cfRule>
  </conditionalFormatting>
  <conditionalFormatting sqref="AC80">
    <cfRule type="cellIs" dxfId="3019" priority="792" operator="greaterThan">
      <formula>0.9</formula>
    </cfRule>
    <cfRule type="cellIs" dxfId="3018" priority="793" operator="greaterThan">
      <formula>0.85</formula>
    </cfRule>
  </conditionalFormatting>
  <conditionalFormatting sqref="N80">
    <cfRule type="cellIs" dxfId="3017" priority="790" operator="greaterThan">
      <formula>0.9</formula>
    </cfRule>
    <cfRule type="cellIs" dxfId="3016" priority="791" operator="greaterThan">
      <formula>0.85</formula>
    </cfRule>
  </conditionalFormatting>
  <conditionalFormatting sqref="E80">
    <cfRule type="expression" dxfId="3015" priority="786">
      <formula>AND(IF(OR($Q80=1,$Q80=2),1,0),IF($X80&lt;=20,1,0))</formula>
    </cfRule>
    <cfRule type="expression" dxfId="3014" priority="787">
      <formula>AND(IF($Q80=2,1,0),IF($X80&lt;30,1,0))</formula>
    </cfRule>
    <cfRule type="expression" dxfId="3013" priority="788">
      <formula>AND(IF($Q80=3,1,0),IF($X80&lt;30,1,0))</formula>
    </cfRule>
    <cfRule type="expression" dxfId="3012" priority="789">
      <formula>AND(IF($Q80=3,1,IF($Q80=4,1,0)),IF($F80&lt;=85,1,0))</formula>
    </cfRule>
  </conditionalFormatting>
  <conditionalFormatting sqref="X80">
    <cfRule type="expression" dxfId="3011" priority="782">
      <formula>AND(IF(OR($Q80=1,$Q80=2),1,0),IF($X80&lt;=20,1,0))</formula>
    </cfRule>
    <cfRule type="expression" dxfId="3010" priority="783">
      <formula>AND(IF($Q80=2,1,0),IF($X80&lt;30,1,0))</formula>
    </cfRule>
    <cfRule type="expression" dxfId="3009" priority="784">
      <formula>AND(IF($Q80=3,1,0),IF($X80&lt;30,1,0))</formula>
    </cfRule>
    <cfRule type="expression" dxfId="3008" priority="785">
      <formula>AND(IF($Q80=3,1,IF($Q80=4,1,0)),IF($F80&lt;=85,1,0))</formula>
    </cfRule>
  </conditionalFormatting>
  <conditionalFormatting sqref="AI80">
    <cfRule type="expression" dxfId="3007" priority="778">
      <formula>AND(IF(OR($Q80=1,$Q80=2),1,0),IF($X80&lt;=20,1,0))</formula>
    </cfRule>
    <cfRule type="expression" dxfId="3006" priority="779">
      <formula>AND(IF($Q80=2,1,0),IF($X80&lt;30,1,0))</formula>
    </cfRule>
    <cfRule type="expression" dxfId="3005" priority="780">
      <formula>AND(IF($Q80=3,1,0),IF($X80&lt;30,1,0))</formula>
    </cfRule>
    <cfRule type="expression" dxfId="3004" priority="781">
      <formula>AND(IF($Q80=3,1,IF($Q80=4,1,0)),IF($F80&lt;=85,1,0))</formula>
    </cfRule>
  </conditionalFormatting>
  <conditionalFormatting sqref="AV81">
    <cfRule type="expression" dxfId="3003" priority="776">
      <formula>AV81="X"</formula>
    </cfRule>
    <cfRule type="expression" dxfId="3002" priority="777">
      <formula>AV81="후보"</formula>
    </cfRule>
  </conditionalFormatting>
  <conditionalFormatting sqref="AC81">
    <cfRule type="cellIs" dxfId="3001" priority="773" operator="greaterThan">
      <formula>0.9</formula>
    </cfRule>
    <cfRule type="cellIs" dxfId="3000" priority="774" operator="greaterThan">
      <formula>0.85</formula>
    </cfRule>
  </conditionalFormatting>
  <conditionalFormatting sqref="N81">
    <cfRule type="cellIs" dxfId="2999" priority="771" operator="greaterThan">
      <formula>0.9</formula>
    </cfRule>
    <cfRule type="cellIs" dxfId="2998" priority="772" operator="greaterThan">
      <formula>0.85</formula>
    </cfRule>
  </conditionalFormatting>
  <conditionalFormatting sqref="E81">
    <cfRule type="expression" dxfId="2997" priority="767">
      <formula>AND(IF(OR($Q81=1,$Q81=2),1,0),IF($X81&lt;=20,1,0))</formula>
    </cfRule>
    <cfRule type="expression" dxfId="2996" priority="768">
      <formula>AND(IF($Q81=2,1,0),IF($X81&lt;30,1,0))</formula>
    </cfRule>
    <cfRule type="expression" dxfId="2995" priority="769">
      <formula>AND(IF($Q81=3,1,0),IF($X81&lt;30,1,0))</formula>
    </cfRule>
    <cfRule type="expression" dxfId="2994" priority="770">
      <formula>AND(IF($Q81=3,1,IF($Q81=4,1,0)),IF($F81&lt;=85,1,0))</formula>
    </cfRule>
  </conditionalFormatting>
  <conditionalFormatting sqref="X81">
    <cfRule type="expression" dxfId="2993" priority="763">
      <formula>AND(IF(OR($Q81=1,$Q81=2),1,0),IF($X81&lt;=20,1,0))</formula>
    </cfRule>
    <cfRule type="expression" dxfId="2992" priority="764">
      <formula>AND(IF($Q81=2,1,0),IF($X81&lt;30,1,0))</formula>
    </cfRule>
    <cfRule type="expression" dxfId="2991" priority="765">
      <formula>AND(IF($Q81=3,1,0),IF($X81&lt;30,1,0))</formula>
    </cfRule>
    <cfRule type="expression" dxfId="2990" priority="766">
      <formula>AND(IF($Q81=3,1,IF($Q81=4,1,0)),IF($F81&lt;=85,1,0))</formula>
    </cfRule>
  </conditionalFormatting>
  <conditionalFormatting sqref="AI81">
    <cfRule type="expression" dxfId="2989" priority="759">
      <formula>AND(IF(OR($Q81=1,$Q81=2),1,0),IF($X81&lt;=20,1,0))</formula>
    </cfRule>
    <cfRule type="expression" dxfId="2988" priority="760">
      <formula>AND(IF($Q81=2,1,0),IF($X81&lt;30,1,0))</formula>
    </cfRule>
    <cfRule type="expression" dxfId="2987" priority="761">
      <formula>AND(IF($Q81=3,1,0),IF($X81&lt;30,1,0))</formula>
    </cfRule>
    <cfRule type="expression" dxfId="2986" priority="762">
      <formula>AND(IF($Q81=3,1,IF($Q81=4,1,0)),IF($F81&lt;=85,1,0))</formula>
    </cfRule>
  </conditionalFormatting>
  <conditionalFormatting sqref="AV82">
    <cfRule type="expression" dxfId="2985" priority="757">
      <formula>AV82="X"</formula>
    </cfRule>
    <cfRule type="expression" dxfId="2984" priority="758">
      <formula>AV82="후보"</formula>
    </cfRule>
  </conditionalFormatting>
  <conditionalFormatting sqref="AC82">
    <cfRule type="cellIs" dxfId="2983" priority="754" operator="greaterThan">
      <formula>0.9</formula>
    </cfRule>
    <cfRule type="cellIs" dxfId="2982" priority="755" operator="greaterThan">
      <formula>0.85</formula>
    </cfRule>
  </conditionalFormatting>
  <conditionalFormatting sqref="N82">
    <cfRule type="cellIs" dxfId="2981" priority="752" operator="greaterThan">
      <formula>0.9</formula>
    </cfRule>
    <cfRule type="cellIs" dxfId="2980" priority="753" operator="greaterThan">
      <formula>0.85</formula>
    </cfRule>
  </conditionalFormatting>
  <conditionalFormatting sqref="E82">
    <cfRule type="expression" dxfId="2979" priority="748">
      <formula>AND(IF(OR($Q82=1,$Q82=2),1,0),IF($X82&lt;=20,1,0))</formula>
    </cfRule>
    <cfRule type="expression" dxfId="2978" priority="749">
      <formula>AND(IF($Q82=2,1,0),IF($X82&lt;30,1,0))</formula>
    </cfRule>
    <cfRule type="expression" dxfId="2977" priority="750">
      <formula>AND(IF($Q82=3,1,0),IF($X82&lt;30,1,0))</formula>
    </cfRule>
    <cfRule type="expression" dxfId="2976" priority="751">
      <formula>AND(IF($Q82=3,1,IF($Q82=4,1,0)),IF($F82&lt;=85,1,0))</formula>
    </cfRule>
  </conditionalFormatting>
  <conditionalFormatting sqref="X82">
    <cfRule type="expression" dxfId="2975" priority="744">
      <formula>AND(IF(OR($Q82=1,$Q82=2),1,0),IF($X82&lt;=20,1,0))</formula>
    </cfRule>
    <cfRule type="expression" dxfId="2974" priority="745">
      <formula>AND(IF($Q82=2,1,0),IF($X82&lt;30,1,0))</formula>
    </cfRule>
    <cfRule type="expression" dxfId="2973" priority="746">
      <formula>AND(IF($Q82=3,1,0),IF($X82&lt;30,1,0))</formula>
    </cfRule>
    <cfRule type="expression" dxfId="2972" priority="747">
      <formula>AND(IF($Q82=3,1,IF($Q82=4,1,0)),IF($F82&lt;=85,1,0))</formula>
    </cfRule>
  </conditionalFormatting>
  <conditionalFormatting sqref="AI82">
    <cfRule type="expression" dxfId="2971" priority="740">
      <formula>AND(IF(OR($Q82=1,$Q82=2),1,0),IF($X82&lt;=20,1,0))</formula>
    </cfRule>
    <cfRule type="expression" dxfId="2970" priority="741">
      <formula>AND(IF($Q82=2,1,0),IF($X82&lt;30,1,0))</formula>
    </cfRule>
    <cfRule type="expression" dxfId="2969" priority="742">
      <formula>AND(IF($Q82=3,1,0),IF($X82&lt;30,1,0))</formula>
    </cfRule>
    <cfRule type="expression" dxfId="2968" priority="743">
      <formula>AND(IF($Q82=3,1,IF($Q82=4,1,0)),IF($F82&lt;=85,1,0))</formula>
    </cfRule>
  </conditionalFormatting>
  <conditionalFormatting sqref="AV83">
    <cfRule type="expression" dxfId="2967" priority="738">
      <formula>AV83="X"</formula>
    </cfRule>
    <cfRule type="expression" dxfId="2966" priority="739">
      <formula>AV83="후보"</formula>
    </cfRule>
  </conditionalFormatting>
  <conditionalFormatting sqref="AC83 N83">
    <cfRule type="cellIs" dxfId="2965" priority="735" operator="greaterThan">
      <formula>0.9</formula>
    </cfRule>
    <cfRule type="cellIs" dxfId="2964" priority="736" operator="greaterThan">
      <formula>0.85</formula>
    </cfRule>
  </conditionalFormatting>
  <conditionalFormatting sqref="AV84">
    <cfRule type="expression" dxfId="2963" priority="733">
      <formula>AV84="X"</formula>
    </cfRule>
    <cfRule type="expression" dxfId="2962" priority="734">
      <formula>AV84="후보"</formula>
    </cfRule>
  </conditionalFormatting>
  <conditionalFormatting sqref="AC84">
    <cfRule type="cellIs" dxfId="2961" priority="730" operator="greaterThan">
      <formula>0.9</formula>
    </cfRule>
    <cfRule type="cellIs" dxfId="2960" priority="731" operator="greaterThan">
      <formula>0.85</formula>
    </cfRule>
  </conditionalFormatting>
  <conditionalFormatting sqref="N84">
    <cfRule type="cellIs" dxfId="2959" priority="728" operator="greaterThan">
      <formula>0.9</formula>
    </cfRule>
    <cfRule type="cellIs" dxfId="2958" priority="729" operator="greaterThan">
      <formula>0.85</formula>
    </cfRule>
  </conditionalFormatting>
  <conditionalFormatting sqref="E84">
    <cfRule type="expression" dxfId="2957" priority="724">
      <formula>AND(IF(OR($Q84=1,$Q84=2),1,0),IF($X84&lt;=20,1,0))</formula>
    </cfRule>
    <cfRule type="expression" dxfId="2956" priority="725">
      <formula>AND(IF($Q84=2,1,0),IF($X84&lt;30,1,0))</formula>
    </cfRule>
    <cfRule type="expression" dxfId="2955" priority="726">
      <formula>AND(IF($Q84=3,1,0),IF($X84&lt;30,1,0))</formula>
    </cfRule>
    <cfRule type="expression" dxfId="2954" priority="727">
      <formula>AND(IF($Q84=3,1,IF($Q84=4,1,0)),IF($F84&lt;=85,1,0))</formula>
    </cfRule>
  </conditionalFormatting>
  <conditionalFormatting sqref="X84">
    <cfRule type="expression" dxfId="2953" priority="720">
      <formula>AND(IF(OR($Q84=1,$Q84=2),1,0),IF($X84&lt;=20,1,0))</formula>
    </cfRule>
    <cfRule type="expression" dxfId="2952" priority="721">
      <formula>AND(IF($Q84=2,1,0),IF($X84&lt;30,1,0))</formula>
    </cfRule>
    <cfRule type="expression" dxfId="2951" priority="722">
      <formula>AND(IF($Q84=3,1,0),IF($X84&lt;30,1,0))</formula>
    </cfRule>
    <cfRule type="expression" dxfId="2950" priority="723">
      <formula>AND(IF($Q84=3,1,IF($Q84=4,1,0)),IF($F84&lt;=85,1,0))</formula>
    </cfRule>
  </conditionalFormatting>
  <conditionalFormatting sqref="AI84">
    <cfRule type="expression" dxfId="2949" priority="716">
      <formula>AND(IF(OR($Q84=1,$Q84=2),1,0),IF($X84&lt;=20,1,0))</formula>
    </cfRule>
    <cfRule type="expression" dxfId="2948" priority="717">
      <formula>AND(IF($Q84=2,1,0),IF($X84&lt;30,1,0))</formula>
    </cfRule>
    <cfRule type="expression" dxfId="2947" priority="718">
      <formula>AND(IF($Q84=3,1,0),IF($X84&lt;30,1,0))</formula>
    </cfRule>
    <cfRule type="expression" dxfId="2946" priority="719">
      <formula>AND(IF($Q84=3,1,IF($Q84=4,1,0)),IF($F84&lt;=85,1,0))</formula>
    </cfRule>
  </conditionalFormatting>
  <conditionalFormatting sqref="AV85">
    <cfRule type="expression" dxfId="2945" priority="714">
      <formula>AV85="X"</formula>
    </cfRule>
    <cfRule type="expression" dxfId="2944" priority="715">
      <formula>AV85="후보"</formula>
    </cfRule>
  </conditionalFormatting>
  <conditionalFormatting sqref="AC85">
    <cfRule type="cellIs" dxfId="2943" priority="711" operator="greaterThan">
      <formula>0.9</formula>
    </cfRule>
    <cfRule type="cellIs" dxfId="2942" priority="712" operator="greaterThan">
      <formula>0.85</formula>
    </cfRule>
  </conditionalFormatting>
  <conditionalFormatting sqref="N85">
    <cfRule type="cellIs" dxfId="2941" priority="709" operator="greaterThan">
      <formula>0.9</formula>
    </cfRule>
    <cfRule type="cellIs" dxfId="2940" priority="710" operator="greaterThan">
      <formula>0.85</formula>
    </cfRule>
  </conditionalFormatting>
  <conditionalFormatting sqref="E85">
    <cfRule type="expression" dxfId="2939" priority="705">
      <formula>AND(IF(OR($Q85=1,$Q85=2),1,0),IF($X85&lt;=20,1,0))</formula>
    </cfRule>
    <cfRule type="expression" dxfId="2938" priority="706">
      <formula>AND(IF($Q85=2,1,0),IF($X85&lt;30,1,0))</formula>
    </cfRule>
    <cfRule type="expression" dxfId="2937" priority="707">
      <formula>AND(IF($Q85=3,1,0),IF($X85&lt;30,1,0))</formula>
    </cfRule>
    <cfRule type="expression" dxfId="2936" priority="708">
      <formula>AND(IF($Q85=3,1,IF($Q85=4,1,0)),IF($F85&lt;=85,1,0))</formula>
    </cfRule>
  </conditionalFormatting>
  <conditionalFormatting sqref="X85">
    <cfRule type="expression" dxfId="2935" priority="701">
      <formula>AND(IF(OR($Q85=1,$Q85=2),1,0),IF($X85&lt;=20,1,0))</formula>
    </cfRule>
    <cfRule type="expression" dxfId="2934" priority="702">
      <formula>AND(IF($Q85=2,1,0),IF($X85&lt;30,1,0))</formula>
    </cfRule>
    <cfRule type="expression" dxfId="2933" priority="703">
      <formula>AND(IF($Q85=3,1,0),IF($X85&lt;30,1,0))</formula>
    </cfRule>
    <cfRule type="expression" dxfId="2932" priority="704">
      <formula>AND(IF($Q85=3,1,IF($Q85=4,1,0)),IF($F85&lt;=85,1,0))</formula>
    </cfRule>
  </conditionalFormatting>
  <conditionalFormatting sqref="AI85">
    <cfRule type="expression" dxfId="2931" priority="697">
      <formula>AND(IF(OR($Q85=1,$Q85=2),1,0),IF($X85&lt;=20,1,0))</formula>
    </cfRule>
    <cfRule type="expression" dxfId="2930" priority="698">
      <formula>AND(IF($Q85=2,1,0),IF($X85&lt;30,1,0))</formula>
    </cfRule>
    <cfRule type="expression" dxfId="2929" priority="699">
      <formula>AND(IF($Q85=3,1,0),IF($X85&lt;30,1,0))</formula>
    </cfRule>
    <cfRule type="expression" dxfId="2928" priority="700">
      <formula>AND(IF($Q85=3,1,IF($Q85=4,1,0)),IF($F85&lt;=85,1,0))</formula>
    </cfRule>
  </conditionalFormatting>
  <conditionalFormatting sqref="AV86">
    <cfRule type="expression" dxfId="2927" priority="695">
      <formula>AV86="X"</formula>
    </cfRule>
    <cfRule type="expression" dxfId="2926" priority="696">
      <formula>AV86="후보"</formula>
    </cfRule>
  </conditionalFormatting>
  <conditionalFormatting sqref="AC86">
    <cfRule type="cellIs" dxfId="2925" priority="692" operator="greaterThan">
      <formula>0.9</formula>
    </cfRule>
    <cfRule type="cellIs" dxfId="2924" priority="693" operator="greaterThan">
      <formula>0.85</formula>
    </cfRule>
  </conditionalFormatting>
  <conditionalFormatting sqref="N86">
    <cfRule type="cellIs" dxfId="2923" priority="690" operator="greaterThan">
      <formula>0.9</formula>
    </cfRule>
    <cfRule type="cellIs" dxfId="2922" priority="691" operator="greaterThan">
      <formula>0.85</formula>
    </cfRule>
  </conditionalFormatting>
  <conditionalFormatting sqref="E86">
    <cfRule type="expression" dxfId="2921" priority="686">
      <formula>AND(IF(OR($Q86=1,$Q86=2),1,0),IF($X86&lt;=20,1,0))</formula>
    </cfRule>
    <cfRule type="expression" dxfId="2920" priority="687">
      <formula>AND(IF($Q86=2,1,0),IF($X86&lt;30,1,0))</formula>
    </cfRule>
    <cfRule type="expression" dxfId="2919" priority="688">
      <formula>AND(IF($Q86=3,1,0),IF($X86&lt;30,1,0))</formula>
    </cfRule>
    <cfRule type="expression" dxfId="2918" priority="689">
      <formula>AND(IF($Q86=3,1,IF($Q86=4,1,0)),IF($F86&lt;=85,1,0))</formula>
    </cfRule>
  </conditionalFormatting>
  <conditionalFormatting sqref="X86">
    <cfRule type="expression" dxfId="2917" priority="682">
      <formula>AND(IF(OR($Q86=1,$Q86=2),1,0),IF($X86&lt;=20,1,0))</formula>
    </cfRule>
    <cfRule type="expression" dxfId="2916" priority="683">
      <formula>AND(IF($Q86=2,1,0),IF($X86&lt;30,1,0))</formula>
    </cfRule>
    <cfRule type="expression" dxfId="2915" priority="684">
      <formula>AND(IF($Q86=3,1,0),IF($X86&lt;30,1,0))</formula>
    </cfRule>
    <cfRule type="expression" dxfId="2914" priority="685">
      <formula>AND(IF($Q86=3,1,IF($Q86=4,1,0)),IF($F86&lt;=85,1,0))</formula>
    </cfRule>
  </conditionalFormatting>
  <conditionalFormatting sqref="AI86">
    <cfRule type="expression" dxfId="2913" priority="678">
      <formula>AND(IF(OR($Q86=1,$Q86=2),1,0),IF($X86&lt;=20,1,0))</formula>
    </cfRule>
    <cfRule type="expression" dxfId="2912" priority="679">
      <formula>AND(IF($Q86=2,1,0),IF($X86&lt;30,1,0))</formula>
    </cfRule>
    <cfRule type="expression" dxfId="2911" priority="680">
      <formula>AND(IF($Q86=3,1,0),IF($X86&lt;30,1,0))</formula>
    </cfRule>
    <cfRule type="expression" dxfId="2910" priority="681">
      <formula>AND(IF($Q86=3,1,IF($Q86=4,1,0)),IF($F86&lt;=85,1,0))</formula>
    </cfRule>
  </conditionalFormatting>
  <conditionalFormatting sqref="AV87">
    <cfRule type="expression" dxfId="2909" priority="676">
      <formula>AV87="X"</formula>
    </cfRule>
    <cfRule type="expression" dxfId="2908" priority="677">
      <formula>AV87="후보"</formula>
    </cfRule>
  </conditionalFormatting>
  <conditionalFormatting sqref="AC87">
    <cfRule type="cellIs" dxfId="2907" priority="673" operator="greaterThan">
      <formula>0.9</formula>
    </cfRule>
    <cfRule type="cellIs" dxfId="2906" priority="674" operator="greaterThan">
      <formula>0.85</formula>
    </cfRule>
  </conditionalFormatting>
  <conditionalFormatting sqref="N87">
    <cfRule type="cellIs" dxfId="2905" priority="671" operator="greaterThan">
      <formula>0.9</formula>
    </cfRule>
    <cfRule type="cellIs" dxfId="2904" priority="672" operator="greaterThan">
      <formula>0.85</formula>
    </cfRule>
  </conditionalFormatting>
  <conditionalFormatting sqref="E87">
    <cfRule type="expression" dxfId="2903" priority="667">
      <formula>AND(IF(OR($Q87=1,$Q87=2),1,0),IF($X87&lt;=20,1,0))</formula>
    </cfRule>
    <cfRule type="expression" dxfId="2902" priority="668">
      <formula>AND(IF($Q87=2,1,0),IF($X87&lt;30,1,0))</formula>
    </cfRule>
    <cfRule type="expression" dxfId="2901" priority="669">
      <formula>AND(IF($Q87=3,1,0),IF($X87&lt;30,1,0))</formula>
    </cfRule>
    <cfRule type="expression" dxfId="2900" priority="670">
      <formula>AND(IF($Q87=3,1,IF($Q87=4,1,0)),IF($F87&lt;=85,1,0))</formula>
    </cfRule>
  </conditionalFormatting>
  <conditionalFormatting sqref="X87">
    <cfRule type="expression" dxfId="2899" priority="663">
      <formula>AND(IF(OR($Q87=1,$Q87=2),1,0),IF($X87&lt;=20,1,0))</formula>
    </cfRule>
    <cfRule type="expression" dxfId="2898" priority="664">
      <formula>AND(IF($Q87=2,1,0),IF($X87&lt;30,1,0))</formula>
    </cfRule>
    <cfRule type="expression" dxfId="2897" priority="665">
      <formula>AND(IF($Q87=3,1,0),IF($X87&lt;30,1,0))</formula>
    </cfRule>
    <cfRule type="expression" dxfId="2896" priority="666">
      <formula>AND(IF($Q87=3,1,IF($Q87=4,1,0)),IF($F87&lt;=85,1,0))</formula>
    </cfRule>
  </conditionalFormatting>
  <conditionalFormatting sqref="AI87">
    <cfRule type="expression" dxfId="2895" priority="659">
      <formula>AND(IF(OR($Q87=1,$Q87=2),1,0),IF($X87&lt;=20,1,0))</formula>
    </cfRule>
    <cfRule type="expression" dxfId="2894" priority="660">
      <formula>AND(IF($Q87=2,1,0),IF($X87&lt;30,1,0))</formula>
    </cfRule>
    <cfRule type="expression" dxfId="2893" priority="661">
      <formula>AND(IF($Q87=3,1,0),IF($X87&lt;30,1,0))</formula>
    </cfRule>
    <cfRule type="expression" dxfId="2892" priority="662">
      <formula>AND(IF($Q87=3,1,IF($Q87=4,1,0)),IF($F87&lt;=85,1,0))</formula>
    </cfRule>
  </conditionalFormatting>
  <conditionalFormatting sqref="AV88">
    <cfRule type="expression" dxfId="2891" priority="657">
      <formula>AV88="X"</formula>
    </cfRule>
    <cfRule type="expression" dxfId="2890" priority="658">
      <formula>AV88="후보"</formula>
    </cfRule>
  </conditionalFormatting>
  <conditionalFormatting sqref="AC88">
    <cfRule type="cellIs" dxfId="2889" priority="654" operator="greaterThan">
      <formula>0.9</formula>
    </cfRule>
    <cfRule type="cellIs" dxfId="2888" priority="655" operator="greaterThan">
      <formula>0.85</formula>
    </cfRule>
  </conditionalFormatting>
  <conditionalFormatting sqref="N88">
    <cfRule type="cellIs" dxfId="2887" priority="652" operator="greaterThan">
      <formula>0.9</formula>
    </cfRule>
    <cfRule type="cellIs" dxfId="2886" priority="653" operator="greaterThan">
      <formula>0.85</formula>
    </cfRule>
  </conditionalFormatting>
  <conditionalFormatting sqref="E88">
    <cfRule type="expression" dxfId="2885" priority="648">
      <formula>AND(IF(OR($Q88=1,$Q88=2),1,0),IF($X88&lt;=20,1,0))</formula>
    </cfRule>
    <cfRule type="expression" dxfId="2884" priority="649">
      <formula>AND(IF($Q88=2,1,0),IF($X88&lt;30,1,0))</formula>
    </cfRule>
    <cfRule type="expression" dxfId="2883" priority="650">
      <formula>AND(IF($Q88=3,1,0),IF($X88&lt;30,1,0))</formula>
    </cfRule>
    <cfRule type="expression" dxfId="2882" priority="651">
      <formula>AND(IF($Q88=3,1,IF($Q88=4,1,0)),IF($F88&lt;=85,1,0))</formula>
    </cfRule>
  </conditionalFormatting>
  <conditionalFormatting sqref="X88">
    <cfRule type="expression" dxfId="2881" priority="644">
      <formula>AND(IF(OR($Q88=1,$Q88=2),1,0),IF($X88&lt;=20,1,0))</formula>
    </cfRule>
    <cfRule type="expression" dxfId="2880" priority="645">
      <formula>AND(IF($Q88=2,1,0),IF($X88&lt;30,1,0))</formula>
    </cfRule>
    <cfRule type="expression" dxfId="2879" priority="646">
      <formula>AND(IF($Q88=3,1,0),IF($X88&lt;30,1,0))</formula>
    </cfRule>
    <cfRule type="expression" dxfId="2878" priority="647">
      <formula>AND(IF($Q88=3,1,IF($Q88=4,1,0)),IF($F88&lt;=85,1,0))</formula>
    </cfRule>
  </conditionalFormatting>
  <conditionalFormatting sqref="AI88">
    <cfRule type="expression" dxfId="2877" priority="640">
      <formula>AND(IF(OR($Q88=1,$Q88=2),1,0),IF($X88&lt;=20,1,0))</formula>
    </cfRule>
    <cfRule type="expression" dxfId="2876" priority="641">
      <formula>AND(IF($Q88=2,1,0),IF($X88&lt;30,1,0))</formula>
    </cfRule>
    <cfRule type="expression" dxfId="2875" priority="642">
      <formula>AND(IF($Q88=3,1,0),IF($X88&lt;30,1,0))</formula>
    </cfRule>
    <cfRule type="expression" dxfId="2874" priority="643">
      <formula>AND(IF($Q88=3,1,IF($Q88=4,1,0)),IF($F88&lt;=85,1,0))</formula>
    </cfRule>
  </conditionalFormatting>
  <conditionalFormatting sqref="AV89">
    <cfRule type="expression" dxfId="2873" priority="638">
      <formula>AV89="X"</formula>
    </cfRule>
    <cfRule type="expression" dxfId="2872" priority="639">
      <formula>AV89="후보"</formula>
    </cfRule>
  </conditionalFormatting>
  <conditionalFormatting sqref="AC89 N89">
    <cfRule type="cellIs" dxfId="2871" priority="635" operator="greaterThan">
      <formula>0.9</formula>
    </cfRule>
    <cfRule type="cellIs" dxfId="2870" priority="636" operator="greaterThan">
      <formula>0.85</formula>
    </cfRule>
  </conditionalFormatting>
  <conditionalFormatting sqref="AV90">
    <cfRule type="expression" dxfId="2869" priority="633">
      <formula>AV90="X"</formula>
    </cfRule>
    <cfRule type="expression" dxfId="2868" priority="634">
      <formula>AV90="후보"</formula>
    </cfRule>
  </conditionalFormatting>
  <conditionalFormatting sqref="AC90">
    <cfRule type="cellIs" dxfId="2867" priority="630" operator="greaterThan">
      <formula>0.9</formula>
    </cfRule>
    <cfRule type="cellIs" dxfId="2866" priority="631" operator="greaterThan">
      <formula>0.85</formula>
    </cfRule>
  </conditionalFormatting>
  <conditionalFormatting sqref="N90">
    <cfRule type="cellIs" dxfId="2865" priority="628" operator="greaterThan">
      <formula>0.9</formula>
    </cfRule>
    <cfRule type="cellIs" dxfId="2864" priority="629" operator="greaterThan">
      <formula>0.85</formula>
    </cfRule>
  </conditionalFormatting>
  <conditionalFormatting sqref="E90">
    <cfRule type="expression" dxfId="2863" priority="624">
      <formula>AND(IF(OR($Q90=1,$Q90=2),1,0),IF($X90&lt;=20,1,0))</formula>
    </cfRule>
    <cfRule type="expression" dxfId="2862" priority="625">
      <formula>AND(IF($Q90=2,1,0),IF($X90&lt;30,1,0))</formula>
    </cfRule>
    <cfRule type="expression" dxfId="2861" priority="626">
      <formula>AND(IF($Q90=3,1,0),IF($X90&lt;30,1,0))</formula>
    </cfRule>
    <cfRule type="expression" dxfId="2860" priority="627">
      <formula>AND(IF($Q90=3,1,IF($Q90=4,1,0)),IF($F90&lt;=85,1,0))</formula>
    </cfRule>
  </conditionalFormatting>
  <conditionalFormatting sqref="X90">
    <cfRule type="expression" dxfId="2859" priority="620">
      <formula>AND(IF(OR($Q90=1,$Q90=2),1,0),IF($X90&lt;=20,1,0))</formula>
    </cfRule>
    <cfRule type="expression" dxfId="2858" priority="621">
      <formula>AND(IF($Q90=2,1,0),IF($X90&lt;30,1,0))</formula>
    </cfRule>
    <cfRule type="expression" dxfId="2857" priority="622">
      <formula>AND(IF($Q90=3,1,0),IF($X90&lt;30,1,0))</formula>
    </cfRule>
    <cfRule type="expression" dxfId="2856" priority="623">
      <formula>AND(IF($Q90=3,1,IF($Q90=4,1,0)),IF($F90&lt;=85,1,0))</formula>
    </cfRule>
  </conditionalFormatting>
  <conditionalFormatting sqref="AI90">
    <cfRule type="expression" dxfId="2855" priority="616">
      <formula>AND(IF(OR($Q90=1,$Q90=2),1,0),IF($X90&lt;=20,1,0))</formula>
    </cfRule>
    <cfRule type="expression" dxfId="2854" priority="617">
      <formula>AND(IF($Q90=2,1,0),IF($X90&lt;30,1,0))</formula>
    </cfRule>
    <cfRule type="expression" dxfId="2853" priority="618">
      <formula>AND(IF($Q90=3,1,0),IF($X90&lt;30,1,0))</formula>
    </cfRule>
    <cfRule type="expression" dxfId="2852" priority="619">
      <formula>AND(IF($Q90=3,1,IF($Q90=4,1,0)),IF($F90&lt;=85,1,0))</formula>
    </cfRule>
  </conditionalFormatting>
  <conditionalFormatting sqref="AV91">
    <cfRule type="expression" dxfId="2851" priority="614">
      <formula>AV91="X"</formula>
    </cfRule>
    <cfRule type="expression" dxfId="2850" priority="615">
      <formula>AV91="후보"</formula>
    </cfRule>
  </conditionalFormatting>
  <conditionalFormatting sqref="AC91">
    <cfRule type="cellIs" dxfId="2849" priority="611" operator="greaterThan">
      <formula>0.9</formula>
    </cfRule>
    <cfRule type="cellIs" dxfId="2848" priority="612" operator="greaterThan">
      <formula>0.85</formula>
    </cfRule>
  </conditionalFormatting>
  <conditionalFormatting sqref="N91">
    <cfRule type="cellIs" dxfId="2847" priority="609" operator="greaterThan">
      <formula>0.9</formula>
    </cfRule>
    <cfRule type="cellIs" dxfId="2846" priority="610" operator="greaterThan">
      <formula>0.85</formula>
    </cfRule>
  </conditionalFormatting>
  <conditionalFormatting sqref="E91">
    <cfRule type="expression" dxfId="2845" priority="605">
      <formula>AND(IF(OR($Q91=1,$Q91=2),1,0),IF($X91&lt;=20,1,0))</formula>
    </cfRule>
    <cfRule type="expression" dxfId="2844" priority="606">
      <formula>AND(IF($Q91=2,1,0),IF($X91&lt;30,1,0))</formula>
    </cfRule>
    <cfRule type="expression" dxfId="2843" priority="607">
      <formula>AND(IF($Q91=3,1,0),IF($X91&lt;30,1,0))</formula>
    </cfRule>
    <cfRule type="expression" dxfId="2842" priority="608">
      <formula>AND(IF($Q91=3,1,IF($Q91=4,1,0)),IF($F91&lt;=85,1,0))</formula>
    </cfRule>
  </conditionalFormatting>
  <conditionalFormatting sqref="X91">
    <cfRule type="expression" dxfId="2841" priority="601">
      <formula>AND(IF(OR($Q91=1,$Q91=2),1,0),IF($X91&lt;=20,1,0))</formula>
    </cfRule>
    <cfRule type="expression" dxfId="2840" priority="602">
      <formula>AND(IF($Q91=2,1,0),IF($X91&lt;30,1,0))</formula>
    </cfRule>
    <cfRule type="expression" dxfId="2839" priority="603">
      <formula>AND(IF($Q91=3,1,0),IF($X91&lt;30,1,0))</formula>
    </cfRule>
    <cfRule type="expression" dxfId="2838" priority="604">
      <formula>AND(IF($Q91=3,1,IF($Q91=4,1,0)),IF($F91&lt;=85,1,0))</formula>
    </cfRule>
  </conditionalFormatting>
  <conditionalFormatting sqref="AI91">
    <cfRule type="expression" dxfId="2837" priority="597">
      <formula>AND(IF(OR($Q91=1,$Q91=2),1,0),IF($X91&lt;=20,1,0))</formula>
    </cfRule>
    <cfRule type="expression" dxfId="2836" priority="598">
      <formula>AND(IF($Q91=2,1,0),IF($X91&lt;30,1,0))</formula>
    </cfRule>
    <cfRule type="expression" dxfId="2835" priority="599">
      <formula>AND(IF($Q91=3,1,0),IF($X91&lt;30,1,0))</formula>
    </cfRule>
    <cfRule type="expression" dxfId="2834" priority="600">
      <formula>AND(IF($Q91=3,1,IF($Q91=4,1,0)),IF($F91&lt;=85,1,0))</formula>
    </cfRule>
  </conditionalFormatting>
  <conditionalFormatting sqref="AV92">
    <cfRule type="expression" dxfId="2833" priority="595">
      <formula>AV92="X"</formula>
    </cfRule>
    <cfRule type="expression" dxfId="2832" priority="596">
      <formula>AV92="후보"</formula>
    </cfRule>
  </conditionalFormatting>
  <conditionalFormatting sqref="AC92 N92">
    <cfRule type="cellIs" dxfId="2831" priority="592" operator="greaterThan">
      <formula>0.9</formula>
    </cfRule>
    <cfRule type="cellIs" dxfId="2830" priority="593" operator="greaterThan">
      <formula>0.85</formula>
    </cfRule>
  </conditionalFormatting>
  <conditionalFormatting sqref="AV93">
    <cfRule type="expression" dxfId="2829" priority="590">
      <formula>AV93="X"</formula>
    </cfRule>
    <cfRule type="expression" dxfId="2828" priority="591">
      <formula>AV93="후보"</formula>
    </cfRule>
  </conditionalFormatting>
  <conditionalFormatting sqref="AC93">
    <cfRule type="cellIs" dxfId="2827" priority="587" operator="greaterThan">
      <formula>0.9</formula>
    </cfRule>
    <cfRule type="cellIs" dxfId="2826" priority="588" operator="greaterThan">
      <formula>0.85</formula>
    </cfRule>
  </conditionalFormatting>
  <conditionalFormatting sqref="N93">
    <cfRule type="cellIs" dxfId="2825" priority="585" operator="greaterThan">
      <formula>0.9</formula>
    </cfRule>
    <cfRule type="cellIs" dxfId="2824" priority="586" operator="greaterThan">
      <formula>0.85</formula>
    </cfRule>
  </conditionalFormatting>
  <conditionalFormatting sqref="E93">
    <cfRule type="expression" dxfId="2823" priority="581">
      <formula>AND(IF(OR($Q93=1,$Q93=2),1,0),IF($X93&lt;=20,1,0))</formula>
    </cfRule>
    <cfRule type="expression" dxfId="2822" priority="582">
      <formula>AND(IF($Q93=2,1,0),IF($X93&lt;30,1,0))</formula>
    </cfRule>
    <cfRule type="expression" dxfId="2821" priority="583">
      <formula>AND(IF($Q93=3,1,0),IF($X93&lt;30,1,0))</formula>
    </cfRule>
    <cfRule type="expression" dxfId="2820" priority="584">
      <formula>AND(IF($Q93=3,1,IF($Q93=4,1,0)),IF($F93&lt;=85,1,0))</formula>
    </cfRule>
  </conditionalFormatting>
  <conditionalFormatting sqref="X93">
    <cfRule type="expression" dxfId="2819" priority="577">
      <formula>AND(IF(OR($Q93=1,$Q93=2),1,0),IF($X93&lt;=20,1,0))</formula>
    </cfRule>
    <cfRule type="expression" dxfId="2818" priority="578">
      <formula>AND(IF($Q93=2,1,0),IF($X93&lt;30,1,0))</formula>
    </cfRule>
    <cfRule type="expression" dxfId="2817" priority="579">
      <formula>AND(IF($Q93=3,1,0),IF($X93&lt;30,1,0))</formula>
    </cfRule>
    <cfRule type="expression" dxfId="2816" priority="580">
      <formula>AND(IF($Q93=3,1,IF($Q93=4,1,0)),IF($F93&lt;=85,1,0))</formula>
    </cfRule>
  </conditionalFormatting>
  <conditionalFormatting sqref="AI93">
    <cfRule type="expression" dxfId="2815" priority="573">
      <formula>AND(IF(OR($Q93=1,$Q93=2),1,0),IF($X93&lt;=20,1,0))</formula>
    </cfRule>
    <cfRule type="expression" dxfId="2814" priority="574">
      <formula>AND(IF($Q93=2,1,0),IF($X93&lt;30,1,0))</formula>
    </cfRule>
    <cfRule type="expression" dxfId="2813" priority="575">
      <formula>AND(IF($Q93=3,1,0),IF($X93&lt;30,1,0))</formula>
    </cfRule>
    <cfRule type="expression" dxfId="2812" priority="576">
      <formula>AND(IF($Q93=3,1,IF($Q93=4,1,0)),IF($F93&lt;=85,1,0))</formula>
    </cfRule>
  </conditionalFormatting>
  <conditionalFormatting sqref="AV94">
    <cfRule type="expression" dxfId="2811" priority="571">
      <formula>AV94="X"</formula>
    </cfRule>
    <cfRule type="expression" dxfId="2810" priority="572">
      <formula>AV94="후보"</formula>
    </cfRule>
  </conditionalFormatting>
  <conditionalFormatting sqref="AC94">
    <cfRule type="cellIs" dxfId="2809" priority="568" operator="greaterThan">
      <formula>0.9</formula>
    </cfRule>
    <cfRule type="cellIs" dxfId="2808" priority="569" operator="greaterThan">
      <formula>0.85</formula>
    </cfRule>
  </conditionalFormatting>
  <conditionalFormatting sqref="N94">
    <cfRule type="cellIs" dxfId="2807" priority="566" operator="greaterThan">
      <formula>0.9</formula>
    </cfRule>
    <cfRule type="cellIs" dxfId="2806" priority="567" operator="greaterThan">
      <formula>0.85</formula>
    </cfRule>
  </conditionalFormatting>
  <conditionalFormatting sqref="E94">
    <cfRule type="expression" dxfId="2805" priority="562">
      <formula>AND(IF(OR($Q94=1,$Q94=2),1,0),IF($X94&lt;=20,1,0))</formula>
    </cfRule>
    <cfRule type="expression" dxfId="2804" priority="563">
      <formula>AND(IF($Q94=2,1,0),IF($X94&lt;30,1,0))</formula>
    </cfRule>
    <cfRule type="expression" dxfId="2803" priority="564">
      <formula>AND(IF($Q94=3,1,0),IF($X94&lt;30,1,0))</formula>
    </cfRule>
    <cfRule type="expression" dxfId="2802" priority="565">
      <formula>AND(IF($Q94=3,1,IF($Q94=4,1,0)),IF($F94&lt;=85,1,0))</formula>
    </cfRule>
  </conditionalFormatting>
  <conditionalFormatting sqref="X94">
    <cfRule type="expression" dxfId="2801" priority="558">
      <formula>AND(IF(OR($Q94=1,$Q94=2),1,0),IF($X94&lt;=20,1,0))</formula>
    </cfRule>
    <cfRule type="expression" dxfId="2800" priority="559">
      <formula>AND(IF($Q94=2,1,0),IF($X94&lt;30,1,0))</formula>
    </cfRule>
    <cfRule type="expression" dxfId="2799" priority="560">
      <formula>AND(IF($Q94=3,1,0),IF($X94&lt;30,1,0))</formula>
    </cfRule>
    <cfRule type="expression" dxfId="2798" priority="561">
      <formula>AND(IF($Q94=3,1,IF($Q94=4,1,0)),IF($F94&lt;=85,1,0))</formula>
    </cfRule>
  </conditionalFormatting>
  <conditionalFormatting sqref="AI94">
    <cfRule type="expression" dxfId="2797" priority="554">
      <formula>AND(IF(OR($Q94=1,$Q94=2),1,0),IF($X94&lt;=20,1,0))</formula>
    </cfRule>
    <cfRule type="expression" dxfId="2796" priority="555">
      <formula>AND(IF($Q94=2,1,0),IF($X94&lt;30,1,0))</formula>
    </cfRule>
    <cfRule type="expression" dxfId="2795" priority="556">
      <formula>AND(IF($Q94=3,1,0),IF($X94&lt;30,1,0))</formula>
    </cfRule>
    <cfRule type="expression" dxfId="2794" priority="557">
      <formula>AND(IF($Q94=3,1,IF($Q94=4,1,0)),IF($F94&lt;=85,1,0))</formula>
    </cfRule>
  </conditionalFormatting>
  <conditionalFormatting sqref="AV95">
    <cfRule type="expression" dxfId="2793" priority="552">
      <formula>AV95="X"</formula>
    </cfRule>
    <cfRule type="expression" dxfId="2792" priority="553">
      <formula>AV95="후보"</formula>
    </cfRule>
  </conditionalFormatting>
  <conditionalFormatting sqref="AC95 N95">
    <cfRule type="cellIs" dxfId="2791" priority="549" operator="greaterThan">
      <formula>0.9</formula>
    </cfRule>
    <cfRule type="cellIs" dxfId="2790" priority="550" operator="greaterThan">
      <formula>0.85</formula>
    </cfRule>
  </conditionalFormatting>
  <conditionalFormatting sqref="AV96">
    <cfRule type="expression" dxfId="2789" priority="547">
      <formula>AV96="X"</formula>
    </cfRule>
    <cfRule type="expression" dxfId="2788" priority="548">
      <formula>AV96="후보"</formula>
    </cfRule>
  </conditionalFormatting>
  <conditionalFormatting sqref="AC96">
    <cfRule type="cellIs" dxfId="2787" priority="544" operator="greaterThan">
      <formula>0.9</formula>
    </cfRule>
    <cfRule type="cellIs" dxfId="2786" priority="545" operator="greaterThan">
      <formula>0.85</formula>
    </cfRule>
  </conditionalFormatting>
  <conditionalFormatting sqref="N96">
    <cfRule type="cellIs" dxfId="2785" priority="542" operator="greaterThan">
      <formula>0.9</formula>
    </cfRule>
    <cfRule type="cellIs" dxfId="2784" priority="543" operator="greaterThan">
      <formula>0.85</formula>
    </cfRule>
  </conditionalFormatting>
  <conditionalFormatting sqref="E96">
    <cfRule type="expression" dxfId="2783" priority="538">
      <formula>AND(IF(OR($Q96=1,$Q96=2),1,0),IF($X96&lt;=20,1,0))</formula>
    </cfRule>
    <cfRule type="expression" dxfId="2782" priority="539">
      <formula>AND(IF($Q96=2,1,0),IF($X96&lt;30,1,0))</formula>
    </cfRule>
    <cfRule type="expression" dxfId="2781" priority="540">
      <formula>AND(IF($Q96=3,1,0),IF($X96&lt;30,1,0))</formula>
    </cfRule>
    <cfRule type="expression" dxfId="2780" priority="541">
      <formula>AND(IF($Q96=3,1,IF($Q96=4,1,0)),IF($F96&lt;=85,1,0))</formula>
    </cfRule>
  </conditionalFormatting>
  <conditionalFormatting sqref="X96">
    <cfRule type="expression" dxfId="2779" priority="534">
      <formula>AND(IF(OR($Q96=1,$Q96=2),1,0),IF($X96&lt;=20,1,0))</formula>
    </cfRule>
    <cfRule type="expression" dxfId="2778" priority="535">
      <formula>AND(IF($Q96=2,1,0),IF($X96&lt;30,1,0))</formula>
    </cfRule>
    <cfRule type="expression" dxfId="2777" priority="536">
      <formula>AND(IF($Q96=3,1,0),IF($X96&lt;30,1,0))</formula>
    </cfRule>
    <cfRule type="expression" dxfId="2776" priority="537">
      <formula>AND(IF($Q96=3,1,IF($Q96=4,1,0)),IF($F96&lt;=85,1,0))</formula>
    </cfRule>
  </conditionalFormatting>
  <conditionalFormatting sqref="AI96">
    <cfRule type="expression" dxfId="2775" priority="530">
      <formula>AND(IF(OR($Q96=1,$Q96=2),1,0),IF($X96&lt;=20,1,0))</formula>
    </cfRule>
    <cfRule type="expression" dxfId="2774" priority="531">
      <formula>AND(IF($Q96=2,1,0),IF($X96&lt;30,1,0))</formula>
    </cfRule>
    <cfRule type="expression" dxfId="2773" priority="532">
      <formula>AND(IF($Q96=3,1,0),IF($X96&lt;30,1,0))</formula>
    </cfRule>
    <cfRule type="expression" dxfId="2772" priority="533">
      <formula>AND(IF($Q96=3,1,IF($Q96=4,1,0)),IF($F96&lt;=85,1,0))</formula>
    </cfRule>
  </conditionalFormatting>
  <conditionalFormatting sqref="AV97">
    <cfRule type="expression" dxfId="2771" priority="528">
      <formula>AV97="X"</formula>
    </cfRule>
    <cfRule type="expression" dxfId="2770" priority="529">
      <formula>AV97="후보"</formula>
    </cfRule>
  </conditionalFormatting>
  <conditionalFormatting sqref="AC97">
    <cfRule type="cellIs" dxfId="2769" priority="525" operator="greaterThan">
      <formula>0.9</formula>
    </cfRule>
    <cfRule type="cellIs" dxfId="2768" priority="526" operator="greaterThan">
      <formula>0.85</formula>
    </cfRule>
  </conditionalFormatting>
  <conditionalFormatting sqref="N97">
    <cfRule type="cellIs" dxfId="2767" priority="523" operator="greaterThan">
      <formula>0.9</formula>
    </cfRule>
    <cfRule type="cellIs" dxfId="2766" priority="524" operator="greaterThan">
      <formula>0.85</formula>
    </cfRule>
  </conditionalFormatting>
  <conditionalFormatting sqref="E97">
    <cfRule type="expression" dxfId="2765" priority="519">
      <formula>AND(IF(OR($Q97=1,$Q97=2),1,0),IF($X97&lt;=20,1,0))</formula>
    </cfRule>
    <cfRule type="expression" dxfId="2764" priority="520">
      <formula>AND(IF($Q97=2,1,0),IF($X97&lt;30,1,0))</formula>
    </cfRule>
    <cfRule type="expression" dxfId="2763" priority="521">
      <formula>AND(IF($Q97=3,1,0),IF($X97&lt;30,1,0))</formula>
    </cfRule>
    <cfRule type="expression" dxfId="2762" priority="522">
      <formula>AND(IF($Q97=3,1,IF($Q97=4,1,0)),IF($F97&lt;=85,1,0))</formula>
    </cfRule>
  </conditionalFormatting>
  <conditionalFormatting sqref="X97">
    <cfRule type="expression" dxfId="2761" priority="515">
      <formula>AND(IF(OR($Q97=1,$Q97=2),1,0),IF($X97&lt;=20,1,0))</formula>
    </cfRule>
    <cfRule type="expression" dxfId="2760" priority="516">
      <formula>AND(IF($Q97=2,1,0),IF($X97&lt;30,1,0))</formula>
    </cfRule>
    <cfRule type="expression" dxfId="2759" priority="517">
      <formula>AND(IF($Q97=3,1,0),IF($X97&lt;30,1,0))</formula>
    </cfRule>
    <cfRule type="expression" dxfId="2758" priority="518">
      <formula>AND(IF($Q97=3,1,IF($Q97=4,1,0)),IF($F97&lt;=85,1,0))</formula>
    </cfRule>
  </conditionalFormatting>
  <conditionalFormatting sqref="AI97">
    <cfRule type="expression" dxfId="2757" priority="511">
      <formula>AND(IF(OR($Q97=1,$Q97=2),1,0),IF($X97&lt;=20,1,0))</formula>
    </cfRule>
    <cfRule type="expression" dxfId="2756" priority="512">
      <formula>AND(IF($Q97=2,1,0),IF($X97&lt;30,1,0))</formula>
    </cfRule>
    <cfRule type="expression" dxfId="2755" priority="513">
      <formula>AND(IF($Q97=3,1,0),IF($X97&lt;30,1,0))</formula>
    </cfRule>
    <cfRule type="expression" dxfId="2754" priority="514">
      <formula>AND(IF($Q97=3,1,IF($Q97=4,1,0)),IF($F97&lt;=85,1,0))</formula>
    </cfRule>
  </conditionalFormatting>
  <conditionalFormatting sqref="AV98">
    <cfRule type="expression" dxfId="2753" priority="509">
      <formula>AV98="X"</formula>
    </cfRule>
    <cfRule type="expression" dxfId="2752" priority="510">
      <formula>AV98="후보"</formula>
    </cfRule>
  </conditionalFormatting>
  <conditionalFormatting sqref="AC98">
    <cfRule type="cellIs" dxfId="2751" priority="506" operator="greaterThan">
      <formula>0.9</formula>
    </cfRule>
    <cfRule type="cellIs" dxfId="2750" priority="507" operator="greaterThan">
      <formula>0.85</formula>
    </cfRule>
  </conditionalFormatting>
  <conditionalFormatting sqref="N98">
    <cfRule type="cellIs" dxfId="2749" priority="504" operator="greaterThan">
      <formula>0.9</formula>
    </cfRule>
    <cfRule type="cellIs" dxfId="2748" priority="505" operator="greaterThan">
      <formula>0.85</formula>
    </cfRule>
  </conditionalFormatting>
  <conditionalFormatting sqref="E98">
    <cfRule type="expression" dxfId="2747" priority="500">
      <formula>AND(IF(OR($Q98=1,$Q98=2),1,0),IF($X98&lt;=20,1,0))</formula>
    </cfRule>
    <cfRule type="expression" dxfId="2746" priority="501">
      <formula>AND(IF($Q98=2,1,0),IF($X98&lt;30,1,0))</formula>
    </cfRule>
    <cfRule type="expression" dxfId="2745" priority="502">
      <formula>AND(IF($Q98=3,1,0),IF($X98&lt;30,1,0))</formula>
    </cfRule>
    <cfRule type="expression" dxfId="2744" priority="503">
      <formula>AND(IF($Q98=3,1,IF($Q98=4,1,0)),IF($F98&lt;=85,1,0))</formula>
    </cfRule>
  </conditionalFormatting>
  <conditionalFormatting sqref="X98">
    <cfRule type="expression" dxfId="2743" priority="496">
      <formula>AND(IF(OR($Q98=1,$Q98=2),1,0),IF($X98&lt;=20,1,0))</formula>
    </cfRule>
    <cfRule type="expression" dxfId="2742" priority="497">
      <formula>AND(IF($Q98=2,1,0),IF($X98&lt;30,1,0))</formula>
    </cfRule>
    <cfRule type="expression" dxfId="2741" priority="498">
      <formula>AND(IF($Q98=3,1,0),IF($X98&lt;30,1,0))</formula>
    </cfRule>
    <cfRule type="expression" dxfId="2740" priority="499">
      <formula>AND(IF($Q98=3,1,IF($Q98=4,1,0)),IF($F98&lt;=85,1,0))</formula>
    </cfRule>
  </conditionalFormatting>
  <conditionalFormatting sqref="AI98">
    <cfRule type="expression" dxfId="2739" priority="492">
      <formula>AND(IF(OR($Q98=1,$Q98=2),1,0),IF($X98&lt;=20,1,0))</formula>
    </cfRule>
    <cfRule type="expression" dxfId="2738" priority="493">
      <formula>AND(IF($Q98=2,1,0),IF($X98&lt;30,1,0))</formula>
    </cfRule>
    <cfRule type="expression" dxfId="2737" priority="494">
      <formula>AND(IF($Q98=3,1,0),IF($X98&lt;30,1,0))</formula>
    </cfRule>
    <cfRule type="expression" dxfId="2736" priority="495">
      <formula>AND(IF($Q98=3,1,IF($Q98=4,1,0)),IF($F98&lt;=85,1,0))</formula>
    </cfRule>
  </conditionalFormatting>
  <conditionalFormatting sqref="AV99">
    <cfRule type="expression" dxfId="2735" priority="490">
      <formula>AV99="X"</formula>
    </cfRule>
    <cfRule type="expression" dxfId="2734" priority="491">
      <formula>AV99="후보"</formula>
    </cfRule>
  </conditionalFormatting>
  <conditionalFormatting sqref="AC99 N99">
    <cfRule type="cellIs" dxfId="2733" priority="487" operator="greaterThan">
      <formula>0.9</formula>
    </cfRule>
    <cfRule type="cellIs" dxfId="2732" priority="488" operator="greaterThan">
      <formula>0.85</formula>
    </cfRule>
  </conditionalFormatting>
  <conditionalFormatting sqref="AV100">
    <cfRule type="expression" dxfId="2731" priority="485">
      <formula>AV100="X"</formula>
    </cfRule>
    <cfRule type="expression" dxfId="2730" priority="486">
      <formula>AV100="후보"</formula>
    </cfRule>
  </conditionalFormatting>
  <conditionalFormatting sqref="AC100">
    <cfRule type="cellIs" dxfId="2729" priority="482" operator="greaterThan">
      <formula>0.9</formula>
    </cfRule>
    <cfRule type="cellIs" dxfId="2728" priority="483" operator="greaterThan">
      <formula>0.85</formula>
    </cfRule>
  </conditionalFormatting>
  <conditionalFormatting sqref="N100">
    <cfRule type="cellIs" dxfId="2727" priority="480" operator="greaterThan">
      <formula>0.9</formula>
    </cfRule>
    <cfRule type="cellIs" dxfId="2726" priority="481" operator="greaterThan">
      <formula>0.85</formula>
    </cfRule>
  </conditionalFormatting>
  <conditionalFormatting sqref="E100">
    <cfRule type="expression" dxfId="2725" priority="476">
      <formula>AND(IF(OR($Q100=1,$Q100=2),1,0),IF($X100&lt;=20,1,0))</formula>
    </cfRule>
    <cfRule type="expression" dxfId="2724" priority="477">
      <formula>AND(IF($Q100=2,1,0),IF($X100&lt;30,1,0))</formula>
    </cfRule>
    <cfRule type="expression" dxfId="2723" priority="478">
      <formula>AND(IF($Q100=3,1,0),IF($X100&lt;30,1,0))</formula>
    </cfRule>
    <cfRule type="expression" dxfId="2722" priority="479">
      <formula>AND(IF($Q100=3,1,IF($Q100=4,1,0)),IF($F100&lt;=85,1,0))</formula>
    </cfRule>
  </conditionalFormatting>
  <conditionalFormatting sqref="X100">
    <cfRule type="expression" dxfId="2721" priority="472">
      <formula>AND(IF(OR($Q100=1,$Q100=2),1,0),IF($X100&lt;=20,1,0))</formula>
    </cfRule>
    <cfRule type="expression" dxfId="2720" priority="473">
      <formula>AND(IF($Q100=2,1,0),IF($X100&lt;30,1,0))</formula>
    </cfRule>
    <cfRule type="expression" dxfId="2719" priority="474">
      <formula>AND(IF($Q100=3,1,0),IF($X100&lt;30,1,0))</formula>
    </cfRule>
    <cfRule type="expression" dxfId="2718" priority="475">
      <formula>AND(IF($Q100=3,1,IF($Q100=4,1,0)),IF($F100&lt;=85,1,0))</formula>
    </cfRule>
  </conditionalFormatting>
  <conditionalFormatting sqref="AI100">
    <cfRule type="expression" dxfId="2717" priority="468">
      <formula>AND(IF(OR($Q100=1,$Q100=2),1,0),IF($X100&lt;=20,1,0))</formula>
    </cfRule>
    <cfRule type="expression" dxfId="2716" priority="469">
      <formula>AND(IF($Q100=2,1,0),IF($X100&lt;30,1,0))</formula>
    </cfRule>
    <cfRule type="expression" dxfId="2715" priority="470">
      <formula>AND(IF($Q100=3,1,0),IF($X100&lt;30,1,0))</formula>
    </cfRule>
    <cfRule type="expression" dxfId="2714" priority="471">
      <formula>AND(IF($Q100=3,1,IF($Q100=4,1,0)),IF($F100&lt;=85,1,0))</formula>
    </cfRule>
  </conditionalFormatting>
  <conditionalFormatting sqref="AV101">
    <cfRule type="expression" dxfId="2713" priority="466">
      <formula>AV101="X"</formula>
    </cfRule>
    <cfRule type="expression" dxfId="2712" priority="467">
      <formula>AV101="후보"</formula>
    </cfRule>
  </conditionalFormatting>
  <conditionalFormatting sqref="AC101">
    <cfRule type="cellIs" dxfId="2711" priority="463" operator="greaterThan">
      <formula>0.9</formula>
    </cfRule>
    <cfRule type="cellIs" dxfId="2710" priority="464" operator="greaterThan">
      <formula>0.85</formula>
    </cfRule>
  </conditionalFormatting>
  <conditionalFormatting sqref="N101">
    <cfRule type="cellIs" dxfId="2709" priority="461" operator="greaterThan">
      <formula>0.9</formula>
    </cfRule>
    <cfRule type="cellIs" dxfId="2708" priority="462" operator="greaterThan">
      <formula>0.85</formula>
    </cfRule>
  </conditionalFormatting>
  <conditionalFormatting sqref="E101">
    <cfRule type="expression" dxfId="2707" priority="457">
      <formula>AND(IF(OR($Q101=1,$Q101=2),1,0),IF($X101&lt;=20,1,0))</formula>
    </cfRule>
    <cfRule type="expression" dxfId="2706" priority="458">
      <formula>AND(IF($Q101=2,1,0),IF($X101&lt;30,1,0))</formula>
    </cfRule>
    <cfRule type="expression" dxfId="2705" priority="459">
      <formula>AND(IF($Q101=3,1,0),IF($X101&lt;30,1,0))</formula>
    </cfRule>
    <cfRule type="expression" dxfId="2704" priority="460">
      <formula>AND(IF($Q101=3,1,IF($Q101=4,1,0)),IF($F101&lt;=85,1,0))</formula>
    </cfRule>
  </conditionalFormatting>
  <conditionalFormatting sqref="X101">
    <cfRule type="expression" dxfId="2703" priority="453">
      <formula>AND(IF(OR($Q101=1,$Q101=2),1,0),IF($X101&lt;=20,1,0))</formula>
    </cfRule>
    <cfRule type="expression" dxfId="2702" priority="454">
      <formula>AND(IF($Q101=2,1,0),IF($X101&lt;30,1,0))</formula>
    </cfRule>
    <cfRule type="expression" dxfId="2701" priority="455">
      <formula>AND(IF($Q101=3,1,0),IF($X101&lt;30,1,0))</formula>
    </cfRule>
    <cfRule type="expression" dxfId="2700" priority="456">
      <formula>AND(IF($Q101=3,1,IF($Q101=4,1,0)),IF($F101&lt;=85,1,0))</formula>
    </cfRule>
  </conditionalFormatting>
  <conditionalFormatting sqref="AI101">
    <cfRule type="expression" dxfId="2699" priority="449">
      <formula>AND(IF(OR($Q101=1,$Q101=2),1,0),IF($X101&lt;=20,1,0))</formula>
    </cfRule>
    <cfRule type="expression" dxfId="2698" priority="450">
      <formula>AND(IF($Q101=2,1,0),IF($X101&lt;30,1,0))</formula>
    </cfRule>
    <cfRule type="expression" dxfId="2697" priority="451">
      <formula>AND(IF($Q101=3,1,0),IF($X101&lt;30,1,0))</formula>
    </cfRule>
    <cfRule type="expression" dxfId="2696" priority="452">
      <formula>AND(IF($Q101=3,1,IF($Q101=4,1,0)),IF($F101&lt;=85,1,0))</formula>
    </cfRule>
  </conditionalFormatting>
  <conditionalFormatting sqref="AV102">
    <cfRule type="expression" dxfId="2695" priority="447">
      <formula>AV102="X"</formula>
    </cfRule>
    <cfRule type="expression" dxfId="2694" priority="448">
      <formula>AV102="후보"</formula>
    </cfRule>
  </conditionalFormatting>
  <conditionalFormatting sqref="AC102">
    <cfRule type="cellIs" dxfId="2693" priority="444" operator="greaterThan">
      <formula>0.9</formula>
    </cfRule>
    <cfRule type="cellIs" dxfId="2692" priority="445" operator="greaterThan">
      <formula>0.85</formula>
    </cfRule>
  </conditionalFormatting>
  <conditionalFormatting sqref="N102">
    <cfRule type="cellIs" dxfId="2691" priority="442" operator="greaterThan">
      <formula>0.9</formula>
    </cfRule>
    <cfRule type="cellIs" dxfId="2690" priority="443" operator="greaterThan">
      <formula>0.85</formula>
    </cfRule>
  </conditionalFormatting>
  <conditionalFormatting sqref="E102">
    <cfRule type="expression" dxfId="2689" priority="438">
      <formula>AND(IF(OR($Q102=1,$Q102=2),1,0),IF($X102&lt;=20,1,0))</formula>
    </cfRule>
    <cfRule type="expression" dxfId="2688" priority="439">
      <formula>AND(IF($Q102=2,1,0),IF($X102&lt;30,1,0))</formula>
    </cfRule>
    <cfRule type="expression" dxfId="2687" priority="440">
      <formula>AND(IF($Q102=3,1,0),IF($X102&lt;30,1,0))</formula>
    </cfRule>
    <cfRule type="expression" dxfId="2686" priority="441">
      <formula>AND(IF($Q102=3,1,IF($Q102=4,1,0)),IF($F102&lt;=85,1,0))</formula>
    </cfRule>
  </conditionalFormatting>
  <conditionalFormatting sqref="X102">
    <cfRule type="expression" dxfId="2685" priority="434">
      <formula>AND(IF(OR($Q102=1,$Q102=2),1,0),IF($X102&lt;=20,1,0))</formula>
    </cfRule>
    <cfRule type="expression" dxfId="2684" priority="435">
      <formula>AND(IF($Q102=2,1,0),IF($X102&lt;30,1,0))</formula>
    </cfRule>
    <cfRule type="expression" dxfId="2683" priority="436">
      <formula>AND(IF($Q102=3,1,0),IF($X102&lt;30,1,0))</formula>
    </cfRule>
    <cfRule type="expression" dxfId="2682" priority="437">
      <formula>AND(IF($Q102=3,1,IF($Q102=4,1,0)),IF($F102&lt;=85,1,0))</formula>
    </cfRule>
  </conditionalFormatting>
  <conditionalFormatting sqref="AI102">
    <cfRule type="expression" dxfId="2681" priority="430">
      <formula>AND(IF(OR($Q102=1,$Q102=2),1,0),IF($X102&lt;=20,1,0))</formula>
    </cfRule>
    <cfRule type="expression" dxfId="2680" priority="431">
      <formula>AND(IF($Q102=2,1,0),IF($X102&lt;30,1,0))</formula>
    </cfRule>
    <cfRule type="expression" dxfId="2679" priority="432">
      <formula>AND(IF($Q102=3,1,0),IF($X102&lt;30,1,0))</formula>
    </cfRule>
    <cfRule type="expression" dxfId="2678" priority="433">
      <formula>AND(IF($Q102=3,1,IF($Q102=4,1,0)),IF($F102&lt;=85,1,0))</formula>
    </cfRule>
  </conditionalFormatting>
  <conditionalFormatting sqref="AV103">
    <cfRule type="expression" dxfId="2677" priority="428">
      <formula>AV103="X"</formula>
    </cfRule>
    <cfRule type="expression" dxfId="2676" priority="429">
      <formula>AV103="후보"</formula>
    </cfRule>
  </conditionalFormatting>
  <conditionalFormatting sqref="AC103 N103">
    <cfRule type="cellIs" dxfId="2675" priority="425" operator="greaterThan">
      <formula>0.9</formula>
    </cfRule>
    <cfRule type="cellIs" dxfId="2674" priority="426" operator="greaterThan">
      <formula>0.85</formula>
    </cfRule>
  </conditionalFormatting>
  <conditionalFormatting sqref="AV104">
    <cfRule type="expression" dxfId="2673" priority="423">
      <formula>AV104="X"</formula>
    </cfRule>
    <cfRule type="expression" dxfId="2672" priority="424">
      <formula>AV104="후보"</formula>
    </cfRule>
  </conditionalFormatting>
  <conditionalFormatting sqref="AC104">
    <cfRule type="cellIs" dxfId="2671" priority="420" operator="greaterThan">
      <formula>0.9</formula>
    </cfRule>
    <cfRule type="cellIs" dxfId="2670" priority="421" operator="greaterThan">
      <formula>0.85</formula>
    </cfRule>
  </conditionalFormatting>
  <conditionalFormatting sqref="N104">
    <cfRule type="cellIs" dxfId="2669" priority="418" operator="greaterThan">
      <formula>0.9</formula>
    </cfRule>
    <cfRule type="cellIs" dxfId="2668" priority="419" operator="greaterThan">
      <formula>0.85</formula>
    </cfRule>
  </conditionalFormatting>
  <conditionalFormatting sqref="E104">
    <cfRule type="expression" dxfId="2667" priority="414">
      <formula>AND(IF(OR($Q104=1,$Q104=2),1,0),IF($X104&lt;=20,1,0))</formula>
    </cfRule>
    <cfRule type="expression" dxfId="2666" priority="415">
      <formula>AND(IF($Q104=2,1,0),IF($X104&lt;30,1,0))</formula>
    </cfRule>
    <cfRule type="expression" dxfId="2665" priority="416">
      <formula>AND(IF($Q104=3,1,0),IF($X104&lt;30,1,0))</formula>
    </cfRule>
    <cfRule type="expression" dxfId="2664" priority="417">
      <formula>AND(IF($Q104=3,1,IF($Q104=4,1,0)),IF($F104&lt;=85,1,0))</formula>
    </cfRule>
  </conditionalFormatting>
  <conditionalFormatting sqref="X104">
    <cfRule type="expression" dxfId="2663" priority="410">
      <formula>AND(IF(OR($Q104=1,$Q104=2),1,0),IF($X104&lt;=20,1,0))</formula>
    </cfRule>
    <cfRule type="expression" dxfId="2662" priority="411">
      <formula>AND(IF($Q104=2,1,0),IF($X104&lt;30,1,0))</formula>
    </cfRule>
    <cfRule type="expression" dxfId="2661" priority="412">
      <formula>AND(IF($Q104=3,1,0),IF($X104&lt;30,1,0))</formula>
    </cfRule>
    <cfRule type="expression" dxfId="2660" priority="413">
      <formula>AND(IF($Q104=3,1,IF($Q104=4,1,0)),IF($F104&lt;=85,1,0))</formula>
    </cfRule>
  </conditionalFormatting>
  <conditionalFormatting sqref="AI104">
    <cfRule type="expression" dxfId="2659" priority="406">
      <formula>AND(IF(OR($Q104=1,$Q104=2),1,0),IF($X104&lt;=20,1,0))</formula>
    </cfRule>
    <cfRule type="expression" dxfId="2658" priority="407">
      <formula>AND(IF($Q104=2,1,0),IF($X104&lt;30,1,0))</formula>
    </cfRule>
    <cfRule type="expression" dxfId="2657" priority="408">
      <formula>AND(IF($Q104=3,1,0),IF($X104&lt;30,1,0))</formula>
    </cfRule>
    <cfRule type="expression" dxfId="2656" priority="409">
      <formula>AND(IF($Q104=3,1,IF($Q104=4,1,0)),IF($F104&lt;=85,1,0))</formula>
    </cfRule>
  </conditionalFormatting>
  <conditionalFormatting sqref="AV105">
    <cfRule type="expression" dxfId="2655" priority="404">
      <formula>AV105="X"</formula>
    </cfRule>
    <cfRule type="expression" dxfId="2654" priority="405">
      <formula>AV105="후보"</formula>
    </cfRule>
  </conditionalFormatting>
  <conditionalFormatting sqref="AC105">
    <cfRule type="cellIs" dxfId="2653" priority="401" operator="greaterThan">
      <formula>0.9</formula>
    </cfRule>
    <cfRule type="cellIs" dxfId="2652" priority="402" operator="greaterThan">
      <formula>0.85</formula>
    </cfRule>
  </conditionalFormatting>
  <conditionalFormatting sqref="N105">
    <cfRule type="cellIs" dxfId="2651" priority="399" operator="greaterThan">
      <formula>0.9</formula>
    </cfRule>
    <cfRule type="cellIs" dxfId="2650" priority="400" operator="greaterThan">
      <formula>0.85</formula>
    </cfRule>
  </conditionalFormatting>
  <conditionalFormatting sqref="E105">
    <cfRule type="expression" dxfId="2649" priority="395">
      <formula>AND(IF(OR($Q105=1,$Q105=2),1,0),IF($X105&lt;=20,1,0))</formula>
    </cfRule>
    <cfRule type="expression" dxfId="2648" priority="396">
      <formula>AND(IF($Q105=2,1,0),IF($X105&lt;30,1,0))</formula>
    </cfRule>
    <cfRule type="expression" dxfId="2647" priority="397">
      <formula>AND(IF($Q105=3,1,0),IF($X105&lt;30,1,0))</formula>
    </cfRule>
    <cfRule type="expression" dxfId="2646" priority="398">
      <formula>AND(IF($Q105=3,1,IF($Q105=4,1,0)),IF($F105&lt;=85,1,0))</formula>
    </cfRule>
  </conditionalFormatting>
  <conditionalFormatting sqref="X105">
    <cfRule type="expression" dxfId="2645" priority="391">
      <formula>AND(IF(OR($Q105=1,$Q105=2),1,0),IF($X105&lt;=20,1,0))</formula>
    </cfRule>
    <cfRule type="expression" dxfId="2644" priority="392">
      <formula>AND(IF($Q105=2,1,0),IF($X105&lt;30,1,0))</formula>
    </cfRule>
    <cfRule type="expression" dxfId="2643" priority="393">
      <formula>AND(IF($Q105=3,1,0),IF($X105&lt;30,1,0))</formula>
    </cfRule>
    <cfRule type="expression" dxfId="2642" priority="394">
      <formula>AND(IF($Q105=3,1,IF($Q105=4,1,0)),IF($F105&lt;=85,1,0))</formula>
    </cfRule>
  </conditionalFormatting>
  <conditionalFormatting sqref="AI105">
    <cfRule type="expression" dxfId="2641" priority="387">
      <formula>AND(IF(OR($Q105=1,$Q105=2),1,0),IF($X105&lt;=20,1,0))</formula>
    </cfRule>
    <cfRule type="expression" dxfId="2640" priority="388">
      <formula>AND(IF($Q105=2,1,0),IF($X105&lt;30,1,0))</formula>
    </cfRule>
    <cfRule type="expression" dxfId="2639" priority="389">
      <formula>AND(IF($Q105=3,1,0),IF($X105&lt;30,1,0))</formula>
    </cfRule>
    <cfRule type="expression" dxfId="2638" priority="390">
      <formula>AND(IF($Q105=3,1,IF($Q105=4,1,0)),IF($F105&lt;=85,1,0))</formula>
    </cfRule>
  </conditionalFormatting>
  <conditionalFormatting sqref="AV106">
    <cfRule type="expression" dxfId="2637" priority="385">
      <formula>AV106="X"</formula>
    </cfRule>
    <cfRule type="expression" dxfId="2636" priority="386">
      <formula>AV106="후보"</formula>
    </cfRule>
  </conditionalFormatting>
  <conditionalFormatting sqref="AC106 N106">
    <cfRule type="cellIs" dxfId="2635" priority="382" operator="greaterThan">
      <formula>0.9</formula>
    </cfRule>
    <cfRule type="cellIs" dxfId="2634" priority="383" operator="greaterThan">
      <formula>0.85</formula>
    </cfRule>
  </conditionalFormatting>
  <conditionalFormatting sqref="AV107">
    <cfRule type="expression" dxfId="2633" priority="380">
      <formula>AV107="X"</formula>
    </cfRule>
    <cfRule type="expression" dxfId="2632" priority="381">
      <formula>AV107="후보"</formula>
    </cfRule>
  </conditionalFormatting>
  <conditionalFormatting sqref="AC107">
    <cfRule type="cellIs" dxfId="2631" priority="377" operator="greaterThan">
      <formula>0.9</formula>
    </cfRule>
    <cfRule type="cellIs" dxfId="2630" priority="378" operator="greaterThan">
      <formula>0.85</formula>
    </cfRule>
  </conditionalFormatting>
  <conditionalFormatting sqref="N107">
    <cfRule type="cellIs" dxfId="2629" priority="375" operator="greaterThan">
      <formula>0.9</formula>
    </cfRule>
    <cfRule type="cellIs" dxfId="2628" priority="376" operator="greaterThan">
      <formula>0.85</formula>
    </cfRule>
  </conditionalFormatting>
  <conditionalFormatting sqref="E107">
    <cfRule type="expression" dxfId="2627" priority="371">
      <formula>AND(IF(OR($Q107=1,$Q107=2),1,0),IF($X107&lt;=20,1,0))</formula>
    </cfRule>
    <cfRule type="expression" dxfId="2626" priority="372">
      <formula>AND(IF($Q107=2,1,0),IF($X107&lt;30,1,0))</formula>
    </cfRule>
    <cfRule type="expression" dxfId="2625" priority="373">
      <formula>AND(IF($Q107=3,1,0),IF($X107&lt;30,1,0))</formula>
    </cfRule>
    <cfRule type="expression" dxfId="2624" priority="374">
      <formula>AND(IF($Q107=3,1,IF($Q107=4,1,0)),IF($F107&lt;=85,1,0))</formula>
    </cfRule>
  </conditionalFormatting>
  <conditionalFormatting sqref="X107">
    <cfRule type="expression" dxfId="2623" priority="367">
      <formula>AND(IF(OR($Q107=1,$Q107=2),1,0),IF($X107&lt;=20,1,0))</formula>
    </cfRule>
    <cfRule type="expression" dxfId="2622" priority="368">
      <formula>AND(IF($Q107=2,1,0),IF($X107&lt;30,1,0))</formula>
    </cfRule>
    <cfRule type="expression" dxfId="2621" priority="369">
      <formula>AND(IF($Q107=3,1,0),IF($X107&lt;30,1,0))</formula>
    </cfRule>
    <cfRule type="expression" dxfId="2620" priority="370">
      <formula>AND(IF($Q107=3,1,IF($Q107=4,1,0)),IF($F107&lt;=85,1,0))</formula>
    </cfRule>
  </conditionalFormatting>
  <conditionalFormatting sqref="AI107">
    <cfRule type="expression" dxfId="2619" priority="363">
      <formula>AND(IF(OR($Q107=1,$Q107=2),1,0),IF($X107&lt;=20,1,0))</formula>
    </cfRule>
    <cfRule type="expression" dxfId="2618" priority="364">
      <formula>AND(IF($Q107=2,1,0),IF($X107&lt;30,1,0))</formula>
    </cfRule>
    <cfRule type="expression" dxfId="2617" priority="365">
      <formula>AND(IF($Q107=3,1,0),IF($X107&lt;30,1,0))</formula>
    </cfRule>
    <cfRule type="expression" dxfId="2616" priority="366">
      <formula>AND(IF($Q107=3,1,IF($Q107=4,1,0)),IF($F107&lt;=85,1,0))</formula>
    </cfRule>
  </conditionalFormatting>
  <conditionalFormatting sqref="AV108">
    <cfRule type="expression" dxfId="2615" priority="361">
      <formula>AV108="X"</formula>
    </cfRule>
    <cfRule type="expression" dxfId="2614" priority="362">
      <formula>AV108="후보"</formula>
    </cfRule>
  </conditionalFormatting>
  <conditionalFormatting sqref="AC108">
    <cfRule type="cellIs" dxfId="2613" priority="358" operator="greaterThan">
      <formula>0.9</formula>
    </cfRule>
    <cfRule type="cellIs" dxfId="2612" priority="359" operator="greaterThan">
      <formula>0.85</formula>
    </cfRule>
  </conditionalFormatting>
  <conditionalFormatting sqref="N108">
    <cfRule type="cellIs" dxfId="2611" priority="356" operator="greaterThan">
      <formula>0.9</formula>
    </cfRule>
    <cfRule type="cellIs" dxfId="2610" priority="357" operator="greaterThan">
      <formula>0.85</formula>
    </cfRule>
  </conditionalFormatting>
  <conditionalFormatting sqref="E108">
    <cfRule type="expression" dxfId="2609" priority="352">
      <formula>AND(IF(OR($Q108=1,$Q108=2),1,0),IF($X108&lt;=20,1,0))</formula>
    </cfRule>
    <cfRule type="expression" dxfId="2608" priority="353">
      <formula>AND(IF($Q108=2,1,0),IF($X108&lt;30,1,0))</formula>
    </cfRule>
    <cfRule type="expression" dxfId="2607" priority="354">
      <formula>AND(IF($Q108=3,1,0),IF($X108&lt;30,1,0))</formula>
    </cfRule>
    <cfRule type="expression" dxfId="2606" priority="355">
      <formula>AND(IF($Q108=3,1,IF($Q108=4,1,0)),IF($F108&lt;=85,1,0))</formula>
    </cfRule>
  </conditionalFormatting>
  <conditionalFormatting sqref="X108">
    <cfRule type="expression" dxfId="2605" priority="348">
      <formula>AND(IF(OR($Q108=1,$Q108=2),1,0),IF($X108&lt;=20,1,0))</formula>
    </cfRule>
    <cfRule type="expression" dxfId="2604" priority="349">
      <formula>AND(IF($Q108=2,1,0),IF($X108&lt;30,1,0))</formula>
    </cfRule>
    <cfRule type="expression" dxfId="2603" priority="350">
      <formula>AND(IF($Q108=3,1,0),IF($X108&lt;30,1,0))</formula>
    </cfRule>
    <cfRule type="expression" dxfId="2602" priority="351">
      <formula>AND(IF($Q108=3,1,IF($Q108=4,1,0)),IF($F108&lt;=85,1,0))</formula>
    </cfRule>
  </conditionalFormatting>
  <conditionalFormatting sqref="AI108">
    <cfRule type="expression" dxfId="2601" priority="344">
      <formula>AND(IF(OR($Q108=1,$Q108=2),1,0),IF($X108&lt;=20,1,0))</formula>
    </cfRule>
    <cfRule type="expression" dxfId="2600" priority="345">
      <formula>AND(IF($Q108=2,1,0),IF($X108&lt;30,1,0))</formula>
    </cfRule>
    <cfRule type="expression" dxfId="2599" priority="346">
      <formula>AND(IF($Q108=3,1,0),IF($X108&lt;30,1,0))</formula>
    </cfRule>
    <cfRule type="expression" dxfId="2598" priority="347">
      <formula>AND(IF($Q108=3,1,IF($Q108=4,1,0)),IF($F108&lt;=85,1,0))</formula>
    </cfRule>
  </conditionalFormatting>
  <conditionalFormatting sqref="AV109">
    <cfRule type="expression" dxfId="2597" priority="342">
      <formula>AV109="X"</formula>
    </cfRule>
    <cfRule type="expression" dxfId="2596" priority="343">
      <formula>AV109="후보"</formula>
    </cfRule>
  </conditionalFormatting>
  <conditionalFormatting sqref="AC109">
    <cfRule type="cellIs" dxfId="2595" priority="339" operator="greaterThan">
      <formula>0.9</formula>
    </cfRule>
    <cfRule type="cellIs" dxfId="2594" priority="340" operator="greaterThan">
      <formula>0.85</formula>
    </cfRule>
  </conditionalFormatting>
  <conditionalFormatting sqref="N109">
    <cfRule type="cellIs" dxfId="2593" priority="337" operator="greaterThan">
      <formula>0.9</formula>
    </cfRule>
    <cfRule type="cellIs" dxfId="2592" priority="338" operator="greaterThan">
      <formula>0.85</formula>
    </cfRule>
  </conditionalFormatting>
  <conditionalFormatting sqref="E109">
    <cfRule type="expression" dxfId="2591" priority="333">
      <formula>AND(IF(OR($Q109=1,$Q109=2),1,0),IF($X109&lt;=20,1,0))</formula>
    </cfRule>
    <cfRule type="expression" dxfId="2590" priority="334">
      <formula>AND(IF($Q109=2,1,0),IF($X109&lt;30,1,0))</formula>
    </cfRule>
    <cfRule type="expression" dxfId="2589" priority="335">
      <formula>AND(IF($Q109=3,1,0),IF($X109&lt;30,1,0))</formula>
    </cfRule>
    <cfRule type="expression" dxfId="2588" priority="336">
      <formula>AND(IF($Q109=3,1,IF($Q109=4,1,0)),IF($F109&lt;=85,1,0))</formula>
    </cfRule>
  </conditionalFormatting>
  <conditionalFormatting sqref="X109">
    <cfRule type="expression" dxfId="2587" priority="329">
      <formula>AND(IF(OR($Q109=1,$Q109=2),1,0),IF($X109&lt;=20,1,0))</formula>
    </cfRule>
    <cfRule type="expression" dxfId="2586" priority="330">
      <formula>AND(IF($Q109=2,1,0),IF($X109&lt;30,1,0))</formula>
    </cfRule>
    <cfRule type="expression" dxfId="2585" priority="331">
      <formula>AND(IF($Q109=3,1,0),IF($X109&lt;30,1,0))</formula>
    </cfRule>
    <cfRule type="expression" dxfId="2584" priority="332">
      <formula>AND(IF($Q109=3,1,IF($Q109=4,1,0)),IF($F109&lt;=85,1,0))</formula>
    </cfRule>
  </conditionalFormatting>
  <conditionalFormatting sqref="AI109">
    <cfRule type="expression" dxfId="2583" priority="325">
      <formula>AND(IF(OR($Q109=1,$Q109=2),1,0),IF($X109&lt;=20,1,0))</formula>
    </cfRule>
    <cfRule type="expression" dxfId="2582" priority="326">
      <formula>AND(IF($Q109=2,1,0),IF($X109&lt;30,1,0))</formula>
    </cfRule>
    <cfRule type="expression" dxfId="2581" priority="327">
      <formula>AND(IF($Q109=3,1,0),IF($X109&lt;30,1,0))</formula>
    </cfRule>
    <cfRule type="expression" dxfId="2580" priority="328">
      <formula>AND(IF($Q109=3,1,IF($Q109=4,1,0)),IF($F109&lt;=85,1,0))</formula>
    </cfRule>
  </conditionalFormatting>
  <conditionalFormatting sqref="AV110">
    <cfRule type="expression" dxfId="2579" priority="323">
      <formula>AV110="X"</formula>
    </cfRule>
    <cfRule type="expression" dxfId="2578" priority="324">
      <formula>AV110="후보"</formula>
    </cfRule>
  </conditionalFormatting>
  <conditionalFormatting sqref="AC110 N110">
    <cfRule type="cellIs" dxfId="2577" priority="320" operator="greaterThan">
      <formula>0.9</formula>
    </cfRule>
    <cfRule type="cellIs" dxfId="2576" priority="321" operator="greaterThan">
      <formula>0.85</formula>
    </cfRule>
  </conditionalFormatting>
  <conditionalFormatting sqref="AV111">
    <cfRule type="expression" dxfId="2575" priority="318">
      <formula>AV111="X"</formula>
    </cfRule>
    <cfRule type="expression" dxfId="2574" priority="319">
      <formula>AV111="후보"</formula>
    </cfRule>
  </conditionalFormatting>
  <conditionalFormatting sqref="AC111">
    <cfRule type="cellIs" dxfId="2573" priority="315" operator="greaterThan">
      <formula>0.9</formula>
    </cfRule>
    <cfRule type="cellIs" dxfId="2572" priority="316" operator="greaterThan">
      <formula>0.85</formula>
    </cfRule>
  </conditionalFormatting>
  <conditionalFormatting sqref="N111">
    <cfRule type="cellIs" dxfId="2571" priority="313" operator="greaterThan">
      <formula>0.9</formula>
    </cfRule>
    <cfRule type="cellIs" dxfId="2570" priority="314" operator="greaterThan">
      <formula>0.85</formula>
    </cfRule>
  </conditionalFormatting>
  <conditionalFormatting sqref="E111">
    <cfRule type="expression" dxfId="2569" priority="309">
      <formula>AND(IF(OR($Q111=1,$Q111=2),1,0),IF($X111&lt;=20,1,0))</formula>
    </cfRule>
    <cfRule type="expression" dxfId="2568" priority="310">
      <formula>AND(IF($Q111=2,1,0),IF($X111&lt;30,1,0))</formula>
    </cfRule>
    <cfRule type="expression" dxfId="2567" priority="311">
      <formula>AND(IF($Q111=3,1,0),IF($X111&lt;30,1,0))</formula>
    </cfRule>
    <cfRule type="expression" dxfId="2566" priority="312">
      <formula>AND(IF($Q111=3,1,IF($Q111=4,1,0)),IF($F111&lt;=85,1,0))</formula>
    </cfRule>
  </conditionalFormatting>
  <conditionalFormatting sqref="X111">
    <cfRule type="expression" dxfId="2565" priority="305">
      <formula>AND(IF(OR($Q111=1,$Q111=2),1,0),IF($X111&lt;=20,1,0))</formula>
    </cfRule>
    <cfRule type="expression" dxfId="2564" priority="306">
      <formula>AND(IF($Q111=2,1,0),IF($X111&lt;30,1,0))</formula>
    </cfRule>
    <cfRule type="expression" dxfId="2563" priority="307">
      <formula>AND(IF($Q111=3,1,0),IF($X111&lt;30,1,0))</formula>
    </cfRule>
    <cfRule type="expression" dxfId="2562" priority="308">
      <formula>AND(IF($Q111=3,1,IF($Q111=4,1,0)),IF($F111&lt;=85,1,0))</formula>
    </cfRule>
  </conditionalFormatting>
  <conditionalFormatting sqref="AI111">
    <cfRule type="expression" dxfId="2561" priority="301">
      <formula>AND(IF(OR($Q111=1,$Q111=2),1,0),IF($X111&lt;=20,1,0))</formula>
    </cfRule>
    <cfRule type="expression" dxfId="2560" priority="302">
      <formula>AND(IF($Q111=2,1,0),IF($X111&lt;30,1,0))</formula>
    </cfRule>
    <cfRule type="expression" dxfId="2559" priority="303">
      <formula>AND(IF($Q111=3,1,0),IF($X111&lt;30,1,0))</formula>
    </cfRule>
    <cfRule type="expression" dxfId="2558" priority="304">
      <formula>AND(IF($Q111=3,1,IF($Q111=4,1,0)),IF($F111&lt;=85,1,0))</formula>
    </cfRule>
  </conditionalFormatting>
  <conditionalFormatting sqref="AV112">
    <cfRule type="expression" dxfId="2557" priority="299">
      <formula>AV112="X"</formula>
    </cfRule>
    <cfRule type="expression" dxfId="2556" priority="300">
      <formula>AV112="후보"</formula>
    </cfRule>
  </conditionalFormatting>
  <conditionalFormatting sqref="AC112">
    <cfRule type="cellIs" dxfId="2555" priority="296" operator="greaterThan">
      <formula>0.9</formula>
    </cfRule>
    <cfRule type="cellIs" dxfId="2554" priority="297" operator="greaterThan">
      <formula>0.85</formula>
    </cfRule>
  </conditionalFormatting>
  <conditionalFormatting sqref="N112">
    <cfRule type="cellIs" dxfId="2553" priority="294" operator="greaterThan">
      <formula>0.9</formula>
    </cfRule>
    <cfRule type="cellIs" dxfId="2552" priority="295" operator="greaterThan">
      <formula>0.85</formula>
    </cfRule>
  </conditionalFormatting>
  <conditionalFormatting sqref="E112">
    <cfRule type="expression" dxfId="2551" priority="290">
      <formula>AND(IF(OR($Q112=1,$Q112=2),1,0),IF($X112&lt;=20,1,0))</formula>
    </cfRule>
    <cfRule type="expression" dxfId="2550" priority="291">
      <formula>AND(IF($Q112=2,1,0),IF($X112&lt;30,1,0))</formula>
    </cfRule>
    <cfRule type="expression" dxfId="2549" priority="292">
      <formula>AND(IF($Q112=3,1,0),IF($X112&lt;30,1,0))</formula>
    </cfRule>
    <cfRule type="expression" dxfId="2548" priority="293">
      <formula>AND(IF($Q112=3,1,IF($Q112=4,1,0)),IF($F112&lt;=85,1,0))</formula>
    </cfRule>
  </conditionalFormatting>
  <conditionalFormatting sqref="X112">
    <cfRule type="expression" dxfId="2547" priority="286">
      <formula>AND(IF(OR($Q112=1,$Q112=2),1,0),IF($X112&lt;=20,1,0))</formula>
    </cfRule>
    <cfRule type="expression" dxfId="2546" priority="287">
      <formula>AND(IF($Q112=2,1,0),IF($X112&lt;30,1,0))</formula>
    </cfRule>
    <cfRule type="expression" dxfId="2545" priority="288">
      <formula>AND(IF($Q112=3,1,0),IF($X112&lt;30,1,0))</formula>
    </cfRule>
    <cfRule type="expression" dxfId="2544" priority="289">
      <formula>AND(IF($Q112=3,1,IF($Q112=4,1,0)),IF($F112&lt;=85,1,0))</formula>
    </cfRule>
  </conditionalFormatting>
  <conditionalFormatting sqref="AI112">
    <cfRule type="expression" dxfId="2543" priority="282">
      <formula>AND(IF(OR($Q112=1,$Q112=2),1,0),IF($X112&lt;=20,1,0))</formula>
    </cfRule>
    <cfRule type="expression" dxfId="2542" priority="283">
      <formula>AND(IF($Q112=2,1,0),IF($X112&lt;30,1,0))</formula>
    </cfRule>
    <cfRule type="expression" dxfId="2541" priority="284">
      <formula>AND(IF($Q112=3,1,0),IF($X112&lt;30,1,0))</formula>
    </cfRule>
    <cfRule type="expression" dxfId="2540" priority="285">
      <formula>AND(IF($Q112=3,1,IF($Q112=4,1,0)),IF($F112&lt;=85,1,0))</formula>
    </cfRule>
  </conditionalFormatting>
  <conditionalFormatting sqref="AV113">
    <cfRule type="expression" dxfId="2539" priority="280">
      <formula>AV113="X"</formula>
    </cfRule>
    <cfRule type="expression" dxfId="2538" priority="281">
      <formula>AV113="후보"</formula>
    </cfRule>
  </conditionalFormatting>
  <conditionalFormatting sqref="AC113">
    <cfRule type="cellIs" dxfId="2537" priority="277" operator="greaterThan">
      <formula>0.9</formula>
    </cfRule>
    <cfRule type="cellIs" dxfId="2536" priority="278" operator="greaterThan">
      <formula>0.85</formula>
    </cfRule>
  </conditionalFormatting>
  <conditionalFormatting sqref="N113">
    <cfRule type="cellIs" dxfId="2535" priority="275" operator="greaterThan">
      <formula>0.9</formula>
    </cfRule>
    <cfRule type="cellIs" dxfId="2534" priority="276" operator="greaterThan">
      <formula>0.85</formula>
    </cfRule>
  </conditionalFormatting>
  <conditionalFormatting sqref="E113">
    <cfRule type="expression" dxfId="2533" priority="271">
      <formula>AND(IF(OR($Q113=1,$Q113=2),1,0),IF($X113&lt;=20,1,0))</formula>
    </cfRule>
    <cfRule type="expression" dxfId="2532" priority="272">
      <formula>AND(IF($Q113=2,1,0),IF($X113&lt;30,1,0))</formula>
    </cfRule>
    <cfRule type="expression" dxfId="2531" priority="273">
      <formula>AND(IF($Q113=3,1,0),IF($X113&lt;30,1,0))</formula>
    </cfRule>
    <cfRule type="expression" dxfId="2530" priority="274">
      <formula>AND(IF($Q113=3,1,IF($Q113=4,1,0)),IF($F113&lt;=85,1,0))</formula>
    </cfRule>
  </conditionalFormatting>
  <conditionalFormatting sqref="X113">
    <cfRule type="expression" dxfId="2529" priority="267">
      <formula>AND(IF(OR($Q113=1,$Q113=2),1,0),IF($X113&lt;=20,1,0))</formula>
    </cfRule>
    <cfRule type="expression" dxfId="2528" priority="268">
      <formula>AND(IF($Q113=2,1,0),IF($X113&lt;30,1,0))</formula>
    </cfRule>
    <cfRule type="expression" dxfId="2527" priority="269">
      <formula>AND(IF($Q113=3,1,0),IF($X113&lt;30,1,0))</formula>
    </cfRule>
    <cfRule type="expression" dxfId="2526" priority="270">
      <formula>AND(IF($Q113=3,1,IF($Q113=4,1,0)),IF($F113&lt;=85,1,0))</formula>
    </cfRule>
  </conditionalFormatting>
  <conditionalFormatting sqref="AI113">
    <cfRule type="expression" dxfId="2525" priority="263">
      <formula>AND(IF(OR($Q113=1,$Q113=2),1,0),IF($X113&lt;=20,1,0))</formula>
    </cfRule>
    <cfRule type="expression" dxfId="2524" priority="264">
      <formula>AND(IF($Q113=2,1,0),IF($X113&lt;30,1,0))</formula>
    </cfRule>
    <cfRule type="expression" dxfId="2523" priority="265">
      <formula>AND(IF($Q113=3,1,0),IF($X113&lt;30,1,0))</formula>
    </cfRule>
    <cfRule type="expression" dxfId="2522" priority="266">
      <formula>AND(IF($Q113=3,1,IF($Q113=4,1,0)),IF($F113&lt;=85,1,0))</formula>
    </cfRule>
  </conditionalFormatting>
  <conditionalFormatting sqref="AV114">
    <cfRule type="expression" dxfId="2521" priority="261">
      <formula>AV114="X"</formula>
    </cfRule>
    <cfRule type="expression" dxfId="2520" priority="262">
      <formula>AV114="후보"</formula>
    </cfRule>
  </conditionalFormatting>
  <conditionalFormatting sqref="AC114">
    <cfRule type="cellIs" dxfId="2519" priority="258" operator="greaterThan">
      <formula>0.9</formula>
    </cfRule>
    <cfRule type="cellIs" dxfId="2518" priority="259" operator="greaterThan">
      <formula>0.85</formula>
    </cfRule>
  </conditionalFormatting>
  <conditionalFormatting sqref="N114">
    <cfRule type="cellIs" dxfId="2517" priority="256" operator="greaterThan">
      <formula>0.9</formula>
    </cfRule>
    <cfRule type="cellIs" dxfId="2516" priority="257" operator="greaterThan">
      <formula>0.85</formula>
    </cfRule>
  </conditionalFormatting>
  <conditionalFormatting sqref="E114">
    <cfRule type="expression" dxfId="2515" priority="252">
      <formula>AND(IF(OR($Q114=1,$Q114=2),1,0),IF($X114&lt;=20,1,0))</formula>
    </cfRule>
    <cfRule type="expression" dxfId="2514" priority="253">
      <formula>AND(IF($Q114=2,1,0),IF($X114&lt;30,1,0))</formula>
    </cfRule>
    <cfRule type="expression" dxfId="2513" priority="254">
      <formula>AND(IF($Q114=3,1,0),IF($X114&lt;30,1,0))</formula>
    </cfRule>
    <cfRule type="expression" dxfId="2512" priority="255">
      <formula>AND(IF($Q114=3,1,IF($Q114=4,1,0)),IF($F114&lt;=85,1,0))</formula>
    </cfRule>
  </conditionalFormatting>
  <conditionalFormatting sqref="X114">
    <cfRule type="expression" dxfId="2511" priority="248">
      <formula>AND(IF(OR($Q114=1,$Q114=2),1,0),IF($X114&lt;=20,1,0))</formula>
    </cfRule>
    <cfRule type="expression" dxfId="2510" priority="249">
      <formula>AND(IF($Q114=2,1,0),IF($X114&lt;30,1,0))</formula>
    </cfRule>
    <cfRule type="expression" dxfId="2509" priority="250">
      <formula>AND(IF($Q114=3,1,0),IF($X114&lt;30,1,0))</formula>
    </cfRule>
    <cfRule type="expression" dxfId="2508" priority="251">
      <formula>AND(IF($Q114=3,1,IF($Q114=4,1,0)),IF($F114&lt;=85,1,0))</formula>
    </cfRule>
  </conditionalFormatting>
  <conditionalFormatting sqref="AI114">
    <cfRule type="expression" dxfId="2507" priority="244">
      <formula>AND(IF(OR($Q114=1,$Q114=2),1,0),IF($X114&lt;=20,1,0))</formula>
    </cfRule>
    <cfRule type="expression" dxfId="2506" priority="245">
      <formula>AND(IF($Q114=2,1,0),IF($X114&lt;30,1,0))</formula>
    </cfRule>
    <cfRule type="expression" dxfId="2505" priority="246">
      <formula>AND(IF($Q114=3,1,0),IF($X114&lt;30,1,0))</formula>
    </cfRule>
    <cfRule type="expression" dxfId="2504" priority="247">
      <formula>AND(IF($Q114=3,1,IF($Q114=4,1,0)),IF($F114&lt;=85,1,0))</formula>
    </cfRule>
  </conditionalFormatting>
  <conditionalFormatting sqref="AV115">
    <cfRule type="expression" dxfId="2503" priority="242">
      <formula>AV115="X"</formula>
    </cfRule>
    <cfRule type="expression" dxfId="2502" priority="243">
      <formula>AV115="후보"</formula>
    </cfRule>
  </conditionalFormatting>
  <conditionalFormatting sqref="AC115">
    <cfRule type="cellIs" dxfId="2501" priority="239" operator="greaterThan">
      <formula>0.9</formula>
    </cfRule>
    <cfRule type="cellIs" dxfId="2500" priority="240" operator="greaterThan">
      <formula>0.85</formula>
    </cfRule>
  </conditionalFormatting>
  <conditionalFormatting sqref="N115">
    <cfRule type="cellIs" dxfId="2499" priority="237" operator="greaterThan">
      <formula>0.9</formula>
    </cfRule>
    <cfRule type="cellIs" dxfId="2498" priority="238" operator="greaterThan">
      <formula>0.85</formula>
    </cfRule>
  </conditionalFormatting>
  <conditionalFormatting sqref="E115">
    <cfRule type="expression" dxfId="2497" priority="233">
      <formula>AND(IF(OR($Q115=1,$Q115=2),1,0),IF($X115&lt;=20,1,0))</formula>
    </cfRule>
    <cfRule type="expression" dxfId="2496" priority="234">
      <formula>AND(IF($Q115=2,1,0),IF($X115&lt;30,1,0))</formula>
    </cfRule>
    <cfRule type="expression" dxfId="2495" priority="235">
      <formula>AND(IF($Q115=3,1,0),IF($X115&lt;30,1,0))</formula>
    </cfRule>
    <cfRule type="expression" dxfId="2494" priority="236">
      <formula>AND(IF($Q115=3,1,IF($Q115=4,1,0)),IF($F115&lt;=85,1,0))</formula>
    </cfRule>
  </conditionalFormatting>
  <conditionalFormatting sqref="X115">
    <cfRule type="expression" dxfId="2493" priority="229">
      <formula>AND(IF(OR($Q115=1,$Q115=2),1,0),IF($X115&lt;=20,1,0))</formula>
    </cfRule>
    <cfRule type="expression" dxfId="2492" priority="230">
      <formula>AND(IF($Q115=2,1,0),IF($X115&lt;30,1,0))</formula>
    </cfRule>
    <cfRule type="expression" dxfId="2491" priority="231">
      <formula>AND(IF($Q115=3,1,0),IF($X115&lt;30,1,0))</formula>
    </cfRule>
    <cfRule type="expression" dxfId="2490" priority="232">
      <formula>AND(IF($Q115=3,1,IF($Q115=4,1,0)),IF($F115&lt;=85,1,0))</formula>
    </cfRule>
  </conditionalFormatting>
  <conditionalFormatting sqref="AI115">
    <cfRule type="expression" dxfId="2489" priority="225">
      <formula>AND(IF(OR($Q115=1,$Q115=2),1,0),IF($X115&lt;=20,1,0))</formula>
    </cfRule>
    <cfRule type="expression" dxfId="2488" priority="226">
      <formula>AND(IF($Q115=2,1,0),IF($X115&lt;30,1,0))</formula>
    </cfRule>
    <cfRule type="expression" dxfId="2487" priority="227">
      <formula>AND(IF($Q115=3,1,0),IF($X115&lt;30,1,0))</formula>
    </cfRule>
    <cfRule type="expression" dxfId="2486" priority="228">
      <formula>AND(IF($Q115=3,1,IF($Q115=4,1,0)),IF($F115&lt;=85,1,0))</formula>
    </cfRule>
  </conditionalFormatting>
  <conditionalFormatting sqref="AV116">
    <cfRule type="expression" dxfId="2485" priority="223">
      <formula>AV116="X"</formula>
    </cfRule>
    <cfRule type="expression" dxfId="2484" priority="224">
      <formula>AV116="후보"</formula>
    </cfRule>
  </conditionalFormatting>
  <conditionalFormatting sqref="AC116 N116">
    <cfRule type="cellIs" dxfId="2483" priority="220" operator="greaterThan">
      <formula>0.9</formula>
    </cfRule>
    <cfRule type="cellIs" dxfId="2482" priority="221" operator="greaterThan">
      <formula>0.85</formula>
    </cfRule>
  </conditionalFormatting>
  <conditionalFormatting sqref="AV117">
    <cfRule type="expression" dxfId="2481" priority="218">
      <formula>AV117="X"</formula>
    </cfRule>
    <cfRule type="expression" dxfId="2480" priority="219">
      <formula>AV117="후보"</formula>
    </cfRule>
  </conditionalFormatting>
  <conditionalFormatting sqref="AC117">
    <cfRule type="cellIs" dxfId="2479" priority="215" operator="greaterThan">
      <formula>0.9</formula>
    </cfRule>
    <cfRule type="cellIs" dxfId="2478" priority="216" operator="greaterThan">
      <formula>0.85</formula>
    </cfRule>
  </conditionalFormatting>
  <conditionalFormatting sqref="N117">
    <cfRule type="cellIs" dxfId="2477" priority="213" operator="greaterThan">
      <formula>0.9</formula>
    </cfRule>
    <cfRule type="cellIs" dxfId="2476" priority="214" operator="greaterThan">
      <formula>0.85</formula>
    </cfRule>
  </conditionalFormatting>
  <conditionalFormatting sqref="E117">
    <cfRule type="expression" dxfId="2475" priority="209">
      <formula>AND(IF(OR($Q117=1,$Q117=2),1,0),IF($X117&lt;=20,1,0))</formula>
    </cfRule>
    <cfRule type="expression" dxfId="2474" priority="210">
      <formula>AND(IF($Q117=2,1,0),IF($X117&lt;30,1,0))</formula>
    </cfRule>
    <cfRule type="expression" dxfId="2473" priority="211">
      <formula>AND(IF($Q117=3,1,0),IF($X117&lt;30,1,0))</formula>
    </cfRule>
    <cfRule type="expression" dxfId="2472" priority="212">
      <formula>AND(IF($Q117=3,1,IF($Q117=4,1,0)),IF($F117&lt;=85,1,0))</formula>
    </cfRule>
  </conditionalFormatting>
  <conditionalFormatting sqref="X117">
    <cfRule type="expression" dxfId="2471" priority="205">
      <formula>AND(IF(OR($Q117=1,$Q117=2),1,0),IF($X117&lt;=20,1,0))</formula>
    </cfRule>
    <cfRule type="expression" dxfId="2470" priority="206">
      <formula>AND(IF($Q117=2,1,0),IF($X117&lt;30,1,0))</formula>
    </cfRule>
    <cfRule type="expression" dxfId="2469" priority="207">
      <formula>AND(IF($Q117=3,1,0),IF($X117&lt;30,1,0))</formula>
    </cfRule>
    <cfRule type="expression" dxfId="2468" priority="208">
      <formula>AND(IF($Q117=3,1,IF($Q117=4,1,0)),IF($F117&lt;=85,1,0))</formula>
    </cfRule>
  </conditionalFormatting>
  <conditionalFormatting sqref="AI117">
    <cfRule type="expression" dxfId="2467" priority="201">
      <formula>AND(IF(OR($Q117=1,$Q117=2),1,0),IF($X117&lt;=20,1,0))</formula>
    </cfRule>
    <cfRule type="expression" dxfId="2466" priority="202">
      <formula>AND(IF($Q117=2,1,0),IF($X117&lt;30,1,0))</formula>
    </cfRule>
    <cfRule type="expression" dxfId="2465" priority="203">
      <formula>AND(IF($Q117=3,1,0),IF($X117&lt;30,1,0))</formula>
    </cfRule>
    <cfRule type="expression" dxfId="2464" priority="204">
      <formula>AND(IF($Q117=3,1,IF($Q117=4,1,0)),IF($F117&lt;=85,1,0))</formula>
    </cfRule>
  </conditionalFormatting>
  <conditionalFormatting sqref="AV118">
    <cfRule type="expression" dxfId="2463" priority="199">
      <formula>AV118="X"</formula>
    </cfRule>
    <cfRule type="expression" dxfId="2462" priority="200">
      <formula>AV118="후보"</formula>
    </cfRule>
  </conditionalFormatting>
  <conditionalFormatting sqref="AC118">
    <cfRule type="cellIs" dxfId="2461" priority="196" operator="greaterThan">
      <formula>0.9</formula>
    </cfRule>
    <cfRule type="cellIs" dxfId="2460" priority="197" operator="greaterThan">
      <formula>0.85</formula>
    </cfRule>
  </conditionalFormatting>
  <conditionalFormatting sqref="N118">
    <cfRule type="cellIs" dxfId="2459" priority="194" operator="greaterThan">
      <formula>0.9</formula>
    </cfRule>
    <cfRule type="cellIs" dxfId="2458" priority="195" operator="greaterThan">
      <formula>0.85</formula>
    </cfRule>
  </conditionalFormatting>
  <conditionalFormatting sqref="E118">
    <cfRule type="expression" dxfId="2457" priority="190">
      <formula>AND(IF(OR($Q118=1,$Q118=2),1,0),IF($X118&lt;=20,1,0))</formula>
    </cfRule>
    <cfRule type="expression" dxfId="2456" priority="191">
      <formula>AND(IF($Q118=2,1,0),IF($X118&lt;30,1,0))</formula>
    </cfRule>
    <cfRule type="expression" dxfId="2455" priority="192">
      <formula>AND(IF($Q118=3,1,0),IF($X118&lt;30,1,0))</formula>
    </cfRule>
    <cfRule type="expression" dxfId="2454" priority="193">
      <formula>AND(IF($Q118=3,1,IF($Q118=4,1,0)),IF($F118&lt;=85,1,0))</formula>
    </cfRule>
  </conditionalFormatting>
  <conditionalFormatting sqref="X118">
    <cfRule type="expression" dxfId="2453" priority="186">
      <formula>AND(IF(OR($Q118=1,$Q118=2),1,0),IF($X118&lt;=20,1,0))</formula>
    </cfRule>
    <cfRule type="expression" dxfId="2452" priority="187">
      <formula>AND(IF($Q118=2,1,0),IF($X118&lt;30,1,0))</formula>
    </cfRule>
    <cfRule type="expression" dxfId="2451" priority="188">
      <formula>AND(IF($Q118=3,1,0),IF($X118&lt;30,1,0))</formula>
    </cfRule>
    <cfRule type="expression" dxfId="2450" priority="189">
      <formula>AND(IF($Q118=3,1,IF($Q118=4,1,0)),IF($F118&lt;=85,1,0))</formula>
    </cfRule>
  </conditionalFormatting>
  <conditionalFormatting sqref="AI118">
    <cfRule type="expression" dxfId="2449" priority="182">
      <formula>AND(IF(OR($Q118=1,$Q118=2),1,0),IF($X118&lt;=20,1,0))</formula>
    </cfRule>
    <cfRule type="expression" dxfId="2448" priority="183">
      <formula>AND(IF($Q118=2,1,0),IF($X118&lt;30,1,0))</formula>
    </cfRule>
    <cfRule type="expression" dxfId="2447" priority="184">
      <formula>AND(IF($Q118=3,1,0),IF($X118&lt;30,1,0))</formula>
    </cfRule>
    <cfRule type="expression" dxfId="2446" priority="185">
      <formula>AND(IF($Q118=3,1,IF($Q118=4,1,0)),IF($F118&lt;=85,1,0))</formula>
    </cfRule>
  </conditionalFormatting>
  <conditionalFormatting sqref="AV119">
    <cfRule type="expression" dxfId="2445" priority="180">
      <formula>AV119="X"</formula>
    </cfRule>
    <cfRule type="expression" dxfId="2444" priority="181">
      <formula>AV119="후보"</formula>
    </cfRule>
  </conditionalFormatting>
  <conditionalFormatting sqref="AC119 N119">
    <cfRule type="cellIs" dxfId="2443" priority="177" operator="greaterThan">
      <formula>0.9</formula>
    </cfRule>
    <cfRule type="cellIs" dxfId="2442" priority="178" operator="greaterThan">
      <formula>0.85</formula>
    </cfRule>
  </conditionalFormatting>
  <conditionalFormatting sqref="AV120">
    <cfRule type="expression" dxfId="2441" priority="175">
      <formula>AV120="X"</formula>
    </cfRule>
    <cfRule type="expression" dxfId="2440" priority="176">
      <formula>AV120="후보"</formula>
    </cfRule>
  </conditionalFormatting>
  <conditionalFormatting sqref="AC120">
    <cfRule type="cellIs" dxfId="2439" priority="172" operator="greaterThan">
      <formula>0.9</formula>
    </cfRule>
    <cfRule type="cellIs" dxfId="2438" priority="173" operator="greaterThan">
      <formula>0.85</formula>
    </cfRule>
  </conditionalFormatting>
  <conditionalFormatting sqref="N120">
    <cfRule type="cellIs" dxfId="2437" priority="170" operator="greaterThan">
      <formula>0.9</formula>
    </cfRule>
    <cfRule type="cellIs" dxfId="2436" priority="171" operator="greaterThan">
      <formula>0.85</formula>
    </cfRule>
  </conditionalFormatting>
  <conditionalFormatting sqref="E120">
    <cfRule type="expression" dxfId="2435" priority="166">
      <formula>AND(IF(OR($Q120=1,$Q120=2),1,0),IF($X120&lt;=20,1,0))</formula>
    </cfRule>
    <cfRule type="expression" dxfId="2434" priority="167">
      <formula>AND(IF($Q120=2,1,0),IF($X120&lt;30,1,0))</formula>
    </cfRule>
    <cfRule type="expression" dxfId="2433" priority="168">
      <formula>AND(IF($Q120=3,1,0),IF($X120&lt;30,1,0))</formula>
    </cfRule>
    <cfRule type="expression" dxfId="2432" priority="169">
      <formula>AND(IF($Q120=3,1,IF($Q120=4,1,0)),IF($F120&lt;=85,1,0))</formula>
    </cfRule>
  </conditionalFormatting>
  <conditionalFormatting sqref="X120">
    <cfRule type="expression" dxfId="2431" priority="162">
      <formula>AND(IF(OR($Q120=1,$Q120=2),1,0),IF($X120&lt;=20,1,0))</formula>
    </cfRule>
    <cfRule type="expression" dxfId="2430" priority="163">
      <formula>AND(IF($Q120=2,1,0),IF($X120&lt;30,1,0))</formula>
    </cfRule>
    <cfRule type="expression" dxfId="2429" priority="164">
      <formula>AND(IF($Q120=3,1,0),IF($X120&lt;30,1,0))</formula>
    </cfRule>
    <cfRule type="expression" dxfId="2428" priority="165">
      <formula>AND(IF($Q120=3,1,IF($Q120=4,1,0)),IF($F120&lt;=85,1,0))</formula>
    </cfRule>
  </conditionalFormatting>
  <conditionalFormatting sqref="AI120">
    <cfRule type="expression" dxfId="2427" priority="158">
      <formula>AND(IF(OR($Q120=1,$Q120=2),1,0),IF($X120&lt;=20,1,0))</formula>
    </cfRule>
    <cfRule type="expression" dxfId="2426" priority="159">
      <formula>AND(IF($Q120=2,1,0),IF($X120&lt;30,1,0))</formula>
    </cfRule>
    <cfRule type="expression" dxfId="2425" priority="160">
      <formula>AND(IF($Q120=3,1,0),IF($X120&lt;30,1,0))</formula>
    </cfRule>
    <cfRule type="expression" dxfId="2424" priority="161">
      <formula>AND(IF($Q120=3,1,IF($Q120=4,1,0)),IF($F120&lt;=85,1,0))</formula>
    </cfRule>
  </conditionalFormatting>
  <conditionalFormatting sqref="AV121">
    <cfRule type="expression" dxfId="2423" priority="156">
      <formula>AV121="X"</formula>
    </cfRule>
    <cfRule type="expression" dxfId="2422" priority="157">
      <formula>AV121="후보"</formula>
    </cfRule>
  </conditionalFormatting>
  <conditionalFormatting sqref="AC121">
    <cfRule type="cellIs" dxfId="2421" priority="153" operator="greaterThan">
      <formula>0.9</formula>
    </cfRule>
    <cfRule type="cellIs" dxfId="2420" priority="154" operator="greaterThan">
      <formula>0.85</formula>
    </cfRule>
  </conditionalFormatting>
  <conditionalFormatting sqref="N121">
    <cfRule type="cellIs" dxfId="2419" priority="151" operator="greaterThan">
      <formula>0.9</formula>
    </cfRule>
    <cfRule type="cellIs" dxfId="2418" priority="152" operator="greaterThan">
      <formula>0.85</formula>
    </cfRule>
  </conditionalFormatting>
  <conditionalFormatting sqref="E121">
    <cfRule type="expression" dxfId="2417" priority="147">
      <formula>AND(IF(OR($Q121=1,$Q121=2),1,0),IF($X121&lt;=20,1,0))</formula>
    </cfRule>
    <cfRule type="expression" dxfId="2416" priority="148">
      <formula>AND(IF($Q121=2,1,0),IF($X121&lt;30,1,0))</formula>
    </cfRule>
    <cfRule type="expression" dxfId="2415" priority="149">
      <formula>AND(IF($Q121=3,1,0),IF($X121&lt;30,1,0))</formula>
    </cfRule>
    <cfRule type="expression" dxfId="2414" priority="150">
      <formula>AND(IF($Q121=3,1,IF($Q121=4,1,0)),IF($F121&lt;=85,1,0))</formula>
    </cfRule>
  </conditionalFormatting>
  <conditionalFormatting sqref="X121">
    <cfRule type="expression" dxfId="2413" priority="143">
      <formula>AND(IF(OR($Q121=1,$Q121=2),1,0),IF($X121&lt;=20,1,0))</formula>
    </cfRule>
    <cfRule type="expression" dxfId="2412" priority="144">
      <formula>AND(IF($Q121=2,1,0),IF($X121&lt;30,1,0))</formula>
    </cfRule>
    <cfRule type="expression" dxfId="2411" priority="145">
      <formula>AND(IF($Q121=3,1,0),IF($X121&lt;30,1,0))</formula>
    </cfRule>
    <cfRule type="expression" dxfId="2410" priority="146">
      <formula>AND(IF($Q121=3,1,IF($Q121=4,1,0)),IF($F121&lt;=85,1,0))</formula>
    </cfRule>
  </conditionalFormatting>
  <conditionalFormatting sqref="AI121">
    <cfRule type="expression" dxfId="2409" priority="139">
      <formula>AND(IF(OR($Q121=1,$Q121=2),1,0),IF($X121&lt;=20,1,0))</formula>
    </cfRule>
    <cfRule type="expression" dxfId="2408" priority="140">
      <formula>AND(IF($Q121=2,1,0),IF($X121&lt;30,1,0))</formula>
    </cfRule>
    <cfRule type="expression" dxfId="2407" priority="141">
      <formula>AND(IF($Q121=3,1,0),IF($X121&lt;30,1,0))</formula>
    </cfRule>
    <cfRule type="expression" dxfId="2406" priority="142">
      <formula>AND(IF($Q121=3,1,IF($Q121=4,1,0)),IF($F121&lt;=85,1,0))</formula>
    </cfRule>
  </conditionalFormatting>
  <conditionalFormatting sqref="AV122">
    <cfRule type="expression" dxfId="2405" priority="137">
      <formula>AV122="X"</formula>
    </cfRule>
    <cfRule type="expression" dxfId="2404" priority="138">
      <formula>AV122="후보"</formula>
    </cfRule>
  </conditionalFormatting>
  <conditionalFormatting sqref="AC122 N122">
    <cfRule type="cellIs" dxfId="2403" priority="134" operator="greaterThan">
      <formula>0.9</formula>
    </cfRule>
    <cfRule type="cellIs" dxfId="2402" priority="135" operator="greaterThan">
      <formula>0.85</formula>
    </cfRule>
  </conditionalFormatting>
  <conditionalFormatting sqref="AV123">
    <cfRule type="expression" dxfId="2401" priority="132">
      <formula>AV123="X"</formula>
    </cfRule>
    <cfRule type="expression" dxfId="2400" priority="133">
      <formula>AV123="후보"</formula>
    </cfRule>
  </conditionalFormatting>
  <conditionalFormatting sqref="AC123">
    <cfRule type="cellIs" dxfId="2399" priority="129" operator="greaterThan">
      <formula>0.9</formula>
    </cfRule>
    <cfRule type="cellIs" dxfId="2398" priority="130" operator="greaterThan">
      <formula>0.85</formula>
    </cfRule>
  </conditionalFormatting>
  <conditionalFormatting sqref="N123">
    <cfRule type="cellIs" dxfId="2397" priority="127" operator="greaterThan">
      <formula>0.9</formula>
    </cfRule>
    <cfRule type="cellIs" dxfId="2396" priority="128" operator="greaterThan">
      <formula>0.85</formula>
    </cfRule>
  </conditionalFormatting>
  <conditionalFormatting sqref="E123">
    <cfRule type="expression" dxfId="2395" priority="123">
      <formula>AND(IF(OR($Q123=1,$Q123=2),1,0),IF($X123&lt;=20,1,0))</formula>
    </cfRule>
    <cfRule type="expression" dxfId="2394" priority="124">
      <formula>AND(IF($Q123=2,1,0),IF($X123&lt;30,1,0))</formula>
    </cfRule>
    <cfRule type="expression" dxfId="2393" priority="125">
      <formula>AND(IF($Q123=3,1,0),IF($X123&lt;30,1,0))</formula>
    </cfRule>
    <cfRule type="expression" dxfId="2392" priority="126">
      <formula>AND(IF($Q123=3,1,IF($Q123=4,1,0)),IF($F123&lt;=85,1,0))</formula>
    </cfRule>
  </conditionalFormatting>
  <conditionalFormatting sqref="X123">
    <cfRule type="expression" dxfId="2391" priority="119">
      <formula>AND(IF(OR($Q123=1,$Q123=2),1,0),IF($X123&lt;=20,1,0))</formula>
    </cfRule>
    <cfRule type="expression" dxfId="2390" priority="120">
      <formula>AND(IF($Q123=2,1,0),IF($X123&lt;30,1,0))</formula>
    </cfRule>
    <cfRule type="expression" dxfId="2389" priority="121">
      <formula>AND(IF($Q123=3,1,0),IF($X123&lt;30,1,0))</formula>
    </cfRule>
    <cfRule type="expression" dxfId="2388" priority="122">
      <formula>AND(IF($Q123=3,1,IF($Q123=4,1,0)),IF($F123&lt;=85,1,0))</formula>
    </cfRule>
  </conditionalFormatting>
  <conditionalFormatting sqref="AI123">
    <cfRule type="expression" dxfId="2387" priority="115">
      <formula>AND(IF(OR($Q123=1,$Q123=2),1,0),IF($X123&lt;=20,1,0))</formula>
    </cfRule>
    <cfRule type="expression" dxfId="2386" priority="116">
      <formula>AND(IF($Q123=2,1,0),IF($X123&lt;30,1,0))</formula>
    </cfRule>
    <cfRule type="expression" dxfId="2385" priority="117">
      <formula>AND(IF($Q123=3,1,0),IF($X123&lt;30,1,0))</formula>
    </cfRule>
    <cfRule type="expression" dxfId="2384" priority="118">
      <formula>AND(IF($Q123=3,1,IF($Q123=4,1,0)),IF($F123&lt;=85,1,0))</formula>
    </cfRule>
  </conditionalFormatting>
  <conditionalFormatting sqref="AV124">
    <cfRule type="expression" dxfId="2383" priority="113">
      <formula>AV124="X"</formula>
    </cfRule>
    <cfRule type="expression" dxfId="2382" priority="114">
      <formula>AV124="후보"</formula>
    </cfRule>
  </conditionalFormatting>
  <conditionalFormatting sqref="AC124">
    <cfRule type="cellIs" dxfId="2381" priority="110" operator="greaterThan">
      <formula>0.9</formula>
    </cfRule>
    <cfRule type="cellIs" dxfId="2380" priority="111" operator="greaterThan">
      <formula>0.85</formula>
    </cfRule>
  </conditionalFormatting>
  <conditionalFormatting sqref="N124">
    <cfRule type="cellIs" dxfId="2379" priority="108" operator="greaterThan">
      <formula>0.9</formula>
    </cfRule>
    <cfRule type="cellIs" dxfId="2378" priority="109" operator="greaterThan">
      <formula>0.85</formula>
    </cfRule>
  </conditionalFormatting>
  <conditionalFormatting sqref="E124">
    <cfRule type="expression" dxfId="2377" priority="104">
      <formula>AND(IF(OR($Q124=1,$Q124=2),1,0),IF($X124&lt;=20,1,0))</formula>
    </cfRule>
    <cfRule type="expression" dxfId="2376" priority="105">
      <formula>AND(IF($Q124=2,1,0),IF($X124&lt;30,1,0))</formula>
    </cfRule>
    <cfRule type="expression" dxfId="2375" priority="106">
      <formula>AND(IF($Q124=3,1,0),IF($X124&lt;30,1,0))</formula>
    </cfRule>
    <cfRule type="expression" dxfId="2374" priority="107">
      <formula>AND(IF($Q124=3,1,IF($Q124=4,1,0)),IF($F124&lt;=85,1,0))</formula>
    </cfRule>
  </conditionalFormatting>
  <conditionalFormatting sqref="X124">
    <cfRule type="expression" dxfId="2373" priority="100">
      <formula>AND(IF(OR($Q124=1,$Q124=2),1,0),IF($X124&lt;=20,1,0))</formula>
    </cfRule>
    <cfRule type="expression" dxfId="2372" priority="101">
      <formula>AND(IF($Q124=2,1,0),IF($X124&lt;30,1,0))</formula>
    </cfRule>
    <cfRule type="expression" dxfId="2371" priority="102">
      <formula>AND(IF($Q124=3,1,0),IF($X124&lt;30,1,0))</formula>
    </cfRule>
    <cfRule type="expression" dxfId="2370" priority="103">
      <formula>AND(IF($Q124=3,1,IF($Q124=4,1,0)),IF($F124&lt;=85,1,0))</formula>
    </cfRule>
  </conditionalFormatting>
  <conditionalFormatting sqref="AI124">
    <cfRule type="expression" dxfId="2369" priority="96">
      <formula>AND(IF(OR($Q124=1,$Q124=2),1,0),IF($X124&lt;=20,1,0))</formula>
    </cfRule>
    <cfRule type="expression" dxfId="2368" priority="97">
      <formula>AND(IF($Q124=2,1,0),IF($X124&lt;30,1,0))</formula>
    </cfRule>
    <cfRule type="expression" dxfId="2367" priority="98">
      <formula>AND(IF($Q124=3,1,0),IF($X124&lt;30,1,0))</formula>
    </cfRule>
    <cfRule type="expression" dxfId="2366" priority="99">
      <formula>AND(IF($Q124=3,1,IF($Q124=4,1,0)),IF($F124&lt;=85,1,0))</formula>
    </cfRule>
  </conditionalFormatting>
  <conditionalFormatting sqref="AV125">
    <cfRule type="expression" dxfId="2365" priority="94">
      <formula>AV125="X"</formula>
    </cfRule>
    <cfRule type="expression" dxfId="2364" priority="95">
      <formula>AV125="후보"</formula>
    </cfRule>
  </conditionalFormatting>
  <conditionalFormatting sqref="AC125">
    <cfRule type="cellIs" dxfId="2363" priority="91" operator="greaterThan">
      <formula>0.9</formula>
    </cfRule>
    <cfRule type="cellIs" dxfId="2362" priority="92" operator="greaterThan">
      <formula>0.85</formula>
    </cfRule>
  </conditionalFormatting>
  <conditionalFormatting sqref="N125">
    <cfRule type="cellIs" dxfId="2361" priority="89" operator="greaterThan">
      <formula>0.9</formula>
    </cfRule>
    <cfRule type="cellIs" dxfId="2360" priority="90" operator="greaterThan">
      <formula>0.85</formula>
    </cfRule>
  </conditionalFormatting>
  <conditionalFormatting sqref="E125">
    <cfRule type="expression" dxfId="2359" priority="85">
      <formula>AND(IF(OR($Q125=1,$Q125=2),1,0),IF($X125&lt;=20,1,0))</formula>
    </cfRule>
    <cfRule type="expression" dxfId="2358" priority="86">
      <formula>AND(IF($Q125=2,1,0),IF($X125&lt;30,1,0))</formula>
    </cfRule>
    <cfRule type="expression" dxfId="2357" priority="87">
      <formula>AND(IF($Q125=3,1,0),IF($X125&lt;30,1,0))</formula>
    </cfRule>
    <cfRule type="expression" dxfId="2356" priority="88">
      <formula>AND(IF($Q125=3,1,IF($Q125=4,1,0)),IF($F125&lt;=85,1,0))</formula>
    </cfRule>
  </conditionalFormatting>
  <conditionalFormatting sqref="X125">
    <cfRule type="expression" dxfId="2355" priority="81">
      <formula>AND(IF(OR($Q125=1,$Q125=2),1,0),IF($X125&lt;=20,1,0))</formula>
    </cfRule>
    <cfRule type="expression" dxfId="2354" priority="82">
      <formula>AND(IF($Q125=2,1,0),IF($X125&lt;30,1,0))</formula>
    </cfRule>
    <cfRule type="expression" dxfId="2353" priority="83">
      <formula>AND(IF($Q125=3,1,0),IF($X125&lt;30,1,0))</formula>
    </cfRule>
    <cfRule type="expression" dxfId="2352" priority="84">
      <formula>AND(IF($Q125=3,1,IF($Q125=4,1,0)),IF($F125&lt;=85,1,0))</formula>
    </cfRule>
  </conditionalFormatting>
  <conditionalFormatting sqref="AI125">
    <cfRule type="expression" dxfId="2351" priority="77">
      <formula>AND(IF(OR($Q125=1,$Q125=2),1,0),IF($X125&lt;=20,1,0))</formula>
    </cfRule>
    <cfRule type="expression" dxfId="2350" priority="78">
      <formula>AND(IF($Q125=2,1,0),IF($X125&lt;30,1,0))</formula>
    </cfRule>
    <cfRule type="expression" dxfId="2349" priority="79">
      <formula>AND(IF($Q125=3,1,0),IF($X125&lt;30,1,0))</formula>
    </cfRule>
    <cfRule type="expression" dxfId="2348" priority="80">
      <formula>AND(IF($Q125=3,1,IF($Q125=4,1,0)),IF($F125&lt;=85,1,0))</formula>
    </cfRule>
  </conditionalFormatting>
  <conditionalFormatting sqref="AV126">
    <cfRule type="expression" dxfId="2347" priority="75">
      <formula>AV126="X"</formula>
    </cfRule>
    <cfRule type="expression" dxfId="2346" priority="76">
      <formula>AV126="후보"</formula>
    </cfRule>
  </conditionalFormatting>
  <conditionalFormatting sqref="AC126">
    <cfRule type="cellIs" dxfId="2345" priority="72" operator="greaterThan">
      <formula>0.9</formula>
    </cfRule>
    <cfRule type="cellIs" dxfId="2344" priority="73" operator="greaterThan">
      <formula>0.85</formula>
    </cfRule>
  </conditionalFormatting>
  <conditionalFormatting sqref="N126">
    <cfRule type="cellIs" dxfId="2343" priority="70" operator="greaterThan">
      <formula>0.9</formula>
    </cfRule>
    <cfRule type="cellIs" dxfId="2342" priority="71" operator="greaterThan">
      <formula>0.85</formula>
    </cfRule>
  </conditionalFormatting>
  <conditionalFormatting sqref="E126">
    <cfRule type="expression" dxfId="2341" priority="66">
      <formula>AND(IF(OR($Q126=1,$Q126=2),1,0),IF($X126&lt;=20,1,0))</formula>
    </cfRule>
    <cfRule type="expression" dxfId="2340" priority="67">
      <formula>AND(IF($Q126=2,1,0),IF($X126&lt;30,1,0))</formula>
    </cfRule>
    <cfRule type="expression" dxfId="2339" priority="68">
      <formula>AND(IF($Q126=3,1,0),IF($X126&lt;30,1,0))</formula>
    </cfRule>
    <cfRule type="expression" dxfId="2338" priority="69">
      <formula>AND(IF($Q126=3,1,IF($Q126=4,1,0)),IF($F126&lt;=85,1,0))</formula>
    </cfRule>
  </conditionalFormatting>
  <conditionalFormatting sqref="X126">
    <cfRule type="expression" dxfId="2337" priority="62">
      <formula>AND(IF(OR($Q126=1,$Q126=2),1,0),IF($X126&lt;=20,1,0))</formula>
    </cfRule>
    <cfRule type="expression" dxfId="2336" priority="63">
      <formula>AND(IF($Q126=2,1,0),IF($X126&lt;30,1,0))</formula>
    </cfRule>
    <cfRule type="expression" dxfId="2335" priority="64">
      <formula>AND(IF($Q126=3,1,0),IF($X126&lt;30,1,0))</formula>
    </cfRule>
    <cfRule type="expression" dxfId="2334" priority="65">
      <formula>AND(IF($Q126=3,1,IF($Q126=4,1,0)),IF($F126&lt;=85,1,0))</formula>
    </cfRule>
  </conditionalFormatting>
  <conditionalFormatting sqref="AI126">
    <cfRule type="expression" dxfId="2333" priority="58">
      <formula>AND(IF(OR($Q126=1,$Q126=2),1,0),IF($X126&lt;=20,1,0))</formula>
    </cfRule>
    <cfRule type="expression" dxfId="2332" priority="59">
      <formula>AND(IF($Q126=2,1,0),IF($X126&lt;30,1,0))</formula>
    </cfRule>
    <cfRule type="expression" dxfId="2331" priority="60">
      <formula>AND(IF($Q126=3,1,0),IF($X126&lt;30,1,0))</formula>
    </cfRule>
    <cfRule type="expression" dxfId="2330" priority="61">
      <formula>AND(IF($Q126=3,1,IF($Q126=4,1,0)),IF($F126&lt;=85,1,0))</formula>
    </cfRule>
  </conditionalFormatting>
  <conditionalFormatting sqref="AV127">
    <cfRule type="expression" dxfId="2329" priority="56">
      <formula>AV127="X"</formula>
    </cfRule>
    <cfRule type="expression" dxfId="2328" priority="57">
      <formula>AV127="후보"</formula>
    </cfRule>
  </conditionalFormatting>
  <conditionalFormatting sqref="AC127">
    <cfRule type="cellIs" dxfId="2327" priority="53" operator="greaterThan">
      <formula>0.9</formula>
    </cfRule>
    <cfRule type="cellIs" dxfId="2326" priority="54" operator="greaterThan">
      <formula>0.85</formula>
    </cfRule>
  </conditionalFormatting>
  <conditionalFormatting sqref="N127">
    <cfRule type="cellIs" dxfId="2325" priority="51" operator="greaterThan">
      <formula>0.9</formula>
    </cfRule>
    <cfRule type="cellIs" dxfId="2324" priority="52" operator="greaterThan">
      <formula>0.85</formula>
    </cfRule>
  </conditionalFormatting>
  <conditionalFormatting sqref="E127">
    <cfRule type="expression" dxfId="2323" priority="47">
      <formula>AND(IF(OR($Q127=1,$Q127=2),1,0),IF($X127&lt;=20,1,0))</formula>
    </cfRule>
    <cfRule type="expression" dxfId="2322" priority="48">
      <formula>AND(IF($Q127=2,1,0),IF($X127&lt;30,1,0))</formula>
    </cfRule>
    <cfRule type="expression" dxfId="2321" priority="49">
      <formula>AND(IF($Q127=3,1,0),IF($X127&lt;30,1,0))</formula>
    </cfRule>
    <cfRule type="expression" dxfId="2320" priority="50">
      <formula>AND(IF($Q127=3,1,IF($Q127=4,1,0)),IF($F127&lt;=85,1,0))</formula>
    </cfRule>
  </conditionalFormatting>
  <conditionalFormatting sqref="X127">
    <cfRule type="expression" dxfId="2319" priority="43">
      <formula>AND(IF(OR($Q127=1,$Q127=2),1,0),IF($X127&lt;=20,1,0))</formula>
    </cfRule>
    <cfRule type="expression" dxfId="2318" priority="44">
      <formula>AND(IF($Q127=2,1,0),IF($X127&lt;30,1,0))</formula>
    </cfRule>
    <cfRule type="expression" dxfId="2317" priority="45">
      <formula>AND(IF($Q127=3,1,0),IF($X127&lt;30,1,0))</formula>
    </cfRule>
    <cfRule type="expression" dxfId="2316" priority="46">
      <formula>AND(IF($Q127=3,1,IF($Q127=4,1,0)),IF($F127&lt;=85,1,0))</formula>
    </cfRule>
  </conditionalFormatting>
  <conditionalFormatting sqref="AI127">
    <cfRule type="expression" dxfId="2315" priority="39">
      <formula>AND(IF(OR($Q127=1,$Q127=2),1,0),IF($X127&lt;=20,1,0))</formula>
    </cfRule>
    <cfRule type="expression" dxfId="2314" priority="40">
      <formula>AND(IF($Q127=2,1,0),IF($X127&lt;30,1,0))</formula>
    </cfRule>
    <cfRule type="expression" dxfId="2313" priority="41">
      <formula>AND(IF($Q127=3,1,0),IF($X127&lt;30,1,0))</formula>
    </cfRule>
    <cfRule type="expression" dxfId="2312" priority="42">
      <formula>AND(IF($Q127=3,1,IF($Q127=4,1,0)),IF($F127&lt;=85,1,0))</formula>
    </cfRule>
  </conditionalFormatting>
  <conditionalFormatting sqref="AV128">
    <cfRule type="expression" dxfId="2311" priority="37">
      <formula>AV128="X"</formula>
    </cfRule>
    <cfRule type="expression" dxfId="2310" priority="38">
      <formula>AV128="후보"</formula>
    </cfRule>
  </conditionalFormatting>
  <conditionalFormatting sqref="AC128">
    <cfRule type="cellIs" dxfId="2309" priority="34" operator="greaterThan">
      <formula>0.9</formula>
    </cfRule>
    <cfRule type="cellIs" dxfId="2308" priority="35" operator="greaterThan">
      <formula>0.85</formula>
    </cfRule>
  </conditionalFormatting>
  <conditionalFormatting sqref="N128">
    <cfRule type="cellIs" dxfId="2307" priority="32" operator="greaterThan">
      <formula>0.9</formula>
    </cfRule>
    <cfRule type="cellIs" dxfId="2306" priority="33" operator="greaterThan">
      <formula>0.85</formula>
    </cfRule>
  </conditionalFormatting>
  <conditionalFormatting sqref="E128">
    <cfRule type="expression" dxfId="2305" priority="28">
      <formula>AND(IF(OR($Q128=1,$Q128=2),1,0),IF($X128&lt;=20,1,0))</formula>
    </cfRule>
    <cfRule type="expression" dxfId="2304" priority="29">
      <formula>AND(IF($Q128=2,1,0),IF($X128&lt;30,1,0))</formula>
    </cfRule>
    <cfRule type="expression" dxfId="2303" priority="30">
      <formula>AND(IF($Q128=3,1,0),IF($X128&lt;30,1,0))</formula>
    </cfRule>
    <cfRule type="expression" dxfId="2302" priority="31">
      <formula>AND(IF($Q128=3,1,IF($Q128=4,1,0)),IF($F128&lt;=85,1,0))</formula>
    </cfRule>
  </conditionalFormatting>
  <conditionalFormatting sqref="X128">
    <cfRule type="expression" dxfId="2301" priority="24">
      <formula>AND(IF(OR($Q128=1,$Q128=2),1,0),IF($X128&lt;=20,1,0))</formula>
    </cfRule>
    <cfRule type="expression" dxfId="2300" priority="25">
      <formula>AND(IF($Q128=2,1,0),IF($X128&lt;30,1,0))</formula>
    </cfRule>
    <cfRule type="expression" dxfId="2299" priority="26">
      <formula>AND(IF($Q128=3,1,0),IF($X128&lt;30,1,0))</formula>
    </cfRule>
    <cfRule type="expression" dxfId="2298" priority="27">
      <formula>AND(IF($Q128=3,1,IF($Q128=4,1,0)),IF($F128&lt;=85,1,0))</formula>
    </cfRule>
  </conditionalFormatting>
  <conditionalFormatting sqref="AI128">
    <cfRule type="expression" dxfId="2297" priority="20">
      <formula>AND(IF(OR($Q128=1,$Q128=2),1,0),IF($X128&lt;=20,1,0))</formula>
    </cfRule>
    <cfRule type="expression" dxfId="2296" priority="21">
      <formula>AND(IF($Q128=2,1,0),IF($X128&lt;30,1,0))</formula>
    </cfRule>
    <cfRule type="expression" dxfId="2295" priority="22">
      <formula>AND(IF($Q128=3,1,0),IF($X128&lt;30,1,0))</formula>
    </cfRule>
    <cfRule type="expression" dxfId="2294" priority="23">
      <formula>AND(IF($Q128=3,1,IF($Q128=4,1,0)),IF($F128&lt;=85,1,0))</formula>
    </cfRule>
  </conditionalFormatting>
  <conditionalFormatting sqref="AV129">
    <cfRule type="expression" dxfId="2293" priority="18">
      <formula>AV129="X"</formula>
    </cfRule>
    <cfRule type="expression" dxfId="2292" priority="19">
      <formula>AV129="후보"</formula>
    </cfRule>
  </conditionalFormatting>
  <conditionalFormatting sqref="AC129">
    <cfRule type="cellIs" dxfId="2291" priority="15" operator="greaterThan">
      <formula>0.9</formula>
    </cfRule>
    <cfRule type="cellIs" dxfId="2290" priority="16" operator="greaterThan">
      <formula>0.85</formula>
    </cfRule>
  </conditionalFormatting>
  <conditionalFormatting sqref="N129">
    <cfRule type="cellIs" dxfId="2289" priority="13" operator="greaterThan">
      <formula>0.9</formula>
    </cfRule>
    <cfRule type="cellIs" dxfId="2288" priority="14" operator="greaterThan">
      <formula>0.85</formula>
    </cfRule>
  </conditionalFormatting>
  <conditionalFormatting sqref="E129">
    <cfRule type="expression" dxfId="2287" priority="9">
      <formula>AND(IF(OR($Q129=1,$Q129=2),1,0),IF($X129&lt;=20,1,0))</formula>
    </cfRule>
    <cfRule type="expression" dxfId="2286" priority="10">
      <formula>AND(IF($Q129=2,1,0),IF($X129&lt;30,1,0))</formula>
    </cfRule>
    <cfRule type="expression" dxfId="2285" priority="11">
      <formula>AND(IF($Q129=3,1,0),IF($X129&lt;30,1,0))</formula>
    </cfRule>
    <cfRule type="expression" dxfId="2284" priority="12">
      <formula>AND(IF($Q129=3,1,IF($Q129=4,1,0)),IF($F129&lt;=85,1,0))</formula>
    </cfRule>
  </conditionalFormatting>
  <conditionalFormatting sqref="X129">
    <cfRule type="expression" dxfId="2283" priority="5">
      <formula>AND(IF(OR($Q129=1,$Q129=2),1,0),IF($X129&lt;=20,1,0))</formula>
    </cfRule>
    <cfRule type="expression" dxfId="2282" priority="6">
      <formula>AND(IF($Q129=2,1,0),IF($X129&lt;30,1,0))</formula>
    </cfRule>
    <cfRule type="expression" dxfId="2281" priority="7">
      <formula>AND(IF($Q129=3,1,0),IF($X129&lt;30,1,0))</formula>
    </cfRule>
    <cfRule type="expression" dxfId="2280" priority="8">
      <formula>AND(IF($Q129=3,1,IF($Q129=4,1,0)),IF($F129&lt;=85,1,0))</formula>
    </cfRule>
  </conditionalFormatting>
  <conditionalFormatting sqref="AI129">
    <cfRule type="expression" dxfId="2279" priority="1">
      <formula>AND(IF(OR($Q129=1,$Q129=2),1,0),IF($X129&lt;=20,1,0))</formula>
    </cfRule>
    <cfRule type="expression" dxfId="2278" priority="2">
      <formula>AND(IF($Q129=2,1,0),IF($X129&lt;30,1,0))</formula>
    </cfRule>
    <cfRule type="expression" dxfId="2277" priority="3">
      <formula>AND(IF($Q129=3,1,0),IF($X129&lt;30,1,0))</formula>
    </cfRule>
    <cfRule type="expression" dxfId="2276" priority="4">
      <formula>AND(IF($Q129=3,1,IF($Q129=4,1,0)),IF($F129&lt;=85,1,0))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봉명동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895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봉명동 초원('92.12.,232^)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897</v>
      </c>
      <c r="B6" s="10" t="s">
        <v>1353</v>
      </c>
      <c r="C6" s="88">
        <v>232</v>
      </c>
      <c r="D6" s="86">
        <v>71.5</v>
      </c>
      <c r="E6" s="87">
        <v>22</v>
      </c>
      <c r="F6" s="86">
        <v>49.9</v>
      </c>
      <c r="G6" s="17">
        <v>15</v>
      </c>
      <c r="H6" s="88">
        <v>232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71</v>
      </c>
      <c r="U6" s="9"/>
      <c r="W6" s="86">
        <f>D6</f>
        <v>71.5</v>
      </c>
      <c r="X6" s="87">
        <f>E6</f>
        <v>22</v>
      </c>
      <c r="Y6" s="92">
        <f>H6</f>
        <v>232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초원</v>
      </c>
      <c r="AI6" s="87">
        <f t="shared" si="0"/>
        <v>22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/>
      <c r="B7" s="79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봉명동 두진하트리움('03.05.,204^)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</row>
    <row r="8" spans="1:48" x14ac:dyDescent="0.3">
      <c r="A8" s="9" t="s">
        <v>694</v>
      </c>
      <c r="B8" s="10" t="s">
        <v>1394</v>
      </c>
      <c r="C8" s="88">
        <v>204</v>
      </c>
      <c r="D8" s="86">
        <v>104.6</v>
      </c>
      <c r="E8" s="87">
        <v>32</v>
      </c>
      <c r="F8" s="86">
        <v>84.8</v>
      </c>
      <c r="G8" s="17">
        <v>26</v>
      </c>
      <c r="H8" s="88">
        <v>200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>
        <v>104</v>
      </c>
      <c r="U8" s="9"/>
      <c r="W8" s="86">
        <f>D8</f>
        <v>104.6</v>
      </c>
      <c r="X8" s="87">
        <f>E8</f>
        <v>32</v>
      </c>
      <c r="Y8" s="92">
        <f>H8</f>
        <v>200</v>
      </c>
      <c r="Z8" s="90">
        <f>I8</f>
        <v>0</v>
      </c>
      <c r="AA8" s="90">
        <f>K8</f>
        <v>0</v>
      </c>
      <c r="AB8" s="90">
        <f t="shared" ref="AB8:AD9" si="2">M8</f>
        <v>0</v>
      </c>
      <c r="AC8" s="4" t="str">
        <f t="shared" si="2"/>
        <v/>
      </c>
      <c r="AD8" s="91">
        <f t="shared" si="2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두진하트리움</v>
      </c>
      <c r="AI8" s="87">
        <f t="shared" si="0"/>
        <v>32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48" x14ac:dyDescent="0.3">
      <c r="A9" s="9" t="s">
        <v>694</v>
      </c>
      <c r="B9" s="10" t="s">
        <v>1394</v>
      </c>
      <c r="C9" s="88">
        <v>204</v>
      </c>
      <c r="D9" s="86">
        <v>168.9</v>
      </c>
      <c r="E9" s="87">
        <v>51</v>
      </c>
      <c r="F9" s="86">
        <v>136.5</v>
      </c>
      <c r="G9" s="17">
        <v>41</v>
      </c>
      <c r="H9" s="88">
        <v>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168</v>
      </c>
      <c r="U9" s="9"/>
      <c r="W9" s="86">
        <f>D9</f>
        <v>168.9</v>
      </c>
      <c r="X9" s="87">
        <f>E9</f>
        <v>51</v>
      </c>
      <c r="Y9" s="92">
        <f>H9</f>
        <v>4</v>
      </c>
      <c r="Z9" s="90">
        <f>I9</f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9" t="str">
        <f>S9</f>
        <v>계</v>
      </c>
      <c r="AF9" s="79" t="str">
        <f>Q9&amp;"/"&amp;R9</f>
        <v>4/2</v>
      </c>
      <c r="AH9" s="20" t="str">
        <f t="shared" si="1"/>
        <v>두진하트리움</v>
      </c>
      <c r="AI9" s="87">
        <f t="shared" si="0"/>
        <v>51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봉명동 봉명세원('93.07.,276^)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921</v>
      </c>
      <c r="B11" s="10" t="s">
        <v>1395</v>
      </c>
      <c r="C11" s="88">
        <v>276</v>
      </c>
      <c r="D11" s="86">
        <v>82.6</v>
      </c>
      <c r="E11" s="87">
        <v>25</v>
      </c>
      <c r="F11" s="86">
        <v>66.7</v>
      </c>
      <c r="G11" s="17">
        <v>20</v>
      </c>
      <c r="H11" s="88">
        <v>90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1</v>
      </c>
      <c r="S11" s="79" t="s">
        <v>62</v>
      </c>
      <c r="T11" s="5">
        <v>82</v>
      </c>
      <c r="U11" s="9"/>
      <c r="W11" s="86">
        <f t="shared" ref="W11:X13" si="3">D11</f>
        <v>82.6</v>
      </c>
      <c r="X11" s="87">
        <f t="shared" si="3"/>
        <v>25</v>
      </c>
      <c r="Y11" s="92">
        <f t="shared" ref="Y11:Z13" si="4">H11</f>
        <v>90</v>
      </c>
      <c r="Z11" s="90">
        <f t="shared" si="4"/>
        <v>0</v>
      </c>
      <c r="AA11" s="90">
        <f>K11</f>
        <v>0</v>
      </c>
      <c r="AB11" s="90">
        <f t="shared" ref="AB11:AD13" si="5">M11</f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3/1</v>
      </c>
      <c r="AH11" s="20" t="str">
        <f t="shared" si="1"/>
        <v>봉명세원</v>
      </c>
      <c r="AI11" s="87">
        <f t="shared" si="0"/>
        <v>25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921</v>
      </c>
      <c r="B12" s="10" t="s">
        <v>1395</v>
      </c>
      <c r="C12" s="88">
        <v>276</v>
      </c>
      <c r="D12" s="86">
        <v>104.9</v>
      </c>
      <c r="E12" s="87">
        <v>32</v>
      </c>
      <c r="F12" s="86">
        <v>85</v>
      </c>
      <c r="G12" s="17">
        <v>26</v>
      </c>
      <c r="H12" s="88">
        <v>138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>
        <v>104</v>
      </c>
      <c r="U12" s="9"/>
      <c r="W12" s="86">
        <f t="shared" si="3"/>
        <v>104.9</v>
      </c>
      <c r="X12" s="87">
        <f t="shared" si="3"/>
        <v>32</v>
      </c>
      <c r="Y12" s="92">
        <f t="shared" si="4"/>
        <v>138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봉명세원</v>
      </c>
      <c r="AI12" s="87">
        <f t="shared" si="0"/>
        <v>32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921</v>
      </c>
      <c r="B13" s="10" t="s">
        <v>1395</v>
      </c>
      <c r="C13" s="88">
        <v>276</v>
      </c>
      <c r="D13" s="86">
        <v>144.69999999999999</v>
      </c>
      <c r="E13" s="87">
        <v>44</v>
      </c>
      <c r="F13" s="86">
        <v>124</v>
      </c>
      <c r="G13" s="17">
        <v>38</v>
      </c>
      <c r="H13" s="88">
        <v>48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144</v>
      </c>
      <c r="U13" s="9"/>
      <c r="W13" s="86">
        <f t="shared" si="3"/>
        <v>144.69999999999999</v>
      </c>
      <c r="X13" s="87">
        <f t="shared" si="3"/>
        <v>44</v>
      </c>
      <c r="Y13" s="92">
        <f t="shared" si="4"/>
        <v>48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봉명세원</v>
      </c>
      <c r="AI13" s="87">
        <f t="shared" si="0"/>
        <v>44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봉명동 봉명아이파크('05.03.,1222^)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926</v>
      </c>
      <c r="B15" s="10" t="s">
        <v>1396</v>
      </c>
      <c r="C15" s="88">
        <v>1222</v>
      </c>
      <c r="D15" s="86">
        <v>97.5</v>
      </c>
      <c r="E15" s="87">
        <v>30</v>
      </c>
      <c r="F15" s="86">
        <v>74.3</v>
      </c>
      <c r="G15" s="17">
        <v>22</v>
      </c>
      <c r="H15" s="88">
        <v>30</v>
      </c>
      <c r="I15" s="89">
        <v>28500</v>
      </c>
      <c r="J15" s="89" t="s">
        <v>102</v>
      </c>
      <c r="K15" s="89"/>
      <c r="L15" s="89"/>
      <c r="M15" s="90">
        <f t="shared" ref="M15:M24" si="6">I15-K15</f>
        <v>28500</v>
      </c>
      <c r="N15" s="4">
        <f t="shared" ref="N15:N24" si="7">IF(ISERROR(K15/I15),"",K15/I15)</f>
        <v>0</v>
      </c>
      <c r="O15" s="91">
        <f t="shared" ref="O15:O24" si="8">I15/E15</f>
        <v>950</v>
      </c>
      <c r="P15" s="91">
        <f t="shared" ref="P15:P24" si="9">K15/E15</f>
        <v>0</v>
      </c>
      <c r="Q15" s="79">
        <v>3</v>
      </c>
      <c r="R15" s="79">
        <v>2</v>
      </c>
      <c r="S15" s="79" t="s">
        <v>62</v>
      </c>
      <c r="T15" s="5">
        <v>97</v>
      </c>
      <c r="U15" s="9"/>
      <c r="W15" s="86">
        <f t="shared" ref="W15:W24" si="10">D15</f>
        <v>97.5</v>
      </c>
      <c r="X15" s="87">
        <f t="shared" ref="X15:X24" si="11">E15</f>
        <v>30</v>
      </c>
      <c r="Y15" s="92">
        <f t="shared" ref="Y15:Y24" si="12">H15</f>
        <v>30</v>
      </c>
      <c r="Z15" s="90">
        <f t="shared" ref="Z15:Z24" si="13">I15</f>
        <v>28500</v>
      </c>
      <c r="AA15" s="90">
        <f t="shared" ref="AA15:AA24" si="14">K15</f>
        <v>0</v>
      </c>
      <c r="AB15" s="90">
        <f t="shared" ref="AB15:AB24" si="15">M15</f>
        <v>28500</v>
      </c>
      <c r="AC15" s="4">
        <f t="shared" ref="AC15:AC24" si="16">N15</f>
        <v>0</v>
      </c>
      <c r="AD15" s="91">
        <f t="shared" ref="AD15:AD24" si="17">O15</f>
        <v>950</v>
      </c>
      <c r="AE15" s="79" t="str">
        <f t="shared" ref="AE15:AE24" si="18">S15</f>
        <v>계</v>
      </c>
      <c r="AF15" s="79" t="str">
        <f t="shared" ref="AF15:AF24" si="19">Q15&amp;"/"&amp;R15</f>
        <v>3/2</v>
      </c>
      <c r="AH15" s="20" t="str">
        <f t="shared" si="1"/>
        <v>봉명아이파크</v>
      </c>
      <c r="AI15" s="87">
        <f t="shared" si="0"/>
        <v>30</v>
      </c>
      <c r="AJ15" s="79" t="str">
        <f t="shared" ref="AJ15:AJ24" si="20"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 t="shared" ref="AN15:AN24" si="21">IF(AI15="","",$AN$2)</f>
        <v>C</v>
      </c>
      <c r="AO15" s="79" t="str">
        <f t="shared" ref="AO15:AO24" si="22">IF(N15="","",IF(N15&gt;=$AO$1/100,"O","X"))</f>
        <v>X</v>
      </c>
      <c r="AP15" s="79" t="str">
        <f t="shared" ref="AP15:AP24" si="23">IF(I15="","",IF(I15&lt;=$AP$1,"O","X"))</f>
        <v>O</v>
      </c>
      <c r="AQ15" s="79" t="str">
        <f t="shared" ref="AQ15:AQ24" si="24">IF(O15="","",IF(O15&lt;=$AQ$1,"O","X"))</f>
        <v>O</v>
      </c>
      <c r="AR15" s="79" t="str">
        <f t="shared" ref="AR15:AR24" si="25">IF(M15="","",IF(M15&lt;=$AR$1,"O","X"))</f>
        <v>X</v>
      </c>
      <c r="AS15" s="79" t="s">
        <v>2</v>
      </c>
      <c r="AT15" s="79" t="str">
        <f t="shared" ref="AT15:AT24" si="26">IF(OR(F15="",AI15=""),"",IF(AND((F15&lt;=85),(AI15&gt;=15)),"O","X"))</f>
        <v>O</v>
      </c>
      <c r="AU15" s="79" t="str">
        <f t="shared" ref="AU15:AU24" si="27">IF(C15="","",IF(C15&gt;=$AU$1,"O","X"))</f>
        <v>O</v>
      </c>
      <c r="AV15" s="79" t="str">
        <f t="shared" ref="AV15:AV24" si="28">IF(AO15="","",IF(AND(AO15="O",AP15="O",AR15="O",AT15="O",AU15="O"),"후보","X"))</f>
        <v>X</v>
      </c>
    </row>
    <row r="16" spans="1:48" x14ac:dyDescent="0.3">
      <c r="A16" s="9" t="s">
        <v>926</v>
      </c>
      <c r="B16" s="10" t="s">
        <v>1396</v>
      </c>
      <c r="C16" s="88">
        <v>1222</v>
      </c>
      <c r="D16" s="86">
        <v>113.7</v>
      </c>
      <c r="E16" s="87">
        <v>34</v>
      </c>
      <c r="F16" s="86">
        <v>84.9</v>
      </c>
      <c r="G16" s="17">
        <v>26</v>
      </c>
      <c r="H16" s="88">
        <v>110</v>
      </c>
      <c r="I16" s="89">
        <v>31500</v>
      </c>
      <c r="J16" s="89" t="s">
        <v>81</v>
      </c>
      <c r="K16" s="89">
        <v>28000</v>
      </c>
      <c r="L16" s="89" t="s">
        <v>92</v>
      </c>
      <c r="M16" s="90">
        <f t="shared" si="6"/>
        <v>3500</v>
      </c>
      <c r="N16" s="4">
        <f t="shared" si="7"/>
        <v>0.88888888888888884</v>
      </c>
      <c r="O16" s="91">
        <f t="shared" si="8"/>
        <v>926.47058823529414</v>
      </c>
      <c r="P16" s="91">
        <f t="shared" si="9"/>
        <v>823.52941176470586</v>
      </c>
      <c r="Q16" s="79">
        <v>3</v>
      </c>
      <c r="R16" s="79">
        <v>2</v>
      </c>
      <c r="S16" s="79" t="s">
        <v>62</v>
      </c>
      <c r="T16" s="5" t="s">
        <v>160</v>
      </c>
      <c r="U16" s="9"/>
      <c r="W16" s="86">
        <f t="shared" si="10"/>
        <v>113.7</v>
      </c>
      <c r="X16" s="87">
        <f t="shared" si="11"/>
        <v>34</v>
      </c>
      <c r="Y16" s="92">
        <f t="shared" si="12"/>
        <v>110</v>
      </c>
      <c r="Z16" s="90">
        <f t="shared" si="13"/>
        <v>31500</v>
      </c>
      <c r="AA16" s="90">
        <f t="shared" si="14"/>
        <v>28000</v>
      </c>
      <c r="AB16" s="90">
        <f t="shared" si="15"/>
        <v>3500</v>
      </c>
      <c r="AC16" s="4">
        <f t="shared" si="16"/>
        <v>0.88888888888888884</v>
      </c>
      <c r="AD16" s="91">
        <f t="shared" si="17"/>
        <v>926.47058823529414</v>
      </c>
      <c r="AE16" s="79" t="str">
        <f t="shared" si="18"/>
        <v>계</v>
      </c>
      <c r="AF16" s="79" t="str">
        <f t="shared" si="19"/>
        <v>3/2</v>
      </c>
      <c r="AH16" s="20" t="str">
        <f t="shared" si="1"/>
        <v>봉명아이파크</v>
      </c>
      <c r="AI16" s="87">
        <f t="shared" si="0"/>
        <v>34</v>
      </c>
      <c r="AJ16" s="79" t="str">
        <f t="shared" si="20"/>
        <v>A-</v>
      </c>
      <c r="AK16" s="79" t="s">
        <v>13</v>
      </c>
      <c r="AL16" s="79" t="s">
        <v>60</v>
      </c>
      <c r="AM16" s="79" t="s">
        <v>61</v>
      </c>
      <c r="AN16" s="79" t="str">
        <f t="shared" si="21"/>
        <v>C</v>
      </c>
      <c r="AO16" s="79" t="str">
        <f t="shared" si="22"/>
        <v>O</v>
      </c>
      <c r="AP16" s="79" t="str">
        <f t="shared" si="23"/>
        <v>O</v>
      </c>
      <c r="AQ16" s="79" t="str">
        <f t="shared" si="24"/>
        <v>O</v>
      </c>
      <c r="AR16" s="79" t="str">
        <f t="shared" si="25"/>
        <v>O</v>
      </c>
      <c r="AS16" s="79" t="s">
        <v>2</v>
      </c>
      <c r="AT16" s="79" t="str">
        <f t="shared" si="26"/>
        <v>O</v>
      </c>
      <c r="AU16" s="79" t="str">
        <f t="shared" si="27"/>
        <v>O</v>
      </c>
      <c r="AV16" s="79" t="str">
        <f t="shared" si="28"/>
        <v>후보</v>
      </c>
    </row>
    <row r="17" spans="1:48" x14ac:dyDescent="0.3">
      <c r="A17" s="9" t="s">
        <v>926</v>
      </c>
      <c r="B17" s="10" t="s">
        <v>1396</v>
      </c>
      <c r="C17" s="88">
        <v>1222</v>
      </c>
      <c r="D17" s="86">
        <v>114.8</v>
      </c>
      <c r="E17" s="87">
        <v>35</v>
      </c>
      <c r="F17" s="86">
        <v>84.9</v>
      </c>
      <c r="G17" s="17">
        <v>26</v>
      </c>
      <c r="H17" s="88">
        <v>420</v>
      </c>
      <c r="I17" s="89">
        <v>31000</v>
      </c>
      <c r="J17" s="89" t="s">
        <v>97</v>
      </c>
      <c r="K17" s="89">
        <v>27000</v>
      </c>
      <c r="L17" s="89" t="s">
        <v>92</v>
      </c>
      <c r="M17" s="90">
        <f t="shared" si="6"/>
        <v>4000</v>
      </c>
      <c r="N17" s="4">
        <f t="shared" si="7"/>
        <v>0.87096774193548387</v>
      </c>
      <c r="O17" s="91">
        <f t="shared" si="8"/>
        <v>885.71428571428567</v>
      </c>
      <c r="P17" s="91">
        <f t="shared" si="9"/>
        <v>771.42857142857144</v>
      </c>
      <c r="Q17" s="79">
        <v>3</v>
      </c>
      <c r="R17" s="79">
        <v>2</v>
      </c>
      <c r="S17" s="79" t="s">
        <v>62</v>
      </c>
      <c r="T17" s="5" t="s">
        <v>161</v>
      </c>
      <c r="U17" s="9"/>
      <c r="W17" s="86">
        <f t="shared" si="10"/>
        <v>114.8</v>
      </c>
      <c r="X17" s="87">
        <f t="shared" si="11"/>
        <v>35</v>
      </c>
      <c r="Y17" s="92">
        <f t="shared" si="12"/>
        <v>420</v>
      </c>
      <c r="Z17" s="90">
        <f t="shared" si="13"/>
        <v>31000</v>
      </c>
      <c r="AA17" s="90">
        <f t="shared" si="14"/>
        <v>27000</v>
      </c>
      <c r="AB17" s="90">
        <f t="shared" si="15"/>
        <v>4000</v>
      </c>
      <c r="AC17" s="4">
        <f t="shared" si="16"/>
        <v>0.87096774193548387</v>
      </c>
      <c r="AD17" s="91">
        <f t="shared" si="17"/>
        <v>885.71428571428567</v>
      </c>
      <c r="AE17" s="79" t="str">
        <f t="shared" si="18"/>
        <v>계</v>
      </c>
      <c r="AF17" s="79" t="str">
        <f t="shared" si="19"/>
        <v>3/2</v>
      </c>
      <c r="AH17" s="20" t="str">
        <f t="shared" si="1"/>
        <v>봉명아이파크</v>
      </c>
      <c r="AI17" s="87">
        <f t="shared" si="0"/>
        <v>35</v>
      </c>
      <c r="AJ17" s="79" t="str">
        <f t="shared" si="20"/>
        <v>A-</v>
      </c>
      <c r="AK17" s="79" t="s">
        <v>13</v>
      </c>
      <c r="AL17" s="79" t="s">
        <v>60</v>
      </c>
      <c r="AM17" s="79" t="s">
        <v>61</v>
      </c>
      <c r="AN17" s="79" t="str">
        <f t="shared" si="21"/>
        <v>C</v>
      </c>
      <c r="AO17" s="79" t="str">
        <f t="shared" si="22"/>
        <v>O</v>
      </c>
      <c r="AP17" s="79" t="str">
        <f t="shared" si="23"/>
        <v>O</v>
      </c>
      <c r="AQ17" s="79" t="str">
        <f t="shared" si="24"/>
        <v>O</v>
      </c>
      <c r="AR17" s="79" t="str">
        <f t="shared" si="25"/>
        <v>O</v>
      </c>
      <c r="AS17" s="79" t="s">
        <v>2</v>
      </c>
      <c r="AT17" s="79" t="str">
        <f t="shared" si="26"/>
        <v>O</v>
      </c>
      <c r="AU17" s="79" t="str">
        <f t="shared" si="27"/>
        <v>O</v>
      </c>
      <c r="AV17" s="79" t="str">
        <f t="shared" si="28"/>
        <v>후보</v>
      </c>
    </row>
    <row r="18" spans="1:48" x14ac:dyDescent="0.3">
      <c r="A18" s="9" t="s">
        <v>926</v>
      </c>
      <c r="B18" s="10" t="s">
        <v>1396</v>
      </c>
      <c r="C18" s="88">
        <v>1222</v>
      </c>
      <c r="D18" s="86">
        <v>114.6</v>
      </c>
      <c r="E18" s="87">
        <v>35</v>
      </c>
      <c r="F18" s="86">
        <v>84.9</v>
      </c>
      <c r="G18" s="17">
        <v>26</v>
      </c>
      <c r="H18" s="88">
        <v>50</v>
      </c>
      <c r="I18" s="89">
        <v>33000</v>
      </c>
      <c r="J18" s="89" t="s">
        <v>71</v>
      </c>
      <c r="K18" s="89"/>
      <c r="L18" s="89"/>
      <c r="M18" s="90">
        <f t="shared" si="6"/>
        <v>33000</v>
      </c>
      <c r="N18" s="4">
        <f t="shared" si="7"/>
        <v>0</v>
      </c>
      <c r="O18" s="91">
        <f t="shared" si="8"/>
        <v>942.85714285714289</v>
      </c>
      <c r="P18" s="91">
        <f t="shared" si="9"/>
        <v>0</v>
      </c>
      <c r="Q18" s="79">
        <v>3</v>
      </c>
      <c r="R18" s="79">
        <v>2</v>
      </c>
      <c r="S18" s="79" t="s">
        <v>62</v>
      </c>
      <c r="T18" s="5" t="s">
        <v>162</v>
      </c>
      <c r="U18" s="9"/>
      <c r="W18" s="86">
        <f t="shared" si="10"/>
        <v>114.6</v>
      </c>
      <c r="X18" s="87">
        <f t="shared" si="11"/>
        <v>35</v>
      </c>
      <c r="Y18" s="92">
        <f t="shared" si="12"/>
        <v>50</v>
      </c>
      <c r="Z18" s="90">
        <f t="shared" si="13"/>
        <v>33000</v>
      </c>
      <c r="AA18" s="90">
        <f t="shared" si="14"/>
        <v>0</v>
      </c>
      <c r="AB18" s="90">
        <f t="shared" si="15"/>
        <v>33000</v>
      </c>
      <c r="AC18" s="4">
        <f t="shared" si="16"/>
        <v>0</v>
      </c>
      <c r="AD18" s="91">
        <f t="shared" si="17"/>
        <v>942.85714285714289</v>
      </c>
      <c r="AE18" s="79" t="str">
        <f t="shared" si="18"/>
        <v>계</v>
      </c>
      <c r="AF18" s="79" t="str">
        <f t="shared" si="19"/>
        <v>3/2</v>
      </c>
      <c r="AH18" s="20" t="str">
        <f t="shared" si="1"/>
        <v>봉명아이파크</v>
      </c>
      <c r="AI18" s="87">
        <f t="shared" si="0"/>
        <v>35</v>
      </c>
      <c r="AJ18" s="79" t="str">
        <f t="shared" si="20"/>
        <v>A-</v>
      </c>
      <c r="AK18" s="79" t="s">
        <v>13</v>
      </c>
      <c r="AL18" s="79" t="s">
        <v>60</v>
      </c>
      <c r="AM18" s="79" t="s">
        <v>61</v>
      </c>
      <c r="AN18" s="79" t="str">
        <f t="shared" si="21"/>
        <v>C</v>
      </c>
      <c r="AO18" s="79" t="str">
        <f t="shared" si="22"/>
        <v>X</v>
      </c>
      <c r="AP18" s="79" t="str">
        <f t="shared" si="23"/>
        <v>O</v>
      </c>
      <c r="AQ18" s="79" t="str">
        <f t="shared" si="24"/>
        <v>O</v>
      </c>
      <c r="AR18" s="79" t="str">
        <f t="shared" si="25"/>
        <v>X</v>
      </c>
      <c r="AS18" s="79" t="s">
        <v>2</v>
      </c>
      <c r="AT18" s="79" t="str">
        <f t="shared" si="26"/>
        <v>O</v>
      </c>
      <c r="AU18" s="79" t="str">
        <f t="shared" si="27"/>
        <v>O</v>
      </c>
      <c r="AV18" s="79" t="str">
        <f t="shared" si="28"/>
        <v>X</v>
      </c>
    </row>
    <row r="19" spans="1:48" x14ac:dyDescent="0.3">
      <c r="A19" s="9" t="s">
        <v>926</v>
      </c>
      <c r="B19" s="10" t="s">
        <v>1396</v>
      </c>
      <c r="C19" s="88">
        <v>1222</v>
      </c>
      <c r="D19" s="86">
        <v>129.30000000000001</v>
      </c>
      <c r="E19" s="87">
        <v>39</v>
      </c>
      <c r="F19" s="86">
        <v>106.1</v>
      </c>
      <c r="G19" s="17">
        <v>32</v>
      </c>
      <c r="H19" s="88">
        <v>330</v>
      </c>
      <c r="I19" s="89">
        <v>34000</v>
      </c>
      <c r="J19" s="89" t="s">
        <v>63</v>
      </c>
      <c r="K19" s="89">
        <v>29000</v>
      </c>
      <c r="L19" s="89" t="s">
        <v>79</v>
      </c>
      <c r="M19" s="90">
        <f t="shared" si="6"/>
        <v>5000</v>
      </c>
      <c r="N19" s="4">
        <f t="shared" si="7"/>
        <v>0.8529411764705882</v>
      </c>
      <c r="O19" s="91">
        <f t="shared" si="8"/>
        <v>871.79487179487182</v>
      </c>
      <c r="P19" s="91">
        <f t="shared" si="9"/>
        <v>743.58974358974353</v>
      </c>
      <c r="Q19" s="79">
        <v>3</v>
      </c>
      <c r="R19" s="79">
        <v>2</v>
      </c>
      <c r="S19" s="79" t="s">
        <v>62</v>
      </c>
      <c r="T19" s="5">
        <v>129</v>
      </c>
      <c r="U19" s="9"/>
      <c r="W19" s="86">
        <f t="shared" si="10"/>
        <v>129.30000000000001</v>
      </c>
      <c r="X19" s="87">
        <f t="shared" si="11"/>
        <v>39</v>
      </c>
      <c r="Y19" s="92">
        <f t="shared" si="12"/>
        <v>330</v>
      </c>
      <c r="Z19" s="90">
        <f t="shared" si="13"/>
        <v>34000</v>
      </c>
      <c r="AA19" s="90">
        <f t="shared" si="14"/>
        <v>29000</v>
      </c>
      <c r="AB19" s="90">
        <f t="shared" si="15"/>
        <v>5000</v>
      </c>
      <c r="AC19" s="4">
        <f t="shared" si="16"/>
        <v>0.8529411764705882</v>
      </c>
      <c r="AD19" s="91">
        <f t="shared" si="17"/>
        <v>871.79487179487182</v>
      </c>
      <c r="AE19" s="79" t="str">
        <f t="shared" si="18"/>
        <v>계</v>
      </c>
      <c r="AF19" s="79" t="str">
        <f t="shared" si="19"/>
        <v>3/2</v>
      </c>
      <c r="AH19" s="20" t="str">
        <f t="shared" si="1"/>
        <v>봉명아이파크</v>
      </c>
      <c r="AI19" s="87">
        <f t="shared" si="0"/>
        <v>39</v>
      </c>
      <c r="AJ19" s="79" t="str">
        <f t="shared" si="20"/>
        <v>A-</v>
      </c>
      <c r="AK19" s="79" t="s">
        <v>13</v>
      </c>
      <c r="AL19" s="79" t="s">
        <v>60</v>
      </c>
      <c r="AM19" s="79" t="s">
        <v>61</v>
      </c>
      <c r="AN19" s="79" t="str">
        <f t="shared" si="21"/>
        <v>C</v>
      </c>
      <c r="AO19" s="79" t="str">
        <f t="shared" si="22"/>
        <v>O</v>
      </c>
      <c r="AP19" s="79" t="str">
        <f t="shared" si="23"/>
        <v>O</v>
      </c>
      <c r="AQ19" s="79" t="str">
        <f t="shared" si="24"/>
        <v>O</v>
      </c>
      <c r="AR19" s="79" t="str">
        <f t="shared" si="25"/>
        <v>O</v>
      </c>
      <c r="AS19" s="79" t="s">
        <v>2</v>
      </c>
      <c r="AT19" s="79" t="str">
        <f t="shared" si="26"/>
        <v>X</v>
      </c>
      <c r="AU19" s="79" t="str">
        <f t="shared" si="27"/>
        <v>O</v>
      </c>
      <c r="AV19" s="79" t="str">
        <f t="shared" si="28"/>
        <v>X</v>
      </c>
    </row>
    <row r="20" spans="1:48" x14ac:dyDescent="0.3">
      <c r="A20" s="9" t="s">
        <v>926</v>
      </c>
      <c r="B20" s="10" t="s">
        <v>1396</v>
      </c>
      <c r="C20" s="88">
        <v>1222</v>
      </c>
      <c r="D20" s="86">
        <v>134.30000000000001</v>
      </c>
      <c r="E20" s="87">
        <v>41</v>
      </c>
      <c r="F20" s="86">
        <v>112.6</v>
      </c>
      <c r="G20" s="17">
        <v>34</v>
      </c>
      <c r="H20" s="88">
        <v>90</v>
      </c>
      <c r="I20" s="89">
        <v>38000</v>
      </c>
      <c r="J20" s="89" t="s">
        <v>79</v>
      </c>
      <c r="K20" s="89"/>
      <c r="L20" s="89"/>
      <c r="M20" s="90">
        <f t="shared" si="6"/>
        <v>38000</v>
      </c>
      <c r="N20" s="4">
        <f t="shared" si="7"/>
        <v>0</v>
      </c>
      <c r="O20" s="91">
        <f t="shared" si="8"/>
        <v>926.82926829268297</v>
      </c>
      <c r="P20" s="91">
        <f t="shared" si="9"/>
        <v>0</v>
      </c>
      <c r="Q20" s="79">
        <v>4</v>
      </c>
      <c r="R20" s="79">
        <v>2</v>
      </c>
      <c r="S20" s="79" t="s">
        <v>62</v>
      </c>
      <c r="T20" s="5">
        <v>134</v>
      </c>
      <c r="U20" s="9"/>
      <c r="W20" s="86">
        <f t="shared" si="10"/>
        <v>134.30000000000001</v>
      </c>
      <c r="X20" s="87">
        <f t="shared" si="11"/>
        <v>41</v>
      </c>
      <c r="Y20" s="92">
        <f t="shared" si="12"/>
        <v>90</v>
      </c>
      <c r="Z20" s="90">
        <f t="shared" si="13"/>
        <v>38000</v>
      </c>
      <c r="AA20" s="90">
        <f t="shared" si="14"/>
        <v>0</v>
      </c>
      <c r="AB20" s="90">
        <f t="shared" si="15"/>
        <v>38000</v>
      </c>
      <c r="AC20" s="4">
        <f t="shared" si="16"/>
        <v>0</v>
      </c>
      <c r="AD20" s="91">
        <f t="shared" si="17"/>
        <v>926.82926829268297</v>
      </c>
      <c r="AE20" s="79" t="str">
        <f t="shared" si="18"/>
        <v>계</v>
      </c>
      <c r="AF20" s="79" t="str">
        <f t="shared" si="19"/>
        <v>4/2</v>
      </c>
      <c r="AH20" s="20" t="str">
        <f t="shared" si="1"/>
        <v>봉명아이파크</v>
      </c>
      <c r="AI20" s="87">
        <f t="shared" si="0"/>
        <v>41</v>
      </c>
      <c r="AJ20" s="79" t="str">
        <f t="shared" si="20"/>
        <v>A-</v>
      </c>
      <c r="AK20" s="79" t="s">
        <v>13</v>
      </c>
      <c r="AL20" s="79" t="s">
        <v>60</v>
      </c>
      <c r="AM20" s="79" t="s">
        <v>61</v>
      </c>
      <c r="AN20" s="79" t="str">
        <f t="shared" si="21"/>
        <v>C</v>
      </c>
      <c r="AO20" s="79" t="str">
        <f t="shared" si="22"/>
        <v>X</v>
      </c>
      <c r="AP20" s="79" t="str">
        <f t="shared" si="23"/>
        <v>O</v>
      </c>
      <c r="AQ20" s="79" t="str">
        <f t="shared" si="24"/>
        <v>O</v>
      </c>
      <c r="AR20" s="79" t="str">
        <f t="shared" si="25"/>
        <v>X</v>
      </c>
      <c r="AS20" s="79" t="s">
        <v>2</v>
      </c>
      <c r="AT20" s="79" t="str">
        <f t="shared" si="26"/>
        <v>X</v>
      </c>
      <c r="AU20" s="79" t="str">
        <f t="shared" si="27"/>
        <v>O</v>
      </c>
      <c r="AV20" s="79" t="str">
        <f t="shared" si="28"/>
        <v>X</v>
      </c>
    </row>
    <row r="21" spans="1:48" x14ac:dyDescent="0.3">
      <c r="A21" s="9" t="s">
        <v>926</v>
      </c>
      <c r="B21" s="10" t="s">
        <v>1396</v>
      </c>
      <c r="C21" s="88">
        <v>1222</v>
      </c>
      <c r="D21" s="86">
        <v>151</v>
      </c>
      <c r="E21" s="87">
        <v>46</v>
      </c>
      <c r="F21" s="86">
        <v>127.6</v>
      </c>
      <c r="G21" s="17">
        <v>39</v>
      </c>
      <c r="H21" s="88">
        <v>104</v>
      </c>
      <c r="I21" s="89">
        <v>42000</v>
      </c>
      <c r="J21" s="89" t="s">
        <v>83</v>
      </c>
      <c r="K21" s="89"/>
      <c r="L21" s="89"/>
      <c r="M21" s="90">
        <f t="shared" si="6"/>
        <v>42000</v>
      </c>
      <c r="N21" s="4">
        <f t="shared" si="7"/>
        <v>0</v>
      </c>
      <c r="O21" s="91">
        <f t="shared" si="8"/>
        <v>913.04347826086962</v>
      </c>
      <c r="P21" s="91">
        <f t="shared" si="9"/>
        <v>0</v>
      </c>
      <c r="Q21" s="79">
        <v>4</v>
      </c>
      <c r="R21" s="79">
        <v>2</v>
      </c>
      <c r="S21" s="79" t="s">
        <v>62</v>
      </c>
      <c r="T21" s="5">
        <v>150</v>
      </c>
      <c r="U21" s="9"/>
      <c r="W21" s="86">
        <f t="shared" si="10"/>
        <v>151</v>
      </c>
      <c r="X21" s="87">
        <f t="shared" si="11"/>
        <v>46</v>
      </c>
      <c r="Y21" s="92">
        <f t="shared" si="12"/>
        <v>104</v>
      </c>
      <c r="Z21" s="90">
        <f t="shared" si="13"/>
        <v>42000</v>
      </c>
      <c r="AA21" s="90">
        <f t="shared" si="14"/>
        <v>0</v>
      </c>
      <c r="AB21" s="90">
        <f t="shared" si="15"/>
        <v>42000</v>
      </c>
      <c r="AC21" s="4">
        <f t="shared" si="16"/>
        <v>0</v>
      </c>
      <c r="AD21" s="91">
        <f t="shared" si="17"/>
        <v>913.04347826086962</v>
      </c>
      <c r="AE21" s="79" t="str">
        <f t="shared" si="18"/>
        <v>계</v>
      </c>
      <c r="AF21" s="79" t="str">
        <f t="shared" si="19"/>
        <v>4/2</v>
      </c>
      <c r="AH21" s="20" t="str">
        <f t="shared" si="1"/>
        <v>봉명아이파크</v>
      </c>
      <c r="AI21" s="87">
        <f t="shared" si="0"/>
        <v>46</v>
      </c>
      <c r="AJ21" s="79" t="str">
        <f t="shared" si="20"/>
        <v>A-</v>
      </c>
      <c r="AK21" s="79" t="s">
        <v>13</v>
      </c>
      <c r="AL21" s="79" t="s">
        <v>60</v>
      </c>
      <c r="AM21" s="79" t="s">
        <v>61</v>
      </c>
      <c r="AN21" s="79" t="str">
        <f t="shared" si="21"/>
        <v>C</v>
      </c>
      <c r="AO21" s="79" t="str">
        <f t="shared" si="22"/>
        <v>X</v>
      </c>
      <c r="AP21" s="79" t="str">
        <f t="shared" si="23"/>
        <v>O</v>
      </c>
      <c r="AQ21" s="79" t="str">
        <f t="shared" si="24"/>
        <v>O</v>
      </c>
      <c r="AR21" s="79" t="str">
        <f t="shared" si="25"/>
        <v>X</v>
      </c>
      <c r="AS21" s="79" t="s">
        <v>2</v>
      </c>
      <c r="AT21" s="79" t="str">
        <f t="shared" si="26"/>
        <v>X</v>
      </c>
      <c r="AU21" s="79" t="str">
        <f t="shared" si="27"/>
        <v>O</v>
      </c>
      <c r="AV21" s="79" t="str">
        <f t="shared" si="28"/>
        <v>X</v>
      </c>
    </row>
    <row r="22" spans="1:48" x14ac:dyDescent="0.3">
      <c r="A22" s="9" t="s">
        <v>926</v>
      </c>
      <c r="B22" s="10" t="s">
        <v>1396</v>
      </c>
      <c r="C22" s="88">
        <v>1222</v>
      </c>
      <c r="D22" s="86">
        <v>180.1</v>
      </c>
      <c r="E22" s="87">
        <v>54</v>
      </c>
      <c r="F22" s="86">
        <v>150.80000000000001</v>
      </c>
      <c r="G22" s="17">
        <v>46</v>
      </c>
      <c r="H22" s="88">
        <v>74</v>
      </c>
      <c r="I22" s="89">
        <v>48000</v>
      </c>
      <c r="J22" s="89" t="s">
        <v>64</v>
      </c>
      <c r="K22" s="89"/>
      <c r="L22" s="89"/>
      <c r="M22" s="90">
        <f t="shared" si="6"/>
        <v>48000</v>
      </c>
      <c r="N22" s="4">
        <f t="shared" si="7"/>
        <v>0</v>
      </c>
      <c r="O22" s="91">
        <f t="shared" si="8"/>
        <v>888.88888888888891</v>
      </c>
      <c r="P22" s="91">
        <f t="shared" si="9"/>
        <v>0</v>
      </c>
      <c r="Q22" s="79">
        <v>4</v>
      </c>
      <c r="R22" s="79">
        <v>2</v>
      </c>
      <c r="S22" s="79" t="s">
        <v>62</v>
      </c>
      <c r="T22" s="5">
        <v>180</v>
      </c>
      <c r="U22" s="9"/>
      <c r="W22" s="86">
        <f t="shared" si="10"/>
        <v>180.1</v>
      </c>
      <c r="X22" s="87">
        <f t="shared" si="11"/>
        <v>54</v>
      </c>
      <c r="Y22" s="92">
        <f t="shared" si="12"/>
        <v>74</v>
      </c>
      <c r="Z22" s="90">
        <f t="shared" si="13"/>
        <v>48000</v>
      </c>
      <c r="AA22" s="90">
        <f t="shared" si="14"/>
        <v>0</v>
      </c>
      <c r="AB22" s="90">
        <f t="shared" si="15"/>
        <v>48000</v>
      </c>
      <c r="AC22" s="4">
        <f t="shared" si="16"/>
        <v>0</v>
      </c>
      <c r="AD22" s="91">
        <f t="shared" si="17"/>
        <v>888.88888888888891</v>
      </c>
      <c r="AE22" s="79" t="str">
        <f t="shared" si="18"/>
        <v>계</v>
      </c>
      <c r="AF22" s="79" t="str">
        <f t="shared" si="19"/>
        <v>4/2</v>
      </c>
      <c r="AH22" s="20" t="str">
        <f t="shared" si="1"/>
        <v>봉명아이파크</v>
      </c>
      <c r="AI22" s="87">
        <f t="shared" si="0"/>
        <v>54</v>
      </c>
      <c r="AJ22" s="79" t="str">
        <f t="shared" si="20"/>
        <v>A-</v>
      </c>
      <c r="AK22" s="79" t="s">
        <v>13</v>
      </c>
      <c r="AL22" s="79" t="s">
        <v>60</v>
      </c>
      <c r="AM22" s="79" t="s">
        <v>61</v>
      </c>
      <c r="AN22" s="79" t="str">
        <f t="shared" si="21"/>
        <v>C</v>
      </c>
      <c r="AO22" s="79" t="str">
        <f t="shared" si="22"/>
        <v>X</v>
      </c>
      <c r="AP22" s="79" t="str">
        <f t="shared" si="23"/>
        <v>X</v>
      </c>
      <c r="AQ22" s="79" t="str">
        <f t="shared" si="24"/>
        <v>O</v>
      </c>
      <c r="AR22" s="79" t="str">
        <f t="shared" si="25"/>
        <v>X</v>
      </c>
      <c r="AS22" s="79" t="s">
        <v>2</v>
      </c>
      <c r="AT22" s="79" t="str">
        <f t="shared" si="26"/>
        <v>X</v>
      </c>
      <c r="AU22" s="79" t="str">
        <f t="shared" si="27"/>
        <v>O</v>
      </c>
      <c r="AV22" s="79" t="str">
        <f t="shared" si="28"/>
        <v>X</v>
      </c>
    </row>
    <row r="23" spans="1:48" x14ac:dyDescent="0.3">
      <c r="A23" s="9" t="s">
        <v>926</v>
      </c>
      <c r="B23" s="10" t="s">
        <v>1396</v>
      </c>
      <c r="C23" s="88">
        <v>1222</v>
      </c>
      <c r="D23" s="86">
        <v>259.8</v>
      </c>
      <c r="E23" s="87">
        <v>79</v>
      </c>
      <c r="F23" s="86">
        <v>219</v>
      </c>
      <c r="G23" s="17">
        <v>66</v>
      </c>
      <c r="H23" s="88">
        <v>8</v>
      </c>
      <c r="I23" s="89">
        <v>65000</v>
      </c>
      <c r="J23" s="89" t="s">
        <v>70</v>
      </c>
      <c r="K23" s="89"/>
      <c r="L23" s="89"/>
      <c r="M23" s="90">
        <f t="shared" si="6"/>
        <v>65000</v>
      </c>
      <c r="N23" s="4">
        <f t="shared" si="7"/>
        <v>0</v>
      </c>
      <c r="O23" s="91">
        <f t="shared" si="8"/>
        <v>822.78481012658233</v>
      </c>
      <c r="P23" s="91">
        <f t="shared" si="9"/>
        <v>0</v>
      </c>
      <c r="Q23" s="79">
        <v>5</v>
      </c>
      <c r="R23" s="79">
        <v>4</v>
      </c>
      <c r="S23" s="79" t="s">
        <v>62</v>
      </c>
      <c r="T23" s="5">
        <v>259</v>
      </c>
      <c r="U23" s="9"/>
      <c r="W23" s="86">
        <f t="shared" si="10"/>
        <v>259.8</v>
      </c>
      <c r="X23" s="87">
        <f t="shared" si="11"/>
        <v>79</v>
      </c>
      <c r="Y23" s="92">
        <f t="shared" si="12"/>
        <v>8</v>
      </c>
      <c r="Z23" s="90">
        <f t="shared" si="13"/>
        <v>65000</v>
      </c>
      <c r="AA23" s="90">
        <f t="shared" si="14"/>
        <v>0</v>
      </c>
      <c r="AB23" s="90">
        <f t="shared" si="15"/>
        <v>65000</v>
      </c>
      <c r="AC23" s="4">
        <f t="shared" si="16"/>
        <v>0</v>
      </c>
      <c r="AD23" s="91">
        <f t="shared" si="17"/>
        <v>822.78481012658233</v>
      </c>
      <c r="AE23" s="79" t="str">
        <f t="shared" si="18"/>
        <v>계</v>
      </c>
      <c r="AF23" s="79" t="str">
        <f t="shared" si="19"/>
        <v>5/4</v>
      </c>
      <c r="AH23" s="20" t="str">
        <f t="shared" si="1"/>
        <v>봉명아이파크</v>
      </c>
      <c r="AI23" s="87">
        <f t="shared" si="0"/>
        <v>79</v>
      </c>
      <c r="AJ23" s="79" t="str">
        <f t="shared" si="20"/>
        <v>A-</v>
      </c>
      <c r="AK23" s="79" t="s">
        <v>13</v>
      </c>
      <c r="AL23" s="79" t="s">
        <v>60</v>
      </c>
      <c r="AM23" s="79" t="s">
        <v>61</v>
      </c>
      <c r="AN23" s="79" t="str">
        <f t="shared" si="21"/>
        <v>C</v>
      </c>
      <c r="AO23" s="79" t="str">
        <f t="shared" si="22"/>
        <v>X</v>
      </c>
      <c r="AP23" s="79" t="str">
        <f t="shared" si="23"/>
        <v>X</v>
      </c>
      <c r="AQ23" s="79" t="str">
        <f t="shared" si="24"/>
        <v>O</v>
      </c>
      <c r="AR23" s="79" t="str">
        <f t="shared" si="25"/>
        <v>X</v>
      </c>
      <c r="AS23" s="79" t="s">
        <v>2</v>
      </c>
      <c r="AT23" s="79" t="str">
        <f t="shared" si="26"/>
        <v>X</v>
      </c>
      <c r="AU23" s="79" t="str">
        <f t="shared" si="27"/>
        <v>O</v>
      </c>
      <c r="AV23" s="79" t="str">
        <f t="shared" si="28"/>
        <v>X</v>
      </c>
    </row>
    <row r="24" spans="1:48" x14ac:dyDescent="0.3">
      <c r="A24" s="9" t="s">
        <v>926</v>
      </c>
      <c r="B24" s="10" t="s">
        <v>1396</v>
      </c>
      <c r="C24" s="88">
        <v>1222</v>
      </c>
      <c r="D24" s="86">
        <v>285.5</v>
      </c>
      <c r="E24" s="87">
        <v>86</v>
      </c>
      <c r="F24" s="86">
        <v>239.4</v>
      </c>
      <c r="G24" s="17">
        <v>72</v>
      </c>
      <c r="H24" s="88">
        <v>6</v>
      </c>
      <c r="I24" s="89"/>
      <c r="J24" s="89"/>
      <c r="K24" s="89"/>
      <c r="L24" s="89"/>
      <c r="M24" s="90">
        <f t="shared" si="6"/>
        <v>0</v>
      </c>
      <c r="N24" s="4" t="str">
        <f t="shared" si="7"/>
        <v/>
      </c>
      <c r="O24" s="91">
        <f t="shared" si="8"/>
        <v>0</v>
      </c>
      <c r="P24" s="91">
        <f t="shared" si="9"/>
        <v>0</v>
      </c>
      <c r="Q24" s="79">
        <v>5</v>
      </c>
      <c r="R24" s="79">
        <v>3</v>
      </c>
      <c r="S24" s="79" t="s">
        <v>62</v>
      </c>
      <c r="T24" s="5">
        <v>285</v>
      </c>
      <c r="U24" s="9"/>
      <c r="W24" s="86">
        <f t="shared" si="10"/>
        <v>285.5</v>
      </c>
      <c r="X24" s="87">
        <f t="shared" si="11"/>
        <v>86</v>
      </c>
      <c r="Y24" s="92">
        <f t="shared" si="12"/>
        <v>6</v>
      </c>
      <c r="Z24" s="90">
        <f t="shared" si="13"/>
        <v>0</v>
      </c>
      <c r="AA24" s="90">
        <f t="shared" si="14"/>
        <v>0</v>
      </c>
      <c r="AB24" s="90">
        <f t="shared" si="15"/>
        <v>0</v>
      </c>
      <c r="AC24" s="4" t="str">
        <f t="shared" si="16"/>
        <v/>
      </c>
      <c r="AD24" s="91">
        <f t="shared" si="17"/>
        <v>0</v>
      </c>
      <c r="AE24" s="79" t="str">
        <f t="shared" si="18"/>
        <v>계</v>
      </c>
      <c r="AF24" s="79" t="str">
        <f t="shared" si="19"/>
        <v>5/3</v>
      </c>
      <c r="AH24" s="20" t="str">
        <f t="shared" si="1"/>
        <v>봉명아이파크</v>
      </c>
      <c r="AI24" s="87">
        <f t="shared" si="0"/>
        <v>86</v>
      </c>
      <c r="AJ24" s="79" t="str">
        <f t="shared" si="20"/>
        <v>A-</v>
      </c>
      <c r="AK24" s="79" t="s">
        <v>13</v>
      </c>
      <c r="AL24" s="79" t="s">
        <v>60</v>
      </c>
      <c r="AM24" s="79" t="s">
        <v>61</v>
      </c>
      <c r="AN24" s="79" t="str">
        <f t="shared" si="21"/>
        <v>C</v>
      </c>
      <c r="AO24" s="79" t="str">
        <f t="shared" si="22"/>
        <v/>
      </c>
      <c r="AP24" s="79" t="str">
        <f t="shared" si="23"/>
        <v/>
      </c>
      <c r="AQ24" s="79" t="str">
        <f t="shared" si="24"/>
        <v>O</v>
      </c>
      <c r="AR24" s="79" t="str">
        <f t="shared" si="25"/>
        <v>O</v>
      </c>
      <c r="AS24" s="79" t="s">
        <v>2</v>
      </c>
      <c r="AT24" s="79" t="str">
        <f t="shared" si="26"/>
        <v>X</v>
      </c>
      <c r="AU24" s="79" t="str">
        <f t="shared" si="27"/>
        <v>O</v>
      </c>
      <c r="AV24" s="79" t="str">
        <f t="shared" si="28"/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봉명동 푸른('94.12.,603^)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931</v>
      </c>
      <c r="B26" s="10" t="s">
        <v>1397</v>
      </c>
      <c r="C26" s="88">
        <v>603</v>
      </c>
      <c r="D26" s="86">
        <v>63.7</v>
      </c>
      <c r="E26" s="87">
        <v>19</v>
      </c>
      <c r="F26" s="86">
        <v>44.1</v>
      </c>
      <c r="G26" s="17">
        <v>13</v>
      </c>
      <c r="H26" s="88">
        <v>603</v>
      </c>
      <c r="I26" s="89">
        <v>9200</v>
      </c>
      <c r="J26" s="89" t="s">
        <v>89</v>
      </c>
      <c r="K26" s="89"/>
      <c r="L26" s="89"/>
      <c r="M26" s="90">
        <f>I26-K26</f>
        <v>9200</v>
      </c>
      <c r="N26" s="4">
        <f>IF(ISERROR(K26/I26),"",K26/I26)</f>
        <v>0</v>
      </c>
      <c r="O26" s="91">
        <f>I26/E26</f>
        <v>484.21052631578948</v>
      </c>
      <c r="P26" s="91">
        <f>K26/E26</f>
        <v>0</v>
      </c>
      <c r="Q26" s="79">
        <v>2</v>
      </c>
      <c r="R26" s="79">
        <v>1</v>
      </c>
      <c r="S26" s="79" t="s">
        <v>59</v>
      </c>
      <c r="T26" s="5">
        <v>63</v>
      </c>
      <c r="U26" s="9"/>
      <c r="W26" s="86">
        <f>D26</f>
        <v>63.7</v>
      </c>
      <c r="X26" s="87">
        <f>E26</f>
        <v>19</v>
      </c>
      <c r="Y26" s="92">
        <f>H26</f>
        <v>603</v>
      </c>
      <c r="Z26" s="90">
        <f>I26</f>
        <v>9200</v>
      </c>
      <c r="AA26" s="90">
        <f>K26</f>
        <v>0</v>
      </c>
      <c r="AB26" s="90">
        <f>M26</f>
        <v>9200</v>
      </c>
      <c r="AC26" s="4">
        <f>N26</f>
        <v>0</v>
      </c>
      <c r="AD26" s="91">
        <f>O26</f>
        <v>484.21052631578948</v>
      </c>
      <c r="AE26" s="79" t="str">
        <f>S26</f>
        <v>복</v>
      </c>
      <c r="AF26" s="79" t="str">
        <f>Q26&amp;"/"&amp;R26</f>
        <v>2/1</v>
      </c>
      <c r="AH26" s="20" t="str">
        <f t="shared" si="1"/>
        <v>푸른</v>
      </c>
      <c r="AI26" s="87">
        <f t="shared" si="0"/>
        <v>19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봉명동 주공1단지('83.12.,574^)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936</v>
      </c>
      <c r="B28" s="10" t="s">
        <v>1398</v>
      </c>
      <c r="C28" s="88">
        <v>574</v>
      </c>
      <c r="D28" s="86">
        <v>40.299999999999997</v>
      </c>
      <c r="E28" s="87">
        <v>12</v>
      </c>
      <c r="F28" s="86">
        <v>40.299999999999997</v>
      </c>
      <c r="G28" s="17">
        <v>12</v>
      </c>
      <c r="H28" s="88">
        <v>86</v>
      </c>
      <c r="I28" s="89"/>
      <c r="J28" s="89"/>
      <c r="K28" s="89"/>
      <c r="L28" s="89"/>
      <c r="M28" s="90">
        <f t="shared" ref="M28:M37" si="29">I28-K28</f>
        <v>0</v>
      </c>
      <c r="N28" s="4" t="str">
        <f t="shared" ref="N28:N37" si="30">IF(ISERROR(K28/I28),"",K28/I28)</f>
        <v/>
      </c>
      <c r="O28" s="91">
        <f t="shared" ref="O28:O37" si="31">I28/E28</f>
        <v>0</v>
      </c>
      <c r="P28" s="91">
        <f t="shared" ref="P28:P37" si="32">K28/E28</f>
        <v>0</v>
      </c>
      <c r="Q28" s="79">
        <v>2</v>
      </c>
      <c r="R28" s="79">
        <v>1</v>
      </c>
      <c r="S28" s="79" t="s">
        <v>62</v>
      </c>
      <c r="T28" s="5">
        <v>40</v>
      </c>
      <c r="U28" s="9"/>
      <c r="W28" s="86">
        <f t="shared" ref="W28:W37" si="33">D28</f>
        <v>40.299999999999997</v>
      </c>
      <c r="X28" s="87">
        <f t="shared" ref="X28:X37" si="34">E28</f>
        <v>12</v>
      </c>
      <c r="Y28" s="92">
        <f t="shared" ref="Y28:Y37" si="35">H28</f>
        <v>86</v>
      </c>
      <c r="Z28" s="90">
        <f t="shared" ref="Z28:Z37" si="36">I28</f>
        <v>0</v>
      </c>
      <c r="AA28" s="90">
        <f t="shared" ref="AA28:AA37" si="37">K28</f>
        <v>0</v>
      </c>
      <c r="AB28" s="90">
        <f t="shared" ref="AB28:AB37" si="38">M28</f>
        <v>0</v>
      </c>
      <c r="AC28" s="4" t="str">
        <f t="shared" ref="AC28:AC37" si="39">N28</f>
        <v/>
      </c>
      <c r="AD28" s="91">
        <f t="shared" ref="AD28:AD37" si="40">O28</f>
        <v>0</v>
      </c>
      <c r="AE28" s="79" t="str">
        <f t="shared" ref="AE28:AE37" si="41">S28</f>
        <v>계</v>
      </c>
      <c r="AF28" s="79" t="str">
        <f t="shared" ref="AF28:AF37" si="42">Q28&amp;"/"&amp;R28</f>
        <v>2/1</v>
      </c>
      <c r="AH28" s="20" t="str">
        <f t="shared" si="1"/>
        <v>주공1단지</v>
      </c>
      <c r="AI28" s="87">
        <f t="shared" si="0"/>
        <v>12</v>
      </c>
      <c r="AJ28" s="79" t="str">
        <f t="shared" ref="AJ28:AJ37" si="43"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 t="shared" ref="AN28:AN37" si="44">IF(AI28="","",$AN$2)</f>
        <v>C</v>
      </c>
      <c r="AO28" s="79" t="str">
        <f t="shared" ref="AO28:AO37" si="45">IF(N28="","",IF(N28&gt;=$AO$1/100,"O","X"))</f>
        <v/>
      </c>
      <c r="AP28" s="79" t="str">
        <f t="shared" ref="AP28:AP37" si="46">IF(I28="","",IF(I28&lt;=$AP$1,"O","X"))</f>
        <v/>
      </c>
      <c r="AQ28" s="79" t="str">
        <f t="shared" ref="AQ28:AQ37" si="47">IF(O28="","",IF(O28&lt;=$AQ$1,"O","X"))</f>
        <v>O</v>
      </c>
      <c r="AR28" s="79" t="str">
        <f t="shared" ref="AR28:AR37" si="48">IF(M28="","",IF(M28&lt;=$AR$1,"O","X"))</f>
        <v>O</v>
      </c>
      <c r="AS28" s="79" t="s">
        <v>2</v>
      </c>
      <c r="AT28" s="79" t="str">
        <f t="shared" ref="AT28:AT37" si="49">IF(OR(F28="",AI28=""),"",IF(AND((F28&lt;=85),(AI28&gt;=15)),"O","X"))</f>
        <v>X</v>
      </c>
      <c r="AU28" s="79" t="str">
        <f t="shared" ref="AU28:AU37" si="50">IF(C28="","",IF(C28&gt;=$AU$1,"O","X"))</f>
        <v>O</v>
      </c>
      <c r="AV28" s="79" t="str">
        <f t="shared" ref="AV28:AV37" si="51">IF(AO28="","",IF(AND(AO28="O",AP28="O",AR28="O",AT28="O",AU28="O"),"후보","X"))</f>
        <v/>
      </c>
    </row>
    <row r="29" spans="1:48" x14ac:dyDescent="0.3">
      <c r="A29" s="9" t="s">
        <v>936</v>
      </c>
      <c r="B29" s="10" t="s">
        <v>1398</v>
      </c>
      <c r="C29" s="88">
        <v>574</v>
      </c>
      <c r="D29" s="86">
        <v>49.9</v>
      </c>
      <c r="E29" s="87">
        <v>15</v>
      </c>
      <c r="F29" s="86">
        <v>46.8</v>
      </c>
      <c r="G29" s="17">
        <v>14</v>
      </c>
      <c r="H29" s="88">
        <v>44</v>
      </c>
      <c r="I29" s="89"/>
      <c r="J29" s="89"/>
      <c r="K29" s="89"/>
      <c r="L29" s="89"/>
      <c r="M29" s="90">
        <f t="shared" si="29"/>
        <v>0</v>
      </c>
      <c r="N29" s="4" t="str">
        <f t="shared" si="30"/>
        <v/>
      </c>
      <c r="O29" s="91">
        <f t="shared" si="31"/>
        <v>0</v>
      </c>
      <c r="P29" s="91">
        <f t="shared" si="32"/>
        <v>0</v>
      </c>
      <c r="Q29" s="79">
        <v>2</v>
      </c>
      <c r="R29" s="79">
        <v>1</v>
      </c>
      <c r="S29" s="79" t="s">
        <v>62</v>
      </c>
      <c r="T29" s="5" t="s">
        <v>163</v>
      </c>
      <c r="U29" s="9"/>
      <c r="W29" s="86">
        <f t="shared" si="33"/>
        <v>49.9</v>
      </c>
      <c r="X29" s="87">
        <f t="shared" si="34"/>
        <v>15</v>
      </c>
      <c r="Y29" s="92">
        <f t="shared" si="35"/>
        <v>44</v>
      </c>
      <c r="Z29" s="90">
        <f t="shared" si="36"/>
        <v>0</v>
      </c>
      <c r="AA29" s="90">
        <f t="shared" si="37"/>
        <v>0</v>
      </c>
      <c r="AB29" s="90">
        <f t="shared" si="38"/>
        <v>0</v>
      </c>
      <c r="AC29" s="4" t="str">
        <f t="shared" si="39"/>
        <v/>
      </c>
      <c r="AD29" s="91">
        <f t="shared" si="40"/>
        <v>0</v>
      </c>
      <c r="AE29" s="79" t="str">
        <f t="shared" si="41"/>
        <v>계</v>
      </c>
      <c r="AF29" s="79" t="str">
        <f t="shared" si="42"/>
        <v>2/1</v>
      </c>
      <c r="AH29" s="20" t="str">
        <f t="shared" si="1"/>
        <v>주공1단지</v>
      </c>
      <c r="AI29" s="87">
        <f t="shared" si="0"/>
        <v>15</v>
      </c>
      <c r="AJ29" s="79" t="str">
        <f t="shared" si="43"/>
        <v>A-</v>
      </c>
      <c r="AK29" s="79" t="s">
        <v>13</v>
      </c>
      <c r="AL29" s="79" t="s">
        <v>60</v>
      </c>
      <c r="AM29" s="79" t="s">
        <v>61</v>
      </c>
      <c r="AN29" s="79" t="str">
        <f t="shared" si="44"/>
        <v>C</v>
      </c>
      <c r="AO29" s="79" t="str">
        <f t="shared" si="45"/>
        <v/>
      </c>
      <c r="AP29" s="79" t="str">
        <f t="shared" si="46"/>
        <v/>
      </c>
      <c r="AQ29" s="79" t="str">
        <f t="shared" si="47"/>
        <v>O</v>
      </c>
      <c r="AR29" s="79" t="str">
        <f t="shared" si="48"/>
        <v>O</v>
      </c>
      <c r="AS29" s="79" t="s">
        <v>2</v>
      </c>
      <c r="AT29" s="79" t="str">
        <f t="shared" si="49"/>
        <v>O</v>
      </c>
      <c r="AU29" s="79" t="str">
        <f t="shared" si="50"/>
        <v>O</v>
      </c>
      <c r="AV29" s="79" t="str">
        <f t="shared" si="51"/>
        <v/>
      </c>
    </row>
    <row r="30" spans="1:48" x14ac:dyDescent="0.3">
      <c r="A30" s="9" t="s">
        <v>936</v>
      </c>
      <c r="B30" s="10" t="s">
        <v>1398</v>
      </c>
      <c r="C30" s="88">
        <v>574</v>
      </c>
      <c r="D30" s="86">
        <v>50.6</v>
      </c>
      <c r="E30" s="87">
        <v>15</v>
      </c>
      <c r="F30" s="86">
        <v>50.6</v>
      </c>
      <c r="G30" s="17">
        <v>15</v>
      </c>
      <c r="H30" s="88">
        <v>44</v>
      </c>
      <c r="I30" s="89"/>
      <c r="J30" s="89"/>
      <c r="K30" s="89"/>
      <c r="L30" s="89"/>
      <c r="M30" s="90">
        <f t="shared" si="29"/>
        <v>0</v>
      </c>
      <c r="N30" s="4" t="str">
        <f t="shared" si="30"/>
        <v/>
      </c>
      <c r="O30" s="91">
        <f t="shared" si="31"/>
        <v>0</v>
      </c>
      <c r="P30" s="91">
        <f t="shared" si="32"/>
        <v>0</v>
      </c>
      <c r="Q30" s="79">
        <v>2</v>
      </c>
      <c r="R30" s="79">
        <v>1</v>
      </c>
      <c r="S30" s="79" t="s">
        <v>62</v>
      </c>
      <c r="T30" s="5" t="s">
        <v>164</v>
      </c>
      <c r="U30" s="9"/>
      <c r="W30" s="86">
        <f t="shared" si="33"/>
        <v>50.6</v>
      </c>
      <c r="X30" s="87">
        <f t="shared" si="34"/>
        <v>15</v>
      </c>
      <c r="Y30" s="92">
        <f t="shared" si="35"/>
        <v>44</v>
      </c>
      <c r="Z30" s="90">
        <f t="shared" si="36"/>
        <v>0</v>
      </c>
      <c r="AA30" s="90">
        <f t="shared" si="37"/>
        <v>0</v>
      </c>
      <c r="AB30" s="90">
        <f t="shared" si="38"/>
        <v>0</v>
      </c>
      <c r="AC30" s="4" t="str">
        <f t="shared" si="39"/>
        <v/>
      </c>
      <c r="AD30" s="91">
        <f t="shared" si="40"/>
        <v>0</v>
      </c>
      <c r="AE30" s="79" t="str">
        <f t="shared" si="41"/>
        <v>계</v>
      </c>
      <c r="AF30" s="79" t="str">
        <f t="shared" si="42"/>
        <v>2/1</v>
      </c>
      <c r="AH30" s="20" t="str">
        <f t="shared" si="1"/>
        <v>주공1단지</v>
      </c>
      <c r="AI30" s="87">
        <f t="shared" si="0"/>
        <v>15</v>
      </c>
      <c r="AJ30" s="79" t="str">
        <f t="shared" si="43"/>
        <v>A-</v>
      </c>
      <c r="AK30" s="79" t="s">
        <v>13</v>
      </c>
      <c r="AL30" s="79" t="s">
        <v>60</v>
      </c>
      <c r="AM30" s="79" t="s">
        <v>61</v>
      </c>
      <c r="AN30" s="79" t="str">
        <f t="shared" si="44"/>
        <v>C</v>
      </c>
      <c r="AO30" s="79" t="str">
        <f t="shared" si="45"/>
        <v/>
      </c>
      <c r="AP30" s="79" t="str">
        <f t="shared" si="46"/>
        <v/>
      </c>
      <c r="AQ30" s="79" t="str">
        <f t="shared" si="47"/>
        <v>O</v>
      </c>
      <c r="AR30" s="79" t="str">
        <f t="shared" si="48"/>
        <v>O</v>
      </c>
      <c r="AS30" s="79" t="s">
        <v>2</v>
      </c>
      <c r="AT30" s="79" t="str">
        <f t="shared" si="49"/>
        <v>O</v>
      </c>
      <c r="AU30" s="79" t="str">
        <f t="shared" si="50"/>
        <v>O</v>
      </c>
      <c r="AV30" s="79" t="str">
        <f t="shared" si="51"/>
        <v/>
      </c>
    </row>
    <row r="31" spans="1:48" x14ac:dyDescent="0.3">
      <c r="A31" s="9" t="s">
        <v>936</v>
      </c>
      <c r="B31" s="10" t="s">
        <v>1398</v>
      </c>
      <c r="C31" s="88">
        <v>574</v>
      </c>
      <c r="D31" s="86">
        <v>50.7</v>
      </c>
      <c r="E31" s="87">
        <v>15</v>
      </c>
      <c r="F31" s="86">
        <v>50.7</v>
      </c>
      <c r="G31" s="17">
        <v>15</v>
      </c>
      <c r="H31" s="88">
        <v>40</v>
      </c>
      <c r="I31" s="89"/>
      <c r="J31" s="89"/>
      <c r="K31" s="89"/>
      <c r="L31" s="89"/>
      <c r="M31" s="90">
        <f t="shared" si="29"/>
        <v>0</v>
      </c>
      <c r="N31" s="4" t="str">
        <f t="shared" si="30"/>
        <v/>
      </c>
      <c r="O31" s="91">
        <f t="shared" si="31"/>
        <v>0</v>
      </c>
      <c r="P31" s="91">
        <f t="shared" si="32"/>
        <v>0</v>
      </c>
      <c r="Q31" s="79">
        <v>2</v>
      </c>
      <c r="R31" s="79">
        <v>1</v>
      </c>
      <c r="S31" s="79" t="s">
        <v>62</v>
      </c>
      <c r="T31" s="5" t="s">
        <v>165</v>
      </c>
      <c r="U31" s="9"/>
      <c r="W31" s="86">
        <f t="shared" si="33"/>
        <v>50.7</v>
      </c>
      <c r="X31" s="87">
        <f t="shared" si="34"/>
        <v>15</v>
      </c>
      <c r="Y31" s="92">
        <f t="shared" si="35"/>
        <v>40</v>
      </c>
      <c r="Z31" s="90">
        <f t="shared" si="36"/>
        <v>0</v>
      </c>
      <c r="AA31" s="90">
        <f t="shared" si="37"/>
        <v>0</v>
      </c>
      <c r="AB31" s="90">
        <f t="shared" si="38"/>
        <v>0</v>
      </c>
      <c r="AC31" s="4" t="str">
        <f t="shared" si="39"/>
        <v/>
      </c>
      <c r="AD31" s="91">
        <f t="shared" si="40"/>
        <v>0</v>
      </c>
      <c r="AE31" s="79" t="str">
        <f t="shared" si="41"/>
        <v>계</v>
      </c>
      <c r="AF31" s="79" t="str">
        <f t="shared" si="42"/>
        <v>2/1</v>
      </c>
      <c r="AH31" s="20" t="str">
        <f t="shared" si="1"/>
        <v>주공1단지</v>
      </c>
      <c r="AI31" s="87">
        <f t="shared" si="0"/>
        <v>15</v>
      </c>
      <c r="AJ31" s="79" t="str">
        <f t="shared" si="43"/>
        <v>A-</v>
      </c>
      <c r="AK31" s="79" t="s">
        <v>13</v>
      </c>
      <c r="AL31" s="79" t="s">
        <v>60</v>
      </c>
      <c r="AM31" s="79" t="s">
        <v>61</v>
      </c>
      <c r="AN31" s="79" t="str">
        <f t="shared" si="44"/>
        <v>C</v>
      </c>
      <c r="AO31" s="79" t="str">
        <f t="shared" si="45"/>
        <v/>
      </c>
      <c r="AP31" s="79" t="str">
        <f t="shared" si="46"/>
        <v/>
      </c>
      <c r="AQ31" s="79" t="str">
        <f t="shared" si="47"/>
        <v>O</v>
      </c>
      <c r="AR31" s="79" t="str">
        <f t="shared" si="48"/>
        <v>O</v>
      </c>
      <c r="AS31" s="79" t="s">
        <v>2</v>
      </c>
      <c r="AT31" s="79" t="str">
        <f t="shared" si="49"/>
        <v>O</v>
      </c>
      <c r="AU31" s="79" t="str">
        <f t="shared" si="50"/>
        <v>O</v>
      </c>
      <c r="AV31" s="79" t="str">
        <f t="shared" si="51"/>
        <v/>
      </c>
    </row>
    <row r="32" spans="1:48" x14ac:dyDescent="0.3">
      <c r="A32" s="9" t="s">
        <v>936</v>
      </c>
      <c r="B32" s="10" t="s">
        <v>1398</v>
      </c>
      <c r="C32" s="88">
        <v>574</v>
      </c>
      <c r="D32" s="86">
        <v>52.4</v>
      </c>
      <c r="E32" s="87">
        <v>16</v>
      </c>
      <c r="F32" s="86">
        <v>47</v>
      </c>
      <c r="G32" s="17">
        <v>14</v>
      </c>
      <c r="H32" s="88">
        <v>90</v>
      </c>
      <c r="I32" s="89"/>
      <c r="J32" s="89"/>
      <c r="K32" s="89"/>
      <c r="L32" s="89"/>
      <c r="M32" s="90">
        <f t="shared" si="29"/>
        <v>0</v>
      </c>
      <c r="N32" s="4" t="str">
        <f t="shared" si="30"/>
        <v/>
      </c>
      <c r="O32" s="91">
        <f t="shared" si="31"/>
        <v>0</v>
      </c>
      <c r="P32" s="91">
        <f t="shared" si="32"/>
        <v>0</v>
      </c>
      <c r="Q32" s="79">
        <v>2</v>
      </c>
      <c r="R32" s="79">
        <v>1</v>
      </c>
      <c r="S32" s="79" t="s">
        <v>62</v>
      </c>
      <c r="T32" s="5" t="s">
        <v>166</v>
      </c>
      <c r="U32" s="9"/>
      <c r="W32" s="86">
        <f t="shared" si="33"/>
        <v>52.4</v>
      </c>
      <c r="X32" s="87">
        <f t="shared" si="34"/>
        <v>16</v>
      </c>
      <c r="Y32" s="92">
        <f t="shared" si="35"/>
        <v>90</v>
      </c>
      <c r="Z32" s="90">
        <f t="shared" si="36"/>
        <v>0</v>
      </c>
      <c r="AA32" s="90">
        <f t="shared" si="37"/>
        <v>0</v>
      </c>
      <c r="AB32" s="90">
        <f t="shared" si="38"/>
        <v>0</v>
      </c>
      <c r="AC32" s="4" t="str">
        <f t="shared" si="39"/>
        <v/>
      </c>
      <c r="AD32" s="91">
        <f t="shared" si="40"/>
        <v>0</v>
      </c>
      <c r="AE32" s="79" t="str">
        <f t="shared" si="41"/>
        <v>계</v>
      </c>
      <c r="AF32" s="79" t="str">
        <f t="shared" si="42"/>
        <v>2/1</v>
      </c>
      <c r="AH32" s="20" t="str">
        <f t="shared" si="1"/>
        <v>주공1단지</v>
      </c>
      <c r="AI32" s="87">
        <f t="shared" si="0"/>
        <v>16</v>
      </c>
      <c r="AJ32" s="79" t="str">
        <f t="shared" si="43"/>
        <v>A-</v>
      </c>
      <c r="AK32" s="79" t="s">
        <v>13</v>
      </c>
      <c r="AL32" s="79" t="s">
        <v>60</v>
      </c>
      <c r="AM32" s="79" t="s">
        <v>61</v>
      </c>
      <c r="AN32" s="79" t="str">
        <f t="shared" si="44"/>
        <v>C</v>
      </c>
      <c r="AO32" s="79" t="str">
        <f t="shared" si="45"/>
        <v/>
      </c>
      <c r="AP32" s="79" t="str">
        <f t="shared" si="46"/>
        <v/>
      </c>
      <c r="AQ32" s="79" t="str">
        <f t="shared" si="47"/>
        <v>O</v>
      </c>
      <c r="AR32" s="79" t="str">
        <f t="shared" si="48"/>
        <v>O</v>
      </c>
      <c r="AS32" s="79" t="s">
        <v>2</v>
      </c>
      <c r="AT32" s="79" t="str">
        <f t="shared" si="49"/>
        <v>O</v>
      </c>
      <c r="AU32" s="79" t="str">
        <f t="shared" si="50"/>
        <v>O</v>
      </c>
      <c r="AV32" s="79" t="str">
        <f t="shared" si="51"/>
        <v/>
      </c>
    </row>
    <row r="33" spans="1:48" x14ac:dyDescent="0.3">
      <c r="A33" s="9" t="s">
        <v>936</v>
      </c>
      <c r="B33" s="10" t="s">
        <v>1398</v>
      </c>
      <c r="C33" s="88">
        <v>574</v>
      </c>
      <c r="D33" s="86">
        <v>52.7</v>
      </c>
      <c r="E33" s="87">
        <v>16</v>
      </c>
      <c r="F33" s="86">
        <v>47.3</v>
      </c>
      <c r="G33" s="17">
        <v>14</v>
      </c>
      <c r="H33" s="88">
        <v>90</v>
      </c>
      <c r="I33" s="89"/>
      <c r="J33" s="89"/>
      <c r="K33" s="89"/>
      <c r="L33" s="89"/>
      <c r="M33" s="90">
        <f t="shared" si="29"/>
        <v>0</v>
      </c>
      <c r="N33" s="4" t="str">
        <f t="shared" si="30"/>
        <v/>
      </c>
      <c r="O33" s="91">
        <f t="shared" si="31"/>
        <v>0</v>
      </c>
      <c r="P33" s="91">
        <f t="shared" si="32"/>
        <v>0</v>
      </c>
      <c r="Q33" s="79">
        <v>2</v>
      </c>
      <c r="R33" s="79">
        <v>1</v>
      </c>
      <c r="S33" s="79" t="s">
        <v>62</v>
      </c>
      <c r="T33" s="5" t="s">
        <v>167</v>
      </c>
      <c r="U33" s="9"/>
      <c r="W33" s="86">
        <f t="shared" si="33"/>
        <v>52.7</v>
      </c>
      <c r="X33" s="87">
        <f t="shared" si="34"/>
        <v>16</v>
      </c>
      <c r="Y33" s="92">
        <f t="shared" si="35"/>
        <v>90</v>
      </c>
      <c r="Z33" s="90">
        <f t="shared" si="36"/>
        <v>0</v>
      </c>
      <c r="AA33" s="90">
        <f t="shared" si="37"/>
        <v>0</v>
      </c>
      <c r="AB33" s="90">
        <f t="shared" si="38"/>
        <v>0</v>
      </c>
      <c r="AC33" s="4" t="str">
        <f t="shared" si="39"/>
        <v/>
      </c>
      <c r="AD33" s="91">
        <f t="shared" si="40"/>
        <v>0</v>
      </c>
      <c r="AE33" s="79" t="str">
        <f t="shared" si="41"/>
        <v>계</v>
      </c>
      <c r="AF33" s="79" t="str">
        <f t="shared" si="42"/>
        <v>2/1</v>
      </c>
      <c r="AH33" s="20" t="str">
        <f t="shared" si="1"/>
        <v>주공1단지</v>
      </c>
      <c r="AI33" s="87">
        <f t="shared" si="0"/>
        <v>16</v>
      </c>
      <c r="AJ33" s="79" t="str">
        <f t="shared" si="43"/>
        <v>A-</v>
      </c>
      <c r="AK33" s="79" t="s">
        <v>13</v>
      </c>
      <c r="AL33" s="79" t="s">
        <v>60</v>
      </c>
      <c r="AM33" s="79" t="s">
        <v>61</v>
      </c>
      <c r="AN33" s="79" t="str">
        <f t="shared" si="44"/>
        <v>C</v>
      </c>
      <c r="AO33" s="79" t="str">
        <f t="shared" si="45"/>
        <v/>
      </c>
      <c r="AP33" s="79" t="str">
        <f t="shared" si="46"/>
        <v/>
      </c>
      <c r="AQ33" s="79" t="str">
        <f t="shared" si="47"/>
        <v>O</v>
      </c>
      <c r="AR33" s="79" t="str">
        <f t="shared" si="48"/>
        <v>O</v>
      </c>
      <c r="AS33" s="79" t="s">
        <v>2</v>
      </c>
      <c r="AT33" s="79" t="str">
        <f t="shared" si="49"/>
        <v>O</v>
      </c>
      <c r="AU33" s="79" t="str">
        <f t="shared" si="50"/>
        <v>O</v>
      </c>
      <c r="AV33" s="79" t="str">
        <f t="shared" si="51"/>
        <v/>
      </c>
    </row>
    <row r="34" spans="1:48" x14ac:dyDescent="0.3">
      <c r="A34" s="9" t="s">
        <v>936</v>
      </c>
      <c r="B34" s="10" t="s">
        <v>1398</v>
      </c>
      <c r="C34" s="88">
        <v>574</v>
      </c>
      <c r="D34" s="86">
        <v>52.7</v>
      </c>
      <c r="E34" s="87">
        <v>16</v>
      </c>
      <c r="F34" s="86">
        <v>48.7</v>
      </c>
      <c r="G34" s="17">
        <v>15</v>
      </c>
      <c r="H34" s="88">
        <v>40</v>
      </c>
      <c r="I34" s="89"/>
      <c r="J34" s="89"/>
      <c r="K34" s="89"/>
      <c r="L34" s="89"/>
      <c r="M34" s="90">
        <f t="shared" si="29"/>
        <v>0</v>
      </c>
      <c r="N34" s="4" t="str">
        <f t="shared" si="30"/>
        <v/>
      </c>
      <c r="O34" s="91">
        <f t="shared" si="31"/>
        <v>0</v>
      </c>
      <c r="P34" s="91">
        <f t="shared" si="32"/>
        <v>0</v>
      </c>
      <c r="Q34" s="79">
        <v>2</v>
      </c>
      <c r="R34" s="79">
        <v>1</v>
      </c>
      <c r="S34" s="79" t="s">
        <v>62</v>
      </c>
      <c r="T34" s="5" t="s">
        <v>168</v>
      </c>
      <c r="U34" s="9"/>
      <c r="W34" s="86">
        <f t="shared" si="33"/>
        <v>52.7</v>
      </c>
      <c r="X34" s="87">
        <f t="shared" si="34"/>
        <v>16</v>
      </c>
      <c r="Y34" s="92">
        <f t="shared" si="35"/>
        <v>40</v>
      </c>
      <c r="Z34" s="90">
        <f t="shared" si="36"/>
        <v>0</v>
      </c>
      <c r="AA34" s="90">
        <f t="shared" si="37"/>
        <v>0</v>
      </c>
      <c r="AB34" s="90">
        <f t="shared" si="38"/>
        <v>0</v>
      </c>
      <c r="AC34" s="4" t="str">
        <f t="shared" si="39"/>
        <v/>
      </c>
      <c r="AD34" s="91">
        <f t="shared" si="40"/>
        <v>0</v>
      </c>
      <c r="AE34" s="79" t="str">
        <f t="shared" si="41"/>
        <v>계</v>
      </c>
      <c r="AF34" s="79" t="str">
        <f t="shared" si="42"/>
        <v>2/1</v>
      </c>
      <c r="AH34" s="20" t="str">
        <f t="shared" si="1"/>
        <v>주공1단지</v>
      </c>
      <c r="AI34" s="87">
        <f t="shared" si="0"/>
        <v>16</v>
      </c>
      <c r="AJ34" s="79" t="str">
        <f t="shared" si="43"/>
        <v>A-</v>
      </c>
      <c r="AK34" s="79" t="s">
        <v>13</v>
      </c>
      <c r="AL34" s="79" t="s">
        <v>60</v>
      </c>
      <c r="AM34" s="79" t="s">
        <v>61</v>
      </c>
      <c r="AN34" s="79" t="str">
        <f t="shared" si="44"/>
        <v>C</v>
      </c>
      <c r="AO34" s="79" t="str">
        <f t="shared" si="45"/>
        <v/>
      </c>
      <c r="AP34" s="79" t="str">
        <f t="shared" si="46"/>
        <v/>
      </c>
      <c r="AQ34" s="79" t="str">
        <f t="shared" si="47"/>
        <v>O</v>
      </c>
      <c r="AR34" s="79" t="str">
        <f t="shared" si="48"/>
        <v>O</v>
      </c>
      <c r="AS34" s="79" t="s">
        <v>2</v>
      </c>
      <c r="AT34" s="79" t="str">
        <f t="shared" si="49"/>
        <v>O</v>
      </c>
      <c r="AU34" s="79" t="str">
        <f t="shared" si="50"/>
        <v>O</v>
      </c>
      <c r="AV34" s="79" t="str">
        <f t="shared" si="51"/>
        <v/>
      </c>
    </row>
    <row r="35" spans="1:48" x14ac:dyDescent="0.3">
      <c r="A35" s="9" t="s">
        <v>936</v>
      </c>
      <c r="B35" s="10" t="s">
        <v>1398</v>
      </c>
      <c r="C35" s="88">
        <v>574</v>
      </c>
      <c r="D35" s="86">
        <v>59.5</v>
      </c>
      <c r="E35" s="87">
        <v>18</v>
      </c>
      <c r="F35" s="86">
        <v>54.1</v>
      </c>
      <c r="G35" s="17">
        <v>16</v>
      </c>
      <c r="H35" s="88">
        <v>80</v>
      </c>
      <c r="I35" s="89"/>
      <c r="J35" s="89"/>
      <c r="K35" s="89"/>
      <c r="L35" s="89"/>
      <c r="M35" s="90">
        <f t="shared" si="29"/>
        <v>0</v>
      </c>
      <c r="N35" s="4" t="str">
        <f t="shared" si="30"/>
        <v/>
      </c>
      <c r="O35" s="91">
        <f t="shared" si="31"/>
        <v>0</v>
      </c>
      <c r="P35" s="91">
        <f t="shared" si="32"/>
        <v>0</v>
      </c>
      <c r="Q35" s="79">
        <v>2</v>
      </c>
      <c r="R35" s="79">
        <v>1</v>
      </c>
      <c r="S35" s="79" t="s">
        <v>62</v>
      </c>
      <c r="T35" s="5" t="s">
        <v>169</v>
      </c>
      <c r="U35" s="9"/>
      <c r="W35" s="86">
        <f t="shared" si="33"/>
        <v>59.5</v>
      </c>
      <c r="X35" s="87">
        <f t="shared" si="34"/>
        <v>18</v>
      </c>
      <c r="Y35" s="92">
        <f t="shared" si="35"/>
        <v>80</v>
      </c>
      <c r="Z35" s="90">
        <f t="shared" si="36"/>
        <v>0</v>
      </c>
      <c r="AA35" s="90">
        <f t="shared" si="37"/>
        <v>0</v>
      </c>
      <c r="AB35" s="90">
        <f t="shared" si="38"/>
        <v>0</v>
      </c>
      <c r="AC35" s="4" t="str">
        <f t="shared" si="39"/>
        <v/>
      </c>
      <c r="AD35" s="91">
        <f t="shared" si="40"/>
        <v>0</v>
      </c>
      <c r="AE35" s="79" t="str">
        <f t="shared" si="41"/>
        <v>계</v>
      </c>
      <c r="AF35" s="79" t="str">
        <f t="shared" si="42"/>
        <v>2/1</v>
      </c>
      <c r="AH35" s="20" t="str">
        <f t="shared" si="1"/>
        <v>주공1단지</v>
      </c>
      <c r="AI35" s="87">
        <f t="shared" ref="AI35:AI55" si="52">IF(E35="","",E35)</f>
        <v>18</v>
      </c>
      <c r="AJ35" s="79" t="str">
        <f t="shared" si="43"/>
        <v>A-</v>
      </c>
      <c r="AK35" s="79" t="s">
        <v>13</v>
      </c>
      <c r="AL35" s="79" t="s">
        <v>60</v>
      </c>
      <c r="AM35" s="79" t="s">
        <v>61</v>
      </c>
      <c r="AN35" s="79" t="str">
        <f t="shared" si="44"/>
        <v>C</v>
      </c>
      <c r="AO35" s="79" t="str">
        <f t="shared" si="45"/>
        <v/>
      </c>
      <c r="AP35" s="79" t="str">
        <f t="shared" si="46"/>
        <v/>
      </c>
      <c r="AQ35" s="79" t="str">
        <f t="shared" si="47"/>
        <v>O</v>
      </c>
      <c r="AR35" s="79" t="str">
        <f t="shared" si="48"/>
        <v>O</v>
      </c>
      <c r="AS35" s="79" t="s">
        <v>2</v>
      </c>
      <c r="AT35" s="79" t="str">
        <f t="shared" si="49"/>
        <v>O</v>
      </c>
      <c r="AU35" s="79" t="str">
        <f t="shared" si="50"/>
        <v>O</v>
      </c>
      <c r="AV35" s="79" t="str">
        <f t="shared" si="51"/>
        <v/>
      </c>
    </row>
    <row r="36" spans="1:48" x14ac:dyDescent="0.3">
      <c r="A36" s="9" t="s">
        <v>936</v>
      </c>
      <c r="B36" s="10" t="s">
        <v>1398</v>
      </c>
      <c r="C36" s="88">
        <v>574</v>
      </c>
      <c r="D36" s="86">
        <v>59.1</v>
      </c>
      <c r="E36" s="87">
        <v>18</v>
      </c>
      <c r="F36" s="86">
        <v>53.7</v>
      </c>
      <c r="G36" s="17">
        <v>16</v>
      </c>
      <c r="H36" s="88">
        <v>40</v>
      </c>
      <c r="I36" s="89"/>
      <c r="J36" s="89"/>
      <c r="K36" s="89"/>
      <c r="L36" s="89"/>
      <c r="M36" s="90">
        <f t="shared" si="29"/>
        <v>0</v>
      </c>
      <c r="N36" s="4" t="str">
        <f t="shared" si="30"/>
        <v/>
      </c>
      <c r="O36" s="91">
        <f t="shared" si="31"/>
        <v>0</v>
      </c>
      <c r="P36" s="91">
        <f t="shared" si="32"/>
        <v>0</v>
      </c>
      <c r="Q36" s="79">
        <v>2</v>
      </c>
      <c r="R36" s="79">
        <v>1</v>
      </c>
      <c r="S36" s="79" t="s">
        <v>62</v>
      </c>
      <c r="T36" s="5" t="s">
        <v>170</v>
      </c>
      <c r="U36" s="9"/>
      <c r="W36" s="86">
        <f t="shared" si="33"/>
        <v>59.1</v>
      </c>
      <c r="X36" s="87">
        <f t="shared" si="34"/>
        <v>18</v>
      </c>
      <c r="Y36" s="92">
        <f t="shared" si="35"/>
        <v>40</v>
      </c>
      <c r="Z36" s="90">
        <f t="shared" si="36"/>
        <v>0</v>
      </c>
      <c r="AA36" s="90">
        <f t="shared" si="37"/>
        <v>0</v>
      </c>
      <c r="AB36" s="90">
        <f t="shared" si="38"/>
        <v>0</v>
      </c>
      <c r="AC36" s="4" t="str">
        <f t="shared" si="39"/>
        <v/>
      </c>
      <c r="AD36" s="91">
        <f t="shared" si="40"/>
        <v>0</v>
      </c>
      <c r="AE36" s="79" t="str">
        <f t="shared" si="41"/>
        <v>계</v>
      </c>
      <c r="AF36" s="79" t="str">
        <f t="shared" si="42"/>
        <v>2/1</v>
      </c>
      <c r="AH36" s="20" t="str">
        <f t="shared" si="1"/>
        <v>주공1단지</v>
      </c>
      <c r="AI36" s="87">
        <f t="shared" si="52"/>
        <v>18</v>
      </c>
      <c r="AJ36" s="79" t="str">
        <f t="shared" si="43"/>
        <v>A-</v>
      </c>
      <c r="AK36" s="79" t="s">
        <v>13</v>
      </c>
      <c r="AL36" s="79" t="s">
        <v>60</v>
      </c>
      <c r="AM36" s="79" t="s">
        <v>61</v>
      </c>
      <c r="AN36" s="79" t="str">
        <f t="shared" si="44"/>
        <v>C</v>
      </c>
      <c r="AO36" s="79" t="str">
        <f t="shared" si="45"/>
        <v/>
      </c>
      <c r="AP36" s="79" t="str">
        <f t="shared" si="46"/>
        <v/>
      </c>
      <c r="AQ36" s="79" t="str">
        <f t="shared" si="47"/>
        <v>O</v>
      </c>
      <c r="AR36" s="79" t="str">
        <f t="shared" si="48"/>
        <v>O</v>
      </c>
      <c r="AS36" s="79" t="s">
        <v>2</v>
      </c>
      <c r="AT36" s="79" t="str">
        <f t="shared" si="49"/>
        <v>O</v>
      </c>
      <c r="AU36" s="79" t="str">
        <f t="shared" si="50"/>
        <v>O</v>
      </c>
      <c r="AV36" s="79" t="str">
        <f t="shared" si="51"/>
        <v/>
      </c>
    </row>
    <row r="37" spans="1:48" x14ac:dyDescent="0.3">
      <c r="A37" s="9" t="s">
        <v>936</v>
      </c>
      <c r="B37" s="10" t="s">
        <v>1398</v>
      </c>
      <c r="C37" s="88">
        <v>574</v>
      </c>
      <c r="D37" s="86">
        <v>59.4</v>
      </c>
      <c r="E37" s="87">
        <v>18</v>
      </c>
      <c r="F37" s="86">
        <v>54</v>
      </c>
      <c r="G37" s="17">
        <v>16</v>
      </c>
      <c r="H37" s="88">
        <v>20</v>
      </c>
      <c r="I37" s="89"/>
      <c r="J37" s="89"/>
      <c r="K37" s="89"/>
      <c r="L37" s="89"/>
      <c r="M37" s="90">
        <f t="shared" si="29"/>
        <v>0</v>
      </c>
      <c r="N37" s="4" t="str">
        <f t="shared" si="30"/>
        <v/>
      </c>
      <c r="O37" s="91">
        <f t="shared" si="31"/>
        <v>0</v>
      </c>
      <c r="P37" s="91">
        <f t="shared" si="32"/>
        <v>0</v>
      </c>
      <c r="Q37" s="79">
        <v>2</v>
      </c>
      <c r="R37" s="79">
        <v>1</v>
      </c>
      <c r="S37" s="79" t="s">
        <v>62</v>
      </c>
      <c r="T37" s="5" t="s">
        <v>171</v>
      </c>
      <c r="U37" s="9"/>
      <c r="W37" s="86">
        <f t="shared" si="33"/>
        <v>59.4</v>
      </c>
      <c r="X37" s="87">
        <f t="shared" si="34"/>
        <v>18</v>
      </c>
      <c r="Y37" s="92">
        <f t="shared" si="35"/>
        <v>20</v>
      </c>
      <c r="Z37" s="90">
        <f t="shared" si="36"/>
        <v>0</v>
      </c>
      <c r="AA37" s="90">
        <f t="shared" si="37"/>
        <v>0</v>
      </c>
      <c r="AB37" s="90">
        <f t="shared" si="38"/>
        <v>0</v>
      </c>
      <c r="AC37" s="4" t="str">
        <f t="shared" si="39"/>
        <v/>
      </c>
      <c r="AD37" s="91">
        <f t="shared" si="40"/>
        <v>0</v>
      </c>
      <c r="AE37" s="79" t="str">
        <f t="shared" si="41"/>
        <v>계</v>
      </c>
      <c r="AF37" s="79" t="str">
        <f t="shared" si="42"/>
        <v>2/1</v>
      </c>
      <c r="AH37" s="20" t="str">
        <f t="shared" ref="AH37:AH55" si="53">IF(A37="","",A37)</f>
        <v>주공1단지</v>
      </c>
      <c r="AI37" s="87">
        <f t="shared" si="52"/>
        <v>18</v>
      </c>
      <c r="AJ37" s="79" t="str">
        <f t="shared" si="43"/>
        <v>A-</v>
      </c>
      <c r="AK37" s="79" t="s">
        <v>13</v>
      </c>
      <c r="AL37" s="79" t="s">
        <v>60</v>
      </c>
      <c r="AM37" s="79" t="s">
        <v>61</v>
      </c>
      <c r="AN37" s="79" t="str">
        <f t="shared" si="44"/>
        <v>C</v>
      </c>
      <c r="AO37" s="79" t="str">
        <f t="shared" si="45"/>
        <v/>
      </c>
      <c r="AP37" s="79" t="str">
        <f t="shared" si="46"/>
        <v/>
      </c>
      <c r="AQ37" s="79" t="str">
        <f t="shared" si="47"/>
        <v>O</v>
      </c>
      <c r="AR37" s="79" t="str">
        <f t="shared" si="48"/>
        <v>O</v>
      </c>
      <c r="AS37" s="79" t="s">
        <v>2</v>
      </c>
      <c r="AT37" s="79" t="str">
        <f t="shared" si="49"/>
        <v>O</v>
      </c>
      <c r="AU37" s="79" t="str">
        <f t="shared" si="50"/>
        <v>O</v>
      </c>
      <c r="AV37" s="79" t="str">
        <f t="shared" si="51"/>
        <v/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봉명동 백봉('92.03.,240^)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11" t="str">
        <f t="shared" si="52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950</v>
      </c>
      <c r="B39" s="10" t="s">
        <v>1367</v>
      </c>
      <c r="C39" s="88">
        <v>240</v>
      </c>
      <c r="D39" s="86">
        <v>54.7</v>
      </c>
      <c r="E39" s="87">
        <v>17</v>
      </c>
      <c r="F39" s="86">
        <v>48.5</v>
      </c>
      <c r="G39" s="17">
        <v>15</v>
      </c>
      <c r="H39" s="88">
        <v>240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2</v>
      </c>
      <c r="R39" s="79">
        <v>1</v>
      </c>
      <c r="S39" s="79" t="s">
        <v>62</v>
      </c>
      <c r="T39" s="5">
        <v>54</v>
      </c>
      <c r="U39" s="9"/>
      <c r="W39" s="86">
        <f>D39</f>
        <v>54.7</v>
      </c>
      <c r="X39" s="87">
        <f>E39</f>
        <v>17</v>
      </c>
      <c r="Y39" s="92">
        <f>H39</f>
        <v>240</v>
      </c>
      <c r="Z39" s="90">
        <f>I39</f>
        <v>0</v>
      </c>
      <c r="AA39" s="90">
        <f>K39</f>
        <v>0</v>
      </c>
      <c r="AB39" s="90">
        <f>M39</f>
        <v>0</v>
      </c>
      <c r="AC39" s="4" t="str">
        <f>N39</f>
        <v/>
      </c>
      <c r="AD39" s="91">
        <f>O39</f>
        <v>0</v>
      </c>
      <c r="AE39" s="79" t="str">
        <f>S39</f>
        <v>계</v>
      </c>
      <c r="AF39" s="79" t="str">
        <f>Q39&amp;"/"&amp;R39</f>
        <v>2/1</v>
      </c>
      <c r="AH39" s="20" t="str">
        <f t="shared" si="53"/>
        <v>백봉</v>
      </c>
      <c r="AI39" s="87">
        <f t="shared" si="52"/>
        <v>17</v>
      </c>
      <c r="AJ39" s="79" t="str">
        <f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봉명동 신라('85.11.,277^)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3"/>
        <v/>
      </c>
      <c r="AI40" s="111" t="str">
        <f t="shared" si="52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954</v>
      </c>
      <c r="B41" s="10" t="s">
        <v>1399</v>
      </c>
      <c r="C41" s="88">
        <v>277</v>
      </c>
      <c r="D41" s="86">
        <v>45.4</v>
      </c>
      <c r="E41" s="87">
        <v>14</v>
      </c>
      <c r="F41" s="86">
        <v>29.3</v>
      </c>
      <c r="G41" s="17">
        <v>9</v>
      </c>
      <c r="H41" s="88">
        <v>67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9">
        <v>2</v>
      </c>
      <c r="R41" s="79">
        <v>1</v>
      </c>
      <c r="S41" s="79" t="s">
        <v>62</v>
      </c>
      <c r="T41" s="5">
        <v>45</v>
      </c>
      <c r="U41" s="9"/>
      <c r="W41" s="86">
        <f t="shared" ref="W41:X44" si="54">D41</f>
        <v>45.4</v>
      </c>
      <c r="X41" s="87">
        <f t="shared" si="54"/>
        <v>14</v>
      </c>
      <c r="Y41" s="92">
        <f t="shared" ref="Y41:Z44" si="55">H41</f>
        <v>67</v>
      </c>
      <c r="Z41" s="90">
        <f t="shared" si="55"/>
        <v>0</v>
      </c>
      <c r="AA41" s="90">
        <f>K41</f>
        <v>0</v>
      </c>
      <c r="AB41" s="90">
        <f t="shared" ref="AB41:AD44" si="56">M41</f>
        <v>0</v>
      </c>
      <c r="AC41" s="4" t="str">
        <f t="shared" si="56"/>
        <v/>
      </c>
      <c r="AD41" s="91">
        <f t="shared" si="56"/>
        <v>0</v>
      </c>
      <c r="AE41" s="79" t="str">
        <f>S41</f>
        <v>계</v>
      </c>
      <c r="AF41" s="79" t="str">
        <f>Q41&amp;"/"&amp;R41</f>
        <v>2/1</v>
      </c>
      <c r="AH41" s="20" t="str">
        <f t="shared" si="53"/>
        <v>신라</v>
      </c>
      <c r="AI41" s="87">
        <f t="shared" si="52"/>
        <v>14</v>
      </c>
      <c r="AJ41" s="79" t="str">
        <f>IF(AI41="","",$AJ$2)</f>
        <v>A-</v>
      </c>
      <c r="AK41" s="79" t="s">
        <v>13</v>
      </c>
      <c r="AL41" s="79" t="s">
        <v>60</v>
      </c>
      <c r="AM41" s="79" t="s">
        <v>61</v>
      </c>
      <c r="AN41" s="79" t="str">
        <f>IF(AI41="","",$AN$2)</f>
        <v>C</v>
      </c>
      <c r="AO41" s="79" t="str">
        <f>IF(N41="","",IF(N41&gt;=$AO$1/100,"O","X"))</f>
        <v/>
      </c>
      <c r="AP41" s="79" t="str">
        <f>IF(I41="","",IF(I41&lt;=$AP$1,"O","X"))</f>
        <v/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X</v>
      </c>
      <c r="AU41" s="79" t="str">
        <f>IF(C41="","",IF(C41&gt;=$AU$1,"O","X"))</f>
        <v>X</v>
      </c>
      <c r="AV41" s="79" t="str">
        <f>IF(AO41="","",IF(AND(AO41="O",AP41="O",AR41="O",AT41="O",AU41="O"),"후보","X"))</f>
        <v/>
      </c>
    </row>
    <row r="42" spans="1:48" x14ac:dyDescent="0.3">
      <c r="A42" s="9" t="s">
        <v>954</v>
      </c>
      <c r="B42" s="10" t="s">
        <v>1399</v>
      </c>
      <c r="C42" s="88">
        <v>277</v>
      </c>
      <c r="D42" s="86">
        <v>53.1</v>
      </c>
      <c r="E42" s="87">
        <v>16</v>
      </c>
      <c r="F42" s="86">
        <v>34.200000000000003</v>
      </c>
      <c r="G42" s="17">
        <v>10</v>
      </c>
      <c r="H42" s="88">
        <v>30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9">
        <v>2</v>
      </c>
      <c r="R42" s="79">
        <v>1</v>
      </c>
      <c r="S42" s="79" t="s">
        <v>62</v>
      </c>
      <c r="T42" s="5">
        <v>53</v>
      </c>
      <c r="U42" s="9"/>
      <c r="W42" s="86">
        <f t="shared" si="54"/>
        <v>53.1</v>
      </c>
      <c r="X42" s="87">
        <f t="shared" si="54"/>
        <v>16</v>
      </c>
      <c r="Y42" s="92">
        <f t="shared" si="55"/>
        <v>30</v>
      </c>
      <c r="Z42" s="90">
        <f t="shared" si="55"/>
        <v>0</v>
      </c>
      <c r="AA42" s="90">
        <f>K42</f>
        <v>0</v>
      </c>
      <c r="AB42" s="90">
        <f t="shared" si="56"/>
        <v>0</v>
      </c>
      <c r="AC42" s="4" t="str">
        <f t="shared" si="56"/>
        <v/>
      </c>
      <c r="AD42" s="91">
        <f t="shared" si="56"/>
        <v>0</v>
      </c>
      <c r="AE42" s="79" t="str">
        <f>S42</f>
        <v>계</v>
      </c>
      <c r="AF42" s="79" t="str">
        <f>Q42&amp;"/"&amp;R42</f>
        <v>2/1</v>
      </c>
      <c r="AH42" s="20" t="str">
        <f t="shared" si="53"/>
        <v>신라</v>
      </c>
      <c r="AI42" s="87">
        <f t="shared" si="52"/>
        <v>16</v>
      </c>
      <c r="AJ42" s="79" t="str">
        <f>IF(AI42="","",$AJ$2)</f>
        <v>A-</v>
      </c>
      <c r="AK42" s="79" t="s">
        <v>13</v>
      </c>
      <c r="AL42" s="79" t="s">
        <v>60</v>
      </c>
      <c r="AM42" s="79" t="s">
        <v>61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X</v>
      </c>
      <c r="AV42" s="79" t="str">
        <f>IF(AO42="","",IF(AND(AO42="O",AP42="O",AR42="O",AT42="O",AU42="O"),"후보","X"))</f>
        <v/>
      </c>
    </row>
    <row r="43" spans="1:48" x14ac:dyDescent="0.3">
      <c r="A43" s="9" t="s">
        <v>954</v>
      </c>
      <c r="B43" s="10" t="s">
        <v>1399</v>
      </c>
      <c r="C43" s="88">
        <v>277</v>
      </c>
      <c r="D43" s="86">
        <v>81.5</v>
      </c>
      <c r="E43" s="87">
        <v>25</v>
      </c>
      <c r="F43" s="86">
        <v>65.8</v>
      </c>
      <c r="G43" s="17">
        <v>20</v>
      </c>
      <c r="H43" s="88">
        <v>150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9">
        <v>3</v>
      </c>
      <c r="R43" s="79">
        <v>1</v>
      </c>
      <c r="S43" s="79" t="s">
        <v>62</v>
      </c>
      <c r="T43" s="5" t="s">
        <v>172</v>
      </c>
      <c r="U43" s="9"/>
      <c r="W43" s="86">
        <f t="shared" si="54"/>
        <v>81.5</v>
      </c>
      <c r="X43" s="87">
        <f t="shared" si="54"/>
        <v>25</v>
      </c>
      <c r="Y43" s="92">
        <f t="shared" si="55"/>
        <v>150</v>
      </c>
      <c r="Z43" s="90">
        <f t="shared" si="55"/>
        <v>0</v>
      </c>
      <c r="AA43" s="90">
        <f>K43</f>
        <v>0</v>
      </c>
      <c r="AB43" s="90">
        <f t="shared" si="56"/>
        <v>0</v>
      </c>
      <c r="AC43" s="4" t="str">
        <f t="shared" si="56"/>
        <v/>
      </c>
      <c r="AD43" s="91">
        <f t="shared" si="56"/>
        <v>0</v>
      </c>
      <c r="AE43" s="79" t="str">
        <f>S43</f>
        <v>계</v>
      </c>
      <c r="AF43" s="79" t="str">
        <f>Q43&amp;"/"&amp;R43</f>
        <v>3/1</v>
      </c>
      <c r="AH43" s="20" t="str">
        <f t="shared" si="53"/>
        <v>신라</v>
      </c>
      <c r="AI43" s="87">
        <f t="shared" si="52"/>
        <v>25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/>
      </c>
      <c r="AP43" s="79" t="str">
        <f>IF(I43="","",IF(I43&lt;=$AP$1,"O","X"))</f>
        <v/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X</v>
      </c>
      <c r="AV43" s="79" t="str">
        <f>IF(AO43="","",IF(AND(AO43="O",AP43="O",AR43="O",AT43="O",AU43="O"),"후보","X"))</f>
        <v/>
      </c>
    </row>
    <row r="44" spans="1:48" x14ac:dyDescent="0.3">
      <c r="A44" s="9" t="s">
        <v>954</v>
      </c>
      <c r="B44" s="10" t="s">
        <v>1399</v>
      </c>
      <c r="C44" s="88">
        <v>277</v>
      </c>
      <c r="D44" s="86">
        <v>84.2</v>
      </c>
      <c r="E44" s="87">
        <v>25</v>
      </c>
      <c r="F44" s="86">
        <v>66.900000000000006</v>
      </c>
      <c r="G44" s="17">
        <v>20</v>
      </c>
      <c r="H44" s="88">
        <v>30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9">
        <v>3</v>
      </c>
      <c r="R44" s="79">
        <v>1</v>
      </c>
      <c r="S44" s="79" t="s">
        <v>62</v>
      </c>
      <c r="T44" s="5" t="s">
        <v>173</v>
      </c>
      <c r="U44" s="9"/>
      <c r="W44" s="86">
        <f t="shared" si="54"/>
        <v>84.2</v>
      </c>
      <c r="X44" s="87">
        <f t="shared" si="54"/>
        <v>25</v>
      </c>
      <c r="Y44" s="92">
        <f t="shared" si="55"/>
        <v>30</v>
      </c>
      <c r="Z44" s="90">
        <f t="shared" si="55"/>
        <v>0</v>
      </c>
      <c r="AA44" s="90">
        <f>K44</f>
        <v>0</v>
      </c>
      <c r="AB44" s="90">
        <f t="shared" si="56"/>
        <v>0</v>
      </c>
      <c r="AC44" s="4" t="str">
        <f t="shared" si="56"/>
        <v/>
      </c>
      <c r="AD44" s="91">
        <f t="shared" si="56"/>
        <v>0</v>
      </c>
      <c r="AE44" s="79" t="str">
        <f>S44</f>
        <v>계</v>
      </c>
      <c r="AF44" s="79" t="str">
        <f>Q44&amp;"/"&amp;R44</f>
        <v>3/1</v>
      </c>
      <c r="AH44" s="20" t="str">
        <f t="shared" si="53"/>
        <v>신라</v>
      </c>
      <c r="AI44" s="87">
        <f t="shared" si="52"/>
        <v>25</v>
      </c>
      <c r="AJ44" s="79" t="str">
        <f>IF(AI44="","",$AJ$2)</f>
        <v>A-</v>
      </c>
      <c r="AK44" s="79" t="s">
        <v>13</v>
      </c>
      <c r="AL44" s="79" t="s">
        <v>60</v>
      </c>
      <c r="AM44" s="79" t="s">
        <v>61</v>
      </c>
      <c r="AN44" s="79" t="str">
        <f>IF(AI44="","",$AN$2)</f>
        <v>C</v>
      </c>
      <c r="AO44" s="79" t="str">
        <f>IF(N44="","",IF(N44&gt;=$AO$1/100,"O","X"))</f>
        <v/>
      </c>
      <c r="AP44" s="79" t="str">
        <f>IF(I44="","",IF(I44&lt;=$AP$1,"O","X"))</f>
        <v/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X</v>
      </c>
      <c r="AV44" s="79" t="str">
        <f>IF(AO44="","",IF(AND(AO44="O",AP44="O",AR44="O",AT44="O",AU44="O"),"후보","X"))</f>
        <v/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봉명동 주공2단지('85.12.,556^)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3"/>
        <v/>
      </c>
      <c r="AI45" s="111" t="str">
        <f t="shared" si="52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963</v>
      </c>
      <c r="B46" s="10" t="s">
        <v>1400</v>
      </c>
      <c r="C46" s="88">
        <v>556</v>
      </c>
      <c r="D46" s="86">
        <v>45.1</v>
      </c>
      <c r="E46" s="87">
        <v>14</v>
      </c>
      <c r="F46" s="86">
        <v>39.700000000000003</v>
      </c>
      <c r="G46" s="17">
        <v>12</v>
      </c>
      <c r="H46" s="88">
        <v>90</v>
      </c>
      <c r="I46" s="89"/>
      <c r="J46" s="89"/>
      <c r="K46" s="89"/>
      <c r="L46" s="89"/>
      <c r="M46" s="90">
        <f t="shared" ref="M46:M55" si="57">I46-K46</f>
        <v>0</v>
      </c>
      <c r="N46" s="4" t="str">
        <f t="shared" ref="N46:N55" si="58">IF(ISERROR(K46/I46),"",K46/I46)</f>
        <v/>
      </c>
      <c r="O46" s="91">
        <f t="shared" ref="O46:O55" si="59">I46/E46</f>
        <v>0</v>
      </c>
      <c r="P46" s="91">
        <f t="shared" ref="P46:P55" si="60">K46/E46</f>
        <v>0</v>
      </c>
      <c r="Q46" s="79">
        <v>2</v>
      </c>
      <c r="R46" s="79">
        <v>1</v>
      </c>
      <c r="S46" s="79" t="s">
        <v>62</v>
      </c>
      <c r="T46" s="5">
        <v>45</v>
      </c>
      <c r="U46" s="9"/>
      <c r="W46" s="86">
        <f t="shared" ref="W46:W55" si="61">D46</f>
        <v>45.1</v>
      </c>
      <c r="X46" s="87">
        <f t="shared" ref="X46:X55" si="62">E46</f>
        <v>14</v>
      </c>
      <c r="Y46" s="92">
        <f t="shared" ref="Y46:Y55" si="63">H46</f>
        <v>90</v>
      </c>
      <c r="Z46" s="90">
        <f t="shared" ref="Z46:Z55" si="64">I46</f>
        <v>0</v>
      </c>
      <c r="AA46" s="90">
        <f t="shared" ref="AA46:AA55" si="65">K46</f>
        <v>0</v>
      </c>
      <c r="AB46" s="90">
        <f t="shared" ref="AB46:AB55" si="66">M46</f>
        <v>0</v>
      </c>
      <c r="AC46" s="4" t="str">
        <f t="shared" ref="AC46:AC55" si="67">N46</f>
        <v/>
      </c>
      <c r="AD46" s="91">
        <f t="shared" ref="AD46:AD55" si="68">O46</f>
        <v>0</v>
      </c>
      <c r="AE46" s="79" t="str">
        <f t="shared" ref="AE46:AE55" si="69">S46</f>
        <v>계</v>
      </c>
      <c r="AF46" s="79" t="str">
        <f t="shared" ref="AF46:AF55" si="70">Q46&amp;"/"&amp;R46</f>
        <v>2/1</v>
      </c>
      <c r="AH46" s="20" t="str">
        <f t="shared" si="53"/>
        <v>주공2단지</v>
      </c>
      <c r="AI46" s="87">
        <f t="shared" si="52"/>
        <v>14</v>
      </c>
      <c r="AJ46" s="79" t="str">
        <f t="shared" ref="AJ46:AJ55" si="71"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 t="shared" ref="AN46:AN55" si="72">IF(AI46="","",$AN$2)</f>
        <v>C</v>
      </c>
      <c r="AO46" s="79" t="str">
        <f t="shared" ref="AO46:AO55" si="73">IF(N46="","",IF(N46&gt;=$AO$1/100,"O","X"))</f>
        <v/>
      </c>
      <c r="AP46" s="79" t="str">
        <f t="shared" ref="AP46:AP55" si="74">IF(I46="","",IF(I46&lt;=$AP$1,"O","X"))</f>
        <v/>
      </c>
      <c r="AQ46" s="79" t="str">
        <f t="shared" ref="AQ46:AQ55" si="75">IF(O46="","",IF(O46&lt;=$AQ$1,"O","X"))</f>
        <v>O</v>
      </c>
      <c r="AR46" s="79" t="str">
        <f t="shared" ref="AR46:AR55" si="76">IF(M46="","",IF(M46&lt;=$AR$1,"O","X"))</f>
        <v>O</v>
      </c>
      <c r="AS46" s="79" t="s">
        <v>2</v>
      </c>
      <c r="AT46" s="79" t="str">
        <f t="shared" ref="AT46:AT55" si="77">IF(OR(F46="",AI46=""),"",IF(AND((F46&lt;=85),(AI46&gt;=15)),"O","X"))</f>
        <v>X</v>
      </c>
      <c r="AU46" s="79" t="str">
        <f t="shared" ref="AU46:AU55" si="78">IF(C46="","",IF(C46&gt;=$AU$1,"O","X"))</f>
        <v>O</v>
      </c>
      <c r="AV46" s="79" t="str">
        <f t="shared" ref="AV46:AV55" si="79">IF(AO46="","",IF(AND(AO46="O",AP46="O",AR46="O",AT46="O",AU46="O"),"후보","X"))</f>
        <v/>
      </c>
    </row>
    <row r="47" spans="1:48" x14ac:dyDescent="0.3">
      <c r="A47" s="9" t="s">
        <v>963</v>
      </c>
      <c r="B47" s="10" t="s">
        <v>1400</v>
      </c>
      <c r="C47" s="88">
        <v>556</v>
      </c>
      <c r="D47" s="86">
        <v>45.6</v>
      </c>
      <c r="E47" s="87">
        <v>14</v>
      </c>
      <c r="F47" s="86">
        <v>39.799999999999997</v>
      </c>
      <c r="G47" s="17">
        <v>12</v>
      </c>
      <c r="H47" s="88">
        <v>1</v>
      </c>
      <c r="I47" s="89"/>
      <c r="J47" s="89"/>
      <c r="K47" s="89"/>
      <c r="L47" s="89"/>
      <c r="M47" s="90">
        <f t="shared" si="57"/>
        <v>0</v>
      </c>
      <c r="N47" s="4" t="str">
        <f t="shared" si="58"/>
        <v/>
      </c>
      <c r="O47" s="91">
        <f t="shared" si="59"/>
        <v>0</v>
      </c>
      <c r="P47" s="91">
        <f t="shared" si="60"/>
        <v>0</v>
      </c>
      <c r="Q47" s="79">
        <v>2</v>
      </c>
      <c r="R47" s="79">
        <v>1</v>
      </c>
      <c r="S47" s="79" t="s">
        <v>62</v>
      </c>
      <c r="T47" s="5" t="s">
        <v>174</v>
      </c>
      <c r="U47" s="9"/>
      <c r="W47" s="86">
        <f t="shared" si="61"/>
        <v>45.6</v>
      </c>
      <c r="X47" s="87">
        <f t="shared" si="62"/>
        <v>14</v>
      </c>
      <c r="Y47" s="92">
        <f t="shared" si="63"/>
        <v>1</v>
      </c>
      <c r="Z47" s="90">
        <f t="shared" si="64"/>
        <v>0</v>
      </c>
      <c r="AA47" s="90">
        <f t="shared" si="65"/>
        <v>0</v>
      </c>
      <c r="AB47" s="90">
        <f t="shared" si="66"/>
        <v>0</v>
      </c>
      <c r="AC47" s="4" t="str">
        <f t="shared" si="67"/>
        <v/>
      </c>
      <c r="AD47" s="91">
        <f t="shared" si="68"/>
        <v>0</v>
      </c>
      <c r="AE47" s="79" t="str">
        <f t="shared" si="69"/>
        <v>계</v>
      </c>
      <c r="AF47" s="79" t="str">
        <f t="shared" si="70"/>
        <v>2/1</v>
      </c>
      <c r="AH47" s="20" t="str">
        <f t="shared" si="53"/>
        <v>주공2단지</v>
      </c>
      <c r="AI47" s="87">
        <f t="shared" si="52"/>
        <v>14</v>
      </c>
      <c r="AJ47" s="79" t="str">
        <f t="shared" si="71"/>
        <v>A-</v>
      </c>
      <c r="AK47" s="79" t="s">
        <v>13</v>
      </c>
      <c r="AL47" s="79" t="s">
        <v>60</v>
      </c>
      <c r="AM47" s="79" t="s">
        <v>61</v>
      </c>
      <c r="AN47" s="79" t="str">
        <f t="shared" si="72"/>
        <v>C</v>
      </c>
      <c r="AO47" s="79" t="str">
        <f t="shared" si="73"/>
        <v/>
      </c>
      <c r="AP47" s="79" t="str">
        <f t="shared" si="74"/>
        <v/>
      </c>
      <c r="AQ47" s="79" t="str">
        <f t="shared" si="75"/>
        <v>O</v>
      </c>
      <c r="AR47" s="79" t="str">
        <f t="shared" si="76"/>
        <v>O</v>
      </c>
      <c r="AS47" s="79" t="s">
        <v>2</v>
      </c>
      <c r="AT47" s="79" t="str">
        <f t="shared" si="77"/>
        <v>X</v>
      </c>
      <c r="AU47" s="79" t="str">
        <f t="shared" si="78"/>
        <v>O</v>
      </c>
      <c r="AV47" s="79" t="str">
        <f t="shared" si="79"/>
        <v/>
      </c>
    </row>
    <row r="48" spans="1:48" x14ac:dyDescent="0.3">
      <c r="A48" s="9" t="s">
        <v>963</v>
      </c>
      <c r="B48" s="10" t="s">
        <v>1400</v>
      </c>
      <c r="C48" s="88">
        <v>556</v>
      </c>
      <c r="D48" s="86">
        <v>52.3</v>
      </c>
      <c r="E48" s="87">
        <v>16</v>
      </c>
      <c r="F48" s="86">
        <v>46.8</v>
      </c>
      <c r="G48" s="17">
        <v>14</v>
      </c>
      <c r="H48" s="88">
        <v>48</v>
      </c>
      <c r="I48" s="89"/>
      <c r="J48" s="89"/>
      <c r="K48" s="89"/>
      <c r="L48" s="89"/>
      <c r="M48" s="90">
        <f t="shared" si="57"/>
        <v>0</v>
      </c>
      <c r="N48" s="4" t="str">
        <f t="shared" si="58"/>
        <v/>
      </c>
      <c r="O48" s="91">
        <f t="shared" si="59"/>
        <v>0</v>
      </c>
      <c r="P48" s="91">
        <f t="shared" si="60"/>
        <v>0</v>
      </c>
      <c r="Q48" s="79">
        <v>2</v>
      </c>
      <c r="R48" s="79">
        <v>1</v>
      </c>
      <c r="S48" s="79" t="s">
        <v>62</v>
      </c>
      <c r="T48" s="5" t="s">
        <v>167</v>
      </c>
      <c r="U48" s="9"/>
      <c r="W48" s="86">
        <f t="shared" si="61"/>
        <v>52.3</v>
      </c>
      <c r="X48" s="87">
        <f t="shared" si="62"/>
        <v>16</v>
      </c>
      <c r="Y48" s="92">
        <f t="shared" si="63"/>
        <v>48</v>
      </c>
      <c r="Z48" s="90">
        <f t="shared" si="64"/>
        <v>0</v>
      </c>
      <c r="AA48" s="90">
        <f t="shared" si="65"/>
        <v>0</v>
      </c>
      <c r="AB48" s="90">
        <f t="shared" si="66"/>
        <v>0</v>
      </c>
      <c r="AC48" s="4" t="str">
        <f t="shared" si="67"/>
        <v/>
      </c>
      <c r="AD48" s="91">
        <f t="shared" si="68"/>
        <v>0</v>
      </c>
      <c r="AE48" s="79" t="str">
        <f t="shared" si="69"/>
        <v>계</v>
      </c>
      <c r="AF48" s="79" t="str">
        <f t="shared" si="70"/>
        <v>2/1</v>
      </c>
      <c r="AH48" s="20" t="str">
        <f t="shared" si="53"/>
        <v>주공2단지</v>
      </c>
      <c r="AI48" s="87">
        <f t="shared" si="52"/>
        <v>16</v>
      </c>
      <c r="AJ48" s="79" t="str">
        <f t="shared" si="71"/>
        <v>A-</v>
      </c>
      <c r="AK48" s="79" t="s">
        <v>13</v>
      </c>
      <c r="AL48" s="79" t="s">
        <v>60</v>
      </c>
      <c r="AM48" s="79" t="s">
        <v>61</v>
      </c>
      <c r="AN48" s="79" t="str">
        <f t="shared" si="72"/>
        <v>C</v>
      </c>
      <c r="AO48" s="79" t="str">
        <f t="shared" si="73"/>
        <v/>
      </c>
      <c r="AP48" s="79" t="str">
        <f t="shared" si="74"/>
        <v/>
      </c>
      <c r="AQ48" s="79" t="str">
        <f t="shared" si="75"/>
        <v>O</v>
      </c>
      <c r="AR48" s="79" t="str">
        <f t="shared" si="76"/>
        <v>O</v>
      </c>
      <c r="AS48" s="79" t="s">
        <v>2</v>
      </c>
      <c r="AT48" s="79" t="str">
        <f t="shared" si="77"/>
        <v>O</v>
      </c>
      <c r="AU48" s="79" t="str">
        <f t="shared" si="78"/>
        <v>O</v>
      </c>
      <c r="AV48" s="79" t="str">
        <f t="shared" si="79"/>
        <v/>
      </c>
    </row>
    <row r="49" spans="1:48" x14ac:dyDescent="0.3">
      <c r="A49" s="9" t="s">
        <v>963</v>
      </c>
      <c r="B49" s="10" t="s">
        <v>1400</v>
      </c>
      <c r="C49" s="88">
        <v>556</v>
      </c>
      <c r="D49" s="86">
        <v>52.3</v>
      </c>
      <c r="E49" s="87">
        <v>16</v>
      </c>
      <c r="F49" s="86">
        <v>46.9</v>
      </c>
      <c r="G49" s="17">
        <v>14</v>
      </c>
      <c r="H49" s="88">
        <v>36</v>
      </c>
      <c r="I49" s="89"/>
      <c r="J49" s="89"/>
      <c r="K49" s="89"/>
      <c r="L49" s="89"/>
      <c r="M49" s="90">
        <f t="shared" si="57"/>
        <v>0</v>
      </c>
      <c r="N49" s="4" t="str">
        <f t="shared" si="58"/>
        <v/>
      </c>
      <c r="O49" s="91">
        <f t="shared" si="59"/>
        <v>0</v>
      </c>
      <c r="P49" s="91">
        <f t="shared" si="60"/>
        <v>0</v>
      </c>
      <c r="Q49" s="79">
        <v>2</v>
      </c>
      <c r="R49" s="79">
        <v>1</v>
      </c>
      <c r="S49" s="79" t="s">
        <v>62</v>
      </c>
      <c r="T49" s="5" t="s">
        <v>168</v>
      </c>
      <c r="U49" s="9"/>
      <c r="W49" s="86">
        <f t="shared" si="61"/>
        <v>52.3</v>
      </c>
      <c r="X49" s="87">
        <f t="shared" si="62"/>
        <v>16</v>
      </c>
      <c r="Y49" s="92">
        <f t="shared" si="63"/>
        <v>36</v>
      </c>
      <c r="Z49" s="90">
        <f t="shared" si="64"/>
        <v>0</v>
      </c>
      <c r="AA49" s="90">
        <f t="shared" si="65"/>
        <v>0</v>
      </c>
      <c r="AB49" s="90">
        <f t="shared" si="66"/>
        <v>0</v>
      </c>
      <c r="AC49" s="4" t="str">
        <f t="shared" si="67"/>
        <v/>
      </c>
      <c r="AD49" s="91">
        <f t="shared" si="68"/>
        <v>0</v>
      </c>
      <c r="AE49" s="79" t="str">
        <f t="shared" si="69"/>
        <v>계</v>
      </c>
      <c r="AF49" s="79" t="str">
        <f t="shared" si="70"/>
        <v>2/1</v>
      </c>
      <c r="AH49" s="20" t="str">
        <f t="shared" si="53"/>
        <v>주공2단지</v>
      </c>
      <c r="AI49" s="87">
        <f t="shared" si="52"/>
        <v>16</v>
      </c>
      <c r="AJ49" s="79" t="str">
        <f t="shared" si="71"/>
        <v>A-</v>
      </c>
      <c r="AK49" s="79" t="s">
        <v>13</v>
      </c>
      <c r="AL49" s="79" t="s">
        <v>60</v>
      </c>
      <c r="AM49" s="79" t="s">
        <v>61</v>
      </c>
      <c r="AN49" s="79" t="str">
        <f t="shared" si="72"/>
        <v>C</v>
      </c>
      <c r="AO49" s="79" t="str">
        <f t="shared" si="73"/>
        <v/>
      </c>
      <c r="AP49" s="79" t="str">
        <f t="shared" si="74"/>
        <v/>
      </c>
      <c r="AQ49" s="79" t="str">
        <f t="shared" si="75"/>
        <v>O</v>
      </c>
      <c r="AR49" s="79" t="str">
        <f t="shared" si="76"/>
        <v>O</v>
      </c>
      <c r="AS49" s="79" t="s">
        <v>2</v>
      </c>
      <c r="AT49" s="79" t="str">
        <f t="shared" si="77"/>
        <v>O</v>
      </c>
      <c r="AU49" s="79" t="str">
        <f t="shared" si="78"/>
        <v>O</v>
      </c>
      <c r="AV49" s="79" t="str">
        <f t="shared" si="79"/>
        <v/>
      </c>
    </row>
    <row r="50" spans="1:48" x14ac:dyDescent="0.3">
      <c r="A50" s="9" t="s">
        <v>963</v>
      </c>
      <c r="B50" s="10" t="s">
        <v>1400</v>
      </c>
      <c r="C50" s="88">
        <v>556</v>
      </c>
      <c r="D50" s="86">
        <v>52.5</v>
      </c>
      <c r="E50" s="87">
        <v>16</v>
      </c>
      <c r="F50" s="86">
        <v>52.5</v>
      </c>
      <c r="G50" s="17">
        <v>16</v>
      </c>
      <c r="H50" s="88">
        <v>8</v>
      </c>
      <c r="I50" s="89"/>
      <c r="J50" s="89"/>
      <c r="K50" s="89"/>
      <c r="L50" s="89"/>
      <c r="M50" s="90">
        <f t="shared" si="57"/>
        <v>0</v>
      </c>
      <c r="N50" s="4" t="str">
        <f t="shared" si="58"/>
        <v/>
      </c>
      <c r="O50" s="91">
        <f t="shared" si="59"/>
        <v>0</v>
      </c>
      <c r="P50" s="91">
        <f t="shared" si="60"/>
        <v>0</v>
      </c>
      <c r="Q50" s="79">
        <v>2</v>
      </c>
      <c r="R50" s="79">
        <v>1</v>
      </c>
      <c r="S50" s="79" t="s">
        <v>62</v>
      </c>
      <c r="T50" s="5" t="s">
        <v>175</v>
      </c>
      <c r="U50" s="9"/>
      <c r="W50" s="86">
        <f t="shared" si="61"/>
        <v>52.5</v>
      </c>
      <c r="X50" s="87">
        <f t="shared" si="62"/>
        <v>16</v>
      </c>
      <c r="Y50" s="92">
        <f t="shared" si="63"/>
        <v>8</v>
      </c>
      <c r="Z50" s="90">
        <f t="shared" si="64"/>
        <v>0</v>
      </c>
      <c r="AA50" s="90">
        <f t="shared" si="65"/>
        <v>0</v>
      </c>
      <c r="AB50" s="90">
        <f t="shared" si="66"/>
        <v>0</v>
      </c>
      <c r="AC50" s="4" t="str">
        <f t="shared" si="67"/>
        <v/>
      </c>
      <c r="AD50" s="91">
        <f t="shared" si="68"/>
        <v>0</v>
      </c>
      <c r="AE50" s="79" t="str">
        <f t="shared" si="69"/>
        <v>계</v>
      </c>
      <c r="AF50" s="79" t="str">
        <f t="shared" si="70"/>
        <v>2/1</v>
      </c>
      <c r="AH50" s="20" t="str">
        <f t="shared" si="53"/>
        <v>주공2단지</v>
      </c>
      <c r="AI50" s="87">
        <f t="shared" si="52"/>
        <v>16</v>
      </c>
      <c r="AJ50" s="79" t="str">
        <f t="shared" si="71"/>
        <v>A-</v>
      </c>
      <c r="AK50" s="79" t="s">
        <v>13</v>
      </c>
      <c r="AL50" s="79" t="s">
        <v>60</v>
      </c>
      <c r="AM50" s="79" t="s">
        <v>61</v>
      </c>
      <c r="AN50" s="79" t="str">
        <f t="shared" si="72"/>
        <v>C</v>
      </c>
      <c r="AO50" s="79" t="str">
        <f t="shared" si="73"/>
        <v/>
      </c>
      <c r="AP50" s="79" t="str">
        <f t="shared" si="74"/>
        <v/>
      </c>
      <c r="AQ50" s="79" t="str">
        <f t="shared" si="75"/>
        <v>O</v>
      </c>
      <c r="AR50" s="79" t="str">
        <f t="shared" si="76"/>
        <v>O</v>
      </c>
      <c r="AS50" s="79" t="s">
        <v>2</v>
      </c>
      <c r="AT50" s="79" t="str">
        <f t="shared" si="77"/>
        <v>O</v>
      </c>
      <c r="AU50" s="79" t="str">
        <f t="shared" si="78"/>
        <v>O</v>
      </c>
      <c r="AV50" s="79" t="str">
        <f t="shared" si="79"/>
        <v/>
      </c>
    </row>
    <row r="51" spans="1:48" x14ac:dyDescent="0.3">
      <c r="A51" s="9" t="s">
        <v>963</v>
      </c>
      <c r="B51" s="10" t="s">
        <v>1400</v>
      </c>
      <c r="C51" s="88">
        <v>556</v>
      </c>
      <c r="D51" s="86">
        <v>53.1</v>
      </c>
      <c r="E51" s="87">
        <v>16</v>
      </c>
      <c r="F51" s="86">
        <v>50</v>
      </c>
      <c r="G51" s="17">
        <v>15</v>
      </c>
      <c r="H51" s="88">
        <v>8</v>
      </c>
      <c r="I51" s="89">
        <v>15500</v>
      </c>
      <c r="J51" s="89" t="s">
        <v>89</v>
      </c>
      <c r="K51" s="89">
        <v>6000</v>
      </c>
      <c r="L51" s="89" t="s">
        <v>89</v>
      </c>
      <c r="M51" s="90">
        <f t="shared" si="57"/>
        <v>9500</v>
      </c>
      <c r="N51" s="4">
        <f t="shared" si="58"/>
        <v>0.38709677419354838</v>
      </c>
      <c r="O51" s="91">
        <f t="shared" si="59"/>
        <v>968.75</v>
      </c>
      <c r="P51" s="91">
        <f t="shared" si="60"/>
        <v>375</v>
      </c>
      <c r="Q51" s="79">
        <v>2</v>
      </c>
      <c r="R51" s="79">
        <v>1</v>
      </c>
      <c r="S51" s="79" t="s">
        <v>62</v>
      </c>
      <c r="T51" s="5" t="s">
        <v>176</v>
      </c>
      <c r="U51" s="9"/>
      <c r="W51" s="86">
        <f t="shared" si="61"/>
        <v>53.1</v>
      </c>
      <c r="X51" s="87">
        <f t="shared" si="62"/>
        <v>16</v>
      </c>
      <c r="Y51" s="92">
        <f t="shared" si="63"/>
        <v>8</v>
      </c>
      <c r="Z51" s="90">
        <f t="shared" si="64"/>
        <v>15500</v>
      </c>
      <c r="AA51" s="90">
        <f t="shared" si="65"/>
        <v>6000</v>
      </c>
      <c r="AB51" s="90">
        <f t="shared" si="66"/>
        <v>9500</v>
      </c>
      <c r="AC51" s="4">
        <f t="shared" si="67"/>
        <v>0.38709677419354838</v>
      </c>
      <c r="AD51" s="91">
        <f t="shared" si="68"/>
        <v>968.75</v>
      </c>
      <c r="AE51" s="79" t="str">
        <f t="shared" si="69"/>
        <v>계</v>
      </c>
      <c r="AF51" s="79" t="str">
        <f t="shared" si="70"/>
        <v>2/1</v>
      </c>
      <c r="AH51" s="20" t="str">
        <f t="shared" si="53"/>
        <v>주공2단지</v>
      </c>
      <c r="AI51" s="87">
        <f t="shared" si="52"/>
        <v>16</v>
      </c>
      <c r="AJ51" s="79" t="str">
        <f t="shared" si="71"/>
        <v>A-</v>
      </c>
      <c r="AK51" s="79" t="s">
        <v>13</v>
      </c>
      <c r="AL51" s="79" t="s">
        <v>60</v>
      </c>
      <c r="AM51" s="79" t="s">
        <v>61</v>
      </c>
      <c r="AN51" s="79" t="str">
        <f t="shared" si="72"/>
        <v>C</v>
      </c>
      <c r="AO51" s="79" t="str">
        <f t="shared" si="73"/>
        <v>X</v>
      </c>
      <c r="AP51" s="79" t="str">
        <f t="shared" si="74"/>
        <v>O</v>
      </c>
      <c r="AQ51" s="79" t="str">
        <f t="shared" si="75"/>
        <v>O</v>
      </c>
      <c r="AR51" s="79" t="str">
        <f t="shared" si="76"/>
        <v>X</v>
      </c>
      <c r="AS51" s="79" t="s">
        <v>2</v>
      </c>
      <c r="AT51" s="79" t="str">
        <f t="shared" si="77"/>
        <v>O</v>
      </c>
      <c r="AU51" s="79" t="str">
        <f t="shared" si="78"/>
        <v>O</v>
      </c>
      <c r="AV51" s="79" t="str">
        <f t="shared" si="79"/>
        <v>X</v>
      </c>
    </row>
    <row r="52" spans="1:48" x14ac:dyDescent="0.3">
      <c r="A52" s="9" t="s">
        <v>963</v>
      </c>
      <c r="B52" s="10" t="s">
        <v>1400</v>
      </c>
      <c r="C52" s="88">
        <v>556</v>
      </c>
      <c r="D52" s="86">
        <v>53.6</v>
      </c>
      <c r="E52" s="87">
        <v>16</v>
      </c>
      <c r="F52" s="86">
        <v>46.8</v>
      </c>
      <c r="G52" s="17">
        <v>14</v>
      </c>
      <c r="H52" s="88">
        <v>3</v>
      </c>
      <c r="I52" s="89"/>
      <c r="J52" s="89"/>
      <c r="K52" s="89"/>
      <c r="L52" s="89"/>
      <c r="M52" s="90">
        <f t="shared" si="57"/>
        <v>0</v>
      </c>
      <c r="N52" s="4" t="str">
        <f t="shared" si="58"/>
        <v/>
      </c>
      <c r="O52" s="91">
        <f t="shared" si="59"/>
        <v>0</v>
      </c>
      <c r="P52" s="91">
        <f t="shared" si="60"/>
        <v>0</v>
      </c>
      <c r="Q52" s="79">
        <v>2</v>
      </c>
      <c r="R52" s="79">
        <v>1</v>
      </c>
      <c r="S52" s="79" t="s">
        <v>62</v>
      </c>
      <c r="T52" s="5" t="s">
        <v>177</v>
      </c>
      <c r="U52" s="9"/>
      <c r="W52" s="86">
        <f t="shared" si="61"/>
        <v>53.6</v>
      </c>
      <c r="X52" s="87">
        <f t="shared" si="62"/>
        <v>16</v>
      </c>
      <c r="Y52" s="92">
        <f t="shared" si="63"/>
        <v>3</v>
      </c>
      <c r="Z52" s="90">
        <f t="shared" si="64"/>
        <v>0</v>
      </c>
      <c r="AA52" s="90">
        <f t="shared" si="65"/>
        <v>0</v>
      </c>
      <c r="AB52" s="90">
        <f t="shared" si="66"/>
        <v>0</v>
      </c>
      <c r="AC52" s="4" t="str">
        <f t="shared" si="67"/>
        <v/>
      </c>
      <c r="AD52" s="91">
        <f t="shared" si="68"/>
        <v>0</v>
      </c>
      <c r="AE52" s="79" t="str">
        <f t="shared" si="69"/>
        <v>계</v>
      </c>
      <c r="AF52" s="79" t="str">
        <f t="shared" si="70"/>
        <v>2/1</v>
      </c>
      <c r="AH52" s="20" t="str">
        <f t="shared" si="53"/>
        <v>주공2단지</v>
      </c>
      <c r="AI52" s="87">
        <f t="shared" si="52"/>
        <v>16</v>
      </c>
      <c r="AJ52" s="79" t="str">
        <f t="shared" si="71"/>
        <v>A-</v>
      </c>
      <c r="AK52" s="79" t="s">
        <v>13</v>
      </c>
      <c r="AL52" s="79" t="s">
        <v>60</v>
      </c>
      <c r="AM52" s="79" t="s">
        <v>61</v>
      </c>
      <c r="AN52" s="79" t="str">
        <f t="shared" si="72"/>
        <v>C</v>
      </c>
      <c r="AO52" s="79" t="str">
        <f t="shared" si="73"/>
        <v/>
      </c>
      <c r="AP52" s="79" t="str">
        <f t="shared" si="74"/>
        <v/>
      </c>
      <c r="AQ52" s="79" t="str">
        <f t="shared" si="75"/>
        <v>O</v>
      </c>
      <c r="AR52" s="79" t="str">
        <f t="shared" si="76"/>
        <v>O</v>
      </c>
      <c r="AS52" s="79" t="s">
        <v>2</v>
      </c>
      <c r="AT52" s="79" t="str">
        <f t="shared" si="77"/>
        <v>O</v>
      </c>
      <c r="AU52" s="79" t="str">
        <f t="shared" si="78"/>
        <v>O</v>
      </c>
      <c r="AV52" s="79" t="str">
        <f t="shared" si="79"/>
        <v/>
      </c>
    </row>
    <row r="53" spans="1:48" x14ac:dyDescent="0.3">
      <c r="A53" s="9" t="s">
        <v>963</v>
      </c>
      <c r="B53" s="10" t="s">
        <v>1400</v>
      </c>
      <c r="C53" s="88">
        <v>556</v>
      </c>
      <c r="D53" s="86">
        <v>53.8</v>
      </c>
      <c r="E53" s="87">
        <v>16</v>
      </c>
      <c r="F53" s="86">
        <v>47</v>
      </c>
      <c r="G53" s="17">
        <v>14</v>
      </c>
      <c r="H53" s="88">
        <v>2</v>
      </c>
      <c r="I53" s="89"/>
      <c r="J53" s="89"/>
      <c r="K53" s="89"/>
      <c r="L53" s="89"/>
      <c r="M53" s="90">
        <f t="shared" si="57"/>
        <v>0</v>
      </c>
      <c r="N53" s="4" t="str">
        <f t="shared" si="58"/>
        <v/>
      </c>
      <c r="O53" s="91">
        <f t="shared" si="59"/>
        <v>0</v>
      </c>
      <c r="P53" s="91">
        <f t="shared" si="60"/>
        <v>0</v>
      </c>
      <c r="Q53" s="79">
        <v>2</v>
      </c>
      <c r="R53" s="79">
        <v>1</v>
      </c>
      <c r="S53" s="79" t="s">
        <v>62</v>
      </c>
      <c r="T53" s="5" t="s">
        <v>178</v>
      </c>
      <c r="U53" s="9"/>
      <c r="W53" s="86">
        <f t="shared" si="61"/>
        <v>53.8</v>
      </c>
      <c r="X53" s="87">
        <f t="shared" si="62"/>
        <v>16</v>
      </c>
      <c r="Y53" s="92">
        <f t="shared" si="63"/>
        <v>2</v>
      </c>
      <c r="Z53" s="90">
        <f t="shared" si="64"/>
        <v>0</v>
      </c>
      <c r="AA53" s="90">
        <f t="shared" si="65"/>
        <v>0</v>
      </c>
      <c r="AB53" s="90">
        <f t="shared" si="66"/>
        <v>0</v>
      </c>
      <c r="AC53" s="4" t="str">
        <f t="shared" si="67"/>
        <v/>
      </c>
      <c r="AD53" s="91">
        <f t="shared" si="68"/>
        <v>0</v>
      </c>
      <c r="AE53" s="79" t="str">
        <f t="shared" si="69"/>
        <v>계</v>
      </c>
      <c r="AF53" s="79" t="str">
        <f t="shared" si="70"/>
        <v>2/1</v>
      </c>
      <c r="AH53" s="20" t="str">
        <f t="shared" si="53"/>
        <v>주공2단지</v>
      </c>
      <c r="AI53" s="87">
        <f t="shared" si="52"/>
        <v>16</v>
      </c>
      <c r="AJ53" s="79" t="str">
        <f t="shared" si="71"/>
        <v>A-</v>
      </c>
      <c r="AK53" s="79" t="s">
        <v>13</v>
      </c>
      <c r="AL53" s="79" t="s">
        <v>60</v>
      </c>
      <c r="AM53" s="79" t="s">
        <v>61</v>
      </c>
      <c r="AN53" s="79" t="str">
        <f t="shared" si="72"/>
        <v>C</v>
      </c>
      <c r="AO53" s="79" t="str">
        <f t="shared" si="73"/>
        <v/>
      </c>
      <c r="AP53" s="79" t="str">
        <f t="shared" si="74"/>
        <v/>
      </c>
      <c r="AQ53" s="79" t="str">
        <f t="shared" si="75"/>
        <v>O</v>
      </c>
      <c r="AR53" s="79" t="str">
        <f t="shared" si="76"/>
        <v>O</v>
      </c>
      <c r="AS53" s="79" t="s">
        <v>2</v>
      </c>
      <c r="AT53" s="79" t="str">
        <f t="shared" si="77"/>
        <v>O</v>
      </c>
      <c r="AU53" s="79" t="str">
        <f t="shared" si="78"/>
        <v>O</v>
      </c>
      <c r="AV53" s="79" t="str">
        <f t="shared" si="79"/>
        <v/>
      </c>
    </row>
    <row r="54" spans="1:48" x14ac:dyDescent="0.3">
      <c r="A54" s="9" t="s">
        <v>963</v>
      </c>
      <c r="B54" s="10" t="s">
        <v>1400</v>
      </c>
      <c r="C54" s="88">
        <v>556</v>
      </c>
      <c r="D54" s="86">
        <v>58.9</v>
      </c>
      <c r="E54" s="87">
        <v>18</v>
      </c>
      <c r="F54" s="86">
        <v>53.9</v>
      </c>
      <c r="G54" s="17">
        <v>16</v>
      </c>
      <c r="H54" s="88">
        <v>198</v>
      </c>
      <c r="I54" s="89">
        <v>17000</v>
      </c>
      <c r="J54" s="89" t="s">
        <v>83</v>
      </c>
      <c r="K54" s="89">
        <v>6000</v>
      </c>
      <c r="L54" s="89" t="s">
        <v>89</v>
      </c>
      <c r="M54" s="90">
        <f t="shared" si="57"/>
        <v>11000</v>
      </c>
      <c r="N54" s="4">
        <f t="shared" si="58"/>
        <v>0.35294117647058826</v>
      </c>
      <c r="O54" s="91">
        <f t="shared" si="59"/>
        <v>944.44444444444446</v>
      </c>
      <c r="P54" s="91">
        <f t="shared" si="60"/>
        <v>333.33333333333331</v>
      </c>
      <c r="Q54" s="79">
        <v>2</v>
      </c>
      <c r="R54" s="79">
        <v>1</v>
      </c>
      <c r="S54" s="79" t="s">
        <v>62</v>
      </c>
      <c r="T54" s="5">
        <v>58</v>
      </c>
      <c r="U54" s="9"/>
      <c r="W54" s="86">
        <f t="shared" si="61"/>
        <v>58.9</v>
      </c>
      <c r="X54" s="87">
        <f t="shared" si="62"/>
        <v>18</v>
      </c>
      <c r="Y54" s="92">
        <f t="shared" si="63"/>
        <v>198</v>
      </c>
      <c r="Z54" s="90">
        <f t="shared" si="64"/>
        <v>17000</v>
      </c>
      <c r="AA54" s="90">
        <f t="shared" si="65"/>
        <v>6000</v>
      </c>
      <c r="AB54" s="90">
        <f t="shared" si="66"/>
        <v>11000</v>
      </c>
      <c r="AC54" s="4">
        <f t="shared" si="67"/>
        <v>0.35294117647058826</v>
      </c>
      <c r="AD54" s="91">
        <f t="shared" si="68"/>
        <v>944.44444444444446</v>
      </c>
      <c r="AE54" s="79" t="str">
        <f t="shared" si="69"/>
        <v>계</v>
      </c>
      <c r="AF54" s="79" t="str">
        <f t="shared" si="70"/>
        <v>2/1</v>
      </c>
      <c r="AH54" s="20" t="str">
        <f t="shared" si="53"/>
        <v>주공2단지</v>
      </c>
      <c r="AI54" s="87">
        <f t="shared" si="52"/>
        <v>18</v>
      </c>
      <c r="AJ54" s="79" t="str">
        <f t="shared" si="71"/>
        <v>A-</v>
      </c>
      <c r="AK54" s="79" t="s">
        <v>13</v>
      </c>
      <c r="AL54" s="79" t="s">
        <v>60</v>
      </c>
      <c r="AM54" s="79" t="s">
        <v>61</v>
      </c>
      <c r="AN54" s="79" t="str">
        <f t="shared" si="72"/>
        <v>C</v>
      </c>
      <c r="AO54" s="79" t="str">
        <f t="shared" si="73"/>
        <v>X</v>
      </c>
      <c r="AP54" s="79" t="str">
        <f t="shared" si="74"/>
        <v>O</v>
      </c>
      <c r="AQ54" s="79" t="str">
        <f t="shared" si="75"/>
        <v>O</v>
      </c>
      <c r="AR54" s="79" t="str">
        <f t="shared" si="76"/>
        <v>X</v>
      </c>
      <c r="AS54" s="79" t="s">
        <v>2</v>
      </c>
      <c r="AT54" s="79" t="str">
        <f t="shared" si="77"/>
        <v>O</v>
      </c>
      <c r="AU54" s="79" t="str">
        <f t="shared" si="78"/>
        <v>O</v>
      </c>
      <c r="AV54" s="79" t="str">
        <f t="shared" si="79"/>
        <v>X</v>
      </c>
    </row>
    <row r="55" spans="1:48" x14ac:dyDescent="0.3">
      <c r="A55" s="9" t="s">
        <v>963</v>
      </c>
      <c r="B55" s="10" t="s">
        <v>1400</v>
      </c>
      <c r="C55" s="88">
        <v>556</v>
      </c>
      <c r="D55" s="86">
        <v>67.5</v>
      </c>
      <c r="E55" s="87">
        <v>20</v>
      </c>
      <c r="F55" s="86">
        <v>61.8</v>
      </c>
      <c r="G55" s="17">
        <v>19</v>
      </c>
      <c r="H55" s="88">
        <v>162</v>
      </c>
      <c r="I55" s="89">
        <v>19500</v>
      </c>
      <c r="J55" s="89" t="s">
        <v>89</v>
      </c>
      <c r="K55" s="89">
        <v>7000</v>
      </c>
      <c r="L55" s="89" t="s">
        <v>89</v>
      </c>
      <c r="M55" s="90">
        <f t="shared" si="57"/>
        <v>12500</v>
      </c>
      <c r="N55" s="4">
        <f t="shared" si="58"/>
        <v>0.35897435897435898</v>
      </c>
      <c r="O55" s="91">
        <f t="shared" si="59"/>
        <v>975</v>
      </c>
      <c r="P55" s="91">
        <f t="shared" si="60"/>
        <v>350</v>
      </c>
      <c r="Q55" s="79">
        <v>3</v>
      </c>
      <c r="R55" s="79">
        <v>1</v>
      </c>
      <c r="S55" s="79" t="s">
        <v>62</v>
      </c>
      <c r="T55" s="5">
        <v>67</v>
      </c>
      <c r="U55" s="9"/>
      <c r="W55" s="86">
        <f t="shared" si="61"/>
        <v>67.5</v>
      </c>
      <c r="X55" s="87">
        <f t="shared" si="62"/>
        <v>20</v>
      </c>
      <c r="Y55" s="92">
        <f t="shared" si="63"/>
        <v>162</v>
      </c>
      <c r="Z55" s="90">
        <f t="shared" si="64"/>
        <v>19500</v>
      </c>
      <c r="AA55" s="90">
        <f t="shared" si="65"/>
        <v>7000</v>
      </c>
      <c r="AB55" s="90">
        <f t="shared" si="66"/>
        <v>12500</v>
      </c>
      <c r="AC55" s="4">
        <f t="shared" si="67"/>
        <v>0.35897435897435898</v>
      </c>
      <c r="AD55" s="91">
        <f t="shared" si="68"/>
        <v>975</v>
      </c>
      <c r="AE55" s="79" t="str">
        <f t="shared" si="69"/>
        <v>계</v>
      </c>
      <c r="AF55" s="79" t="str">
        <f t="shared" si="70"/>
        <v>3/1</v>
      </c>
      <c r="AH55" s="20" t="str">
        <f t="shared" si="53"/>
        <v>주공2단지</v>
      </c>
      <c r="AI55" s="87">
        <f t="shared" si="52"/>
        <v>20</v>
      </c>
      <c r="AJ55" s="79" t="str">
        <f t="shared" si="71"/>
        <v>A-</v>
      </c>
      <c r="AK55" s="79" t="s">
        <v>13</v>
      </c>
      <c r="AL55" s="79" t="s">
        <v>60</v>
      </c>
      <c r="AM55" s="79" t="s">
        <v>61</v>
      </c>
      <c r="AN55" s="79" t="str">
        <f t="shared" si="72"/>
        <v>C</v>
      </c>
      <c r="AO55" s="79" t="str">
        <f t="shared" si="73"/>
        <v>X</v>
      </c>
      <c r="AP55" s="79" t="str">
        <f t="shared" si="74"/>
        <v>O</v>
      </c>
      <c r="AQ55" s="79" t="str">
        <f t="shared" si="75"/>
        <v>O</v>
      </c>
      <c r="AR55" s="79" t="str">
        <f t="shared" si="76"/>
        <v>X</v>
      </c>
      <c r="AS55" s="79" t="s">
        <v>2</v>
      </c>
      <c r="AT55" s="79" t="str">
        <f t="shared" si="77"/>
        <v>O</v>
      </c>
      <c r="AU55" s="79" t="str">
        <f t="shared" si="78"/>
        <v>O</v>
      </c>
      <c r="AV55" s="79" t="str">
        <f t="shared" si="79"/>
        <v>X</v>
      </c>
    </row>
  </sheetData>
  <mergeCells count="1">
    <mergeCell ref="AJ1:AN1"/>
  </mergeCells>
  <phoneticPr fontId="2" type="noConversion"/>
  <conditionalFormatting sqref="AV4:AV6">
    <cfRule type="expression" dxfId="2275" priority="839">
      <formula>AV4="X"</formula>
    </cfRule>
    <cfRule type="expression" dxfId="2274" priority="840">
      <formula>AV4="후보"</formula>
    </cfRule>
  </conditionalFormatting>
  <conditionalFormatting sqref="AC1:AC2 AC4:AC6 N4:N5">
    <cfRule type="cellIs" dxfId="2273" priority="836" operator="greaterThan">
      <formula>0.9</formula>
    </cfRule>
    <cfRule type="cellIs" dxfId="2272" priority="837" operator="greaterThan">
      <formula>0.85</formula>
    </cfRule>
  </conditionalFormatting>
  <conditionalFormatting sqref="N1:N2">
    <cfRule type="cellIs" dxfId="2271" priority="834" operator="greaterThan">
      <formula>0.9</formula>
    </cfRule>
    <cfRule type="cellIs" dxfId="2270" priority="835" operator="greaterThan">
      <formula>0.85</formula>
    </cfRule>
  </conditionalFormatting>
  <conditionalFormatting sqref="N6">
    <cfRule type="cellIs" dxfId="2269" priority="832" operator="greaterThan">
      <formula>0.9</formula>
    </cfRule>
    <cfRule type="cellIs" dxfId="2268" priority="833" operator="greaterThan">
      <formula>0.85</formula>
    </cfRule>
  </conditionalFormatting>
  <conditionalFormatting sqref="E6">
    <cfRule type="expression" dxfId="2267" priority="828">
      <formula>AND(IF(OR($Q6=1,$Q6=2),1,0),IF($X6&lt;=20,1,0))</formula>
    </cfRule>
    <cfRule type="expression" dxfId="2266" priority="829">
      <formula>AND(IF($Q6=2,1,0),IF($X6&lt;30,1,0))</formula>
    </cfRule>
    <cfRule type="expression" dxfId="2265" priority="830">
      <formula>AND(IF($Q6=3,1,0),IF($X6&lt;30,1,0))</formula>
    </cfRule>
    <cfRule type="expression" dxfId="2264" priority="831">
      <formula>AND(IF($Q6=3,1,IF($Q6=4,1,0)),IF($F6&lt;=85,1,0))</formula>
    </cfRule>
  </conditionalFormatting>
  <conditionalFormatting sqref="X6">
    <cfRule type="expression" dxfId="2263" priority="824">
      <formula>AND(IF(OR($Q6=1,$Q6=2),1,0),IF($X6&lt;=20,1,0))</formula>
    </cfRule>
    <cfRule type="expression" dxfId="2262" priority="825">
      <formula>AND(IF($Q6=2,1,0),IF($X6&lt;30,1,0))</formula>
    </cfRule>
    <cfRule type="expression" dxfId="2261" priority="826">
      <formula>AND(IF($Q6=3,1,0),IF($X6&lt;30,1,0))</formula>
    </cfRule>
    <cfRule type="expression" dxfId="2260" priority="827">
      <formula>AND(IF($Q6=3,1,IF($Q6=4,1,0)),IF($F6&lt;=85,1,0))</formula>
    </cfRule>
  </conditionalFormatting>
  <conditionalFormatting sqref="AI6">
    <cfRule type="expression" dxfId="2259" priority="820">
      <formula>AND(IF(OR($Q6=1,$Q6=2),1,0),IF($X6&lt;=20,1,0))</formula>
    </cfRule>
    <cfRule type="expression" dxfId="2258" priority="821">
      <formula>AND(IF($Q6=2,1,0),IF($X6&lt;30,1,0))</formula>
    </cfRule>
    <cfRule type="expression" dxfId="2257" priority="822">
      <formula>AND(IF($Q6=3,1,0),IF($X6&lt;30,1,0))</formula>
    </cfRule>
    <cfRule type="expression" dxfId="2256" priority="823">
      <formula>AND(IF($Q6=3,1,IF($Q6=4,1,0)),IF($F6&lt;=85,1,0))</formula>
    </cfRule>
  </conditionalFormatting>
  <conditionalFormatting sqref="AV7">
    <cfRule type="expression" dxfId="2255" priority="818">
      <formula>AV7="X"</formula>
    </cfRule>
    <cfRule type="expression" dxfId="2254" priority="819">
      <formula>AV7="후보"</formula>
    </cfRule>
  </conditionalFormatting>
  <conditionalFormatting sqref="AC7 N7">
    <cfRule type="cellIs" dxfId="2253" priority="815" operator="greaterThan">
      <formula>0.9</formula>
    </cfRule>
    <cfRule type="cellIs" dxfId="2252" priority="816" operator="greaterThan">
      <formula>0.85</formula>
    </cfRule>
  </conditionalFormatting>
  <conditionalFormatting sqref="AV8">
    <cfRule type="expression" dxfId="2251" priority="813">
      <formula>AV8="X"</formula>
    </cfRule>
    <cfRule type="expression" dxfId="2250" priority="814">
      <formula>AV8="후보"</formula>
    </cfRule>
  </conditionalFormatting>
  <conditionalFormatting sqref="AC8">
    <cfRule type="cellIs" dxfId="2249" priority="810" operator="greaterThan">
      <formula>0.9</formula>
    </cfRule>
    <cfRule type="cellIs" dxfId="2248" priority="811" operator="greaterThan">
      <formula>0.85</formula>
    </cfRule>
  </conditionalFormatting>
  <conditionalFormatting sqref="N8">
    <cfRule type="cellIs" dxfId="2247" priority="808" operator="greaterThan">
      <formula>0.9</formula>
    </cfRule>
    <cfRule type="cellIs" dxfId="2246" priority="809" operator="greaterThan">
      <formula>0.85</formula>
    </cfRule>
  </conditionalFormatting>
  <conditionalFormatting sqref="E8">
    <cfRule type="expression" dxfId="2245" priority="804">
      <formula>AND(IF(OR($Q8=1,$Q8=2),1,0),IF($X8&lt;=20,1,0))</formula>
    </cfRule>
    <cfRule type="expression" dxfId="2244" priority="805">
      <formula>AND(IF($Q8=2,1,0),IF($X8&lt;30,1,0))</formula>
    </cfRule>
    <cfRule type="expression" dxfId="2243" priority="806">
      <formula>AND(IF($Q8=3,1,0),IF($X8&lt;30,1,0))</formula>
    </cfRule>
    <cfRule type="expression" dxfId="2242" priority="807">
      <formula>AND(IF($Q8=3,1,IF($Q8=4,1,0)),IF($F8&lt;=85,1,0))</formula>
    </cfRule>
  </conditionalFormatting>
  <conditionalFormatting sqref="X8">
    <cfRule type="expression" dxfId="2241" priority="800">
      <formula>AND(IF(OR($Q8=1,$Q8=2),1,0),IF($X8&lt;=20,1,0))</formula>
    </cfRule>
    <cfRule type="expression" dxfId="2240" priority="801">
      <formula>AND(IF($Q8=2,1,0),IF($X8&lt;30,1,0))</formula>
    </cfRule>
    <cfRule type="expression" dxfId="2239" priority="802">
      <formula>AND(IF($Q8=3,1,0),IF($X8&lt;30,1,0))</formula>
    </cfRule>
    <cfRule type="expression" dxfId="2238" priority="803">
      <formula>AND(IF($Q8=3,1,IF($Q8=4,1,0)),IF($F8&lt;=85,1,0))</formula>
    </cfRule>
  </conditionalFormatting>
  <conditionalFormatting sqref="AI8">
    <cfRule type="expression" dxfId="2237" priority="796">
      <formula>AND(IF(OR($Q8=1,$Q8=2),1,0),IF($X8&lt;=20,1,0))</formula>
    </cfRule>
    <cfRule type="expression" dxfId="2236" priority="797">
      <formula>AND(IF($Q8=2,1,0),IF($X8&lt;30,1,0))</formula>
    </cfRule>
    <cfRule type="expression" dxfId="2235" priority="798">
      <formula>AND(IF($Q8=3,1,0),IF($X8&lt;30,1,0))</formula>
    </cfRule>
    <cfRule type="expression" dxfId="2234" priority="799">
      <formula>AND(IF($Q8=3,1,IF($Q8=4,1,0)),IF($F8&lt;=85,1,0))</formula>
    </cfRule>
  </conditionalFormatting>
  <conditionalFormatting sqref="AV9">
    <cfRule type="expression" dxfId="2233" priority="794">
      <formula>AV9="X"</formula>
    </cfRule>
    <cfRule type="expression" dxfId="2232" priority="795">
      <formula>AV9="후보"</formula>
    </cfRule>
  </conditionalFormatting>
  <conditionalFormatting sqref="AC9">
    <cfRule type="cellIs" dxfId="2231" priority="791" operator="greaterThan">
      <formula>0.9</formula>
    </cfRule>
    <cfRule type="cellIs" dxfId="2230" priority="792" operator="greaterThan">
      <formula>0.85</formula>
    </cfRule>
  </conditionalFormatting>
  <conditionalFormatting sqref="N9">
    <cfRule type="cellIs" dxfId="2229" priority="789" operator="greaterThan">
      <formula>0.9</formula>
    </cfRule>
    <cfRule type="cellIs" dxfId="2228" priority="790" operator="greaterThan">
      <formula>0.85</formula>
    </cfRule>
  </conditionalFormatting>
  <conditionalFormatting sqref="E9">
    <cfRule type="expression" dxfId="2227" priority="785">
      <formula>AND(IF(OR($Q9=1,$Q9=2),1,0),IF($X9&lt;=20,1,0))</formula>
    </cfRule>
    <cfRule type="expression" dxfId="2226" priority="786">
      <formula>AND(IF($Q9=2,1,0),IF($X9&lt;30,1,0))</formula>
    </cfRule>
    <cfRule type="expression" dxfId="2225" priority="787">
      <formula>AND(IF($Q9=3,1,0),IF($X9&lt;30,1,0))</formula>
    </cfRule>
    <cfRule type="expression" dxfId="2224" priority="788">
      <formula>AND(IF($Q9=3,1,IF($Q9=4,1,0)),IF($F9&lt;=85,1,0))</formula>
    </cfRule>
  </conditionalFormatting>
  <conditionalFormatting sqref="X9">
    <cfRule type="expression" dxfId="2223" priority="781">
      <formula>AND(IF(OR($Q9=1,$Q9=2),1,0),IF($X9&lt;=20,1,0))</formula>
    </cfRule>
    <cfRule type="expression" dxfId="2222" priority="782">
      <formula>AND(IF($Q9=2,1,0),IF($X9&lt;30,1,0))</formula>
    </cfRule>
    <cfRule type="expression" dxfId="2221" priority="783">
      <formula>AND(IF($Q9=3,1,0),IF($X9&lt;30,1,0))</formula>
    </cfRule>
    <cfRule type="expression" dxfId="2220" priority="784">
      <formula>AND(IF($Q9=3,1,IF($Q9=4,1,0)),IF($F9&lt;=85,1,0))</formula>
    </cfRule>
  </conditionalFormatting>
  <conditionalFormatting sqref="AI9">
    <cfRule type="expression" dxfId="2219" priority="777">
      <formula>AND(IF(OR($Q9=1,$Q9=2),1,0),IF($X9&lt;=20,1,0))</formula>
    </cfRule>
    <cfRule type="expression" dxfId="2218" priority="778">
      <formula>AND(IF($Q9=2,1,0),IF($X9&lt;30,1,0))</formula>
    </cfRule>
    <cfRule type="expression" dxfId="2217" priority="779">
      <formula>AND(IF($Q9=3,1,0),IF($X9&lt;30,1,0))</formula>
    </cfRule>
    <cfRule type="expression" dxfId="2216" priority="780">
      <formula>AND(IF($Q9=3,1,IF($Q9=4,1,0)),IF($F9&lt;=85,1,0))</formula>
    </cfRule>
  </conditionalFormatting>
  <conditionalFormatting sqref="AV10">
    <cfRule type="expression" dxfId="2215" priority="775">
      <formula>AV10="X"</formula>
    </cfRule>
    <cfRule type="expression" dxfId="2214" priority="776">
      <formula>AV10="후보"</formula>
    </cfRule>
  </conditionalFormatting>
  <conditionalFormatting sqref="AC10 N10">
    <cfRule type="cellIs" dxfId="2213" priority="772" operator="greaterThan">
      <formula>0.9</formula>
    </cfRule>
    <cfRule type="cellIs" dxfId="2212" priority="773" operator="greaterThan">
      <formula>0.85</formula>
    </cfRule>
  </conditionalFormatting>
  <conditionalFormatting sqref="AV11">
    <cfRule type="expression" dxfId="2211" priority="770">
      <formula>AV11="X"</formula>
    </cfRule>
    <cfRule type="expression" dxfId="2210" priority="771">
      <formula>AV11="후보"</formula>
    </cfRule>
  </conditionalFormatting>
  <conditionalFormatting sqref="AC11">
    <cfRule type="cellIs" dxfId="2209" priority="767" operator="greaterThan">
      <formula>0.9</formula>
    </cfRule>
    <cfRule type="cellIs" dxfId="2208" priority="768" operator="greaterThan">
      <formula>0.85</formula>
    </cfRule>
  </conditionalFormatting>
  <conditionalFormatting sqref="N11">
    <cfRule type="cellIs" dxfId="2207" priority="765" operator="greaterThan">
      <formula>0.9</formula>
    </cfRule>
    <cfRule type="cellIs" dxfId="2206" priority="766" operator="greaterThan">
      <formula>0.85</formula>
    </cfRule>
  </conditionalFormatting>
  <conditionalFormatting sqref="E11">
    <cfRule type="expression" dxfId="2205" priority="761">
      <formula>AND(IF(OR($Q11=1,$Q11=2),1,0),IF($X11&lt;=20,1,0))</formula>
    </cfRule>
    <cfRule type="expression" dxfId="2204" priority="762">
      <formula>AND(IF($Q11=2,1,0),IF($X11&lt;30,1,0))</formula>
    </cfRule>
    <cfRule type="expression" dxfId="2203" priority="763">
      <formula>AND(IF($Q11=3,1,0),IF($X11&lt;30,1,0))</formula>
    </cfRule>
    <cfRule type="expression" dxfId="2202" priority="764">
      <formula>AND(IF($Q11=3,1,IF($Q11=4,1,0)),IF($F11&lt;=85,1,0))</formula>
    </cfRule>
  </conditionalFormatting>
  <conditionalFormatting sqref="X11">
    <cfRule type="expression" dxfId="2201" priority="757">
      <formula>AND(IF(OR($Q11=1,$Q11=2),1,0),IF($X11&lt;=20,1,0))</formula>
    </cfRule>
    <cfRule type="expression" dxfId="2200" priority="758">
      <formula>AND(IF($Q11=2,1,0),IF($X11&lt;30,1,0))</formula>
    </cfRule>
    <cfRule type="expression" dxfId="2199" priority="759">
      <formula>AND(IF($Q11=3,1,0),IF($X11&lt;30,1,0))</formula>
    </cfRule>
    <cfRule type="expression" dxfId="2198" priority="760">
      <formula>AND(IF($Q11=3,1,IF($Q11=4,1,0)),IF($F11&lt;=85,1,0))</formula>
    </cfRule>
  </conditionalFormatting>
  <conditionalFormatting sqref="AI11">
    <cfRule type="expression" dxfId="2197" priority="753">
      <formula>AND(IF(OR($Q11=1,$Q11=2),1,0),IF($X11&lt;=20,1,0))</formula>
    </cfRule>
    <cfRule type="expression" dxfId="2196" priority="754">
      <formula>AND(IF($Q11=2,1,0),IF($X11&lt;30,1,0))</formula>
    </cfRule>
    <cfRule type="expression" dxfId="2195" priority="755">
      <formula>AND(IF($Q11=3,1,0),IF($X11&lt;30,1,0))</formula>
    </cfRule>
    <cfRule type="expression" dxfId="2194" priority="756">
      <formula>AND(IF($Q11=3,1,IF($Q11=4,1,0)),IF($F11&lt;=85,1,0))</formula>
    </cfRule>
  </conditionalFormatting>
  <conditionalFormatting sqref="AV12">
    <cfRule type="expression" dxfId="2193" priority="751">
      <formula>AV12="X"</formula>
    </cfRule>
    <cfRule type="expression" dxfId="2192" priority="752">
      <formula>AV12="후보"</formula>
    </cfRule>
  </conditionalFormatting>
  <conditionalFormatting sqref="AC12">
    <cfRule type="cellIs" dxfId="2191" priority="748" operator="greaterThan">
      <formula>0.9</formula>
    </cfRule>
    <cfRule type="cellIs" dxfId="2190" priority="749" operator="greaterThan">
      <formula>0.85</formula>
    </cfRule>
  </conditionalFormatting>
  <conditionalFormatting sqref="N12">
    <cfRule type="cellIs" dxfId="2189" priority="746" operator="greaterThan">
      <formula>0.9</formula>
    </cfRule>
    <cfRule type="cellIs" dxfId="2188" priority="747" operator="greaterThan">
      <formula>0.85</formula>
    </cfRule>
  </conditionalFormatting>
  <conditionalFormatting sqref="E12">
    <cfRule type="expression" dxfId="2187" priority="742">
      <formula>AND(IF(OR($Q12=1,$Q12=2),1,0),IF($X12&lt;=20,1,0))</formula>
    </cfRule>
    <cfRule type="expression" dxfId="2186" priority="743">
      <formula>AND(IF($Q12=2,1,0),IF($X12&lt;30,1,0))</formula>
    </cfRule>
    <cfRule type="expression" dxfId="2185" priority="744">
      <formula>AND(IF($Q12=3,1,0),IF($X12&lt;30,1,0))</formula>
    </cfRule>
    <cfRule type="expression" dxfId="2184" priority="745">
      <formula>AND(IF($Q12=3,1,IF($Q12=4,1,0)),IF($F12&lt;=85,1,0))</formula>
    </cfRule>
  </conditionalFormatting>
  <conditionalFormatting sqref="X12">
    <cfRule type="expression" dxfId="2183" priority="738">
      <formula>AND(IF(OR($Q12=1,$Q12=2),1,0),IF($X12&lt;=20,1,0))</formula>
    </cfRule>
    <cfRule type="expression" dxfId="2182" priority="739">
      <formula>AND(IF($Q12=2,1,0),IF($X12&lt;30,1,0))</formula>
    </cfRule>
    <cfRule type="expression" dxfId="2181" priority="740">
      <formula>AND(IF($Q12=3,1,0),IF($X12&lt;30,1,0))</formula>
    </cfRule>
    <cfRule type="expression" dxfId="2180" priority="741">
      <formula>AND(IF($Q12=3,1,IF($Q12=4,1,0)),IF($F12&lt;=85,1,0))</formula>
    </cfRule>
  </conditionalFormatting>
  <conditionalFormatting sqref="AI12">
    <cfRule type="expression" dxfId="2179" priority="734">
      <formula>AND(IF(OR($Q12=1,$Q12=2),1,0),IF($X12&lt;=20,1,0))</formula>
    </cfRule>
    <cfRule type="expression" dxfId="2178" priority="735">
      <formula>AND(IF($Q12=2,1,0),IF($X12&lt;30,1,0))</formula>
    </cfRule>
    <cfRule type="expression" dxfId="2177" priority="736">
      <formula>AND(IF($Q12=3,1,0),IF($X12&lt;30,1,0))</formula>
    </cfRule>
    <cfRule type="expression" dxfId="2176" priority="737">
      <formula>AND(IF($Q12=3,1,IF($Q12=4,1,0)),IF($F12&lt;=85,1,0))</formula>
    </cfRule>
  </conditionalFormatting>
  <conditionalFormatting sqref="AV13">
    <cfRule type="expression" dxfId="2175" priority="732">
      <formula>AV13="X"</formula>
    </cfRule>
    <cfRule type="expression" dxfId="2174" priority="733">
      <formula>AV13="후보"</formula>
    </cfRule>
  </conditionalFormatting>
  <conditionalFormatting sqref="AC13">
    <cfRule type="cellIs" dxfId="2173" priority="729" operator="greaterThan">
      <formula>0.9</formula>
    </cfRule>
    <cfRule type="cellIs" dxfId="2172" priority="730" operator="greaterThan">
      <formula>0.85</formula>
    </cfRule>
  </conditionalFormatting>
  <conditionalFormatting sqref="N13">
    <cfRule type="cellIs" dxfId="2171" priority="727" operator="greaterThan">
      <formula>0.9</formula>
    </cfRule>
    <cfRule type="cellIs" dxfId="2170" priority="728" operator="greaterThan">
      <formula>0.85</formula>
    </cfRule>
  </conditionalFormatting>
  <conditionalFormatting sqref="E13">
    <cfRule type="expression" dxfId="2169" priority="723">
      <formula>AND(IF(OR($Q13=1,$Q13=2),1,0),IF($X13&lt;=20,1,0))</formula>
    </cfRule>
    <cfRule type="expression" dxfId="2168" priority="724">
      <formula>AND(IF($Q13=2,1,0),IF($X13&lt;30,1,0))</formula>
    </cfRule>
    <cfRule type="expression" dxfId="2167" priority="725">
      <formula>AND(IF($Q13=3,1,0),IF($X13&lt;30,1,0))</formula>
    </cfRule>
    <cfRule type="expression" dxfId="2166" priority="726">
      <formula>AND(IF($Q13=3,1,IF($Q13=4,1,0)),IF($F13&lt;=85,1,0))</formula>
    </cfRule>
  </conditionalFormatting>
  <conditionalFormatting sqref="X13">
    <cfRule type="expression" dxfId="2165" priority="719">
      <formula>AND(IF(OR($Q13=1,$Q13=2),1,0),IF($X13&lt;=20,1,0))</formula>
    </cfRule>
    <cfRule type="expression" dxfId="2164" priority="720">
      <formula>AND(IF($Q13=2,1,0),IF($X13&lt;30,1,0))</formula>
    </cfRule>
    <cfRule type="expression" dxfId="2163" priority="721">
      <formula>AND(IF($Q13=3,1,0),IF($X13&lt;30,1,0))</formula>
    </cfRule>
    <cfRule type="expression" dxfId="2162" priority="722">
      <formula>AND(IF($Q13=3,1,IF($Q13=4,1,0)),IF($F13&lt;=85,1,0))</formula>
    </cfRule>
  </conditionalFormatting>
  <conditionalFormatting sqref="AI13">
    <cfRule type="expression" dxfId="2161" priority="715">
      <formula>AND(IF(OR($Q13=1,$Q13=2),1,0),IF($X13&lt;=20,1,0))</formula>
    </cfRule>
    <cfRule type="expression" dxfId="2160" priority="716">
      <formula>AND(IF($Q13=2,1,0),IF($X13&lt;30,1,0))</formula>
    </cfRule>
    <cfRule type="expression" dxfId="2159" priority="717">
      <formula>AND(IF($Q13=3,1,0),IF($X13&lt;30,1,0))</formula>
    </cfRule>
    <cfRule type="expression" dxfId="2158" priority="718">
      <formula>AND(IF($Q13=3,1,IF($Q13=4,1,0)),IF($F13&lt;=85,1,0))</formula>
    </cfRule>
  </conditionalFormatting>
  <conditionalFormatting sqref="AV14">
    <cfRule type="expression" dxfId="2157" priority="713">
      <formula>AV14="X"</formula>
    </cfRule>
    <cfRule type="expression" dxfId="2156" priority="714">
      <formula>AV14="후보"</formula>
    </cfRule>
  </conditionalFormatting>
  <conditionalFormatting sqref="AC14 N14">
    <cfRule type="cellIs" dxfId="2155" priority="710" operator="greaterThan">
      <formula>0.9</formula>
    </cfRule>
    <cfRule type="cellIs" dxfId="2154" priority="711" operator="greaterThan">
      <formula>0.85</formula>
    </cfRule>
  </conditionalFormatting>
  <conditionalFormatting sqref="AV15">
    <cfRule type="expression" dxfId="2153" priority="708">
      <formula>AV15="X"</formula>
    </cfRule>
    <cfRule type="expression" dxfId="2152" priority="709">
      <formula>AV15="후보"</formula>
    </cfRule>
  </conditionalFormatting>
  <conditionalFormatting sqref="AC15">
    <cfRule type="cellIs" dxfId="2151" priority="705" operator="greaterThan">
      <formula>0.9</formula>
    </cfRule>
    <cfRule type="cellIs" dxfId="2150" priority="706" operator="greaterThan">
      <formula>0.85</formula>
    </cfRule>
  </conditionalFormatting>
  <conditionalFormatting sqref="N15">
    <cfRule type="cellIs" dxfId="2149" priority="703" operator="greaterThan">
      <formula>0.9</formula>
    </cfRule>
    <cfRule type="cellIs" dxfId="2148" priority="704" operator="greaterThan">
      <formula>0.85</formula>
    </cfRule>
  </conditionalFormatting>
  <conditionalFormatting sqref="E15">
    <cfRule type="expression" dxfId="2147" priority="699">
      <formula>AND(IF(OR($Q15=1,$Q15=2),1,0),IF($X15&lt;=20,1,0))</formula>
    </cfRule>
    <cfRule type="expression" dxfId="2146" priority="700">
      <formula>AND(IF($Q15=2,1,0),IF($X15&lt;30,1,0))</formula>
    </cfRule>
    <cfRule type="expression" dxfId="2145" priority="701">
      <formula>AND(IF($Q15=3,1,0),IF($X15&lt;30,1,0))</formula>
    </cfRule>
    <cfRule type="expression" dxfId="2144" priority="702">
      <formula>AND(IF($Q15=3,1,IF($Q15=4,1,0)),IF($F15&lt;=85,1,0))</formula>
    </cfRule>
  </conditionalFormatting>
  <conditionalFormatting sqref="X15">
    <cfRule type="expression" dxfId="2143" priority="695">
      <formula>AND(IF(OR($Q15=1,$Q15=2),1,0),IF($X15&lt;=20,1,0))</formula>
    </cfRule>
    <cfRule type="expression" dxfId="2142" priority="696">
      <formula>AND(IF($Q15=2,1,0),IF($X15&lt;30,1,0))</formula>
    </cfRule>
    <cfRule type="expression" dxfId="2141" priority="697">
      <formula>AND(IF($Q15=3,1,0),IF($X15&lt;30,1,0))</formula>
    </cfRule>
    <cfRule type="expression" dxfId="2140" priority="698">
      <formula>AND(IF($Q15=3,1,IF($Q15=4,1,0)),IF($F15&lt;=85,1,0))</formula>
    </cfRule>
  </conditionalFormatting>
  <conditionalFormatting sqref="AI15">
    <cfRule type="expression" dxfId="2139" priority="691">
      <formula>AND(IF(OR($Q15=1,$Q15=2),1,0),IF($X15&lt;=20,1,0))</formula>
    </cfRule>
    <cfRule type="expression" dxfId="2138" priority="692">
      <formula>AND(IF($Q15=2,1,0),IF($X15&lt;30,1,0))</formula>
    </cfRule>
    <cfRule type="expression" dxfId="2137" priority="693">
      <formula>AND(IF($Q15=3,1,0),IF($X15&lt;30,1,0))</formula>
    </cfRule>
    <cfRule type="expression" dxfId="2136" priority="694">
      <formula>AND(IF($Q15=3,1,IF($Q15=4,1,0)),IF($F15&lt;=85,1,0))</formula>
    </cfRule>
  </conditionalFormatting>
  <conditionalFormatting sqref="AV16">
    <cfRule type="expression" dxfId="2135" priority="689">
      <formula>AV16="X"</formula>
    </cfRule>
    <cfRule type="expression" dxfId="2134" priority="690">
      <formula>AV16="후보"</formula>
    </cfRule>
  </conditionalFormatting>
  <conditionalFormatting sqref="AC16">
    <cfRule type="cellIs" dxfId="2133" priority="686" operator="greaterThan">
      <formula>0.9</formula>
    </cfRule>
    <cfRule type="cellIs" dxfId="2132" priority="687" operator="greaterThan">
      <formula>0.85</formula>
    </cfRule>
  </conditionalFormatting>
  <conditionalFormatting sqref="N16">
    <cfRule type="cellIs" dxfId="2131" priority="684" operator="greaterThan">
      <formula>0.9</formula>
    </cfRule>
    <cfRule type="cellIs" dxfId="2130" priority="685" operator="greaterThan">
      <formula>0.85</formula>
    </cfRule>
  </conditionalFormatting>
  <conditionalFormatting sqref="E16">
    <cfRule type="expression" dxfId="2129" priority="680">
      <formula>AND(IF(OR($Q16=1,$Q16=2),1,0),IF($X16&lt;=20,1,0))</formula>
    </cfRule>
    <cfRule type="expression" dxfId="2128" priority="681">
      <formula>AND(IF($Q16=2,1,0),IF($X16&lt;30,1,0))</formula>
    </cfRule>
    <cfRule type="expression" dxfId="2127" priority="682">
      <formula>AND(IF($Q16=3,1,0),IF($X16&lt;30,1,0))</formula>
    </cfRule>
    <cfRule type="expression" dxfId="2126" priority="683">
      <formula>AND(IF($Q16=3,1,IF($Q16=4,1,0)),IF($F16&lt;=85,1,0))</formula>
    </cfRule>
  </conditionalFormatting>
  <conditionalFormatting sqref="X16">
    <cfRule type="expression" dxfId="2125" priority="676">
      <formula>AND(IF(OR($Q16=1,$Q16=2),1,0),IF($X16&lt;=20,1,0))</formula>
    </cfRule>
    <cfRule type="expression" dxfId="2124" priority="677">
      <formula>AND(IF($Q16=2,1,0),IF($X16&lt;30,1,0))</formula>
    </cfRule>
    <cfRule type="expression" dxfId="2123" priority="678">
      <formula>AND(IF($Q16=3,1,0),IF($X16&lt;30,1,0))</formula>
    </cfRule>
    <cfRule type="expression" dxfId="2122" priority="679">
      <formula>AND(IF($Q16=3,1,IF($Q16=4,1,0)),IF($F16&lt;=85,1,0))</formula>
    </cfRule>
  </conditionalFormatting>
  <conditionalFormatting sqref="AI16">
    <cfRule type="expression" dxfId="2121" priority="672">
      <formula>AND(IF(OR($Q16=1,$Q16=2),1,0),IF($X16&lt;=20,1,0))</formula>
    </cfRule>
    <cfRule type="expression" dxfId="2120" priority="673">
      <formula>AND(IF($Q16=2,1,0),IF($X16&lt;30,1,0))</formula>
    </cfRule>
    <cfRule type="expression" dxfId="2119" priority="674">
      <formula>AND(IF($Q16=3,1,0),IF($X16&lt;30,1,0))</formula>
    </cfRule>
    <cfRule type="expression" dxfId="2118" priority="675">
      <formula>AND(IF($Q16=3,1,IF($Q16=4,1,0)),IF($F16&lt;=85,1,0))</formula>
    </cfRule>
  </conditionalFormatting>
  <conditionalFormatting sqref="AV17">
    <cfRule type="expression" dxfId="2117" priority="670">
      <formula>AV17="X"</formula>
    </cfRule>
    <cfRule type="expression" dxfId="2116" priority="671">
      <formula>AV17="후보"</formula>
    </cfRule>
  </conditionalFormatting>
  <conditionalFormatting sqref="AC17">
    <cfRule type="cellIs" dxfId="2115" priority="667" operator="greaterThan">
      <formula>0.9</formula>
    </cfRule>
    <cfRule type="cellIs" dxfId="2114" priority="668" operator="greaterThan">
      <formula>0.85</formula>
    </cfRule>
  </conditionalFormatting>
  <conditionalFormatting sqref="N17">
    <cfRule type="cellIs" dxfId="2113" priority="665" operator="greaterThan">
      <formula>0.9</formula>
    </cfRule>
    <cfRule type="cellIs" dxfId="2112" priority="666" operator="greaterThan">
      <formula>0.85</formula>
    </cfRule>
  </conditionalFormatting>
  <conditionalFormatting sqref="E17">
    <cfRule type="expression" dxfId="2111" priority="661">
      <formula>AND(IF(OR($Q17=1,$Q17=2),1,0),IF($X17&lt;=20,1,0))</formula>
    </cfRule>
    <cfRule type="expression" dxfId="2110" priority="662">
      <formula>AND(IF($Q17=2,1,0),IF($X17&lt;30,1,0))</formula>
    </cfRule>
    <cfRule type="expression" dxfId="2109" priority="663">
      <formula>AND(IF($Q17=3,1,0),IF($X17&lt;30,1,0))</formula>
    </cfRule>
    <cfRule type="expression" dxfId="2108" priority="664">
      <formula>AND(IF($Q17=3,1,IF($Q17=4,1,0)),IF($F17&lt;=85,1,0))</formula>
    </cfRule>
  </conditionalFormatting>
  <conditionalFormatting sqref="X17">
    <cfRule type="expression" dxfId="2107" priority="657">
      <formula>AND(IF(OR($Q17=1,$Q17=2),1,0),IF($X17&lt;=20,1,0))</formula>
    </cfRule>
    <cfRule type="expression" dxfId="2106" priority="658">
      <formula>AND(IF($Q17=2,1,0),IF($X17&lt;30,1,0))</formula>
    </cfRule>
    <cfRule type="expression" dxfId="2105" priority="659">
      <formula>AND(IF($Q17=3,1,0),IF($X17&lt;30,1,0))</formula>
    </cfRule>
    <cfRule type="expression" dxfId="2104" priority="660">
      <formula>AND(IF($Q17=3,1,IF($Q17=4,1,0)),IF($F17&lt;=85,1,0))</formula>
    </cfRule>
  </conditionalFormatting>
  <conditionalFormatting sqref="AI17">
    <cfRule type="expression" dxfId="2103" priority="653">
      <formula>AND(IF(OR($Q17=1,$Q17=2),1,0),IF($X17&lt;=20,1,0))</formula>
    </cfRule>
    <cfRule type="expression" dxfId="2102" priority="654">
      <formula>AND(IF($Q17=2,1,0),IF($X17&lt;30,1,0))</formula>
    </cfRule>
    <cfRule type="expression" dxfId="2101" priority="655">
      <formula>AND(IF($Q17=3,1,0),IF($X17&lt;30,1,0))</formula>
    </cfRule>
    <cfRule type="expression" dxfId="2100" priority="656">
      <formula>AND(IF($Q17=3,1,IF($Q17=4,1,0)),IF($F17&lt;=85,1,0))</formula>
    </cfRule>
  </conditionalFormatting>
  <conditionalFormatting sqref="AV18">
    <cfRule type="expression" dxfId="2099" priority="651">
      <formula>AV18="X"</formula>
    </cfRule>
    <cfRule type="expression" dxfId="2098" priority="652">
      <formula>AV18="후보"</formula>
    </cfRule>
  </conditionalFormatting>
  <conditionalFormatting sqref="AC18">
    <cfRule type="cellIs" dxfId="2097" priority="648" operator="greaterThan">
      <formula>0.9</formula>
    </cfRule>
    <cfRule type="cellIs" dxfId="2096" priority="649" operator="greaterThan">
      <formula>0.85</formula>
    </cfRule>
  </conditionalFormatting>
  <conditionalFormatting sqref="N18">
    <cfRule type="cellIs" dxfId="2095" priority="646" operator="greaterThan">
      <formula>0.9</formula>
    </cfRule>
    <cfRule type="cellIs" dxfId="2094" priority="647" operator="greaterThan">
      <formula>0.85</formula>
    </cfRule>
  </conditionalFormatting>
  <conditionalFormatting sqref="E18">
    <cfRule type="expression" dxfId="2093" priority="642">
      <formula>AND(IF(OR($Q18=1,$Q18=2),1,0),IF($X18&lt;=20,1,0))</formula>
    </cfRule>
    <cfRule type="expression" dxfId="2092" priority="643">
      <formula>AND(IF($Q18=2,1,0),IF($X18&lt;30,1,0))</formula>
    </cfRule>
    <cfRule type="expression" dxfId="2091" priority="644">
      <formula>AND(IF($Q18=3,1,0),IF($X18&lt;30,1,0))</formula>
    </cfRule>
    <cfRule type="expression" dxfId="2090" priority="645">
      <formula>AND(IF($Q18=3,1,IF($Q18=4,1,0)),IF($F18&lt;=85,1,0))</formula>
    </cfRule>
  </conditionalFormatting>
  <conditionalFormatting sqref="X18">
    <cfRule type="expression" dxfId="2089" priority="638">
      <formula>AND(IF(OR($Q18=1,$Q18=2),1,0),IF($X18&lt;=20,1,0))</formula>
    </cfRule>
    <cfRule type="expression" dxfId="2088" priority="639">
      <formula>AND(IF($Q18=2,1,0),IF($X18&lt;30,1,0))</formula>
    </cfRule>
    <cfRule type="expression" dxfId="2087" priority="640">
      <formula>AND(IF($Q18=3,1,0),IF($X18&lt;30,1,0))</formula>
    </cfRule>
    <cfRule type="expression" dxfId="2086" priority="641">
      <formula>AND(IF($Q18=3,1,IF($Q18=4,1,0)),IF($F18&lt;=85,1,0))</formula>
    </cfRule>
  </conditionalFormatting>
  <conditionalFormatting sqref="AI18">
    <cfRule type="expression" dxfId="2085" priority="634">
      <formula>AND(IF(OR($Q18=1,$Q18=2),1,0),IF($X18&lt;=20,1,0))</formula>
    </cfRule>
    <cfRule type="expression" dxfId="2084" priority="635">
      <formula>AND(IF($Q18=2,1,0),IF($X18&lt;30,1,0))</formula>
    </cfRule>
    <cfRule type="expression" dxfId="2083" priority="636">
      <formula>AND(IF($Q18=3,1,0),IF($X18&lt;30,1,0))</formula>
    </cfRule>
    <cfRule type="expression" dxfId="2082" priority="637">
      <formula>AND(IF($Q18=3,1,IF($Q18=4,1,0)),IF($F18&lt;=85,1,0))</formula>
    </cfRule>
  </conditionalFormatting>
  <conditionalFormatting sqref="AV19">
    <cfRule type="expression" dxfId="2081" priority="632">
      <formula>AV19="X"</formula>
    </cfRule>
    <cfRule type="expression" dxfId="2080" priority="633">
      <formula>AV19="후보"</formula>
    </cfRule>
  </conditionalFormatting>
  <conditionalFormatting sqref="AC19">
    <cfRule type="cellIs" dxfId="2079" priority="629" operator="greaterThan">
      <formula>0.9</formula>
    </cfRule>
    <cfRule type="cellIs" dxfId="2078" priority="630" operator="greaterThan">
      <formula>0.85</formula>
    </cfRule>
  </conditionalFormatting>
  <conditionalFormatting sqref="N19">
    <cfRule type="cellIs" dxfId="2077" priority="627" operator="greaterThan">
      <formula>0.9</formula>
    </cfRule>
    <cfRule type="cellIs" dxfId="2076" priority="628" operator="greaterThan">
      <formula>0.85</formula>
    </cfRule>
  </conditionalFormatting>
  <conditionalFormatting sqref="E19">
    <cfRule type="expression" dxfId="2075" priority="623">
      <formula>AND(IF(OR($Q19=1,$Q19=2),1,0),IF($X19&lt;=20,1,0))</formula>
    </cfRule>
    <cfRule type="expression" dxfId="2074" priority="624">
      <formula>AND(IF($Q19=2,1,0),IF($X19&lt;30,1,0))</formula>
    </cfRule>
    <cfRule type="expression" dxfId="2073" priority="625">
      <formula>AND(IF($Q19=3,1,0),IF($X19&lt;30,1,0))</formula>
    </cfRule>
    <cfRule type="expression" dxfId="2072" priority="626">
      <formula>AND(IF($Q19=3,1,IF($Q19=4,1,0)),IF($F19&lt;=85,1,0))</formula>
    </cfRule>
  </conditionalFormatting>
  <conditionalFormatting sqref="X19">
    <cfRule type="expression" dxfId="2071" priority="619">
      <formula>AND(IF(OR($Q19=1,$Q19=2),1,0),IF($X19&lt;=20,1,0))</formula>
    </cfRule>
    <cfRule type="expression" dxfId="2070" priority="620">
      <formula>AND(IF($Q19=2,1,0),IF($X19&lt;30,1,0))</formula>
    </cfRule>
    <cfRule type="expression" dxfId="2069" priority="621">
      <formula>AND(IF($Q19=3,1,0),IF($X19&lt;30,1,0))</formula>
    </cfRule>
    <cfRule type="expression" dxfId="2068" priority="622">
      <formula>AND(IF($Q19=3,1,IF($Q19=4,1,0)),IF($F19&lt;=85,1,0))</formula>
    </cfRule>
  </conditionalFormatting>
  <conditionalFormatting sqref="AI19">
    <cfRule type="expression" dxfId="2067" priority="615">
      <formula>AND(IF(OR($Q19=1,$Q19=2),1,0),IF($X19&lt;=20,1,0))</formula>
    </cfRule>
    <cfRule type="expression" dxfId="2066" priority="616">
      <formula>AND(IF($Q19=2,1,0),IF($X19&lt;30,1,0))</formula>
    </cfRule>
    <cfRule type="expression" dxfId="2065" priority="617">
      <formula>AND(IF($Q19=3,1,0),IF($X19&lt;30,1,0))</formula>
    </cfRule>
    <cfRule type="expression" dxfId="2064" priority="618">
      <formula>AND(IF($Q19=3,1,IF($Q19=4,1,0)),IF($F19&lt;=85,1,0))</formula>
    </cfRule>
  </conditionalFormatting>
  <conditionalFormatting sqref="AV20">
    <cfRule type="expression" dxfId="2063" priority="613">
      <formula>AV20="X"</formula>
    </cfRule>
    <cfRule type="expression" dxfId="2062" priority="614">
      <formula>AV20="후보"</formula>
    </cfRule>
  </conditionalFormatting>
  <conditionalFormatting sqref="AC20">
    <cfRule type="cellIs" dxfId="2061" priority="610" operator="greaterThan">
      <formula>0.9</formula>
    </cfRule>
    <cfRule type="cellIs" dxfId="2060" priority="611" operator="greaterThan">
      <formula>0.85</formula>
    </cfRule>
  </conditionalFormatting>
  <conditionalFormatting sqref="N20">
    <cfRule type="cellIs" dxfId="2059" priority="608" operator="greaterThan">
      <formula>0.9</formula>
    </cfRule>
    <cfRule type="cellIs" dxfId="2058" priority="609" operator="greaterThan">
      <formula>0.85</formula>
    </cfRule>
  </conditionalFormatting>
  <conditionalFormatting sqref="E20">
    <cfRule type="expression" dxfId="2057" priority="604">
      <formula>AND(IF(OR($Q20=1,$Q20=2),1,0),IF($X20&lt;=20,1,0))</formula>
    </cfRule>
    <cfRule type="expression" dxfId="2056" priority="605">
      <formula>AND(IF($Q20=2,1,0),IF($X20&lt;30,1,0))</formula>
    </cfRule>
    <cfRule type="expression" dxfId="2055" priority="606">
      <formula>AND(IF($Q20=3,1,0),IF($X20&lt;30,1,0))</formula>
    </cfRule>
    <cfRule type="expression" dxfId="2054" priority="607">
      <formula>AND(IF($Q20=3,1,IF($Q20=4,1,0)),IF($F20&lt;=85,1,0))</formula>
    </cfRule>
  </conditionalFormatting>
  <conditionalFormatting sqref="X20">
    <cfRule type="expression" dxfId="2053" priority="600">
      <formula>AND(IF(OR($Q20=1,$Q20=2),1,0),IF($X20&lt;=20,1,0))</formula>
    </cfRule>
    <cfRule type="expression" dxfId="2052" priority="601">
      <formula>AND(IF($Q20=2,1,0),IF($X20&lt;30,1,0))</formula>
    </cfRule>
    <cfRule type="expression" dxfId="2051" priority="602">
      <formula>AND(IF($Q20=3,1,0),IF($X20&lt;30,1,0))</formula>
    </cfRule>
    <cfRule type="expression" dxfId="2050" priority="603">
      <formula>AND(IF($Q20=3,1,IF($Q20=4,1,0)),IF($F20&lt;=85,1,0))</formula>
    </cfRule>
  </conditionalFormatting>
  <conditionalFormatting sqref="AI20">
    <cfRule type="expression" dxfId="2049" priority="596">
      <formula>AND(IF(OR($Q20=1,$Q20=2),1,0),IF($X20&lt;=20,1,0))</formula>
    </cfRule>
    <cfRule type="expression" dxfId="2048" priority="597">
      <formula>AND(IF($Q20=2,1,0),IF($X20&lt;30,1,0))</formula>
    </cfRule>
    <cfRule type="expression" dxfId="2047" priority="598">
      <formula>AND(IF($Q20=3,1,0),IF($X20&lt;30,1,0))</formula>
    </cfRule>
    <cfRule type="expression" dxfId="2046" priority="599">
      <formula>AND(IF($Q20=3,1,IF($Q20=4,1,0)),IF($F20&lt;=85,1,0))</formula>
    </cfRule>
  </conditionalFormatting>
  <conditionalFormatting sqref="AV21">
    <cfRule type="expression" dxfId="2045" priority="594">
      <formula>AV21="X"</formula>
    </cfRule>
    <cfRule type="expression" dxfId="2044" priority="595">
      <formula>AV21="후보"</formula>
    </cfRule>
  </conditionalFormatting>
  <conditionalFormatting sqref="AC21">
    <cfRule type="cellIs" dxfId="2043" priority="591" operator="greaterThan">
      <formula>0.9</formula>
    </cfRule>
    <cfRule type="cellIs" dxfId="2042" priority="592" operator="greaterThan">
      <formula>0.85</formula>
    </cfRule>
  </conditionalFormatting>
  <conditionalFormatting sqref="N21">
    <cfRule type="cellIs" dxfId="2041" priority="589" operator="greaterThan">
      <formula>0.9</formula>
    </cfRule>
    <cfRule type="cellIs" dxfId="2040" priority="590" operator="greaterThan">
      <formula>0.85</formula>
    </cfRule>
  </conditionalFormatting>
  <conditionalFormatting sqref="E21">
    <cfRule type="expression" dxfId="2039" priority="585">
      <formula>AND(IF(OR($Q21=1,$Q21=2),1,0),IF($X21&lt;=20,1,0))</formula>
    </cfRule>
    <cfRule type="expression" dxfId="2038" priority="586">
      <formula>AND(IF($Q21=2,1,0),IF($X21&lt;30,1,0))</formula>
    </cfRule>
    <cfRule type="expression" dxfId="2037" priority="587">
      <formula>AND(IF($Q21=3,1,0),IF($X21&lt;30,1,0))</formula>
    </cfRule>
    <cfRule type="expression" dxfId="2036" priority="588">
      <formula>AND(IF($Q21=3,1,IF($Q21=4,1,0)),IF($F21&lt;=85,1,0))</formula>
    </cfRule>
  </conditionalFormatting>
  <conditionalFormatting sqref="X21">
    <cfRule type="expression" dxfId="2035" priority="581">
      <formula>AND(IF(OR($Q21=1,$Q21=2),1,0),IF($X21&lt;=20,1,0))</formula>
    </cfRule>
    <cfRule type="expression" dxfId="2034" priority="582">
      <formula>AND(IF($Q21=2,1,0),IF($X21&lt;30,1,0))</formula>
    </cfRule>
    <cfRule type="expression" dxfId="2033" priority="583">
      <formula>AND(IF($Q21=3,1,0),IF($X21&lt;30,1,0))</formula>
    </cfRule>
    <cfRule type="expression" dxfId="2032" priority="584">
      <formula>AND(IF($Q21=3,1,IF($Q21=4,1,0)),IF($F21&lt;=85,1,0))</formula>
    </cfRule>
  </conditionalFormatting>
  <conditionalFormatting sqref="AI21">
    <cfRule type="expression" dxfId="2031" priority="577">
      <formula>AND(IF(OR($Q21=1,$Q21=2),1,0),IF($X21&lt;=20,1,0))</formula>
    </cfRule>
    <cfRule type="expression" dxfId="2030" priority="578">
      <formula>AND(IF($Q21=2,1,0),IF($X21&lt;30,1,0))</formula>
    </cfRule>
    <cfRule type="expression" dxfId="2029" priority="579">
      <formula>AND(IF($Q21=3,1,0),IF($X21&lt;30,1,0))</formula>
    </cfRule>
    <cfRule type="expression" dxfId="2028" priority="580">
      <formula>AND(IF($Q21=3,1,IF($Q21=4,1,0)),IF($F21&lt;=85,1,0))</formula>
    </cfRule>
  </conditionalFormatting>
  <conditionalFormatting sqref="AV22">
    <cfRule type="expression" dxfId="2027" priority="575">
      <formula>AV22="X"</formula>
    </cfRule>
    <cfRule type="expression" dxfId="2026" priority="576">
      <formula>AV22="후보"</formula>
    </cfRule>
  </conditionalFormatting>
  <conditionalFormatting sqref="AC22">
    <cfRule type="cellIs" dxfId="2025" priority="572" operator="greaterThan">
      <formula>0.9</formula>
    </cfRule>
    <cfRule type="cellIs" dxfId="2024" priority="573" operator="greaterThan">
      <formula>0.85</formula>
    </cfRule>
  </conditionalFormatting>
  <conditionalFormatting sqref="N22">
    <cfRule type="cellIs" dxfId="2023" priority="570" operator="greaterThan">
      <formula>0.9</formula>
    </cfRule>
    <cfRule type="cellIs" dxfId="2022" priority="571" operator="greaterThan">
      <formula>0.85</formula>
    </cfRule>
  </conditionalFormatting>
  <conditionalFormatting sqref="E22">
    <cfRule type="expression" dxfId="2021" priority="566">
      <formula>AND(IF(OR($Q22=1,$Q22=2),1,0),IF($X22&lt;=20,1,0))</formula>
    </cfRule>
    <cfRule type="expression" dxfId="2020" priority="567">
      <formula>AND(IF($Q22=2,1,0),IF($X22&lt;30,1,0))</formula>
    </cfRule>
    <cfRule type="expression" dxfId="2019" priority="568">
      <formula>AND(IF($Q22=3,1,0),IF($X22&lt;30,1,0))</formula>
    </cfRule>
    <cfRule type="expression" dxfId="2018" priority="569">
      <formula>AND(IF($Q22=3,1,IF($Q22=4,1,0)),IF($F22&lt;=85,1,0))</formula>
    </cfRule>
  </conditionalFormatting>
  <conditionalFormatting sqref="X22">
    <cfRule type="expression" dxfId="2017" priority="562">
      <formula>AND(IF(OR($Q22=1,$Q22=2),1,0),IF($X22&lt;=20,1,0))</formula>
    </cfRule>
    <cfRule type="expression" dxfId="2016" priority="563">
      <formula>AND(IF($Q22=2,1,0),IF($X22&lt;30,1,0))</formula>
    </cfRule>
    <cfRule type="expression" dxfId="2015" priority="564">
      <formula>AND(IF($Q22=3,1,0),IF($X22&lt;30,1,0))</formula>
    </cfRule>
    <cfRule type="expression" dxfId="2014" priority="565">
      <formula>AND(IF($Q22=3,1,IF($Q22=4,1,0)),IF($F22&lt;=85,1,0))</formula>
    </cfRule>
  </conditionalFormatting>
  <conditionalFormatting sqref="AI22">
    <cfRule type="expression" dxfId="2013" priority="558">
      <formula>AND(IF(OR($Q22=1,$Q22=2),1,0),IF($X22&lt;=20,1,0))</formula>
    </cfRule>
    <cfRule type="expression" dxfId="2012" priority="559">
      <formula>AND(IF($Q22=2,1,0),IF($X22&lt;30,1,0))</formula>
    </cfRule>
    <cfRule type="expression" dxfId="2011" priority="560">
      <formula>AND(IF($Q22=3,1,0),IF($X22&lt;30,1,0))</formula>
    </cfRule>
    <cfRule type="expression" dxfId="2010" priority="561">
      <formula>AND(IF($Q22=3,1,IF($Q22=4,1,0)),IF($F22&lt;=85,1,0))</formula>
    </cfRule>
  </conditionalFormatting>
  <conditionalFormatting sqref="AV23">
    <cfRule type="expression" dxfId="2009" priority="556">
      <formula>AV23="X"</formula>
    </cfRule>
    <cfRule type="expression" dxfId="2008" priority="557">
      <formula>AV23="후보"</formula>
    </cfRule>
  </conditionalFormatting>
  <conditionalFormatting sqref="AC23">
    <cfRule type="cellIs" dxfId="2007" priority="553" operator="greaterThan">
      <formula>0.9</formula>
    </cfRule>
    <cfRule type="cellIs" dxfId="2006" priority="554" operator="greaterThan">
      <formula>0.85</formula>
    </cfRule>
  </conditionalFormatting>
  <conditionalFormatting sqref="N23">
    <cfRule type="cellIs" dxfId="2005" priority="551" operator="greaterThan">
      <formula>0.9</formula>
    </cfRule>
    <cfRule type="cellIs" dxfId="2004" priority="552" operator="greaterThan">
      <formula>0.85</formula>
    </cfRule>
  </conditionalFormatting>
  <conditionalFormatting sqref="E23">
    <cfRule type="expression" dxfId="2003" priority="547">
      <formula>AND(IF(OR($Q23=1,$Q23=2),1,0),IF($X23&lt;=20,1,0))</formula>
    </cfRule>
    <cfRule type="expression" dxfId="2002" priority="548">
      <formula>AND(IF($Q23=2,1,0),IF($X23&lt;30,1,0))</formula>
    </cfRule>
    <cfRule type="expression" dxfId="2001" priority="549">
      <formula>AND(IF($Q23=3,1,0),IF($X23&lt;30,1,0))</formula>
    </cfRule>
    <cfRule type="expression" dxfId="2000" priority="550">
      <formula>AND(IF($Q23=3,1,IF($Q23=4,1,0)),IF($F23&lt;=85,1,0))</formula>
    </cfRule>
  </conditionalFormatting>
  <conditionalFormatting sqref="X23">
    <cfRule type="expression" dxfId="1999" priority="543">
      <formula>AND(IF(OR($Q23=1,$Q23=2),1,0),IF($X23&lt;=20,1,0))</formula>
    </cfRule>
    <cfRule type="expression" dxfId="1998" priority="544">
      <formula>AND(IF($Q23=2,1,0),IF($X23&lt;30,1,0))</formula>
    </cfRule>
    <cfRule type="expression" dxfId="1997" priority="545">
      <formula>AND(IF($Q23=3,1,0),IF($X23&lt;30,1,0))</formula>
    </cfRule>
    <cfRule type="expression" dxfId="1996" priority="546">
      <formula>AND(IF($Q23=3,1,IF($Q23=4,1,0)),IF($F23&lt;=85,1,0))</formula>
    </cfRule>
  </conditionalFormatting>
  <conditionalFormatting sqref="AI23">
    <cfRule type="expression" dxfId="1995" priority="539">
      <formula>AND(IF(OR($Q23=1,$Q23=2),1,0),IF($X23&lt;=20,1,0))</formula>
    </cfRule>
    <cfRule type="expression" dxfId="1994" priority="540">
      <formula>AND(IF($Q23=2,1,0),IF($X23&lt;30,1,0))</formula>
    </cfRule>
    <cfRule type="expression" dxfId="1993" priority="541">
      <formula>AND(IF($Q23=3,1,0),IF($X23&lt;30,1,0))</formula>
    </cfRule>
    <cfRule type="expression" dxfId="1992" priority="542">
      <formula>AND(IF($Q23=3,1,IF($Q23=4,1,0)),IF($F23&lt;=85,1,0))</formula>
    </cfRule>
  </conditionalFormatting>
  <conditionalFormatting sqref="AV24">
    <cfRule type="expression" dxfId="1991" priority="537">
      <formula>AV24="X"</formula>
    </cfRule>
    <cfRule type="expression" dxfId="1990" priority="538">
      <formula>AV24="후보"</formula>
    </cfRule>
  </conditionalFormatting>
  <conditionalFormatting sqref="AC24">
    <cfRule type="cellIs" dxfId="1989" priority="534" operator="greaterThan">
      <formula>0.9</formula>
    </cfRule>
    <cfRule type="cellIs" dxfId="1988" priority="535" operator="greaterThan">
      <formula>0.85</formula>
    </cfRule>
  </conditionalFormatting>
  <conditionalFormatting sqref="N24">
    <cfRule type="cellIs" dxfId="1987" priority="532" operator="greaterThan">
      <formula>0.9</formula>
    </cfRule>
    <cfRule type="cellIs" dxfId="1986" priority="533" operator="greaterThan">
      <formula>0.85</formula>
    </cfRule>
  </conditionalFormatting>
  <conditionalFormatting sqref="E24">
    <cfRule type="expression" dxfId="1985" priority="528">
      <formula>AND(IF(OR($Q24=1,$Q24=2),1,0),IF($X24&lt;=20,1,0))</formula>
    </cfRule>
    <cfRule type="expression" dxfId="1984" priority="529">
      <formula>AND(IF($Q24=2,1,0),IF($X24&lt;30,1,0))</formula>
    </cfRule>
    <cfRule type="expression" dxfId="1983" priority="530">
      <formula>AND(IF($Q24=3,1,0),IF($X24&lt;30,1,0))</formula>
    </cfRule>
    <cfRule type="expression" dxfId="1982" priority="531">
      <formula>AND(IF($Q24=3,1,IF($Q24=4,1,0)),IF($F24&lt;=85,1,0))</formula>
    </cfRule>
  </conditionalFormatting>
  <conditionalFormatting sqref="X24">
    <cfRule type="expression" dxfId="1981" priority="524">
      <formula>AND(IF(OR($Q24=1,$Q24=2),1,0),IF($X24&lt;=20,1,0))</formula>
    </cfRule>
    <cfRule type="expression" dxfId="1980" priority="525">
      <formula>AND(IF($Q24=2,1,0),IF($X24&lt;30,1,0))</formula>
    </cfRule>
    <cfRule type="expression" dxfId="1979" priority="526">
      <formula>AND(IF($Q24=3,1,0),IF($X24&lt;30,1,0))</formula>
    </cfRule>
    <cfRule type="expression" dxfId="1978" priority="527">
      <formula>AND(IF($Q24=3,1,IF($Q24=4,1,0)),IF($F24&lt;=85,1,0))</formula>
    </cfRule>
  </conditionalFormatting>
  <conditionalFormatting sqref="AI24">
    <cfRule type="expression" dxfId="1977" priority="520">
      <formula>AND(IF(OR($Q24=1,$Q24=2),1,0),IF($X24&lt;=20,1,0))</formula>
    </cfRule>
    <cfRule type="expression" dxfId="1976" priority="521">
      <formula>AND(IF($Q24=2,1,0),IF($X24&lt;30,1,0))</formula>
    </cfRule>
    <cfRule type="expression" dxfId="1975" priority="522">
      <formula>AND(IF($Q24=3,1,0),IF($X24&lt;30,1,0))</formula>
    </cfRule>
    <cfRule type="expression" dxfId="1974" priority="523">
      <formula>AND(IF($Q24=3,1,IF($Q24=4,1,0)),IF($F24&lt;=85,1,0))</formula>
    </cfRule>
  </conditionalFormatting>
  <conditionalFormatting sqref="AV25">
    <cfRule type="expression" dxfId="1973" priority="518">
      <formula>AV25="X"</formula>
    </cfRule>
    <cfRule type="expression" dxfId="1972" priority="519">
      <formula>AV25="후보"</formula>
    </cfRule>
  </conditionalFormatting>
  <conditionalFormatting sqref="AC25 N25">
    <cfRule type="cellIs" dxfId="1971" priority="515" operator="greaterThan">
      <formula>0.9</formula>
    </cfRule>
    <cfRule type="cellIs" dxfId="1970" priority="516" operator="greaterThan">
      <formula>0.85</formula>
    </cfRule>
  </conditionalFormatting>
  <conditionalFormatting sqref="AV26">
    <cfRule type="expression" dxfId="1969" priority="513">
      <formula>AV26="X"</formula>
    </cfRule>
    <cfRule type="expression" dxfId="1968" priority="514">
      <formula>AV26="후보"</formula>
    </cfRule>
  </conditionalFormatting>
  <conditionalFormatting sqref="AC26">
    <cfRule type="cellIs" dxfId="1967" priority="510" operator="greaterThan">
      <formula>0.9</formula>
    </cfRule>
    <cfRule type="cellIs" dxfId="1966" priority="511" operator="greaterThan">
      <formula>0.85</formula>
    </cfRule>
  </conditionalFormatting>
  <conditionalFormatting sqref="N26">
    <cfRule type="cellIs" dxfId="1965" priority="508" operator="greaterThan">
      <formula>0.9</formula>
    </cfRule>
    <cfRule type="cellIs" dxfId="1964" priority="509" operator="greaterThan">
      <formula>0.85</formula>
    </cfRule>
  </conditionalFormatting>
  <conditionalFormatting sqref="E26">
    <cfRule type="expression" dxfId="1963" priority="504">
      <formula>AND(IF(OR($Q26=1,$Q26=2),1,0),IF($X26&lt;=20,1,0))</formula>
    </cfRule>
    <cfRule type="expression" dxfId="1962" priority="505">
      <formula>AND(IF($Q26=2,1,0),IF($X26&lt;30,1,0))</formula>
    </cfRule>
    <cfRule type="expression" dxfId="1961" priority="506">
      <formula>AND(IF($Q26=3,1,0),IF($X26&lt;30,1,0))</formula>
    </cfRule>
    <cfRule type="expression" dxfId="1960" priority="507">
      <formula>AND(IF($Q26=3,1,IF($Q26=4,1,0)),IF($F26&lt;=85,1,0))</formula>
    </cfRule>
  </conditionalFormatting>
  <conditionalFormatting sqref="X26">
    <cfRule type="expression" dxfId="1959" priority="500">
      <formula>AND(IF(OR($Q26=1,$Q26=2),1,0),IF($X26&lt;=20,1,0))</formula>
    </cfRule>
    <cfRule type="expression" dxfId="1958" priority="501">
      <formula>AND(IF($Q26=2,1,0),IF($X26&lt;30,1,0))</formula>
    </cfRule>
    <cfRule type="expression" dxfId="1957" priority="502">
      <formula>AND(IF($Q26=3,1,0),IF($X26&lt;30,1,0))</formula>
    </cfRule>
    <cfRule type="expression" dxfId="1956" priority="503">
      <formula>AND(IF($Q26=3,1,IF($Q26=4,1,0)),IF($F26&lt;=85,1,0))</formula>
    </cfRule>
  </conditionalFormatting>
  <conditionalFormatting sqref="AI26">
    <cfRule type="expression" dxfId="1955" priority="496">
      <formula>AND(IF(OR($Q26=1,$Q26=2),1,0),IF($X26&lt;=20,1,0))</formula>
    </cfRule>
    <cfRule type="expression" dxfId="1954" priority="497">
      <formula>AND(IF($Q26=2,1,0),IF($X26&lt;30,1,0))</formula>
    </cfRule>
    <cfRule type="expression" dxfId="1953" priority="498">
      <formula>AND(IF($Q26=3,1,0),IF($X26&lt;30,1,0))</formula>
    </cfRule>
    <cfRule type="expression" dxfId="1952" priority="499">
      <formula>AND(IF($Q26=3,1,IF($Q26=4,1,0)),IF($F26&lt;=85,1,0))</formula>
    </cfRule>
  </conditionalFormatting>
  <conditionalFormatting sqref="AV27">
    <cfRule type="expression" dxfId="1951" priority="494">
      <formula>AV27="X"</formula>
    </cfRule>
    <cfRule type="expression" dxfId="1950" priority="495">
      <formula>AV27="후보"</formula>
    </cfRule>
  </conditionalFormatting>
  <conditionalFormatting sqref="AC27 N27">
    <cfRule type="cellIs" dxfId="1949" priority="491" operator="greaterThan">
      <formula>0.9</formula>
    </cfRule>
    <cfRule type="cellIs" dxfId="1948" priority="492" operator="greaterThan">
      <formula>0.85</formula>
    </cfRule>
  </conditionalFormatting>
  <conditionalFormatting sqref="AV28">
    <cfRule type="expression" dxfId="1947" priority="489">
      <formula>AV28="X"</formula>
    </cfRule>
    <cfRule type="expression" dxfId="1946" priority="490">
      <formula>AV28="후보"</formula>
    </cfRule>
  </conditionalFormatting>
  <conditionalFormatting sqref="AC28">
    <cfRule type="cellIs" dxfId="1945" priority="486" operator="greaterThan">
      <formula>0.9</formula>
    </cfRule>
    <cfRule type="cellIs" dxfId="1944" priority="487" operator="greaterThan">
      <formula>0.85</formula>
    </cfRule>
  </conditionalFormatting>
  <conditionalFormatting sqref="N28">
    <cfRule type="cellIs" dxfId="1943" priority="484" operator="greaterThan">
      <formula>0.9</formula>
    </cfRule>
    <cfRule type="cellIs" dxfId="1942" priority="485" operator="greaterThan">
      <formula>0.85</formula>
    </cfRule>
  </conditionalFormatting>
  <conditionalFormatting sqref="E28">
    <cfRule type="expression" dxfId="1941" priority="480">
      <formula>AND(IF(OR($Q28=1,$Q28=2),1,0),IF($X28&lt;=20,1,0))</formula>
    </cfRule>
    <cfRule type="expression" dxfId="1940" priority="481">
      <formula>AND(IF($Q28=2,1,0),IF($X28&lt;30,1,0))</formula>
    </cfRule>
    <cfRule type="expression" dxfId="1939" priority="482">
      <formula>AND(IF($Q28=3,1,0),IF($X28&lt;30,1,0))</formula>
    </cfRule>
    <cfRule type="expression" dxfId="1938" priority="483">
      <formula>AND(IF($Q28=3,1,IF($Q28=4,1,0)),IF($F28&lt;=85,1,0))</formula>
    </cfRule>
  </conditionalFormatting>
  <conditionalFormatting sqref="X28">
    <cfRule type="expression" dxfId="1937" priority="476">
      <formula>AND(IF(OR($Q28=1,$Q28=2),1,0),IF($X28&lt;=20,1,0))</formula>
    </cfRule>
    <cfRule type="expression" dxfId="1936" priority="477">
      <formula>AND(IF($Q28=2,1,0),IF($X28&lt;30,1,0))</formula>
    </cfRule>
    <cfRule type="expression" dxfId="1935" priority="478">
      <formula>AND(IF($Q28=3,1,0),IF($X28&lt;30,1,0))</formula>
    </cfRule>
    <cfRule type="expression" dxfId="1934" priority="479">
      <formula>AND(IF($Q28=3,1,IF($Q28=4,1,0)),IF($F28&lt;=85,1,0))</formula>
    </cfRule>
  </conditionalFormatting>
  <conditionalFormatting sqref="AI28">
    <cfRule type="expression" dxfId="1933" priority="472">
      <formula>AND(IF(OR($Q28=1,$Q28=2),1,0),IF($X28&lt;=20,1,0))</formula>
    </cfRule>
    <cfRule type="expression" dxfId="1932" priority="473">
      <formula>AND(IF($Q28=2,1,0),IF($X28&lt;30,1,0))</formula>
    </cfRule>
    <cfRule type="expression" dxfId="1931" priority="474">
      <formula>AND(IF($Q28=3,1,0),IF($X28&lt;30,1,0))</formula>
    </cfRule>
    <cfRule type="expression" dxfId="1930" priority="475">
      <formula>AND(IF($Q28=3,1,IF($Q28=4,1,0)),IF($F28&lt;=85,1,0))</formula>
    </cfRule>
  </conditionalFormatting>
  <conditionalFormatting sqref="AV29">
    <cfRule type="expression" dxfId="1929" priority="470">
      <formula>AV29="X"</formula>
    </cfRule>
    <cfRule type="expression" dxfId="1928" priority="471">
      <formula>AV29="후보"</formula>
    </cfRule>
  </conditionalFormatting>
  <conditionalFormatting sqref="AC29">
    <cfRule type="cellIs" dxfId="1927" priority="467" operator="greaterThan">
      <formula>0.9</formula>
    </cfRule>
    <cfRule type="cellIs" dxfId="1926" priority="468" operator="greaterThan">
      <formula>0.85</formula>
    </cfRule>
  </conditionalFormatting>
  <conditionalFormatting sqref="N29">
    <cfRule type="cellIs" dxfId="1925" priority="465" operator="greaterThan">
      <formula>0.9</formula>
    </cfRule>
    <cfRule type="cellIs" dxfId="1924" priority="466" operator="greaterThan">
      <formula>0.85</formula>
    </cfRule>
  </conditionalFormatting>
  <conditionalFormatting sqref="E29">
    <cfRule type="expression" dxfId="1923" priority="461">
      <formula>AND(IF(OR($Q29=1,$Q29=2),1,0),IF($X29&lt;=20,1,0))</formula>
    </cfRule>
    <cfRule type="expression" dxfId="1922" priority="462">
      <formula>AND(IF($Q29=2,1,0),IF($X29&lt;30,1,0))</formula>
    </cfRule>
    <cfRule type="expression" dxfId="1921" priority="463">
      <formula>AND(IF($Q29=3,1,0),IF($X29&lt;30,1,0))</formula>
    </cfRule>
    <cfRule type="expression" dxfId="1920" priority="464">
      <formula>AND(IF($Q29=3,1,IF($Q29=4,1,0)),IF($F29&lt;=85,1,0))</formula>
    </cfRule>
  </conditionalFormatting>
  <conditionalFormatting sqref="X29">
    <cfRule type="expression" dxfId="1919" priority="457">
      <formula>AND(IF(OR($Q29=1,$Q29=2),1,0),IF($X29&lt;=20,1,0))</formula>
    </cfRule>
    <cfRule type="expression" dxfId="1918" priority="458">
      <formula>AND(IF($Q29=2,1,0),IF($X29&lt;30,1,0))</formula>
    </cfRule>
    <cfRule type="expression" dxfId="1917" priority="459">
      <formula>AND(IF($Q29=3,1,0),IF($X29&lt;30,1,0))</formula>
    </cfRule>
    <cfRule type="expression" dxfId="1916" priority="460">
      <formula>AND(IF($Q29=3,1,IF($Q29=4,1,0)),IF($F29&lt;=85,1,0))</formula>
    </cfRule>
  </conditionalFormatting>
  <conditionalFormatting sqref="AI29">
    <cfRule type="expression" dxfId="1915" priority="453">
      <formula>AND(IF(OR($Q29=1,$Q29=2),1,0),IF($X29&lt;=20,1,0))</formula>
    </cfRule>
    <cfRule type="expression" dxfId="1914" priority="454">
      <formula>AND(IF($Q29=2,1,0),IF($X29&lt;30,1,0))</formula>
    </cfRule>
    <cfRule type="expression" dxfId="1913" priority="455">
      <formula>AND(IF($Q29=3,1,0),IF($X29&lt;30,1,0))</formula>
    </cfRule>
    <cfRule type="expression" dxfId="1912" priority="456">
      <formula>AND(IF($Q29=3,1,IF($Q29=4,1,0)),IF($F29&lt;=85,1,0))</formula>
    </cfRule>
  </conditionalFormatting>
  <conditionalFormatting sqref="AV30">
    <cfRule type="expression" dxfId="1911" priority="451">
      <formula>AV30="X"</formula>
    </cfRule>
    <cfRule type="expression" dxfId="1910" priority="452">
      <formula>AV30="후보"</formula>
    </cfRule>
  </conditionalFormatting>
  <conditionalFormatting sqref="AC30">
    <cfRule type="cellIs" dxfId="1909" priority="448" operator="greaterThan">
      <formula>0.9</formula>
    </cfRule>
    <cfRule type="cellIs" dxfId="1908" priority="449" operator="greaterThan">
      <formula>0.85</formula>
    </cfRule>
  </conditionalFormatting>
  <conditionalFormatting sqref="N30">
    <cfRule type="cellIs" dxfId="1907" priority="446" operator="greaterThan">
      <formula>0.9</formula>
    </cfRule>
    <cfRule type="cellIs" dxfId="1906" priority="447" operator="greaterThan">
      <formula>0.85</formula>
    </cfRule>
  </conditionalFormatting>
  <conditionalFormatting sqref="E30">
    <cfRule type="expression" dxfId="1905" priority="442">
      <formula>AND(IF(OR($Q30=1,$Q30=2),1,0),IF($X30&lt;=20,1,0))</formula>
    </cfRule>
    <cfRule type="expression" dxfId="1904" priority="443">
      <formula>AND(IF($Q30=2,1,0),IF($X30&lt;30,1,0))</formula>
    </cfRule>
    <cfRule type="expression" dxfId="1903" priority="444">
      <formula>AND(IF($Q30=3,1,0),IF($X30&lt;30,1,0))</formula>
    </cfRule>
    <cfRule type="expression" dxfId="1902" priority="445">
      <formula>AND(IF($Q30=3,1,IF($Q30=4,1,0)),IF($F30&lt;=85,1,0))</formula>
    </cfRule>
  </conditionalFormatting>
  <conditionalFormatting sqref="X30">
    <cfRule type="expression" dxfId="1901" priority="438">
      <formula>AND(IF(OR($Q30=1,$Q30=2),1,0),IF($X30&lt;=20,1,0))</formula>
    </cfRule>
    <cfRule type="expression" dxfId="1900" priority="439">
      <formula>AND(IF($Q30=2,1,0),IF($X30&lt;30,1,0))</formula>
    </cfRule>
    <cfRule type="expression" dxfId="1899" priority="440">
      <formula>AND(IF($Q30=3,1,0),IF($X30&lt;30,1,0))</formula>
    </cfRule>
    <cfRule type="expression" dxfId="1898" priority="441">
      <formula>AND(IF($Q30=3,1,IF($Q30=4,1,0)),IF($F30&lt;=85,1,0))</formula>
    </cfRule>
  </conditionalFormatting>
  <conditionalFormatting sqref="AI30">
    <cfRule type="expression" dxfId="1897" priority="434">
      <formula>AND(IF(OR($Q30=1,$Q30=2),1,0),IF($X30&lt;=20,1,0))</formula>
    </cfRule>
    <cfRule type="expression" dxfId="1896" priority="435">
      <formula>AND(IF($Q30=2,1,0),IF($X30&lt;30,1,0))</formula>
    </cfRule>
    <cfRule type="expression" dxfId="1895" priority="436">
      <formula>AND(IF($Q30=3,1,0),IF($X30&lt;30,1,0))</formula>
    </cfRule>
    <cfRule type="expression" dxfId="1894" priority="437">
      <formula>AND(IF($Q30=3,1,IF($Q30=4,1,0)),IF($F30&lt;=85,1,0))</formula>
    </cfRule>
  </conditionalFormatting>
  <conditionalFormatting sqref="AV31">
    <cfRule type="expression" dxfId="1893" priority="432">
      <formula>AV31="X"</formula>
    </cfRule>
    <cfRule type="expression" dxfId="1892" priority="433">
      <formula>AV31="후보"</formula>
    </cfRule>
  </conditionalFormatting>
  <conditionalFormatting sqref="AC31">
    <cfRule type="cellIs" dxfId="1891" priority="429" operator="greaterThan">
      <formula>0.9</formula>
    </cfRule>
    <cfRule type="cellIs" dxfId="1890" priority="430" operator="greaterThan">
      <formula>0.85</formula>
    </cfRule>
  </conditionalFormatting>
  <conditionalFormatting sqref="N31">
    <cfRule type="cellIs" dxfId="1889" priority="427" operator="greaterThan">
      <formula>0.9</formula>
    </cfRule>
    <cfRule type="cellIs" dxfId="1888" priority="428" operator="greaterThan">
      <formula>0.85</formula>
    </cfRule>
  </conditionalFormatting>
  <conditionalFormatting sqref="E31">
    <cfRule type="expression" dxfId="1887" priority="423">
      <formula>AND(IF(OR($Q31=1,$Q31=2),1,0),IF($X31&lt;=20,1,0))</formula>
    </cfRule>
    <cfRule type="expression" dxfId="1886" priority="424">
      <formula>AND(IF($Q31=2,1,0),IF($X31&lt;30,1,0))</formula>
    </cfRule>
    <cfRule type="expression" dxfId="1885" priority="425">
      <formula>AND(IF($Q31=3,1,0),IF($X31&lt;30,1,0))</formula>
    </cfRule>
    <cfRule type="expression" dxfId="1884" priority="426">
      <formula>AND(IF($Q31=3,1,IF($Q31=4,1,0)),IF($F31&lt;=85,1,0))</formula>
    </cfRule>
  </conditionalFormatting>
  <conditionalFormatting sqref="X31">
    <cfRule type="expression" dxfId="1883" priority="419">
      <formula>AND(IF(OR($Q31=1,$Q31=2),1,0),IF($X31&lt;=20,1,0))</formula>
    </cfRule>
    <cfRule type="expression" dxfId="1882" priority="420">
      <formula>AND(IF($Q31=2,1,0),IF($X31&lt;30,1,0))</formula>
    </cfRule>
    <cfRule type="expression" dxfId="1881" priority="421">
      <formula>AND(IF($Q31=3,1,0),IF($X31&lt;30,1,0))</formula>
    </cfRule>
    <cfRule type="expression" dxfId="1880" priority="422">
      <formula>AND(IF($Q31=3,1,IF($Q31=4,1,0)),IF($F31&lt;=85,1,0))</formula>
    </cfRule>
  </conditionalFormatting>
  <conditionalFormatting sqref="AI31">
    <cfRule type="expression" dxfId="1879" priority="415">
      <formula>AND(IF(OR($Q31=1,$Q31=2),1,0),IF($X31&lt;=20,1,0))</formula>
    </cfRule>
    <cfRule type="expression" dxfId="1878" priority="416">
      <formula>AND(IF($Q31=2,1,0),IF($X31&lt;30,1,0))</formula>
    </cfRule>
    <cfRule type="expression" dxfId="1877" priority="417">
      <formula>AND(IF($Q31=3,1,0),IF($X31&lt;30,1,0))</formula>
    </cfRule>
    <cfRule type="expression" dxfId="1876" priority="418">
      <formula>AND(IF($Q31=3,1,IF($Q31=4,1,0)),IF($F31&lt;=85,1,0))</formula>
    </cfRule>
  </conditionalFormatting>
  <conditionalFormatting sqref="AV32">
    <cfRule type="expression" dxfId="1875" priority="413">
      <formula>AV32="X"</formula>
    </cfRule>
    <cfRule type="expression" dxfId="1874" priority="414">
      <formula>AV32="후보"</formula>
    </cfRule>
  </conditionalFormatting>
  <conditionalFormatting sqref="AC32">
    <cfRule type="cellIs" dxfId="1873" priority="410" operator="greaterThan">
      <formula>0.9</formula>
    </cfRule>
    <cfRule type="cellIs" dxfId="1872" priority="411" operator="greaterThan">
      <formula>0.85</formula>
    </cfRule>
  </conditionalFormatting>
  <conditionalFormatting sqref="N32">
    <cfRule type="cellIs" dxfId="1871" priority="408" operator="greaterThan">
      <formula>0.9</formula>
    </cfRule>
    <cfRule type="cellIs" dxfId="1870" priority="409" operator="greaterThan">
      <formula>0.85</formula>
    </cfRule>
  </conditionalFormatting>
  <conditionalFormatting sqref="E32">
    <cfRule type="expression" dxfId="1869" priority="404">
      <formula>AND(IF(OR($Q32=1,$Q32=2),1,0),IF($X32&lt;=20,1,0))</formula>
    </cfRule>
    <cfRule type="expression" dxfId="1868" priority="405">
      <formula>AND(IF($Q32=2,1,0),IF($X32&lt;30,1,0))</formula>
    </cfRule>
    <cfRule type="expression" dxfId="1867" priority="406">
      <formula>AND(IF($Q32=3,1,0),IF($X32&lt;30,1,0))</formula>
    </cfRule>
    <cfRule type="expression" dxfId="1866" priority="407">
      <formula>AND(IF($Q32=3,1,IF($Q32=4,1,0)),IF($F32&lt;=85,1,0))</formula>
    </cfRule>
  </conditionalFormatting>
  <conditionalFormatting sqref="X32">
    <cfRule type="expression" dxfId="1865" priority="400">
      <formula>AND(IF(OR($Q32=1,$Q32=2),1,0),IF($X32&lt;=20,1,0))</formula>
    </cfRule>
    <cfRule type="expression" dxfId="1864" priority="401">
      <formula>AND(IF($Q32=2,1,0),IF($X32&lt;30,1,0))</formula>
    </cfRule>
    <cfRule type="expression" dxfId="1863" priority="402">
      <formula>AND(IF($Q32=3,1,0),IF($X32&lt;30,1,0))</formula>
    </cfRule>
    <cfRule type="expression" dxfId="1862" priority="403">
      <formula>AND(IF($Q32=3,1,IF($Q32=4,1,0)),IF($F32&lt;=85,1,0))</formula>
    </cfRule>
  </conditionalFormatting>
  <conditionalFormatting sqref="AI32">
    <cfRule type="expression" dxfId="1861" priority="396">
      <formula>AND(IF(OR($Q32=1,$Q32=2),1,0),IF($X32&lt;=20,1,0))</formula>
    </cfRule>
    <cfRule type="expression" dxfId="1860" priority="397">
      <formula>AND(IF($Q32=2,1,0),IF($X32&lt;30,1,0))</formula>
    </cfRule>
    <cfRule type="expression" dxfId="1859" priority="398">
      <formula>AND(IF($Q32=3,1,0),IF($X32&lt;30,1,0))</formula>
    </cfRule>
    <cfRule type="expression" dxfId="1858" priority="399">
      <formula>AND(IF($Q32=3,1,IF($Q32=4,1,0)),IF($F32&lt;=85,1,0))</formula>
    </cfRule>
  </conditionalFormatting>
  <conditionalFormatting sqref="AV33">
    <cfRule type="expression" dxfId="1857" priority="394">
      <formula>AV33="X"</formula>
    </cfRule>
    <cfRule type="expression" dxfId="1856" priority="395">
      <formula>AV33="후보"</formula>
    </cfRule>
  </conditionalFormatting>
  <conditionalFormatting sqref="AC33">
    <cfRule type="cellIs" dxfId="1855" priority="391" operator="greaterThan">
      <formula>0.9</formula>
    </cfRule>
    <cfRule type="cellIs" dxfId="1854" priority="392" operator="greaterThan">
      <formula>0.85</formula>
    </cfRule>
  </conditionalFormatting>
  <conditionalFormatting sqref="N33">
    <cfRule type="cellIs" dxfId="1853" priority="389" operator="greaterThan">
      <formula>0.9</formula>
    </cfRule>
    <cfRule type="cellIs" dxfId="1852" priority="390" operator="greaterThan">
      <formula>0.85</formula>
    </cfRule>
  </conditionalFormatting>
  <conditionalFormatting sqref="E33">
    <cfRule type="expression" dxfId="1851" priority="385">
      <formula>AND(IF(OR($Q33=1,$Q33=2),1,0),IF($X33&lt;=20,1,0))</formula>
    </cfRule>
    <cfRule type="expression" dxfId="1850" priority="386">
      <formula>AND(IF($Q33=2,1,0),IF($X33&lt;30,1,0))</formula>
    </cfRule>
    <cfRule type="expression" dxfId="1849" priority="387">
      <formula>AND(IF($Q33=3,1,0),IF($X33&lt;30,1,0))</formula>
    </cfRule>
    <cfRule type="expression" dxfId="1848" priority="388">
      <formula>AND(IF($Q33=3,1,IF($Q33=4,1,0)),IF($F33&lt;=85,1,0))</formula>
    </cfRule>
  </conditionalFormatting>
  <conditionalFormatting sqref="X33">
    <cfRule type="expression" dxfId="1847" priority="381">
      <formula>AND(IF(OR($Q33=1,$Q33=2),1,0),IF($X33&lt;=20,1,0))</formula>
    </cfRule>
    <cfRule type="expression" dxfId="1846" priority="382">
      <formula>AND(IF($Q33=2,1,0),IF($X33&lt;30,1,0))</formula>
    </cfRule>
    <cfRule type="expression" dxfId="1845" priority="383">
      <formula>AND(IF($Q33=3,1,0),IF($X33&lt;30,1,0))</formula>
    </cfRule>
    <cfRule type="expression" dxfId="1844" priority="384">
      <formula>AND(IF($Q33=3,1,IF($Q33=4,1,0)),IF($F33&lt;=85,1,0))</formula>
    </cfRule>
  </conditionalFormatting>
  <conditionalFormatting sqref="AI33">
    <cfRule type="expression" dxfId="1843" priority="377">
      <formula>AND(IF(OR($Q33=1,$Q33=2),1,0),IF($X33&lt;=20,1,0))</formula>
    </cfRule>
    <cfRule type="expression" dxfId="1842" priority="378">
      <formula>AND(IF($Q33=2,1,0),IF($X33&lt;30,1,0))</formula>
    </cfRule>
    <cfRule type="expression" dxfId="1841" priority="379">
      <formula>AND(IF($Q33=3,1,0),IF($X33&lt;30,1,0))</formula>
    </cfRule>
    <cfRule type="expression" dxfId="1840" priority="380">
      <formula>AND(IF($Q33=3,1,IF($Q33=4,1,0)),IF($F33&lt;=85,1,0))</formula>
    </cfRule>
  </conditionalFormatting>
  <conditionalFormatting sqref="AV34">
    <cfRule type="expression" dxfId="1839" priority="375">
      <formula>AV34="X"</formula>
    </cfRule>
    <cfRule type="expression" dxfId="1838" priority="376">
      <formula>AV34="후보"</formula>
    </cfRule>
  </conditionalFormatting>
  <conditionalFormatting sqref="AC34">
    <cfRule type="cellIs" dxfId="1837" priority="372" operator="greaterThan">
      <formula>0.9</formula>
    </cfRule>
    <cfRule type="cellIs" dxfId="1836" priority="373" operator="greaterThan">
      <formula>0.85</formula>
    </cfRule>
  </conditionalFormatting>
  <conditionalFormatting sqref="N34">
    <cfRule type="cellIs" dxfId="1835" priority="370" operator="greaterThan">
      <formula>0.9</formula>
    </cfRule>
    <cfRule type="cellIs" dxfId="1834" priority="371" operator="greaterThan">
      <formula>0.85</formula>
    </cfRule>
  </conditionalFormatting>
  <conditionalFormatting sqref="E34">
    <cfRule type="expression" dxfId="1833" priority="366">
      <formula>AND(IF(OR($Q34=1,$Q34=2),1,0),IF($X34&lt;=20,1,0))</formula>
    </cfRule>
    <cfRule type="expression" dxfId="1832" priority="367">
      <formula>AND(IF($Q34=2,1,0),IF($X34&lt;30,1,0))</formula>
    </cfRule>
    <cfRule type="expression" dxfId="1831" priority="368">
      <formula>AND(IF($Q34=3,1,0),IF($X34&lt;30,1,0))</formula>
    </cfRule>
    <cfRule type="expression" dxfId="1830" priority="369">
      <formula>AND(IF($Q34=3,1,IF($Q34=4,1,0)),IF($F34&lt;=85,1,0))</formula>
    </cfRule>
  </conditionalFormatting>
  <conditionalFormatting sqref="X34">
    <cfRule type="expression" dxfId="1829" priority="362">
      <formula>AND(IF(OR($Q34=1,$Q34=2),1,0),IF($X34&lt;=20,1,0))</formula>
    </cfRule>
    <cfRule type="expression" dxfId="1828" priority="363">
      <formula>AND(IF($Q34=2,1,0),IF($X34&lt;30,1,0))</formula>
    </cfRule>
    <cfRule type="expression" dxfId="1827" priority="364">
      <formula>AND(IF($Q34=3,1,0),IF($X34&lt;30,1,0))</formula>
    </cfRule>
    <cfRule type="expression" dxfId="1826" priority="365">
      <formula>AND(IF($Q34=3,1,IF($Q34=4,1,0)),IF($F34&lt;=85,1,0))</formula>
    </cfRule>
  </conditionalFormatting>
  <conditionalFormatting sqref="AI34">
    <cfRule type="expression" dxfId="1825" priority="358">
      <formula>AND(IF(OR($Q34=1,$Q34=2),1,0),IF($X34&lt;=20,1,0))</formula>
    </cfRule>
    <cfRule type="expression" dxfId="1824" priority="359">
      <formula>AND(IF($Q34=2,1,0),IF($X34&lt;30,1,0))</formula>
    </cfRule>
    <cfRule type="expression" dxfId="1823" priority="360">
      <formula>AND(IF($Q34=3,1,0),IF($X34&lt;30,1,0))</formula>
    </cfRule>
    <cfRule type="expression" dxfId="1822" priority="361">
      <formula>AND(IF($Q34=3,1,IF($Q34=4,1,0)),IF($F34&lt;=85,1,0))</formula>
    </cfRule>
  </conditionalFormatting>
  <conditionalFormatting sqref="AV35">
    <cfRule type="expression" dxfId="1821" priority="356">
      <formula>AV35="X"</formula>
    </cfRule>
    <cfRule type="expression" dxfId="1820" priority="357">
      <formula>AV35="후보"</formula>
    </cfRule>
  </conditionalFormatting>
  <conditionalFormatting sqref="AC35">
    <cfRule type="cellIs" dxfId="1819" priority="353" operator="greaterThan">
      <formula>0.9</formula>
    </cfRule>
    <cfRule type="cellIs" dxfId="1818" priority="354" operator="greaterThan">
      <formula>0.85</formula>
    </cfRule>
  </conditionalFormatting>
  <conditionalFormatting sqref="N35">
    <cfRule type="cellIs" dxfId="1817" priority="351" operator="greaterThan">
      <formula>0.9</formula>
    </cfRule>
    <cfRule type="cellIs" dxfId="1816" priority="352" operator="greaterThan">
      <formula>0.85</formula>
    </cfRule>
  </conditionalFormatting>
  <conditionalFormatting sqref="E35">
    <cfRule type="expression" dxfId="1815" priority="347">
      <formula>AND(IF(OR($Q35=1,$Q35=2),1,0),IF($X35&lt;=20,1,0))</formula>
    </cfRule>
    <cfRule type="expression" dxfId="1814" priority="348">
      <formula>AND(IF($Q35=2,1,0),IF($X35&lt;30,1,0))</formula>
    </cfRule>
    <cfRule type="expression" dxfId="1813" priority="349">
      <formula>AND(IF($Q35=3,1,0),IF($X35&lt;30,1,0))</formula>
    </cfRule>
    <cfRule type="expression" dxfId="1812" priority="350">
      <formula>AND(IF($Q35=3,1,IF($Q35=4,1,0)),IF($F35&lt;=85,1,0))</formula>
    </cfRule>
  </conditionalFormatting>
  <conditionalFormatting sqref="X35">
    <cfRule type="expression" dxfId="1811" priority="343">
      <formula>AND(IF(OR($Q35=1,$Q35=2),1,0),IF($X35&lt;=20,1,0))</formula>
    </cfRule>
    <cfRule type="expression" dxfId="1810" priority="344">
      <formula>AND(IF($Q35=2,1,0),IF($X35&lt;30,1,0))</formula>
    </cfRule>
    <cfRule type="expression" dxfId="1809" priority="345">
      <formula>AND(IF($Q35=3,1,0),IF($X35&lt;30,1,0))</formula>
    </cfRule>
    <cfRule type="expression" dxfId="1808" priority="346">
      <formula>AND(IF($Q35=3,1,IF($Q35=4,1,0)),IF($F35&lt;=85,1,0))</formula>
    </cfRule>
  </conditionalFormatting>
  <conditionalFormatting sqref="AI35">
    <cfRule type="expression" dxfId="1807" priority="339">
      <formula>AND(IF(OR($Q35=1,$Q35=2),1,0),IF($X35&lt;=20,1,0))</formula>
    </cfRule>
    <cfRule type="expression" dxfId="1806" priority="340">
      <formula>AND(IF($Q35=2,1,0),IF($X35&lt;30,1,0))</formula>
    </cfRule>
    <cfRule type="expression" dxfId="1805" priority="341">
      <formula>AND(IF($Q35=3,1,0),IF($X35&lt;30,1,0))</formula>
    </cfRule>
    <cfRule type="expression" dxfId="1804" priority="342">
      <formula>AND(IF($Q35=3,1,IF($Q35=4,1,0)),IF($F35&lt;=85,1,0))</formula>
    </cfRule>
  </conditionalFormatting>
  <conditionalFormatting sqref="AV36">
    <cfRule type="expression" dxfId="1803" priority="337">
      <formula>AV36="X"</formula>
    </cfRule>
    <cfRule type="expression" dxfId="1802" priority="338">
      <formula>AV36="후보"</formula>
    </cfRule>
  </conditionalFormatting>
  <conditionalFormatting sqref="AC36">
    <cfRule type="cellIs" dxfId="1801" priority="334" operator="greaterThan">
      <formula>0.9</formula>
    </cfRule>
    <cfRule type="cellIs" dxfId="1800" priority="335" operator="greaterThan">
      <formula>0.85</formula>
    </cfRule>
  </conditionalFormatting>
  <conditionalFormatting sqref="N36">
    <cfRule type="cellIs" dxfId="1799" priority="332" operator="greaterThan">
      <formula>0.9</formula>
    </cfRule>
    <cfRule type="cellIs" dxfId="1798" priority="333" operator="greaterThan">
      <formula>0.85</formula>
    </cfRule>
  </conditionalFormatting>
  <conditionalFormatting sqref="E36">
    <cfRule type="expression" dxfId="1797" priority="328">
      <formula>AND(IF(OR($Q36=1,$Q36=2),1,0),IF($X36&lt;=20,1,0))</formula>
    </cfRule>
    <cfRule type="expression" dxfId="1796" priority="329">
      <formula>AND(IF($Q36=2,1,0),IF($X36&lt;30,1,0))</formula>
    </cfRule>
    <cfRule type="expression" dxfId="1795" priority="330">
      <formula>AND(IF($Q36=3,1,0),IF($X36&lt;30,1,0))</formula>
    </cfRule>
    <cfRule type="expression" dxfId="1794" priority="331">
      <formula>AND(IF($Q36=3,1,IF($Q36=4,1,0)),IF($F36&lt;=85,1,0))</formula>
    </cfRule>
  </conditionalFormatting>
  <conditionalFormatting sqref="X36">
    <cfRule type="expression" dxfId="1793" priority="324">
      <formula>AND(IF(OR($Q36=1,$Q36=2),1,0),IF($X36&lt;=20,1,0))</formula>
    </cfRule>
    <cfRule type="expression" dxfId="1792" priority="325">
      <formula>AND(IF($Q36=2,1,0),IF($X36&lt;30,1,0))</formula>
    </cfRule>
    <cfRule type="expression" dxfId="1791" priority="326">
      <formula>AND(IF($Q36=3,1,0),IF($X36&lt;30,1,0))</formula>
    </cfRule>
    <cfRule type="expression" dxfId="1790" priority="327">
      <formula>AND(IF($Q36=3,1,IF($Q36=4,1,0)),IF($F36&lt;=85,1,0))</formula>
    </cfRule>
  </conditionalFormatting>
  <conditionalFormatting sqref="AI36">
    <cfRule type="expression" dxfId="1789" priority="320">
      <formula>AND(IF(OR($Q36=1,$Q36=2),1,0),IF($X36&lt;=20,1,0))</formula>
    </cfRule>
    <cfRule type="expression" dxfId="1788" priority="321">
      <formula>AND(IF($Q36=2,1,0),IF($X36&lt;30,1,0))</formula>
    </cfRule>
    <cfRule type="expression" dxfId="1787" priority="322">
      <formula>AND(IF($Q36=3,1,0),IF($X36&lt;30,1,0))</formula>
    </cfRule>
    <cfRule type="expression" dxfId="1786" priority="323">
      <formula>AND(IF($Q36=3,1,IF($Q36=4,1,0)),IF($F36&lt;=85,1,0))</formula>
    </cfRule>
  </conditionalFormatting>
  <conditionalFormatting sqref="AV37">
    <cfRule type="expression" dxfId="1785" priority="318">
      <formula>AV37="X"</formula>
    </cfRule>
    <cfRule type="expression" dxfId="1784" priority="319">
      <formula>AV37="후보"</formula>
    </cfRule>
  </conditionalFormatting>
  <conditionalFormatting sqref="AC37">
    <cfRule type="cellIs" dxfId="1783" priority="315" operator="greaterThan">
      <formula>0.9</formula>
    </cfRule>
    <cfRule type="cellIs" dxfId="1782" priority="316" operator="greaterThan">
      <formula>0.85</formula>
    </cfRule>
  </conditionalFormatting>
  <conditionalFormatting sqref="N37">
    <cfRule type="cellIs" dxfId="1781" priority="313" operator="greaterThan">
      <formula>0.9</formula>
    </cfRule>
    <cfRule type="cellIs" dxfId="1780" priority="314" operator="greaterThan">
      <formula>0.85</formula>
    </cfRule>
  </conditionalFormatting>
  <conditionalFormatting sqref="E37">
    <cfRule type="expression" dxfId="1779" priority="309">
      <formula>AND(IF(OR($Q37=1,$Q37=2),1,0),IF($X37&lt;=20,1,0))</formula>
    </cfRule>
    <cfRule type="expression" dxfId="1778" priority="310">
      <formula>AND(IF($Q37=2,1,0),IF($X37&lt;30,1,0))</formula>
    </cfRule>
    <cfRule type="expression" dxfId="1777" priority="311">
      <formula>AND(IF($Q37=3,1,0),IF($X37&lt;30,1,0))</formula>
    </cfRule>
    <cfRule type="expression" dxfId="1776" priority="312">
      <formula>AND(IF($Q37=3,1,IF($Q37=4,1,0)),IF($F37&lt;=85,1,0))</formula>
    </cfRule>
  </conditionalFormatting>
  <conditionalFormatting sqref="X37">
    <cfRule type="expression" dxfId="1775" priority="305">
      <formula>AND(IF(OR($Q37=1,$Q37=2),1,0),IF($X37&lt;=20,1,0))</formula>
    </cfRule>
    <cfRule type="expression" dxfId="1774" priority="306">
      <formula>AND(IF($Q37=2,1,0),IF($X37&lt;30,1,0))</formula>
    </cfRule>
    <cfRule type="expression" dxfId="1773" priority="307">
      <formula>AND(IF($Q37=3,1,0),IF($X37&lt;30,1,0))</formula>
    </cfRule>
    <cfRule type="expression" dxfId="1772" priority="308">
      <formula>AND(IF($Q37=3,1,IF($Q37=4,1,0)),IF($F37&lt;=85,1,0))</formula>
    </cfRule>
  </conditionalFormatting>
  <conditionalFormatting sqref="AI37">
    <cfRule type="expression" dxfId="1771" priority="301">
      <formula>AND(IF(OR($Q37=1,$Q37=2),1,0),IF($X37&lt;=20,1,0))</formula>
    </cfRule>
    <cfRule type="expression" dxfId="1770" priority="302">
      <formula>AND(IF($Q37=2,1,0),IF($X37&lt;30,1,0))</formula>
    </cfRule>
    <cfRule type="expression" dxfId="1769" priority="303">
      <formula>AND(IF($Q37=3,1,0),IF($X37&lt;30,1,0))</formula>
    </cfRule>
    <cfRule type="expression" dxfId="1768" priority="304">
      <formula>AND(IF($Q37=3,1,IF($Q37=4,1,0)),IF($F37&lt;=85,1,0))</formula>
    </cfRule>
  </conditionalFormatting>
  <conditionalFormatting sqref="AV38">
    <cfRule type="expression" dxfId="1767" priority="299">
      <formula>AV38="X"</formula>
    </cfRule>
    <cfRule type="expression" dxfId="1766" priority="300">
      <formula>AV38="후보"</formula>
    </cfRule>
  </conditionalFormatting>
  <conditionalFormatting sqref="AC38 N38">
    <cfRule type="cellIs" dxfId="1765" priority="296" operator="greaterThan">
      <formula>0.9</formula>
    </cfRule>
    <cfRule type="cellIs" dxfId="1764" priority="297" operator="greaterThan">
      <formula>0.85</formula>
    </cfRule>
  </conditionalFormatting>
  <conditionalFormatting sqref="AV39">
    <cfRule type="expression" dxfId="1763" priority="294">
      <formula>AV39="X"</formula>
    </cfRule>
    <cfRule type="expression" dxfId="1762" priority="295">
      <formula>AV39="후보"</formula>
    </cfRule>
  </conditionalFormatting>
  <conditionalFormatting sqref="AC39">
    <cfRule type="cellIs" dxfId="1761" priority="291" operator="greaterThan">
      <formula>0.9</formula>
    </cfRule>
    <cfRule type="cellIs" dxfId="1760" priority="292" operator="greaterThan">
      <formula>0.85</formula>
    </cfRule>
  </conditionalFormatting>
  <conditionalFormatting sqref="N39">
    <cfRule type="cellIs" dxfId="1759" priority="289" operator="greaterThan">
      <formula>0.9</formula>
    </cfRule>
    <cfRule type="cellIs" dxfId="1758" priority="290" operator="greaterThan">
      <formula>0.85</formula>
    </cfRule>
  </conditionalFormatting>
  <conditionalFormatting sqref="E39">
    <cfRule type="expression" dxfId="1757" priority="285">
      <formula>AND(IF(OR($Q39=1,$Q39=2),1,0),IF($X39&lt;=20,1,0))</formula>
    </cfRule>
    <cfRule type="expression" dxfId="1756" priority="286">
      <formula>AND(IF($Q39=2,1,0),IF($X39&lt;30,1,0))</formula>
    </cfRule>
    <cfRule type="expression" dxfId="1755" priority="287">
      <formula>AND(IF($Q39=3,1,0),IF($X39&lt;30,1,0))</formula>
    </cfRule>
    <cfRule type="expression" dxfId="1754" priority="288">
      <formula>AND(IF($Q39=3,1,IF($Q39=4,1,0)),IF($F39&lt;=85,1,0))</formula>
    </cfRule>
  </conditionalFormatting>
  <conditionalFormatting sqref="X39">
    <cfRule type="expression" dxfId="1753" priority="281">
      <formula>AND(IF(OR($Q39=1,$Q39=2),1,0),IF($X39&lt;=20,1,0))</formula>
    </cfRule>
    <cfRule type="expression" dxfId="1752" priority="282">
      <formula>AND(IF($Q39=2,1,0),IF($X39&lt;30,1,0))</formula>
    </cfRule>
    <cfRule type="expression" dxfId="1751" priority="283">
      <formula>AND(IF($Q39=3,1,0),IF($X39&lt;30,1,0))</formula>
    </cfRule>
    <cfRule type="expression" dxfId="1750" priority="284">
      <formula>AND(IF($Q39=3,1,IF($Q39=4,1,0)),IF($F39&lt;=85,1,0))</formula>
    </cfRule>
  </conditionalFormatting>
  <conditionalFormatting sqref="AI39">
    <cfRule type="expression" dxfId="1749" priority="277">
      <formula>AND(IF(OR($Q39=1,$Q39=2),1,0),IF($X39&lt;=20,1,0))</formula>
    </cfRule>
    <cfRule type="expression" dxfId="1748" priority="278">
      <formula>AND(IF($Q39=2,1,0),IF($X39&lt;30,1,0))</formula>
    </cfRule>
    <cfRule type="expression" dxfId="1747" priority="279">
      <formula>AND(IF($Q39=3,1,0),IF($X39&lt;30,1,0))</formula>
    </cfRule>
    <cfRule type="expression" dxfId="1746" priority="280">
      <formula>AND(IF($Q39=3,1,IF($Q39=4,1,0)),IF($F39&lt;=85,1,0))</formula>
    </cfRule>
  </conditionalFormatting>
  <conditionalFormatting sqref="AV40">
    <cfRule type="expression" dxfId="1745" priority="275">
      <formula>AV40="X"</formula>
    </cfRule>
    <cfRule type="expression" dxfId="1744" priority="276">
      <formula>AV40="후보"</formula>
    </cfRule>
  </conditionalFormatting>
  <conditionalFormatting sqref="AC40 N40">
    <cfRule type="cellIs" dxfId="1743" priority="272" operator="greaterThan">
      <formula>0.9</formula>
    </cfRule>
    <cfRule type="cellIs" dxfId="1742" priority="273" operator="greaterThan">
      <formula>0.85</formula>
    </cfRule>
  </conditionalFormatting>
  <conditionalFormatting sqref="AV41">
    <cfRule type="expression" dxfId="1741" priority="270">
      <formula>AV41="X"</formula>
    </cfRule>
    <cfRule type="expression" dxfId="1740" priority="271">
      <formula>AV41="후보"</formula>
    </cfRule>
  </conditionalFormatting>
  <conditionalFormatting sqref="AC41">
    <cfRule type="cellIs" dxfId="1739" priority="267" operator="greaterThan">
      <formula>0.9</formula>
    </cfRule>
    <cfRule type="cellIs" dxfId="1738" priority="268" operator="greaterThan">
      <formula>0.85</formula>
    </cfRule>
  </conditionalFormatting>
  <conditionalFormatting sqref="N41">
    <cfRule type="cellIs" dxfId="1737" priority="265" operator="greaterThan">
      <formula>0.9</formula>
    </cfRule>
    <cfRule type="cellIs" dxfId="1736" priority="266" operator="greaterThan">
      <formula>0.85</formula>
    </cfRule>
  </conditionalFormatting>
  <conditionalFormatting sqref="E41">
    <cfRule type="expression" dxfId="1735" priority="261">
      <formula>AND(IF(OR($Q41=1,$Q41=2),1,0),IF($X41&lt;=20,1,0))</formula>
    </cfRule>
    <cfRule type="expression" dxfId="1734" priority="262">
      <formula>AND(IF($Q41=2,1,0),IF($X41&lt;30,1,0))</formula>
    </cfRule>
    <cfRule type="expression" dxfId="1733" priority="263">
      <formula>AND(IF($Q41=3,1,0),IF($X41&lt;30,1,0))</formula>
    </cfRule>
    <cfRule type="expression" dxfId="1732" priority="264">
      <formula>AND(IF($Q41=3,1,IF($Q41=4,1,0)),IF($F41&lt;=85,1,0))</formula>
    </cfRule>
  </conditionalFormatting>
  <conditionalFormatting sqref="X41">
    <cfRule type="expression" dxfId="1731" priority="257">
      <formula>AND(IF(OR($Q41=1,$Q41=2),1,0),IF($X41&lt;=20,1,0))</formula>
    </cfRule>
    <cfRule type="expression" dxfId="1730" priority="258">
      <formula>AND(IF($Q41=2,1,0),IF($X41&lt;30,1,0))</formula>
    </cfRule>
    <cfRule type="expression" dxfId="1729" priority="259">
      <formula>AND(IF($Q41=3,1,0),IF($X41&lt;30,1,0))</formula>
    </cfRule>
    <cfRule type="expression" dxfId="1728" priority="260">
      <formula>AND(IF($Q41=3,1,IF($Q41=4,1,0)),IF($F41&lt;=85,1,0))</formula>
    </cfRule>
  </conditionalFormatting>
  <conditionalFormatting sqref="AI41">
    <cfRule type="expression" dxfId="1727" priority="253">
      <formula>AND(IF(OR($Q41=1,$Q41=2),1,0),IF($X41&lt;=20,1,0))</formula>
    </cfRule>
    <cfRule type="expression" dxfId="1726" priority="254">
      <formula>AND(IF($Q41=2,1,0),IF($X41&lt;30,1,0))</formula>
    </cfRule>
    <cfRule type="expression" dxfId="1725" priority="255">
      <formula>AND(IF($Q41=3,1,0),IF($X41&lt;30,1,0))</formula>
    </cfRule>
    <cfRule type="expression" dxfId="1724" priority="256">
      <formula>AND(IF($Q41=3,1,IF($Q41=4,1,0)),IF($F41&lt;=85,1,0))</formula>
    </cfRule>
  </conditionalFormatting>
  <conditionalFormatting sqref="AV42">
    <cfRule type="expression" dxfId="1723" priority="251">
      <formula>AV42="X"</formula>
    </cfRule>
    <cfRule type="expression" dxfId="1722" priority="252">
      <formula>AV42="후보"</formula>
    </cfRule>
  </conditionalFormatting>
  <conditionalFormatting sqref="AC42">
    <cfRule type="cellIs" dxfId="1721" priority="248" operator="greaterThan">
      <formula>0.9</formula>
    </cfRule>
    <cfRule type="cellIs" dxfId="1720" priority="249" operator="greaterThan">
      <formula>0.85</formula>
    </cfRule>
  </conditionalFormatting>
  <conditionalFormatting sqref="N42">
    <cfRule type="cellIs" dxfId="1719" priority="246" operator="greaterThan">
      <formula>0.9</formula>
    </cfRule>
    <cfRule type="cellIs" dxfId="1718" priority="247" operator="greaterThan">
      <formula>0.85</formula>
    </cfRule>
  </conditionalFormatting>
  <conditionalFormatting sqref="E42">
    <cfRule type="expression" dxfId="1717" priority="242">
      <formula>AND(IF(OR($Q42=1,$Q42=2),1,0),IF($X42&lt;=20,1,0))</formula>
    </cfRule>
    <cfRule type="expression" dxfId="1716" priority="243">
      <formula>AND(IF($Q42=2,1,0),IF($X42&lt;30,1,0))</formula>
    </cfRule>
    <cfRule type="expression" dxfId="1715" priority="244">
      <formula>AND(IF($Q42=3,1,0),IF($X42&lt;30,1,0))</formula>
    </cfRule>
    <cfRule type="expression" dxfId="1714" priority="245">
      <formula>AND(IF($Q42=3,1,IF($Q42=4,1,0)),IF($F42&lt;=85,1,0))</formula>
    </cfRule>
  </conditionalFormatting>
  <conditionalFormatting sqref="X42">
    <cfRule type="expression" dxfId="1713" priority="238">
      <formula>AND(IF(OR($Q42=1,$Q42=2),1,0),IF($X42&lt;=20,1,0))</formula>
    </cfRule>
    <cfRule type="expression" dxfId="1712" priority="239">
      <formula>AND(IF($Q42=2,1,0),IF($X42&lt;30,1,0))</formula>
    </cfRule>
    <cfRule type="expression" dxfId="1711" priority="240">
      <formula>AND(IF($Q42=3,1,0),IF($X42&lt;30,1,0))</formula>
    </cfRule>
    <cfRule type="expression" dxfId="1710" priority="241">
      <formula>AND(IF($Q42=3,1,IF($Q42=4,1,0)),IF($F42&lt;=85,1,0))</formula>
    </cfRule>
  </conditionalFormatting>
  <conditionalFormatting sqref="AI42">
    <cfRule type="expression" dxfId="1709" priority="234">
      <formula>AND(IF(OR($Q42=1,$Q42=2),1,0),IF($X42&lt;=20,1,0))</formula>
    </cfRule>
    <cfRule type="expression" dxfId="1708" priority="235">
      <formula>AND(IF($Q42=2,1,0),IF($X42&lt;30,1,0))</formula>
    </cfRule>
    <cfRule type="expression" dxfId="1707" priority="236">
      <formula>AND(IF($Q42=3,1,0),IF($X42&lt;30,1,0))</formula>
    </cfRule>
    <cfRule type="expression" dxfId="1706" priority="237">
      <formula>AND(IF($Q42=3,1,IF($Q42=4,1,0)),IF($F42&lt;=85,1,0))</formula>
    </cfRule>
  </conditionalFormatting>
  <conditionalFormatting sqref="AV43">
    <cfRule type="expression" dxfId="1705" priority="232">
      <formula>AV43="X"</formula>
    </cfRule>
    <cfRule type="expression" dxfId="1704" priority="233">
      <formula>AV43="후보"</formula>
    </cfRule>
  </conditionalFormatting>
  <conditionalFormatting sqref="AC43">
    <cfRule type="cellIs" dxfId="1703" priority="229" operator="greaterThan">
      <formula>0.9</formula>
    </cfRule>
    <cfRule type="cellIs" dxfId="1702" priority="230" operator="greaterThan">
      <formula>0.85</formula>
    </cfRule>
  </conditionalFormatting>
  <conditionalFormatting sqref="N43">
    <cfRule type="cellIs" dxfId="1701" priority="227" operator="greaterThan">
      <formula>0.9</formula>
    </cfRule>
    <cfRule type="cellIs" dxfId="1700" priority="228" operator="greaterThan">
      <formula>0.85</formula>
    </cfRule>
  </conditionalFormatting>
  <conditionalFormatting sqref="E43">
    <cfRule type="expression" dxfId="1699" priority="223">
      <formula>AND(IF(OR($Q43=1,$Q43=2),1,0),IF($X43&lt;=20,1,0))</formula>
    </cfRule>
    <cfRule type="expression" dxfId="1698" priority="224">
      <formula>AND(IF($Q43=2,1,0),IF($X43&lt;30,1,0))</formula>
    </cfRule>
    <cfRule type="expression" dxfId="1697" priority="225">
      <formula>AND(IF($Q43=3,1,0),IF($X43&lt;30,1,0))</formula>
    </cfRule>
    <cfRule type="expression" dxfId="1696" priority="226">
      <formula>AND(IF($Q43=3,1,IF($Q43=4,1,0)),IF($F43&lt;=85,1,0))</formula>
    </cfRule>
  </conditionalFormatting>
  <conditionalFormatting sqref="X43">
    <cfRule type="expression" dxfId="1695" priority="219">
      <formula>AND(IF(OR($Q43=1,$Q43=2),1,0),IF($X43&lt;=20,1,0))</formula>
    </cfRule>
    <cfRule type="expression" dxfId="1694" priority="220">
      <formula>AND(IF($Q43=2,1,0),IF($X43&lt;30,1,0))</formula>
    </cfRule>
    <cfRule type="expression" dxfId="1693" priority="221">
      <formula>AND(IF($Q43=3,1,0),IF($X43&lt;30,1,0))</formula>
    </cfRule>
    <cfRule type="expression" dxfId="1692" priority="222">
      <formula>AND(IF($Q43=3,1,IF($Q43=4,1,0)),IF($F43&lt;=85,1,0))</formula>
    </cfRule>
  </conditionalFormatting>
  <conditionalFormatting sqref="AI43">
    <cfRule type="expression" dxfId="1691" priority="215">
      <formula>AND(IF(OR($Q43=1,$Q43=2),1,0),IF($X43&lt;=20,1,0))</formula>
    </cfRule>
    <cfRule type="expression" dxfId="1690" priority="216">
      <formula>AND(IF($Q43=2,1,0),IF($X43&lt;30,1,0))</formula>
    </cfRule>
    <cfRule type="expression" dxfId="1689" priority="217">
      <formula>AND(IF($Q43=3,1,0),IF($X43&lt;30,1,0))</formula>
    </cfRule>
    <cfRule type="expression" dxfId="1688" priority="218">
      <formula>AND(IF($Q43=3,1,IF($Q43=4,1,0)),IF($F43&lt;=85,1,0))</formula>
    </cfRule>
  </conditionalFormatting>
  <conditionalFormatting sqref="AV44">
    <cfRule type="expression" dxfId="1687" priority="213">
      <formula>AV44="X"</formula>
    </cfRule>
    <cfRule type="expression" dxfId="1686" priority="214">
      <formula>AV44="후보"</formula>
    </cfRule>
  </conditionalFormatting>
  <conditionalFormatting sqref="AC44">
    <cfRule type="cellIs" dxfId="1685" priority="210" operator="greaterThan">
      <formula>0.9</formula>
    </cfRule>
    <cfRule type="cellIs" dxfId="1684" priority="211" operator="greaterThan">
      <formula>0.85</formula>
    </cfRule>
  </conditionalFormatting>
  <conditionalFormatting sqref="N44">
    <cfRule type="cellIs" dxfId="1683" priority="208" operator="greaterThan">
      <formula>0.9</formula>
    </cfRule>
    <cfRule type="cellIs" dxfId="1682" priority="209" operator="greaterThan">
      <formula>0.85</formula>
    </cfRule>
  </conditionalFormatting>
  <conditionalFormatting sqref="E44">
    <cfRule type="expression" dxfId="1681" priority="204">
      <formula>AND(IF(OR($Q44=1,$Q44=2),1,0),IF($X44&lt;=20,1,0))</formula>
    </cfRule>
    <cfRule type="expression" dxfId="1680" priority="205">
      <formula>AND(IF($Q44=2,1,0),IF($X44&lt;30,1,0))</formula>
    </cfRule>
    <cfRule type="expression" dxfId="1679" priority="206">
      <formula>AND(IF($Q44=3,1,0),IF($X44&lt;30,1,0))</formula>
    </cfRule>
    <cfRule type="expression" dxfId="1678" priority="207">
      <formula>AND(IF($Q44=3,1,IF($Q44=4,1,0)),IF($F44&lt;=85,1,0))</formula>
    </cfRule>
  </conditionalFormatting>
  <conditionalFormatting sqref="X44">
    <cfRule type="expression" dxfId="1677" priority="200">
      <formula>AND(IF(OR($Q44=1,$Q44=2),1,0),IF($X44&lt;=20,1,0))</formula>
    </cfRule>
    <cfRule type="expression" dxfId="1676" priority="201">
      <formula>AND(IF($Q44=2,1,0),IF($X44&lt;30,1,0))</formula>
    </cfRule>
    <cfRule type="expression" dxfId="1675" priority="202">
      <formula>AND(IF($Q44=3,1,0),IF($X44&lt;30,1,0))</formula>
    </cfRule>
    <cfRule type="expression" dxfId="1674" priority="203">
      <formula>AND(IF($Q44=3,1,IF($Q44=4,1,0)),IF($F44&lt;=85,1,0))</formula>
    </cfRule>
  </conditionalFormatting>
  <conditionalFormatting sqref="AI44">
    <cfRule type="expression" dxfId="1673" priority="196">
      <formula>AND(IF(OR($Q44=1,$Q44=2),1,0),IF($X44&lt;=20,1,0))</formula>
    </cfRule>
    <cfRule type="expression" dxfId="1672" priority="197">
      <formula>AND(IF($Q44=2,1,0),IF($X44&lt;30,1,0))</formula>
    </cfRule>
    <cfRule type="expression" dxfId="1671" priority="198">
      <formula>AND(IF($Q44=3,1,0),IF($X44&lt;30,1,0))</formula>
    </cfRule>
    <cfRule type="expression" dxfId="1670" priority="199">
      <formula>AND(IF($Q44=3,1,IF($Q44=4,1,0)),IF($F44&lt;=85,1,0))</formula>
    </cfRule>
  </conditionalFormatting>
  <conditionalFormatting sqref="AV45">
    <cfRule type="expression" dxfId="1669" priority="194">
      <formula>AV45="X"</formula>
    </cfRule>
    <cfRule type="expression" dxfId="1668" priority="195">
      <formula>AV45="후보"</formula>
    </cfRule>
  </conditionalFormatting>
  <conditionalFormatting sqref="AC45 N45">
    <cfRule type="cellIs" dxfId="1667" priority="191" operator="greaterThan">
      <formula>0.9</formula>
    </cfRule>
    <cfRule type="cellIs" dxfId="1666" priority="192" operator="greaterThan">
      <formula>0.85</formula>
    </cfRule>
  </conditionalFormatting>
  <conditionalFormatting sqref="AV46">
    <cfRule type="expression" dxfId="1665" priority="189">
      <formula>AV46="X"</formula>
    </cfRule>
    <cfRule type="expression" dxfId="1664" priority="190">
      <formula>AV46="후보"</formula>
    </cfRule>
  </conditionalFormatting>
  <conditionalFormatting sqref="AC46">
    <cfRule type="cellIs" dxfId="1663" priority="186" operator="greaterThan">
      <formula>0.9</formula>
    </cfRule>
    <cfRule type="cellIs" dxfId="1662" priority="187" operator="greaterThan">
      <formula>0.85</formula>
    </cfRule>
  </conditionalFormatting>
  <conditionalFormatting sqref="N46">
    <cfRule type="cellIs" dxfId="1661" priority="184" operator="greaterThan">
      <formula>0.9</formula>
    </cfRule>
    <cfRule type="cellIs" dxfId="1660" priority="185" operator="greaterThan">
      <formula>0.85</formula>
    </cfRule>
  </conditionalFormatting>
  <conditionalFormatting sqref="E46">
    <cfRule type="expression" dxfId="1659" priority="180">
      <formula>AND(IF(OR($Q46=1,$Q46=2),1,0),IF($X46&lt;=20,1,0))</formula>
    </cfRule>
    <cfRule type="expression" dxfId="1658" priority="181">
      <formula>AND(IF($Q46=2,1,0),IF($X46&lt;30,1,0))</formula>
    </cfRule>
    <cfRule type="expression" dxfId="1657" priority="182">
      <formula>AND(IF($Q46=3,1,0),IF($X46&lt;30,1,0))</formula>
    </cfRule>
    <cfRule type="expression" dxfId="1656" priority="183">
      <formula>AND(IF($Q46=3,1,IF($Q46=4,1,0)),IF($F46&lt;=85,1,0))</formula>
    </cfRule>
  </conditionalFormatting>
  <conditionalFormatting sqref="X46">
    <cfRule type="expression" dxfId="1655" priority="176">
      <formula>AND(IF(OR($Q46=1,$Q46=2),1,0),IF($X46&lt;=20,1,0))</formula>
    </cfRule>
    <cfRule type="expression" dxfId="1654" priority="177">
      <formula>AND(IF($Q46=2,1,0),IF($X46&lt;30,1,0))</formula>
    </cfRule>
    <cfRule type="expression" dxfId="1653" priority="178">
      <formula>AND(IF($Q46=3,1,0),IF($X46&lt;30,1,0))</formula>
    </cfRule>
    <cfRule type="expression" dxfId="1652" priority="179">
      <formula>AND(IF($Q46=3,1,IF($Q46=4,1,0)),IF($F46&lt;=85,1,0))</formula>
    </cfRule>
  </conditionalFormatting>
  <conditionalFormatting sqref="AI46">
    <cfRule type="expression" dxfId="1651" priority="172">
      <formula>AND(IF(OR($Q46=1,$Q46=2),1,0),IF($X46&lt;=20,1,0))</formula>
    </cfRule>
    <cfRule type="expression" dxfId="1650" priority="173">
      <formula>AND(IF($Q46=2,1,0),IF($X46&lt;30,1,0))</formula>
    </cfRule>
    <cfRule type="expression" dxfId="1649" priority="174">
      <formula>AND(IF($Q46=3,1,0),IF($X46&lt;30,1,0))</formula>
    </cfRule>
    <cfRule type="expression" dxfId="1648" priority="175">
      <formula>AND(IF($Q46=3,1,IF($Q46=4,1,0)),IF($F46&lt;=85,1,0))</formula>
    </cfRule>
  </conditionalFormatting>
  <conditionalFormatting sqref="AV47">
    <cfRule type="expression" dxfId="1647" priority="170">
      <formula>AV47="X"</formula>
    </cfRule>
    <cfRule type="expression" dxfId="1646" priority="171">
      <formula>AV47="후보"</formula>
    </cfRule>
  </conditionalFormatting>
  <conditionalFormatting sqref="AC47">
    <cfRule type="cellIs" dxfId="1645" priority="167" operator="greaterThan">
      <formula>0.9</formula>
    </cfRule>
    <cfRule type="cellIs" dxfId="1644" priority="168" operator="greaterThan">
      <formula>0.85</formula>
    </cfRule>
  </conditionalFormatting>
  <conditionalFormatting sqref="N47">
    <cfRule type="cellIs" dxfId="1643" priority="165" operator="greaterThan">
      <formula>0.9</formula>
    </cfRule>
    <cfRule type="cellIs" dxfId="1642" priority="166" operator="greaterThan">
      <formula>0.85</formula>
    </cfRule>
  </conditionalFormatting>
  <conditionalFormatting sqref="E47">
    <cfRule type="expression" dxfId="1641" priority="161">
      <formula>AND(IF(OR($Q47=1,$Q47=2),1,0),IF($X47&lt;=20,1,0))</formula>
    </cfRule>
    <cfRule type="expression" dxfId="1640" priority="162">
      <formula>AND(IF($Q47=2,1,0),IF($X47&lt;30,1,0))</formula>
    </cfRule>
    <cfRule type="expression" dxfId="1639" priority="163">
      <formula>AND(IF($Q47=3,1,0),IF($X47&lt;30,1,0))</formula>
    </cfRule>
    <cfRule type="expression" dxfId="1638" priority="164">
      <formula>AND(IF($Q47=3,1,IF($Q47=4,1,0)),IF($F47&lt;=85,1,0))</formula>
    </cfRule>
  </conditionalFormatting>
  <conditionalFormatting sqref="X47">
    <cfRule type="expression" dxfId="1637" priority="157">
      <formula>AND(IF(OR($Q47=1,$Q47=2),1,0),IF($X47&lt;=20,1,0))</formula>
    </cfRule>
    <cfRule type="expression" dxfId="1636" priority="158">
      <formula>AND(IF($Q47=2,1,0),IF($X47&lt;30,1,0))</formula>
    </cfRule>
    <cfRule type="expression" dxfId="1635" priority="159">
      <formula>AND(IF($Q47=3,1,0),IF($X47&lt;30,1,0))</formula>
    </cfRule>
    <cfRule type="expression" dxfId="1634" priority="160">
      <formula>AND(IF($Q47=3,1,IF($Q47=4,1,0)),IF($F47&lt;=85,1,0))</formula>
    </cfRule>
  </conditionalFormatting>
  <conditionalFormatting sqref="AI47">
    <cfRule type="expression" dxfId="1633" priority="153">
      <formula>AND(IF(OR($Q47=1,$Q47=2),1,0),IF($X47&lt;=20,1,0))</formula>
    </cfRule>
    <cfRule type="expression" dxfId="1632" priority="154">
      <formula>AND(IF($Q47=2,1,0),IF($X47&lt;30,1,0))</formula>
    </cfRule>
    <cfRule type="expression" dxfId="1631" priority="155">
      <formula>AND(IF($Q47=3,1,0),IF($X47&lt;30,1,0))</formula>
    </cfRule>
    <cfRule type="expression" dxfId="1630" priority="156">
      <formula>AND(IF($Q47=3,1,IF($Q47=4,1,0)),IF($F47&lt;=85,1,0))</formula>
    </cfRule>
  </conditionalFormatting>
  <conditionalFormatting sqref="AV48">
    <cfRule type="expression" dxfId="1629" priority="151">
      <formula>AV48="X"</formula>
    </cfRule>
    <cfRule type="expression" dxfId="1628" priority="152">
      <formula>AV48="후보"</formula>
    </cfRule>
  </conditionalFormatting>
  <conditionalFormatting sqref="AC48">
    <cfRule type="cellIs" dxfId="1627" priority="148" operator="greaterThan">
      <formula>0.9</formula>
    </cfRule>
    <cfRule type="cellIs" dxfId="1626" priority="149" operator="greaterThan">
      <formula>0.85</formula>
    </cfRule>
  </conditionalFormatting>
  <conditionalFormatting sqref="N48">
    <cfRule type="cellIs" dxfId="1625" priority="146" operator="greaterThan">
      <formula>0.9</formula>
    </cfRule>
    <cfRule type="cellIs" dxfId="1624" priority="147" operator="greaterThan">
      <formula>0.85</formula>
    </cfRule>
  </conditionalFormatting>
  <conditionalFormatting sqref="E48">
    <cfRule type="expression" dxfId="1623" priority="142">
      <formula>AND(IF(OR($Q48=1,$Q48=2),1,0),IF($X48&lt;=20,1,0))</formula>
    </cfRule>
    <cfRule type="expression" dxfId="1622" priority="143">
      <formula>AND(IF($Q48=2,1,0),IF($X48&lt;30,1,0))</formula>
    </cfRule>
    <cfRule type="expression" dxfId="1621" priority="144">
      <formula>AND(IF($Q48=3,1,0),IF($X48&lt;30,1,0))</formula>
    </cfRule>
    <cfRule type="expression" dxfId="1620" priority="145">
      <formula>AND(IF($Q48=3,1,IF($Q48=4,1,0)),IF($F48&lt;=85,1,0))</formula>
    </cfRule>
  </conditionalFormatting>
  <conditionalFormatting sqref="X48">
    <cfRule type="expression" dxfId="1619" priority="138">
      <formula>AND(IF(OR($Q48=1,$Q48=2),1,0),IF($X48&lt;=20,1,0))</formula>
    </cfRule>
    <cfRule type="expression" dxfId="1618" priority="139">
      <formula>AND(IF($Q48=2,1,0),IF($X48&lt;30,1,0))</formula>
    </cfRule>
    <cfRule type="expression" dxfId="1617" priority="140">
      <formula>AND(IF($Q48=3,1,0),IF($X48&lt;30,1,0))</formula>
    </cfRule>
    <cfRule type="expression" dxfId="1616" priority="141">
      <formula>AND(IF($Q48=3,1,IF($Q48=4,1,0)),IF($F48&lt;=85,1,0))</formula>
    </cfRule>
  </conditionalFormatting>
  <conditionalFormatting sqref="AI48">
    <cfRule type="expression" dxfId="1615" priority="134">
      <formula>AND(IF(OR($Q48=1,$Q48=2),1,0),IF($X48&lt;=20,1,0))</formula>
    </cfRule>
    <cfRule type="expression" dxfId="1614" priority="135">
      <formula>AND(IF($Q48=2,1,0),IF($X48&lt;30,1,0))</formula>
    </cfRule>
    <cfRule type="expression" dxfId="1613" priority="136">
      <formula>AND(IF($Q48=3,1,0),IF($X48&lt;30,1,0))</formula>
    </cfRule>
    <cfRule type="expression" dxfId="1612" priority="137">
      <formula>AND(IF($Q48=3,1,IF($Q48=4,1,0)),IF($F48&lt;=85,1,0))</formula>
    </cfRule>
  </conditionalFormatting>
  <conditionalFormatting sqref="AV49">
    <cfRule type="expression" dxfId="1611" priority="132">
      <formula>AV49="X"</formula>
    </cfRule>
    <cfRule type="expression" dxfId="1610" priority="133">
      <formula>AV49="후보"</formula>
    </cfRule>
  </conditionalFormatting>
  <conditionalFormatting sqref="AC49">
    <cfRule type="cellIs" dxfId="1609" priority="129" operator="greaterThan">
      <formula>0.9</formula>
    </cfRule>
    <cfRule type="cellIs" dxfId="1608" priority="130" operator="greaterThan">
      <formula>0.85</formula>
    </cfRule>
  </conditionalFormatting>
  <conditionalFormatting sqref="N49">
    <cfRule type="cellIs" dxfId="1607" priority="127" operator="greaterThan">
      <formula>0.9</formula>
    </cfRule>
    <cfRule type="cellIs" dxfId="1606" priority="128" operator="greaterThan">
      <formula>0.85</formula>
    </cfRule>
  </conditionalFormatting>
  <conditionalFormatting sqref="E49">
    <cfRule type="expression" dxfId="1605" priority="123">
      <formula>AND(IF(OR($Q49=1,$Q49=2),1,0),IF($X49&lt;=20,1,0))</formula>
    </cfRule>
    <cfRule type="expression" dxfId="1604" priority="124">
      <formula>AND(IF($Q49=2,1,0),IF($X49&lt;30,1,0))</formula>
    </cfRule>
    <cfRule type="expression" dxfId="1603" priority="125">
      <formula>AND(IF($Q49=3,1,0),IF($X49&lt;30,1,0))</formula>
    </cfRule>
    <cfRule type="expression" dxfId="1602" priority="126">
      <formula>AND(IF($Q49=3,1,IF($Q49=4,1,0)),IF($F49&lt;=85,1,0))</formula>
    </cfRule>
  </conditionalFormatting>
  <conditionalFormatting sqref="X49">
    <cfRule type="expression" dxfId="1601" priority="119">
      <formula>AND(IF(OR($Q49=1,$Q49=2),1,0),IF($X49&lt;=20,1,0))</formula>
    </cfRule>
    <cfRule type="expression" dxfId="1600" priority="120">
      <formula>AND(IF($Q49=2,1,0),IF($X49&lt;30,1,0))</formula>
    </cfRule>
    <cfRule type="expression" dxfId="1599" priority="121">
      <formula>AND(IF($Q49=3,1,0),IF($X49&lt;30,1,0))</formula>
    </cfRule>
    <cfRule type="expression" dxfId="1598" priority="122">
      <formula>AND(IF($Q49=3,1,IF($Q49=4,1,0)),IF($F49&lt;=85,1,0))</formula>
    </cfRule>
  </conditionalFormatting>
  <conditionalFormatting sqref="AI49">
    <cfRule type="expression" dxfId="1597" priority="115">
      <formula>AND(IF(OR($Q49=1,$Q49=2),1,0),IF($X49&lt;=20,1,0))</formula>
    </cfRule>
    <cfRule type="expression" dxfId="1596" priority="116">
      <formula>AND(IF($Q49=2,1,0),IF($X49&lt;30,1,0))</formula>
    </cfRule>
    <cfRule type="expression" dxfId="1595" priority="117">
      <formula>AND(IF($Q49=3,1,0),IF($X49&lt;30,1,0))</formula>
    </cfRule>
    <cfRule type="expression" dxfId="1594" priority="118">
      <formula>AND(IF($Q49=3,1,IF($Q49=4,1,0)),IF($F49&lt;=85,1,0))</formula>
    </cfRule>
  </conditionalFormatting>
  <conditionalFormatting sqref="AV50">
    <cfRule type="expression" dxfId="1593" priority="113">
      <formula>AV50="X"</formula>
    </cfRule>
    <cfRule type="expression" dxfId="1592" priority="114">
      <formula>AV50="후보"</formula>
    </cfRule>
  </conditionalFormatting>
  <conditionalFormatting sqref="AC50">
    <cfRule type="cellIs" dxfId="1591" priority="110" operator="greaterThan">
      <formula>0.9</formula>
    </cfRule>
    <cfRule type="cellIs" dxfId="1590" priority="111" operator="greaterThan">
      <formula>0.85</formula>
    </cfRule>
  </conditionalFormatting>
  <conditionalFormatting sqref="N50">
    <cfRule type="cellIs" dxfId="1589" priority="108" operator="greaterThan">
      <formula>0.9</formula>
    </cfRule>
    <cfRule type="cellIs" dxfId="1588" priority="109" operator="greaterThan">
      <formula>0.85</formula>
    </cfRule>
  </conditionalFormatting>
  <conditionalFormatting sqref="E50">
    <cfRule type="expression" dxfId="1587" priority="104">
      <formula>AND(IF(OR($Q50=1,$Q50=2),1,0),IF($X50&lt;=20,1,0))</formula>
    </cfRule>
    <cfRule type="expression" dxfId="1586" priority="105">
      <formula>AND(IF($Q50=2,1,0),IF($X50&lt;30,1,0))</formula>
    </cfRule>
    <cfRule type="expression" dxfId="1585" priority="106">
      <formula>AND(IF($Q50=3,1,0),IF($X50&lt;30,1,0))</formula>
    </cfRule>
    <cfRule type="expression" dxfId="1584" priority="107">
      <formula>AND(IF($Q50=3,1,IF($Q50=4,1,0)),IF($F50&lt;=85,1,0))</formula>
    </cfRule>
  </conditionalFormatting>
  <conditionalFormatting sqref="X50">
    <cfRule type="expression" dxfId="1583" priority="100">
      <formula>AND(IF(OR($Q50=1,$Q50=2),1,0),IF($X50&lt;=20,1,0))</formula>
    </cfRule>
    <cfRule type="expression" dxfId="1582" priority="101">
      <formula>AND(IF($Q50=2,1,0),IF($X50&lt;30,1,0))</formula>
    </cfRule>
    <cfRule type="expression" dxfId="1581" priority="102">
      <formula>AND(IF($Q50=3,1,0),IF($X50&lt;30,1,0))</formula>
    </cfRule>
    <cfRule type="expression" dxfId="1580" priority="103">
      <formula>AND(IF($Q50=3,1,IF($Q50=4,1,0)),IF($F50&lt;=85,1,0))</formula>
    </cfRule>
  </conditionalFormatting>
  <conditionalFormatting sqref="AI50">
    <cfRule type="expression" dxfId="1579" priority="96">
      <formula>AND(IF(OR($Q50=1,$Q50=2),1,0),IF($X50&lt;=20,1,0))</formula>
    </cfRule>
    <cfRule type="expression" dxfId="1578" priority="97">
      <formula>AND(IF($Q50=2,1,0),IF($X50&lt;30,1,0))</formula>
    </cfRule>
    <cfRule type="expression" dxfId="1577" priority="98">
      <formula>AND(IF($Q50=3,1,0),IF($X50&lt;30,1,0))</formula>
    </cfRule>
    <cfRule type="expression" dxfId="1576" priority="99">
      <formula>AND(IF($Q50=3,1,IF($Q50=4,1,0)),IF($F50&lt;=85,1,0))</formula>
    </cfRule>
  </conditionalFormatting>
  <conditionalFormatting sqref="AV51">
    <cfRule type="expression" dxfId="1575" priority="94">
      <formula>AV51="X"</formula>
    </cfRule>
    <cfRule type="expression" dxfId="1574" priority="95">
      <formula>AV51="후보"</formula>
    </cfRule>
  </conditionalFormatting>
  <conditionalFormatting sqref="AC51">
    <cfRule type="cellIs" dxfId="1573" priority="91" operator="greaterThan">
      <formula>0.9</formula>
    </cfRule>
    <cfRule type="cellIs" dxfId="1572" priority="92" operator="greaterThan">
      <formula>0.85</formula>
    </cfRule>
  </conditionalFormatting>
  <conditionalFormatting sqref="N51">
    <cfRule type="cellIs" dxfId="1571" priority="89" operator="greaterThan">
      <formula>0.9</formula>
    </cfRule>
    <cfRule type="cellIs" dxfId="1570" priority="90" operator="greaterThan">
      <formula>0.85</formula>
    </cfRule>
  </conditionalFormatting>
  <conditionalFormatting sqref="E51">
    <cfRule type="expression" dxfId="1569" priority="85">
      <formula>AND(IF(OR($Q51=1,$Q51=2),1,0),IF($X51&lt;=20,1,0))</formula>
    </cfRule>
    <cfRule type="expression" dxfId="1568" priority="86">
      <formula>AND(IF($Q51=2,1,0),IF($X51&lt;30,1,0))</formula>
    </cfRule>
    <cfRule type="expression" dxfId="1567" priority="87">
      <formula>AND(IF($Q51=3,1,0),IF($X51&lt;30,1,0))</formula>
    </cfRule>
    <cfRule type="expression" dxfId="1566" priority="88">
      <formula>AND(IF($Q51=3,1,IF($Q51=4,1,0)),IF($F51&lt;=85,1,0))</formula>
    </cfRule>
  </conditionalFormatting>
  <conditionalFormatting sqref="X51">
    <cfRule type="expression" dxfId="1565" priority="81">
      <formula>AND(IF(OR($Q51=1,$Q51=2),1,0),IF($X51&lt;=20,1,0))</formula>
    </cfRule>
    <cfRule type="expression" dxfId="1564" priority="82">
      <formula>AND(IF($Q51=2,1,0),IF($X51&lt;30,1,0))</formula>
    </cfRule>
    <cfRule type="expression" dxfId="1563" priority="83">
      <formula>AND(IF($Q51=3,1,0),IF($X51&lt;30,1,0))</formula>
    </cfRule>
    <cfRule type="expression" dxfId="1562" priority="84">
      <formula>AND(IF($Q51=3,1,IF($Q51=4,1,0)),IF($F51&lt;=85,1,0))</formula>
    </cfRule>
  </conditionalFormatting>
  <conditionalFormatting sqref="AI51">
    <cfRule type="expression" dxfId="1561" priority="77">
      <formula>AND(IF(OR($Q51=1,$Q51=2),1,0),IF($X51&lt;=20,1,0))</formula>
    </cfRule>
    <cfRule type="expression" dxfId="1560" priority="78">
      <formula>AND(IF($Q51=2,1,0),IF($X51&lt;30,1,0))</formula>
    </cfRule>
    <cfRule type="expression" dxfId="1559" priority="79">
      <formula>AND(IF($Q51=3,1,0),IF($X51&lt;30,1,0))</formula>
    </cfRule>
    <cfRule type="expression" dxfId="1558" priority="80">
      <formula>AND(IF($Q51=3,1,IF($Q51=4,1,0)),IF($F51&lt;=85,1,0))</formula>
    </cfRule>
  </conditionalFormatting>
  <conditionalFormatting sqref="AV52">
    <cfRule type="expression" dxfId="1557" priority="75">
      <formula>AV52="X"</formula>
    </cfRule>
    <cfRule type="expression" dxfId="1556" priority="76">
      <formula>AV52="후보"</formula>
    </cfRule>
  </conditionalFormatting>
  <conditionalFormatting sqref="AC52">
    <cfRule type="cellIs" dxfId="1555" priority="72" operator="greaterThan">
      <formula>0.9</formula>
    </cfRule>
    <cfRule type="cellIs" dxfId="1554" priority="73" operator="greaterThan">
      <formula>0.85</formula>
    </cfRule>
  </conditionalFormatting>
  <conditionalFormatting sqref="N52">
    <cfRule type="cellIs" dxfId="1553" priority="70" operator="greaterThan">
      <formula>0.9</formula>
    </cfRule>
    <cfRule type="cellIs" dxfId="1552" priority="71" operator="greaterThan">
      <formula>0.85</formula>
    </cfRule>
  </conditionalFormatting>
  <conditionalFormatting sqref="E52">
    <cfRule type="expression" dxfId="1551" priority="66">
      <formula>AND(IF(OR($Q52=1,$Q52=2),1,0),IF($X52&lt;=20,1,0))</formula>
    </cfRule>
    <cfRule type="expression" dxfId="1550" priority="67">
      <formula>AND(IF($Q52=2,1,0),IF($X52&lt;30,1,0))</formula>
    </cfRule>
    <cfRule type="expression" dxfId="1549" priority="68">
      <formula>AND(IF($Q52=3,1,0),IF($X52&lt;30,1,0))</formula>
    </cfRule>
    <cfRule type="expression" dxfId="1548" priority="69">
      <formula>AND(IF($Q52=3,1,IF($Q52=4,1,0)),IF($F52&lt;=85,1,0))</formula>
    </cfRule>
  </conditionalFormatting>
  <conditionalFormatting sqref="X52">
    <cfRule type="expression" dxfId="1547" priority="62">
      <formula>AND(IF(OR($Q52=1,$Q52=2),1,0),IF($X52&lt;=20,1,0))</formula>
    </cfRule>
    <cfRule type="expression" dxfId="1546" priority="63">
      <formula>AND(IF($Q52=2,1,0),IF($X52&lt;30,1,0))</formula>
    </cfRule>
    <cfRule type="expression" dxfId="1545" priority="64">
      <formula>AND(IF($Q52=3,1,0),IF($X52&lt;30,1,0))</formula>
    </cfRule>
    <cfRule type="expression" dxfId="1544" priority="65">
      <formula>AND(IF($Q52=3,1,IF($Q52=4,1,0)),IF($F52&lt;=85,1,0))</formula>
    </cfRule>
  </conditionalFormatting>
  <conditionalFormatting sqref="AI52">
    <cfRule type="expression" dxfId="1543" priority="58">
      <formula>AND(IF(OR($Q52=1,$Q52=2),1,0),IF($X52&lt;=20,1,0))</formula>
    </cfRule>
    <cfRule type="expression" dxfId="1542" priority="59">
      <formula>AND(IF($Q52=2,1,0),IF($X52&lt;30,1,0))</formula>
    </cfRule>
    <cfRule type="expression" dxfId="1541" priority="60">
      <formula>AND(IF($Q52=3,1,0),IF($X52&lt;30,1,0))</formula>
    </cfRule>
    <cfRule type="expression" dxfId="1540" priority="61">
      <formula>AND(IF($Q52=3,1,IF($Q52=4,1,0)),IF($F52&lt;=85,1,0))</formula>
    </cfRule>
  </conditionalFormatting>
  <conditionalFormatting sqref="AV53">
    <cfRule type="expression" dxfId="1539" priority="56">
      <formula>AV53="X"</formula>
    </cfRule>
    <cfRule type="expression" dxfId="1538" priority="57">
      <formula>AV53="후보"</formula>
    </cfRule>
  </conditionalFormatting>
  <conditionalFormatting sqref="AC53">
    <cfRule type="cellIs" dxfId="1537" priority="53" operator="greaterThan">
      <formula>0.9</formula>
    </cfRule>
    <cfRule type="cellIs" dxfId="1536" priority="54" operator="greaterThan">
      <formula>0.85</formula>
    </cfRule>
  </conditionalFormatting>
  <conditionalFormatting sqref="N53">
    <cfRule type="cellIs" dxfId="1535" priority="51" operator="greaterThan">
      <formula>0.9</formula>
    </cfRule>
    <cfRule type="cellIs" dxfId="1534" priority="52" operator="greaterThan">
      <formula>0.85</formula>
    </cfRule>
  </conditionalFormatting>
  <conditionalFormatting sqref="E53">
    <cfRule type="expression" dxfId="1533" priority="47">
      <formula>AND(IF(OR($Q53=1,$Q53=2),1,0),IF($X53&lt;=20,1,0))</formula>
    </cfRule>
    <cfRule type="expression" dxfId="1532" priority="48">
      <formula>AND(IF($Q53=2,1,0),IF($X53&lt;30,1,0))</formula>
    </cfRule>
    <cfRule type="expression" dxfId="1531" priority="49">
      <formula>AND(IF($Q53=3,1,0),IF($X53&lt;30,1,0))</formula>
    </cfRule>
    <cfRule type="expression" dxfId="1530" priority="50">
      <formula>AND(IF($Q53=3,1,IF($Q53=4,1,0)),IF($F53&lt;=85,1,0))</formula>
    </cfRule>
  </conditionalFormatting>
  <conditionalFormatting sqref="X53">
    <cfRule type="expression" dxfId="1529" priority="43">
      <formula>AND(IF(OR($Q53=1,$Q53=2),1,0),IF($X53&lt;=20,1,0))</formula>
    </cfRule>
    <cfRule type="expression" dxfId="1528" priority="44">
      <formula>AND(IF($Q53=2,1,0),IF($X53&lt;30,1,0))</formula>
    </cfRule>
    <cfRule type="expression" dxfId="1527" priority="45">
      <formula>AND(IF($Q53=3,1,0),IF($X53&lt;30,1,0))</formula>
    </cfRule>
    <cfRule type="expression" dxfId="1526" priority="46">
      <formula>AND(IF($Q53=3,1,IF($Q53=4,1,0)),IF($F53&lt;=85,1,0))</formula>
    </cfRule>
  </conditionalFormatting>
  <conditionalFormatting sqref="AI53">
    <cfRule type="expression" dxfId="1525" priority="39">
      <formula>AND(IF(OR($Q53=1,$Q53=2),1,0),IF($X53&lt;=20,1,0))</formula>
    </cfRule>
    <cfRule type="expression" dxfId="1524" priority="40">
      <formula>AND(IF($Q53=2,1,0),IF($X53&lt;30,1,0))</formula>
    </cfRule>
    <cfRule type="expression" dxfId="1523" priority="41">
      <formula>AND(IF($Q53=3,1,0),IF($X53&lt;30,1,0))</formula>
    </cfRule>
    <cfRule type="expression" dxfId="1522" priority="42">
      <formula>AND(IF($Q53=3,1,IF($Q53=4,1,0)),IF($F53&lt;=85,1,0))</formula>
    </cfRule>
  </conditionalFormatting>
  <conditionalFormatting sqref="AV54">
    <cfRule type="expression" dxfId="1521" priority="37">
      <formula>AV54="X"</formula>
    </cfRule>
    <cfRule type="expression" dxfId="1520" priority="38">
      <formula>AV54="후보"</formula>
    </cfRule>
  </conditionalFormatting>
  <conditionalFormatting sqref="AC54">
    <cfRule type="cellIs" dxfId="1519" priority="34" operator="greaterThan">
      <formula>0.9</formula>
    </cfRule>
    <cfRule type="cellIs" dxfId="1518" priority="35" operator="greaterThan">
      <formula>0.85</formula>
    </cfRule>
  </conditionalFormatting>
  <conditionalFormatting sqref="N54">
    <cfRule type="cellIs" dxfId="1517" priority="32" operator="greaterThan">
      <formula>0.9</formula>
    </cfRule>
    <cfRule type="cellIs" dxfId="1516" priority="33" operator="greaterThan">
      <formula>0.85</formula>
    </cfRule>
  </conditionalFormatting>
  <conditionalFormatting sqref="E54">
    <cfRule type="expression" dxfId="1515" priority="28">
      <formula>AND(IF(OR($Q54=1,$Q54=2),1,0),IF($X54&lt;=20,1,0))</formula>
    </cfRule>
    <cfRule type="expression" dxfId="1514" priority="29">
      <formula>AND(IF($Q54=2,1,0),IF($X54&lt;30,1,0))</formula>
    </cfRule>
    <cfRule type="expression" dxfId="1513" priority="30">
      <formula>AND(IF($Q54=3,1,0),IF($X54&lt;30,1,0))</formula>
    </cfRule>
    <cfRule type="expression" dxfId="1512" priority="31">
      <formula>AND(IF($Q54=3,1,IF($Q54=4,1,0)),IF($F54&lt;=85,1,0))</formula>
    </cfRule>
  </conditionalFormatting>
  <conditionalFormatting sqref="X54">
    <cfRule type="expression" dxfId="1511" priority="24">
      <formula>AND(IF(OR($Q54=1,$Q54=2),1,0),IF($X54&lt;=20,1,0))</formula>
    </cfRule>
    <cfRule type="expression" dxfId="1510" priority="25">
      <formula>AND(IF($Q54=2,1,0),IF($X54&lt;30,1,0))</formula>
    </cfRule>
    <cfRule type="expression" dxfId="1509" priority="26">
      <formula>AND(IF($Q54=3,1,0),IF($X54&lt;30,1,0))</formula>
    </cfRule>
    <cfRule type="expression" dxfId="1508" priority="27">
      <formula>AND(IF($Q54=3,1,IF($Q54=4,1,0)),IF($F54&lt;=85,1,0))</formula>
    </cfRule>
  </conditionalFormatting>
  <conditionalFormatting sqref="AI54">
    <cfRule type="expression" dxfId="1507" priority="20">
      <formula>AND(IF(OR($Q54=1,$Q54=2),1,0),IF($X54&lt;=20,1,0))</formula>
    </cfRule>
    <cfRule type="expression" dxfId="1506" priority="21">
      <formula>AND(IF($Q54=2,1,0),IF($X54&lt;30,1,0))</formula>
    </cfRule>
    <cfRule type="expression" dxfId="1505" priority="22">
      <formula>AND(IF($Q54=3,1,0),IF($X54&lt;30,1,0))</formula>
    </cfRule>
    <cfRule type="expression" dxfId="1504" priority="23">
      <formula>AND(IF($Q54=3,1,IF($Q54=4,1,0)),IF($F54&lt;=85,1,0))</formula>
    </cfRule>
  </conditionalFormatting>
  <conditionalFormatting sqref="AV55">
    <cfRule type="expression" dxfId="1503" priority="18">
      <formula>AV55="X"</formula>
    </cfRule>
    <cfRule type="expression" dxfId="1502" priority="19">
      <formula>AV55="후보"</formula>
    </cfRule>
  </conditionalFormatting>
  <conditionalFormatting sqref="AC55">
    <cfRule type="cellIs" dxfId="1501" priority="15" operator="greaterThan">
      <formula>0.9</formula>
    </cfRule>
    <cfRule type="cellIs" dxfId="1500" priority="16" operator="greaterThan">
      <formula>0.85</formula>
    </cfRule>
  </conditionalFormatting>
  <conditionalFormatting sqref="N55">
    <cfRule type="cellIs" dxfId="1499" priority="13" operator="greaterThan">
      <formula>0.9</formula>
    </cfRule>
    <cfRule type="cellIs" dxfId="1498" priority="14" operator="greaterThan">
      <formula>0.85</formula>
    </cfRule>
  </conditionalFormatting>
  <conditionalFormatting sqref="E55">
    <cfRule type="expression" dxfId="1497" priority="9">
      <formula>AND(IF(OR($Q55=1,$Q55=2),1,0),IF($X55&lt;=20,1,0))</formula>
    </cfRule>
    <cfRule type="expression" dxfId="1496" priority="10">
      <formula>AND(IF($Q55=2,1,0),IF($X55&lt;30,1,0))</formula>
    </cfRule>
    <cfRule type="expression" dxfId="1495" priority="11">
      <formula>AND(IF($Q55=3,1,0),IF($X55&lt;30,1,0))</formula>
    </cfRule>
    <cfRule type="expression" dxfId="1494" priority="12">
      <formula>AND(IF($Q55=3,1,IF($Q55=4,1,0)),IF($F55&lt;=85,1,0))</formula>
    </cfRule>
  </conditionalFormatting>
  <conditionalFormatting sqref="X55">
    <cfRule type="expression" dxfId="1493" priority="5">
      <formula>AND(IF(OR($Q55=1,$Q55=2),1,0),IF($X55&lt;=20,1,0))</formula>
    </cfRule>
    <cfRule type="expression" dxfId="1492" priority="6">
      <formula>AND(IF($Q55=2,1,0),IF($X55&lt;30,1,0))</formula>
    </cfRule>
    <cfRule type="expression" dxfId="1491" priority="7">
      <formula>AND(IF($Q55=3,1,0),IF($X55&lt;30,1,0))</formula>
    </cfRule>
    <cfRule type="expression" dxfId="1490" priority="8">
      <formula>AND(IF($Q55=3,1,IF($Q55=4,1,0)),IF($F55&lt;=85,1,0))</formula>
    </cfRule>
  </conditionalFormatting>
  <conditionalFormatting sqref="AI55">
    <cfRule type="expression" dxfId="1489" priority="1">
      <formula>AND(IF(OR($Q55=1,$Q55=2),1,0),IF($X55&lt;=20,1,0))</formula>
    </cfRule>
    <cfRule type="expression" dxfId="1488" priority="2">
      <formula>AND(IF($Q55=2,1,0),IF($X55&lt;30,1,0))</formula>
    </cfRule>
    <cfRule type="expression" dxfId="1487" priority="3">
      <formula>AND(IF($Q55=3,1,0),IF($X55&lt;30,1,0))</formula>
    </cfRule>
    <cfRule type="expression" dxfId="1486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비하동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비하동 청주비하계룡리슈빌2차('09.11.,540^)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1033</v>
      </c>
      <c r="B6" s="10" t="s">
        <v>1401</v>
      </c>
      <c r="C6" s="88">
        <v>540</v>
      </c>
      <c r="D6" s="86">
        <v>114.9</v>
      </c>
      <c r="E6" s="87">
        <v>35</v>
      </c>
      <c r="F6" s="86">
        <v>85</v>
      </c>
      <c r="G6" s="17">
        <v>26</v>
      </c>
      <c r="H6" s="88">
        <v>176</v>
      </c>
      <c r="I6" s="89">
        <v>36000</v>
      </c>
      <c r="J6" s="89" t="s">
        <v>97</v>
      </c>
      <c r="K6" s="89"/>
      <c r="L6" s="89"/>
      <c r="M6" s="90">
        <f>I6-K6</f>
        <v>36000</v>
      </c>
      <c r="N6" s="4">
        <f>IF(ISERROR(K6/I6),"",K6/I6)</f>
        <v>0</v>
      </c>
      <c r="O6" s="91">
        <f>I6/E6</f>
        <v>1028.5714285714287</v>
      </c>
      <c r="P6" s="91">
        <f>K6/E6</f>
        <v>0</v>
      </c>
      <c r="Q6" s="79">
        <v>3</v>
      </c>
      <c r="R6" s="79">
        <v>2</v>
      </c>
      <c r="S6" s="79" t="s">
        <v>62</v>
      </c>
      <c r="T6" s="5">
        <v>114</v>
      </c>
      <c r="U6" s="9"/>
      <c r="W6" s="86">
        <f t="shared" ref="W6:X10" si="2">D6</f>
        <v>114.9</v>
      </c>
      <c r="X6" s="87">
        <f t="shared" si="2"/>
        <v>35</v>
      </c>
      <c r="Y6" s="92">
        <f t="shared" ref="Y6:Z10" si="3">H6</f>
        <v>176</v>
      </c>
      <c r="Z6" s="90">
        <f t="shared" si="3"/>
        <v>36000</v>
      </c>
      <c r="AA6" s="90">
        <f>K6</f>
        <v>0</v>
      </c>
      <c r="AB6" s="90">
        <f t="shared" ref="AB6:AD10" si="4">M6</f>
        <v>36000</v>
      </c>
      <c r="AC6" s="4">
        <f t="shared" si="4"/>
        <v>0</v>
      </c>
      <c r="AD6" s="91">
        <f t="shared" si="4"/>
        <v>1028.5714285714287</v>
      </c>
      <c r="AE6" s="79" t="str">
        <f>S6</f>
        <v>계</v>
      </c>
      <c r="AF6" s="79" t="str">
        <f>Q6&amp;"/"&amp;R6</f>
        <v>3/2</v>
      </c>
      <c r="AH6" s="20" t="str">
        <f t="shared" si="1"/>
        <v>청주비하계룡리슈빌2차</v>
      </c>
      <c r="AI6" s="87">
        <f t="shared" si="0"/>
        <v>35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1033</v>
      </c>
      <c r="B7" s="10" t="s">
        <v>1401</v>
      </c>
      <c r="C7" s="88">
        <v>540</v>
      </c>
      <c r="D7" s="86">
        <v>131.69999999999999</v>
      </c>
      <c r="E7" s="87">
        <v>40</v>
      </c>
      <c r="F7" s="86">
        <v>106.7</v>
      </c>
      <c r="G7" s="17">
        <v>32</v>
      </c>
      <c r="H7" s="88">
        <v>85</v>
      </c>
      <c r="I7" s="89">
        <v>42000</v>
      </c>
      <c r="J7" s="89" t="s">
        <v>79</v>
      </c>
      <c r="K7" s="89"/>
      <c r="L7" s="89"/>
      <c r="M7" s="90">
        <f>I7-K7</f>
        <v>42000</v>
      </c>
      <c r="N7" s="4">
        <f>IF(ISERROR(K7/I7),"",K7/I7)</f>
        <v>0</v>
      </c>
      <c r="O7" s="91">
        <f>I7/E7</f>
        <v>1050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179</v>
      </c>
      <c r="U7" s="9"/>
      <c r="W7" s="86">
        <f t="shared" si="2"/>
        <v>131.69999999999999</v>
      </c>
      <c r="X7" s="87">
        <f t="shared" si="2"/>
        <v>40</v>
      </c>
      <c r="Y7" s="92">
        <f t="shared" si="3"/>
        <v>85</v>
      </c>
      <c r="Z7" s="90">
        <f t="shared" si="3"/>
        <v>42000</v>
      </c>
      <c r="AA7" s="90">
        <f>K7</f>
        <v>0</v>
      </c>
      <c r="AB7" s="90">
        <f t="shared" si="4"/>
        <v>42000</v>
      </c>
      <c r="AC7" s="4">
        <f t="shared" si="4"/>
        <v>0</v>
      </c>
      <c r="AD7" s="91">
        <f t="shared" si="4"/>
        <v>1050</v>
      </c>
      <c r="AE7" s="79" t="str">
        <f>S7</f>
        <v>계</v>
      </c>
      <c r="AF7" s="79" t="str">
        <f>Q7&amp;"/"&amp;R7</f>
        <v>3/2</v>
      </c>
      <c r="AH7" s="20" t="str">
        <f t="shared" si="1"/>
        <v>청주비하계룡리슈빌2차</v>
      </c>
      <c r="AI7" s="87">
        <f t="shared" si="0"/>
        <v>40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1033</v>
      </c>
      <c r="B8" s="10" t="s">
        <v>1401</v>
      </c>
      <c r="C8" s="88">
        <v>540</v>
      </c>
      <c r="D8" s="86">
        <v>131.69999999999999</v>
      </c>
      <c r="E8" s="87">
        <v>40</v>
      </c>
      <c r="F8" s="86">
        <v>106.7</v>
      </c>
      <c r="G8" s="17">
        <v>32</v>
      </c>
      <c r="H8" s="88">
        <v>83</v>
      </c>
      <c r="I8" s="89">
        <v>42000</v>
      </c>
      <c r="J8" s="89" t="s">
        <v>79</v>
      </c>
      <c r="K8" s="89"/>
      <c r="L8" s="89"/>
      <c r="M8" s="90">
        <f>I8-K8</f>
        <v>42000</v>
      </c>
      <c r="N8" s="4">
        <f>IF(ISERROR(K8/I8),"",K8/I8)</f>
        <v>0</v>
      </c>
      <c r="O8" s="91">
        <f>I8/E8</f>
        <v>1050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85</v>
      </c>
      <c r="U8" s="9"/>
      <c r="W8" s="86">
        <f t="shared" si="2"/>
        <v>131.69999999999999</v>
      </c>
      <c r="X8" s="87">
        <f t="shared" si="2"/>
        <v>40</v>
      </c>
      <c r="Y8" s="92">
        <f t="shared" si="3"/>
        <v>83</v>
      </c>
      <c r="Z8" s="90">
        <f t="shared" si="3"/>
        <v>42000</v>
      </c>
      <c r="AA8" s="90">
        <f>K8</f>
        <v>0</v>
      </c>
      <c r="AB8" s="90">
        <f t="shared" si="4"/>
        <v>42000</v>
      </c>
      <c r="AC8" s="4">
        <f t="shared" si="4"/>
        <v>0</v>
      </c>
      <c r="AD8" s="91">
        <f t="shared" si="4"/>
        <v>1050</v>
      </c>
      <c r="AE8" s="79" t="str">
        <f>S8</f>
        <v>계</v>
      </c>
      <c r="AF8" s="79" t="str">
        <f>Q8&amp;"/"&amp;R8</f>
        <v>3/2</v>
      </c>
      <c r="AH8" s="20" t="str">
        <f t="shared" si="1"/>
        <v>청주비하계룡리슈빌2차</v>
      </c>
      <c r="AI8" s="87">
        <f t="shared" si="0"/>
        <v>40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1033</v>
      </c>
      <c r="B9" s="10" t="s">
        <v>1401</v>
      </c>
      <c r="C9" s="88">
        <v>540</v>
      </c>
      <c r="D9" s="86">
        <v>151.80000000000001</v>
      </c>
      <c r="E9" s="87">
        <v>46</v>
      </c>
      <c r="F9" s="86">
        <v>123.8</v>
      </c>
      <c r="G9" s="17">
        <v>37</v>
      </c>
      <c r="H9" s="88">
        <v>85</v>
      </c>
      <c r="I9" s="89">
        <v>53000</v>
      </c>
      <c r="J9" s="89" t="s">
        <v>88</v>
      </c>
      <c r="K9" s="89">
        <v>40000</v>
      </c>
      <c r="L9" s="89" t="s">
        <v>102</v>
      </c>
      <c r="M9" s="90">
        <f>I9-K9</f>
        <v>13000</v>
      </c>
      <c r="N9" s="4">
        <f>IF(ISERROR(K9/I9),"",K9/I9)</f>
        <v>0.75471698113207553</v>
      </c>
      <c r="O9" s="91">
        <f>I9/E9</f>
        <v>1152.1739130434783</v>
      </c>
      <c r="P9" s="91">
        <f>K9/E9</f>
        <v>869.56521739130437</v>
      </c>
      <c r="Q9" s="79">
        <v>4</v>
      </c>
      <c r="R9" s="79">
        <v>2</v>
      </c>
      <c r="S9" s="79" t="s">
        <v>62</v>
      </c>
      <c r="T9" s="5">
        <v>151</v>
      </c>
      <c r="U9" s="9"/>
      <c r="W9" s="86">
        <f t="shared" si="2"/>
        <v>151.80000000000001</v>
      </c>
      <c r="X9" s="87">
        <f t="shared" si="2"/>
        <v>46</v>
      </c>
      <c r="Y9" s="92">
        <f t="shared" si="3"/>
        <v>85</v>
      </c>
      <c r="Z9" s="90">
        <f t="shared" si="3"/>
        <v>53000</v>
      </c>
      <c r="AA9" s="90">
        <f>K9</f>
        <v>40000</v>
      </c>
      <c r="AB9" s="90">
        <f t="shared" si="4"/>
        <v>13000</v>
      </c>
      <c r="AC9" s="4">
        <f t="shared" si="4"/>
        <v>0.75471698113207553</v>
      </c>
      <c r="AD9" s="91">
        <f t="shared" si="4"/>
        <v>1152.1739130434783</v>
      </c>
      <c r="AE9" s="79" t="str">
        <f>S9</f>
        <v>계</v>
      </c>
      <c r="AF9" s="79" t="str">
        <f>Q9&amp;"/"&amp;R9</f>
        <v>4/2</v>
      </c>
      <c r="AH9" s="20" t="str">
        <f t="shared" si="1"/>
        <v>청주비하계룡리슈빌2차</v>
      </c>
      <c r="AI9" s="87">
        <f t="shared" si="0"/>
        <v>46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1033</v>
      </c>
      <c r="B10" s="10" t="s">
        <v>1401</v>
      </c>
      <c r="C10" s="88">
        <v>540</v>
      </c>
      <c r="D10" s="86">
        <v>184.6</v>
      </c>
      <c r="E10" s="87">
        <v>56</v>
      </c>
      <c r="F10" s="86">
        <v>155.4</v>
      </c>
      <c r="G10" s="17">
        <v>47</v>
      </c>
      <c r="H10" s="88">
        <v>111</v>
      </c>
      <c r="I10" s="89">
        <v>56000</v>
      </c>
      <c r="J10" s="89" t="s">
        <v>71</v>
      </c>
      <c r="K10" s="89">
        <v>38000</v>
      </c>
      <c r="L10" s="89" t="s">
        <v>81</v>
      </c>
      <c r="M10" s="90">
        <f>I10-K10</f>
        <v>18000</v>
      </c>
      <c r="N10" s="4">
        <f>IF(ISERROR(K10/I10),"",K10/I10)</f>
        <v>0.6785714285714286</v>
      </c>
      <c r="O10" s="91">
        <f>I10/E10</f>
        <v>1000</v>
      </c>
      <c r="P10" s="91">
        <f>K10/E10</f>
        <v>678.57142857142856</v>
      </c>
      <c r="Q10" s="79">
        <v>4</v>
      </c>
      <c r="R10" s="79">
        <v>2</v>
      </c>
      <c r="S10" s="79" t="s">
        <v>62</v>
      </c>
      <c r="T10" s="5">
        <v>184</v>
      </c>
      <c r="U10" s="9"/>
      <c r="W10" s="86">
        <f t="shared" si="2"/>
        <v>184.6</v>
      </c>
      <c r="X10" s="87">
        <f t="shared" si="2"/>
        <v>56</v>
      </c>
      <c r="Y10" s="92">
        <f t="shared" si="3"/>
        <v>111</v>
      </c>
      <c r="Z10" s="90">
        <f t="shared" si="3"/>
        <v>56000</v>
      </c>
      <c r="AA10" s="90">
        <f>K10</f>
        <v>38000</v>
      </c>
      <c r="AB10" s="90">
        <f t="shared" si="4"/>
        <v>18000</v>
      </c>
      <c r="AC10" s="4">
        <f t="shared" si="4"/>
        <v>0.6785714285714286</v>
      </c>
      <c r="AD10" s="91">
        <f t="shared" si="4"/>
        <v>1000</v>
      </c>
      <c r="AE10" s="79" t="str">
        <f>S10</f>
        <v>계</v>
      </c>
      <c r="AF10" s="79" t="str">
        <f>Q10&amp;"/"&amp;R10</f>
        <v>4/2</v>
      </c>
      <c r="AH10" s="20" t="str">
        <f t="shared" si="1"/>
        <v>청주비하계룡리슈빌2차</v>
      </c>
      <c r="AI10" s="87">
        <f t="shared" si="0"/>
        <v>56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비하동 청주비하대광로제비앙1차('18.02.,418^)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1049</v>
      </c>
      <c r="B12" s="10" t="s">
        <v>1402</v>
      </c>
      <c r="C12" s="88">
        <v>418</v>
      </c>
      <c r="D12" s="86">
        <v>112.7</v>
      </c>
      <c r="E12" s="87">
        <v>34</v>
      </c>
      <c r="F12" s="86">
        <v>85</v>
      </c>
      <c r="G12" s="17">
        <v>26</v>
      </c>
      <c r="H12" s="88">
        <v>289</v>
      </c>
      <c r="I12" s="89">
        <v>42000</v>
      </c>
      <c r="J12" s="89" t="s">
        <v>89</v>
      </c>
      <c r="K12" s="89">
        <v>34000</v>
      </c>
      <c r="L12" s="89" t="s">
        <v>89</v>
      </c>
      <c r="M12" s="90">
        <f>I12-K12</f>
        <v>8000</v>
      </c>
      <c r="N12" s="4">
        <f>IF(ISERROR(K12/I12),"",K12/I12)</f>
        <v>0.80952380952380953</v>
      </c>
      <c r="O12" s="91">
        <f>I12/E12</f>
        <v>1235.2941176470588</v>
      </c>
      <c r="P12" s="91">
        <f>K12/E12</f>
        <v>1000</v>
      </c>
      <c r="Q12" s="79">
        <v>4</v>
      </c>
      <c r="R12" s="79">
        <v>2</v>
      </c>
      <c r="S12" s="79" t="s">
        <v>62</v>
      </c>
      <c r="T12" s="5" t="s">
        <v>106</v>
      </c>
      <c r="U12" s="9"/>
      <c r="W12" s="86">
        <f>D12</f>
        <v>112.7</v>
      </c>
      <c r="X12" s="87">
        <f>E12</f>
        <v>34</v>
      </c>
      <c r="Y12" s="92">
        <f>H12</f>
        <v>289</v>
      </c>
      <c r="Z12" s="90">
        <f>I12</f>
        <v>42000</v>
      </c>
      <c r="AA12" s="90">
        <f>K12</f>
        <v>34000</v>
      </c>
      <c r="AB12" s="90">
        <f t="shared" ref="AB12:AD13" si="5">M12</f>
        <v>8000</v>
      </c>
      <c r="AC12" s="4">
        <f t="shared" si="5"/>
        <v>0.80952380952380953</v>
      </c>
      <c r="AD12" s="91">
        <f t="shared" si="5"/>
        <v>1235.2941176470588</v>
      </c>
      <c r="AE12" s="79" t="str">
        <f>S12</f>
        <v>계</v>
      </c>
      <c r="AF12" s="79" t="str">
        <f>Q12&amp;"/"&amp;R12</f>
        <v>4/2</v>
      </c>
      <c r="AH12" s="20" t="str">
        <f t="shared" si="1"/>
        <v>청주비하대광로제비앙1차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O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1049</v>
      </c>
      <c r="B13" s="10" t="s">
        <v>1402</v>
      </c>
      <c r="C13" s="88">
        <v>418</v>
      </c>
      <c r="D13" s="86">
        <v>113</v>
      </c>
      <c r="E13" s="87">
        <v>34</v>
      </c>
      <c r="F13" s="86">
        <v>84.9</v>
      </c>
      <c r="G13" s="17">
        <v>26</v>
      </c>
      <c r="H13" s="88">
        <v>129</v>
      </c>
      <c r="I13" s="89">
        <v>39000</v>
      </c>
      <c r="J13" s="89" t="s">
        <v>83</v>
      </c>
      <c r="K13" s="89">
        <v>35000</v>
      </c>
      <c r="L13" s="89" t="s">
        <v>69</v>
      </c>
      <c r="M13" s="90">
        <f>I13-K13</f>
        <v>4000</v>
      </c>
      <c r="N13" s="4">
        <f>IF(ISERROR(K13/I13),"",K13/I13)</f>
        <v>0.89743589743589747</v>
      </c>
      <c r="O13" s="91">
        <f>I13/E13</f>
        <v>1147.0588235294117</v>
      </c>
      <c r="P13" s="91">
        <f>K13/E13</f>
        <v>1029.4117647058824</v>
      </c>
      <c r="Q13" s="79">
        <v>4</v>
      </c>
      <c r="R13" s="79">
        <v>2</v>
      </c>
      <c r="S13" s="79" t="s">
        <v>62</v>
      </c>
      <c r="T13" s="5" t="s">
        <v>107</v>
      </c>
      <c r="U13" s="9"/>
      <c r="W13" s="86">
        <f>D13</f>
        <v>113</v>
      </c>
      <c r="X13" s="87">
        <f>E13</f>
        <v>34</v>
      </c>
      <c r="Y13" s="92">
        <f>H13</f>
        <v>129</v>
      </c>
      <c r="Z13" s="90">
        <f>I13</f>
        <v>39000</v>
      </c>
      <c r="AA13" s="90">
        <f>K13</f>
        <v>35000</v>
      </c>
      <c r="AB13" s="90">
        <f t="shared" si="5"/>
        <v>4000</v>
      </c>
      <c r="AC13" s="4">
        <f t="shared" si="5"/>
        <v>0.89743589743589747</v>
      </c>
      <c r="AD13" s="91">
        <f t="shared" si="5"/>
        <v>1147.0588235294117</v>
      </c>
      <c r="AE13" s="79" t="str">
        <f>S13</f>
        <v>계</v>
      </c>
      <c r="AF13" s="79" t="str">
        <f>Q13&amp;"/"&amp;R13</f>
        <v>4/2</v>
      </c>
      <c r="AH13" s="20" t="str">
        <f t="shared" si="1"/>
        <v>청주비하대광로제비앙1차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>O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후보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비하동 서청주파크자이('19.09.,1495^)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1054</v>
      </c>
      <c r="B15" s="10" t="s">
        <v>1366</v>
      </c>
      <c r="C15" s="88">
        <v>1495</v>
      </c>
      <c r="D15" s="86">
        <v>82.2</v>
      </c>
      <c r="E15" s="87">
        <v>25</v>
      </c>
      <c r="F15" s="86">
        <v>59.9</v>
      </c>
      <c r="G15" s="17">
        <v>18</v>
      </c>
      <c r="H15" s="88">
        <v>159</v>
      </c>
      <c r="I15" s="89">
        <v>40500</v>
      </c>
      <c r="J15" s="89" t="s">
        <v>83</v>
      </c>
      <c r="K15" s="89">
        <v>34000</v>
      </c>
      <c r="L15" s="89" t="s">
        <v>102</v>
      </c>
      <c r="M15" s="90">
        <f>I15-K15</f>
        <v>6500</v>
      </c>
      <c r="N15" s="4">
        <f>IF(ISERROR(K15/I15),"",K15/I15)</f>
        <v>0.83950617283950613</v>
      </c>
      <c r="O15" s="91">
        <f>I15/E15</f>
        <v>1620</v>
      </c>
      <c r="P15" s="91">
        <f>K15/E15</f>
        <v>1360</v>
      </c>
      <c r="Q15" s="79">
        <v>3</v>
      </c>
      <c r="R15" s="79">
        <v>2</v>
      </c>
      <c r="S15" s="79" t="s">
        <v>62</v>
      </c>
      <c r="T15" s="5">
        <v>82</v>
      </c>
      <c r="U15" s="9"/>
      <c r="W15" s="86">
        <f t="shared" ref="W15:X19" si="6">D15</f>
        <v>82.2</v>
      </c>
      <c r="X15" s="87">
        <f t="shared" si="6"/>
        <v>25</v>
      </c>
      <c r="Y15" s="92">
        <f t="shared" ref="Y15:Z19" si="7">H15</f>
        <v>159</v>
      </c>
      <c r="Z15" s="90">
        <f t="shared" si="7"/>
        <v>40500</v>
      </c>
      <c r="AA15" s="90">
        <f>K15</f>
        <v>34000</v>
      </c>
      <c r="AB15" s="90">
        <f t="shared" ref="AB15:AD19" si="8">M15</f>
        <v>6500</v>
      </c>
      <c r="AC15" s="4">
        <f t="shared" si="8"/>
        <v>0.83950617283950613</v>
      </c>
      <c r="AD15" s="91">
        <f t="shared" si="8"/>
        <v>1620</v>
      </c>
      <c r="AE15" s="79" t="str">
        <f>S15</f>
        <v>계</v>
      </c>
      <c r="AF15" s="79" t="str">
        <f>Q15&amp;"/"&amp;R15</f>
        <v>3/2</v>
      </c>
      <c r="AH15" s="20" t="str">
        <f t="shared" si="1"/>
        <v>서청주파크자이</v>
      </c>
      <c r="AI15" s="87">
        <f t="shared" si="0"/>
        <v>25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1054</v>
      </c>
      <c r="B16" s="10" t="s">
        <v>1366</v>
      </c>
      <c r="C16" s="88">
        <v>1495</v>
      </c>
      <c r="D16" s="86">
        <v>98.7</v>
      </c>
      <c r="E16" s="87">
        <v>30</v>
      </c>
      <c r="F16" s="86">
        <v>74.400000000000006</v>
      </c>
      <c r="G16" s="17">
        <v>22</v>
      </c>
      <c r="H16" s="88">
        <v>334</v>
      </c>
      <c r="I16" s="89">
        <v>49000</v>
      </c>
      <c r="J16" s="89" t="s">
        <v>97</v>
      </c>
      <c r="K16" s="89">
        <v>39000</v>
      </c>
      <c r="L16" s="89" t="s">
        <v>79</v>
      </c>
      <c r="M16" s="90">
        <f>I16-K16</f>
        <v>10000</v>
      </c>
      <c r="N16" s="4">
        <f>IF(ISERROR(K16/I16),"",K16/I16)</f>
        <v>0.79591836734693877</v>
      </c>
      <c r="O16" s="91">
        <f>I16/E16</f>
        <v>1633.3333333333333</v>
      </c>
      <c r="P16" s="91">
        <f>K16/E16</f>
        <v>1300</v>
      </c>
      <c r="Q16" s="79">
        <v>3</v>
      </c>
      <c r="R16" s="79">
        <v>2</v>
      </c>
      <c r="S16" s="79" t="s">
        <v>62</v>
      </c>
      <c r="T16" s="5">
        <v>98</v>
      </c>
      <c r="U16" s="9"/>
      <c r="W16" s="86">
        <f t="shared" si="6"/>
        <v>98.7</v>
      </c>
      <c r="X16" s="87">
        <f t="shared" si="6"/>
        <v>30</v>
      </c>
      <c r="Y16" s="92">
        <f t="shared" si="7"/>
        <v>334</v>
      </c>
      <c r="Z16" s="90">
        <f t="shared" si="7"/>
        <v>49000</v>
      </c>
      <c r="AA16" s="90">
        <f>K16</f>
        <v>39000</v>
      </c>
      <c r="AB16" s="90">
        <f t="shared" si="8"/>
        <v>10000</v>
      </c>
      <c r="AC16" s="4">
        <f t="shared" si="8"/>
        <v>0.79591836734693877</v>
      </c>
      <c r="AD16" s="91">
        <f t="shared" si="8"/>
        <v>1633.3333333333333</v>
      </c>
      <c r="AE16" s="79" t="str">
        <f>S16</f>
        <v>계</v>
      </c>
      <c r="AF16" s="79" t="str">
        <f>Q16&amp;"/"&amp;R16</f>
        <v>3/2</v>
      </c>
      <c r="AH16" s="20" t="str">
        <f t="shared" si="1"/>
        <v>서청주파크자이</v>
      </c>
      <c r="AI16" s="87">
        <f t="shared" si="0"/>
        <v>30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1054</v>
      </c>
      <c r="B17" s="10" t="s">
        <v>1366</v>
      </c>
      <c r="C17" s="88">
        <v>1495</v>
      </c>
      <c r="D17" s="86">
        <v>112.2</v>
      </c>
      <c r="E17" s="87">
        <v>34</v>
      </c>
      <c r="F17" s="86">
        <v>85</v>
      </c>
      <c r="G17" s="17">
        <v>26</v>
      </c>
      <c r="H17" s="88">
        <v>636</v>
      </c>
      <c r="I17" s="89">
        <v>58000</v>
      </c>
      <c r="J17" s="89" t="s">
        <v>70</v>
      </c>
      <c r="K17" s="89">
        <v>43000</v>
      </c>
      <c r="L17" s="89" t="s">
        <v>102</v>
      </c>
      <c r="M17" s="90">
        <f>I17-K17</f>
        <v>15000</v>
      </c>
      <c r="N17" s="4">
        <f>IF(ISERROR(K17/I17),"",K17/I17)</f>
        <v>0.74137931034482762</v>
      </c>
      <c r="O17" s="91">
        <f>I17/E17</f>
        <v>1705.8823529411766</v>
      </c>
      <c r="P17" s="91">
        <f>K17/E17</f>
        <v>1264.7058823529412</v>
      </c>
      <c r="Q17" s="79">
        <v>3</v>
      </c>
      <c r="R17" s="79">
        <v>2</v>
      </c>
      <c r="S17" s="79" t="s">
        <v>62</v>
      </c>
      <c r="T17" s="5" t="s">
        <v>106</v>
      </c>
      <c r="U17" s="9"/>
      <c r="W17" s="86">
        <f t="shared" si="6"/>
        <v>112.2</v>
      </c>
      <c r="X17" s="87">
        <f t="shared" si="6"/>
        <v>34</v>
      </c>
      <c r="Y17" s="92">
        <f t="shared" si="7"/>
        <v>636</v>
      </c>
      <c r="Z17" s="90">
        <f t="shared" si="7"/>
        <v>58000</v>
      </c>
      <c r="AA17" s="90">
        <f>K17</f>
        <v>43000</v>
      </c>
      <c r="AB17" s="90">
        <f t="shared" si="8"/>
        <v>15000</v>
      </c>
      <c r="AC17" s="4">
        <f t="shared" si="8"/>
        <v>0.74137931034482762</v>
      </c>
      <c r="AD17" s="91">
        <f t="shared" si="8"/>
        <v>1705.8823529411766</v>
      </c>
      <c r="AE17" s="79" t="str">
        <f>S17</f>
        <v>계</v>
      </c>
      <c r="AF17" s="79" t="str">
        <f>Q17&amp;"/"&amp;R17</f>
        <v>3/2</v>
      </c>
      <c r="AH17" s="20" t="str">
        <f t="shared" si="1"/>
        <v>서청주파크자이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1054</v>
      </c>
      <c r="B18" s="10" t="s">
        <v>1366</v>
      </c>
      <c r="C18" s="88">
        <v>1495</v>
      </c>
      <c r="D18" s="86">
        <v>112.4</v>
      </c>
      <c r="E18" s="87">
        <v>34</v>
      </c>
      <c r="F18" s="86">
        <v>85</v>
      </c>
      <c r="G18" s="17">
        <v>26</v>
      </c>
      <c r="H18" s="88">
        <v>219</v>
      </c>
      <c r="I18" s="89">
        <v>57000</v>
      </c>
      <c r="J18" s="89" t="s">
        <v>75</v>
      </c>
      <c r="K18" s="89">
        <v>45000</v>
      </c>
      <c r="L18" s="89" t="s">
        <v>64</v>
      </c>
      <c r="M18" s="90">
        <f>I18-K18</f>
        <v>12000</v>
      </c>
      <c r="N18" s="4">
        <f>IF(ISERROR(K18/I18),"",K18/I18)</f>
        <v>0.78947368421052633</v>
      </c>
      <c r="O18" s="91">
        <f>I18/E18</f>
        <v>1676.4705882352941</v>
      </c>
      <c r="P18" s="91">
        <f>K18/E18</f>
        <v>1323.5294117647059</v>
      </c>
      <c r="Q18" s="79">
        <v>3</v>
      </c>
      <c r="R18" s="79">
        <v>2</v>
      </c>
      <c r="S18" s="79" t="s">
        <v>62</v>
      </c>
      <c r="T18" s="5" t="s">
        <v>107</v>
      </c>
      <c r="U18" s="9"/>
      <c r="W18" s="86">
        <f t="shared" si="6"/>
        <v>112.4</v>
      </c>
      <c r="X18" s="87">
        <f t="shared" si="6"/>
        <v>34</v>
      </c>
      <c r="Y18" s="92">
        <f t="shared" si="7"/>
        <v>219</v>
      </c>
      <c r="Z18" s="90">
        <f t="shared" si="7"/>
        <v>57000</v>
      </c>
      <c r="AA18" s="90">
        <f>K18</f>
        <v>45000</v>
      </c>
      <c r="AB18" s="90">
        <f t="shared" si="8"/>
        <v>12000</v>
      </c>
      <c r="AC18" s="4">
        <f t="shared" si="8"/>
        <v>0.78947368421052633</v>
      </c>
      <c r="AD18" s="91">
        <f t="shared" si="8"/>
        <v>1676.4705882352941</v>
      </c>
      <c r="AE18" s="79" t="str">
        <f>S18</f>
        <v>계</v>
      </c>
      <c r="AF18" s="79" t="str">
        <f>Q18&amp;"/"&amp;R18</f>
        <v>3/2</v>
      </c>
      <c r="AH18" s="20" t="str">
        <f t="shared" si="1"/>
        <v>서청주파크자이</v>
      </c>
      <c r="AI18" s="87">
        <f t="shared" si="0"/>
        <v>34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 t="s">
        <v>1054</v>
      </c>
      <c r="B19" s="10" t="s">
        <v>1366</v>
      </c>
      <c r="C19" s="88">
        <v>1495</v>
      </c>
      <c r="D19" s="86">
        <v>138.19999999999999</v>
      </c>
      <c r="E19" s="87">
        <v>42</v>
      </c>
      <c r="F19" s="86">
        <v>111</v>
      </c>
      <c r="G19" s="17">
        <v>34</v>
      </c>
      <c r="H19" s="88">
        <v>147</v>
      </c>
      <c r="I19" s="89">
        <v>75000</v>
      </c>
      <c r="J19" s="89" t="s">
        <v>68</v>
      </c>
      <c r="K19" s="89"/>
      <c r="L19" s="89"/>
      <c r="M19" s="90">
        <f>I19-K19</f>
        <v>75000</v>
      </c>
      <c r="N19" s="4">
        <f>IF(ISERROR(K19/I19),"",K19/I19)</f>
        <v>0</v>
      </c>
      <c r="O19" s="91">
        <f>I19/E19</f>
        <v>1785.7142857142858</v>
      </c>
      <c r="P19" s="91">
        <f>K19/E19</f>
        <v>0</v>
      </c>
      <c r="Q19" s="79">
        <v>4</v>
      </c>
      <c r="R19" s="79">
        <v>2</v>
      </c>
      <c r="S19" s="79" t="s">
        <v>62</v>
      </c>
      <c r="T19" s="5">
        <v>138</v>
      </c>
      <c r="U19" s="9"/>
      <c r="W19" s="86">
        <f t="shared" si="6"/>
        <v>138.19999999999999</v>
      </c>
      <c r="X19" s="87">
        <f t="shared" si="6"/>
        <v>42</v>
      </c>
      <c r="Y19" s="92">
        <f t="shared" si="7"/>
        <v>147</v>
      </c>
      <c r="Z19" s="90">
        <f t="shared" si="7"/>
        <v>75000</v>
      </c>
      <c r="AA19" s="90">
        <f>K19</f>
        <v>0</v>
      </c>
      <c r="AB19" s="90">
        <f t="shared" si="8"/>
        <v>75000</v>
      </c>
      <c r="AC19" s="4">
        <f t="shared" si="8"/>
        <v>0</v>
      </c>
      <c r="AD19" s="91">
        <f t="shared" si="8"/>
        <v>1785.7142857142858</v>
      </c>
      <c r="AE19" s="79" t="str">
        <f>S19</f>
        <v>계</v>
      </c>
      <c r="AF19" s="79" t="str">
        <f>Q19&amp;"/"&amp;R19</f>
        <v>4/2</v>
      </c>
      <c r="AH19" s="20" t="str">
        <f t="shared" si="1"/>
        <v>서청주파크자이</v>
      </c>
      <c r="AI19" s="87">
        <f t="shared" si="0"/>
        <v>42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/>
      <c r="B20" s="79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비하동 삼일('90.06.,365^)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11" t="str">
        <f t="shared" si="0"/>
        <v/>
      </c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</row>
    <row r="21" spans="1:48" x14ac:dyDescent="0.3">
      <c r="A21" s="9" t="s">
        <v>1058</v>
      </c>
      <c r="B21" s="10" t="s">
        <v>1403</v>
      </c>
      <c r="C21" s="88">
        <v>365</v>
      </c>
      <c r="D21" s="86">
        <v>82.5</v>
      </c>
      <c r="E21" s="87">
        <v>25</v>
      </c>
      <c r="F21" s="86">
        <v>59.9</v>
      </c>
      <c r="G21" s="17">
        <v>18</v>
      </c>
      <c r="H21" s="88">
        <v>128</v>
      </c>
      <c r="I21" s="89">
        <v>12000</v>
      </c>
      <c r="J21" s="89" t="s">
        <v>88</v>
      </c>
      <c r="K21" s="89">
        <v>11000</v>
      </c>
      <c r="L21" s="89" t="s">
        <v>71</v>
      </c>
      <c r="M21" s="90">
        <f>I21-K21</f>
        <v>1000</v>
      </c>
      <c r="N21" s="4">
        <f>IF(ISERROR(K21/I21),"",K21/I21)</f>
        <v>0.91666666666666663</v>
      </c>
      <c r="O21" s="91">
        <f>I21/E21</f>
        <v>480</v>
      </c>
      <c r="P21" s="91">
        <f>K21/E21</f>
        <v>440</v>
      </c>
      <c r="Q21" s="79">
        <v>3</v>
      </c>
      <c r="R21" s="79">
        <v>1</v>
      </c>
      <c r="S21" s="79" t="s">
        <v>59</v>
      </c>
      <c r="T21" s="5">
        <v>82</v>
      </c>
      <c r="U21" s="9"/>
      <c r="W21" s="86">
        <f t="shared" ref="W21:X24" si="9">D21</f>
        <v>82.5</v>
      </c>
      <c r="X21" s="87">
        <f t="shared" si="9"/>
        <v>25</v>
      </c>
      <c r="Y21" s="92">
        <f t="shared" ref="Y21:Z24" si="10">H21</f>
        <v>128</v>
      </c>
      <c r="Z21" s="90">
        <f t="shared" si="10"/>
        <v>12000</v>
      </c>
      <c r="AA21" s="90">
        <f>K21</f>
        <v>11000</v>
      </c>
      <c r="AB21" s="90">
        <f t="shared" ref="AB21:AD24" si="11">M21</f>
        <v>1000</v>
      </c>
      <c r="AC21" s="4">
        <f t="shared" si="11"/>
        <v>0.91666666666666663</v>
      </c>
      <c r="AD21" s="91">
        <f t="shared" si="11"/>
        <v>480</v>
      </c>
      <c r="AE21" s="79" t="str">
        <f>S21</f>
        <v>복</v>
      </c>
      <c r="AF21" s="79" t="str">
        <f>Q21&amp;"/"&amp;R21</f>
        <v>3/1</v>
      </c>
      <c r="AH21" s="20" t="str">
        <f t="shared" si="1"/>
        <v>삼일</v>
      </c>
      <c r="AI21" s="87">
        <f t="shared" si="0"/>
        <v>25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후보</v>
      </c>
    </row>
    <row r="22" spans="1:48" x14ac:dyDescent="0.3">
      <c r="A22" s="9" t="s">
        <v>1058</v>
      </c>
      <c r="B22" s="10" t="s">
        <v>1403</v>
      </c>
      <c r="C22" s="88">
        <v>365</v>
      </c>
      <c r="D22" s="86">
        <v>93.3</v>
      </c>
      <c r="E22" s="87">
        <v>28</v>
      </c>
      <c r="F22" s="86">
        <v>74.7</v>
      </c>
      <c r="G22" s="17">
        <v>23</v>
      </c>
      <c r="H22" s="88">
        <v>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62</v>
      </c>
      <c r="T22" s="5">
        <v>93</v>
      </c>
      <c r="U22" s="9"/>
      <c r="W22" s="86">
        <f t="shared" si="9"/>
        <v>93.3</v>
      </c>
      <c r="X22" s="87">
        <f t="shared" si="9"/>
        <v>28</v>
      </c>
      <c r="Y22" s="92">
        <f t="shared" si="10"/>
        <v>7</v>
      </c>
      <c r="Z22" s="90">
        <f t="shared" si="10"/>
        <v>0</v>
      </c>
      <c r="AA22" s="90">
        <f>K22</f>
        <v>0</v>
      </c>
      <c r="AB22" s="90">
        <f t="shared" si="11"/>
        <v>0</v>
      </c>
      <c r="AC22" s="4" t="str">
        <f t="shared" si="11"/>
        <v/>
      </c>
      <c r="AD22" s="91">
        <f t="shared" si="11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삼일</v>
      </c>
      <c r="AI22" s="87">
        <f t="shared" si="0"/>
        <v>28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1058</v>
      </c>
      <c r="B23" s="10" t="s">
        <v>1403</v>
      </c>
      <c r="C23" s="88">
        <v>365</v>
      </c>
      <c r="D23" s="86">
        <v>96</v>
      </c>
      <c r="E23" s="87">
        <v>29</v>
      </c>
      <c r="F23" s="86">
        <v>69.599999999999994</v>
      </c>
      <c r="G23" s="17">
        <v>21</v>
      </c>
      <c r="H23" s="88">
        <v>102</v>
      </c>
      <c r="I23" s="89">
        <v>14500</v>
      </c>
      <c r="J23" s="89" t="s">
        <v>71</v>
      </c>
      <c r="K23" s="89">
        <v>14000</v>
      </c>
      <c r="L23" s="89" t="s">
        <v>89</v>
      </c>
      <c r="M23" s="90">
        <f>I23-K23</f>
        <v>500</v>
      </c>
      <c r="N23" s="4">
        <f>IF(ISERROR(K23/I23),"",K23/I23)</f>
        <v>0.96551724137931039</v>
      </c>
      <c r="O23" s="91">
        <f>I23/E23</f>
        <v>500</v>
      </c>
      <c r="P23" s="91">
        <f>K23/E23</f>
        <v>482.75862068965517</v>
      </c>
      <c r="Q23" s="79">
        <v>3</v>
      </c>
      <c r="R23" s="79">
        <v>1</v>
      </c>
      <c r="S23" s="79" t="s">
        <v>59</v>
      </c>
      <c r="T23" s="5">
        <v>96</v>
      </c>
      <c r="U23" s="9"/>
      <c r="W23" s="86">
        <f t="shared" si="9"/>
        <v>96</v>
      </c>
      <c r="X23" s="87">
        <f t="shared" si="9"/>
        <v>29</v>
      </c>
      <c r="Y23" s="92">
        <f t="shared" si="10"/>
        <v>102</v>
      </c>
      <c r="Z23" s="90">
        <f t="shared" si="10"/>
        <v>14500</v>
      </c>
      <c r="AA23" s="90">
        <f>K23</f>
        <v>14000</v>
      </c>
      <c r="AB23" s="90">
        <f t="shared" si="11"/>
        <v>500</v>
      </c>
      <c r="AC23" s="4">
        <f t="shared" si="11"/>
        <v>0.96551724137931039</v>
      </c>
      <c r="AD23" s="91">
        <f t="shared" si="11"/>
        <v>500</v>
      </c>
      <c r="AE23" s="79" t="str">
        <f>S23</f>
        <v>복</v>
      </c>
      <c r="AF23" s="79" t="str">
        <f>Q23&amp;"/"&amp;R23</f>
        <v>3/1</v>
      </c>
      <c r="AH23" s="20" t="str">
        <f t="shared" si="1"/>
        <v>삼일</v>
      </c>
      <c r="AI23" s="87">
        <f t="shared" si="0"/>
        <v>29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 t="s">
        <v>1058</v>
      </c>
      <c r="B24" s="10" t="s">
        <v>1403</v>
      </c>
      <c r="C24" s="88">
        <v>365</v>
      </c>
      <c r="D24" s="86">
        <v>105.6</v>
      </c>
      <c r="E24" s="87">
        <v>32</v>
      </c>
      <c r="F24" s="86">
        <v>84.9</v>
      </c>
      <c r="G24" s="17">
        <v>26</v>
      </c>
      <c r="H24" s="88">
        <v>128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62</v>
      </c>
      <c r="T24" s="5">
        <v>105</v>
      </c>
      <c r="U24" s="9"/>
      <c r="W24" s="86">
        <f t="shared" si="9"/>
        <v>105.6</v>
      </c>
      <c r="X24" s="87">
        <f t="shared" si="9"/>
        <v>32</v>
      </c>
      <c r="Y24" s="92">
        <f t="shared" si="10"/>
        <v>128</v>
      </c>
      <c r="Z24" s="90">
        <f t="shared" si="10"/>
        <v>0</v>
      </c>
      <c r="AA24" s="90">
        <f>K24</f>
        <v>0</v>
      </c>
      <c r="AB24" s="90">
        <f t="shared" si="11"/>
        <v>0</v>
      </c>
      <c r="AC24" s="4" t="str">
        <f t="shared" si="11"/>
        <v/>
      </c>
      <c r="AD24" s="91">
        <f t="shared" si="11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삼일</v>
      </c>
      <c r="AI24" s="87">
        <f t="shared" si="0"/>
        <v>32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비하동 비하효성2차('97.07.,478^)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1066</v>
      </c>
      <c r="B26" s="10" t="s">
        <v>1340</v>
      </c>
      <c r="C26" s="88">
        <v>478</v>
      </c>
      <c r="D26" s="86">
        <v>61.5</v>
      </c>
      <c r="E26" s="87">
        <v>19</v>
      </c>
      <c r="F26" s="86">
        <v>45.3</v>
      </c>
      <c r="G26" s="17">
        <v>14</v>
      </c>
      <c r="H26" s="88">
        <v>165</v>
      </c>
      <c r="I26" s="89">
        <v>12500</v>
      </c>
      <c r="J26" s="89" t="s">
        <v>64</v>
      </c>
      <c r="K26" s="89"/>
      <c r="L26" s="89"/>
      <c r="M26" s="90">
        <f>I26-K26</f>
        <v>12500</v>
      </c>
      <c r="N26" s="4">
        <f>IF(ISERROR(K26/I26),"",K26/I26)</f>
        <v>0</v>
      </c>
      <c r="O26" s="91">
        <f>I26/E26</f>
        <v>657.89473684210532</v>
      </c>
      <c r="P26" s="91">
        <f>K26/E26</f>
        <v>0</v>
      </c>
      <c r="Q26" s="79">
        <v>2</v>
      </c>
      <c r="R26" s="79">
        <v>1</v>
      </c>
      <c r="S26" s="79" t="s">
        <v>59</v>
      </c>
      <c r="T26" s="5">
        <v>61</v>
      </c>
      <c r="U26" s="9"/>
      <c r="W26" s="86">
        <f>D26</f>
        <v>61.5</v>
      </c>
      <c r="X26" s="87">
        <f>E26</f>
        <v>19</v>
      </c>
      <c r="Y26" s="92">
        <f>H26</f>
        <v>165</v>
      </c>
      <c r="Z26" s="90">
        <f>I26</f>
        <v>12500</v>
      </c>
      <c r="AA26" s="90">
        <f>K26</f>
        <v>0</v>
      </c>
      <c r="AB26" s="90">
        <f t="shared" ref="AB26:AD27" si="12">M26</f>
        <v>12500</v>
      </c>
      <c r="AC26" s="4">
        <f t="shared" si="12"/>
        <v>0</v>
      </c>
      <c r="AD26" s="91">
        <f t="shared" si="12"/>
        <v>657.89473684210532</v>
      </c>
      <c r="AE26" s="79" t="str">
        <f>S26</f>
        <v>복</v>
      </c>
      <c r="AF26" s="79" t="str">
        <f>Q26&amp;"/"&amp;R26</f>
        <v>2/1</v>
      </c>
      <c r="AH26" s="20" t="str">
        <f t="shared" si="1"/>
        <v>비하효성2차</v>
      </c>
      <c r="AI26" s="87">
        <f t="shared" si="0"/>
        <v>19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 t="s">
        <v>1066</v>
      </c>
      <c r="B27" s="10" t="s">
        <v>1340</v>
      </c>
      <c r="C27" s="88">
        <v>478</v>
      </c>
      <c r="D27" s="86">
        <v>80.3</v>
      </c>
      <c r="E27" s="87">
        <v>24</v>
      </c>
      <c r="F27" s="86">
        <v>59.9</v>
      </c>
      <c r="G27" s="17">
        <v>18</v>
      </c>
      <c r="H27" s="88">
        <v>313</v>
      </c>
      <c r="I27" s="89">
        <v>16000</v>
      </c>
      <c r="J27" s="89" t="s">
        <v>79</v>
      </c>
      <c r="K27" s="89">
        <v>15500</v>
      </c>
      <c r="L27" s="89" t="s">
        <v>81</v>
      </c>
      <c r="M27" s="90">
        <f>I27-K27</f>
        <v>500</v>
      </c>
      <c r="N27" s="4">
        <f>IF(ISERROR(K27/I27),"",K27/I27)</f>
        <v>0.96875</v>
      </c>
      <c r="O27" s="91">
        <f>I27/E27</f>
        <v>666.66666666666663</v>
      </c>
      <c r="P27" s="91">
        <f>K27/E27</f>
        <v>645.83333333333337</v>
      </c>
      <c r="Q27" s="79">
        <v>3</v>
      </c>
      <c r="R27" s="79">
        <v>1</v>
      </c>
      <c r="S27" s="79" t="s">
        <v>59</v>
      </c>
      <c r="T27" s="5">
        <v>80</v>
      </c>
      <c r="U27" s="9"/>
      <c r="W27" s="86">
        <f>D27</f>
        <v>80.3</v>
      </c>
      <c r="X27" s="87">
        <f>E27</f>
        <v>24</v>
      </c>
      <c r="Y27" s="92">
        <f>H27</f>
        <v>313</v>
      </c>
      <c r="Z27" s="90">
        <f>I27</f>
        <v>16000</v>
      </c>
      <c r="AA27" s="90">
        <f>K27</f>
        <v>15500</v>
      </c>
      <c r="AB27" s="90">
        <f t="shared" si="12"/>
        <v>500</v>
      </c>
      <c r="AC27" s="4">
        <f t="shared" si="12"/>
        <v>0.96875</v>
      </c>
      <c r="AD27" s="91">
        <f t="shared" si="12"/>
        <v>666.66666666666663</v>
      </c>
      <c r="AE27" s="79" t="str">
        <f>S27</f>
        <v>복</v>
      </c>
      <c r="AF27" s="79" t="str">
        <f>Q27&amp;"/"&amp;R27</f>
        <v>3/1</v>
      </c>
      <c r="AH27" s="20" t="str">
        <f t="shared" si="1"/>
        <v>비하효성2차</v>
      </c>
      <c r="AI27" s="87">
        <f t="shared" si="0"/>
        <v>24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비하동 비하계룡리슈빌('06.09.,480^)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1070</v>
      </c>
      <c r="B29" s="10" t="s">
        <v>1404</v>
      </c>
      <c r="C29" s="88">
        <v>480</v>
      </c>
      <c r="D29" s="86">
        <v>116.8</v>
      </c>
      <c r="E29" s="87">
        <v>35</v>
      </c>
      <c r="F29" s="86">
        <v>85</v>
      </c>
      <c r="G29" s="17">
        <v>26</v>
      </c>
      <c r="H29" s="88">
        <v>150</v>
      </c>
      <c r="I29" s="89">
        <v>36000</v>
      </c>
      <c r="J29" s="89" t="s">
        <v>89</v>
      </c>
      <c r="K29" s="89">
        <v>30000</v>
      </c>
      <c r="L29" s="89" t="s">
        <v>70</v>
      </c>
      <c r="M29" s="90">
        <f>I29-K29</f>
        <v>6000</v>
      </c>
      <c r="N29" s="4">
        <f>IF(ISERROR(K29/I29),"",K29/I29)</f>
        <v>0.83333333333333337</v>
      </c>
      <c r="O29" s="91">
        <f>I29/E29</f>
        <v>1028.5714285714287</v>
      </c>
      <c r="P29" s="91">
        <f>K29/E29</f>
        <v>857.14285714285711</v>
      </c>
      <c r="Q29" s="79">
        <v>3</v>
      </c>
      <c r="R29" s="79">
        <v>2</v>
      </c>
      <c r="S29" s="79" t="s">
        <v>62</v>
      </c>
      <c r="T29" s="5">
        <v>116</v>
      </c>
      <c r="U29" s="9"/>
      <c r="W29" s="86">
        <f t="shared" ref="W29:X32" si="13">D29</f>
        <v>116.8</v>
      </c>
      <c r="X29" s="87">
        <f t="shared" si="13"/>
        <v>35</v>
      </c>
      <c r="Y29" s="92">
        <f t="shared" ref="Y29:Z32" si="14">H29</f>
        <v>150</v>
      </c>
      <c r="Z29" s="90">
        <f t="shared" si="14"/>
        <v>36000</v>
      </c>
      <c r="AA29" s="90">
        <f>K29</f>
        <v>30000</v>
      </c>
      <c r="AB29" s="90">
        <f t="shared" ref="AB29:AD32" si="15">M29</f>
        <v>6000</v>
      </c>
      <c r="AC29" s="4">
        <f t="shared" si="15"/>
        <v>0.83333333333333337</v>
      </c>
      <c r="AD29" s="91">
        <f t="shared" si="15"/>
        <v>1028.5714285714287</v>
      </c>
      <c r="AE29" s="79" t="str">
        <f>S29</f>
        <v>계</v>
      </c>
      <c r="AF29" s="79" t="str">
        <f>Q29&amp;"/"&amp;R29</f>
        <v>3/2</v>
      </c>
      <c r="AH29" s="20" t="str">
        <f t="shared" si="1"/>
        <v>비하계룡리슈빌</v>
      </c>
      <c r="AI29" s="87">
        <f t="shared" si="0"/>
        <v>35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x14ac:dyDescent="0.3">
      <c r="A30" s="9" t="s">
        <v>1070</v>
      </c>
      <c r="B30" s="10" t="s">
        <v>1404</v>
      </c>
      <c r="C30" s="88">
        <v>480</v>
      </c>
      <c r="D30" s="86">
        <v>132.1</v>
      </c>
      <c r="E30" s="87">
        <v>40</v>
      </c>
      <c r="F30" s="86">
        <v>99.8</v>
      </c>
      <c r="G30" s="17">
        <v>30</v>
      </c>
      <c r="H30" s="88">
        <v>150</v>
      </c>
      <c r="I30" s="89">
        <v>38000</v>
      </c>
      <c r="J30" s="89" t="s">
        <v>75</v>
      </c>
      <c r="K30" s="89">
        <v>35000</v>
      </c>
      <c r="L30" s="89" t="s">
        <v>75</v>
      </c>
      <c r="M30" s="90">
        <f>I30-K30</f>
        <v>3000</v>
      </c>
      <c r="N30" s="4">
        <f>IF(ISERROR(K30/I30),"",K30/I30)</f>
        <v>0.92105263157894735</v>
      </c>
      <c r="O30" s="91">
        <f>I30/E30</f>
        <v>950</v>
      </c>
      <c r="P30" s="91">
        <f>K30/E30</f>
        <v>875</v>
      </c>
      <c r="Q30" s="79">
        <v>3</v>
      </c>
      <c r="R30" s="79">
        <v>2</v>
      </c>
      <c r="S30" s="79" t="s">
        <v>62</v>
      </c>
      <c r="T30" s="5">
        <v>132</v>
      </c>
      <c r="U30" s="9"/>
      <c r="W30" s="86">
        <f t="shared" si="13"/>
        <v>132.1</v>
      </c>
      <c r="X30" s="87">
        <f t="shared" si="13"/>
        <v>40</v>
      </c>
      <c r="Y30" s="92">
        <f t="shared" si="14"/>
        <v>150</v>
      </c>
      <c r="Z30" s="90">
        <f t="shared" si="14"/>
        <v>38000</v>
      </c>
      <c r="AA30" s="90">
        <f>K30</f>
        <v>35000</v>
      </c>
      <c r="AB30" s="90">
        <f t="shared" si="15"/>
        <v>3000</v>
      </c>
      <c r="AC30" s="4">
        <f t="shared" si="15"/>
        <v>0.92105263157894735</v>
      </c>
      <c r="AD30" s="91">
        <f t="shared" si="15"/>
        <v>950</v>
      </c>
      <c r="AE30" s="79" t="str">
        <f>S30</f>
        <v>계</v>
      </c>
      <c r="AF30" s="79" t="str">
        <f>Q30&amp;"/"&amp;R30</f>
        <v>3/2</v>
      </c>
      <c r="AH30" s="20" t="str">
        <f t="shared" si="1"/>
        <v>비하계룡리슈빌</v>
      </c>
      <c r="AI30" s="87">
        <f t="shared" si="0"/>
        <v>40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O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 t="s">
        <v>1070</v>
      </c>
      <c r="B31" s="10" t="s">
        <v>1404</v>
      </c>
      <c r="C31" s="88">
        <v>480</v>
      </c>
      <c r="D31" s="86">
        <v>165.1</v>
      </c>
      <c r="E31" s="87">
        <v>50</v>
      </c>
      <c r="F31" s="86">
        <v>133.9</v>
      </c>
      <c r="G31" s="17">
        <v>40</v>
      </c>
      <c r="H31" s="88">
        <v>120</v>
      </c>
      <c r="I31" s="89">
        <v>43000</v>
      </c>
      <c r="J31" s="89" t="s">
        <v>71</v>
      </c>
      <c r="K31" s="89"/>
      <c r="L31" s="89"/>
      <c r="M31" s="90">
        <f>I31-K31</f>
        <v>43000</v>
      </c>
      <c r="N31" s="4">
        <f>IF(ISERROR(K31/I31),"",K31/I31)</f>
        <v>0</v>
      </c>
      <c r="O31" s="91">
        <f>I31/E31</f>
        <v>860</v>
      </c>
      <c r="P31" s="91">
        <f>K31/E31</f>
        <v>0</v>
      </c>
      <c r="Q31" s="79">
        <v>4</v>
      </c>
      <c r="R31" s="79">
        <v>2</v>
      </c>
      <c r="S31" s="79" t="s">
        <v>62</v>
      </c>
      <c r="T31" s="5">
        <v>165</v>
      </c>
      <c r="U31" s="9"/>
      <c r="W31" s="86">
        <f t="shared" si="13"/>
        <v>165.1</v>
      </c>
      <c r="X31" s="87">
        <f t="shared" si="13"/>
        <v>50</v>
      </c>
      <c r="Y31" s="92">
        <f t="shared" si="14"/>
        <v>120</v>
      </c>
      <c r="Z31" s="90">
        <f t="shared" si="14"/>
        <v>43000</v>
      </c>
      <c r="AA31" s="90">
        <f>K31</f>
        <v>0</v>
      </c>
      <c r="AB31" s="90">
        <f t="shared" si="15"/>
        <v>43000</v>
      </c>
      <c r="AC31" s="4">
        <f t="shared" si="15"/>
        <v>0</v>
      </c>
      <c r="AD31" s="91">
        <f t="shared" si="15"/>
        <v>860</v>
      </c>
      <c r="AE31" s="79" t="str">
        <f>S31</f>
        <v>계</v>
      </c>
      <c r="AF31" s="79" t="str">
        <f>Q31&amp;"/"&amp;R31</f>
        <v>4/2</v>
      </c>
      <c r="AH31" s="20" t="str">
        <f t="shared" si="1"/>
        <v>비하계룡리슈빌</v>
      </c>
      <c r="AI31" s="87">
        <f t="shared" si="0"/>
        <v>50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X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X</v>
      </c>
      <c r="AS31" s="79" t="s">
        <v>2</v>
      </c>
      <c r="AT31" s="79" t="str">
        <f>IF(OR(F31="",AI31=""),"",IF(AND((F31&lt;=85),(AI31&gt;=15)),"O","X"))</f>
        <v>X</v>
      </c>
      <c r="AU31" s="79" t="str">
        <f>IF(C31="","",IF(C31&gt;=$AU$1,"O","X"))</f>
        <v>O</v>
      </c>
      <c r="AV31" s="79" t="str">
        <f>IF(AO31="","",IF(AND(AO31="O",AP31="O",AR31="O",AT31="O",AU31="O"),"후보","X"))</f>
        <v>X</v>
      </c>
    </row>
    <row r="32" spans="1:48" x14ac:dyDescent="0.3">
      <c r="A32" s="9" t="s">
        <v>1070</v>
      </c>
      <c r="B32" s="10" t="s">
        <v>1404</v>
      </c>
      <c r="C32" s="88">
        <v>480</v>
      </c>
      <c r="D32" s="86">
        <v>197</v>
      </c>
      <c r="E32" s="87">
        <v>60</v>
      </c>
      <c r="F32" s="86">
        <v>161.9</v>
      </c>
      <c r="G32" s="17">
        <v>49</v>
      </c>
      <c r="H32" s="88">
        <v>60</v>
      </c>
      <c r="I32" s="89">
        <v>55000</v>
      </c>
      <c r="J32" s="89" t="s">
        <v>88</v>
      </c>
      <c r="K32" s="89">
        <v>45000</v>
      </c>
      <c r="L32" s="89" t="s">
        <v>97</v>
      </c>
      <c r="M32" s="90">
        <f>I32-K32</f>
        <v>10000</v>
      </c>
      <c r="N32" s="4">
        <f>IF(ISERROR(K32/I32),"",K32/I32)</f>
        <v>0.81818181818181823</v>
      </c>
      <c r="O32" s="91">
        <f>I32/E32</f>
        <v>916.66666666666663</v>
      </c>
      <c r="P32" s="91">
        <f>K32/E32</f>
        <v>750</v>
      </c>
      <c r="Q32" s="79">
        <v>4</v>
      </c>
      <c r="R32" s="79">
        <v>2</v>
      </c>
      <c r="S32" s="79" t="s">
        <v>62</v>
      </c>
      <c r="T32" s="5">
        <v>197</v>
      </c>
      <c r="U32" s="9"/>
      <c r="W32" s="86">
        <f t="shared" si="13"/>
        <v>197</v>
      </c>
      <c r="X32" s="87">
        <f t="shared" si="13"/>
        <v>60</v>
      </c>
      <c r="Y32" s="92">
        <f t="shared" si="14"/>
        <v>60</v>
      </c>
      <c r="Z32" s="90">
        <f t="shared" si="14"/>
        <v>55000</v>
      </c>
      <c r="AA32" s="90">
        <f>K32</f>
        <v>45000</v>
      </c>
      <c r="AB32" s="90">
        <f t="shared" si="15"/>
        <v>10000</v>
      </c>
      <c r="AC32" s="4">
        <f t="shared" si="15"/>
        <v>0.81818181818181823</v>
      </c>
      <c r="AD32" s="91">
        <f t="shared" si="15"/>
        <v>916.66666666666663</v>
      </c>
      <c r="AE32" s="79" t="str">
        <f>S32</f>
        <v>계</v>
      </c>
      <c r="AF32" s="79" t="str">
        <f>Q32&amp;"/"&amp;R32</f>
        <v>4/2</v>
      </c>
      <c r="AH32" s="20" t="str">
        <f t="shared" si="1"/>
        <v>비하계룡리슈빌</v>
      </c>
      <c r="AI32" s="87">
        <f t="shared" si="0"/>
        <v>60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O</v>
      </c>
      <c r="AP32" s="79" t="str">
        <f>IF(I32="","",IF(I32&lt;=$AP$1,"O","X"))</f>
        <v>X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비하동 효성1차('95.09.,894^)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1080</v>
      </c>
      <c r="B34" s="10" t="s">
        <v>1405</v>
      </c>
      <c r="C34" s="88">
        <v>894</v>
      </c>
      <c r="D34" s="86">
        <v>61.4</v>
      </c>
      <c r="E34" s="87">
        <v>19</v>
      </c>
      <c r="F34" s="86">
        <v>45.3</v>
      </c>
      <c r="G34" s="17">
        <v>14</v>
      </c>
      <c r="H34" s="88">
        <v>460</v>
      </c>
      <c r="I34" s="89">
        <v>12000</v>
      </c>
      <c r="J34" s="89" t="s">
        <v>75</v>
      </c>
      <c r="K34" s="89">
        <v>11500</v>
      </c>
      <c r="L34" s="89" t="s">
        <v>81</v>
      </c>
      <c r="M34" s="90">
        <f>I34-K34</f>
        <v>500</v>
      </c>
      <c r="N34" s="4">
        <f>IF(ISERROR(K34/I34),"",K34/I34)</f>
        <v>0.95833333333333337</v>
      </c>
      <c r="O34" s="91">
        <f>I34/E34</f>
        <v>631.57894736842104</v>
      </c>
      <c r="P34" s="91">
        <f>K34/E34</f>
        <v>605.26315789473688</v>
      </c>
      <c r="Q34" s="79">
        <v>2</v>
      </c>
      <c r="R34" s="79">
        <v>1</v>
      </c>
      <c r="S34" s="79" t="s">
        <v>59</v>
      </c>
      <c r="T34" s="5">
        <v>61</v>
      </c>
      <c r="U34" s="9"/>
      <c r="W34" s="86">
        <f>D34</f>
        <v>61.4</v>
      </c>
      <c r="X34" s="87">
        <f>E34</f>
        <v>19</v>
      </c>
      <c r="Y34" s="92">
        <f>H34</f>
        <v>460</v>
      </c>
      <c r="Z34" s="90">
        <f>I34</f>
        <v>12000</v>
      </c>
      <c r="AA34" s="90">
        <f>K34</f>
        <v>11500</v>
      </c>
      <c r="AB34" s="90">
        <f t="shared" ref="AB34:AD35" si="16">M34</f>
        <v>500</v>
      </c>
      <c r="AC34" s="4">
        <f t="shared" si="16"/>
        <v>0.95833333333333337</v>
      </c>
      <c r="AD34" s="91">
        <f t="shared" si="16"/>
        <v>631.57894736842104</v>
      </c>
      <c r="AE34" s="79" t="str">
        <f>S34</f>
        <v>복</v>
      </c>
      <c r="AF34" s="79" t="str">
        <f>Q34&amp;"/"&amp;R34</f>
        <v>2/1</v>
      </c>
      <c r="AH34" s="20" t="str">
        <f t="shared" si="1"/>
        <v>효성1차</v>
      </c>
      <c r="AI34" s="87">
        <f t="shared" si="0"/>
        <v>19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후보</v>
      </c>
    </row>
    <row r="35" spans="1:48" x14ac:dyDescent="0.3">
      <c r="A35" s="9" t="s">
        <v>1080</v>
      </c>
      <c r="B35" s="10" t="s">
        <v>1405</v>
      </c>
      <c r="C35" s="88">
        <v>894</v>
      </c>
      <c r="D35" s="86">
        <v>81.2</v>
      </c>
      <c r="E35" s="87">
        <v>25</v>
      </c>
      <c r="F35" s="86">
        <v>59.9</v>
      </c>
      <c r="G35" s="17">
        <v>18</v>
      </c>
      <c r="H35" s="88">
        <v>434</v>
      </c>
      <c r="I35" s="89">
        <v>15500</v>
      </c>
      <c r="J35" s="89" t="s">
        <v>70</v>
      </c>
      <c r="K35" s="89">
        <v>14000</v>
      </c>
      <c r="L35" s="89" t="s">
        <v>88</v>
      </c>
      <c r="M35" s="90">
        <f>I35-K35</f>
        <v>1500</v>
      </c>
      <c r="N35" s="4">
        <f>IF(ISERROR(K35/I35),"",K35/I35)</f>
        <v>0.90322580645161288</v>
      </c>
      <c r="O35" s="91">
        <f>I35/E35</f>
        <v>620</v>
      </c>
      <c r="P35" s="91">
        <f>K35/E35</f>
        <v>560</v>
      </c>
      <c r="Q35" s="79">
        <v>3</v>
      </c>
      <c r="R35" s="79">
        <v>1</v>
      </c>
      <c r="S35" s="79" t="s">
        <v>59</v>
      </c>
      <c r="T35" s="5">
        <v>81</v>
      </c>
      <c r="U35" s="9"/>
      <c r="W35" s="86">
        <f>D35</f>
        <v>81.2</v>
      </c>
      <c r="X35" s="87">
        <f>E35</f>
        <v>25</v>
      </c>
      <c r="Y35" s="92">
        <f>H35</f>
        <v>434</v>
      </c>
      <c r="Z35" s="90">
        <f>I35</f>
        <v>15500</v>
      </c>
      <c r="AA35" s="90">
        <f>K35</f>
        <v>14000</v>
      </c>
      <c r="AB35" s="90">
        <f t="shared" si="16"/>
        <v>1500</v>
      </c>
      <c r="AC35" s="4">
        <f t="shared" si="16"/>
        <v>0.90322580645161288</v>
      </c>
      <c r="AD35" s="91">
        <f t="shared" si="16"/>
        <v>620</v>
      </c>
      <c r="AE35" s="79" t="str">
        <f>S35</f>
        <v>복</v>
      </c>
      <c r="AF35" s="79" t="str">
        <f>Q35&amp;"/"&amp;R35</f>
        <v>3/1</v>
      </c>
      <c r="AH35" s="20" t="str">
        <f t="shared" si="1"/>
        <v>효성1차</v>
      </c>
      <c r="AI35" s="87">
        <f t="shared" si="0"/>
        <v>25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>O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485" priority="487">
      <formula>AV4="X"</formula>
    </cfRule>
    <cfRule type="expression" dxfId="1484" priority="488">
      <formula>AV4="후보"</formula>
    </cfRule>
  </conditionalFormatting>
  <conditionalFormatting sqref="AC1:AC2 AC4:AC6 N4:N5">
    <cfRule type="cellIs" dxfId="1483" priority="484" operator="greaterThan">
      <formula>0.9</formula>
    </cfRule>
    <cfRule type="cellIs" dxfId="1482" priority="485" operator="greaterThan">
      <formula>0.85</formula>
    </cfRule>
  </conditionalFormatting>
  <conditionalFormatting sqref="N1:N2">
    <cfRule type="cellIs" dxfId="1481" priority="482" operator="greaterThan">
      <formula>0.9</formula>
    </cfRule>
    <cfRule type="cellIs" dxfId="1480" priority="483" operator="greaterThan">
      <formula>0.85</formula>
    </cfRule>
  </conditionalFormatting>
  <conditionalFormatting sqref="N6">
    <cfRule type="cellIs" dxfId="1479" priority="480" operator="greaterThan">
      <formula>0.9</formula>
    </cfRule>
    <cfRule type="cellIs" dxfId="1478" priority="481" operator="greaterThan">
      <formula>0.85</formula>
    </cfRule>
  </conditionalFormatting>
  <conditionalFormatting sqref="E6">
    <cfRule type="expression" dxfId="1477" priority="476">
      <formula>AND(IF(OR($Q6=1,$Q6=2),1,0),IF($X6&lt;=20,1,0))</formula>
    </cfRule>
    <cfRule type="expression" dxfId="1476" priority="477">
      <formula>AND(IF($Q6=2,1,0),IF($X6&lt;30,1,0))</formula>
    </cfRule>
    <cfRule type="expression" dxfId="1475" priority="478">
      <formula>AND(IF($Q6=3,1,0),IF($X6&lt;30,1,0))</formula>
    </cfRule>
    <cfRule type="expression" dxfId="1474" priority="479">
      <formula>AND(IF($Q6=3,1,IF($Q6=4,1,0)),IF($F6&lt;=85,1,0))</formula>
    </cfRule>
  </conditionalFormatting>
  <conditionalFormatting sqref="X6">
    <cfRule type="expression" dxfId="1473" priority="472">
      <formula>AND(IF(OR($Q6=1,$Q6=2),1,0),IF($X6&lt;=20,1,0))</formula>
    </cfRule>
    <cfRule type="expression" dxfId="1472" priority="473">
      <formula>AND(IF($Q6=2,1,0),IF($X6&lt;30,1,0))</formula>
    </cfRule>
    <cfRule type="expression" dxfId="1471" priority="474">
      <formula>AND(IF($Q6=3,1,0),IF($X6&lt;30,1,0))</formula>
    </cfRule>
    <cfRule type="expression" dxfId="1470" priority="475">
      <formula>AND(IF($Q6=3,1,IF($Q6=4,1,0)),IF($F6&lt;=85,1,0))</formula>
    </cfRule>
  </conditionalFormatting>
  <conditionalFormatting sqref="AI6">
    <cfRule type="expression" dxfId="1469" priority="468">
      <formula>AND(IF(OR($Q6=1,$Q6=2),1,0),IF($X6&lt;=20,1,0))</formula>
    </cfRule>
    <cfRule type="expression" dxfId="1468" priority="469">
      <formula>AND(IF($Q6=2,1,0),IF($X6&lt;30,1,0))</formula>
    </cfRule>
    <cfRule type="expression" dxfId="1467" priority="470">
      <formula>AND(IF($Q6=3,1,0),IF($X6&lt;30,1,0))</formula>
    </cfRule>
    <cfRule type="expression" dxfId="1466" priority="471">
      <formula>AND(IF($Q6=3,1,IF($Q6=4,1,0)),IF($F6&lt;=85,1,0))</formula>
    </cfRule>
  </conditionalFormatting>
  <conditionalFormatting sqref="AV7">
    <cfRule type="expression" dxfId="1465" priority="466">
      <formula>AV7="X"</formula>
    </cfRule>
    <cfRule type="expression" dxfId="1464" priority="467">
      <formula>AV7="후보"</formula>
    </cfRule>
  </conditionalFormatting>
  <conditionalFormatting sqref="AC7">
    <cfRule type="cellIs" dxfId="1463" priority="463" operator="greaterThan">
      <formula>0.9</formula>
    </cfRule>
    <cfRule type="cellIs" dxfId="1462" priority="464" operator="greaterThan">
      <formula>0.85</formula>
    </cfRule>
  </conditionalFormatting>
  <conditionalFormatting sqref="N7">
    <cfRule type="cellIs" dxfId="1461" priority="461" operator="greaterThan">
      <formula>0.9</formula>
    </cfRule>
    <cfRule type="cellIs" dxfId="1460" priority="462" operator="greaterThan">
      <formula>0.85</formula>
    </cfRule>
  </conditionalFormatting>
  <conditionalFormatting sqref="E7">
    <cfRule type="expression" dxfId="1459" priority="457">
      <formula>AND(IF(OR($Q7=1,$Q7=2),1,0),IF($X7&lt;=20,1,0))</formula>
    </cfRule>
    <cfRule type="expression" dxfId="1458" priority="458">
      <formula>AND(IF($Q7=2,1,0),IF($X7&lt;30,1,0))</formula>
    </cfRule>
    <cfRule type="expression" dxfId="1457" priority="459">
      <formula>AND(IF($Q7=3,1,0),IF($X7&lt;30,1,0))</formula>
    </cfRule>
    <cfRule type="expression" dxfId="1456" priority="460">
      <formula>AND(IF($Q7=3,1,IF($Q7=4,1,0)),IF($F7&lt;=85,1,0))</formula>
    </cfRule>
  </conditionalFormatting>
  <conditionalFormatting sqref="X7">
    <cfRule type="expression" dxfId="1455" priority="453">
      <formula>AND(IF(OR($Q7=1,$Q7=2),1,0),IF($X7&lt;=20,1,0))</formula>
    </cfRule>
    <cfRule type="expression" dxfId="1454" priority="454">
      <formula>AND(IF($Q7=2,1,0),IF($X7&lt;30,1,0))</formula>
    </cfRule>
    <cfRule type="expression" dxfId="1453" priority="455">
      <formula>AND(IF($Q7=3,1,0),IF($X7&lt;30,1,0))</formula>
    </cfRule>
    <cfRule type="expression" dxfId="1452" priority="456">
      <formula>AND(IF($Q7=3,1,IF($Q7=4,1,0)),IF($F7&lt;=85,1,0))</formula>
    </cfRule>
  </conditionalFormatting>
  <conditionalFormatting sqref="AI7">
    <cfRule type="expression" dxfId="1451" priority="449">
      <formula>AND(IF(OR($Q7=1,$Q7=2),1,0),IF($X7&lt;=20,1,0))</formula>
    </cfRule>
    <cfRule type="expression" dxfId="1450" priority="450">
      <formula>AND(IF($Q7=2,1,0),IF($X7&lt;30,1,0))</formula>
    </cfRule>
    <cfRule type="expression" dxfId="1449" priority="451">
      <formula>AND(IF($Q7=3,1,0),IF($X7&lt;30,1,0))</formula>
    </cfRule>
    <cfRule type="expression" dxfId="1448" priority="452">
      <formula>AND(IF($Q7=3,1,IF($Q7=4,1,0)),IF($F7&lt;=85,1,0))</formula>
    </cfRule>
  </conditionalFormatting>
  <conditionalFormatting sqref="AV8">
    <cfRule type="expression" dxfId="1447" priority="447">
      <formula>AV8="X"</formula>
    </cfRule>
    <cfRule type="expression" dxfId="1446" priority="448">
      <formula>AV8="후보"</formula>
    </cfRule>
  </conditionalFormatting>
  <conditionalFormatting sqref="AC8">
    <cfRule type="cellIs" dxfId="1445" priority="444" operator="greaterThan">
      <formula>0.9</formula>
    </cfRule>
    <cfRule type="cellIs" dxfId="1444" priority="445" operator="greaterThan">
      <formula>0.85</formula>
    </cfRule>
  </conditionalFormatting>
  <conditionalFormatting sqref="N8">
    <cfRule type="cellIs" dxfId="1443" priority="442" operator="greaterThan">
      <formula>0.9</formula>
    </cfRule>
    <cfRule type="cellIs" dxfId="1442" priority="443" operator="greaterThan">
      <formula>0.85</formula>
    </cfRule>
  </conditionalFormatting>
  <conditionalFormatting sqref="E8">
    <cfRule type="expression" dxfId="1441" priority="438">
      <formula>AND(IF(OR($Q8=1,$Q8=2),1,0),IF($X8&lt;=20,1,0))</formula>
    </cfRule>
    <cfRule type="expression" dxfId="1440" priority="439">
      <formula>AND(IF($Q8=2,1,0),IF($X8&lt;30,1,0))</formula>
    </cfRule>
    <cfRule type="expression" dxfId="1439" priority="440">
      <formula>AND(IF($Q8=3,1,0),IF($X8&lt;30,1,0))</formula>
    </cfRule>
    <cfRule type="expression" dxfId="1438" priority="441">
      <formula>AND(IF($Q8=3,1,IF($Q8=4,1,0)),IF($F8&lt;=85,1,0))</formula>
    </cfRule>
  </conditionalFormatting>
  <conditionalFormatting sqref="X8">
    <cfRule type="expression" dxfId="1437" priority="434">
      <formula>AND(IF(OR($Q8=1,$Q8=2),1,0),IF($X8&lt;=20,1,0))</formula>
    </cfRule>
    <cfRule type="expression" dxfId="1436" priority="435">
      <formula>AND(IF($Q8=2,1,0),IF($X8&lt;30,1,0))</formula>
    </cfRule>
    <cfRule type="expression" dxfId="1435" priority="436">
      <formula>AND(IF($Q8=3,1,0),IF($X8&lt;30,1,0))</formula>
    </cfRule>
    <cfRule type="expression" dxfId="1434" priority="437">
      <formula>AND(IF($Q8=3,1,IF($Q8=4,1,0)),IF($F8&lt;=85,1,0))</formula>
    </cfRule>
  </conditionalFormatting>
  <conditionalFormatting sqref="AI8">
    <cfRule type="expression" dxfId="1433" priority="430">
      <formula>AND(IF(OR($Q8=1,$Q8=2),1,0),IF($X8&lt;=20,1,0))</formula>
    </cfRule>
    <cfRule type="expression" dxfId="1432" priority="431">
      <formula>AND(IF($Q8=2,1,0),IF($X8&lt;30,1,0))</formula>
    </cfRule>
    <cfRule type="expression" dxfId="1431" priority="432">
      <formula>AND(IF($Q8=3,1,0),IF($X8&lt;30,1,0))</formula>
    </cfRule>
    <cfRule type="expression" dxfId="1430" priority="433">
      <formula>AND(IF($Q8=3,1,IF($Q8=4,1,0)),IF($F8&lt;=85,1,0))</formula>
    </cfRule>
  </conditionalFormatting>
  <conditionalFormatting sqref="AV9">
    <cfRule type="expression" dxfId="1429" priority="428">
      <formula>AV9="X"</formula>
    </cfRule>
    <cfRule type="expression" dxfId="1428" priority="429">
      <formula>AV9="후보"</formula>
    </cfRule>
  </conditionalFormatting>
  <conditionalFormatting sqref="AC9">
    <cfRule type="cellIs" dxfId="1427" priority="425" operator="greaterThan">
      <formula>0.9</formula>
    </cfRule>
    <cfRule type="cellIs" dxfId="1426" priority="426" operator="greaterThan">
      <formula>0.85</formula>
    </cfRule>
  </conditionalFormatting>
  <conditionalFormatting sqref="N9">
    <cfRule type="cellIs" dxfId="1425" priority="423" operator="greaterThan">
      <formula>0.9</formula>
    </cfRule>
    <cfRule type="cellIs" dxfId="1424" priority="424" operator="greaterThan">
      <formula>0.85</formula>
    </cfRule>
  </conditionalFormatting>
  <conditionalFormatting sqref="E9">
    <cfRule type="expression" dxfId="1423" priority="419">
      <formula>AND(IF(OR($Q9=1,$Q9=2),1,0),IF($X9&lt;=20,1,0))</formula>
    </cfRule>
    <cfRule type="expression" dxfId="1422" priority="420">
      <formula>AND(IF($Q9=2,1,0),IF($X9&lt;30,1,0))</formula>
    </cfRule>
    <cfRule type="expression" dxfId="1421" priority="421">
      <formula>AND(IF($Q9=3,1,0),IF($X9&lt;30,1,0))</formula>
    </cfRule>
    <cfRule type="expression" dxfId="1420" priority="422">
      <formula>AND(IF($Q9=3,1,IF($Q9=4,1,0)),IF($F9&lt;=85,1,0))</formula>
    </cfRule>
  </conditionalFormatting>
  <conditionalFormatting sqref="X9">
    <cfRule type="expression" dxfId="1419" priority="415">
      <formula>AND(IF(OR($Q9=1,$Q9=2),1,0),IF($X9&lt;=20,1,0))</formula>
    </cfRule>
    <cfRule type="expression" dxfId="1418" priority="416">
      <formula>AND(IF($Q9=2,1,0),IF($X9&lt;30,1,0))</formula>
    </cfRule>
    <cfRule type="expression" dxfId="1417" priority="417">
      <formula>AND(IF($Q9=3,1,0),IF($X9&lt;30,1,0))</formula>
    </cfRule>
    <cfRule type="expression" dxfId="1416" priority="418">
      <formula>AND(IF($Q9=3,1,IF($Q9=4,1,0)),IF($F9&lt;=85,1,0))</formula>
    </cfRule>
  </conditionalFormatting>
  <conditionalFormatting sqref="AI9">
    <cfRule type="expression" dxfId="1415" priority="411">
      <formula>AND(IF(OR($Q9=1,$Q9=2),1,0),IF($X9&lt;=20,1,0))</formula>
    </cfRule>
    <cfRule type="expression" dxfId="1414" priority="412">
      <formula>AND(IF($Q9=2,1,0),IF($X9&lt;30,1,0))</formula>
    </cfRule>
    <cfRule type="expression" dxfId="1413" priority="413">
      <formula>AND(IF($Q9=3,1,0),IF($X9&lt;30,1,0))</formula>
    </cfRule>
    <cfRule type="expression" dxfId="1412" priority="414">
      <formula>AND(IF($Q9=3,1,IF($Q9=4,1,0)),IF($F9&lt;=85,1,0))</formula>
    </cfRule>
  </conditionalFormatting>
  <conditionalFormatting sqref="AV10">
    <cfRule type="expression" dxfId="1411" priority="409">
      <formula>AV10="X"</formula>
    </cfRule>
    <cfRule type="expression" dxfId="1410" priority="410">
      <formula>AV10="후보"</formula>
    </cfRule>
  </conditionalFormatting>
  <conditionalFormatting sqref="AC10">
    <cfRule type="cellIs" dxfId="1409" priority="406" operator="greaterThan">
      <formula>0.9</formula>
    </cfRule>
    <cfRule type="cellIs" dxfId="1408" priority="407" operator="greaterThan">
      <formula>0.85</formula>
    </cfRule>
  </conditionalFormatting>
  <conditionalFormatting sqref="N10">
    <cfRule type="cellIs" dxfId="1407" priority="404" operator="greaterThan">
      <formula>0.9</formula>
    </cfRule>
    <cfRule type="cellIs" dxfId="1406" priority="405" operator="greaterThan">
      <formula>0.85</formula>
    </cfRule>
  </conditionalFormatting>
  <conditionalFormatting sqref="E10">
    <cfRule type="expression" dxfId="1405" priority="400">
      <formula>AND(IF(OR($Q10=1,$Q10=2),1,0),IF($X10&lt;=20,1,0))</formula>
    </cfRule>
    <cfRule type="expression" dxfId="1404" priority="401">
      <formula>AND(IF($Q10=2,1,0),IF($X10&lt;30,1,0))</formula>
    </cfRule>
    <cfRule type="expression" dxfId="1403" priority="402">
      <formula>AND(IF($Q10=3,1,0),IF($X10&lt;30,1,0))</formula>
    </cfRule>
    <cfRule type="expression" dxfId="1402" priority="403">
      <formula>AND(IF($Q10=3,1,IF($Q10=4,1,0)),IF($F10&lt;=85,1,0))</formula>
    </cfRule>
  </conditionalFormatting>
  <conditionalFormatting sqref="X10">
    <cfRule type="expression" dxfId="1401" priority="396">
      <formula>AND(IF(OR($Q10=1,$Q10=2),1,0),IF($X10&lt;=20,1,0))</formula>
    </cfRule>
    <cfRule type="expression" dxfId="1400" priority="397">
      <formula>AND(IF($Q10=2,1,0),IF($X10&lt;30,1,0))</formula>
    </cfRule>
    <cfRule type="expression" dxfId="1399" priority="398">
      <formula>AND(IF($Q10=3,1,0),IF($X10&lt;30,1,0))</formula>
    </cfRule>
    <cfRule type="expression" dxfId="1398" priority="399">
      <formula>AND(IF($Q10=3,1,IF($Q10=4,1,0)),IF($F10&lt;=85,1,0))</formula>
    </cfRule>
  </conditionalFormatting>
  <conditionalFormatting sqref="AI10">
    <cfRule type="expression" dxfId="1397" priority="392">
      <formula>AND(IF(OR($Q10=1,$Q10=2),1,0),IF($X10&lt;=20,1,0))</formula>
    </cfRule>
    <cfRule type="expression" dxfId="1396" priority="393">
      <formula>AND(IF($Q10=2,1,0),IF($X10&lt;30,1,0))</formula>
    </cfRule>
    <cfRule type="expression" dxfId="1395" priority="394">
      <formula>AND(IF($Q10=3,1,0),IF($X10&lt;30,1,0))</formula>
    </cfRule>
    <cfRule type="expression" dxfId="1394" priority="395">
      <formula>AND(IF($Q10=3,1,IF($Q10=4,1,0)),IF($F10&lt;=85,1,0))</formula>
    </cfRule>
  </conditionalFormatting>
  <conditionalFormatting sqref="AV11">
    <cfRule type="expression" dxfId="1393" priority="390">
      <formula>AV11="X"</formula>
    </cfRule>
    <cfRule type="expression" dxfId="1392" priority="391">
      <formula>AV11="후보"</formula>
    </cfRule>
  </conditionalFormatting>
  <conditionalFormatting sqref="AC11 N11">
    <cfRule type="cellIs" dxfId="1391" priority="387" operator="greaterThan">
      <formula>0.9</formula>
    </cfRule>
    <cfRule type="cellIs" dxfId="1390" priority="388" operator="greaterThan">
      <formula>0.85</formula>
    </cfRule>
  </conditionalFormatting>
  <conditionalFormatting sqref="AV12">
    <cfRule type="expression" dxfId="1389" priority="385">
      <formula>AV12="X"</formula>
    </cfRule>
    <cfRule type="expression" dxfId="1388" priority="386">
      <formula>AV12="후보"</formula>
    </cfRule>
  </conditionalFormatting>
  <conditionalFormatting sqref="AC12">
    <cfRule type="cellIs" dxfId="1387" priority="382" operator="greaterThan">
      <formula>0.9</formula>
    </cfRule>
    <cfRule type="cellIs" dxfId="1386" priority="383" operator="greaterThan">
      <formula>0.85</formula>
    </cfRule>
  </conditionalFormatting>
  <conditionalFormatting sqref="N12">
    <cfRule type="cellIs" dxfId="1385" priority="380" operator="greaterThan">
      <formula>0.9</formula>
    </cfRule>
    <cfRule type="cellIs" dxfId="1384" priority="381" operator="greaterThan">
      <formula>0.85</formula>
    </cfRule>
  </conditionalFormatting>
  <conditionalFormatting sqref="E12">
    <cfRule type="expression" dxfId="1383" priority="376">
      <formula>AND(IF(OR($Q12=1,$Q12=2),1,0),IF($X12&lt;=20,1,0))</formula>
    </cfRule>
    <cfRule type="expression" dxfId="1382" priority="377">
      <formula>AND(IF($Q12=2,1,0),IF($X12&lt;30,1,0))</formula>
    </cfRule>
    <cfRule type="expression" dxfId="1381" priority="378">
      <formula>AND(IF($Q12=3,1,0),IF($X12&lt;30,1,0))</formula>
    </cfRule>
    <cfRule type="expression" dxfId="1380" priority="379">
      <formula>AND(IF($Q12=3,1,IF($Q12=4,1,0)),IF($F12&lt;=85,1,0))</formula>
    </cfRule>
  </conditionalFormatting>
  <conditionalFormatting sqref="X12">
    <cfRule type="expression" dxfId="1379" priority="372">
      <formula>AND(IF(OR($Q12=1,$Q12=2),1,0),IF($X12&lt;=20,1,0))</formula>
    </cfRule>
    <cfRule type="expression" dxfId="1378" priority="373">
      <formula>AND(IF($Q12=2,1,0),IF($X12&lt;30,1,0))</formula>
    </cfRule>
    <cfRule type="expression" dxfId="1377" priority="374">
      <formula>AND(IF($Q12=3,1,0),IF($X12&lt;30,1,0))</formula>
    </cfRule>
    <cfRule type="expression" dxfId="1376" priority="375">
      <formula>AND(IF($Q12=3,1,IF($Q12=4,1,0)),IF($F12&lt;=85,1,0))</formula>
    </cfRule>
  </conditionalFormatting>
  <conditionalFormatting sqref="AI12">
    <cfRule type="expression" dxfId="1375" priority="368">
      <formula>AND(IF(OR($Q12=1,$Q12=2),1,0),IF($X12&lt;=20,1,0))</formula>
    </cfRule>
    <cfRule type="expression" dxfId="1374" priority="369">
      <formula>AND(IF($Q12=2,1,0),IF($X12&lt;30,1,0))</formula>
    </cfRule>
    <cfRule type="expression" dxfId="1373" priority="370">
      <formula>AND(IF($Q12=3,1,0),IF($X12&lt;30,1,0))</formula>
    </cfRule>
    <cfRule type="expression" dxfId="1372" priority="371">
      <formula>AND(IF($Q12=3,1,IF($Q12=4,1,0)),IF($F12&lt;=85,1,0))</formula>
    </cfRule>
  </conditionalFormatting>
  <conditionalFormatting sqref="AV13">
    <cfRule type="expression" dxfId="1371" priority="366">
      <formula>AV13="X"</formula>
    </cfRule>
    <cfRule type="expression" dxfId="1370" priority="367">
      <formula>AV13="후보"</formula>
    </cfRule>
  </conditionalFormatting>
  <conditionalFormatting sqref="AC13">
    <cfRule type="cellIs" dxfId="1369" priority="363" operator="greaterThan">
      <formula>0.9</formula>
    </cfRule>
    <cfRule type="cellIs" dxfId="1368" priority="364" operator="greaterThan">
      <formula>0.85</formula>
    </cfRule>
  </conditionalFormatting>
  <conditionalFormatting sqref="N13">
    <cfRule type="cellIs" dxfId="1367" priority="361" operator="greaterThan">
      <formula>0.9</formula>
    </cfRule>
    <cfRule type="cellIs" dxfId="1366" priority="362" operator="greaterThan">
      <formula>0.85</formula>
    </cfRule>
  </conditionalFormatting>
  <conditionalFormatting sqref="E13">
    <cfRule type="expression" dxfId="1365" priority="357">
      <formula>AND(IF(OR($Q13=1,$Q13=2),1,0),IF($X13&lt;=20,1,0))</formula>
    </cfRule>
    <cfRule type="expression" dxfId="1364" priority="358">
      <formula>AND(IF($Q13=2,1,0),IF($X13&lt;30,1,0))</formula>
    </cfRule>
    <cfRule type="expression" dxfId="1363" priority="359">
      <formula>AND(IF($Q13=3,1,0),IF($X13&lt;30,1,0))</formula>
    </cfRule>
    <cfRule type="expression" dxfId="1362" priority="360">
      <formula>AND(IF($Q13=3,1,IF($Q13=4,1,0)),IF($F13&lt;=85,1,0))</formula>
    </cfRule>
  </conditionalFormatting>
  <conditionalFormatting sqref="X13">
    <cfRule type="expression" dxfId="1361" priority="353">
      <formula>AND(IF(OR($Q13=1,$Q13=2),1,0),IF($X13&lt;=20,1,0))</formula>
    </cfRule>
    <cfRule type="expression" dxfId="1360" priority="354">
      <formula>AND(IF($Q13=2,1,0),IF($X13&lt;30,1,0))</formula>
    </cfRule>
    <cfRule type="expression" dxfId="1359" priority="355">
      <formula>AND(IF($Q13=3,1,0),IF($X13&lt;30,1,0))</formula>
    </cfRule>
    <cfRule type="expression" dxfId="1358" priority="356">
      <formula>AND(IF($Q13=3,1,IF($Q13=4,1,0)),IF($F13&lt;=85,1,0))</formula>
    </cfRule>
  </conditionalFormatting>
  <conditionalFormatting sqref="AI13">
    <cfRule type="expression" dxfId="1357" priority="349">
      <formula>AND(IF(OR($Q13=1,$Q13=2),1,0),IF($X13&lt;=20,1,0))</formula>
    </cfRule>
    <cfRule type="expression" dxfId="1356" priority="350">
      <formula>AND(IF($Q13=2,1,0),IF($X13&lt;30,1,0))</formula>
    </cfRule>
    <cfRule type="expression" dxfId="1355" priority="351">
      <formula>AND(IF($Q13=3,1,0),IF($X13&lt;30,1,0))</formula>
    </cfRule>
    <cfRule type="expression" dxfId="1354" priority="352">
      <formula>AND(IF($Q13=3,1,IF($Q13=4,1,0)),IF($F13&lt;=85,1,0))</formula>
    </cfRule>
  </conditionalFormatting>
  <conditionalFormatting sqref="AV14">
    <cfRule type="expression" dxfId="1353" priority="347">
      <formula>AV14="X"</formula>
    </cfRule>
    <cfRule type="expression" dxfId="1352" priority="348">
      <formula>AV14="후보"</formula>
    </cfRule>
  </conditionalFormatting>
  <conditionalFormatting sqref="AC14 N14">
    <cfRule type="cellIs" dxfId="1351" priority="344" operator="greaterThan">
      <formula>0.9</formula>
    </cfRule>
    <cfRule type="cellIs" dxfId="1350" priority="345" operator="greaterThan">
      <formula>0.85</formula>
    </cfRule>
  </conditionalFormatting>
  <conditionalFormatting sqref="AV15">
    <cfRule type="expression" dxfId="1349" priority="342">
      <formula>AV15="X"</formula>
    </cfRule>
    <cfRule type="expression" dxfId="1348" priority="343">
      <formula>AV15="후보"</formula>
    </cfRule>
  </conditionalFormatting>
  <conditionalFormatting sqref="AC15">
    <cfRule type="cellIs" dxfId="1347" priority="339" operator="greaterThan">
      <formula>0.9</formula>
    </cfRule>
    <cfRule type="cellIs" dxfId="1346" priority="340" operator="greaterThan">
      <formula>0.85</formula>
    </cfRule>
  </conditionalFormatting>
  <conditionalFormatting sqref="N15">
    <cfRule type="cellIs" dxfId="1345" priority="337" operator="greaterThan">
      <formula>0.9</formula>
    </cfRule>
    <cfRule type="cellIs" dxfId="1344" priority="338" operator="greaterThan">
      <formula>0.85</formula>
    </cfRule>
  </conditionalFormatting>
  <conditionalFormatting sqref="E15">
    <cfRule type="expression" dxfId="1343" priority="333">
      <formula>AND(IF(OR($Q15=1,$Q15=2),1,0),IF($X15&lt;=20,1,0))</formula>
    </cfRule>
    <cfRule type="expression" dxfId="1342" priority="334">
      <formula>AND(IF($Q15=2,1,0),IF($X15&lt;30,1,0))</formula>
    </cfRule>
    <cfRule type="expression" dxfId="1341" priority="335">
      <formula>AND(IF($Q15=3,1,0),IF($X15&lt;30,1,0))</formula>
    </cfRule>
    <cfRule type="expression" dxfId="1340" priority="336">
      <formula>AND(IF($Q15=3,1,IF($Q15=4,1,0)),IF($F15&lt;=85,1,0))</formula>
    </cfRule>
  </conditionalFormatting>
  <conditionalFormatting sqref="X15">
    <cfRule type="expression" dxfId="1339" priority="329">
      <formula>AND(IF(OR($Q15=1,$Q15=2),1,0),IF($X15&lt;=20,1,0))</formula>
    </cfRule>
    <cfRule type="expression" dxfId="1338" priority="330">
      <formula>AND(IF($Q15=2,1,0),IF($X15&lt;30,1,0))</formula>
    </cfRule>
    <cfRule type="expression" dxfId="1337" priority="331">
      <formula>AND(IF($Q15=3,1,0),IF($X15&lt;30,1,0))</formula>
    </cfRule>
    <cfRule type="expression" dxfId="1336" priority="332">
      <formula>AND(IF($Q15=3,1,IF($Q15=4,1,0)),IF($F15&lt;=85,1,0))</formula>
    </cfRule>
  </conditionalFormatting>
  <conditionalFormatting sqref="AI15">
    <cfRule type="expression" dxfId="1335" priority="325">
      <formula>AND(IF(OR($Q15=1,$Q15=2),1,0),IF($X15&lt;=20,1,0))</formula>
    </cfRule>
    <cfRule type="expression" dxfId="1334" priority="326">
      <formula>AND(IF($Q15=2,1,0),IF($X15&lt;30,1,0))</formula>
    </cfRule>
    <cfRule type="expression" dxfId="1333" priority="327">
      <formula>AND(IF($Q15=3,1,0),IF($X15&lt;30,1,0))</formula>
    </cfRule>
    <cfRule type="expression" dxfId="1332" priority="328">
      <formula>AND(IF($Q15=3,1,IF($Q15=4,1,0)),IF($F15&lt;=85,1,0))</formula>
    </cfRule>
  </conditionalFormatting>
  <conditionalFormatting sqref="AV16">
    <cfRule type="expression" dxfId="1331" priority="323">
      <formula>AV16="X"</formula>
    </cfRule>
    <cfRule type="expression" dxfId="1330" priority="324">
      <formula>AV16="후보"</formula>
    </cfRule>
  </conditionalFormatting>
  <conditionalFormatting sqref="AC16">
    <cfRule type="cellIs" dxfId="1329" priority="320" operator="greaterThan">
      <formula>0.9</formula>
    </cfRule>
    <cfRule type="cellIs" dxfId="1328" priority="321" operator="greaterThan">
      <formula>0.85</formula>
    </cfRule>
  </conditionalFormatting>
  <conditionalFormatting sqref="N16">
    <cfRule type="cellIs" dxfId="1327" priority="318" operator="greaterThan">
      <formula>0.9</formula>
    </cfRule>
    <cfRule type="cellIs" dxfId="1326" priority="319" operator="greaterThan">
      <formula>0.85</formula>
    </cfRule>
  </conditionalFormatting>
  <conditionalFormatting sqref="E16">
    <cfRule type="expression" dxfId="1325" priority="314">
      <formula>AND(IF(OR($Q16=1,$Q16=2),1,0),IF($X16&lt;=20,1,0))</formula>
    </cfRule>
    <cfRule type="expression" dxfId="1324" priority="315">
      <formula>AND(IF($Q16=2,1,0),IF($X16&lt;30,1,0))</formula>
    </cfRule>
    <cfRule type="expression" dxfId="1323" priority="316">
      <formula>AND(IF($Q16=3,1,0),IF($X16&lt;30,1,0))</formula>
    </cfRule>
    <cfRule type="expression" dxfId="1322" priority="317">
      <formula>AND(IF($Q16=3,1,IF($Q16=4,1,0)),IF($F16&lt;=85,1,0))</formula>
    </cfRule>
  </conditionalFormatting>
  <conditionalFormatting sqref="X16">
    <cfRule type="expression" dxfId="1321" priority="310">
      <formula>AND(IF(OR($Q16=1,$Q16=2),1,0),IF($X16&lt;=20,1,0))</formula>
    </cfRule>
    <cfRule type="expression" dxfId="1320" priority="311">
      <formula>AND(IF($Q16=2,1,0),IF($X16&lt;30,1,0))</formula>
    </cfRule>
    <cfRule type="expression" dxfId="1319" priority="312">
      <formula>AND(IF($Q16=3,1,0),IF($X16&lt;30,1,0))</formula>
    </cfRule>
    <cfRule type="expression" dxfId="1318" priority="313">
      <formula>AND(IF($Q16=3,1,IF($Q16=4,1,0)),IF($F16&lt;=85,1,0))</formula>
    </cfRule>
  </conditionalFormatting>
  <conditionalFormatting sqref="AI16">
    <cfRule type="expression" dxfId="1317" priority="306">
      <formula>AND(IF(OR($Q16=1,$Q16=2),1,0),IF($X16&lt;=20,1,0))</formula>
    </cfRule>
    <cfRule type="expression" dxfId="1316" priority="307">
      <formula>AND(IF($Q16=2,1,0),IF($X16&lt;30,1,0))</formula>
    </cfRule>
    <cfRule type="expression" dxfId="1315" priority="308">
      <formula>AND(IF($Q16=3,1,0),IF($X16&lt;30,1,0))</formula>
    </cfRule>
    <cfRule type="expression" dxfId="1314" priority="309">
      <formula>AND(IF($Q16=3,1,IF($Q16=4,1,0)),IF($F16&lt;=85,1,0))</formula>
    </cfRule>
  </conditionalFormatting>
  <conditionalFormatting sqref="AV17">
    <cfRule type="expression" dxfId="1313" priority="304">
      <formula>AV17="X"</formula>
    </cfRule>
    <cfRule type="expression" dxfId="1312" priority="305">
      <formula>AV17="후보"</formula>
    </cfRule>
  </conditionalFormatting>
  <conditionalFormatting sqref="AC17">
    <cfRule type="cellIs" dxfId="1311" priority="301" operator="greaterThan">
      <formula>0.9</formula>
    </cfRule>
    <cfRule type="cellIs" dxfId="1310" priority="302" operator="greaterThan">
      <formula>0.85</formula>
    </cfRule>
  </conditionalFormatting>
  <conditionalFormatting sqref="N17">
    <cfRule type="cellIs" dxfId="1309" priority="299" operator="greaterThan">
      <formula>0.9</formula>
    </cfRule>
    <cfRule type="cellIs" dxfId="1308" priority="300" operator="greaterThan">
      <formula>0.85</formula>
    </cfRule>
  </conditionalFormatting>
  <conditionalFormatting sqref="E17">
    <cfRule type="expression" dxfId="1307" priority="295">
      <formula>AND(IF(OR($Q17=1,$Q17=2),1,0),IF($X17&lt;=20,1,0))</formula>
    </cfRule>
    <cfRule type="expression" dxfId="1306" priority="296">
      <formula>AND(IF($Q17=2,1,0),IF($X17&lt;30,1,0))</formula>
    </cfRule>
    <cfRule type="expression" dxfId="1305" priority="297">
      <formula>AND(IF($Q17=3,1,0),IF($X17&lt;30,1,0))</formula>
    </cfRule>
    <cfRule type="expression" dxfId="1304" priority="298">
      <formula>AND(IF($Q17=3,1,IF($Q17=4,1,0)),IF($F17&lt;=85,1,0))</formula>
    </cfRule>
  </conditionalFormatting>
  <conditionalFormatting sqref="X17">
    <cfRule type="expression" dxfId="1303" priority="291">
      <formula>AND(IF(OR($Q17=1,$Q17=2),1,0),IF($X17&lt;=20,1,0))</formula>
    </cfRule>
    <cfRule type="expression" dxfId="1302" priority="292">
      <formula>AND(IF($Q17=2,1,0),IF($X17&lt;30,1,0))</formula>
    </cfRule>
    <cfRule type="expression" dxfId="1301" priority="293">
      <formula>AND(IF($Q17=3,1,0),IF($X17&lt;30,1,0))</formula>
    </cfRule>
    <cfRule type="expression" dxfId="1300" priority="294">
      <formula>AND(IF($Q17=3,1,IF($Q17=4,1,0)),IF($F17&lt;=85,1,0))</formula>
    </cfRule>
  </conditionalFormatting>
  <conditionalFormatting sqref="AI17">
    <cfRule type="expression" dxfId="1299" priority="287">
      <formula>AND(IF(OR($Q17=1,$Q17=2),1,0),IF($X17&lt;=20,1,0))</formula>
    </cfRule>
    <cfRule type="expression" dxfId="1298" priority="288">
      <formula>AND(IF($Q17=2,1,0),IF($X17&lt;30,1,0))</formula>
    </cfRule>
    <cfRule type="expression" dxfId="1297" priority="289">
      <formula>AND(IF($Q17=3,1,0),IF($X17&lt;30,1,0))</formula>
    </cfRule>
    <cfRule type="expression" dxfId="1296" priority="290">
      <formula>AND(IF($Q17=3,1,IF($Q17=4,1,0)),IF($F17&lt;=85,1,0))</formula>
    </cfRule>
  </conditionalFormatting>
  <conditionalFormatting sqref="AV18">
    <cfRule type="expression" dxfId="1295" priority="285">
      <formula>AV18="X"</formula>
    </cfRule>
    <cfRule type="expression" dxfId="1294" priority="286">
      <formula>AV18="후보"</formula>
    </cfRule>
  </conditionalFormatting>
  <conditionalFormatting sqref="AC18">
    <cfRule type="cellIs" dxfId="1293" priority="282" operator="greaterThan">
      <formula>0.9</formula>
    </cfRule>
    <cfRule type="cellIs" dxfId="1292" priority="283" operator="greaterThan">
      <formula>0.85</formula>
    </cfRule>
  </conditionalFormatting>
  <conditionalFormatting sqref="N18">
    <cfRule type="cellIs" dxfId="1291" priority="280" operator="greaterThan">
      <formula>0.9</formula>
    </cfRule>
    <cfRule type="cellIs" dxfId="1290" priority="281" operator="greaterThan">
      <formula>0.85</formula>
    </cfRule>
  </conditionalFormatting>
  <conditionalFormatting sqref="E18">
    <cfRule type="expression" dxfId="1289" priority="276">
      <formula>AND(IF(OR($Q18=1,$Q18=2),1,0),IF($X18&lt;=20,1,0))</formula>
    </cfRule>
    <cfRule type="expression" dxfId="1288" priority="277">
      <formula>AND(IF($Q18=2,1,0),IF($X18&lt;30,1,0))</formula>
    </cfRule>
    <cfRule type="expression" dxfId="1287" priority="278">
      <formula>AND(IF($Q18=3,1,0),IF($X18&lt;30,1,0))</formula>
    </cfRule>
    <cfRule type="expression" dxfId="1286" priority="279">
      <formula>AND(IF($Q18=3,1,IF($Q18=4,1,0)),IF($F18&lt;=85,1,0))</formula>
    </cfRule>
  </conditionalFormatting>
  <conditionalFormatting sqref="X18">
    <cfRule type="expression" dxfId="1285" priority="272">
      <formula>AND(IF(OR($Q18=1,$Q18=2),1,0),IF($X18&lt;=20,1,0))</formula>
    </cfRule>
    <cfRule type="expression" dxfId="1284" priority="273">
      <formula>AND(IF($Q18=2,1,0),IF($X18&lt;30,1,0))</formula>
    </cfRule>
    <cfRule type="expression" dxfId="1283" priority="274">
      <formula>AND(IF($Q18=3,1,0),IF($X18&lt;30,1,0))</formula>
    </cfRule>
    <cfRule type="expression" dxfId="1282" priority="275">
      <formula>AND(IF($Q18=3,1,IF($Q18=4,1,0)),IF($F18&lt;=85,1,0))</formula>
    </cfRule>
  </conditionalFormatting>
  <conditionalFormatting sqref="AI18">
    <cfRule type="expression" dxfId="1281" priority="268">
      <formula>AND(IF(OR($Q18=1,$Q18=2),1,0),IF($X18&lt;=20,1,0))</formula>
    </cfRule>
    <cfRule type="expression" dxfId="1280" priority="269">
      <formula>AND(IF($Q18=2,1,0),IF($X18&lt;30,1,0))</formula>
    </cfRule>
    <cfRule type="expression" dxfId="1279" priority="270">
      <formula>AND(IF($Q18=3,1,0),IF($X18&lt;30,1,0))</formula>
    </cfRule>
    <cfRule type="expression" dxfId="1278" priority="271">
      <formula>AND(IF($Q18=3,1,IF($Q18=4,1,0)),IF($F18&lt;=85,1,0))</formula>
    </cfRule>
  </conditionalFormatting>
  <conditionalFormatting sqref="AV19">
    <cfRule type="expression" dxfId="1277" priority="266">
      <formula>AV19="X"</formula>
    </cfRule>
    <cfRule type="expression" dxfId="1276" priority="267">
      <formula>AV19="후보"</formula>
    </cfRule>
  </conditionalFormatting>
  <conditionalFormatting sqref="AC19">
    <cfRule type="cellIs" dxfId="1275" priority="263" operator="greaterThan">
      <formula>0.9</formula>
    </cfRule>
    <cfRule type="cellIs" dxfId="1274" priority="264" operator="greaterThan">
      <formula>0.85</formula>
    </cfRule>
  </conditionalFormatting>
  <conditionalFormatting sqref="N19">
    <cfRule type="cellIs" dxfId="1273" priority="261" operator="greaterThan">
      <formula>0.9</formula>
    </cfRule>
    <cfRule type="cellIs" dxfId="1272" priority="262" operator="greaterThan">
      <formula>0.85</formula>
    </cfRule>
  </conditionalFormatting>
  <conditionalFormatting sqref="E19">
    <cfRule type="expression" dxfId="1271" priority="257">
      <formula>AND(IF(OR($Q19=1,$Q19=2),1,0),IF($X19&lt;=20,1,0))</formula>
    </cfRule>
    <cfRule type="expression" dxfId="1270" priority="258">
      <formula>AND(IF($Q19=2,1,0),IF($X19&lt;30,1,0))</formula>
    </cfRule>
    <cfRule type="expression" dxfId="1269" priority="259">
      <formula>AND(IF($Q19=3,1,0),IF($X19&lt;30,1,0))</formula>
    </cfRule>
    <cfRule type="expression" dxfId="1268" priority="260">
      <formula>AND(IF($Q19=3,1,IF($Q19=4,1,0)),IF($F19&lt;=85,1,0))</formula>
    </cfRule>
  </conditionalFormatting>
  <conditionalFormatting sqref="X19">
    <cfRule type="expression" dxfId="1267" priority="253">
      <formula>AND(IF(OR($Q19=1,$Q19=2),1,0),IF($X19&lt;=20,1,0))</formula>
    </cfRule>
    <cfRule type="expression" dxfId="1266" priority="254">
      <formula>AND(IF($Q19=2,1,0),IF($X19&lt;30,1,0))</formula>
    </cfRule>
    <cfRule type="expression" dxfId="1265" priority="255">
      <formula>AND(IF($Q19=3,1,0),IF($X19&lt;30,1,0))</formula>
    </cfRule>
    <cfRule type="expression" dxfId="1264" priority="256">
      <formula>AND(IF($Q19=3,1,IF($Q19=4,1,0)),IF($F19&lt;=85,1,0))</formula>
    </cfRule>
  </conditionalFormatting>
  <conditionalFormatting sqref="AI19">
    <cfRule type="expression" dxfId="1263" priority="249">
      <formula>AND(IF(OR($Q19=1,$Q19=2),1,0),IF($X19&lt;=20,1,0))</formula>
    </cfRule>
    <cfRule type="expression" dxfId="1262" priority="250">
      <formula>AND(IF($Q19=2,1,0),IF($X19&lt;30,1,0))</formula>
    </cfRule>
    <cfRule type="expression" dxfId="1261" priority="251">
      <formula>AND(IF($Q19=3,1,0),IF($X19&lt;30,1,0))</formula>
    </cfRule>
    <cfRule type="expression" dxfId="1260" priority="252">
      <formula>AND(IF($Q19=3,1,IF($Q19=4,1,0)),IF($F19&lt;=85,1,0))</formula>
    </cfRule>
  </conditionalFormatting>
  <conditionalFormatting sqref="AV20">
    <cfRule type="expression" dxfId="1259" priority="247">
      <formula>AV20="X"</formula>
    </cfRule>
    <cfRule type="expression" dxfId="1258" priority="248">
      <formula>AV20="후보"</formula>
    </cfRule>
  </conditionalFormatting>
  <conditionalFormatting sqref="AC20 N20">
    <cfRule type="cellIs" dxfId="1257" priority="244" operator="greaterThan">
      <formula>0.9</formula>
    </cfRule>
    <cfRule type="cellIs" dxfId="1256" priority="245" operator="greaterThan">
      <formula>0.85</formula>
    </cfRule>
  </conditionalFormatting>
  <conditionalFormatting sqref="AV21">
    <cfRule type="expression" dxfId="1255" priority="242">
      <formula>AV21="X"</formula>
    </cfRule>
    <cfRule type="expression" dxfId="1254" priority="243">
      <formula>AV21="후보"</formula>
    </cfRule>
  </conditionalFormatting>
  <conditionalFormatting sqref="AC21">
    <cfRule type="cellIs" dxfId="1253" priority="239" operator="greaterThan">
      <formula>0.9</formula>
    </cfRule>
    <cfRule type="cellIs" dxfId="1252" priority="240" operator="greaterThan">
      <formula>0.85</formula>
    </cfRule>
  </conditionalFormatting>
  <conditionalFormatting sqref="N21">
    <cfRule type="cellIs" dxfId="1251" priority="237" operator="greaterThan">
      <formula>0.9</formula>
    </cfRule>
    <cfRule type="cellIs" dxfId="1250" priority="238" operator="greaterThan">
      <formula>0.85</formula>
    </cfRule>
  </conditionalFormatting>
  <conditionalFormatting sqref="E21">
    <cfRule type="expression" dxfId="1249" priority="233">
      <formula>AND(IF(OR($Q21=1,$Q21=2),1,0),IF($X21&lt;=20,1,0))</formula>
    </cfRule>
    <cfRule type="expression" dxfId="1248" priority="234">
      <formula>AND(IF($Q21=2,1,0),IF($X21&lt;30,1,0))</formula>
    </cfRule>
    <cfRule type="expression" dxfId="1247" priority="235">
      <formula>AND(IF($Q21=3,1,0),IF($X21&lt;30,1,0))</formula>
    </cfRule>
    <cfRule type="expression" dxfId="1246" priority="236">
      <formula>AND(IF($Q21=3,1,IF($Q21=4,1,0)),IF($F21&lt;=85,1,0))</formula>
    </cfRule>
  </conditionalFormatting>
  <conditionalFormatting sqref="X21">
    <cfRule type="expression" dxfId="1245" priority="229">
      <formula>AND(IF(OR($Q21=1,$Q21=2),1,0),IF($X21&lt;=20,1,0))</formula>
    </cfRule>
    <cfRule type="expression" dxfId="1244" priority="230">
      <formula>AND(IF($Q21=2,1,0),IF($X21&lt;30,1,0))</formula>
    </cfRule>
    <cfRule type="expression" dxfId="1243" priority="231">
      <formula>AND(IF($Q21=3,1,0),IF($X21&lt;30,1,0))</formula>
    </cfRule>
    <cfRule type="expression" dxfId="1242" priority="232">
      <formula>AND(IF($Q21=3,1,IF($Q21=4,1,0)),IF($F21&lt;=85,1,0))</formula>
    </cfRule>
  </conditionalFormatting>
  <conditionalFormatting sqref="AI21">
    <cfRule type="expression" dxfId="1241" priority="225">
      <formula>AND(IF(OR($Q21=1,$Q21=2),1,0),IF($X21&lt;=20,1,0))</formula>
    </cfRule>
    <cfRule type="expression" dxfId="1240" priority="226">
      <formula>AND(IF($Q21=2,1,0),IF($X21&lt;30,1,0))</formula>
    </cfRule>
    <cfRule type="expression" dxfId="1239" priority="227">
      <formula>AND(IF($Q21=3,1,0),IF($X21&lt;30,1,0))</formula>
    </cfRule>
    <cfRule type="expression" dxfId="1238" priority="228">
      <formula>AND(IF($Q21=3,1,IF($Q21=4,1,0)),IF($F21&lt;=85,1,0))</formula>
    </cfRule>
  </conditionalFormatting>
  <conditionalFormatting sqref="AV22">
    <cfRule type="expression" dxfId="1237" priority="223">
      <formula>AV22="X"</formula>
    </cfRule>
    <cfRule type="expression" dxfId="1236" priority="224">
      <formula>AV22="후보"</formula>
    </cfRule>
  </conditionalFormatting>
  <conditionalFormatting sqref="AC22">
    <cfRule type="cellIs" dxfId="1235" priority="220" operator="greaterThan">
      <formula>0.9</formula>
    </cfRule>
    <cfRule type="cellIs" dxfId="1234" priority="221" operator="greaterThan">
      <formula>0.85</formula>
    </cfRule>
  </conditionalFormatting>
  <conditionalFormatting sqref="N22">
    <cfRule type="cellIs" dxfId="1233" priority="218" operator="greaterThan">
      <formula>0.9</formula>
    </cfRule>
    <cfRule type="cellIs" dxfId="1232" priority="219" operator="greaterThan">
      <formula>0.85</formula>
    </cfRule>
  </conditionalFormatting>
  <conditionalFormatting sqref="E22">
    <cfRule type="expression" dxfId="1231" priority="214">
      <formula>AND(IF(OR($Q22=1,$Q22=2),1,0),IF($X22&lt;=20,1,0))</formula>
    </cfRule>
    <cfRule type="expression" dxfId="1230" priority="215">
      <formula>AND(IF($Q22=2,1,0),IF($X22&lt;30,1,0))</formula>
    </cfRule>
    <cfRule type="expression" dxfId="1229" priority="216">
      <formula>AND(IF($Q22=3,1,0),IF($X22&lt;30,1,0))</formula>
    </cfRule>
    <cfRule type="expression" dxfId="1228" priority="217">
      <formula>AND(IF($Q22=3,1,IF($Q22=4,1,0)),IF($F22&lt;=85,1,0))</formula>
    </cfRule>
  </conditionalFormatting>
  <conditionalFormatting sqref="X22">
    <cfRule type="expression" dxfId="1227" priority="210">
      <formula>AND(IF(OR($Q22=1,$Q22=2),1,0),IF($X22&lt;=20,1,0))</formula>
    </cfRule>
    <cfRule type="expression" dxfId="1226" priority="211">
      <formula>AND(IF($Q22=2,1,0),IF($X22&lt;30,1,0))</formula>
    </cfRule>
    <cfRule type="expression" dxfId="1225" priority="212">
      <formula>AND(IF($Q22=3,1,0),IF($X22&lt;30,1,0))</formula>
    </cfRule>
    <cfRule type="expression" dxfId="1224" priority="213">
      <formula>AND(IF($Q22=3,1,IF($Q22=4,1,0)),IF($F22&lt;=85,1,0))</formula>
    </cfRule>
  </conditionalFormatting>
  <conditionalFormatting sqref="AI22">
    <cfRule type="expression" dxfId="1223" priority="206">
      <formula>AND(IF(OR($Q22=1,$Q22=2),1,0),IF($X22&lt;=20,1,0))</formula>
    </cfRule>
    <cfRule type="expression" dxfId="1222" priority="207">
      <formula>AND(IF($Q22=2,1,0),IF($X22&lt;30,1,0))</formula>
    </cfRule>
    <cfRule type="expression" dxfId="1221" priority="208">
      <formula>AND(IF($Q22=3,1,0),IF($X22&lt;30,1,0))</formula>
    </cfRule>
    <cfRule type="expression" dxfId="1220" priority="209">
      <formula>AND(IF($Q22=3,1,IF($Q22=4,1,0)),IF($F22&lt;=85,1,0))</formula>
    </cfRule>
  </conditionalFormatting>
  <conditionalFormatting sqref="AV23">
    <cfRule type="expression" dxfId="1219" priority="204">
      <formula>AV23="X"</formula>
    </cfRule>
    <cfRule type="expression" dxfId="1218" priority="205">
      <formula>AV23="후보"</formula>
    </cfRule>
  </conditionalFormatting>
  <conditionalFormatting sqref="AC23">
    <cfRule type="cellIs" dxfId="1217" priority="201" operator="greaterThan">
      <formula>0.9</formula>
    </cfRule>
    <cfRule type="cellIs" dxfId="1216" priority="202" operator="greaterThan">
      <formula>0.85</formula>
    </cfRule>
  </conditionalFormatting>
  <conditionalFormatting sqref="N23">
    <cfRule type="cellIs" dxfId="1215" priority="199" operator="greaterThan">
      <formula>0.9</formula>
    </cfRule>
    <cfRule type="cellIs" dxfId="1214" priority="200" operator="greaterThan">
      <formula>0.85</formula>
    </cfRule>
  </conditionalFormatting>
  <conditionalFormatting sqref="E23">
    <cfRule type="expression" dxfId="1213" priority="195">
      <formula>AND(IF(OR($Q23=1,$Q23=2),1,0),IF($X23&lt;=20,1,0))</formula>
    </cfRule>
    <cfRule type="expression" dxfId="1212" priority="196">
      <formula>AND(IF($Q23=2,1,0),IF($X23&lt;30,1,0))</formula>
    </cfRule>
    <cfRule type="expression" dxfId="1211" priority="197">
      <formula>AND(IF($Q23=3,1,0),IF($X23&lt;30,1,0))</formula>
    </cfRule>
    <cfRule type="expression" dxfId="1210" priority="198">
      <formula>AND(IF($Q23=3,1,IF($Q23=4,1,0)),IF($F23&lt;=85,1,0))</formula>
    </cfRule>
  </conditionalFormatting>
  <conditionalFormatting sqref="X23">
    <cfRule type="expression" dxfId="1209" priority="191">
      <formula>AND(IF(OR($Q23=1,$Q23=2),1,0),IF($X23&lt;=20,1,0))</formula>
    </cfRule>
    <cfRule type="expression" dxfId="1208" priority="192">
      <formula>AND(IF($Q23=2,1,0),IF($X23&lt;30,1,0))</formula>
    </cfRule>
    <cfRule type="expression" dxfId="1207" priority="193">
      <formula>AND(IF($Q23=3,1,0),IF($X23&lt;30,1,0))</formula>
    </cfRule>
    <cfRule type="expression" dxfId="1206" priority="194">
      <formula>AND(IF($Q23=3,1,IF($Q23=4,1,0)),IF($F23&lt;=85,1,0))</formula>
    </cfRule>
  </conditionalFormatting>
  <conditionalFormatting sqref="AI23">
    <cfRule type="expression" dxfId="1205" priority="187">
      <formula>AND(IF(OR($Q23=1,$Q23=2),1,0),IF($X23&lt;=20,1,0))</formula>
    </cfRule>
    <cfRule type="expression" dxfId="1204" priority="188">
      <formula>AND(IF($Q23=2,1,0),IF($X23&lt;30,1,0))</formula>
    </cfRule>
    <cfRule type="expression" dxfId="1203" priority="189">
      <formula>AND(IF($Q23=3,1,0),IF($X23&lt;30,1,0))</formula>
    </cfRule>
    <cfRule type="expression" dxfId="1202" priority="190">
      <formula>AND(IF($Q23=3,1,IF($Q23=4,1,0)),IF($F23&lt;=85,1,0))</formula>
    </cfRule>
  </conditionalFormatting>
  <conditionalFormatting sqref="AV24">
    <cfRule type="expression" dxfId="1201" priority="185">
      <formula>AV24="X"</formula>
    </cfRule>
    <cfRule type="expression" dxfId="1200" priority="186">
      <formula>AV24="후보"</formula>
    </cfRule>
  </conditionalFormatting>
  <conditionalFormatting sqref="AC24">
    <cfRule type="cellIs" dxfId="1199" priority="182" operator="greaterThan">
      <formula>0.9</formula>
    </cfRule>
    <cfRule type="cellIs" dxfId="1198" priority="183" operator="greaterThan">
      <formula>0.85</formula>
    </cfRule>
  </conditionalFormatting>
  <conditionalFormatting sqref="N24">
    <cfRule type="cellIs" dxfId="1197" priority="180" operator="greaterThan">
      <formula>0.9</formula>
    </cfRule>
    <cfRule type="cellIs" dxfId="1196" priority="181" operator="greaterThan">
      <formula>0.85</formula>
    </cfRule>
  </conditionalFormatting>
  <conditionalFormatting sqref="E24">
    <cfRule type="expression" dxfId="1195" priority="176">
      <formula>AND(IF(OR($Q24=1,$Q24=2),1,0),IF($X24&lt;=20,1,0))</formula>
    </cfRule>
    <cfRule type="expression" dxfId="1194" priority="177">
      <formula>AND(IF($Q24=2,1,0),IF($X24&lt;30,1,0))</formula>
    </cfRule>
    <cfRule type="expression" dxfId="1193" priority="178">
      <formula>AND(IF($Q24=3,1,0),IF($X24&lt;30,1,0))</formula>
    </cfRule>
    <cfRule type="expression" dxfId="1192" priority="179">
      <formula>AND(IF($Q24=3,1,IF($Q24=4,1,0)),IF($F24&lt;=85,1,0))</formula>
    </cfRule>
  </conditionalFormatting>
  <conditionalFormatting sqref="X24">
    <cfRule type="expression" dxfId="1191" priority="172">
      <formula>AND(IF(OR($Q24=1,$Q24=2),1,0),IF($X24&lt;=20,1,0))</formula>
    </cfRule>
    <cfRule type="expression" dxfId="1190" priority="173">
      <formula>AND(IF($Q24=2,1,0),IF($X24&lt;30,1,0))</formula>
    </cfRule>
    <cfRule type="expression" dxfId="1189" priority="174">
      <formula>AND(IF($Q24=3,1,0),IF($X24&lt;30,1,0))</formula>
    </cfRule>
    <cfRule type="expression" dxfId="1188" priority="175">
      <formula>AND(IF($Q24=3,1,IF($Q24=4,1,0)),IF($F24&lt;=85,1,0))</formula>
    </cfRule>
  </conditionalFormatting>
  <conditionalFormatting sqref="AI24">
    <cfRule type="expression" dxfId="1187" priority="168">
      <formula>AND(IF(OR($Q24=1,$Q24=2),1,0),IF($X24&lt;=20,1,0))</formula>
    </cfRule>
    <cfRule type="expression" dxfId="1186" priority="169">
      <formula>AND(IF($Q24=2,1,0),IF($X24&lt;30,1,0))</formula>
    </cfRule>
    <cfRule type="expression" dxfId="1185" priority="170">
      <formula>AND(IF($Q24=3,1,0),IF($X24&lt;30,1,0))</formula>
    </cfRule>
    <cfRule type="expression" dxfId="1184" priority="171">
      <formula>AND(IF($Q24=3,1,IF($Q24=4,1,0)),IF($F24&lt;=85,1,0))</formula>
    </cfRule>
  </conditionalFormatting>
  <conditionalFormatting sqref="AV25">
    <cfRule type="expression" dxfId="1183" priority="166">
      <formula>AV25="X"</formula>
    </cfRule>
    <cfRule type="expression" dxfId="1182" priority="167">
      <formula>AV25="후보"</formula>
    </cfRule>
  </conditionalFormatting>
  <conditionalFormatting sqref="AC25 N25">
    <cfRule type="cellIs" dxfId="1181" priority="163" operator="greaterThan">
      <formula>0.9</formula>
    </cfRule>
    <cfRule type="cellIs" dxfId="1180" priority="164" operator="greaterThan">
      <formula>0.85</formula>
    </cfRule>
  </conditionalFormatting>
  <conditionalFormatting sqref="AV26">
    <cfRule type="expression" dxfId="1179" priority="161">
      <formula>AV26="X"</formula>
    </cfRule>
    <cfRule type="expression" dxfId="1178" priority="162">
      <formula>AV26="후보"</formula>
    </cfRule>
  </conditionalFormatting>
  <conditionalFormatting sqref="AC26">
    <cfRule type="cellIs" dxfId="1177" priority="158" operator="greaterThan">
      <formula>0.9</formula>
    </cfRule>
    <cfRule type="cellIs" dxfId="1176" priority="159" operator="greaterThan">
      <formula>0.85</formula>
    </cfRule>
  </conditionalFormatting>
  <conditionalFormatting sqref="N26">
    <cfRule type="cellIs" dxfId="1175" priority="156" operator="greaterThan">
      <formula>0.9</formula>
    </cfRule>
    <cfRule type="cellIs" dxfId="1174" priority="157" operator="greaterThan">
      <formula>0.85</formula>
    </cfRule>
  </conditionalFormatting>
  <conditionalFormatting sqref="E26">
    <cfRule type="expression" dxfId="1173" priority="152">
      <formula>AND(IF(OR($Q26=1,$Q26=2),1,0),IF($X26&lt;=20,1,0))</formula>
    </cfRule>
    <cfRule type="expression" dxfId="1172" priority="153">
      <formula>AND(IF($Q26=2,1,0),IF($X26&lt;30,1,0))</formula>
    </cfRule>
    <cfRule type="expression" dxfId="1171" priority="154">
      <formula>AND(IF($Q26=3,1,0),IF($X26&lt;30,1,0))</formula>
    </cfRule>
    <cfRule type="expression" dxfId="1170" priority="155">
      <formula>AND(IF($Q26=3,1,IF($Q26=4,1,0)),IF($F26&lt;=85,1,0))</formula>
    </cfRule>
  </conditionalFormatting>
  <conditionalFormatting sqref="X26">
    <cfRule type="expression" dxfId="1169" priority="148">
      <formula>AND(IF(OR($Q26=1,$Q26=2),1,0),IF($X26&lt;=20,1,0))</formula>
    </cfRule>
    <cfRule type="expression" dxfId="1168" priority="149">
      <formula>AND(IF($Q26=2,1,0),IF($X26&lt;30,1,0))</formula>
    </cfRule>
    <cfRule type="expression" dxfId="1167" priority="150">
      <formula>AND(IF($Q26=3,1,0),IF($X26&lt;30,1,0))</formula>
    </cfRule>
    <cfRule type="expression" dxfId="1166" priority="151">
      <formula>AND(IF($Q26=3,1,IF($Q26=4,1,0)),IF($F26&lt;=85,1,0))</formula>
    </cfRule>
  </conditionalFormatting>
  <conditionalFormatting sqref="AI26">
    <cfRule type="expression" dxfId="1165" priority="144">
      <formula>AND(IF(OR($Q26=1,$Q26=2),1,0),IF($X26&lt;=20,1,0))</formula>
    </cfRule>
    <cfRule type="expression" dxfId="1164" priority="145">
      <formula>AND(IF($Q26=2,1,0),IF($X26&lt;30,1,0))</formula>
    </cfRule>
    <cfRule type="expression" dxfId="1163" priority="146">
      <formula>AND(IF($Q26=3,1,0),IF($X26&lt;30,1,0))</formula>
    </cfRule>
    <cfRule type="expression" dxfId="1162" priority="147">
      <formula>AND(IF($Q26=3,1,IF($Q26=4,1,0)),IF($F26&lt;=85,1,0))</formula>
    </cfRule>
  </conditionalFormatting>
  <conditionalFormatting sqref="AV27">
    <cfRule type="expression" dxfId="1161" priority="142">
      <formula>AV27="X"</formula>
    </cfRule>
    <cfRule type="expression" dxfId="1160" priority="143">
      <formula>AV27="후보"</formula>
    </cfRule>
  </conditionalFormatting>
  <conditionalFormatting sqref="AC27">
    <cfRule type="cellIs" dxfId="1159" priority="139" operator="greaterThan">
      <formula>0.9</formula>
    </cfRule>
    <cfRule type="cellIs" dxfId="1158" priority="140" operator="greaterThan">
      <formula>0.85</formula>
    </cfRule>
  </conditionalFormatting>
  <conditionalFormatting sqref="N27">
    <cfRule type="cellIs" dxfId="1157" priority="137" operator="greaterThan">
      <formula>0.9</formula>
    </cfRule>
    <cfRule type="cellIs" dxfId="1156" priority="138" operator="greaterThan">
      <formula>0.85</formula>
    </cfRule>
  </conditionalFormatting>
  <conditionalFormatting sqref="E27">
    <cfRule type="expression" dxfId="1155" priority="133">
      <formula>AND(IF(OR($Q27=1,$Q27=2),1,0),IF($X27&lt;=20,1,0))</formula>
    </cfRule>
    <cfRule type="expression" dxfId="1154" priority="134">
      <formula>AND(IF($Q27=2,1,0),IF($X27&lt;30,1,0))</formula>
    </cfRule>
    <cfRule type="expression" dxfId="1153" priority="135">
      <formula>AND(IF($Q27=3,1,0),IF($X27&lt;30,1,0))</formula>
    </cfRule>
    <cfRule type="expression" dxfId="1152" priority="136">
      <formula>AND(IF($Q27=3,1,IF($Q27=4,1,0)),IF($F27&lt;=85,1,0))</formula>
    </cfRule>
  </conditionalFormatting>
  <conditionalFormatting sqref="X27">
    <cfRule type="expression" dxfId="1151" priority="129">
      <formula>AND(IF(OR($Q27=1,$Q27=2),1,0),IF($X27&lt;=20,1,0))</formula>
    </cfRule>
    <cfRule type="expression" dxfId="1150" priority="130">
      <formula>AND(IF($Q27=2,1,0),IF($X27&lt;30,1,0))</formula>
    </cfRule>
    <cfRule type="expression" dxfId="1149" priority="131">
      <formula>AND(IF($Q27=3,1,0),IF($X27&lt;30,1,0))</formula>
    </cfRule>
    <cfRule type="expression" dxfId="1148" priority="132">
      <formula>AND(IF($Q27=3,1,IF($Q27=4,1,0)),IF($F27&lt;=85,1,0))</formula>
    </cfRule>
  </conditionalFormatting>
  <conditionalFormatting sqref="AI27">
    <cfRule type="expression" dxfId="1147" priority="125">
      <formula>AND(IF(OR($Q27=1,$Q27=2),1,0),IF($X27&lt;=20,1,0))</formula>
    </cfRule>
    <cfRule type="expression" dxfId="1146" priority="126">
      <formula>AND(IF($Q27=2,1,0),IF($X27&lt;30,1,0))</formula>
    </cfRule>
    <cfRule type="expression" dxfId="1145" priority="127">
      <formula>AND(IF($Q27=3,1,0),IF($X27&lt;30,1,0))</formula>
    </cfRule>
    <cfRule type="expression" dxfId="1144" priority="128">
      <formula>AND(IF($Q27=3,1,IF($Q27=4,1,0)),IF($F27&lt;=85,1,0))</formula>
    </cfRule>
  </conditionalFormatting>
  <conditionalFormatting sqref="AV28">
    <cfRule type="expression" dxfId="1143" priority="123">
      <formula>AV28="X"</formula>
    </cfRule>
    <cfRule type="expression" dxfId="1142" priority="124">
      <formula>AV28="후보"</formula>
    </cfRule>
  </conditionalFormatting>
  <conditionalFormatting sqref="AC28 N28">
    <cfRule type="cellIs" dxfId="1141" priority="120" operator="greaterThan">
      <formula>0.9</formula>
    </cfRule>
    <cfRule type="cellIs" dxfId="1140" priority="121" operator="greaterThan">
      <formula>0.85</formula>
    </cfRule>
  </conditionalFormatting>
  <conditionalFormatting sqref="AV29">
    <cfRule type="expression" dxfId="1139" priority="118">
      <formula>AV29="X"</formula>
    </cfRule>
    <cfRule type="expression" dxfId="1138" priority="119">
      <formula>AV29="후보"</formula>
    </cfRule>
  </conditionalFormatting>
  <conditionalFormatting sqref="AC29">
    <cfRule type="cellIs" dxfId="1137" priority="115" operator="greaterThan">
      <formula>0.9</formula>
    </cfRule>
    <cfRule type="cellIs" dxfId="1136" priority="116" operator="greaterThan">
      <formula>0.85</formula>
    </cfRule>
  </conditionalFormatting>
  <conditionalFormatting sqref="N29">
    <cfRule type="cellIs" dxfId="1135" priority="113" operator="greaterThan">
      <formula>0.9</formula>
    </cfRule>
    <cfRule type="cellIs" dxfId="1134" priority="114" operator="greaterThan">
      <formula>0.85</formula>
    </cfRule>
  </conditionalFormatting>
  <conditionalFormatting sqref="E29">
    <cfRule type="expression" dxfId="1133" priority="109">
      <formula>AND(IF(OR($Q29=1,$Q29=2),1,0),IF($X29&lt;=20,1,0))</formula>
    </cfRule>
    <cfRule type="expression" dxfId="1132" priority="110">
      <formula>AND(IF($Q29=2,1,0),IF($X29&lt;30,1,0))</formula>
    </cfRule>
    <cfRule type="expression" dxfId="1131" priority="111">
      <formula>AND(IF($Q29=3,1,0),IF($X29&lt;30,1,0))</formula>
    </cfRule>
    <cfRule type="expression" dxfId="1130" priority="112">
      <formula>AND(IF($Q29=3,1,IF($Q29=4,1,0)),IF($F29&lt;=85,1,0))</formula>
    </cfRule>
  </conditionalFormatting>
  <conditionalFormatting sqref="X29">
    <cfRule type="expression" dxfId="1129" priority="105">
      <formula>AND(IF(OR($Q29=1,$Q29=2),1,0),IF($X29&lt;=20,1,0))</formula>
    </cfRule>
    <cfRule type="expression" dxfId="1128" priority="106">
      <formula>AND(IF($Q29=2,1,0),IF($X29&lt;30,1,0))</formula>
    </cfRule>
    <cfRule type="expression" dxfId="1127" priority="107">
      <formula>AND(IF($Q29=3,1,0),IF($X29&lt;30,1,0))</formula>
    </cfRule>
    <cfRule type="expression" dxfId="1126" priority="108">
      <formula>AND(IF($Q29=3,1,IF($Q29=4,1,0)),IF($F29&lt;=85,1,0))</formula>
    </cfRule>
  </conditionalFormatting>
  <conditionalFormatting sqref="AI29">
    <cfRule type="expression" dxfId="1125" priority="101">
      <formula>AND(IF(OR($Q29=1,$Q29=2),1,0),IF($X29&lt;=20,1,0))</formula>
    </cfRule>
    <cfRule type="expression" dxfId="1124" priority="102">
      <formula>AND(IF($Q29=2,1,0),IF($X29&lt;30,1,0))</formula>
    </cfRule>
    <cfRule type="expression" dxfId="1123" priority="103">
      <formula>AND(IF($Q29=3,1,0),IF($X29&lt;30,1,0))</formula>
    </cfRule>
    <cfRule type="expression" dxfId="1122" priority="104">
      <formula>AND(IF($Q29=3,1,IF($Q29=4,1,0)),IF($F29&lt;=85,1,0))</formula>
    </cfRule>
  </conditionalFormatting>
  <conditionalFormatting sqref="AV30">
    <cfRule type="expression" dxfId="1121" priority="99">
      <formula>AV30="X"</formula>
    </cfRule>
    <cfRule type="expression" dxfId="1120" priority="100">
      <formula>AV30="후보"</formula>
    </cfRule>
  </conditionalFormatting>
  <conditionalFormatting sqref="AC30">
    <cfRule type="cellIs" dxfId="1119" priority="96" operator="greaterThan">
      <formula>0.9</formula>
    </cfRule>
    <cfRule type="cellIs" dxfId="1118" priority="97" operator="greaterThan">
      <formula>0.85</formula>
    </cfRule>
  </conditionalFormatting>
  <conditionalFormatting sqref="N30">
    <cfRule type="cellIs" dxfId="1117" priority="94" operator="greaterThan">
      <formula>0.9</formula>
    </cfRule>
    <cfRule type="cellIs" dxfId="1116" priority="95" operator="greaterThan">
      <formula>0.85</formula>
    </cfRule>
  </conditionalFormatting>
  <conditionalFormatting sqref="E30">
    <cfRule type="expression" dxfId="1115" priority="90">
      <formula>AND(IF(OR($Q30=1,$Q30=2),1,0),IF($X30&lt;=20,1,0))</formula>
    </cfRule>
    <cfRule type="expression" dxfId="1114" priority="91">
      <formula>AND(IF($Q30=2,1,0),IF($X30&lt;30,1,0))</formula>
    </cfRule>
    <cfRule type="expression" dxfId="1113" priority="92">
      <formula>AND(IF($Q30=3,1,0),IF($X30&lt;30,1,0))</formula>
    </cfRule>
    <cfRule type="expression" dxfId="1112" priority="93">
      <formula>AND(IF($Q30=3,1,IF($Q30=4,1,0)),IF($F30&lt;=85,1,0))</formula>
    </cfRule>
  </conditionalFormatting>
  <conditionalFormatting sqref="X30">
    <cfRule type="expression" dxfId="1111" priority="86">
      <formula>AND(IF(OR($Q30=1,$Q30=2),1,0),IF($X30&lt;=20,1,0))</formula>
    </cfRule>
    <cfRule type="expression" dxfId="1110" priority="87">
      <formula>AND(IF($Q30=2,1,0),IF($X30&lt;30,1,0))</formula>
    </cfRule>
    <cfRule type="expression" dxfId="1109" priority="88">
      <formula>AND(IF($Q30=3,1,0),IF($X30&lt;30,1,0))</formula>
    </cfRule>
    <cfRule type="expression" dxfId="1108" priority="89">
      <formula>AND(IF($Q30=3,1,IF($Q30=4,1,0)),IF($F30&lt;=85,1,0))</formula>
    </cfRule>
  </conditionalFormatting>
  <conditionalFormatting sqref="AI30">
    <cfRule type="expression" dxfId="1107" priority="82">
      <formula>AND(IF(OR($Q30=1,$Q30=2),1,0),IF($X30&lt;=20,1,0))</formula>
    </cfRule>
    <cfRule type="expression" dxfId="1106" priority="83">
      <formula>AND(IF($Q30=2,1,0),IF($X30&lt;30,1,0))</formula>
    </cfRule>
    <cfRule type="expression" dxfId="1105" priority="84">
      <formula>AND(IF($Q30=3,1,0),IF($X30&lt;30,1,0))</formula>
    </cfRule>
    <cfRule type="expression" dxfId="1104" priority="85">
      <formula>AND(IF($Q30=3,1,IF($Q30=4,1,0)),IF($F30&lt;=85,1,0))</formula>
    </cfRule>
  </conditionalFormatting>
  <conditionalFormatting sqref="AV31">
    <cfRule type="expression" dxfId="1103" priority="80">
      <formula>AV31="X"</formula>
    </cfRule>
    <cfRule type="expression" dxfId="1102" priority="81">
      <formula>AV31="후보"</formula>
    </cfRule>
  </conditionalFormatting>
  <conditionalFormatting sqref="AC31">
    <cfRule type="cellIs" dxfId="1101" priority="77" operator="greaterThan">
      <formula>0.9</formula>
    </cfRule>
    <cfRule type="cellIs" dxfId="1100" priority="78" operator="greaterThan">
      <formula>0.85</formula>
    </cfRule>
  </conditionalFormatting>
  <conditionalFormatting sqref="N31">
    <cfRule type="cellIs" dxfId="1099" priority="75" operator="greaterThan">
      <formula>0.9</formula>
    </cfRule>
    <cfRule type="cellIs" dxfId="1098" priority="76" operator="greaterThan">
      <formula>0.85</formula>
    </cfRule>
  </conditionalFormatting>
  <conditionalFormatting sqref="E31">
    <cfRule type="expression" dxfId="1097" priority="71">
      <formula>AND(IF(OR($Q31=1,$Q31=2),1,0),IF($X31&lt;=20,1,0))</formula>
    </cfRule>
    <cfRule type="expression" dxfId="1096" priority="72">
      <formula>AND(IF($Q31=2,1,0),IF($X31&lt;30,1,0))</formula>
    </cfRule>
    <cfRule type="expression" dxfId="1095" priority="73">
      <formula>AND(IF($Q31=3,1,0),IF($X31&lt;30,1,0))</formula>
    </cfRule>
    <cfRule type="expression" dxfId="1094" priority="74">
      <formula>AND(IF($Q31=3,1,IF($Q31=4,1,0)),IF($F31&lt;=85,1,0))</formula>
    </cfRule>
  </conditionalFormatting>
  <conditionalFormatting sqref="X31">
    <cfRule type="expression" dxfId="1093" priority="67">
      <formula>AND(IF(OR($Q31=1,$Q31=2),1,0),IF($X31&lt;=20,1,0))</formula>
    </cfRule>
    <cfRule type="expression" dxfId="1092" priority="68">
      <formula>AND(IF($Q31=2,1,0),IF($X31&lt;30,1,0))</formula>
    </cfRule>
    <cfRule type="expression" dxfId="1091" priority="69">
      <formula>AND(IF($Q31=3,1,0),IF($X31&lt;30,1,0))</formula>
    </cfRule>
    <cfRule type="expression" dxfId="1090" priority="70">
      <formula>AND(IF($Q31=3,1,IF($Q31=4,1,0)),IF($F31&lt;=85,1,0))</formula>
    </cfRule>
  </conditionalFormatting>
  <conditionalFormatting sqref="AI31">
    <cfRule type="expression" dxfId="1089" priority="63">
      <formula>AND(IF(OR($Q31=1,$Q31=2),1,0),IF($X31&lt;=20,1,0))</formula>
    </cfRule>
    <cfRule type="expression" dxfId="1088" priority="64">
      <formula>AND(IF($Q31=2,1,0),IF($X31&lt;30,1,0))</formula>
    </cfRule>
    <cfRule type="expression" dxfId="1087" priority="65">
      <formula>AND(IF($Q31=3,1,0),IF($X31&lt;30,1,0))</formula>
    </cfRule>
    <cfRule type="expression" dxfId="1086" priority="66">
      <formula>AND(IF($Q31=3,1,IF($Q31=4,1,0)),IF($F31&lt;=85,1,0))</formula>
    </cfRule>
  </conditionalFormatting>
  <conditionalFormatting sqref="AV32">
    <cfRule type="expression" dxfId="1085" priority="61">
      <formula>AV32="X"</formula>
    </cfRule>
    <cfRule type="expression" dxfId="1084" priority="62">
      <formula>AV32="후보"</formula>
    </cfRule>
  </conditionalFormatting>
  <conditionalFormatting sqref="AC32">
    <cfRule type="cellIs" dxfId="1083" priority="58" operator="greaterThan">
      <formula>0.9</formula>
    </cfRule>
    <cfRule type="cellIs" dxfId="1082" priority="59" operator="greaterThan">
      <formula>0.85</formula>
    </cfRule>
  </conditionalFormatting>
  <conditionalFormatting sqref="N32">
    <cfRule type="cellIs" dxfId="1081" priority="56" operator="greaterThan">
      <formula>0.9</formula>
    </cfRule>
    <cfRule type="cellIs" dxfId="1080" priority="57" operator="greaterThan">
      <formula>0.85</formula>
    </cfRule>
  </conditionalFormatting>
  <conditionalFormatting sqref="E32">
    <cfRule type="expression" dxfId="1079" priority="52">
      <formula>AND(IF(OR($Q32=1,$Q32=2),1,0),IF($X32&lt;=20,1,0))</formula>
    </cfRule>
    <cfRule type="expression" dxfId="1078" priority="53">
      <formula>AND(IF($Q32=2,1,0),IF($X32&lt;30,1,0))</formula>
    </cfRule>
    <cfRule type="expression" dxfId="1077" priority="54">
      <formula>AND(IF($Q32=3,1,0),IF($X32&lt;30,1,0))</formula>
    </cfRule>
    <cfRule type="expression" dxfId="1076" priority="55">
      <formula>AND(IF($Q32=3,1,IF($Q32=4,1,0)),IF($F32&lt;=85,1,0))</formula>
    </cfRule>
  </conditionalFormatting>
  <conditionalFormatting sqref="X32">
    <cfRule type="expression" dxfId="1075" priority="48">
      <formula>AND(IF(OR($Q32=1,$Q32=2),1,0),IF($X32&lt;=20,1,0))</formula>
    </cfRule>
    <cfRule type="expression" dxfId="1074" priority="49">
      <formula>AND(IF($Q32=2,1,0),IF($X32&lt;30,1,0))</formula>
    </cfRule>
    <cfRule type="expression" dxfId="1073" priority="50">
      <formula>AND(IF($Q32=3,1,0),IF($X32&lt;30,1,0))</formula>
    </cfRule>
    <cfRule type="expression" dxfId="1072" priority="51">
      <formula>AND(IF($Q32=3,1,IF($Q32=4,1,0)),IF($F32&lt;=85,1,0))</formula>
    </cfRule>
  </conditionalFormatting>
  <conditionalFormatting sqref="AI32">
    <cfRule type="expression" dxfId="1071" priority="44">
      <formula>AND(IF(OR($Q32=1,$Q32=2),1,0),IF($X32&lt;=20,1,0))</formula>
    </cfRule>
    <cfRule type="expression" dxfId="1070" priority="45">
      <formula>AND(IF($Q32=2,1,0),IF($X32&lt;30,1,0))</formula>
    </cfRule>
    <cfRule type="expression" dxfId="1069" priority="46">
      <formula>AND(IF($Q32=3,1,0),IF($X32&lt;30,1,0))</formula>
    </cfRule>
    <cfRule type="expression" dxfId="1068" priority="47">
      <formula>AND(IF($Q32=3,1,IF($Q32=4,1,0)),IF($F32&lt;=85,1,0))</formula>
    </cfRule>
  </conditionalFormatting>
  <conditionalFormatting sqref="AV33">
    <cfRule type="expression" dxfId="1067" priority="42">
      <formula>AV33="X"</formula>
    </cfRule>
    <cfRule type="expression" dxfId="1066" priority="43">
      <formula>AV33="후보"</formula>
    </cfRule>
  </conditionalFormatting>
  <conditionalFormatting sqref="AC33 N33">
    <cfRule type="cellIs" dxfId="1065" priority="39" operator="greaterThan">
      <formula>0.9</formula>
    </cfRule>
    <cfRule type="cellIs" dxfId="1064" priority="40" operator="greaterThan">
      <formula>0.85</formula>
    </cfRule>
  </conditionalFormatting>
  <conditionalFormatting sqref="AV34">
    <cfRule type="expression" dxfId="1063" priority="37">
      <formula>AV34="X"</formula>
    </cfRule>
    <cfRule type="expression" dxfId="1062" priority="38">
      <formula>AV34="후보"</formula>
    </cfRule>
  </conditionalFormatting>
  <conditionalFormatting sqref="AC34">
    <cfRule type="cellIs" dxfId="1061" priority="34" operator="greaterThan">
      <formula>0.9</formula>
    </cfRule>
    <cfRule type="cellIs" dxfId="1060" priority="35" operator="greaterThan">
      <formula>0.85</formula>
    </cfRule>
  </conditionalFormatting>
  <conditionalFormatting sqref="N34">
    <cfRule type="cellIs" dxfId="1059" priority="32" operator="greaterThan">
      <formula>0.9</formula>
    </cfRule>
    <cfRule type="cellIs" dxfId="1058" priority="33" operator="greaterThan">
      <formula>0.85</formula>
    </cfRule>
  </conditionalFormatting>
  <conditionalFormatting sqref="E34">
    <cfRule type="expression" dxfId="1057" priority="28">
      <formula>AND(IF(OR($Q34=1,$Q34=2),1,0),IF($X34&lt;=20,1,0))</formula>
    </cfRule>
    <cfRule type="expression" dxfId="1056" priority="29">
      <formula>AND(IF($Q34=2,1,0),IF($X34&lt;30,1,0))</formula>
    </cfRule>
    <cfRule type="expression" dxfId="1055" priority="30">
      <formula>AND(IF($Q34=3,1,0),IF($X34&lt;30,1,0))</formula>
    </cfRule>
    <cfRule type="expression" dxfId="1054" priority="31">
      <formula>AND(IF($Q34=3,1,IF($Q34=4,1,0)),IF($F34&lt;=85,1,0))</formula>
    </cfRule>
  </conditionalFormatting>
  <conditionalFormatting sqref="X34">
    <cfRule type="expression" dxfId="1053" priority="24">
      <formula>AND(IF(OR($Q34=1,$Q34=2),1,0),IF($X34&lt;=20,1,0))</formula>
    </cfRule>
    <cfRule type="expression" dxfId="1052" priority="25">
      <formula>AND(IF($Q34=2,1,0),IF($X34&lt;30,1,0))</formula>
    </cfRule>
    <cfRule type="expression" dxfId="1051" priority="26">
      <formula>AND(IF($Q34=3,1,0),IF($X34&lt;30,1,0))</formula>
    </cfRule>
    <cfRule type="expression" dxfId="1050" priority="27">
      <formula>AND(IF($Q34=3,1,IF($Q34=4,1,0)),IF($F34&lt;=85,1,0))</formula>
    </cfRule>
  </conditionalFormatting>
  <conditionalFormatting sqref="AI34">
    <cfRule type="expression" dxfId="1049" priority="20">
      <formula>AND(IF(OR($Q34=1,$Q34=2),1,0),IF($X34&lt;=20,1,0))</formula>
    </cfRule>
    <cfRule type="expression" dxfId="1048" priority="21">
      <formula>AND(IF($Q34=2,1,0),IF($X34&lt;30,1,0))</formula>
    </cfRule>
    <cfRule type="expression" dxfId="1047" priority="22">
      <formula>AND(IF($Q34=3,1,0),IF($X34&lt;30,1,0))</formula>
    </cfRule>
    <cfRule type="expression" dxfId="1046" priority="23">
      <formula>AND(IF($Q34=3,1,IF($Q34=4,1,0)),IF($F34&lt;=85,1,0))</formula>
    </cfRule>
  </conditionalFormatting>
  <conditionalFormatting sqref="AV35">
    <cfRule type="expression" dxfId="1045" priority="18">
      <formula>AV35="X"</formula>
    </cfRule>
    <cfRule type="expression" dxfId="1044" priority="19">
      <formula>AV35="후보"</formula>
    </cfRule>
  </conditionalFormatting>
  <conditionalFormatting sqref="AC35">
    <cfRule type="cellIs" dxfId="1043" priority="15" operator="greaterThan">
      <formula>0.9</formula>
    </cfRule>
    <cfRule type="cellIs" dxfId="1042" priority="16" operator="greaterThan">
      <formula>0.85</formula>
    </cfRule>
  </conditionalFormatting>
  <conditionalFormatting sqref="N35">
    <cfRule type="cellIs" dxfId="1041" priority="13" operator="greaterThan">
      <formula>0.9</formula>
    </cfRule>
    <cfRule type="cellIs" dxfId="1040" priority="14" operator="greaterThan">
      <formula>0.85</formula>
    </cfRule>
  </conditionalFormatting>
  <conditionalFormatting sqref="E35">
    <cfRule type="expression" dxfId="1039" priority="9">
      <formula>AND(IF(OR($Q35=1,$Q35=2),1,0),IF($X35&lt;=20,1,0))</formula>
    </cfRule>
    <cfRule type="expression" dxfId="1038" priority="10">
      <formula>AND(IF($Q35=2,1,0),IF($X35&lt;30,1,0))</formula>
    </cfRule>
    <cfRule type="expression" dxfId="1037" priority="11">
      <formula>AND(IF($Q35=3,1,0),IF($X35&lt;30,1,0))</formula>
    </cfRule>
    <cfRule type="expression" dxfId="1036" priority="12">
      <formula>AND(IF($Q35=3,1,IF($Q35=4,1,0)),IF($F35&lt;=85,1,0))</formula>
    </cfRule>
  </conditionalFormatting>
  <conditionalFormatting sqref="X35">
    <cfRule type="expression" dxfId="1035" priority="5">
      <formula>AND(IF(OR($Q35=1,$Q35=2),1,0),IF($X35&lt;=20,1,0))</formula>
    </cfRule>
    <cfRule type="expression" dxfId="1034" priority="6">
      <formula>AND(IF($Q35=2,1,0),IF($X35&lt;30,1,0))</formula>
    </cfRule>
    <cfRule type="expression" dxfId="1033" priority="7">
      <formula>AND(IF($Q35=3,1,0),IF($X35&lt;30,1,0))</formula>
    </cfRule>
    <cfRule type="expression" dxfId="1032" priority="8">
      <formula>AND(IF($Q35=3,1,IF($Q35=4,1,0)),IF($F35&lt;=85,1,0))</formula>
    </cfRule>
  </conditionalFormatting>
  <conditionalFormatting sqref="AI35">
    <cfRule type="expression" dxfId="1031" priority="1">
      <formula>AND(IF(OR($Q35=1,$Q35=2),1,0),IF($X35&lt;=20,1,0))</formula>
    </cfRule>
    <cfRule type="expression" dxfId="1030" priority="2">
      <formula>AND(IF($Q35=2,1,0),IF($X35&lt;30,1,0))</formula>
    </cfRule>
    <cfRule type="expression" dxfId="1029" priority="3">
      <formula>AND(IF($Q35=3,1,0),IF($X35&lt;30,1,0))</formula>
    </cfRule>
    <cfRule type="expression" dxfId="102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송절동 청주테크노폴리스푸르지오('18.11.,1034^)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1099</v>
      </c>
      <c r="B6" s="10" t="s">
        <v>1387</v>
      </c>
      <c r="C6" s="88">
        <v>1034</v>
      </c>
      <c r="D6" s="86">
        <v>98.5</v>
      </c>
      <c r="E6" s="87">
        <v>30</v>
      </c>
      <c r="F6" s="86">
        <v>73.900000000000006</v>
      </c>
      <c r="G6" s="17">
        <v>22</v>
      </c>
      <c r="H6" s="88">
        <v>129</v>
      </c>
      <c r="I6" s="89">
        <v>47500</v>
      </c>
      <c r="J6" s="89" t="s">
        <v>92</v>
      </c>
      <c r="K6" s="89">
        <v>33000</v>
      </c>
      <c r="L6" s="89" t="s">
        <v>71</v>
      </c>
      <c r="M6" s="90">
        <f>I6-K6</f>
        <v>14500</v>
      </c>
      <c r="N6" s="4">
        <f>IF(ISERROR(K6/I6),"",K6/I6)</f>
        <v>0.69473684210526321</v>
      </c>
      <c r="O6" s="91">
        <f>I6/E6</f>
        <v>1583.3333333333333</v>
      </c>
      <c r="P6" s="91">
        <f>K6/E6</f>
        <v>1100</v>
      </c>
      <c r="Q6" s="79">
        <v>3</v>
      </c>
      <c r="R6" s="79">
        <v>2</v>
      </c>
      <c r="S6" s="79" t="s">
        <v>62</v>
      </c>
      <c r="T6" s="5">
        <v>98</v>
      </c>
      <c r="U6" s="9"/>
      <c r="W6" s="86">
        <f t="shared" ref="W6:X9" si="2">D6</f>
        <v>98.5</v>
      </c>
      <c r="X6" s="87">
        <f t="shared" si="2"/>
        <v>30</v>
      </c>
      <c r="Y6" s="92">
        <f t="shared" ref="Y6:Z9" si="3">H6</f>
        <v>129</v>
      </c>
      <c r="Z6" s="90">
        <f t="shared" si="3"/>
        <v>47500</v>
      </c>
      <c r="AA6" s="90">
        <f>K6</f>
        <v>33000</v>
      </c>
      <c r="AB6" s="90">
        <f t="shared" ref="AB6:AD9" si="4">M6</f>
        <v>14500</v>
      </c>
      <c r="AC6" s="4">
        <f t="shared" si="4"/>
        <v>0.69473684210526321</v>
      </c>
      <c r="AD6" s="91">
        <f t="shared" si="4"/>
        <v>1583.3333333333333</v>
      </c>
      <c r="AE6" s="79" t="str">
        <f>S6</f>
        <v>계</v>
      </c>
      <c r="AF6" s="79" t="str">
        <f>Q6&amp;"/"&amp;R6</f>
        <v>3/2</v>
      </c>
      <c r="AH6" s="20" t="str">
        <f t="shared" si="1"/>
        <v>청주테크노폴리스푸르지오</v>
      </c>
      <c r="AI6" s="87">
        <f t="shared" si="0"/>
        <v>30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1099</v>
      </c>
      <c r="B7" s="10" t="s">
        <v>1387</v>
      </c>
      <c r="C7" s="88">
        <v>1034</v>
      </c>
      <c r="D7" s="86">
        <v>112.5</v>
      </c>
      <c r="E7" s="87">
        <v>34</v>
      </c>
      <c r="F7" s="86">
        <v>85</v>
      </c>
      <c r="G7" s="17">
        <v>26</v>
      </c>
      <c r="H7" s="88">
        <v>616</v>
      </c>
      <c r="I7" s="89">
        <v>55000</v>
      </c>
      <c r="J7" s="89" t="s">
        <v>75</v>
      </c>
      <c r="K7" s="89">
        <v>32000</v>
      </c>
      <c r="L7" s="89" t="s">
        <v>89</v>
      </c>
      <c r="M7" s="90">
        <f>I7-K7</f>
        <v>23000</v>
      </c>
      <c r="N7" s="4">
        <f>IF(ISERROR(K7/I7),"",K7/I7)</f>
        <v>0.58181818181818179</v>
      </c>
      <c r="O7" s="91">
        <f>I7/E7</f>
        <v>1617.6470588235295</v>
      </c>
      <c r="P7" s="91">
        <f>K7/E7</f>
        <v>941.17647058823525</v>
      </c>
      <c r="Q7" s="79">
        <v>4</v>
      </c>
      <c r="R7" s="79">
        <v>2</v>
      </c>
      <c r="S7" s="79" t="s">
        <v>62</v>
      </c>
      <c r="T7" s="5" t="s">
        <v>106</v>
      </c>
      <c r="U7" s="9"/>
      <c r="W7" s="86">
        <f t="shared" si="2"/>
        <v>112.5</v>
      </c>
      <c r="X7" s="87">
        <f t="shared" si="2"/>
        <v>34</v>
      </c>
      <c r="Y7" s="92">
        <f t="shared" si="3"/>
        <v>616</v>
      </c>
      <c r="Z7" s="90">
        <f t="shared" si="3"/>
        <v>55000</v>
      </c>
      <c r="AA7" s="90">
        <f>K7</f>
        <v>32000</v>
      </c>
      <c r="AB7" s="90">
        <f t="shared" si="4"/>
        <v>23000</v>
      </c>
      <c r="AC7" s="4">
        <f t="shared" si="4"/>
        <v>0.58181818181818179</v>
      </c>
      <c r="AD7" s="91">
        <f t="shared" si="4"/>
        <v>1617.6470588235295</v>
      </c>
      <c r="AE7" s="79" t="str">
        <f>S7</f>
        <v>계</v>
      </c>
      <c r="AF7" s="79" t="str">
        <f>Q7&amp;"/"&amp;R7</f>
        <v>4/2</v>
      </c>
      <c r="AH7" s="20" t="str">
        <f t="shared" si="1"/>
        <v>청주테크노폴리스푸르지오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1099</v>
      </c>
      <c r="B8" s="10" t="s">
        <v>1387</v>
      </c>
      <c r="C8" s="88">
        <v>1034</v>
      </c>
      <c r="D8" s="86">
        <v>112.7</v>
      </c>
      <c r="E8" s="87">
        <v>34</v>
      </c>
      <c r="F8" s="86">
        <v>85</v>
      </c>
      <c r="G8" s="17">
        <v>26</v>
      </c>
      <c r="H8" s="88">
        <v>145</v>
      </c>
      <c r="I8" s="89">
        <v>57000</v>
      </c>
      <c r="J8" s="89" t="s">
        <v>158</v>
      </c>
      <c r="K8" s="89"/>
      <c r="L8" s="89"/>
      <c r="M8" s="90">
        <f>I8-K8</f>
        <v>57000</v>
      </c>
      <c r="N8" s="4">
        <f>IF(ISERROR(K8/I8),"",K8/I8)</f>
        <v>0</v>
      </c>
      <c r="O8" s="91">
        <f>I8/E8</f>
        <v>1676.4705882352941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107</v>
      </c>
      <c r="U8" s="9"/>
      <c r="W8" s="86">
        <f t="shared" si="2"/>
        <v>112.7</v>
      </c>
      <c r="X8" s="87">
        <f t="shared" si="2"/>
        <v>34</v>
      </c>
      <c r="Y8" s="92">
        <f t="shared" si="3"/>
        <v>145</v>
      </c>
      <c r="Z8" s="90">
        <f t="shared" si="3"/>
        <v>57000</v>
      </c>
      <c r="AA8" s="90">
        <f>K8</f>
        <v>0</v>
      </c>
      <c r="AB8" s="90">
        <f t="shared" si="4"/>
        <v>57000</v>
      </c>
      <c r="AC8" s="4">
        <f t="shared" si="4"/>
        <v>0</v>
      </c>
      <c r="AD8" s="91">
        <f t="shared" si="4"/>
        <v>1676.4705882352941</v>
      </c>
      <c r="AE8" s="79" t="str">
        <f>S8</f>
        <v>계</v>
      </c>
      <c r="AF8" s="79" t="str">
        <f>Q8&amp;"/"&amp;R8</f>
        <v>3/2</v>
      </c>
      <c r="AH8" s="20" t="str">
        <f t="shared" si="1"/>
        <v>청주테크노폴리스푸르지오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1099</v>
      </c>
      <c r="B9" s="10" t="s">
        <v>1387</v>
      </c>
      <c r="C9" s="88">
        <v>1034</v>
      </c>
      <c r="D9" s="86">
        <v>112.6</v>
      </c>
      <c r="E9" s="87">
        <v>34</v>
      </c>
      <c r="F9" s="86">
        <v>85</v>
      </c>
      <c r="G9" s="17">
        <v>26</v>
      </c>
      <c r="H9" s="88">
        <v>144</v>
      </c>
      <c r="I9" s="89">
        <v>57000</v>
      </c>
      <c r="J9" s="89" t="s">
        <v>68</v>
      </c>
      <c r="K9" s="89">
        <v>35000</v>
      </c>
      <c r="L9" s="89" t="s">
        <v>97</v>
      </c>
      <c r="M9" s="90">
        <f>I9-K9</f>
        <v>22000</v>
      </c>
      <c r="N9" s="4">
        <f>IF(ISERROR(K9/I9),"",K9/I9)</f>
        <v>0.61403508771929827</v>
      </c>
      <c r="O9" s="91">
        <f>I9/E9</f>
        <v>1676.4705882352941</v>
      </c>
      <c r="P9" s="91">
        <f>K9/E9</f>
        <v>1029.4117647058824</v>
      </c>
      <c r="Q9" s="79">
        <v>3</v>
      </c>
      <c r="R9" s="79">
        <v>2</v>
      </c>
      <c r="S9" s="79" t="s">
        <v>62</v>
      </c>
      <c r="T9" s="5" t="s">
        <v>113</v>
      </c>
      <c r="U9" s="9"/>
      <c r="W9" s="86">
        <f t="shared" si="2"/>
        <v>112.6</v>
      </c>
      <c r="X9" s="87">
        <f t="shared" si="2"/>
        <v>34</v>
      </c>
      <c r="Y9" s="92">
        <f t="shared" si="3"/>
        <v>144</v>
      </c>
      <c r="Z9" s="90">
        <f t="shared" si="3"/>
        <v>57000</v>
      </c>
      <c r="AA9" s="90">
        <f>K9</f>
        <v>35000</v>
      </c>
      <c r="AB9" s="90">
        <f t="shared" si="4"/>
        <v>22000</v>
      </c>
      <c r="AC9" s="4">
        <f t="shared" si="4"/>
        <v>0.61403508771929827</v>
      </c>
      <c r="AD9" s="91">
        <f t="shared" si="4"/>
        <v>1676.4705882352941</v>
      </c>
      <c r="AE9" s="79" t="str">
        <f>S9</f>
        <v>계</v>
      </c>
      <c r="AF9" s="79" t="str">
        <f>Q9&amp;"/"&amp;R9</f>
        <v>3/2</v>
      </c>
      <c r="AH9" s="20" t="str">
        <f t="shared" si="1"/>
        <v>청주테크노폴리스푸르지오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X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송절동 청주테크노폴리스지웰('20.02.,336^)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1103</v>
      </c>
      <c r="B11" s="10" t="s">
        <v>1346</v>
      </c>
      <c r="C11" s="88">
        <v>336</v>
      </c>
      <c r="D11" s="86">
        <v>110.8</v>
      </c>
      <c r="E11" s="87">
        <v>34</v>
      </c>
      <c r="F11" s="86">
        <v>85</v>
      </c>
      <c r="G11" s="17">
        <v>26</v>
      </c>
      <c r="H11" s="88">
        <v>192</v>
      </c>
      <c r="I11" s="89">
        <v>49000</v>
      </c>
      <c r="J11" s="89" t="s">
        <v>71</v>
      </c>
      <c r="K11" s="89">
        <v>30000</v>
      </c>
      <c r="L11" s="89" t="s">
        <v>68</v>
      </c>
      <c r="M11" s="90">
        <f>I11-K11</f>
        <v>19000</v>
      </c>
      <c r="N11" s="4">
        <f>IF(ISERROR(K11/I11),"",K11/I11)</f>
        <v>0.61224489795918369</v>
      </c>
      <c r="O11" s="91">
        <f>I11/E11</f>
        <v>1441.1764705882354</v>
      </c>
      <c r="P11" s="91">
        <f>K11/E11</f>
        <v>882.35294117647061</v>
      </c>
      <c r="Q11" s="79">
        <v>3</v>
      </c>
      <c r="R11" s="79">
        <v>2</v>
      </c>
      <c r="S11" s="79" t="s">
        <v>62</v>
      </c>
      <c r="T11" s="5" t="s">
        <v>135</v>
      </c>
      <c r="U11" s="9"/>
      <c r="W11" s="86">
        <f t="shared" ref="W11:X13" si="5">D11</f>
        <v>110.8</v>
      </c>
      <c r="X11" s="87">
        <f t="shared" si="5"/>
        <v>34</v>
      </c>
      <c r="Y11" s="92">
        <f t="shared" ref="Y11:Z13" si="6">H11</f>
        <v>192</v>
      </c>
      <c r="Z11" s="90">
        <f t="shared" si="6"/>
        <v>49000</v>
      </c>
      <c r="AA11" s="90">
        <f>K11</f>
        <v>30000</v>
      </c>
      <c r="AB11" s="90">
        <f t="shared" ref="AB11:AD13" si="7">M11</f>
        <v>19000</v>
      </c>
      <c r="AC11" s="4">
        <f t="shared" si="7"/>
        <v>0.61224489795918369</v>
      </c>
      <c r="AD11" s="91">
        <f t="shared" si="7"/>
        <v>1441.1764705882354</v>
      </c>
      <c r="AE11" s="79" t="str">
        <f>S11</f>
        <v>계</v>
      </c>
      <c r="AF11" s="79" t="str">
        <f>Q11&amp;"/"&amp;R11</f>
        <v>3/2</v>
      </c>
      <c r="AH11" s="20" t="str">
        <f t="shared" si="1"/>
        <v>청주테크노폴리스지웰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1103</v>
      </c>
      <c r="B12" s="10" t="s">
        <v>1346</v>
      </c>
      <c r="C12" s="88">
        <v>336</v>
      </c>
      <c r="D12" s="86">
        <v>111</v>
      </c>
      <c r="E12" s="87">
        <v>34</v>
      </c>
      <c r="F12" s="86">
        <v>85</v>
      </c>
      <c r="G12" s="17">
        <v>26</v>
      </c>
      <c r="H12" s="88">
        <v>44</v>
      </c>
      <c r="I12" s="89">
        <v>50000</v>
      </c>
      <c r="J12" s="89" t="s">
        <v>92</v>
      </c>
      <c r="K12" s="89">
        <v>30000</v>
      </c>
      <c r="L12" s="89" t="s">
        <v>92</v>
      </c>
      <c r="M12" s="90">
        <f>I12-K12</f>
        <v>20000</v>
      </c>
      <c r="N12" s="4">
        <f>IF(ISERROR(K12/I12),"",K12/I12)</f>
        <v>0.6</v>
      </c>
      <c r="O12" s="91">
        <f>I12/E12</f>
        <v>1470.5882352941176</v>
      </c>
      <c r="P12" s="91">
        <f>K12/E12</f>
        <v>882.35294117647061</v>
      </c>
      <c r="Q12" s="79">
        <v>3</v>
      </c>
      <c r="R12" s="79">
        <v>2</v>
      </c>
      <c r="S12" s="79" t="s">
        <v>62</v>
      </c>
      <c r="T12" s="5" t="s">
        <v>90</v>
      </c>
      <c r="U12" s="9"/>
      <c r="W12" s="86">
        <f t="shared" si="5"/>
        <v>111</v>
      </c>
      <c r="X12" s="87">
        <f t="shared" si="5"/>
        <v>34</v>
      </c>
      <c r="Y12" s="92">
        <f t="shared" si="6"/>
        <v>44</v>
      </c>
      <c r="Z12" s="90">
        <f t="shared" si="6"/>
        <v>50000</v>
      </c>
      <c r="AA12" s="90">
        <f>K12</f>
        <v>30000</v>
      </c>
      <c r="AB12" s="90">
        <f t="shared" si="7"/>
        <v>20000</v>
      </c>
      <c r="AC12" s="4">
        <f t="shared" si="7"/>
        <v>0.6</v>
      </c>
      <c r="AD12" s="91">
        <f t="shared" si="7"/>
        <v>1470.5882352941176</v>
      </c>
      <c r="AE12" s="79" t="str">
        <f>S12</f>
        <v>계</v>
      </c>
      <c r="AF12" s="79" t="str">
        <f>Q12&amp;"/"&amp;R12</f>
        <v>3/2</v>
      </c>
      <c r="AH12" s="20" t="str">
        <f t="shared" si="1"/>
        <v>청주테크노폴리스지웰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1103</v>
      </c>
      <c r="B13" s="10" t="s">
        <v>1346</v>
      </c>
      <c r="C13" s="88">
        <v>336</v>
      </c>
      <c r="D13" s="86">
        <v>111.2</v>
      </c>
      <c r="E13" s="87">
        <v>34</v>
      </c>
      <c r="F13" s="86">
        <v>85</v>
      </c>
      <c r="G13" s="17">
        <v>26</v>
      </c>
      <c r="H13" s="88">
        <v>100</v>
      </c>
      <c r="I13" s="89">
        <v>50000</v>
      </c>
      <c r="J13" s="89" t="s">
        <v>71</v>
      </c>
      <c r="K13" s="89">
        <v>30000</v>
      </c>
      <c r="L13" s="89" t="s">
        <v>102</v>
      </c>
      <c r="M13" s="90">
        <f>I13-K13</f>
        <v>20000</v>
      </c>
      <c r="N13" s="4">
        <f>IF(ISERROR(K13/I13),"",K13/I13)</f>
        <v>0.6</v>
      </c>
      <c r="O13" s="91">
        <f>I13/E13</f>
        <v>1470.5882352941176</v>
      </c>
      <c r="P13" s="91">
        <f>K13/E13</f>
        <v>882.35294117647061</v>
      </c>
      <c r="Q13" s="79">
        <v>3</v>
      </c>
      <c r="R13" s="79">
        <v>2</v>
      </c>
      <c r="S13" s="79" t="s">
        <v>62</v>
      </c>
      <c r="T13" s="5" t="s">
        <v>180</v>
      </c>
      <c r="U13" s="9"/>
      <c r="W13" s="86">
        <f t="shared" si="5"/>
        <v>111.2</v>
      </c>
      <c r="X13" s="87">
        <f t="shared" si="5"/>
        <v>34</v>
      </c>
      <c r="Y13" s="92">
        <f t="shared" si="6"/>
        <v>100</v>
      </c>
      <c r="Z13" s="90">
        <f t="shared" si="6"/>
        <v>50000</v>
      </c>
      <c r="AA13" s="90">
        <f>K13</f>
        <v>30000</v>
      </c>
      <c r="AB13" s="90">
        <f t="shared" si="7"/>
        <v>20000</v>
      </c>
      <c r="AC13" s="4">
        <f t="shared" si="7"/>
        <v>0.6</v>
      </c>
      <c r="AD13" s="91">
        <f t="shared" si="7"/>
        <v>1470.5882352941176</v>
      </c>
      <c r="AE13" s="79" t="str">
        <f>S13</f>
        <v>계</v>
      </c>
      <c r="AF13" s="79" t="str">
        <f>Q13&amp;"/"&amp;R13</f>
        <v>3/2</v>
      </c>
      <c r="AH13" s="20" t="str">
        <f t="shared" si="1"/>
        <v>청주테크노폴리스지웰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송절동 청주테크노폴리스우방아이유쉘1단지('18.11.,427^)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ht="24" customHeight="1" x14ac:dyDescent="0.3">
      <c r="A15" s="9" t="s">
        <v>1107</v>
      </c>
      <c r="B15" s="10" t="s">
        <v>1387</v>
      </c>
      <c r="C15" s="88">
        <v>427</v>
      </c>
      <c r="D15" s="86">
        <v>96.3</v>
      </c>
      <c r="E15" s="87">
        <v>29</v>
      </c>
      <c r="F15" s="86">
        <v>73.099999999999994</v>
      </c>
      <c r="G15" s="17">
        <v>22</v>
      </c>
      <c r="H15" s="88">
        <v>44</v>
      </c>
      <c r="I15" s="89">
        <v>43000</v>
      </c>
      <c r="J15" s="89" t="s">
        <v>182</v>
      </c>
      <c r="K15" s="89">
        <v>30000</v>
      </c>
      <c r="L15" s="89" t="s">
        <v>89</v>
      </c>
      <c r="M15" s="90">
        <f>I15-K15</f>
        <v>13000</v>
      </c>
      <c r="N15" s="4">
        <f>IF(ISERROR(K15/I15),"",K15/I15)</f>
        <v>0.69767441860465118</v>
      </c>
      <c r="O15" s="91">
        <f>I15/E15</f>
        <v>1482.7586206896551</v>
      </c>
      <c r="P15" s="91">
        <f>K15/E15</f>
        <v>1034.4827586206898</v>
      </c>
      <c r="Q15" s="79">
        <v>3</v>
      </c>
      <c r="R15" s="79">
        <v>2</v>
      </c>
      <c r="S15" s="79" t="s">
        <v>62</v>
      </c>
      <c r="T15" s="5">
        <v>96</v>
      </c>
      <c r="U15" s="9"/>
      <c r="W15" s="86">
        <f t="shared" ref="W15:X17" si="8">D15</f>
        <v>96.3</v>
      </c>
      <c r="X15" s="87">
        <f t="shared" si="8"/>
        <v>29</v>
      </c>
      <c r="Y15" s="92">
        <f t="shared" ref="Y15:Z17" si="9">H15</f>
        <v>44</v>
      </c>
      <c r="Z15" s="90">
        <f t="shared" si="9"/>
        <v>43000</v>
      </c>
      <c r="AA15" s="90">
        <f>K15</f>
        <v>30000</v>
      </c>
      <c r="AB15" s="90">
        <f t="shared" ref="AB15:AD17" si="10">M15</f>
        <v>13000</v>
      </c>
      <c r="AC15" s="4">
        <f t="shared" si="10"/>
        <v>0.69767441860465118</v>
      </c>
      <c r="AD15" s="91">
        <f t="shared" si="10"/>
        <v>1482.7586206896551</v>
      </c>
      <c r="AE15" s="79" t="str">
        <f>S15</f>
        <v>계</v>
      </c>
      <c r="AF15" s="79" t="str">
        <f>Q15&amp;"/"&amp;R15</f>
        <v>3/2</v>
      </c>
      <c r="AH15" s="20" t="str">
        <f t="shared" si="1"/>
        <v>청주테크노폴리스우방아이유쉘1단지</v>
      </c>
      <c r="AI15" s="87">
        <f t="shared" si="0"/>
        <v>29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ht="24" customHeight="1" x14ac:dyDescent="0.3">
      <c r="A16" s="9" t="s">
        <v>1107</v>
      </c>
      <c r="B16" s="10" t="s">
        <v>1387</v>
      </c>
      <c r="C16" s="88">
        <v>427</v>
      </c>
      <c r="D16" s="86">
        <v>111.9</v>
      </c>
      <c r="E16" s="87">
        <v>34</v>
      </c>
      <c r="F16" s="86">
        <v>85</v>
      </c>
      <c r="G16" s="17">
        <v>26</v>
      </c>
      <c r="H16" s="88">
        <v>285</v>
      </c>
      <c r="I16" s="89">
        <v>49000</v>
      </c>
      <c r="J16" s="89" t="s">
        <v>181</v>
      </c>
      <c r="K16" s="89">
        <v>30000</v>
      </c>
      <c r="L16" s="89" t="s">
        <v>65</v>
      </c>
      <c r="M16" s="90">
        <f>I16-K16</f>
        <v>19000</v>
      </c>
      <c r="N16" s="4">
        <f>IF(ISERROR(K16/I16),"",K16/I16)</f>
        <v>0.61224489795918369</v>
      </c>
      <c r="O16" s="91">
        <f>I16/E16</f>
        <v>1441.1764705882354</v>
      </c>
      <c r="P16" s="91">
        <f>K16/E16</f>
        <v>882.35294117647061</v>
      </c>
      <c r="Q16" s="79">
        <v>4</v>
      </c>
      <c r="R16" s="79">
        <v>2</v>
      </c>
      <c r="S16" s="79" t="s">
        <v>62</v>
      </c>
      <c r="T16" s="5" t="s">
        <v>73</v>
      </c>
      <c r="U16" s="9"/>
      <c r="W16" s="86">
        <f t="shared" si="8"/>
        <v>111.9</v>
      </c>
      <c r="X16" s="87">
        <f t="shared" si="8"/>
        <v>34</v>
      </c>
      <c r="Y16" s="92">
        <f t="shared" si="9"/>
        <v>285</v>
      </c>
      <c r="Z16" s="90">
        <f t="shared" si="9"/>
        <v>49000</v>
      </c>
      <c r="AA16" s="90">
        <f>K16</f>
        <v>30000</v>
      </c>
      <c r="AB16" s="90">
        <f t="shared" si="10"/>
        <v>19000</v>
      </c>
      <c r="AC16" s="4">
        <f t="shared" si="10"/>
        <v>0.61224489795918369</v>
      </c>
      <c r="AD16" s="91">
        <f t="shared" si="10"/>
        <v>1441.1764705882354</v>
      </c>
      <c r="AE16" s="79" t="str">
        <f>S16</f>
        <v>계</v>
      </c>
      <c r="AF16" s="79" t="str">
        <f>Q16&amp;"/"&amp;R16</f>
        <v>4/2</v>
      </c>
      <c r="AH16" s="20" t="str">
        <f t="shared" si="1"/>
        <v>청주테크노폴리스우방아이유쉘1단지</v>
      </c>
      <c r="AI16" s="87">
        <f t="shared" si="0"/>
        <v>34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ht="24" customHeight="1" x14ac:dyDescent="0.3">
      <c r="A17" s="9" t="s">
        <v>1107</v>
      </c>
      <c r="B17" s="10" t="s">
        <v>1387</v>
      </c>
      <c r="C17" s="88">
        <v>427</v>
      </c>
      <c r="D17" s="86">
        <v>112.8</v>
      </c>
      <c r="E17" s="87">
        <v>34</v>
      </c>
      <c r="F17" s="86">
        <v>84.4</v>
      </c>
      <c r="G17" s="17">
        <v>26</v>
      </c>
      <c r="H17" s="88">
        <v>98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2</v>
      </c>
      <c r="S17" s="79" t="s">
        <v>62</v>
      </c>
      <c r="T17" s="5" t="s">
        <v>107</v>
      </c>
      <c r="U17" s="9"/>
      <c r="W17" s="86">
        <f t="shared" si="8"/>
        <v>112.8</v>
      </c>
      <c r="X17" s="87">
        <f t="shared" si="8"/>
        <v>34</v>
      </c>
      <c r="Y17" s="92">
        <f t="shared" si="9"/>
        <v>98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청주테크노폴리스우방아이유쉘1단지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송절동 청주테크노폴리스우방아이유쉘2단지('18.11.,424^)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ht="24" customHeight="1" x14ac:dyDescent="0.3">
      <c r="A19" s="9" t="s">
        <v>1111</v>
      </c>
      <c r="B19" s="10" t="s">
        <v>1387</v>
      </c>
      <c r="C19" s="88">
        <v>424</v>
      </c>
      <c r="D19" s="86">
        <v>96.5</v>
      </c>
      <c r="E19" s="87">
        <v>29</v>
      </c>
      <c r="F19" s="86">
        <v>73.099999999999994</v>
      </c>
      <c r="G19" s="17">
        <v>22</v>
      </c>
      <c r="H19" s="88">
        <v>48</v>
      </c>
      <c r="I19" s="89">
        <v>45000</v>
      </c>
      <c r="J19" s="89" t="s">
        <v>89</v>
      </c>
      <c r="K19" s="89">
        <v>28000</v>
      </c>
      <c r="L19" s="89" t="s">
        <v>89</v>
      </c>
      <c r="M19" s="90">
        <f>I19-K19</f>
        <v>17000</v>
      </c>
      <c r="N19" s="4">
        <f>IF(ISERROR(K19/I19),"",K19/I19)</f>
        <v>0.62222222222222223</v>
      </c>
      <c r="O19" s="91">
        <f>I19/E19</f>
        <v>1551.7241379310344</v>
      </c>
      <c r="P19" s="91">
        <f>K19/E19</f>
        <v>965.51724137931035</v>
      </c>
      <c r="Q19" s="79">
        <v>3</v>
      </c>
      <c r="R19" s="79">
        <v>2</v>
      </c>
      <c r="S19" s="79" t="s">
        <v>62</v>
      </c>
      <c r="T19" s="5">
        <v>96</v>
      </c>
      <c r="U19" s="9"/>
      <c r="W19" s="86">
        <f t="shared" ref="W19:X21" si="11">D19</f>
        <v>96.5</v>
      </c>
      <c r="X19" s="87">
        <f t="shared" si="11"/>
        <v>29</v>
      </c>
      <c r="Y19" s="92">
        <f t="shared" ref="Y19:Z21" si="12">H19</f>
        <v>48</v>
      </c>
      <c r="Z19" s="90">
        <f t="shared" si="12"/>
        <v>45000</v>
      </c>
      <c r="AA19" s="90">
        <f>K19</f>
        <v>28000</v>
      </c>
      <c r="AB19" s="90">
        <f t="shared" ref="AB19:AD21" si="13">M19</f>
        <v>17000</v>
      </c>
      <c r="AC19" s="4">
        <f t="shared" si="13"/>
        <v>0.62222222222222223</v>
      </c>
      <c r="AD19" s="91">
        <f t="shared" si="13"/>
        <v>1551.7241379310344</v>
      </c>
      <c r="AE19" s="79" t="str">
        <f>S19</f>
        <v>계</v>
      </c>
      <c r="AF19" s="79" t="str">
        <f>Q19&amp;"/"&amp;R19</f>
        <v>3/2</v>
      </c>
      <c r="AH19" s="20" t="str">
        <f t="shared" si="1"/>
        <v>청주테크노폴리스우방아이유쉘2단지</v>
      </c>
      <c r="AI19" s="87">
        <f t="shared" si="0"/>
        <v>29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O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ht="24" customHeight="1" x14ac:dyDescent="0.3">
      <c r="A20" s="9" t="s">
        <v>1111</v>
      </c>
      <c r="B20" s="10" t="s">
        <v>1387</v>
      </c>
      <c r="C20" s="88">
        <v>424</v>
      </c>
      <c r="D20" s="86">
        <v>112.2</v>
      </c>
      <c r="E20" s="87">
        <v>34</v>
      </c>
      <c r="F20" s="86">
        <v>85</v>
      </c>
      <c r="G20" s="17">
        <v>26</v>
      </c>
      <c r="H20" s="88">
        <v>282</v>
      </c>
      <c r="I20" s="89">
        <v>49000</v>
      </c>
      <c r="J20" s="89" t="s">
        <v>64</v>
      </c>
      <c r="K20" s="89">
        <v>36000</v>
      </c>
      <c r="L20" s="89" t="s">
        <v>89</v>
      </c>
      <c r="M20" s="90">
        <f>I20-K20</f>
        <v>13000</v>
      </c>
      <c r="N20" s="4">
        <f>IF(ISERROR(K20/I20),"",K20/I20)</f>
        <v>0.73469387755102045</v>
      </c>
      <c r="O20" s="91">
        <f>I20/E20</f>
        <v>1441.1764705882354</v>
      </c>
      <c r="P20" s="91">
        <f>K20/E20</f>
        <v>1058.8235294117646</v>
      </c>
      <c r="Q20" s="79">
        <v>4</v>
      </c>
      <c r="R20" s="79">
        <v>2</v>
      </c>
      <c r="S20" s="79" t="s">
        <v>62</v>
      </c>
      <c r="T20" s="5" t="s">
        <v>106</v>
      </c>
      <c r="U20" s="9"/>
      <c r="W20" s="86">
        <f t="shared" si="11"/>
        <v>112.2</v>
      </c>
      <c r="X20" s="87">
        <f t="shared" si="11"/>
        <v>34</v>
      </c>
      <c r="Y20" s="92">
        <f t="shared" si="12"/>
        <v>282</v>
      </c>
      <c r="Z20" s="90">
        <f t="shared" si="12"/>
        <v>49000</v>
      </c>
      <c r="AA20" s="90">
        <f>K20</f>
        <v>36000</v>
      </c>
      <c r="AB20" s="90">
        <f t="shared" si="13"/>
        <v>13000</v>
      </c>
      <c r="AC20" s="4">
        <f t="shared" si="13"/>
        <v>0.73469387755102045</v>
      </c>
      <c r="AD20" s="91">
        <f t="shared" si="13"/>
        <v>1441.1764705882354</v>
      </c>
      <c r="AE20" s="79" t="str">
        <f>S20</f>
        <v>계</v>
      </c>
      <c r="AF20" s="79" t="str">
        <f>Q20&amp;"/"&amp;R20</f>
        <v>4/2</v>
      </c>
      <c r="AH20" s="20" t="str">
        <f t="shared" si="1"/>
        <v>청주테크노폴리스우방아이유쉘2단지</v>
      </c>
      <c r="AI20" s="87">
        <f t="shared" si="0"/>
        <v>34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ht="24" customHeight="1" x14ac:dyDescent="0.3">
      <c r="A21" s="9" t="s">
        <v>1111</v>
      </c>
      <c r="B21" s="10" t="s">
        <v>1387</v>
      </c>
      <c r="C21" s="88">
        <v>424</v>
      </c>
      <c r="D21" s="86">
        <v>113.1</v>
      </c>
      <c r="E21" s="87">
        <v>34</v>
      </c>
      <c r="F21" s="86">
        <v>84.4</v>
      </c>
      <c r="G21" s="17">
        <v>26</v>
      </c>
      <c r="H21" s="88">
        <v>94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3</v>
      </c>
      <c r="R21" s="79">
        <v>2</v>
      </c>
      <c r="S21" s="79" t="s">
        <v>62</v>
      </c>
      <c r="T21" s="5" t="s">
        <v>160</v>
      </c>
      <c r="U21" s="9"/>
      <c r="W21" s="86">
        <f t="shared" si="11"/>
        <v>113.1</v>
      </c>
      <c r="X21" s="87">
        <f t="shared" si="11"/>
        <v>34</v>
      </c>
      <c r="Y21" s="92">
        <f t="shared" si="12"/>
        <v>94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9" t="str">
        <f>S21</f>
        <v>계</v>
      </c>
      <c r="AF21" s="79" t="str">
        <f>Q21&amp;"/"&amp;R21</f>
        <v>3/2</v>
      </c>
      <c r="AH21" s="20" t="str">
        <f t="shared" si="1"/>
        <v>청주테크노폴리스우방아이유쉘2단지</v>
      </c>
      <c r="AI21" s="87">
        <f t="shared" si="0"/>
        <v>34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송절동 테크노폴리스우미린('18.07.,1020^)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1115</v>
      </c>
      <c r="B23" s="10" t="s">
        <v>1406</v>
      </c>
      <c r="C23" s="88">
        <v>1020</v>
      </c>
      <c r="D23" s="86">
        <v>112</v>
      </c>
      <c r="E23" s="87">
        <v>34</v>
      </c>
      <c r="F23" s="86">
        <v>84.9</v>
      </c>
      <c r="G23" s="17">
        <v>26</v>
      </c>
      <c r="H23" s="88">
        <v>106</v>
      </c>
      <c r="I23" s="89">
        <v>53000</v>
      </c>
      <c r="J23" s="89" t="s">
        <v>182</v>
      </c>
      <c r="K23" s="89"/>
      <c r="L23" s="89"/>
      <c r="M23" s="90">
        <f t="shared" ref="M23:M28" si="14">I23-K23</f>
        <v>53000</v>
      </c>
      <c r="N23" s="4">
        <f t="shared" ref="N23:N28" si="15">IF(ISERROR(K23/I23),"",K23/I23)</f>
        <v>0</v>
      </c>
      <c r="O23" s="91">
        <f t="shared" ref="O23:O28" si="16">I23/E23</f>
        <v>1558.8235294117646</v>
      </c>
      <c r="P23" s="91">
        <f t="shared" ref="P23:P28" si="17">K23/E23</f>
        <v>0</v>
      </c>
      <c r="Q23" s="79">
        <v>3</v>
      </c>
      <c r="R23" s="79">
        <v>2</v>
      </c>
      <c r="S23" s="79" t="s">
        <v>62</v>
      </c>
      <c r="T23" s="5" t="s">
        <v>183</v>
      </c>
      <c r="U23" s="9"/>
      <c r="W23" s="86">
        <f t="shared" ref="W23:X28" si="18">D23</f>
        <v>112</v>
      </c>
      <c r="X23" s="87">
        <f t="shared" si="18"/>
        <v>34</v>
      </c>
      <c r="Y23" s="92">
        <f t="shared" ref="Y23:Z28" si="19">H23</f>
        <v>106</v>
      </c>
      <c r="Z23" s="90">
        <f t="shared" si="19"/>
        <v>53000</v>
      </c>
      <c r="AA23" s="90">
        <f t="shared" ref="AA23:AA28" si="20">K23</f>
        <v>0</v>
      </c>
      <c r="AB23" s="90">
        <f t="shared" ref="AB23:AD28" si="21">M23</f>
        <v>53000</v>
      </c>
      <c r="AC23" s="4">
        <f t="shared" si="21"/>
        <v>0</v>
      </c>
      <c r="AD23" s="91">
        <f t="shared" si="21"/>
        <v>1558.8235294117646</v>
      </c>
      <c r="AE23" s="79" t="str">
        <f t="shared" ref="AE23:AE28" si="22">S23</f>
        <v>계</v>
      </c>
      <c r="AF23" s="79" t="str">
        <f t="shared" ref="AF23:AF28" si="23">Q23&amp;"/"&amp;R23</f>
        <v>3/2</v>
      </c>
      <c r="AH23" s="20" t="str">
        <f t="shared" si="1"/>
        <v>테크노폴리스우미린</v>
      </c>
      <c r="AI23" s="87">
        <f t="shared" si="0"/>
        <v>34</v>
      </c>
      <c r="AJ23" s="79" t="str">
        <f t="shared" ref="AJ23:AJ28" si="24"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 t="shared" ref="AN23:AN28" si="25">IF(AI23="","",$AN$2)</f>
        <v>C</v>
      </c>
      <c r="AO23" s="79" t="str">
        <f t="shared" ref="AO23:AO28" si="26">IF(N23="","",IF(N23&gt;=$AO$1/100,"O","X"))</f>
        <v>X</v>
      </c>
      <c r="AP23" s="79" t="str">
        <f t="shared" ref="AP23:AP28" si="27">IF(I23="","",IF(I23&lt;=$AP$1,"O","X"))</f>
        <v>X</v>
      </c>
      <c r="AQ23" s="79" t="str">
        <f t="shared" ref="AQ23:AQ28" si="28">IF(O23="","",IF(O23&lt;=$AQ$1,"O","X"))</f>
        <v>X</v>
      </c>
      <c r="AR23" s="79" t="str">
        <f t="shared" ref="AR23:AR28" si="29">IF(M23="","",IF(M23&lt;=$AR$1,"O","X"))</f>
        <v>X</v>
      </c>
      <c r="AS23" s="79" t="s">
        <v>2</v>
      </c>
      <c r="AT23" s="79" t="str">
        <f t="shared" ref="AT23:AT28" si="30">IF(OR(F23="",AI23=""),"",IF(AND((F23&lt;=85),(AI23&gt;=15)),"O","X"))</f>
        <v>O</v>
      </c>
      <c r="AU23" s="79" t="str">
        <f t="shared" ref="AU23:AU28" si="31">IF(C23="","",IF(C23&gt;=$AU$1,"O","X"))</f>
        <v>O</v>
      </c>
      <c r="AV23" s="79" t="str">
        <f t="shared" ref="AV23:AV28" si="32">IF(AO23="","",IF(AND(AO23="O",AP23="O",AR23="O",AT23="O",AU23="O"),"후보","X"))</f>
        <v>X</v>
      </c>
    </row>
    <row r="24" spans="1:48" x14ac:dyDescent="0.3">
      <c r="A24" s="9" t="s">
        <v>1115</v>
      </c>
      <c r="B24" s="10" t="s">
        <v>1406</v>
      </c>
      <c r="C24" s="88">
        <v>1020</v>
      </c>
      <c r="D24" s="86">
        <v>112.3</v>
      </c>
      <c r="E24" s="87">
        <v>34</v>
      </c>
      <c r="F24" s="86">
        <v>85</v>
      </c>
      <c r="G24" s="17">
        <v>26</v>
      </c>
      <c r="H24" s="88">
        <v>288</v>
      </c>
      <c r="I24" s="89">
        <v>49000</v>
      </c>
      <c r="J24" s="89" t="s">
        <v>89</v>
      </c>
      <c r="K24" s="89">
        <v>35000</v>
      </c>
      <c r="L24" s="89" t="s">
        <v>83</v>
      </c>
      <c r="M24" s="90">
        <f t="shared" si="14"/>
        <v>14000</v>
      </c>
      <c r="N24" s="4">
        <f t="shared" si="15"/>
        <v>0.7142857142857143</v>
      </c>
      <c r="O24" s="91">
        <f t="shared" si="16"/>
        <v>1441.1764705882354</v>
      </c>
      <c r="P24" s="91">
        <f t="shared" si="17"/>
        <v>1029.4117647058824</v>
      </c>
      <c r="Q24" s="79">
        <v>4</v>
      </c>
      <c r="R24" s="79">
        <v>2</v>
      </c>
      <c r="S24" s="79" t="s">
        <v>62</v>
      </c>
      <c r="T24" s="5" t="s">
        <v>107</v>
      </c>
      <c r="U24" s="9"/>
      <c r="W24" s="86">
        <f t="shared" si="18"/>
        <v>112.3</v>
      </c>
      <c r="X24" s="87">
        <f t="shared" si="18"/>
        <v>34</v>
      </c>
      <c r="Y24" s="92">
        <f t="shared" si="19"/>
        <v>288</v>
      </c>
      <c r="Z24" s="90">
        <f t="shared" si="19"/>
        <v>49000</v>
      </c>
      <c r="AA24" s="90">
        <f t="shared" si="20"/>
        <v>35000</v>
      </c>
      <c r="AB24" s="90">
        <f t="shared" si="21"/>
        <v>14000</v>
      </c>
      <c r="AC24" s="4">
        <f t="shared" si="21"/>
        <v>0.7142857142857143</v>
      </c>
      <c r="AD24" s="91">
        <f t="shared" si="21"/>
        <v>1441.1764705882354</v>
      </c>
      <c r="AE24" s="79" t="str">
        <f t="shared" si="22"/>
        <v>계</v>
      </c>
      <c r="AF24" s="79" t="str">
        <f t="shared" si="23"/>
        <v>4/2</v>
      </c>
      <c r="AH24" s="20" t="str">
        <f t="shared" si="1"/>
        <v>테크노폴리스우미린</v>
      </c>
      <c r="AI24" s="87">
        <f t="shared" si="0"/>
        <v>34</v>
      </c>
      <c r="AJ24" s="79" t="str">
        <f t="shared" si="24"/>
        <v>A-</v>
      </c>
      <c r="AK24" s="79" t="s">
        <v>13</v>
      </c>
      <c r="AL24" s="79" t="s">
        <v>60</v>
      </c>
      <c r="AM24" s="79" t="s">
        <v>61</v>
      </c>
      <c r="AN24" s="79" t="str">
        <f t="shared" si="25"/>
        <v>C</v>
      </c>
      <c r="AO24" s="79" t="str">
        <f t="shared" si="26"/>
        <v>X</v>
      </c>
      <c r="AP24" s="79" t="str">
        <f t="shared" si="27"/>
        <v>X</v>
      </c>
      <c r="AQ24" s="79" t="str">
        <f t="shared" si="28"/>
        <v>O</v>
      </c>
      <c r="AR24" s="79" t="str">
        <f t="shared" si="29"/>
        <v>X</v>
      </c>
      <c r="AS24" s="79" t="s">
        <v>2</v>
      </c>
      <c r="AT24" s="79" t="str">
        <f t="shared" si="30"/>
        <v>O</v>
      </c>
      <c r="AU24" s="79" t="str">
        <f t="shared" si="31"/>
        <v>O</v>
      </c>
      <c r="AV24" s="79" t="str">
        <f t="shared" si="32"/>
        <v>X</v>
      </c>
    </row>
    <row r="25" spans="1:48" x14ac:dyDescent="0.3">
      <c r="A25" s="9" t="s">
        <v>1115</v>
      </c>
      <c r="B25" s="10" t="s">
        <v>1406</v>
      </c>
      <c r="C25" s="88">
        <v>1020</v>
      </c>
      <c r="D25" s="86">
        <v>112.2</v>
      </c>
      <c r="E25" s="87">
        <v>34</v>
      </c>
      <c r="F25" s="86">
        <v>85</v>
      </c>
      <c r="G25" s="17">
        <v>26</v>
      </c>
      <c r="H25" s="88">
        <v>250</v>
      </c>
      <c r="I25" s="89">
        <v>48000</v>
      </c>
      <c r="J25" s="89" t="s">
        <v>83</v>
      </c>
      <c r="K25" s="89">
        <v>35000</v>
      </c>
      <c r="L25" s="89" t="s">
        <v>102</v>
      </c>
      <c r="M25" s="90">
        <f t="shared" si="14"/>
        <v>13000</v>
      </c>
      <c r="N25" s="4">
        <f t="shared" si="15"/>
        <v>0.72916666666666663</v>
      </c>
      <c r="O25" s="91">
        <f t="shared" si="16"/>
        <v>1411.7647058823529</v>
      </c>
      <c r="P25" s="91">
        <f t="shared" si="17"/>
        <v>1029.4117647058824</v>
      </c>
      <c r="Q25" s="79">
        <v>3</v>
      </c>
      <c r="R25" s="79">
        <v>2</v>
      </c>
      <c r="S25" s="79" t="s">
        <v>62</v>
      </c>
      <c r="T25" s="5" t="s">
        <v>106</v>
      </c>
      <c r="U25" s="9"/>
      <c r="W25" s="86">
        <f t="shared" si="18"/>
        <v>112.2</v>
      </c>
      <c r="X25" s="87">
        <f t="shared" si="18"/>
        <v>34</v>
      </c>
      <c r="Y25" s="92">
        <f t="shared" si="19"/>
        <v>250</v>
      </c>
      <c r="Z25" s="90">
        <f t="shared" si="19"/>
        <v>48000</v>
      </c>
      <c r="AA25" s="90">
        <f t="shared" si="20"/>
        <v>35000</v>
      </c>
      <c r="AB25" s="90">
        <f t="shared" si="21"/>
        <v>13000</v>
      </c>
      <c r="AC25" s="4">
        <f t="shared" si="21"/>
        <v>0.72916666666666663</v>
      </c>
      <c r="AD25" s="91">
        <f t="shared" si="21"/>
        <v>1411.7647058823529</v>
      </c>
      <c r="AE25" s="79" t="str">
        <f t="shared" si="22"/>
        <v>계</v>
      </c>
      <c r="AF25" s="79" t="str">
        <f t="shared" si="23"/>
        <v>3/2</v>
      </c>
      <c r="AH25" s="20" t="str">
        <f t="shared" si="1"/>
        <v>테크노폴리스우미린</v>
      </c>
      <c r="AI25" s="87">
        <f t="shared" si="0"/>
        <v>34</v>
      </c>
      <c r="AJ25" s="79" t="str">
        <f t="shared" si="24"/>
        <v>A-</v>
      </c>
      <c r="AK25" s="79" t="s">
        <v>13</v>
      </c>
      <c r="AL25" s="79" t="s">
        <v>60</v>
      </c>
      <c r="AM25" s="79" t="s">
        <v>61</v>
      </c>
      <c r="AN25" s="79" t="str">
        <f t="shared" si="25"/>
        <v>C</v>
      </c>
      <c r="AO25" s="79" t="str">
        <f t="shared" si="26"/>
        <v>X</v>
      </c>
      <c r="AP25" s="79" t="str">
        <f t="shared" si="27"/>
        <v>X</v>
      </c>
      <c r="AQ25" s="79" t="str">
        <f t="shared" si="28"/>
        <v>O</v>
      </c>
      <c r="AR25" s="79" t="str">
        <f t="shared" si="29"/>
        <v>X</v>
      </c>
      <c r="AS25" s="79" t="s">
        <v>2</v>
      </c>
      <c r="AT25" s="79" t="str">
        <f t="shared" si="30"/>
        <v>O</v>
      </c>
      <c r="AU25" s="79" t="str">
        <f t="shared" si="31"/>
        <v>O</v>
      </c>
      <c r="AV25" s="79" t="str">
        <f t="shared" si="32"/>
        <v>X</v>
      </c>
    </row>
    <row r="26" spans="1:48" x14ac:dyDescent="0.3">
      <c r="A26" s="9" t="s">
        <v>1115</v>
      </c>
      <c r="B26" s="10" t="s">
        <v>1406</v>
      </c>
      <c r="C26" s="88">
        <v>1020</v>
      </c>
      <c r="D26" s="86">
        <v>112.4</v>
      </c>
      <c r="E26" s="87">
        <v>34</v>
      </c>
      <c r="F26" s="86">
        <v>84.9</v>
      </c>
      <c r="G26" s="17">
        <v>26</v>
      </c>
      <c r="H26" s="88">
        <v>211</v>
      </c>
      <c r="I26" s="89">
        <v>50000</v>
      </c>
      <c r="J26" s="89" t="s">
        <v>88</v>
      </c>
      <c r="K26" s="89">
        <v>38000</v>
      </c>
      <c r="L26" s="89" t="s">
        <v>69</v>
      </c>
      <c r="M26" s="90">
        <f t="shared" si="14"/>
        <v>12000</v>
      </c>
      <c r="N26" s="4">
        <f t="shared" si="15"/>
        <v>0.76</v>
      </c>
      <c r="O26" s="91">
        <f t="shared" si="16"/>
        <v>1470.5882352941176</v>
      </c>
      <c r="P26" s="91">
        <f t="shared" si="17"/>
        <v>1117.6470588235295</v>
      </c>
      <c r="Q26" s="79">
        <v>3</v>
      </c>
      <c r="R26" s="79">
        <v>2</v>
      </c>
      <c r="S26" s="79" t="s">
        <v>62</v>
      </c>
      <c r="T26" s="5" t="s">
        <v>184</v>
      </c>
      <c r="U26" s="9"/>
      <c r="W26" s="86">
        <f t="shared" si="18"/>
        <v>112.4</v>
      </c>
      <c r="X26" s="87">
        <f t="shared" si="18"/>
        <v>34</v>
      </c>
      <c r="Y26" s="92">
        <f t="shared" si="19"/>
        <v>211</v>
      </c>
      <c r="Z26" s="90">
        <f t="shared" si="19"/>
        <v>50000</v>
      </c>
      <c r="AA26" s="90">
        <f t="shared" si="20"/>
        <v>38000</v>
      </c>
      <c r="AB26" s="90">
        <f t="shared" si="21"/>
        <v>12000</v>
      </c>
      <c r="AC26" s="4">
        <f t="shared" si="21"/>
        <v>0.76</v>
      </c>
      <c r="AD26" s="91">
        <f t="shared" si="21"/>
        <v>1470.5882352941176</v>
      </c>
      <c r="AE26" s="79" t="str">
        <f t="shared" si="22"/>
        <v>계</v>
      </c>
      <c r="AF26" s="79" t="str">
        <f t="shared" si="23"/>
        <v>3/2</v>
      </c>
      <c r="AH26" s="20" t="str">
        <f t="shared" si="1"/>
        <v>테크노폴리스우미린</v>
      </c>
      <c r="AI26" s="87">
        <f t="shared" si="0"/>
        <v>34</v>
      </c>
      <c r="AJ26" s="79" t="str">
        <f t="shared" si="24"/>
        <v>A-</v>
      </c>
      <c r="AK26" s="79" t="s">
        <v>13</v>
      </c>
      <c r="AL26" s="79" t="s">
        <v>60</v>
      </c>
      <c r="AM26" s="79" t="s">
        <v>61</v>
      </c>
      <c r="AN26" s="79" t="str">
        <f t="shared" si="25"/>
        <v>C</v>
      </c>
      <c r="AO26" s="79" t="str">
        <f t="shared" si="26"/>
        <v>X</v>
      </c>
      <c r="AP26" s="79" t="str">
        <f t="shared" si="27"/>
        <v>X</v>
      </c>
      <c r="AQ26" s="79" t="str">
        <f t="shared" si="28"/>
        <v>O</v>
      </c>
      <c r="AR26" s="79" t="str">
        <f t="shared" si="29"/>
        <v>X</v>
      </c>
      <c r="AS26" s="79" t="s">
        <v>2</v>
      </c>
      <c r="AT26" s="79" t="str">
        <f t="shared" si="30"/>
        <v>O</v>
      </c>
      <c r="AU26" s="79" t="str">
        <f t="shared" si="31"/>
        <v>O</v>
      </c>
      <c r="AV26" s="79" t="str">
        <f t="shared" si="32"/>
        <v>X</v>
      </c>
    </row>
    <row r="27" spans="1:48" x14ac:dyDescent="0.3">
      <c r="A27" s="9" t="s">
        <v>1115</v>
      </c>
      <c r="B27" s="10" t="s">
        <v>1406</v>
      </c>
      <c r="C27" s="88">
        <v>1020</v>
      </c>
      <c r="D27" s="86">
        <v>112.1</v>
      </c>
      <c r="E27" s="87">
        <v>34</v>
      </c>
      <c r="F27" s="86">
        <v>84.9</v>
      </c>
      <c r="G27" s="17">
        <v>26</v>
      </c>
      <c r="H27" s="88">
        <v>107</v>
      </c>
      <c r="I27" s="89">
        <v>51000</v>
      </c>
      <c r="J27" s="89" t="s">
        <v>88</v>
      </c>
      <c r="K27" s="89">
        <v>30000</v>
      </c>
      <c r="L27" s="89" t="s">
        <v>88</v>
      </c>
      <c r="M27" s="90">
        <f t="shared" si="14"/>
        <v>21000</v>
      </c>
      <c r="N27" s="4">
        <f t="shared" si="15"/>
        <v>0.58823529411764708</v>
      </c>
      <c r="O27" s="91">
        <f t="shared" si="16"/>
        <v>1500</v>
      </c>
      <c r="P27" s="91">
        <f t="shared" si="17"/>
        <v>882.35294117647061</v>
      </c>
      <c r="Q27" s="79">
        <v>3</v>
      </c>
      <c r="R27" s="79">
        <v>2</v>
      </c>
      <c r="S27" s="79" t="s">
        <v>62</v>
      </c>
      <c r="T27" s="5" t="s">
        <v>185</v>
      </c>
      <c r="U27" s="9"/>
      <c r="W27" s="86">
        <f t="shared" si="18"/>
        <v>112.1</v>
      </c>
      <c r="X27" s="87">
        <f t="shared" si="18"/>
        <v>34</v>
      </c>
      <c r="Y27" s="92">
        <f t="shared" si="19"/>
        <v>107</v>
      </c>
      <c r="Z27" s="90">
        <f t="shared" si="19"/>
        <v>51000</v>
      </c>
      <c r="AA27" s="90">
        <f t="shared" si="20"/>
        <v>30000</v>
      </c>
      <c r="AB27" s="90">
        <f t="shared" si="21"/>
        <v>21000</v>
      </c>
      <c r="AC27" s="4">
        <f t="shared" si="21"/>
        <v>0.58823529411764708</v>
      </c>
      <c r="AD27" s="91">
        <f t="shared" si="21"/>
        <v>1500</v>
      </c>
      <c r="AE27" s="79" t="str">
        <f t="shared" si="22"/>
        <v>계</v>
      </c>
      <c r="AF27" s="79" t="str">
        <f t="shared" si="23"/>
        <v>3/2</v>
      </c>
      <c r="AH27" s="20" t="str">
        <f t="shared" si="1"/>
        <v>테크노폴리스우미린</v>
      </c>
      <c r="AI27" s="87">
        <f t="shared" si="0"/>
        <v>34</v>
      </c>
      <c r="AJ27" s="79" t="str">
        <f t="shared" si="24"/>
        <v>A-</v>
      </c>
      <c r="AK27" s="79" t="s">
        <v>13</v>
      </c>
      <c r="AL27" s="79" t="s">
        <v>60</v>
      </c>
      <c r="AM27" s="79" t="s">
        <v>61</v>
      </c>
      <c r="AN27" s="79" t="str">
        <f t="shared" si="25"/>
        <v>C</v>
      </c>
      <c r="AO27" s="79" t="str">
        <f t="shared" si="26"/>
        <v>X</v>
      </c>
      <c r="AP27" s="79" t="str">
        <f t="shared" si="27"/>
        <v>X</v>
      </c>
      <c r="AQ27" s="79" t="str">
        <f t="shared" si="28"/>
        <v>O</v>
      </c>
      <c r="AR27" s="79" t="str">
        <f t="shared" si="29"/>
        <v>X</v>
      </c>
      <c r="AS27" s="79" t="s">
        <v>2</v>
      </c>
      <c r="AT27" s="79" t="str">
        <f t="shared" si="30"/>
        <v>O</v>
      </c>
      <c r="AU27" s="79" t="str">
        <f t="shared" si="31"/>
        <v>O</v>
      </c>
      <c r="AV27" s="79" t="str">
        <f t="shared" si="32"/>
        <v>X</v>
      </c>
    </row>
    <row r="28" spans="1:48" x14ac:dyDescent="0.3">
      <c r="A28" s="9" t="s">
        <v>1115</v>
      </c>
      <c r="B28" s="10" t="s">
        <v>1406</v>
      </c>
      <c r="C28" s="88">
        <v>1020</v>
      </c>
      <c r="D28" s="86">
        <v>112.4</v>
      </c>
      <c r="E28" s="87">
        <v>34</v>
      </c>
      <c r="F28" s="86">
        <v>85</v>
      </c>
      <c r="G28" s="17">
        <v>26</v>
      </c>
      <c r="H28" s="88">
        <v>58</v>
      </c>
      <c r="I28" s="89">
        <v>51000</v>
      </c>
      <c r="J28" s="89" t="s">
        <v>81</v>
      </c>
      <c r="K28" s="89"/>
      <c r="L28" s="89"/>
      <c r="M28" s="90">
        <f t="shared" si="14"/>
        <v>51000</v>
      </c>
      <c r="N28" s="4">
        <f t="shared" si="15"/>
        <v>0</v>
      </c>
      <c r="O28" s="91">
        <f t="shared" si="16"/>
        <v>1500</v>
      </c>
      <c r="P28" s="91">
        <f t="shared" si="17"/>
        <v>0</v>
      </c>
      <c r="Q28" s="79">
        <v>3</v>
      </c>
      <c r="R28" s="79">
        <v>2</v>
      </c>
      <c r="S28" s="79" t="s">
        <v>62</v>
      </c>
      <c r="T28" s="5" t="s">
        <v>113</v>
      </c>
      <c r="U28" s="9"/>
      <c r="W28" s="86">
        <f t="shared" si="18"/>
        <v>112.4</v>
      </c>
      <c r="X28" s="87">
        <f t="shared" si="18"/>
        <v>34</v>
      </c>
      <c r="Y28" s="92">
        <f t="shared" si="19"/>
        <v>58</v>
      </c>
      <c r="Z28" s="90">
        <f t="shared" si="19"/>
        <v>51000</v>
      </c>
      <c r="AA28" s="90">
        <f t="shared" si="20"/>
        <v>0</v>
      </c>
      <c r="AB28" s="90">
        <f t="shared" si="21"/>
        <v>51000</v>
      </c>
      <c r="AC28" s="4">
        <f t="shared" si="21"/>
        <v>0</v>
      </c>
      <c r="AD28" s="91">
        <f t="shared" si="21"/>
        <v>1500</v>
      </c>
      <c r="AE28" s="79" t="str">
        <f t="shared" si="22"/>
        <v>계</v>
      </c>
      <c r="AF28" s="79" t="str">
        <f t="shared" si="23"/>
        <v>3/2</v>
      </c>
      <c r="AH28" s="20" t="str">
        <f t="shared" si="1"/>
        <v>테크노폴리스우미린</v>
      </c>
      <c r="AI28" s="87">
        <f t="shared" si="0"/>
        <v>34</v>
      </c>
      <c r="AJ28" s="79" t="str">
        <f t="shared" si="24"/>
        <v>A-</v>
      </c>
      <c r="AK28" s="79" t="s">
        <v>13</v>
      </c>
      <c r="AL28" s="79" t="s">
        <v>60</v>
      </c>
      <c r="AM28" s="79" t="s">
        <v>61</v>
      </c>
      <c r="AN28" s="79" t="str">
        <f t="shared" si="25"/>
        <v>C</v>
      </c>
      <c r="AO28" s="79" t="str">
        <f t="shared" si="26"/>
        <v>X</v>
      </c>
      <c r="AP28" s="79" t="str">
        <f t="shared" si="27"/>
        <v>X</v>
      </c>
      <c r="AQ28" s="79" t="str">
        <f t="shared" si="28"/>
        <v>O</v>
      </c>
      <c r="AR28" s="79" t="str">
        <f t="shared" si="29"/>
        <v>X</v>
      </c>
      <c r="AS28" s="79" t="s">
        <v>2</v>
      </c>
      <c r="AT28" s="79" t="str">
        <f t="shared" si="30"/>
        <v>O</v>
      </c>
      <c r="AU28" s="79" t="str">
        <f t="shared" si="31"/>
        <v>O</v>
      </c>
      <c r="AV28" s="79" t="str">
        <f t="shared" si="32"/>
        <v>X</v>
      </c>
    </row>
  </sheetData>
  <mergeCells count="1">
    <mergeCell ref="AJ1:AN1"/>
  </mergeCells>
  <phoneticPr fontId="2" type="noConversion"/>
  <conditionalFormatting sqref="AV4:AV6">
    <cfRule type="expression" dxfId="1027" priority="382">
      <formula>AV4="X"</formula>
    </cfRule>
    <cfRule type="expression" dxfId="1026" priority="383">
      <formula>AV4="후보"</formula>
    </cfRule>
  </conditionalFormatting>
  <conditionalFormatting sqref="AC1:AC2 AC4:AC6 N4:N5">
    <cfRule type="cellIs" dxfId="1025" priority="379" operator="greaterThan">
      <formula>0.9</formula>
    </cfRule>
    <cfRule type="cellIs" dxfId="1024" priority="380" operator="greaterThan">
      <formula>0.85</formula>
    </cfRule>
  </conditionalFormatting>
  <conditionalFormatting sqref="N1:N2">
    <cfRule type="cellIs" dxfId="1023" priority="377" operator="greaterThan">
      <formula>0.9</formula>
    </cfRule>
    <cfRule type="cellIs" dxfId="1022" priority="378" operator="greaterThan">
      <formula>0.85</formula>
    </cfRule>
  </conditionalFormatting>
  <conditionalFormatting sqref="N6">
    <cfRule type="cellIs" dxfId="1021" priority="375" operator="greaterThan">
      <formula>0.9</formula>
    </cfRule>
    <cfRule type="cellIs" dxfId="1020" priority="376" operator="greaterThan">
      <formula>0.85</formula>
    </cfRule>
  </conditionalFormatting>
  <conditionalFormatting sqref="E6">
    <cfRule type="expression" dxfId="1019" priority="371">
      <formula>AND(IF(OR($Q6=1,$Q6=2),1,0),IF($X6&lt;=20,1,0))</formula>
    </cfRule>
    <cfRule type="expression" dxfId="1018" priority="372">
      <formula>AND(IF($Q6=2,1,0),IF($X6&lt;30,1,0))</formula>
    </cfRule>
    <cfRule type="expression" dxfId="1017" priority="373">
      <formula>AND(IF($Q6=3,1,0),IF($X6&lt;30,1,0))</formula>
    </cfRule>
    <cfRule type="expression" dxfId="1016" priority="374">
      <formula>AND(IF($Q6=3,1,IF($Q6=4,1,0)),IF($F6&lt;=85,1,0))</formula>
    </cfRule>
  </conditionalFormatting>
  <conditionalFormatting sqref="X6">
    <cfRule type="expression" dxfId="1015" priority="367">
      <formula>AND(IF(OR($Q6=1,$Q6=2),1,0),IF($X6&lt;=20,1,0))</formula>
    </cfRule>
    <cfRule type="expression" dxfId="1014" priority="368">
      <formula>AND(IF($Q6=2,1,0),IF($X6&lt;30,1,0))</formula>
    </cfRule>
    <cfRule type="expression" dxfId="1013" priority="369">
      <formula>AND(IF($Q6=3,1,0),IF($X6&lt;30,1,0))</formula>
    </cfRule>
    <cfRule type="expression" dxfId="1012" priority="370">
      <formula>AND(IF($Q6=3,1,IF($Q6=4,1,0)),IF($F6&lt;=85,1,0))</formula>
    </cfRule>
  </conditionalFormatting>
  <conditionalFormatting sqref="AI6">
    <cfRule type="expression" dxfId="1011" priority="363">
      <formula>AND(IF(OR($Q6=1,$Q6=2),1,0),IF($X6&lt;=20,1,0))</formula>
    </cfRule>
    <cfRule type="expression" dxfId="1010" priority="364">
      <formula>AND(IF($Q6=2,1,0),IF($X6&lt;30,1,0))</formula>
    </cfRule>
    <cfRule type="expression" dxfId="1009" priority="365">
      <formula>AND(IF($Q6=3,1,0),IF($X6&lt;30,1,0))</formula>
    </cfRule>
    <cfRule type="expression" dxfId="1008" priority="366">
      <formula>AND(IF($Q6=3,1,IF($Q6=4,1,0)),IF($F6&lt;=85,1,0))</formula>
    </cfRule>
  </conditionalFormatting>
  <conditionalFormatting sqref="AV7">
    <cfRule type="expression" dxfId="1007" priority="361">
      <formula>AV7="X"</formula>
    </cfRule>
    <cfRule type="expression" dxfId="1006" priority="362">
      <formula>AV7="후보"</formula>
    </cfRule>
  </conditionalFormatting>
  <conditionalFormatting sqref="AC7">
    <cfRule type="cellIs" dxfId="1005" priority="358" operator="greaterThan">
      <formula>0.9</formula>
    </cfRule>
    <cfRule type="cellIs" dxfId="1004" priority="359" operator="greaterThan">
      <formula>0.85</formula>
    </cfRule>
  </conditionalFormatting>
  <conditionalFormatting sqref="N7">
    <cfRule type="cellIs" dxfId="1003" priority="356" operator="greaterThan">
      <formula>0.9</formula>
    </cfRule>
    <cfRule type="cellIs" dxfId="1002" priority="357" operator="greaterThan">
      <formula>0.85</formula>
    </cfRule>
  </conditionalFormatting>
  <conditionalFormatting sqref="E7">
    <cfRule type="expression" dxfId="1001" priority="352">
      <formula>AND(IF(OR($Q7=1,$Q7=2),1,0),IF($X7&lt;=20,1,0))</formula>
    </cfRule>
    <cfRule type="expression" dxfId="1000" priority="353">
      <formula>AND(IF($Q7=2,1,0),IF($X7&lt;30,1,0))</formula>
    </cfRule>
    <cfRule type="expression" dxfId="999" priority="354">
      <formula>AND(IF($Q7=3,1,0),IF($X7&lt;30,1,0))</formula>
    </cfRule>
    <cfRule type="expression" dxfId="998" priority="355">
      <formula>AND(IF($Q7=3,1,IF($Q7=4,1,0)),IF($F7&lt;=85,1,0))</formula>
    </cfRule>
  </conditionalFormatting>
  <conditionalFormatting sqref="X7">
    <cfRule type="expression" dxfId="997" priority="348">
      <formula>AND(IF(OR($Q7=1,$Q7=2),1,0),IF($X7&lt;=20,1,0))</formula>
    </cfRule>
    <cfRule type="expression" dxfId="996" priority="349">
      <formula>AND(IF($Q7=2,1,0),IF($X7&lt;30,1,0))</formula>
    </cfRule>
    <cfRule type="expression" dxfId="995" priority="350">
      <formula>AND(IF($Q7=3,1,0),IF($X7&lt;30,1,0))</formula>
    </cfRule>
    <cfRule type="expression" dxfId="994" priority="351">
      <formula>AND(IF($Q7=3,1,IF($Q7=4,1,0)),IF($F7&lt;=85,1,0))</formula>
    </cfRule>
  </conditionalFormatting>
  <conditionalFormatting sqref="AI7">
    <cfRule type="expression" dxfId="993" priority="344">
      <formula>AND(IF(OR($Q7=1,$Q7=2),1,0),IF($X7&lt;=20,1,0))</formula>
    </cfRule>
    <cfRule type="expression" dxfId="992" priority="345">
      <formula>AND(IF($Q7=2,1,0),IF($X7&lt;30,1,0))</formula>
    </cfRule>
    <cfRule type="expression" dxfId="991" priority="346">
      <formula>AND(IF($Q7=3,1,0),IF($X7&lt;30,1,0))</formula>
    </cfRule>
    <cfRule type="expression" dxfId="990" priority="347">
      <formula>AND(IF($Q7=3,1,IF($Q7=4,1,0)),IF($F7&lt;=85,1,0))</formula>
    </cfRule>
  </conditionalFormatting>
  <conditionalFormatting sqref="AV8">
    <cfRule type="expression" dxfId="989" priority="342">
      <formula>AV8="X"</formula>
    </cfRule>
    <cfRule type="expression" dxfId="988" priority="343">
      <formula>AV8="후보"</formula>
    </cfRule>
  </conditionalFormatting>
  <conditionalFormatting sqref="AC8">
    <cfRule type="cellIs" dxfId="987" priority="339" operator="greaterThan">
      <formula>0.9</formula>
    </cfRule>
    <cfRule type="cellIs" dxfId="986" priority="340" operator="greaterThan">
      <formula>0.85</formula>
    </cfRule>
  </conditionalFormatting>
  <conditionalFormatting sqref="N8">
    <cfRule type="cellIs" dxfId="985" priority="337" operator="greaterThan">
      <formula>0.9</formula>
    </cfRule>
    <cfRule type="cellIs" dxfId="984" priority="338" operator="greaterThan">
      <formula>0.85</formula>
    </cfRule>
  </conditionalFormatting>
  <conditionalFormatting sqref="E8">
    <cfRule type="expression" dxfId="983" priority="333">
      <formula>AND(IF(OR($Q8=1,$Q8=2),1,0),IF($X8&lt;=20,1,0))</formula>
    </cfRule>
    <cfRule type="expression" dxfId="982" priority="334">
      <formula>AND(IF($Q8=2,1,0),IF($X8&lt;30,1,0))</formula>
    </cfRule>
    <cfRule type="expression" dxfId="981" priority="335">
      <formula>AND(IF($Q8=3,1,0),IF($X8&lt;30,1,0))</formula>
    </cfRule>
    <cfRule type="expression" dxfId="980" priority="336">
      <formula>AND(IF($Q8=3,1,IF($Q8=4,1,0)),IF($F8&lt;=85,1,0))</formula>
    </cfRule>
  </conditionalFormatting>
  <conditionalFormatting sqref="X8">
    <cfRule type="expression" dxfId="979" priority="329">
      <formula>AND(IF(OR($Q8=1,$Q8=2),1,0),IF($X8&lt;=20,1,0))</formula>
    </cfRule>
    <cfRule type="expression" dxfId="978" priority="330">
      <formula>AND(IF($Q8=2,1,0),IF($X8&lt;30,1,0))</formula>
    </cfRule>
    <cfRule type="expression" dxfId="977" priority="331">
      <formula>AND(IF($Q8=3,1,0),IF($X8&lt;30,1,0))</formula>
    </cfRule>
    <cfRule type="expression" dxfId="976" priority="332">
      <formula>AND(IF($Q8=3,1,IF($Q8=4,1,0)),IF($F8&lt;=85,1,0))</formula>
    </cfRule>
  </conditionalFormatting>
  <conditionalFormatting sqref="AI8">
    <cfRule type="expression" dxfId="975" priority="325">
      <formula>AND(IF(OR($Q8=1,$Q8=2),1,0),IF($X8&lt;=20,1,0))</formula>
    </cfRule>
    <cfRule type="expression" dxfId="974" priority="326">
      <formula>AND(IF($Q8=2,1,0),IF($X8&lt;30,1,0))</formula>
    </cfRule>
    <cfRule type="expression" dxfId="973" priority="327">
      <formula>AND(IF($Q8=3,1,0),IF($X8&lt;30,1,0))</formula>
    </cfRule>
    <cfRule type="expression" dxfId="972" priority="328">
      <formula>AND(IF($Q8=3,1,IF($Q8=4,1,0)),IF($F8&lt;=85,1,0))</formula>
    </cfRule>
  </conditionalFormatting>
  <conditionalFormatting sqref="AV9">
    <cfRule type="expression" dxfId="971" priority="323">
      <formula>AV9="X"</formula>
    </cfRule>
    <cfRule type="expression" dxfId="970" priority="324">
      <formula>AV9="후보"</formula>
    </cfRule>
  </conditionalFormatting>
  <conditionalFormatting sqref="AC9">
    <cfRule type="cellIs" dxfId="969" priority="320" operator="greaterThan">
      <formula>0.9</formula>
    </cfRule>
    <cfRule type="cellIs" dxfId="968" priority="321" operator="greaterThan">
      <formula>0.85</formula>
    </cfRule>
  </conditionalFormatting>
  <conditionalFormatting sqref="N9">
    <cfRule type="cellIs" dxfId="967" priority="318" operator="greaterThan">
      <formula>0.9</formula>
    </cfRule>
    <cfRule type="cellIs" dxfId="966" priority="319" operator="greaterThan">
      <formula>0.85</formula>
    </cfRule>
  </conditionalFormatting>
  <conditionalFormatting sqref="E9">
    <cfRule type="expression" dxfId="965" priority="314">
      <formula>AND(IF(OR($Q9=1,$Q9=2),1,0),IF($X9&lt;=20,1,0))</formula>
    </cfRule>
    <cfRule type="expression" dxfId="964" priority="315">
      <formula>AND(IF($Q9=2,1,0),IF($X9&lt;30,1,0))</formula>
    </cfRule>
    <cfRule type="expression" dxfId="963" priority="316">
      <formula>AND(IF($Q9=3,1,0),IF($X9&lt;30,1,0))</formula>
    </cfRule>
    <cfRule type="expression" dxfId="962" priority="317">
      <formula>AND(IF($Q9=3,1,IF($Q9=4,1,0)),IF($F9&lt;=85,1,0))</formula>
    </cfRule>
  </conditionalFormatting>
  <conditionalFormatting sqref="X9">
    <cfRule type="expression" dxfId="961" priority="310">
      <formula>AND(IF(OR($Q9=1,$Q9=2),1,0),IF($X9&lt;=20,1,0))</formula>
    </cfRule>
    <cfRule type="expression" dxfId="960" priority="311">
      <formula>AND(IF($Q9=2,1,0),IF($X9&lt;30,1,0))</formula>
    </cfRule>
    <cfRule type="expression" dxfId="959" priority="312">
      <formula>AND(IF($Q9=3,1,0),IF($X9&lt;30,1,0))</formula>
    </cfRule>
    <cfRule type="expression" dxfId="958" priority="313">
      <formula>AND(IF($Q9=3,1,IF($Q9=4,1,0)),IF($F9&lt;=85,1,0))</formula>
    </cfRule>
  </conditionalFormatting>
  <conditionalFormatting sqref="AI9">
    <cfRule type="expression" dxfId="957" priority="306">
      <formula>AND(IF(OR($Q9=1,$Q9=2),1,0),IF($X9&lt;=20,1,0))</formula>
    </cfRule>
    <cfRule type="expression" dxfId="956" priority="307">
      <formula>AND(IF($Q9=2,1,0),IF($X9&lt;30,1,0))</formula>
    </cfRule>
    <cfRule type="expression" dxfId="955" priority="308">
      <formula>AND(IF($Q9=3,1,0),IF($X9&lt;30,1,0))</formula>
    </cfRule>
    <cfRule type="expression" dxfId="954" priority="309">
      <formula>AND(IF($Q9=3,1,IF($Q9=4,1,0)),IF($F9&lt;=85,1,0))</formula>
    </cfRule>
  </conditionalFormatting>
  <conditionalFormatting sqref="AV10">
    <cfRule type="expression" dxfId="953" priority="304">
      <formula>AV10="X"</formula>
    </cfRule>
    <cfRule type="expression" dxfId="952" priority="305">
      <formula>AV10="후보"</formula>
    </cfRule>
  </conditionalFormatting>
  <conditionalFormatting sqref="AC10 N10">
    <cfRule type="cellIs" dxfId="951" priority="301" operator="greaterThan">
      <formula>0.9</formula>
    </cfRule>
    <cfRule type="cellIs" dxfId="950" priority="302" operator="greaterThan">
      <formula>0.85</formula>
    </cfRule>
  </conditionalFormatting>
  <conditionalFormatting sqref="AV11">
    <cfRule type="expression" dxfId="949" priority="299">
      <formula>AV11="X"</formula>
    </cfRule>
    <cfRule type="expression" dxfId="948" priority="300">
      <formula>AV11="후보"</formula>
    </cfRule>
  </conditionalFormatting>
  <conditionalFormatting sqref="AC11">
    <cfRule type="cellIs" dxfId="947" priority="296" operator="greaterThan">
      <formula>0.9</formula>
    </cfRule>
    <cfRule type="cellIs" dxfId="946" priority="297" operator="greaterThan">
      <formula>0.85</formula>
    </cfRule>
  </conditionalFormatting>
  <conditionalFormatting sqref="N11">
    <cfRule type="cellIs" dxfId="945" priority="294" operator="greaterThan">
      <formula>0.9</formula>
    </cfRule>
    <cfRule type="cellIs" dxfId="944" priority="295" operator="greaterThan">
      <formula>0.85</formula>
    </cfRule>
  </conditionalFormatting>
  <conditionalFormatting sqref="E11">
    <cfRule type="expression" dxfId="943" priority="290">
      <formula>AND(IF(OR($Q11=1,$Q11=2),1,0),IF($X11&lt;=20,1,0))</formula>
    </cfRule>
    <cfRule type="expression" dxfId="942" priority="291">
      <formula>AND(IF($Q11=2,1,0),IF($X11&lt;30,1,0))</formula>
    </cfRule>
    <cfRule type="expression" dxfId="941" priority="292">
      <formula>AND(IF($Q11=3,1,0),IF($X11&lt;30,1,0))</formula>
    </cfRule>
    <cfRule type="expression" dxfId="940" priority="293">
      <formula>AND(IF($Q11=3,1,IF($Q11=4,1,0)),IF($F11&lt;=85,1,0))</formula>
    </cfRule>
  </conditionalFormatting>
  <conditionalFormatting sqref="X11">
    <cfRule type="expression" dxfId="939" priority="286">
      <formula>AND(IF(OR($Q11=1,$Q11=2),1,0),IF($X11&lt;=20,1,0))</formula>
    </cfRule>
    <cfRule type="expression" dxfId="938" priority="287">
      <formula>AND(IF($Q11=2,1,0),IF($X11&lt;30,1,0))</formula>
    </cfRule>
    <cfRule type="expression" dxfId="937" priority="288">
      <formula>AND(IF($Q11=3,1,0),IF($X11&lt;30,1,0))</formula>
    </cfRule>
    <cfRule type="expression" dxfId="936" priority="289">
      <formula>AND(IF($Q11=3,1,IF($Q11=4,1,0)),IF($F11&lt;=85,1,0))</formula>
    </cfRule>
  </conditionalFormatting>
  <conditionalFormatting sqref="AI11">
    <cfRule type="expression" dxfId="935" priority="282">
      <formula>AND(IF(OR($Q11=1,$Q11=2),1,0),IF($X11&lt;=20,1,0))</formula>
    </cfRule>
    <cfRule type="expression" dxfId="934" priority="283">
      <formula>AND(IF($Q11=2,1,0),IF($X11&lt;30,1,0))</formula>
    </cfRule>
    <cfRule type="expression" dxfId="933" priority="284">
      <formula>AND(IF($Q11=3,1,0),IF($X11&lt;30,1,0))</formula>
    </cfRule>
    <cfRule type="expression" dxfId="932" priority="285">
      <formula>AND(IF($Q11=3,1,IF($Q11=4,1,0)),IF($F11&lt;=85,1,0))</formula>
    </cfRule>
  </conditionalFormatting>
  <conditionalFormatting sqref="AV12">
    <cfRule type="expression" dxfId="931" priority="280">
      <formula>AV12="X"</formula>
    </cfRule>
    <cfRule type="expression" dxfId="930" priority="281">
      <formula>AV12="후보"</formula>
    </cfRule>
  </conditionalFormatting>
  <conditionalFormatting sqref="AC12">
    <cfRule type="cellIs" dxfId="929" priority="277" operator="greaterThan">
      <formula>0.9</formula>
    </cfRule>
    <cfRule type="cellIs" dxfId="928" priority="278" operator="greaterThan">
      <formula>0.85</formula>
    </cfRule>
  </conditionalFormatting>
  <conditionalFormatting sqref="N12">
    <cfRule type="cellIs" dxfId="927" priority="275" operator="greaterThan">
      <formula>0.9</formula>
    </cfRule>
    <cfRule type="cellIs" dxfId="926" priority="276" operator="greaterThan">
      <formula>0.85</formula>
    </cfRule>
  </conditionalFormatting>
  <conditionalFormatting sqref="E12">
    <cfRule type="expression" dxfId="925" priority="271">
      <formula>AND(IF(OR($Q12=1,$Q12=2),1,0),IF($X12&lt;=20,1,0))</formula>
    </cfRule>
    <cfRule type="expression" dxfId="924" priority="272">
      <formula>AND(IF($Q12=2,1,0),IF($X12&lt;30,1,0))</formula>
    </cfRule>
    <cfRule type="expression" dxfId="923" priority="273">
      <formula>AND(IF($Q12=3,1,0),IF($X12&lt;30,1,0))</formula>
    </cfRule>
    <cfRule type="expression" dxfId="922" priority="274">
      <formula>AND(IF($Q12=3,1,IF($Q12=4,1,0)),IF($F12&lt;=85,1,0))</formula>
    </cfRule>
  </conditionalFormatting>
  <conditionalFormatting sqref="X12">
    <cfRule type="expression" dxfId="921" priority="267">
      <formula>AND(IF(OR($Q12=1,$Q12=2),1,0),IF($X12&lt;=20,1,0))</formula>
    </cfRule>
    <cfRule type="expression" dxfId="920" priority="268">
      <formula>AND(IF($Q12=2,1,0),IF($X12&lt;30,1,0))</formula>
    </cfRule>
    <cfRule type="expression" dxfId="919" priority="269">
      <formula>AND(IF($Q12=3,1,0),IF($X12&lt;30,1,0))</formula>
    </cfRule>
    <cfRule type="expression" dxfId="918" priority="270">
      <formula>AND(IF($Q12=3,1,IF($Q12=4,1,0)),IF($F12&lt;=85,1,0))</formula>
    </cfRule>
  </conditionalFormatting>
  <conditionalFormatting sqref="AI12">
    <cfRule type="expression" dxfId="917" priority="263">
      <formula>AND(IF(OR($Q12=1,$Q12=2),1,0),IF($X12&lt;=20,1,0))</formula>
    </cfRule>
    <cfRule type="expression" dxfId="916" priority="264">
      <formula>AND(IF($Q12=2,1,0),IF($X12&lt;30,1,0))</formula>
    </cfRule>
    <cfRule type="expression" dxfId="915" priority="265">
      <formula>AND(IF($Q12=3,1,0),IF($X12&lt;30,1,0))</formula>
    </cfRule>
    <cfRule type="expression" dxfId="914" priority="266">
      <formula>AND(IF($Q12=3,1,IF($Q12=4,1,0)),IF($F12&lt;=85,1,0))</formula>
    </cfRule>
  </conditionalFormatting>
  <conditionalFormatting sqref="AV13">
    <cfRule type="expression" dxfId="913" priority="261">
      <formula>AV13="X"</formula>
    </cfRule>
    <cfRule type="expression" dxfId="912" priority="262">
      <formula>AV13="후보"</formula>
    </cfRule>
  </conditionalFormatting>
  <conditionalFormatting sqref="AC13">
    <cfRule type="cellIs" dxfId="911" priority="258" operator="greaterThan">
      <formula>0.9</formula>
    </cfRule>
    <cfRule type="cellIs" dxfId="910" priority="259" operator="greaterThan">
      <formula>0.85</formula>
    </cfRule>
  </conditionalFormatting>
  <conditionalFormatting sqref="N13">
    <cfRule type="cellIs" dxfId="909" priority="256" operator="greaterThan">
      <formula>0.9</formula>
    </cfRule>
    <cfRule type="cellIs" dxfId="908" priority="257" operator="greaterThan">
      <formula>0.85</formula>
    </cfRule>
  </conditionalFormatting>
  <conditionalFormatting sqref="E13">
    <cfRule type="expression" dxfId="907" priority="252">
      <formula>AND(IF(OR($Q13=1,$Q13=2),1,0),IF($X13&lt;=20,1,0))</formula>
    </cfRule>
    <cfRule type="expression" dxfId="906" priority="253">
      <formula>AND(IF($Q13=2,1,0),IF($X13&lt;30,1,0))</formula>
    </cfRule>
    <cfRule type="expression" dxfId="905" priority="254">
      <formula>AND(IF($Q13=3,1,0),IF($X13&lt;30,1,0))</formula>
    </cfRule>
    <cfRule type="expression" dxfId="904" priority="255">
      <formula>AND(IF($Q13=3,1,IF($Q13=4,1,0)),IF($F13&lt;=85,1,0))</formula>
    </cfRule>
  </conditionalFormatting>
  <conditionalFormatting sqref="X13">
    <cfRule type="expression" dxfId="903" priority="248">
      <formula>AND(IF(OR($Q13=1,$Q13=2),1,0),IF($X13&lt;=20,1,0))</formula>
    </cfRule>
    <cfRule type="expression" dxfId="902" priority="249">
      <formula>AND(IF($Q13=2,1,0),IF($X13&lt;30,1,0))</formula>
    </cfRule>
    <cfRule type="expression" dxfId="901" priority="250">
      <formula>AND(IF($Q13=3,1,0),IF($X13&lt;30,1,0))</formula>
    </cfRule>
    <cfRule type="expression" dxfId="900" priority="251">
      <formula>AND(IF($Q13=3,1,IF($Q13=4,1,0)),IF($F13&lt;=85,1,0))</formula>
    </cfRule>
  </conditionalFormatting>
  <conditionalFormatting sqref="AI13">
    <cfRule type="expression" dxfId="899" priority="244">
      <formula>AND(IF(OR($Q13=1,$Q13=2),1,0),IF($X13&lt;=20,1,0))</formula>
    </cfRule>
    <cfRule type="expression" dxfId="898" priority="245">
      <formula>AND(IF($Q13=2,1,0),IF($X13&lt;30,1,0))</formula>
    </cfRule>
    <cfRule type="expression" dxfId="897" priority="246">
      <formula>AND(IF($Q13=3,1,0),IF($X13&lt;30,1,0))</formula>
    </cfRule>
    <cfRule type="expression" dxfId="896" priority="247">
      <formula>AND(IF($Q13=3,1,IF($Q13=4,1,0)),IF($F13&lt;=85,1,0))</formula>
    </cfRule>
  </conditionalFormatting>
  <conditionalFormatting sqref="AV14">
    <cfRule type="expression" dxfId="895" priority="242">
      <formula>AV14="X"</formula>
    </cfRule>
    <cfRule type="expression" dxfId="894" priority="243">
      <formula>AV14="후보"</formula>
    </cfRule>
  </conditionalFormatting>
  <conditionalFormatting sqref="AC14 N14">
    <cfRule type="cellIs" dxfId="893" priority="239" operator="greaterThan">
      <formula>0.9</formula>
    </cfRule>
    <cfRule type="cellIs" dxfId="892" priority="240" operator="greaterThan">
      <formula>0.85</formula>
    </cfRule>
  </conditionalFormatting>
  <conditionalFormatting sqref="AV15">
    <cfRule type="expression" dxfId="891" priority="237">
      <formula>AV15="X"</formula>
    </cfRule>
    <cfRule type="expression" dxfId="890" priority="238">
      <formula>AV15="후보"</formula>
    </cfRule>
  </conditionalFormatting>
  <conditionalFormatting sqref="AC15">
    <cfRule type="cellIs" dxfId="889" priority="234" operator="greaterThan">
      <formula>0.9</formula>
    </cfRule>
    <cfRule type="cellIs" dxfId="888" priority="235" operator="greaterThan">
      <formula>0.85</formula>
    </cfRule>
  </conditionalFormatting>
  <conditionalFormatting sqref="N15">
    <cfRule type="cellIs" dxfId="887" priority="232" operator="greaterThan">
      <formula>0.9</formula>
    </cfRule>
    <cfRule type="cellIs" dxfId="886" priority="233" operator="greaterThan">
      <formula>0.85</formula>
    </cfRule>
  </conditionalFormatting>
  <conditionalFormatting sqref="E15">
    <cfRule type="expression" dxfId="885" priority="228">
      <formula>AND(IF(OR($Q15=1,$Q15=2),1,0),IF($X15&lt;=20,1,0))</formula>
    </cfRule>
    <cfRule type="expression" dxfId="884" priority="229">
      <formula>AND(IF($Q15=2,1,0),IF($X15&lt;30,1,0))</formula>
    </cfRule>
    <cfRule type="expression" dxfId="883" priority="230">
      <formula>AND(IF($Q15=3,1,0),IF($X15&lt;30,1,0))</formula>
    </cfRule>
    <cfRule type="expression" dxfId="882" priority="231">
      <formula>AND(IF($Q15=3,1,IF($Q15=4,1,0)),IF($F15&lt;=85,1,0))</formula>
    </cfRule>
  </conditionalFormatting>
  <conditionalFormatting sqref="X15">
    <cfRule type="expression" dxfId="881" priority="224">
      <formula>AND(IF(OR($Q15=1,$Q15=2),1,0),IF($X15&lt;=20,1,0))</formula>
    </cfRule>
    <cfRule type="expression" dxfId="880" priority="225">
      <formula>AND(IF($Q15=2,1,0),IF($X15&lt;30,1,0))</formula>
    </cfRule>
    <cfRule type="expression" dxfId="879" priority="226">
      <formula>AND(IF($Q15=3,1,0),IF($X15&lt;30,1,0))</formula>
    </cfRule>
    <cfRule type="expression" dxfId="878" priority="227">
      <formula>AND(IF($Q15=3,1,IF($Q15=4,1,0)),IF($F15&lt;=85,1,0))</formula>
    </cfRule>
  </conditionalFormatting>
  <conditionalFormatting sqref="AI15">
    <cfRule type="expression" dxfId="877" priority="220">
      <formula>AND(IF(OR($Q15=1,$Q15=2),1,0),IF($X15&lt;=20,1,0))</formula>
    </cfRule>
    <cfRule type="expression" dxfId="876" priority="221">
      <formula>AND(IF($Q15=2,1,0),IF($X15&lt;30,1,0))</formula>
    </cfRule>
    <cfRule type="expression" dxfId="875" priority="222">
      <formula>AND(IF($Q15=3,1,0),IF($X15&lt;30,1,0))</formula>
    </cfRule>
    <cfRule type="expression" dxfId="874" priority="223">
      <formula>AND(IF($Q15=3,1,IF($Q15=4,1,0)),IF($F15&lt;=85,1,0))</formula>
    </cfRule>
  </conditionalFormatting>
  <conditionalFormatting sqref="AV16">
    <cfRule type="expression" dxfId="873" priority="218">
      <formula>AV16="X"</formula>
    </cfRule>
    <cfRule type="expression" dxfId="872" priority="219">
      <formula>AV16="후보"</formula>
    </cfRule>
  </conditionalFormatting>
  <conditionalFormatting sqref="AC16">
    <cfRule type="cellIs" dxfId="871" priority="215" operator="greaterThan">
      <formula>0.9</formula>
    </cfRule>
    <cfRule type="cellIs" dxfId="870" priority="216" operator="greaterThan">
      <formula>0.85</formula>
    </cfRule>
  </conditionalFormatting>
  <conditionalFormatting sqref="N16">
    <cfRule type="cellIs" dxfId="869" priority="213" operator="greaterThan">
      <formula>0.9</formula>
    </cfRule>
    <cfRule type="cellIs" dxfId="868" priority="214" operator="greaterThan">
      <formula>0.85</formula>
    </cfRule>
  </conditionalFormatting>
  <conditionalFormatting sqref="E16">
    <cfRule type="expression" dxfId="867" priority="209">
      <formula>AND(IF(OR($Q16=1,$Q16=2),1,0),IF($X16&lt;=20,1,0))</formula>
    </cfRule>
    <cfRule type="expression" dxfId="866" priority="210">
      <formula>AND(IF($Q16=2,1,0),IF($X16&lt;30,1,0))</formula>
    </cfRule>
    <cfRule type="expression" dxfId="865" priority="211">
      <formula>AND(IF($Q16=3,1,0),IF($X16&lt;30,1,0))</formula>
    </cfRule>
    <cfRule type="expression" dxfId="864" priority="212">
      <formula>AND(IF($Q16=3,1,IF($Q16=4,1,0)),IF($F16&lt;=85,1,0))</formula>
    </cfRule>
  </conditionalFormatting>
  <conditionalFormatting sqref="X16">
    <cfRule type="expression" dxfId="863" priority="205">
      <formula>AND(IF(OR($Q16=1,$Q16=2),1,0),IF($X16&lt;=20,1,0))</formula>
    </cfRule>
    <cfRule type="expression" dxfId="862" priority="206">
      <formula>AND(IF($Q16=2,1,0),IF($X16&lt;30,1,0))</formula>
    </cfRule>
    <cfRule type="expression" dxfId="861" priority="207">
      <formula>AND(IF($Q16=3,1,0),IF($X16&lt;30,1,0))</formula>
    </cfRule>
    <cfRule type="expression" dxfId="860" priority="208">
      <formula>AND(IF($Q16=3,1,IF($Q16=4,1,0)),IF($F16&lt;=85,1,0))</formula>
    </cfRule>
  </conditionalFormatting>
  <conditionalFormatting sqref="AI16">
    <cfRule type="expression" dxfId="859" priority="201">
      <formula>AND(IF(OR($Q16=1,$Q16=2),1,0),IF($X16&lt;=20,1,0))</formula>
    </cfRule>
    <cfRule type="expression" dxfId="858" priority="202">
      <formula>AND(IF($Q16=2,1,0),IF($X16&lt;30,1,0))</formula>
    </cfRule>
    <cfRule type="expression" dxfId="857" priority="203">
      <formula>AND(IF($Q16=3,1,0),IF($X16&lt;30,1,0))</formula>
    </cfRule>
    <cfRule type="expression" dxfId="856" priority="204">
      <formula>AND(IF($Q16=3,1,IF($Q16=4,1,0)),IF($F16&lt;=85,1,0))</formula>
    </cfRule>
  </conditionalFormatting>
  <conditionalFormatting sqref="AV17">
    <cfRule type="expression" dxfId="855" priority="199">
      <formula>AV17="X"</formula>
    </cfRule>
    <cfRule type="expression" dxfId="854" priority="200">
      <formula>AV17="후보"</formula>
    </cfRule>
  </conditionalFormatting>
  <conditionalFormatting sqref="AC17">
    <cfRule type="cellIs" dxfId="853" priority="196" operator="greaterThan">
      <formula>0.9</formula>
    </cfRule>
    <cfRule type="cellIs" dxfId="852" priority="197" operator="greaterThan">
      <formula>0.85</formula>
    </cfRule>
  </conditionalFormatting>
  <conditionalFormatting sqref="N17">
    <cfRule type="cellIs" dxfId="851" priority="194" operator="greaterThan">
      <formula>0.9</formula>
    </cfRule>
    <cfRule type="cellIs" dxfId="850" priority="195" operator="greaterThan">
      <formula>0.85</formula>
    </cfRule>
  </conditionalFormatting>
  <conditionalFormatting sqref="E17">
    <cfRule type="expression" dxfId="849" priority="190">
      <formula>AND(IF(OR($Q17=1,$Q17=2),1,0),IF($X17&lt;=20,1,0))</formula>
    </cfRule>
    <cfRule type="expression" dxfId="848" priority="191">
      <formula>AND(IF($Q17=2,1,0),IF($X17&lt;30,1,0))</formula>
    </cfRule>
    <cfRule type="expression" dxfId="847" priority="192">
      <formula>AND(IF($Q17=3,1,0),IF($X17&lt;30,1,0))</formula>
    </cfRule>
    <cfRule type="expression" dxfId="846" priority="193">
      <formula>AND(IF($Q17=3,1,IF($Q17=4,1,0)),IF($F17&lt;=85,1,0))</formula>
    </cfRule>
  </conditionalFormatting>
  <conditionalFormatting sqref="X17">
    <cfRule type="expression" dxfId="845" priority="186">
      <formula>AND(IF(OR($Q17=1,$Q17=2),1,0),IF($X17&lt;=20,1,0))</formula>
    </cfRule>
    <cfRule type="expression" dxfId="844" priority="187">
      <formula>AND(IF($Q17=2,1,0),IF($X17&lt;30,1,0))</formula>
    </cfRule>
    <cfRule type="expression" dxfId="843" priority="188">
      <formula>AND(IF($Q17=3,1,0),IF($X17&lt;30,1,0))</formula>
    </cfRule>
    <cfRule type="expression" dxfId="842" priority="189">
      <formula>AND(IF($Q17=3,1,IF($Q17=4,1,0)),IF($F17&lt;=85,1,0))</formula>
    </cfRule>
  </conditionalFormatting>
  <conditionalFormatting sqref="AI17">
    <cfRule type="expression" dxfId="841" priority="182">
      <formula>AND(IF(OR($Q17=1,$Q17=2),1,0),IF($X17&lt;=20,1,0))</formula>
    </cfRule>
    <cfRule type="expression" dxfId="840" priority="183">
      <formula>AND(IF($Q17=2,1,0),IF($X17&lt;30,1,0))</formula>
    </cfRule>
    <cfRule type="expression" dxfId="839" priority="184">
      <formula>AND(IF($Q17=3,1,0),IF($X17&lt;30,1,0))</formula>
    </cfRule>
    <cfRule type="expression" dxfId="838" priority="185">
      <formula>AND(IF($Q17=3,1,IF($Q17=4,1,0)),IF($F17&lt;=85,1,0))</formula>
    </cfRule>
  </conditionalFormatting>
  <conditionalFormatting sqref="AV18">
    <cfRule type="expression" dxfId="837" priority="180">
      <formula>AV18="X"</formula>
    </cfRule>
    <cfRule type="expression" dxfId="836" priority="181">
      <formula>AV18="후보"</formula>
    </cfRule>
  </conditionalFormatting>
  <conditionalFormatting sqref="AC18 N18">
    <cfRule type="cellIs" dxfId="835" priority="177" operator="greaterThan">
      <formula>0.9</formula>
    </cfRule>
    <cfRule type="cellIs" dxfId="834" priority="178" operator="greaterThan">
      <formula>0.85</formula>
    </cfRule>
  </conditionalFormatting>
  <conditionalFormatting sqref="AV19">
    <cfRule type="expression" dxfId="833" priority="175">
      <formula>AV19="X"</formula>
    </cfRule>
    <cfRule type="expression" dxfId="832" priority="176">
      <formula>AV19="후보"</formula>
    </cfRule>
  </conditionalFormatting>
  <conditionalFormatting sqref="AC19">
    <cfRule type="cellIs" dxfId="831" priority="172" operator="greaterThan">
      <formula>0.9</formula>
    </cfRule>
    <cfRule type="cellIs" dxfId="830" priority="173" operator="greaterThan">
      <formula>0.85</formula>
    </cfRule>
  </conditionalFormatting>
  <conditionalFormatting sqref="N19">
    <cfRule type="cellIs" dxfId="829" priority="170" operator="greaterThan">
      <formula>0.9</formula>
    </cfRule>
    <cfRule type="cellIs" dxfId="828" priority="171" operator="greaterThan">
      <formula>0.85</formula>
    </cfRule>
  </conditionalFormatting>
  <conditionalFormatting sqref="E19">
    <cfRule type="expression" dxfId="827" priority="166">
      <formula>AND(IF(OR($Q19=1,$Q19=2),1,0),IF($X19&lt;=20,1,0))</formula>
    </cfRule>
    <cfRule type="expression" dxfId="826" priority="167">
      <formula>AND(IF($Q19=2,1,0),IF($X19&lt;30,1,0))</formula>
    </cfRule>
    <cfRule type="expression" dxfId="825" priority="168">
      <formula>AND(IF($Q19=3,1,0),IF($X19&lt;30,1,0))</formula>
    </cfRule>
    <cfRule type="expression" dxfId="824" priority="169">
      <formula>AND(IF($Q19=3,1,IF($Q19=4,1,0)),IF($F19&lt;=85,1,0))</formula>
    </cfRule>
  </conditionalFormatting>
  <conditionalFormatting sqref="X19">
    <cfRule type="expression" dxfId="823" priority="162">
      <formula>AND(IF(OR($Q19=1,$Q19=2),1,0),IF($X19&lt;=20,1,0))</formula>
    </cfRule>
    <cfRule type="expression" dxfId="822" priority="163">
      <formula>AND(IF($Q19=2,1,0),IF($X19&lt;30,1,0))</formula>
    </cfRule>
    <cfRule type="expression" dxfId="821" priority="164">
      <formula>AND(IF($Q19=3,1,0),IF($X19&lt;30,1,0))</formula>
    </cfRule>
    <cfRule type="expression" dxfId="820" priority="165">
      <formula>AND(IF($Q19=3,1,IF($Q19=4,1,0)),IF($F19&lt;=85,1,0))</formula>
    </cfRule>
  </conditionalFormatting>
  <conditionalFormatting sqref="AI19">
    <cfRule type="expression" dxfId="819" priority="158">
      <formula>AND(IF(OR($Q19=1,$Q19=2),1,0),IF($X19&lt;=20,1,0))</formula>
    </cfRule>
    <cfRule type="expression" dxfId="818" priority="159">
      <formula>AND(IF($Q19=2,1,0),IF($X19&lt;30,1,0))</formula>
    </cfRule>
    <cfRule type="expression" dxfId="817" priority="160">
      <formula>AND(IF($Q19=3,1,0),IF($X19&lt;30,1,0))</formula>
    </cfRule>
    <cfRule type="expression" dxfId="816" priority="161">
      <formula>AND(IF($Q19=3,1,IF($Q19=4,1,0)),IF($F19&lt;=85,1,0))</formula>
    </cfRule>
  </conditionalFormatting>
  <conditionalFormatting sqref="AV20">
    <cfRule type="expression" dxfId="815" priority="156">
      <formula>AV20="X"</formula>
    </cfRule>
    <cfRule type="expression" dxfId="814" priority="157">
      <formula>AV20="후보"</formula>
    </cfRule>
  </conditionalFormatting>
  <conditionalFormatting sqref="AC20">
    <cfRule type="cellIs" dxfId="813" priority="153" operator="greaterThan">
      <formula>0.9</formula>
    </cfRule>
    <cfRule type="cellIs" dxfId="812" priority="154" operator="greaterThan">
      <formula>0.85</formula>
    </cfRule>
  </conditionalFormatting>
  <conditionalFormatting sqref="N20">
    <cfRule type="cellIs" dxfId="811" priority="151" operator="greaterThan">
      <formula>0.9</formula>
    </cfRule>
    <cfRule type="cellIs" dxfId="810" priority="152" operator="greaterThan">
      <formula>0.85</formula>
    </cfRule>
  </conditionalFormatting>
  <conditionalFormatting sqref="E20">
    <cfRule type="expression" dxfId="809" priority="147">
      <formula>AND(IF(OR($Q20=1,$Q20=2),1,0),IF($X20&lt;=20,1,0))</formula>
    </cfRule>
    <cfRule type="expression" dxfId="808" priority="148">
      <formula>AND(IF($Q20=2,1,0),IF($X20&lt;30,1,0))</formula>
    </cfRule>
    <cfRule type="expression" dxfId="807" priority="149">
      <formula>AND(IF($Q20=3,1,0),IF($X20&lt;30,1,0))</formula>
    </cfRule>
    <cfRule type="expression" dxfId="806" priority="150">
      <formula>AND(IF($Q20=3,1,IF($Q20=4,1,0)),IF($F20&lt;=85,1,0))</formula>
    </cfRule>
  </conditionalFormatting>
  <conditionalFormatting sqref="X20">
    <cfRule type="expression" dxfId="805" priority="143">
      <formula>AND(IF(OR($Q20=1,$Q20=2),1,0),IF($X20&lt;=20,1,0))</formula>
    </cfRule>
    <cfRule type="expression" dxfId="804" priority="144">
      <formula>AND(IF($Q20=2,1,0),IF($X20&lt;30,1,0))</formula>
    </cfRule>
    <cfRule type="expression" dxfId="803" priority="145">
      <formula>AND(IF($Q20=3,1,0),IF($X20&lt;30,1,0))</formula>
    </cfRule>
    <cfRule type="expression" dxfId="802" priority="146">
      <formula>AND(IF($Q20=3,1,IF($Q20=4,1,0)),IF($F20&lt;=85,1,0))</formula>
    </cfRule>
  </conditionalFormatting>
  <conditionalFormatting sqref="AI20">
    <cfRule type="expression" dxfId="801" priority="139">
      <formula>AND(IF(OR($Q20=1,$Q20=2),1,0),IF($X20&lt;=20,1,0))</formula>
    </cfRule>
    <cfRule type="expression" dxfId="800" priority="140">
      <formula>AND(IF($Q20=2,1,0),IF($X20&lt;30,1,0))</formula>
    </cfRule>
    <cfRule type="expression" dxfId="799" priority="141">
      <formula>AND(IF($Q20=3,1,0),IF($X20&lt;30,1,0))</formula>
    </cfRule>
    <cfRule type="expression" dxfId="798" priority="142">
      <formula>AND(IF($Q20=3,1,IF($Q20=4,1,0)),IF($F20&lt;=85,1,0))</formula>
    </cfRule>
  </conditionalFormatting>
  <conditionalFormatting sqref="AV21">
    <cfRule type="expression" dxfId="797" priority="137">
      <formula>AV21="X"</formula>
    </cfRule>
    <cfRule type="expression" dxfId="796" priority="138">
      <formula>AV21="후보"</formula>
    </cfRule>
  </conditionalFormatting>
  <conditionalFormatting sqref="AC21">
    <cfRule type="cellIs" dxfId="795" priority="134" operator="greaterThan">
      <formula>0.9</formula>
    </cfRule>
    <cfRule type="cellIs" dxfId="794" priority="135" operator="greaterThan">
      <formula>0.85</formula>
    </cfRule>
  </conditionalFormatting>
  <conditionalFormatting sqref="N21">
    <cfRule type="cellIs" dxfId="793" priority="132" operator="greaterThan">
      <formula>0.9</formula>
    </cfRule>
    <cfRule type="cellIs" dxfId="792" priority="133" operator="greaterThan">
      <formula>0.85</formula>
    </cfRule>
  </conditionalFormatting>
  <conditionalFormatting sqref="E21">
    <cfRule type="expression" dxfId="791" priority="128">
      <formula>AND(IF(OR($Q21=1,$Q21=2),1,0),IF($X21&lt;=20,1,0))</formula>
    </cfRule>
    <cfRule type="expression" dxfId="790" priority="129">
      <formula>AND(IF($Q21=2,1,0),IF($X21&lt;30,1,0))</formula>
    </cfRule>
    <cfRule type="expression" dxfId="789" priority="130">
      <formula>AND(IF($Q21=3,1,0),IF($X21&lt;30,1,0))</formula>
    </cfRule>
    <cfRule type="expression" dxfId="788" priority="131">
      <formula>AND(IF($Q21=3,1,IF($Q21=4,1,0)),IF($F21&lt;=85,1,0))</formula>
    </cfRule>
  </conditionalFormatting>
  <conditionalFormatting sqref="X21">
    <cfRule type="expression" dxfId="787" priority="124">
      <formula>AND(IF(OR($Q21=1,$Q21=2),1,0),IF($X21&lt;=20,1,0))</formula>
    </cfRule>
    <cfRule type="expression" dxfId="786" priority="125">
      <formula>AND(IF($Q21=2,1,0),IF($X21&lt;30,1,0))</formula>
    </cfRule>
    <cfRule type="expression" dxfId="785" priority="126">
      <formula>AND(IF($Q21=3,1,0),IF($X21&lt;30,1,0))</formula>
    </cfRule>
    <cfRule type="expression" dxfId="784" priority="127">
      <formula>AND(IF($Q21=3,1,IF($Q21=4,1,0)),IF($F21&lt;=85,1,0))</formula>
    </cfRule>
  </conditionalFormatting>
  <conditionalFormatting sqref="AI21">
    <cfRule type="expression" dxfId="783" priority="120">
      <formula>AND(IF(OR($Q21=1,$Q21=2),1,0),IF($X21&lt;=20,1,0))</formula>
    </cfRule>
    <cfRule type="expression" dxfId="782" priority="121">
      <formula>AND(IF($Q21=2,1,0),IF($X21&lt;30,1,0))</formula>
    </cfRule>
    <cfRule type="expression" dxfId="781" priority="122">
      <formula>AND(IF($Q21=3,1,0),IF($X21&lt;30,1,0))</formula>
    </cfRule>
    <cfRule type="expression" dxfId="780" priority="123">
      <formula>AND(IF($Q21=3,1,IF($Q21=4,1,0)),IF($F21&lt;=85,1,0))</formula>
    </cfRule>
  </conditionalFormatting>
  <conditionalFormatting sqref="AV22">
    <cfRule type="expression" dxfId="779" priority="118">
      <formula>AV22="X"</formula>
    </cfRule>
    <cfRule type="expression" dxfId="778" priority="119">
      <formula>AV22="후보"</formula>
    </cfRule>
  </conditionalFormatting>
  <conditionalFormatting sqref="AC22 N22">
    <cfRule type="cellIs" dxfId="777" priority="115" operator="greaterThan">
      <formula>0.9</formula>
    </cfRule>
    <cfRule type="cellIs" dxfId="776" priority="116" operator="greaterThan">
      <formula>0.85</formula>
    </cfRule>
  </conditionalFormatting>
  <conditionalFormatting sqref="AV23">
    <cfRule type="expression" dxfId="775" priority="113">
      <formula>AV23="X"</formula>
    </cfRule>
    <cfRule type="expression" dxfId="774" priority="114">
      <formula>AV23="후보"</formula>
    </cfRule>
  </conditionalFormatting>
  <conditionalFormatting sqref="AC23">
    <cfRule type="cellIs" dxfId="773" priority="110" operator="greaterThan">
      <formula>0.9</formula>
    </cfRule>
    <cfRule type="cellIs" dxfId="772" priority="111" operator="greaterThan">
      <formula>0.85</formula>
    </cfRule>
  </conditionalFormatting>
  <conditionalFormatting sqref="N23">
    <cfRule type="cellIs" dxfId="771" priority="108" operator="greaterThan">
      <formula>0.9</formula>
    </cfRule>
    <cfRule type="cellIs" dxfId="770" priority="109" operator="greaterThan">
      <formula>0.85</formula>
    </cfRule>
  </conditionalFormatting>
  <conditionalFormatting sqref="E23">
    <cfRule type="expression" dxfId="769" priority="104">
      <formula>AND(IF(OR($Q23=1,$Q23=2),1,0),IF($X23&lt;=20,1,0))</formula>
    </cfRule>
    <cfRule type="expression" dxfId="768" priority="105">
      <formula>AND(IF($Q23=2,1,0),IF($X23&lt;30,1,0))</formula>
    </cfRule>
    <cfRule type="expression" dxfId="767" priority="106">
      <formula>AND(IF($Q23=3,1,0),IF($X23&lt;30,1,0))</formula>
    </cfRule>
    <cfRule type="expression" dxfId="766" priority="107">
      <formula>AND(IF($Q23=3,1,IF($Q23=4,1,0)),IF($F23&lt;=85,1,0))</formula>
    </cfRule>
  </conditionalFormatting>
  <conditionalFormatting sqref="X23">
    <cfRule type="expression" dxfId="765" priority="100">
      <formula>AND(IF(OR($Q23=1,$Q23=2),1,0),IF($X23&lt;=20,1,0))</formula>
    </cfRule>
    <cfRule type="expression" dxfId="764" priority="101">
      <formula>AND(IF($Q23=2,1,0),IF($X23&lt;30,1,0))</formula>
    </cfRule>
    <cfRule type="expression" dxfId="763" priority="102">
      <formula>AND(IF($Q23=3,1,0),IF($X23&lt;30,1,0))</formula>
    </cfRule>
    <cfRule type="expression" dxfId="762" priority="103">
      <formula>AND(IF($Q23=3,1,IF($Q23=4,1,0)),IF($F23&lt;=85,1,0))</formula>
    </cfRule>
  </conditionalFormatting>
  <conditionalFormatting sqref="AI23">
    <cfRule type="expression" dxfId="761" priority="96">
      <formula>AND(IF(OR($Q23=1,$Q23=2),1,0),IF($X23&lt;=20,1,0))</formula>
    </cfRule>
    <cfRule type="expression" dxfId="760" priority="97">
      <formula>AND(IF($Q23=2,1,0),IF($X23&lt;30,1,0))</formula>
    </cfRule>
    <cfRule type="expression" dxfId="759" priority="98">
      <formula>AND(IF($Q23=3,1,0),IF($X23&lt;30,1,0))</formula>
    </cfRule>
    <cfRule type="expression" dxfId="758" priority="99">
      <formula>AND(IF($Q23=3,1,IF($Q23=4,1,0)),IF($F23&lt;=85,1,0))</formula>
    </cfRule>
  </conditionalFormatting>
  <conditionalFormatting sqref="AV24">
    <cfRule type="expression" dxfId="757" priority="94">
      <formula>AV24="X"</formula>
    </cfRule>
    <cfRule type="expression" dxfId="756" priority="95">
      <formula>AV24="후보"</formula>
    </cfRule>
  </conditionalFormatting>
  <conditionalFormatting sqref="AC24">
    <cfRule type="cellIs" dxfId="755" priority="91" operator="greaterThan">
      <formula>0.9</formula>
    </cfRule>
    <cfRule type="cellIs" dxfId="754" priority="92" operator="greaterThan">
      <formula>0.85</formula>
    </cfRule>
  </conditionalFormatting>
  <conditionalFormatting sqref="N24">
    <cfRule type="cellIs" dxfId="753" priority="89" operator="greaterThan">
      <formula>0.9</formula>
    </cfRule>
    <cfRule type="cellIs" dxfId="752" priority="90" operator="greaterThan">
      <formula>0.85</formula>
    </cfRule>
  </conditionalFormatting>
  <conditionalFormatting sqref="E24">
    <cfRule type="expression" dxfId="751" priority="85">
      <formula>AND(IF(OR($Q24=1,$Q24=2),1,0),IF($X24&lt;=20,1,0))</formula>
    </cfRule>
    <cfRule type="expression" dxfId="750" priority="86">
      <formula>AND(IF($Q24=2,1,0),IF($X24&lt;30,1,0))</formula>
    </cfRule>
    <cfRule type="expression" dxfId="749" priority="87">
      <formula>AND(IF($Q24=3,1,0),IF($X24&lt;30,1,0))</formula>
    </cfRule>
    <cfRule type="expression" dxfId="748" priority="88">
      <formula>AND(IF($Q24=3,1,IF($Q24=4,1,0)),IF($F24&lt;=85,1,0))</formula>
    </cfRule>
  </conditionalFormatting>
  <conditionalFormatting sqref="X24">
    <cfRule type="expression" dxfId="747" priority="81">
      <formula>AND(IF(OR($Q24=1,$Q24=2),1,0),IF($X24&lt;=20,1,0))</formula>
    </cfRule>
    <cfRule type="expression" dxfId="746" priority="82">
      <formula>AND(IF($Q24=2,1,0),IF($X24&lt;30,1,0))</formula>
    </cfRule>
    <cfRule type="expression" dxfId="745" priority="83">
      <formula>AND(IF($Q24=3,1,0),IF($X24&lt;30,1,0))</formula>
    </cfRule>
    <cfRule type="expression" dxfId="744" priority="84">
      <formula>AND(IF($Q24=3,1,IF($Q24=4,1,0)),IF($F24&lt;=85,1,0))</formula>
    </cfRule>
  </conditionalFormatting>
  <conditionalFormatting sqref="AI24">
    <cfRule type="expression" dxfId="743" priority="77">
      <formula>AND(IF(OR($Q24=1,$Q24=2),1,0),IF($X24&lt;=20,1,0))</formula>
    </cfRule>
    <cfRule type="expression" dxfId="742" priority="78">
      <formula>AND(IF($Q24=2,1,0),IF($X24&lt;30,1,0))</formula>
    </cfRule>
    <cfRule type="expression" dxfId="741" priority="79">
      <formula>AND(IF($Q24=3,1,0),IF($X24&lt;30,1,0))</formula>
    </cfRule>
    <cfRule type="expression" dxfId="740" priority="80">
      <formula>AND(IF($Q24=3,1,IF($Q24=4,1,0)),IF($F24&lt;=85,1,0))</formula>
    </cfRule>
  </conditionalFormatting>
  <conditionalFormatting sqref="AV25">
    <cfRule type="expression" dxfId="739" priority="75">
      <formula>AV25="X"</formula>
    </cfRule>
    <cfRule type="expression" dxfId="738" priority="76">
      <formula>AV25="후보"</formula>
    </cfRule>
  </conditionalFormatting>
  <conditionalFormatting sqref="AC25">
    <cfRule type="cellIs" dxfId="737" priority="72" operator="greaterThan">
      <formula>0.9</formula>
    </cfRule>
    <cfRule type="cellIs" dxfId="736" priority="73" operator="greaterThan">
      <formula>0.85</formula>
    </cfRule>
  </conditionalFormatting>
  <conditionalFormatting sqref="N25">
    <cfRule type="cellIs" dxfId="735" priority="70" operator="greaterThan">
      <formula>0.9</formula>
    </cfRule>
    <cfRule type="cellIs" dxfId="734" priority="71" operator="greaterThan">
      <formula>0.85</formula>
    </cfRule>
  </conditionalFormatting>
  <conditionalFormatting sqref="E25">
    <cfRule type="expression" dxfId="733" priority="66">
      <formula>AND(IF(OR($Q25=1,$Q25=2),1,0),IF($X25&lt;=20,1,0))</formula>
    </cfRule>
    <cfRule type="expression" dxfId="732" priority="67">
      <formula>AND(IF($Q25=2,1,0),IF($X25&lt;30,1,0))</formula>
    </cfRule>
    <cfRule type="expression" dxfId="731" priority="68">
      <formula>AND(IF($Q25=3,1,0),IF($X25&lt;30,1,0))</formula>
    </cfRule>
    <cfRule type="expression" dxfId="730" priority="69">
      <formula>AND(IF($Q25=3,1,IF($Q25=4,1,0)),IF($F25&lt;=85,1,0))</formula>
    </cfRule>
  </conditionalFormatting>
  <conditionalFormatting sqref="X25">
    <cfRule type="expression" dxfId="729" priority="62">
      <formula>AND(IF(OR($Q25=1,$Q25=2),1,0),IF($X25&lt;=20,1,0))</formula>
    </cfRule>
    <cfRule type="expression" dxfId="728" priority="63">
      <formula>AND(IF($Q25=2,1,0),IF($X25&lt;30,1,0))</formula>
    </cfRule>
    <cfRule type="expression" dxfId="727" priority="64">
      <formula>AND(IF($Q25=3,1,0),IF($X25&lt;30,1,0))</formula>
    </cfRule>
    <cfRule type="expression" dxfId="726" priority="65">
      <formula>AND(IF($Q25=3,1,IF($Q25=4,1,0)),IF($F25&lt;=85,1,0))</formula>
    </cfRule>
  </conditionalFormatting>
  <conditionalFormatting sqref="AI25">
    <cfRule type="expression" dxfId="725" priority="58">
      <formula>AND(IF(OR($Q25=1,$Q25=2),1,0),IF($X25&lt;=20,1,0))</formula>
    </cfRule>
    <cfRule type="expression" dxfId="724" priority="59">
      <formula>AND(IF($Q25=2,1,0),IF($X25&lt;30,1,0))</formula>
    </cfRule>
    <cfRule type="expression" dxfId="723" priority="60">
      <formula>AND(IF($Q25=3,1,0),IF($X25&lt;30,1,0))</formula>
    </cfRule>
    <cfRule type="expression" dxfId="722" priority="61">
      <formula>AND(IF($Q25=3,1,IF($Q25=4,1,0)),IF($F25&lt;=85,1,0))</formula>
    </cfRule>
  </conditionalFormatting>
  <conditionalFormatting sqref="AV26">
    <cfRule type="expression" dxfId="721" priority="56">
      <formula>AV26="X"</formula>
    </cfRule>
    <cfRule type="expression" dxfId="720" priority="57">
      <formula>AV26="후보"</formula>
    </cfRule>
  </conditionalFormatting>
  <conditionalFormatting sqref="AC26">
    <cfRule type="cellIs" dxfId="719" priority="53" operator="greaterThan">
      <formula>0.9</formula>
    </cfRule>
    <cfRule type="cellIs" dxfId="718" priority="54" operator="greaterThan">
      <formula>0.85</formula>
    </cfRule>
  </conditionalFormatting>
  <conditionalFormatting sqref="N26">
    <cfRule type="cellIs" dxfId="717" priority="51" operator="greaterThan">
      <formula>0.9</formula>
    </cfRule>
    <cfRule type="cellIs" dxfId="716" priority="52" operator="greaterThan">
      <formula>0.85</formula>
    </cfRule>
  </conditionalFormatting>
  <conditionalFormatting sqref="E26">
    <cfRule type="expression" dxfId="715" priority="47">
      <formula>AND(IF(OR($Q26=1,$Q26=2),1,0),IF($X26&lt;=20,1,0))</formula>
    </cfRule>
    <cfRule type="expression" dxfId="714" priority="48">
      <formula>AND(IF($Q26=2,1,0),IF($X26&lt;30,1,0))</formula>
    </cfRule>
    <cfRule type="expression" dxfId="713" priority="49">
      <formula>AND(IF($Q26=3,1,0),IF($X26&lt;30,1,0))</formula>
    </cfRule>
    <cfRule type="expression" dxfId="712" priority="50">
      <formula>AND(IF($Q26=3,1,IF($Q26=4,1,0)),IF($F26&lt;=85,1,0))</formula>
    </cfRule>
  </conditionalFormatting>
  <conditionalFormatting sqref="X26">
    <cfRule type="expression" dxfId="711" priority="43">
      <formula>AND(IF(OR($Q26=1,$Q26=2),1,0),IF($X26&lt;=20,1,0))</formula>
    </cfRule>
    <cfRule type="expression" dxfId="710" priority="44">
      <formula>AND(IF($Q26=2,1,0),IF($X26&lt;30,1,0))</formula>
    </cfRule>
    <cfRule type="expression" dxfId="709" priority="45">
      <formula>AND(IF($Q26=3,1,0),IF($X26&lt;30,1,0))</formula>
    </cfRule>
    <cfRule type="expression" dxfId="708" priority="46">
      <formula>AND(IF($Q26=3,1,IF($Q26=4,1,0)),IF($F26&lt;=85,1,0))</formula>
    </cfRule>
  </conditionalFormatting>
  <conditionalFormatting sqref="AI26">
    <cfRule type="expression" dxfId="707" priority="39">
      <formula>AND(IF(OR($Q26=1,$Q26=2),1,0),IF($X26&lt;=20,1,0))</formula>
    </cfRule>
    <cfRule type="expression" dxfId="706" priority="40">
      <formula>AND(IF($Q26=2,1,0),IF($X26&lt;30,1,0))</formula>
    </cfRule>
    <cfRule type="expression" dxfId="705" priority="41">
      <formula>AND(IF($Q26=3,1,0),IF($X26&lt;30,1,0))</formula>
    </cfRule>
    <cfRule type="expression" dxfId="704" priority="42">
      <formula>AND(IF($Q26=3,1,IF($Q26=4,1,0)),IF($F26&lt;=85,1,0))</formula>
    </cfRule>
  </conditionalFormatting>
  <conditionalFormatting sqref="AV27">
    <cfRule type="expression" dxfId="703" priority="37">
      <formula>AV27="X"</formula>
    </cfRule>
    <cfRule type="expression" dxfId="702" priority="38">
      <formula>AV27="후보"</formula>
    </cfRule>
  </conditionalFormatting>
  <conditionalFormatting sqref="AC27">
    <cfRule type="cellIs" dxfId="701" priority="34" operator="greaterThan">
      <formula>0.9</formula>
    </cfRule>
    <cfRule type="cellIs" dxfId="700" priority="35" operator="greaterThan">
      <formula>0.85</formula>
    </cfRule>
  </conditionalFormatting>
  <conditionalFormatting sqref="N27">
    <cfRule type="cellIs" dxfId="699" priority="32" operator="greaterThan">
      <formula>0.9</formula>
    </cfRule>
    <cfRule type="cellIs" dxfId="698" priority="33" operator="greaterThan">
      <formula>0.85</formula>
    </cfRule>
  </conditionalFormatting>
  <conditionalFormatting sqref="E27">
    <cfRule type="expression" dxfId="697" priority="28">
      <formula>AND(IF(OR($Q27=1,$Q27=2),1,0),IF($X27&lt;=20,1,0))</formula>
    </cfRule>
    <cfRule type="expression" dxfId="696" priority="29">
      <formula>AND(IF($Q27=2,1,0),IF($X27&lt;30,1,0))</formula>
    </cfRule>
    <cfRule type="expression" dxfId="695" priority="30">
      <formula>AND(IF($Q27=3,1,0),IF($X27&lt;30,1,0))</formula>
    </cfRule>
    <cfRule type="expression" dxfId="694" priority="31">
      <formula>AND(IF($Q27=3,1,IF($Q27=4,1,0)),IF($F27&lt;=85,1,0))</formula>
    </cfRule>
  </conditionalFormatting>
  <conditionalFormatting sqref="X27">
    <cfRule type="expression" dxfId="693" priority="24">
      <formula>AND(IF(OR($Q27=1,$Q27=2),1,0),IF($X27&lt;=20,1,0))</formula>
    </cfRule>
    <cfRule type="expression" dxfId="692" priority="25">
      <formula>AND(IF($Q27=2,1,0),IF($X27&lt;30,1,0))</formula>
    </cfRule>
    <cfRule type="expression" dxfId="691" priority="26">
      <formula>AND(IF($Q27=3,1,0),IF($X27&lt;30,1,0))</formula>
    </cfRule>
    <cfRule type="expression" dxfId="690" priority="27">
      <formula>AND(IF($Q27=3,1,IF($Q27=4,1,0)),IF($F27&lt;=85,1,0))</formula>
    </cfRule>
  </conditionalFormatting>
  <conditionalFormatting sqref="AI27">
    <cfRule type="expression" dxfId="689" priority="20">
      <formula>AND(IF(OR($Q27=1,$Q27=2),1,0),IF($X27&lt;=20,1,0))</formula>
    </cfRule>
    <cfRule type="expression" dxfId="688" priority="21">
      <formula>AND(IF($Q27=2,1,0),IF($X27&lt;30,1,0))</formula>
    </cfRule>
    <cfRule type="expression" dxfId="687" priority="22">
      <formula>AND(IF($Q27=3,1,0),IF($X27&lt;30,1,0))</formula>
    </cfRule>
    <cfRule type="expression" dxfId="686" priority="23">
      <formula>AND(IF($Q27=3,1,IF($Q27=4,1,0)),IF($F27&lt;=85,1,0))</formula>
    </cfRule>
  </conditionalFormatting>
  <conditionalFormatting sqref="AV28">
    <cfRule type="expression" dxfId="685" priority="18">
      <formula>AV28="X"</formula>
    </cfRule>
    <cfRule type="expression" dxfId="684" priority="19">
      <formula>AV28="후보"</formula>
    </cfRule>
  </conditionalFormatting>
  <conditionalFormatting sqref="AC28">
    <cfRule type="cellIs" dxfId="683" priority="15" operator="greaterThan">
      <formula>0.9</formula>
    </cfRule>
    <cfRule type="cellIs" dxfId="682" priority="16" operator="greaterThan">
      <formula>0.85</formula>
    </cfRule>
  </conditionalFormatting>
  <conditionalFormatting sqref="N28">
    <cfRule type="cellIs" dxfId="681" priority="13" operator="greaterThan">
      <formula>0.9</formula>
    </cfRule>
    <cfRule type="cellIs" dxfId="680" priority="14" operator="greaterThan">
      <formula>0.85</formula>
    </cfRule>
  </conditionalFormatting>
  <conditionalFormatting sqref="E28">
    <cfRule type="expression" dxfId="679" priority="9">
      <formula>AND(IF(OR($Q28=1,$Q28=2),1,0),IF($X28&lt;=20,1,0))</formula>
    </cfRule>
    <cfRule type="expression" dxfId="678" priority="10">
      <formula>AND(IF($Q28=2,1,0),IF($X28&lt;30,1,0))</formula>
    </cfRule>
    <cfRule type="expression" dxfId="677" priority="11">
      <formula>AND(IF($Q28=3,1,0),IF($X28&lt;30,1,0))</formula>
    </cfRule>
    <cfRule type="expression" dxfId="676" priority="12">
      <formula>AND(IF($Q28=3,1,IF($Q28=4,1,0)),IF($F28&lt;=85,1,0))</formula>
    </cfRule>
  </conditionalFormatting>
  <conditionalFormatting sqref="X28">
    <cfRule type="expression" dxfId="675" priority="5">
      <formula>AND(IF(OR($Q28=1,$Q28=2),1,0),IF($X28&lt;=20,1,0))</formula>
    </cfRule>
    <cfRule type="expression" dxfId="674" priority="6">
      <formula>AND(IF($Q28=2,1,0),IF($X28&lt;30,1,0))</formula>
    </cfRule>
    <cfRule type="expression" dxfId="673" priority="7">
      <formula>AND(IF($Q28=3,1,0),IF($X28&lt;30,1,0))</formula>
    </cfRule>
    <cfRule type="expression" dxfId="672" priority="8">
      <formula>AND(IF($Q28=3,1,IF($Q28=4,1,0)),IF($F28&lt;=85,1,0))</formula>
    </cfRule>
  </conditionalFormatting>
  <conditionalFormatting sqref="AI28">
    <cfRule type="expression" dxfId="671" priority="1">
      <formula>AND(IF(OR($Q28=1,$Q28=2),1,0),IF($X28&lt;=20,1,0))</formula>
    </cfRule>
    <cfRule type="expression" dxfId="670" priority="2">
      <formula>AND(IF($Q28=2,1,0),IF($X28&lt;30,1,0))</formula>
    </cfRule>
    <cfRule type="expression" dxfId="669" priority="3">
      <formula>AND(IF($Q28=3,1,0),IF($X28&lt;30,1,0))</formula>
    </cfRule>
    <cfRule type="expression" dxfId="668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1124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신봉동 삼성(159)('92.11.,570^)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1121</v>
      </c>
      <c r="B6" s="10" t="s">
        <v>1341</v>
      </c>
      <c r="C6" s="88">
        <v>570</v>
      </c>
      <c r="D6" s="86">
        <v>92</v>
      </c>
      <c r="E6" s="87">
        <v>28</v>
      </c>
      <c r="F6" s="86">
        <v>74.099999999999994</v>
      </c>
      <c r="G6" s="17">
        <v>22</v>
      </c>
      <c r="H6" s="88">
        <v>72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1</v>
      </c>
      <c r="S6" s="79" t="s">
        <v>62</v>
      </c>
      <c r="T6" s="5">
        <v>92</v>
      </c>
      <c r="U6" s="9"/>
      <c r="W6" s="86">
        <f t="shared" ref="W6:X9" si="2">D6</f>
        <v>92</v>
      </c>
      <c r="X6" s="87">
        <f t="shared" si="2"/>
        <v>28</v>
      </c>
      <c r="Y6" s="92">
        <f t="shared" ref="Y6:Z9" si="3">H6</f>
        <v>72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3/1</v>
      </c>
      <c r="AH6" s="20" t="str">
        <f t="shared" si="1"/>
        <v>삼성(159)</v>
      </c>
      <c r="AI6" s="87">
        <f t="shared" si="0"/>
        <v>28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1121</v>
      </c>
      <c r="B7" s="10" t="s">
        <v>1341</v>
      </c>
      <c r="C7" s="88">
        <v>570</v>
      </c>
      <c r="D7" s="86">
        <v>102.3</v>
      </c>
      <c r="E7" s="87">
        <v>31</v>
      </c>
      <c r="F7" s="86">
        <v>85</v>
      </c>
      <c r="G7" s="17">
        <v>26</v>
      </c>
      <c r="H7" s="88">
        <v>210</v>
      </c>
      <c r="I7" s="89">
        <v>17000</v>
      </c>
      <c r="J7" s="89" t="s">
        <v>70</v>
      </c>
      <c r="K7" s="89"/>
      <c r="L7" s="89"/>
      <c r="M7" s="90">
        <f>I7-K7</f>
        <v>17000</v>
      </c>
      <c r="N7" s="4">
        <f>IF(ISERROR(K7/I7),"",K7/I7)</f>
        <v>0</v>
      </c>
      <c r="O7" s="91">
        <f>I7/E7</f>
        <v>548.38709677419354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186</v>
      </c>
      <c r="U7" s="9"/>
      <c r="W7" s="86">
        <f t="shared" si="2"/>
        <v>102.3</v>
      </c>
      <c r="X7" s="87">
        <f t="shared" si="2"/>
        <v>31</v>
      </c>
      <c r="Y7" s="92">
        <f t="shared" si="3"/>
        <v>210</v>
      </c>
      <c r="Z7" s="90">
        <f t="shared" si="3"/>
        <v>17000</v>
      </c>
      <c r="AA7" s="90">
        <f>K7</f>
        <v>0</v>
      </c>
      <c r="AB7" s="90">
        <f t="shared" si="4"/>
        <v>17000</v>
      </c>
      <c r="AC7" s="4">
        <f t="shared" si="4"/>
        <v>0</v>
      </c>
      <c r="AD7" s="91">
        <f t="shared" si="4"/>
        <v>548.38709677419354</v>
      </c>
      <c r="AE7" s="79" t="str">
        <f>S7</f>
        <v>계</v>
      </c>
      <c r="AF7" s="79" t="str">
        <f>Q7&amp;"/"&amp;R7</f>
        <v>3/2</v>
      </c>
      <c r="AH7" s="20" t="str">
        <f t="shared" si="1"/>
        <v>삼성(159)</v>
      </c>
      <c r="AI7" s="87">
        <f t="shared" si="0"/>
        <v>31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1121</v>
      </c>
      <c r="B8" s="10" t="s">
        <v>1341</v>
      </c>
      <c r="C8" s="88">
        <v>570</v>
      </c>
      <c r="D8" s="86">
        <v>102.4</v>
      </c>
      <c r="E8" s="87">
        <v>31</v>
      </c>
      <c r="F8" s="86">
        <v>84.9</v>
      </c>
      <c r="G8" s="17">
        <v>26</v>
      </c>
      <c r="H8" s="88">
        <v>198</v>
      </c>
      <c r="I8" s="89">
        <v>17000</v>
      </c>
      <c r="J8" s="89" t="s">
        <v>75</v>
      </c>
      <c r="K8" s="89"/>
      <c r="L8" s="89"/>
      <c r="M8" s="90">
        <f>I8-K8</f>
        <v>17000</v>
      </c>
      <c r="N8" s="4">
        <f>IF(ISERROR(K8/I8),"",K8/I8)</f>
        <v>0</v>
      </c>
      <c r="O8" s="91">
        <f>I8/E8</f>
        <v>548.38709677419354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151</v>
      </c>
      <c r="U8" s="9"/>
      <c r="W8" s="86">
        <f t="shared" si="2"/>
        <v>102.4</v>
      </c>
      <c r="X8" s="87">
        <f t="shared" si="2"/>
        <v>31</v>
      </c>
      <c r="Y8" s="92">
        <f t="shared" si="3"/>
        <v>198</v>
      </c>
      <c r="Z8" s="90">
        <f t="shared" si="3"/>
        <v>17000</v>
      </c>
      <c r="AA8" s="90">
        <f>K8</f>
        <v>0</v>
      </c>
      <c r="AB8" s="90">
        <f t="shared" si="4"/>
        <v>17000</v>
      </c>
      <c r="AC8" s="4">
        <f t="shared" si="4"/>
        <v>0</v>
      </c>
      <c r="AD8" s="91">
        <f t="shared" si="4"/>
        <v>548.38709677419354</v>
      </c>
      <c r="AE8" s="79" t="str">
        <f>S8</f>
        <v>계</v>
      </c>
      <c r="AF8" s="79" t="str">
        <f>Q8&amp;"/"&amp;R8</f>
        <v>3/2</v>
      </c>
      <c r="AH8" s="20" t="str">
        <f t="shared" si="1"/>
        <v>삼성(159)</v>
      </c>
      <c r="AI8" s="87">
        <f t="shared" si="0"/>
        <v>31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1121</v>
      </c>
      <c r="B9" s="10" t="s">
        <v>1341</v>
      </c>
      <c r="C9" s="88">
        <v>570</v>
      </c>
      <c r="D9" s="86">
        <v>150.69999999999999</v>
      </c>
      <c r="E9" s="87">
        <v>46</v>
      </c>
      <c r="F9" s="86">
        <v>129</v>
      </c>
      <c r="G9" s="17">
        <v>39</v>
      </c>
      <c r="H9" s="88">
        <v>90</v>
      </c>
      <c r="I9" s="89">
        <v>23000</v>
      </c>
      <c r="J9" s="89" t="s">
        <v>81</v>
      </c>
      <c r="K9" s="89"/>
      <c r="L9" s="89"/>
      <c r="M9" s="90">
        <f>I9-K9</f>
        <v>23000</v>
      </c>
      <c r="N9" s="4">
        <f>IF(ISERROR(K9/I9),"",K9/I9)</f>
        <v>0</v>
      </c>
      <c r="O9" s="91">
        <f>I9/E9</f>
        <v>500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150</v>
      </c>
      <c r="U9" s="9"/>
      <c r="W9" s="86">
        <f t="shared" si="2"/>
        <v>150.69999999999999</v>
      </c>
      <c r="X9" s="87">
        <f t="shared" si="2"/>
        <v>46</v>
      </c>
      <c r="Y9" s="92">
        <f t="shared" si="3"/>
        <v>90</v>
      </c>
      <c r="Z9" s="90">
        <f t="shared" si="3"/>
        <v>23000</v>
      </c>
      <c r="AA9" s="90">
        <f>K9</f>
        <v>0</v>
      </c>
      <c r="AB9" s="90">
        <f t="shared" si="4"/>
        <v>23000</v>
      </c>
      <c r="AC9" s="4">
        <f t="shared" si="4"/>
        <v>0</v>
      </c>
      <c r="AD9" s="91">
        <f t="shared" si="4"/>
        <v>500</v>
      </c>
      <c r="AE9" s="79" t="str">
        <f>S9</f>
        <v>계</v>
      </c>
      <c r="AF9" s="79" t="str">
        <f>Q9&amp;"/"&amp;R9</f>
        <v>4/2</v>
      </c>
      <c r="AH9" s="20" t="str">
        <f t="shared" si="1"/>
        <v>삼성(159)</v>
      </c>
      <c r="AI9" s="87">
        <f t="shared" si="0"/>
        <v>46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신봉동 두진백로('93.11.,244^)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1126</v>
      </c>
      <c r="B11" s="10" t="s">
        <v>1351</v>
      </c>
      <c r="C11" s="88">
        <v>244</v>
      </c>
      <c r="D11" s="86">
        <v>88.7</v>
      </c>
      <c r="E11" s="87">
        <v>27</v>
      </c>
      <c r="F11" s="86">
        <v>59.9</v>
      </c>
      <c r="G11" s="17">
        <v>18</v>
      </c>
      <c r="H11" s="88">
        <v>162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2</v>
      </c>
      <c r="R11" s="79">
        <v>1</v>
      </c>
      <c r="S11" s="79" t="s">
        <v>59</v>
      </c>
      <c r="T11" s="5">
        <v>88</v>
      </c>
      <c r="U11" s="9"/>
      <c r="W11" s="86">
        <f t="shared" ref="W11:X13" si="5">D11</f>
        <v>88.7</v>
      </c>
      <c r="X11" s="87">
        <f t="shared" si="5"/>
        <v>27</v>
      </c>
      <c r="Y11" s="92">
        <f t="shared" ref="Y11:Z13" si="6">H11</f>
        <v>162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9" t="str">
        <f>S11</f>
        <v>복</v>
      </c>
      <c r="AF11" s="79" t="str">
        <f>Q11&amp;"/"&amp;R11</f>
        <v>2/1</v>
      </c>
      <c r="AH11" s="20" t="str">
        <f t="shared" si="1"/>
        <v>두진백로</v>
      </c>
      <c r="AI11" s="87">
        <f t="shared" si="0"/>
        <v>27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1126</v>
      </c>
      <c r="B12" s="10" t="s">
        <v>1351</v>
      </c>
      <c r="C12" s="88">
        <v>244</v>
      </c>
      <c r="D12" s="86">
        <v>103.5</v>
      </c>
      <c r="E12" s="87">
        <v>31</v>
      </c>
      <c r="F12" s="86">
        <v>70</v>
      </c>
      <c r="G12" s="17">
        <v>21</v>
      </c>
      <c r="H12" s="88">
        <v>30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1</v>
      </c>
      <c r="S12" s="79" t="s">
        <v>59</v>
      </c>
      <c r="T12" s="5">
        <v>103</v>
      </c>
      <c r="U12" s="9"/>
      <c r="W12" s="86">
        <f t="shared" si="5"/>
        <v>103.5</v>
      </c>
      <c r="X12" s="87">
        <f t="shared" si="5"/>
        <v>31</v>
      </c>
      <c r="Y12" s="92">
        <f t="shared" si="6"/>
        <v>30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9" t="str">
        <f>S12</f>
        <v>복</v>
      </c>
      <c r="AF12" s="79" t="str">
        <f>Q12&amp;"/"&amp;R12</f>
        <v>3/1</v>
      </c>
      <c r="AH12" s="20" t="str">
        <f t="shared" si="1"/>
        <v>두진백로</v>
      </c>
      <c r="AI12" s="87">
        <f t="shared" si="0"/>
        <v>31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1126</v>
      </c>
      <c r="B13" s="10" t="s">
        <v>1351</v>
      </c>
      <c r="C13" s="88">
        <v>244</v>
      </c>
      <c r="D13" s="86">
        <v>115.5</v>
      </c>
      <c r="E13" s="87">
        <v>35</v>
      </c>
      <c r="F13" s="86">
        <v>84.9</v>
      </c>
      <c r="G13" s="17">
        <v>26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115</v>
      </c>
      <c r="U13" s="9"/>
      <c r="W13" s="86">
        <f t="shared" si="5"/>
        <v>115.5</v>
      </c>
      <c r="X13" s="87">
        <f t="shared" si="5"/>
        <v>35</v>
      </c>
      <c r="Y13" s="92">
        <f t="shared" si="6"/>
        <v>52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복</v>
      </c>
      <c r="AF13" s="79" t="str">
        <f>Q13&amp;"/"&amp;R13</f>
        <v>3/2</v>
      </c>
      <c r="AH13" s="20" t="str">
        <f t="shared" si="1"/>
        <v>두진백로</v>
      </c>
      <c r="AI13" s="87">
        <f t="shared" si="0"/>
        <v>35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신봉동 청주신봉우림필유('07.10.,427^)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1130</v>
      </c>
      <c r="B15" s="10" t="s">
        <v>1407</v>
      </c>
      <c r="C15" s="88">
        <v>427</v>
      </c>
      <c r="D15" s="86">
        <v>109.2</v>
      </c>
      <c r="E15" s="87">
        <v>33</v>
      </c>
      <c r="F15" s="86">
        <v>84.9</v>
      </c>
      <c r="G15" s="17">
        <v>26</v>
      </c>
      <c r="H15" s="88">
        <v>173</v>
      </c>
      <c r="I15" s="89">
        <v>26900</v>
      </c>
      <c r="J15" s="89" t="s">
        <v>75</v>
      </c>
      <c r="K15" s="89"/>
      <c r="L15" s="89"/>
      <c r="M15" s="90">
        <f>I15-K15</f>
        <v>26900</v>
      </c>
      <c r="N15" s="4">
        <f>IF(ISERROR(K15/I15),"",K15/I15)</f>
        <v>0</v>
      </c>
      <c r="O15" s="91">
        <f>I15/E15</f>
        <v>815.15151515151513</v>
      </c>
      <c r="P15" s="91">
        <f>K15/E15</f>
        <v>0</v>
      </c>
      <c r="Q15" s="79">
        <v>3</v>
      </c>
      <c r="R15" s="79">
        <v>2</v>
      </c>
      <c r="S15" s="79" t="s">
        <v>62</v>
      </c>
      <c r="T15" s="5">
        <v>109</v>
      </c>
      <c r="U15" s="9"/>
      <c r="W15" s="86">
        <f t="shared" ref="W15:X17" si="8">D15</f>
        <v>109.2</v>
      </c>
      <c r="X15" s="87">
        <f t="shared" si="8"/>
        <v>33</v>
      </c>
      <c r="Y15" s="92">
        <f t="shared" ref="Y15:Z17" si="9">H15</f>
        <v>173</v>
      </c>
      <c r="Z15" s="90">
        <f t="shared" si="9"/>
        <v>26900</v>
      </c>
      <c r="AA15" s="90">
        <f>K15</f>
        <v>0</v>
      </c>
      <c r="AB15" s="90">
        <f t="shared" ref="AB15:AD17" si="10">M15</f>
        <v>26900</v>
      </c>
      <c r="AC15" s="4">
        <f t="shared" si="10"/>
        <v>0</v>
      </c>
      <c r="AD15" s="91">
        <f t="shared" si="10"/>
        <v>815.15151515151513</v>
      </c>
      <c r="AE15" s="79" t="str">
        <f>S15</f>
        <v>계</v>
      </c>
      <c r="AF15" s="79" t="str">
        <f>Q15&amp;"/"&amp;R15</f>
        <v>3/2</v>
      </c>
      <c r="AH15" s="20" t="str">
        <f t="shared" si="1"/>
        <v>청주신봉우림필유</v>
      </c>
      <c r="AI15" s="87">
        <f t="shared" si="0"/>
        <v>33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1130</v>
      </c>
      <c r="B16" s="10" t="s">
        <v>1407</v>
      </c>
      <c r="C16" s="88">
        <v>427</v>
      </c>
      <c r="D16" s="86">
        <v>131.80000000000001</v>
      </c>
      <c r="E16" s="87">
        <v>40</v>
      </c>
      <c r="F16" s="86">
        <v>106.7</v>
      </c>
      <c r="G16" s="17">
        <v>32</v>
      </c>
      <c r="H16" s="88">
        <v>84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9">
        <v>3</v>
      </c>
      <c r="R16" s="79">
        <v>2</v>
      </c>
      <c r="S16" s="79" t="s">
        <v>62</v>
      </c>
      <c r="T16" s="5">
        <v>131</v>
      </c>
      <c r="U16" s="9"/>
      <c r="W16" s="86">
        <f t="shared" si="8"/>
        <v>131.80000000000001</v>
      </c>
      <c r="X16" s="87">
        <f t="shared" si="8"/>
        <v>40</v>
      </c>
      <c r="Y16" s="92">
        <f t="shared" si="9"/>
        <v>84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>S16</f>
        <v>계</v>
      </c>
      <c r="AF16" s="79" t="str">
        <f>Q16&amp;"/"&amp;R16</f>
        <v>3/2</v>
      </c>
      <c r="AH16" s="20" t="str">
        <f t="shared" si="1"/>
        <v>청주신봉우림필유</v>
      </c>
      <c r="AI16" s="87">
        <f t="shared" si="0"/>
        <v>40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/>
      </c>
      <c r="AP16" s="79" t="str">
        <f>IF(I16="","",IF(I16&lt;=$AP$1,"O","X"))</f>
        <v/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/>
      </c>
    </row>
    <row r="17" spans="1:48" x14ac:dyDescent="0.3">
      <c r="A17" s="9" t="s">
        <v>1130</v>
      </c>
      <c r="B17" s="10" t="s">
        <v>1407</v>
      </c>
      <c r="C17" s="88">
        <v>427</v>
      </c>
      <c r="D17" s="86">
        <v>162.19999999999999</v>
      </c>
      <c r="E17" s="87">
        <v>49</v>
      </c>
      <c r="F17" s="86">
        <v>132.30000000000001</v>
      </c>
      <c r="G17" s="17">
        <v>40</v>
      </c>
      <c r="H17" s="88">
        <v>170</v>
      </c>
      <c r="I17" s="89">
        <v>37000</v>
      </c>
      <c r="J17" s="89" t="s">
        <v>89</v>
      </c>
      <c r="K17" s="89"/>
      <c r="L17" s="89"/>
      <c r="M17" s="90">
        <f>I17-K17</f>
        <v>37000</v>
      </c>
      <c r="N17" s="4">
        <f>IF(ISERROR(K17/I17),"",K17/I17)</f>
        <v>0</v>
      </c>
      <c r="O17" s="91">
        <f>I17/E17</f>
        <v>755.10204081632651</v>
      </c>
      <c r="P17" s="91">
        <f>K17/E17</f>
        <v>0</v>
      </c>
      <c r="Q17" s="79">
        <v>4</v>
      </c>
      <c r="R17" s="79">
        <v>2</v>
      </c>
      <c r="S17" s="79" t="s">
        <v>62</v>
      </c>
      <c r="T17" s="5">
        <v>162</v>
      </c>
      <c r="U17" s="9"/>
      <c r="W17" s="86">
        <f t="shared" si="8"/>
        <v>162.19999999999999</v>
      </c>
      <c r="X17" s="87">
        <f t="shared" si="8"/>
        <v>49</v>
      </c>
      <c r="Y17" s="92">
        <f t="shared" si="9"/>
        <v>170</v>
      </c>
      <c r="Z17" s="90">
        <f t="shared" si="9"/>
        <v>37000</v>
      </c>
      <c r="AA17" s="90">
        <f>K17</f>
        <v>0</v>
      </c>
      <c r="AB17" s="90">
        <f t="shared" si="10"/>
        <v>37000</v>
      </c>
      <c r="AC17" s="4">
        <f t="shared" si="10"/>
        <v>0</v>
      </c>
      <c r="AD17" s="91">
        <f t="shared" si="10"/>
        <v>755.10204081632651</v>
      </c>
      <c r="AE17" s="79" t="str">
        <f>S17</f>
        <v>계</v>
      </c>
      <c r="AF17" s="79" t="str">
        <f>Q17&amp;"/"&amp;R17</f>
        <v>4/2</v>
      </c>
      <c r="AH17" s="20" t="str">
        <f t="shared" si="1"/>
        <v>청주신봉우림필유</v>
      </c>
      <c r="AI17" s="87">
        <f t="shared" si="0"/>
        <v>49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신봉동 한성('87.07.,290^)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1135</v>
      </c>
      <c r="B19" s="10" t="s">
        <v>1408</v>
      </c>
      <c r="C19" s="88">
        <v>290</v>
      </c>
      <c r="D19" s="86">
        <v>56.3</v>
      </c>
      <c r="E19" s="87">
        <v>17</v>
      </c>
      <c r="F19" s="86">
        <v>50.9</v>
      </c>
      <c r="G19" s="17">
        <v>15</v>
      </c>
      <c r="H19" s="88">
        <v>100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2</v>
      </c>
      <c r="R19" s="79">
        <v>1</v>
      </c>
      <c r="S19" s="79" t="s">
        <v>62</v>
      </c>
      <c r="T19" s="5">
        <v>56</v>
      </c>
      <c r="U19" s="9"/>
      <c r="W19" s="86">
        <f>D19</f>
        <v>56.3</v>
      </c>
      <c r="X19" s="87">
        <f>E19</f>
        <v>17</v>
      </c>
      <c r="Y19" s="92">
        <f>H19</f>
        <v>100</v>
      </c>
      <c r="Z19" s="90">
        <f>I19</f>
        <v>0</v>
      </c>
      <c r="AA19" s="90">
        <f>K19</f>
        <v>0</v>
      </c>
      <c r="AB19" s="90">
        <f t="shared" ref="AB19:AD20" si="11">M19</f>
        <v>0</v>
      </c>
      <c r="AC19" s="4" t="str">
        <f t="shared" si="11"/>
        <v/>
      </c>
      <c r="AD19" s="91">
        <f t="shared" si="11"/>
        <v>0</v>
      </c>
      <c r="AE19" s="79" t="str">
        <f>S19</f>
        <v>계</v>
      </c>
      <c r="AF19" s="79" t="str">
        <f>Q19&amp;"/"&amp;R19</f>
        <v>2/1</v>
      </c>
      <c r="AH19" s="20" t="str">
        <f t="shared" si="1"/>
        <v>한성</v>
      </c>
      <c r="AI19" s="87">
        <f t="shared" si="0"/>
        <v>17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1135</v>
      </c>
      <c r="B20" s="10" t="s">
        <v>1408</v>
      </c>
      <c r="C20" s="88">
        <v>290</v>
      </c>
      <c r="D20" s="86">
        <v>60</v>
      </c>
      <c r="E20" s="87">
        <v>18</v>
      </c>
      <c r="F20" s="86">
        <v>54.6</v>
      </c>
      <c r="G20" s="17">
        <v>17</v>
      </c>
      <c r="H20" s="88">
        <v>190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2</v>
      </c>
      <c r="R20" s="79">
        <v>1</v>
      </c>
      <c r="S20" s="79" t="s">
        <v>62</v>
      </c>
      <c r="T20" s="5">
        <v>60</v>
      </c>
      <c r="U20" s="9"/>
      <c r="W20" s="86">
        <f>D20</f>
        <v>60</v>
      </c>
      <c r="X20" s="87">
        <f>E20</f>
        <v>18</v>
      </c>
      <c r="Y20" s="92">
        <f>H20</f>
        <v>190</v>
      </c>
      <c r="Z20" s="90">
        <f>I20</f>
        <v>0</v>
      </c>
      <c r="AA20" s="90">
        <f>K20</f>
        <v>0</v>
      </c>
      <c r="AB20" s="90">
        <f t="shared" si="11"/>
        <v>0</v>
      </c>
      <c r="AC20" s="4" t="str">
        <f t="shared" si="11"/>
        <v/>
      </c>
      <c r="AD20" s="91">
        <f t="shared" si="11"/>
        <v>0</v>
      </c>
      <c r="AE20" s="79" t="str">
        <f>S20</f>
        <v>계</v>
      </c>
      <c r="AF20" s="79" t="str">
        <f>Q20&amp;"/"&amp;R20</f>
        <v>2/1</v>
      </c>
      <c r="AH20" s="20" t="str">
        <f t="shared" si="1"/>
        <v>한성</v>
      </c>
      <c r="AI20" s="87">
        <f t="shared" si="0"/>
        <v>18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신봉동 주공('86.11.,1200^)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1143</v>
      </c>
      <c r="B22" s="10" t="s">
        <v>1409</v>
      </c>
      <c r="C22" s="88">
        <v>1200</v>
      </c>
      <c r="D22" s="86">
        <v>44.5</v>
      </c>
      <c r="E22" s="87">
        <v>13</v>
      </c>
      <c r="F22" s="86">
        <v>39.5</v>
      </c>
      <c r="G22" s="17">
        <v>12</v>
      </c>
      <c r="H22" s="88">
        <v>5</v>
      </c>
      <c r="I22" s="89">
        <v>14000</v>
      </c>
      <c r="J22" s="89" t="s">
        <v>83</v>
      </c>
      <c r="K22" s="89"/>
      <c r="L22" s="89"/>
      <c r="M22" s="90">
        <f t="shared" ref="M22:M32" si="12">I22-K22</f>
        <v>14000</v>
      </c>
      <c r="N22" s="4">
        <f t="shared" ref="N22:N32" si="13">IF(ISERROR(K22/I22),"",K22/I22)</f>
        <v>0</v>
      </c>
      <c r="O22" s="91">
        <f t="shared" ref="O22:O32" si="14">I22/E22</f>
        <v>1076.9230769230769</v>
      </c>
      <c r="P22" s="91">
        <f t="shared" ref="P22:P32" si="15">K22/E22</f>
        <v>0</v>
      </c>
      <c r="Q22" s="79">
        <v>2</v>
      </c>
      <c r="R22" s="79">
        <v>1</v>
      </c>
      <c r="S22" s="79" t="s">
        <v>62</v>
      </c>
      <c r="T22" s="5">
        <v>44</v>
      </c>
      <c r="U22" s="9"/>
      <c r="W22" s="86">
        <f t="shared" ref="W22:W32" si="16">D22</f>
        <v>44.5</v>
      </c>
      <c r="X22" s="87">
        <f t="shared" ref="X22:X32" si="17">E22</f>
        <v>13</v>
      </c>
      <c r="Y22" s="92">
        <f t="shared" ref="Y22:Y32" si="18">H22</f>
        <v>5</v>
      </c>
      <c r="Z22" s="90">
        <f t="shared" ref="Z22:Z32" si="19">I22</f>
        <v>14000</v>
      </c>
      <c r="AA22" s="90">
        <f t="shared" ref="AA22:AA32" si="20">K22</f>
        <v>0</v>
      </c>
      <c r="AB22" s="90">
        <f t="shared" ref="AB22:AB32" si="21">M22</f>
        <v>14000</v>
      </c>
      <c r="AC22" s="4">
        <f t="shared" ref="AC22:AC32" si="22">N22</f>
        <v>0</v>
      </c>
      <c r="AD22" s="91">
        <f t="shared" ref="AD22:AD32" si="23">O22</f>
        <v>1076.9230769230769</v>
      </c>
      <c r="AE22" s="79" t="str">
        <f t="shared" ref="AE22:AE32" si="24">S22</f>
        <v>계</v>
      </c>
      <c r="AF22" s="79" t="str">
        <f t="shared" ref="AF22:AF32" si="25">Q22&amp;"/"&amp;R22</f>
        <v>2/1</v>
      </c>
      <c r="AH22" s="20" t="str">
        <f t="shared" si="1"/>
        <v>주공</v>
      </c>
      <c r="AI22" s="87">
        <f t="shared" si="0"/>
        <v>13</v>
      </c>
      <c r="AJ22" s="79" t="str">
        <f t="shared" ref="AJ22:AJ32" si="26"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 t="shared" ref="AN22:AN32" si="27">IF(AI22="","",$AN$2)</f>
        <v>C</v>
      </c>
      <c r="AO22" s="79" t="str">
        <f t="shared" ref="AO22:AO32" si="28">IF(N22="","",IF(N22&gt;=$AO$1/100,"O","X"))</f>
        <v>X</v>
      </c>
      <c r="AP22" s="79" t="str">
        <f t="shared" ref="AP22:AP32" si="29">IF(I22="","",IF(I22&lt;=$AP$1,"O","X"))</f>
        <v>O</v>
      </c>
      <c r="AQ22" s="79" t="str">
        <f t="shared" ref="AQ22:AQ32" si="30">IF(O22="","",IF(O22&lt;=$AQ$1,"O","X"))</f>
        <v>O</v>
      </c>
      <c r="AR22" s="79" t="str">
        <f t="shared" ref="AR22:AR32" si="31">IF(M22="","",IF(M22&lt;=$AR$1,"O","X"))</f>
        <v>X</v>
      </c>
      <c r="AS22" s="79" t="s">
        <v>2</v>
      </c>
      <c r="AT22" s="79" t="str">
        <f t="shared" ref="AT22:AT32" si="32">IF(OR(F22="",AI22=""),"",IF(AND((F22&lt;=85),(AI22&gt;=15)),"O","X"))</f>
        <v>X</v>
      </c>
      <c r="AU22" s="79" t="str">
        <f t="shared" ref="AU22:AU32" si="33">IF(C22="","",IF(C22&gt;=$AU$1,"O","X"))</f>
        <v>O</v>
      </c>
      <c r="AV22" s="79" t="str">
        <f t="shared" ref="AV22:AV32" si="34">IF(AO22="","",IF(AND(AO22="O",AP22="O",AR22="O",AT22="O",AU22="O"),"후보","X"))</f>
        <v>X</v>
      </c>
    </row>
    <row r="23" spans="1:48" x14ac:dyDescent="0.3">
      <c r="A23" s="9" t="s">
        <v>1143</v>
      </c>
      <c r="B23" s="10" t="s">
        <v>1409</v>
      </c>
      <c r="C23" s="88">
        <v>1200</v>
      </c>
      <c r="D23" s="86">
        <v>44.7</v>
      </c>
      <c r="E23" s="87">
        <v>14</v>
      </c>
      <c r="F23" s="86">
        <v>39.6</v>
      </c>
      <c r="G23" s="17">
        <v>12</v>
      </c>
      <c r="H23" s="88">
        <v>1</v>
      </c>
      <c r="I23" s="89"/>
      <c r="J23" s="89"/>
      <c r="K23" s="89"/>
      <c r="L23" s="89"/>
      <c r="M23" s="90">
        <f t="shared" si="12"/>
        <v>0</v>
      </c>
      <c r="N23" s="4" t="str">
        <f t="shared" si="13"/>
        <v/>
      </c>
      <c r="O23" s="91">
        <f t="shared" si="14"/>
        <v>0</v>
      </c>
      <c r="P23" s="91">
        <f t="shared" si="15"/>
        <v>0</v>
      </c>
      <c r="Q23" s="79">
        <v>2</v>
      </c>
      <c r="R23" s="79">
        <v>1</v>
      </c>
      <c r="S23" s="79" t="s">
        <v>62</v>
      </c>
      <c r="T23" s="5" t="s">
        <v>187</v>
      </c>
      <c r="U23" s="9"/>
      <c r="W23" s="86">
        <f t="shared" si="16"/>
        <v>44.7</v>
      </c>
      <c r="X23" s="87">
        <f t="shared" si="17"/>
        <v>14</v>
      </c>
      <c r="Y23" s="92">
        <f t="shared" si="18"/>
        <v>1</v>
      </c>
      <c r="Z23" s="90">
        <f t="shared" si="19"/>
        <v>0</v>
      </c>
      <c r="AA23" s="90">
        <f t="shared" si="20"/>
        <v>0</v>
      </c>
      <c r="AB23" s="90">
        <f t="shared" si="21"/>
        <v>0</v>
      </c>
      <c r="AC23" s="4" t="str">
        <f t="shared" si="22"/>
        <v/>
      </c>
      <c r="AD23" s="91">
        <f t="shared" si="23"/>
        <v>0</v>
      </c>
      <c r="AE23" s="79" t="str">
        <f t="shared" si="24"/>
        <v>계</v>
      </c>
      <c r="AF23" s="79" t="str">
        <f t="shared" si="25"/>
        <v>2/1</v>
      </c>
      <c r="AH23" s="20" t="str">
        <f t="shared" si="1"/>
        <v>주공</v>
      </c>
      <c r="AI23" s="87">
        <f t="shared" si="0"/>
        <v>14</v>
      </c>
      <c r="AJ23" s="79" t="str">
        <f t="shared" si="26"/>
        <v>A-</v>
      </c>
      <c r="AK23" s="79" t="s">
        <v>13</v>
      </c>
      <c r="AL23" s="79" t="s">
        <v>60</v>
      </c>
      <c r="AM23" s="79" t="s">
        <v>61</v>
      </c>
      <c r="AN23" s="79" t="str">
        <f t="shared" si="27"/>
        <v>C</v>
      </c>
      <c r="AO23" s="79" t="str">
        <f t="shared" si="28"/>
        <v/>
      </c>
      <c r="AP23" s="79" t="str">
        <f t="shared" si="29"/>
        <v/>
      </c>
      <c r="AQ23" s="79" t="str">
        <f t="shared" si="30"/>
        <v>O</v>
      </c>
      <c r="AR23" s="79" t="str">
        <f t="shared" si="31"/>
        <v>O</v>
      </c>
      <c r="AS23" s="79" t="s">
        <v>2</v>
      </c>
      <c r="AT23" s="79" t="str">
        <f t="shared" si="32"/>
        <v>X</v>
      </c>
      <c r="AU23" s="79" t="str">
        <f t="shared" si="33"/>
        <v>O</v>
      </c>
      <c r="AV23" s="79" t="str">
        <f t="shared" si="34"/>
        <v/>
      </c>
    </row>
    <row r="24" spans="1:48" x14ac:dyDescent="0.3">
      <c r="A24" s="9" t="s">
        <v>1143</v>
      </c>
      <c r="B24" s="10" t="s">
        <v>1409</v>
      </c>
      <c r="C24" s="88">
        <v>1200</v>
      </c>
      <c r="D24" s="86">
        <v>45.1</v>
      </c>
      <c r="E24" s="87">
        <v>14</v>
      </c>
      <c r="F24" s="86">
        <v>39.700000000000003</v>
      </c>
      <c r="G24" s="17">
        <v>12</v>
      </c>
      <c r="H24" s="88">
        <v>390</v>
      </c>
      <c r="I24" s="89">
        <v>20000</v>
      </c>
      <c r="J24" s="89" t="s">
        <v>83</v>
      </c>
      <c r="K24" s="89">
        <v>3000</v>
      </c>
      <c r="L24" s="89" t="s">
        <v>71</v>
      </c>
      <c r="M24" s="90">
        <f t="shared" si="12"/>
        <v>17000</v>
      </c>
      <c r="N24" s="4">
        <f t="shared" si="13"/>
        <v>0.15</v>
      </c>
      <c r="O24" s="91">
        <f t="shared" si="14"/>
        <v>1428.5714285714287</v>
      </c>
      <c r="P24" s="91">
        <f t="shared" si="15"/>
        <v>214.28571428571428</v>
      </c>
      <c r="Q24" s="79">
        <v>2</v>
      </c>
      <c r="R24" s="79">
        <v>1</v>
      </c>
      <c r="S24" s="79" t="s">
        <v>62</v>
      </c>
      <c r="T24" s="5" t="s">
        <v>188</v>
      </c>
      <c r="U24" s="9"/>
      <c r="W24" s="86">
        <f t="shared" si="16"/>
        <v>45.1</v>
      </c>
      <c r="X24" s="87">
        <f t="shared" si="17"/>
        <v>14</v>
      </c>
      <c r="Y24" s="92">
        <f t="shared" si="18"/>
        <v>390</v>
      </c>
      <c r="Z24" s="90">
        <f t="shared" si="19"/>
        <v>20000</v>
      </c>
      <c r="AA24" s="90">
        <f t="shared" si="20"/>
        <v>3000</v>
      </c>
      <c r="AB24" s="90">
        <f t="shared" si="21"/>
        <v>17000</v>
      </c>
      <c r="AC24" s="4">
        <f t="shared" si="22"/>
        <v>0.15</v>
      </c>
      <c r="AD24" s="91">
        <f t="shared" si="23"/>
        <v>1428.5714285714287</v>
      </c>
      <c r="AE24" s="79" t="str">
        <f t="shared" si="24"/>
        <v>계</v>
      </c>
      <c r="AF24" s="79" t="str">
        <f t="shared" si="25"/>
        <v>2/1</v>
      </c>
      <c r="AH24" s="20" t="str">
        <f t="shared" si="1"/>
        <v>주공</v>
      </c>
      <c r="AI24" s="87">
        <f t="shared" si="0"/>
        <v>14</v>
      </c>
      <c r="AJ24" s="79" t="str">
        <f t="shared" si="26"/>
        <v>A-</v>
      </c>
      <c r="AK24" s="79" t="s">
        <v>13</v>
      </c>
      <c r="AL24" s="79" t="s">
        <v>60</v>
      </c>
      <c r="AM24" s="79" t="s">
        <v>61</v>
      </c>
      <c r="AN24" s="79" t="str">
        <f t="shared" si="27"/>
        <v>C</v>
      </c>
      <c r="AO24" s="79" t="str">
        <f t="shared" si="28"/>
        <v>X</v>
      </c>
      <c r="AP24" s="79" t="str">
        <f t="shared" si="29"/>
        <v>O</v>
      </c>
      <c r="AQ24" s="79" t="str">
        <f t="shared" si="30"/>
        <v>O</v>
      </c>
      <c r="AR24" s="79" t="str">
        <f t="shared" si="31"/>
        <v>X</v>
      </c>
      <c r="AS24" s="79" t="s">
        <v>2</v>
      </c>
      <c r="AT24" s="79" t="str">
        <f t="shared" si="32"/>
        <v>X</v>
      </c>
      <c r="AU24" s="79" t="str">
        <f t="shared" si="33"/>
        <v>O</v>
      </c>
      <c r="AV24" s="79" t="str">
        <f t="shared" si="34"/>
        <v>X</v>
      </c>
    </row>
    <row r="25" spans="1:48" x14ac:dyDescent="0.3">
      <c r="A25" s="9" t="s">
        <v>1143</v>
      </c>
      <c r="B25" s="10" t="s">
        <v>1409</v>
      </c>
      <c r="C25" s="88">
        <v>1200</v>
      </c>
      <c r="D25" s="86">
        <v>52.5</v>
      </c>
      <c r="E25" s="87">
        <v>16</v>
      </c>
      <c r="F25" s="86">
        <v>47.1</v>
      </c>
      <c r="G25" s="17">
        <v>14</v>
      </c>
      <c r="H25" s="88">
        <v>151</v>
      </c>
      <c r="I25" s="89">
        <v>9800</v>
      </c>
      <c r="J25" s="89" t="s">
        <v>83</v>
      </c>
      <c r="K25" s="89"/>
      <c r="L25" s="89"/>
      <c r="M25" s="90">
        <f t="shared" si="12"/>
        <v>9800</v>
      </c>
      <c r="N25" s="4">
        <f t="shared" si="13"/>
        <v>0</v>
      </c>
      <c r="O25" s="91">
        <f t="shared" si="14"/>
        <v>612.5</v>
      </c>
      <c r="P25" s="91">
        <f t="shared" si="15"/>
        <v>0</v>
      </c>
      <c r="Q25" s="79">
        <v>2</v>
      </c>
      <c r="R25" s="79">
        <v>1</v>
      </c>
      <c r="S25" s="79" t="s">
        <v>62</v>
      </c>
      <c r="T25" s="5" t="s">
        <v>167</v>
      </c>
      <c r="U25" s="9"/>
      <c r="W25" s="86">
        <f t="shared" si="16"/>
        <v>52.5</v>
      </c>
      <c r="X25" s="87">
        <f t="shared" si="17"/>
        <v>16</v>
      </c>
      <c r="Y25" s="92">
        <f t="shared" si="18"/>
        <v>151</v>
      </c>
      <c r="Z25" s="90">
        <f t="shared" si="19"/>
        <v>9800</v>
      </c>
      <c r="AA25" s="90">
        <f t="shared" si="20"/>
        <v>0</v>
      </c>
      <c r="AB25" s="90">
        <f t="shared" si="21"/>
        <v>9800</v>
      </c>
      <c r="AC25" s="4">
        <f t="shared" si="22"/>
        <v>0</v>
      </c>
      <c r="AD25" s="91">
        <f t="shared" si="23"/>
        <v>612.5</v>
      </c>
      <c r="AE25" s="79" t="str">
        <f t="shared" si="24"/>
        <v>계</v>
      </c>
      <c r="AF25" s="79" t="str">
        <f t="shared" si="25"/>
        <v>2/1</v>
      </c>
      <c r="AH25" s="20" t="str">
        <f t="shared" si="1"/>
        <v>주공</v>
      </c>
      <c r="AI25" s="87">
        <f t="shared" si="0"/>
        <v>16</v>
      </c>
      <c r="AJ25" s="79" t="str">
        <f t="shared" si="26"/>
        <v>A-</v>
      </c>
      <c r="AK25" s="79" t="s">
        <v>13</v>
      </c>
      <c r="AL25" s="79" t="s">
        <v>60</v>
      </c>
      <c r="AM25" s="79" t="s">
        <v>61</v>
      </c>
      <c r="AN25" s="79" t="str">
        <f t="shared" si="27"/>
        <v>C</v>
      </c>
      <c r="AO25" s="79" t="str">
        <f t="shared" si="28"/>
        <v>X</v>
      </c>
      <c r="AP25" s="79" t="str">
        <f t="shared" si="29"/>
        <v>O</v>
      </c>
      <c r="AQ25" s="79" t="str">
        <f t="shared" si="30"/>
        <v>O</v>
      </c>
      <c r="AR25" s="79" t="str">
        <f t="shared" si="31"/>
        <v>X</v>
      </c>
      <c r="AS25" s="79" t="s">
        <v>2</v>
      </c>
      <c r="AT25" s="79" t="str">
        <f t="shared" si="32"/>
        <v>O</v>
      </c>
      <c r="AU25" s="79" t="str">
        <f t="shared" si="33"/>
        <v>O</v>
      </c>
      <c r="AV25" s="79" t="str">
        <f t="shared" si="34"/>
        <v>X</v>
      </c>
    </row>
    <row r="26" spans="1:48" x14ac:dyDescent="0.3">
      <c r="A26" s="9" t="s">
        <v>1143</v>
      </c>
      <c r="B26" s="10" t="s">
        <v>1409</v>
      </c>
      <c r="C26" s="88">
        <v>1200</v>
      </c>
      <c r="D26" s="86">
        <v>52.1</v>
      </c>
      <c r="E26" s="87">
        <v>16</v>
      </c>
      <c r="F26" s="86">
        <v>46.7</v>
      </c>
      <c r="G26" s="17">
        <v>14</v>
      </c>
      <c r="H26" s="88">
        <v>80</v>
      </c>
      <c r="I26" s="89">
        <v>9800</v>
      </c>
      <c r="J26" s="89" t="s">
        <v>83</v>
      </c>
      <c r="K26" s="89"/>
      <c r="L26" s="89"/>
      <c r="M26" s="90">
        <f t="shared" si="12"/>
        <v>9800</v>
      </c>
      <c r="N26" s="4">
        <f t="shared" si="13"/>
        <v>0</v>
      </c>
      <c r="O26" s="91">
        <f t="shared" si="14"/>
        <v>612.5</v>
      </c>
      <c r="P26" s="91">
        <f t="shared" si="15"/>
        <v>0</v>
      </c>
      <c r="Q26" s="79">
        <v>2</v>
      </c>
      <c r="R26" s="79">
        <v>1</v>
      </c>
      <c r="S26" s="79" t="s">
        <v>62</v>
      </c>
      <c r="T26" s="5" t="s">
        <v>189</v>
      </c>
      <c r="U26" s="9"/>
      <c r="W26" s="86">
        <f t="shared" si="16"/>
        <v>52.1</v>
      </c>
      <c r="X26" s="87">
        <f t="shared" si="17"/>
        <v>16</v>
      </c>
      <c r="Y26" s="92">
        <f t="shared" si="18"/>
        <v>80</v>
      </c>
      <c r="Z26" s="90">
        <f t="shared" si="19"/>
        <v>9800</v>
      </c>
      <c r="AA26" s="90">
        <f t="shared" si="20"/>
        <v>0</v>
      </c>
      <c r="AB26" s="90">
        <f t="shared" si="21"/>
        <v>9800</v>
      </c>
      <c r="AC26" s="4">
        <f t="shared" si="22"/>
        <v>0</v>
      </c>
      <c r="AD26" s="91">
        <f t="shared" si="23"/>
        <v>612.5</v>
      </c>
      <c r="AE26" s="79" t="str">
        <f t="shared" si="24"/>
        <v>계</v>
      </c>
      <c r="AF26" s="79" t="str">
        <f t="shared" si="25"/>
        <v>2/1</v>
      </c>
      <c r="AH26" s="20" t="str">
        <f t="shared" si="1"/>
        <v>주공</v>
      </c>
      <c r="AI26" s="87">
        <f t="shared" si="0"/>
        <v>16</v>
      </c>
      <c r="AJ26" s="79" t="str">
        <f t="shared" si="26"/>
        <v>A-</v>
      </c>
      <c r="AK26" s="79" t="s">
        <v>13</v>
      </c>
      <c r="AL26" s="79" t="s">
        <v>60</v>
      </c>
      <c r="AM26" s="79" t="s">
        <v>61</v>
      </c>
      <c r="AN26" s="79" t="str">
        <f t="shared" si="27"/>
        <v>C</v>
      </c>
      <c r="AO26" s="79" t="str">
        <f t="shared" si="28"/>
        <v>X</v>
      </c>
      <c r="AP26" s="79" t="str">
        <f t="shared" si="29"/>
        <v>O</v>
      </c>
      <c r="AQ26" s="79" t="str">
        <f t="shared" si="30"/>
        <v>O</v>
      </c>
      <c r="AR26" s="79" t="str">
        <f t="shared" si="31"/>
        <v>X</v>
      </c>
      <c r="AS26" s="79" t="s">
        <v>2</v>
      </c>
      <c r="AT26" s="79" t="str">
        <f t="shared" si="32"/>
        <v>O</v>
      </c>
      <c r="AU26" s="79" t="str">
        <f t="shared" si="33"/>
        <v>O</v>
      </c>
      <c r="AV26" s="79" t="str">
        <f t="shared" si="34"/>
        <v>X</v>
      </c>
    </row>
    <row r="27" spans="1:48" x14ac:dyDescent="0.3">
      <c r="A27" s="9" t="s">
        <v>1143</v>
      </c>
      <c r="B27" s="10" t="s">
        <v>1409</v>
      </c>
      <c r="C27" s="88">
        <v>1200</v>
      </c>
      <c r="D27" s="86">
        <v>52.8</v>
      </c>
      <c r="E27" s="87">
        <v>16</v>
      </c>
      <c r="F27" s="86">
        <v>46.8</v>
      </c>
      <c r="G27" s="17">
        <v>14</v>
      </c>
      <c r="H27" s="88">
        <v>4</v>
      </c>
      <c r="I27" s="89"/>
      <c r="J27" s="89"/>
      <c r="K27" s="89"/>
      <c r="L27" s="89"/>
      <c r="M27" s="90">
        <f t="shared" si="12"/>
        <v>0</v>
      </c>
      <c r="N27" s="4" t="str">
        <f t="shared" si="13"/>
        <v/>
      </c>
      <c r="O27" s="91">
        <f t="shared" si="14"/>
        <v>0</v>
      </c>
      <c r="P27" s="91">
        <f t="shared" si="15"/>
        <v>0</v>
      </c>
      <c r="Q27" s="79">
        <v>2</v>
      </c>
      <c r="R27" s="79">
        <v>1</v>
      </c>
      <c r="S27" s="79" t="s">
        <v>62</v>
      </c>
      <c r="T27" s="5" t="s">
        <v>168</v>
      </c>
      <c r="U27" s="9"/>
      <c r="W27" s="86">
        <f t="shared" si="16"/>
        <v>52.8</v>
      </c>
      <c r="X27" s="87">
        <f t="shared" si="17"/>
        <v>16</v>
      </c>
      <c r="Y27" s="92">
        <f t="shared" si="18"/>
        <v>4</v>
      </c>
      <c r="Z27" s="90">
        <f t="shared" si="19"/>
        <v>0</v>
      </c>
      <c r="AA27" s="90">
        <f t="shared" si="20"/>
        <v>0</v>
      </c>
      <c r="AB27" s="90">
        <f t="shared" si="21"/>
        <v>0</v>
      </c>
      <c r="AC27" s="4" t="str">
        <f t="shared" si="22"/>
        <v/>
      </c>
      <c r="AD27" s="91">
        <f t="shared" si="23"/>
        <v>0</v>
      </c>
      <c r="AE27" s="79" t="str">
        <f t="shared" si="24"/>
        <v>계</v>
      </c>
      <c r="AF27" s="79" t="str">
        <f t="shared" si="25"/>
        <v>2/1</v>
      </c>
      <c r="AH27" s="20" t="str">
        <f t="shared" si="1"/>
        <v>주공</v>
      </c>
      <c r="AI27" s="87">
        <f t="shared" si="0"/>
        <v>16</v>
      </c>
      <c r="AJ27" s="79" t="str">
        <f t="shared" si="26"/>
        <v>A-</v>
      </c>
      <c r="AK27" s="79" t="s">
        <v>13</v>
      </c>
      <c r="AL27" s="79" t="s">
        <v>60</v>
      </c>
      <c r="AM27" s="79" t="s">
        <v>61</v>
      </c>
      <c r="AN27" s="79" t="str">
        <f t="shared" si="27"/>
        <v>C</v>
      </c>
      <c r="AO27" s="79" t="str">
        <f t="shared" si="28"/>
        <v/>
      </c>
      <c r="AP27" s="79" t="str">
        <f t="shared" si="29"/>
        <v/>
      </c>
      <c r="AQ27" s="79" t="str">
        <f t="shared" si="30"/>
        <v>O</v>
      </c>
      <c r="AR27" s="79" t="str">
        <f t="shared" si="31"/>
        <v>O</v>
      </c>
      <c r="AS27" s="79" t="s">
        <v>2</v>
      </c>
      <c r="AT27" s="79" t="str">
        <f t="shared" si="32"/>
        <v>O</v>
      </c>
      <c r="AU27" s="79" t="str">
        <f t="shared" si="33"/>
        <v>O</v>
      </c>
      <c r="AV27" s="79" t="str">
        <f t="shared" si="34"/>
        <v/>
      </c>
    </row>
    <row r="28" spans="1:48" x14ac:dyDescent="0.3">
      <c r="A28" s="9" t="s">
        <v>1143</v>
      </c>
      <c r="B28" s="10" t="s">
        <v>1409</v>
      </c>
      <c r="C28" s="88">
        <v>1200</v>
      </c>
      <c r="D28" s="86">
        <v>58.9</v>
      </c>
      <c r="E28" s="87">
        <v>18</v>
      </c>
      <c r="F28" s="86">
        <v>53.9</v>
      </c>
      <c r="G28" s="17">
        <v>16</v>
      </c>
      <c r="H28" s="88">
        <v>306</v>
      </c>
      <c r="I28" s="89">
        <v>17500</v>
      </c>
      <c r="J28" s="89" t="s">
        <v>71</v>
      </c>
      <c r="K28" s="89">
        <v>8000</v>
      </c>
      <c r="L28" s="89" t="s">
        <v>89</v>
      </c>
      <c r="M28" s="90">
        <f t="shared" si="12"/>
        <v>9500</v>
      </c>
      <c r="N28" s="4">
        <f t="shared" si="13"/>
        <v>0.45714285714285713</v>
      </c>
      <c r="O28" s="91">
        <f t="shared" si="14"/>
        <v>972.22222222222217</v>
      </c>
      <c r="P28" s="91">
        <f t="shared" si="15"/>
        <v>444.44444444444446</v>
      </c>
      <c r="Q28" s="79">
        <v>2</v>
      </c>
      <c r="R28" s="79">
        <v>1</v>
      </c>
      <c r="S28" s="79" t="s">
        <v>62</v>
      </c>
      <c r="T28" s="5" t="s">
        <v>190</v>
      </c>
      <c r="U28" s="9"/>
      <c r="W28" s="86">
        <f t="shared" si="16"/>
        <v>58.9</v>
      </c>
      <c r="X28" s="87">
        <f t="shared" si="17"/>
        <v>18</v>
      </c>
      <c r="Y28" s="92">
        <f t="shared" si="18"/>
        <v>306</v>
      </c>
      <c r="Z28" s="90">
        <f t="shared" si="19"/>
        <v>17500</v>
      </c>
      <c r="AA28" s="90">
        <f t="shared" si="20"/>
        <v>8000</v>
      </c>
      <c r="AB28" s="90">
        <f t="shared" si="21"/>
        <v>9500</v>
      </c>
      <c r="AC28" s="4">
        <f t="shared" si="22"/>
        <v>0.45714285714285713</v>
      </c>
      <c r="AD28" s="91">
        <f t="shared" si="23"/>
        <v>972.22222222222217</v>
      </c>
      <c r="AE28" s="79" t="str">
        <f t="shared" si="24"/>
        <v>계</v>
      </c>
      <c r="AF28" s="79" t="str">
        <f t="shared" si="25"/>
        <v>2/1</v>
      </c>
      <c r="AH28" s="20" t="str">
        <f t="shared" si="1"/>
        <v>주공</v>
      </c>
      <c r="AI28" s="87">
        <f t="shared" si="0"/>
        <v>18</v>
      </c>
      <c r="AJ28" s="79" t="str">
        <f t="shared" si="26"/>
        <v>A-</v>
      </c>
      <c r="AK28" s="79" t="s">
        <v>13</v>
      </c>
      <c r="AL28" s="79" t="s">
        <v>60</v>
      </c>
      <c r="AM28" s="79" t="s">
        <v>61</v>
      </c>
      <c r="AN28" s="79" t="str">
        <f t="shared" si="27"/>
        <v>C</v>
      </c>
      <c r="AO28" s="79" t="str">
        <f t="shared" si="28"/>
        <v>X</v>
      </c>
      <c r="AP28" s="79" t="str">
        <f t="shared" si="29"/>
        <v>O</v>
      </c>
      <c r="AQ28" s="79" t="str">
        <f t="shared" si="30"/>
        <v>O</v>
      </c>
      <c r="AR28" s="79" t="str">
        <f t="shared" si="31"/>
        <v>X</v>
      </c>
      <c r="AS28" s="79" t="s">
        <v>2</v>
      </c>
      <c r="AT28" s="79" t="str">
        <f t="shared" si="32"/>
        <v>O</v>
      </c>
      <c r="AU28" s="79" t="str">
        <f t="shared" si="33"/>
        <v>O</v>
      </c>
      <c r="AV28" s="79" t="str">
        <f t="shared" si="34"/>
        <v>X</v>
      </c>
    </row>
    <row r="29" spans="1:48" x14ac:dyDescent="0.3">
      <c r="A29" s="9" t="s">
        <v>1143</v>
      </c>
      <c r="B29" s="10" t="s">
        <v>1409</v>
      </c>
      <c r="C29" s="88">
        <v>1200</v>
      </c>
      <c r="D29" s="86">
        <v>59.4</v>
      </c>
      <c r="E29" s="87">
        <v>18</v>
      </c>
      <c r="F29" s="86">
        <v>54</v>
      </c>
      <c r="G29" s="17">
        <v>16</v>
      </c>
      <c r="H29" s="88">
        <v>2</v>
      </c>
      <c r="I29" s="89">
        <v>18200</v>
      </c>
      <c r="J29" s="89" t="s">
        <v>83</v>
      </c>
      <c r="K29" s="89"/>
      <c r="L29" s="89"/>
      <c r="M29" s="90">
        <f t="shared" si="12"/>
        <v>18200</v>
      </c>
      <c r="N29" s="4">
        <f t="shared" si="13"/>
        <v>0</v>
      </c>
      <c r="O29" s="91">
        <f t="shared" si="14"/>
        <v>1011.1111111111111</v>
      </c>
      <c r="P29" s="91">
        <f t="shared" si="15"/>
        <v>0</v>
      </c>
      <c r="Q29" s="79">
        <v>2</v>
      </c>
      <c r="R29" s="79">
        <v>1</v>
      </c>
      <c r="S29" s="79" t="s">
        <v>62</v>
      </c>
      <c r="T29" s="5" t="s">
        <v>169</v>
      </c>
      <c r="U29" s="9"/>
      <c r="W29" s="86">
        <f t="shared" si="16"/>
        <v>59.4</v>
      </c>
      <c r="X29" s="87">
        <f t="shared" si="17"/>
        <v>18</v>
      </c>
      <c r="Y29" s="92">
        <f t="shared" si="18"/>
        <v>2</v>
      </c>
      <c r="Z29" s="90">
        <f t="shared" si="19"/>
        <v>18200</v>
      </c>
      <c r="AA29" s="90">
        <f t="shared" si="20"/>
        <v>0</v>
      </c>
      <c r="AB29" s="90">
        <f t="shared" si="21"/>
        <v>18200</v>
      </c>
      <c r="AC29" s="4">
        <f t="shared" si="22"/>
        <v>0</v>
      </c>
      <c r="AD29" s="91">
        <f t="shared" si="23"/>
        <v>1011.1111111111111</v>
      </c>
      <c r="AE29" s="79" t="str">
        <f t="shared" si="24"/>
        <v>계</v>
      </c>
      <c r="AF29" s="79" t="str">
        <f t="shared" si="25"/>
        <v>2/1</v>
      </c>
      <c r="AH29" s="20" t="str">
        <f t="shared" si="1"/>
        <v>주공</v>
      </c>
      <c r="AI29" s="87">
        <f t="shared" si="0"/>
        <v>18</v>
      </c>
      <c r="AJ29" s="79" t="str">
        <f t="shared" si="26"/>
        <v>A-</v>
      </c>
      <c r="AK29" s="79" t="s">
        <v>13</v>
      </c>
      <c r="AL29" s="79" t="s">
        <v>60</v>
      </c>
      <c r="AM29" s="79" t="s">
        <v>61</v>
      </c>
      <c r="AN29" s="79" t="str">
        <f t="shared" si="27"/>
        <v>C</v>
      </c>
      <c r="AO29" s="79" t="str">
        <f t="shared" si="28"/>
        <v>X</v>
      </c>
      <c r="AP29" s="79" t="str">
        <f t="shared" si="29"/>
        <v>O</v>
      </c>
      <c r="AQ29" s="79" t="str">
        <f t="shared" si="30"/>
        <v>O</v>
      </c>
      <c r="AR29" s="79" t="str">
        <f t="shared" si="31"/>
        <v>X</v>
      </c>
      <c r="AS29" s="79" t="s">
        <v>2</v>
      </c>
      <c r="AT29" s="79" t="str">
        <f t="shared" si="32"/>
        <v>O</v>
      </c>
      <c r="AU29" s="79" t="str">
        <f t="shared" si="33"/>
        <v>O</v>
      </c>
      <c r="AV29" s="79" t="str">
        <f t="shared" si="34"/>
        <v>X</v>
      </c>
    </row>
    <row r="30" spans="1:48" x14ac:dyDescent="0.3">
      <c r="A30" s="9" t="s">
        <v>1143</v>
      </c>
      <c r="B30" s="10" t="s">
        <v>1409</v>
      </c>
      <c r="C30" s="88">
        <v>1200</v>
      </c>
      <c r="D30" s="86">
        <v>59.4</v>
      </c>
      <c r="E30" s="87">
        <v>18</v>
      </c>
      <c r="F30" s="86">
        <v>54</v>
      </c>
      <c r="G30" s="17">
        <v>16</v>
      </c>
      <c r="H30" s="88">
        <v>2</v>
      </c>
      <c r="I30" s="89">
        <v>18200</v>
      </c>
      <c r="J30" s="89" t="s">
        <v>83</v>
      </c>
      <c r="K30" s="89"/>
      <c r="L30" s="89"/>
      <c r="M30" s="90">
        <f t="shared" si="12"/>
        <v>18200</v>
      </c>
      <c r="N30" s="4">
        <f t="shared" si="13"/>
        <v>0</v>
      </c>
      <c r="O30" s="91">
        <f t="shared" si="14"/>
        <v>1011.1111111111111</v>
      </c>
      <c r="P30" s="91">
        <f t="shared" si="15"/>
        <v>0</v>
      </c>
      <c r="Q30" s="79">
        <v>2</v>
      </c>
      <c r="R30" s="79">
        <v>1</v>
      </c>
      <c r="S30" s="79" t="s">
        <v>62</v>
      </c>
      <c r="T30" s="5" t="s">
        <v>171</v>
      </c>
      <c r="U30" s="9"/>
      <c r="W30" s="86">
        <f t="shared" si="16"/>
        <v>59.4</v>
      </c>
      <c r="X30" s="87">
        <f t="shared" si="17"/>
        <v>18</v>
      </c>
      <c r="Y30" s="92">
        <f t="shared" si="18"/>
        <v>2</v>
      </c>
      <c r="Z30" s="90">
        <f t="shared" si="19"/>
        <v>18200</v>
      </c>
      <c r="AA30" s="90">
        <f t="shared" si="20"/>
        <v>0</v>
      </c>
      <c r="AB30" s="90">
        <f t="shared" si="21"/>
        <v>18200</v>
      </c>
      <c r="AC30" s="4">
        <f t="shared" si="22"/>
        <v>0</v>
      </c>
      <c r="AD30" s="91">
        <f t="shared" si="23"/>
        <v>1011.1111111111111</v>
      </c>
      <c r="AE30" s="79" t="str">
        <f t="shared" si="24"/>
        <v>계</v>
      </c>
      <c r="AF30" s="79" t="str">
        <f t="shared" si="25"/>
        <v>2/1</v>
      </c>
      <c r="AH30" s="20" t="str">
        <f t="shared" si="1"/>
        <v>주공</v>
      </c>
      <c r="AI30" s="87">
        <f t="shared" si="0"/>
        <v>18</v>
      </c>
      <c r="AJ30" s="79" t="str">
        <f t="shared" si="26"/>
        <v>A-</v>
      </c>
      <c r="AK30" s="79" t="s">
        <v>13</v>
      </c>
      <c r="AL30" s="79" t="s">
        <v>60</v>
      </c>
      <c r="AM30" s="79" t="s">
        <v>61</v>
      </c>
      <c r="AN30" s="79" t="str">
        <f t="shared" si="27"/>
        <v>C</v>
      </c>
      <c r="AO30" s="79" t="str">
        <f t="shared" si="28"/>
        <v>X</v>
      </c>
      <c r="AP30" s="79" t="str">
        <f t="shared" si="29"/>
        <v>O</v>
      </c>
      <c r="AQ30" s="79" t="str">
        <f t="shared" si="30"/>
        <v>O</v>
      </c>
      <c r="AR30" s="79" t="str">
        <f t="shared" si="31"/>
        <v>X</v>
      </c>
      <c r="AS30" s="79" t="s">
        <v>2</v>
      </c>
      <c r="AT30" s="79" t="str">
        <f t="shared" si="32"/>
        <v>O</v>
      </c>
      <c r="AU30" s="79" t="str">
        <f t="shared" si="33"/>
        <v>O</v>
      </c>
      <c r="AV30" s="79" t="str">
        <f t="shared" si="34"/>
        <v>X</v>
      </c>
    </row>
    <row r="31" spans="1:48" x14ac:dyDescent="0.3">
      <c r="A31" s="9" t="s">
        <v>1143</v>
      </c>
      <c r="B31" s="10" t="s">
        <v>1409</v>
      </c>
      <c r="C31" s="88">
        <v>1200</v>
      </c>
      <c r="D31" s="86">
        <v>67.5</v>
      </c>
      <c r="E31" s="87">
        <v>20</v>
      </c>
      <c r="F31" s="86">
        <v>61.8</v>
      </c>
      <c r="G31" s="17">
        <v>19</v>
      </c>
      <c r="H31" s="88">
        <v>246</v>
      </c>
      <c r="I31" s="89">
        <v>20000</v>
      </c>
      <c r="J31" s="89" t="s">
        <v>83</v>
      </c>
      <c r="K31" s="89"/>
      <c r="L31" s="89"/>
      <c r="M31" s="90">
        <f t="shared" si="12"/>
        <v>20000</v>
      </c>
      <c r="N31" s="4">
        <f t="shared" si="13"/>
        <v>0</v>
      </c>
      <c r="O31" s="91">
        <f t="shared" si="14"/>
        <v>1000</v>
      </c>
      <c r="P31" s="91">
        <f t="shared" si="15"/>
        <v>0</v>
      </c>
      <c r="Q31" s="79">
        <v>3</v>
      </c>
      <c r="R31" s="79">
        <v>1</v>
      </c>
      <c r="S31" s="79" t="s">
        <v>62</v>
      </c>
      <c r="T31" s="5" t="s">
        <v>191</v>
      </c>
      <c r="U31" s="9"/>
      <c r="W31" s="86">
        <f t="shared" si="16"/>
        <v>67.5</v>
      </c>
      <c r="X31" s="87">
        <f t="shared" si="17"/>
        <v>20</v>
      </c>
      <c r="Y31" s="92">
        <f t="shared" si="18"/>
        <v>246</v>
      </c>
      <c r="Z31" s="90">
        <f t="shared" si="19"/>
        <v>20000</v>
      </c>
      <c r="AA31" s="90">
        <f t="shared" si="20"/>
        <v>0</v>
      </c>
      <c r="AB31" s="90">
        <f t="shared" si="21"/>
        <v>20000</v>
      </c>
      <c r="AC31" s="4">
        <f t="shared" si="22"/>
        <v>0</v>
      </c>
      <c r="AD31" s="91">
        <f t="shared" si="23"/>
        <v>1000</v>
      </c>
      <c r="AE31" s="79" t="str">
        <f t="shared" si="24"/>
        <v>계</v>
      </c>
      <c r="AF31" s="79" t="str">
        <f t="shared" si="25"/>
        <v>3/1</v>
      </c>
      <c r="AH31" s="20" t="str">
        <f t="shared" si="1"/>
        <v>주공</v>
      </c>
      <c r="AI31" s="87">
        <f t="shared" si="0"/>
        <v>20</v>
      </c>
      <c r="AJ31" s="79" t="str">
        <f t="shared" si="26"/>
        <v>A-</v>
      </c>
      <c r="AK31" s="79" t="s">
        <v>13</v>
      </c>
      <c r="AL31" s="79" t="s">
        <v>60</v>
      </c>
      <c r="AM31" s="79" t="s">
        <v>61</v>
      </c>
      <c r="AN31" s="79" t="str">
        <f t="shared" si="27"/>
        <v>C</v>
      </c>
      <c r="AO31" s="79" t="str">
        <f t="shared" si="28"/>
        <v>X</v>
      </c>
      <c r="AP31" s="79" t="str">
        <f t="shared" si="29"/>
        <v>O</v>
      </c>
      <c r="AQ31" s="79" t="str">
        <f t="shared" si="30"/>
        <v>O</v>
      </c>
      <c r="AR31" s="79" t="str">
        <f t="shared" si="31"/>
        <v>X</v>
      </c>
      <c r="AS31" s="79" t="s">
        <v>2</v>
      </c>
      <c r="AT31" s="79" t="str">
        <f t="shared" si="32"/>
        <v>O</v>
      </c>
      <c r="AU31" s="79" t="str">
        <f t="shared" si="33"/>
        <v>O</v>
      </c>
      <c r="AV31" s="79" t="str">
        <f t="shared" si="34"/>
        <v>X</v>
      </c>
    </row>
    <row r="32" spans="1:48" x14ac:dyDescent="0.3">
      <c r="A32" s="9" t="s">
        <v>1143</v>
      </c>
      <c r="B32" s="10" t="s">
        <v>1409</v>
      </c>
      <c r="C32" s="88">
        <v>1200</v>
      </c>
      <c r="D32" s="86">
        <v>67.900000000000006</v>
      </c>
      <c r="E32" s="87">
        <v>21</v>
      </c>
      <c r="F32" s="86">
        <v>61.7</v>
      </c>
      <c r="G32" s="17">
        <v>19</v>
      </c>
      <c r="H32" s="88">
        <v>13</v>
      </c>
      <c r="I32" s="89"/>
      <c r="J32" s="89"/>
      <c r="K32" s="89"/>
      <c r="L32" s="89"/>
      <c r="M32" s="90">
        <f t="shared" si="12"/>
        <v>0</v>
      </c>
      <c r="N32" s="4" t="str">
        <f t="shared" si="13"/>
        <v/>
      </c>
      <c r="O32" s="91">
        <f t="shared" si="14"/>
        <v>0</v>
      </c>
      <c r="P32" s="91">
        <f t="shared" si="15"/>
        <v>0</v>
      </c>
      <c r="Q32" s="79">
        <v>3</v>
      </c>
      <c r="R32" s="79">
        <v>1</v>
      </c>
      <c r="S32" s="79" t="s">
        <v>62</v>
      </c>
      <c r="T32" s="5" t="s">
        <v>192</v>
      </c>
      <c r="U32" s="9"/>
      <c r="W32" s="86">
        <f t="shared" si="16"/>
        <v>67.900000000000006</v>
      </c>
      <c r="X32" s="87">
        <f t="shared" si="17"/>
        <v>21</v>
      </c>
      <c r="Y32" s="92">
        <f t="shared" si="18"/>
        <v>13</v>
      </c>
      <c r="Z32" s="90">
        <f t="shared" si="19"/>
        <v>0</v>
      </c>
      <c r="AA32" s="90">
        <f t="shared" si="20"/>
        <v>0</v>
      </c>
      <c r="AB32" s="90">
        <f t="shared" si="21"/>
        <v>0</v>
      </c>
      <c r="AC32" s="4" t="str">
        <f t="shared" si="22"/>
        <v/>
      </c>
      <c r="AD32" s="91">
        <f t="shared" si="23"/>
        <v>0</v>
      </c>
      <c r="AE32" s="79" t="str">
        <f t="shared" si="24"/>
        <v>계</v>
      </c>
      <c r="AF32" s="79" t="str">
        <f t="shared" si="25"/>
        <v>3/1</v>
      </c>
      <c r="AH32" s="20" t="str">
        <f t="shared" si="1"/>
        <v>주공</v>
      </c>
      <c r="AI32" s="87">
        <f t="shared" si="0"/>
        <v>21</v>
      </c>
      <c r="AJ32" s="79" t="str">
        <f t="shared" si="26"/>
        <v>A-</v>
      </c>
      <c r="AK32" s="79" t="s">
        <v>13</v>
      </c>
      <c r="AL32" s="79" t="s">
        <v>60</v>
      </c>
      <c r="AM32" s="79" t="s">
        <v>61</v>
      </c>
      <c r="AN32" s="79" t="str">
        <f t="shared" si="27"/>
        <v>C</v>
      </c>
      <c r="AO32" s="79" t="str">
        <f t="shared" si="28"/>
        <v/>
      </c>
      <c r="AP32" s="79" t="str">
        <f t="shared" si="29"/>
        <v/>
      </c>
      <c r="AQ32" s="79" t="str">
        <f t="shared" si="30"/>
        <v>O</v>
      </c>
      <c r="AR32" s="79" t="str">
        <f t="shared" si="31"/>
        <v>O</v>
      </c>
      <c r="AS32" s="79" t="s">
        <v>2</v>
      </c>
      <c r="AT32" s="79" t="str">
        <f t="shared" si="32"/>
        <v>O</v>
      </c>
      <c r="AU32" s="79" t="str">
        <f t="shared" si="33"/>
        <v>O</v>
      </c>
      <c r="AV32" s="79" t="str">
        <f t="shared" si="34"/>
        <v/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신봉동 삼정백조('95.07.,564^)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958</v>
      </c>
      <c r="B34" s="10" t="s">
        <v>1410</v>
      </c>
      <c r="C34" s="88">
        <v>564</v>
      </c>
      <c r="D34" s="86">
        <v>77.3</v>
      </c>
      <c r="E34" s="87">
        <v>23</v>
      </c>
      <c r="F34" s="86">
        <v>59.9</v>
      </c>
      <c r="G34" s="17">
        <v>18</v>
      </c>
      <c r="H34" s="88">
        <v>264</v>
      </c>
      <c r="I34" s="89">
        <v>15000</v>
      </c>
      <c r="J34" s="89" t="s">
        <v>71</v>
      </c>
      <c r="K34" s="89"/>
      <c r="L34" s="89"/>
      <c r="M34" s="90">
        <f>I34-K34</f>
        <v>15000</v>
      </c>
      <c r="N34" s="4">
        <f>IF(ISERROR(K34/I34),"",K34/I34)</f>
        <v>0</v>
      </c>
      <c r="O34" s="91">
        <f>I34/E34</f>
        <v>652.17391304347825</v>
      </c>
      <c r="P34" s="91">
        <f>K34/E34</f>
        <v>0</v>
      </c>
      <c r="Q34" s="79">
        <v>3</v>
      </c>
      <c r="R34" s="79">
        <v>1</v>
      </c>
      <c r="S34" s="79" t="s">
        <v>62</v>
      </c>
      <c r="T34" s="5">
        <v>77</v>
      </c>
      <c r="U34" s="9"/>
      <c r="W34" s="86">
        <f t="shared" ref="W34:X38" si="35">D34</f>
        <v>77.3</v>
      </c>
      <c r="X34" s="87">
        <f t="shared" si="35"/>
        <v>23</v>
      </c>
      <c r="Y34" s="92">
        <f t="shared" ref="Y34:Z38" si="36">H34</f>
        <v>264</v>
      </c>
      <c r="Z34" s="90">
        <f t="shared" si="36"/>
        <v>15000</v>
      </c>
      <c r="AA34" s="90">
        <f>K34</f>
        <v>0</v>
      </c>
      <c r="AB34" s="90">
        <f t="shared" ref="AB34:AD38" si="37">M34</f>
        <v>15000</v>
      </c>
      <c r="AC34" s="4">
        <f t="shared" si="37"/>
        <v>0</v>
      </c>
      <c r="AD34" s="91">
        <f t="shared" si="37"/>
        <v>652.17391304347825</v>
      </c>
      <c r="AE34" s="79" t="str">
        <f>S34</f>
        <v>계</v>
      </c>
      <c r="AF34" s="79" t="str">
        <f>Q34&amp;"/"&amp;R34</f>
        <v>3/1</v>
      </c>
      <c r="AH34" s="20" t="str">
        <f t="shared" si="1"/>
        <v>삼정백조</v>
      </c>
      <c r="AI34" s="87">
        <f t="shared" si="0"/>
        <v>23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958</v>
      </c>
      <c r="B35" s="10" t="s">
        <v>1410</v>
      </c>
      <c r="C35" s="88">
        <v>564</v>
      </c>
      <c r="D35" s="86">
        <v>107.9</v>
      </c>
      <c r="E35" s="87">
        <v>33</v>
      </c>
      <c r="F35" s="86">
        <v>84.8</v>
      </c>
      <c r="G35" s="17">
        <v>26</v>
      </c>
      <c r="H35" s="88">
        <v>220</v>
      </c>
      <c r="I35" s="89">
        <v>20500</v>
      </c>
      <c r="J35" s="89" t="s">
        <v>89</v>
      </c>
      <c r="K35" s="89"/>
      <c r="L35" s="89"/>
      <c r="M35" s="90">
        <f>I35-K35</f>
        <v>20500</v>
      </c>
      <c r="N35" s="4">
        <f>IF(ISERROR(K35/I35),"",K35/I35)</f>
        <v>0</v>
      </c>
      <c r="O35" s="91">
        <f>I35/E35</f>
        <v>621.21212121212125</v>
      </c>
      <c r="P35" s="91">
        <f>K35/E35</f>
        <v>0</v>
      </c>
      <c r="Q35" s="79">
        <v>3</v>
      </c>
      <c r="R35" s="79">
        <v>2</v>
      </c>
      <c r="S35" s="79" t="s">
        <v>62</v>
      </c>
      <c r="T35" s="5">
        <v>107</v>
      </c>
      <c r="U35" s="9"/>
      <c r="W35" s="86">
        <f t="shared" si="35"/>
        <v>107.9</v>
      </c>
      <c r="X35" s="87">
        <f t="shared" si="35"/>
        <v>33</v>
      </c>
      <c r="Y35" s="92">
        <f t="shared" si="36"/>
        <v>220</v>
      </c>
      <c r="Z35" s="90">
        <f t="shared" si="36"/>
        <v>20500</v>
      </c>
      <c r="AA35" s="90">
        <f>K35</f>
        <v>0</v>
      </c>
      <c r="AB35" s="90">
        <f t="shared" si="37"/>
        <v>20500</v>
      </c>
      <c r="AC35" s="4">
        <f t="shared" si="37"/>
        <v>0</v>
      </c>
      <c r="AD35" s="91">
        <f t="shared" si="37"/>
        <v>621.21212121212125</v>
      </c>
      <c r="AE35" s="79" t="str">
        <f>S35</f>
        <v>계</v>
      </c>
      <c r="AF35" s="79" t="str">
        <f>Q35&amp;"/"&amp;R35</f>
        <v>3/2</v>
      </c>
      <c r="AH35" s="20" t="str">
        <f t="shared" si="1"/>
        <v>삼정백조</v>
      </c>
      <c r="AI35" s="87">
        <f t="shared" si="0"/>
        <v>33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 t="s">
        <v>958</v>
      </c>
      <c r="B36" s="10" t="s">
        <v>1410</v>
      </c>
      <c r="C36" s="88">
        <v>564</v>
      </c>
      <c r="D36" s="86">
        <v>159.5</v>
      </c>
      <c r="E36" s="87">
        <v>48</v>
      </c>
      <c r="F36" s="86">
        <v>128.80000000000001</v>
      </c>
      <c r="G36" s="17">
        <v>39</v>
      </c>
      <c r="H36" s="88">
        <v>40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>
        <v>159</v>
      </c>
      <c r="U36" s="9"/>
      <c r="W36" s="86">
        <f t="shared" si="35"/>
        <v>159.5</v>
      </c>
      <c r="X36" s="87">
        <f t="shared" si="35"/>
        <v>48</v>
      </c>
      <c r="Y36" s="92">
        <f t="shared" si="36"/>
        <v>40</v>
      </c>
      <c r="Z36" s="90">
        <f t="shared" si="36"/>
        <v>0</v>
      </c>
      <c r="AA36" s="90">
        <f>K36</f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9" t="str">
        <f>S36</f>
        <v>계</v>
      </c>
      <c r="AF36" s="79" t="str">
        <f>Q36&amp;"/"&amp;R36</f>
        <v>4/2</v>
      </c>
      <c r="AH36" s="20" t="str">
        <f t="shared" si="1"/>
        <v>삼정백조</v>
      </c>
      <c r="AI36" s="87">
        <f t="shared" si="0"/>
        <v>48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x14ac:dyDescent="0.3">
      <c r="A37" s="9" t="s">
        <v>958</v>
      </c>
      <c r="B37" s="10" t="s">
        <v>1410</v>
      </c>
      <c r="C37" s="88">
        <v>564</v>
      </c>
      <c r="D37" s="86">
        <v>199.2</v>
      </c>
      <c r="E37" s="87">
        <v>60</v>
      </c>
      <c r="F37" s="86">
        <v>164.6</v>
      </c>
      <c r="G37" s="17">
        <v>50</v>
      </c>
      <c r="H37" s="88">
        <v>20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62</v>
      </c>
      <c r="T37" s="5">
        <v>199</v>
      </c>
      <c r="U37" s="9"/>
      <c r="W37" s="86">
        <f t="shared" si="35"/>
        <v>199.2</v>
      </c>
      <c r="X37" s="87">
        <f t="shared" si="35"/>
        <v>60</v>
      </c>
      <c r="Y37" s="92">
        <f t="shared" si="36"/>
        <v>20</v>
      </c>
      <c r="Z37" s="90">
        <f t="shared" si="36"/>
        <v>0</v>
      </c>
      <c r="AA37" s="90">
        <f>K37</f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9" t="str">
        <f>S37</f>
        <v>계</v>
      </c>
      <c r="AF37" s="79" t="str">
        <f>Q37&amp;"/"&amp;R37</f>
        <v>4/2</v>
      </c>
      <c r="AH37" s="20" t="str">
        <f t="shared" si="1"/>
        <v>삼정백조</v>
      </c>
      <c r="AI37" s="87">
        <f t="shared" si="0"/>
        <v>60</v>
      </c>
      <c r="AJ37" s="79" t="str">
        <f>IF(AI37="","",$AJ$2)</f>
        <v>A-</v>
      </c>
      <c r="AK37" s="79" t="s">
        <v>13</v>
      </c>
      <c r="AL37" s="79" t="s">
        <v>60</v>
      </c>
      <c r="AM37" s="79" t="s">
        <v>61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  <row r="38" spans="1:48" x14ac:dyDescent="0.3">
      <c r="A38" s="9" t="s">
        <v>958</v>
      </c>
      <c r="B38" s="10" t="s">
        <v>1410</v>
      </c>
      <c r="C38" s="88">
        <v>564</v>
      </c>
      <c r="D38" s="86">
        <v>243.7</v>
      </c>
      <c r="E38" s="87">
        <v>74</v>
      </c>
      <c r="F38" s="86">
        <v>203.2</v>
      </c>
      <c r="G38" s="17">
        <v>61</v>
      </c>
      <c r="H38" s="88">
        <v>20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5</v>
      </c>
      <c r="R38" s="79">
        <v>3</v>
      </c>
      <c r="S38" s="79" t="s">
        <v>62</v>
      </c>
      <c r="T38" s="5">
        <v>243</v>
      </c>
      <c r="U38" s="9"/>
      <c r="W38" s="86">
        <f t="shared" si="35"/>
        <v>243.7</v>
      </c>
      <c r="X38" s="87">
        <f t="shared" si="35"/>
        <v>74</v>
      </c>
      <c r="Y38" s="92">
        <f t="shared" si="36"/>
        <v>20</v>
      </c>
      <c r="Z38" s="90">
        <f t="shared" si="36"/>
        <v>0</v>
      </c>
      <c r="AA38" s="90">
        <f>K38</f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9" t="str">
        <f>S38</f>
        <v>계</v>
      </c>
      <c r="AF38" s="79" t="str">
        <f>Q38&amp;"/"&amp;R38</f>
        <v>5/3</v>
      </c>
      <c r="AH38" s="20" t="str">
        <f t="shared" si="1"/>
        <v>삼정백조</v>
      </c>
      <c r="AI38" s="87">
        <f t="shared" si="0"/>
        <v>74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/>
      </c>
    </row>
  </sheetData>
  <mergeCells count="1">
    <mergeCell ref="AJ1:AN1"/>
  </mergeCells>
  <phoneticPr fontId="2" type="noConversion"/>
  <conditionalFormatting sqref="AV4:AV6">
    <cfRule type="expression" dxfId="667" priority="558">
      <formula>AV4="X"</formula>
    </cfRule>
    <cfRule type="expression" dxfId="666" priority="559">
      <formula>AV4="후보"</formula>
    </cfRule>
  </conditionalFormatting>
  <conditionalFormatting sqref="AC1:AC2 AC4:AC6 N4:N5">
    <cfRule type="cellIs" dxfId="665" priority="555" operator="greaterThan">
      <formula>0.9</formula>
    </cfRule>
    <cfRule type="cellIs" dxfId="664" priority="556" operator="greaterThan">
      <formula>0.85</formula>
    </cfRule>
  </conditionalFormatting>
  <conditionalFormatting sqref="N1:N2">
    <cfRule type="cellIs" dxfId="663" priority="553" operator="greaterThan">
      <formula>0.9</formula>
    </cfRule>
    <cfRule type="cellIs" dxfId="662" priority="554" operator="greaterThan">
      <formula>0.85</formula>
    </cfRule>
  </conditionalFormatting>
  <conditionalFormatting sqref="N6">
    <cfRule type="cellIs" dxfId="661" priority="551" operator="greaterThan">
      <formula>0.9</formula>
    </cfRule>
    <cfRule type="cellIs" dxfId="660" priority="552" operator="greaterThan">
      <formula>0.85</formula>
    </cfRule>
  </conditionalFormatting>
  <conditionalFormatting sqref="E6">
    <cfRule type="expression" dxfId="659" priority="547">
      <formula>AND(IF(OR($Q6=1,$Q6=2),1,0),IF($X6&lt;=20,1,0))</formula>
    </cfRule>
    <cfRule type="expression" dxfId="658" priority="548">
      <formula>AND(IF($Q6=2,1,0),IF($X6&lt;30,1,0))</formula>
    </cfRule>
    <cfRule type="expression" dxfId="657" priority="549">
      <formula>AND(IF($Q6=3,1,0),IF($X6&lt;30,1,0))</formula>
    </cfRule>
    <cfRule type="expression" dxfId="656" priority="550">
      <formula>AND(IF($Q6=3,1,IF($Q6=4,1,0)),IF($F6&lt;=85,1,0))</formula>
    </cfRule>
  </conditionalFormatting>
  <conditionalFormatting sqref="X6">
    <cfRule type="expression" dxfId="655" priority="543">
      <formula>AND(IF(OR($Q6=1,$Q6=2),1,0),IF($X6&lt;=20,1,0))</formula>
    </cfRule>
    <cfRule type="expression" dxfId="654" priority="544">
      <formula>AND(IF($Q6=2,1,0),IF($X6&lt;30,1,0))</formula>
    </cfRule>
    <cfRule type="expression" dxfId="653" priority="545">
      <formula>AND(IF($Q6=3,1,0),IF($X6&lt;30,1,0))</formula>
    </cfRule>
    <cfRule type="expression" dxfId="652" priority="546">
      <formula>AND(IF($Q6=3,1,IF($Q6=4,1,0)),IF($F6&lt;=85,1,0))</formula>
    </cfRule>
  </conditionalFormatting>
  <conditionalFormatting sqref="AI6">
    <cfRule type="expression" dxfId="651" priority="539">
      <formula>AND(IF(OR($Q6=1,$Q6=2),1,0),IF($X6&lt;=20,1,0))</formula>
    </cfRule>
    <cfRule type="expression" dxfId="650" priority="540">
      <formula>AND(IF($Q6=2,1,0),IF($X6&lt;30,1,0))</formula>
    </cfRule>
    <cfRule type="expression" dxfId="649" priority="541">
      <formula>AND(IF($Q6=3,1,0),IF($X6&lt;30,1,0))</formula>
    </cfRule>
    <cfRule type="expression" dxfId="648" priority="542">
      <formula>AND(IF($Q6=3,1,IF($Q6=4,1,0)),IF($F6&lt;=85,1,0))</formula>
    </cfRule>
  </conditionalFormatting>
  <conditionalFormatting sqref="AV7">
    <cfRule type="expression" dxfId="647" priority="537">
      <formula>AV7="X"</formula>
    </cfRule>
    <cfRule type="expression" dxfId="646" priority="538">
      <formula>AV7="후보"</formula>
    </cfRule>
  </conditionalFormatting>
  <conditionalFormatting sqref="AC7">
    <cfRule type="cellIs" dxfId="645" priority="534" operator="greaterThan">
      <formula>0.9</formula>
    </cfRule>
    <cfRule type="cellIs" dxfId="644" priority="535" operator="greaterThan">
      <formula>0.85</formula>
    </cfRule>
  </conditionalFormatting>
  <conditionalFormatting sqref="N7">
    <cfRule type="cellIs" dxfId="643" priority="532" operator="greaterThan">
      <formula>0.9</formula>
    </cfRule>
    <cfRule type="cellIs" dxfId="642" priority="533" operator="greaterThan">
      <formula>0.85</formula>
    </cfRule>
  </conditionalFormatting>
  <conditionalFormatting sqref="E7">
    <cfRule type="expression" dxfId="641" priority="528">
      <formula>AND(IF(OR($Q7=1,$Q7=2),1,0),IF($X7&lt;=20,1,0))</formula>
    </cfRule>
    <cfRule type="expression" dxfId="640" priority="529">
      <formula>AND(IF($Q7=2,1,0),IF($X7&lt;30,1,0))</formula>
    </cfRule>
    <cfRule type="expression" dxfId="639" priority="530">
      <formula>AND(IF($Q7=3,1,0),IF($X7&lt;30,1,0))</formula>
    </cfRule>
    <cfRule type="expression" dxfId="638" priority="531">
      <formula>AND(IF($Q7=3,1,IF($Q7=4,1,0)),IF($F7&lt;=85,1,0))</formula>
    </cfRule>
  </conditionalFormatting>
  <conditionalFormatting sqref="X7">
    <cfRule type="expression" dxfId="637" priority="524">
      <formula>AND(IF(OR($Q7=1,$Q7=2),1,0),IF($X7&lt;=20,1,0))</formula>
    </cfRule>
    <cfRule type="expression" dxfId="636" priority="525">
      <formula>AND(IF($Q7=2,1,0),IF($X7&lt;30,1,0))</formula>
    </cfRule>
    <cfRule type="expression" dxfId="635" priority="526">
      <formula>AND(IF($Q7=3,1,0),IF($X7&lt;30,1,0))</formula>
    </cfRule>
    <cfRule type="expression" dxfId="634" priority="527">
      <formula>AND(IF($Q7=3,1,IF($Q7=4,1,0)),IF($F7&lt;=85,1,0))</formula>
    </cfRule>
  </conditionalFormatting>
  <conditionalFormatting sqref="AI7">
    <cfRule type="expression" dxfId="633" priority="520">
      <formula>AND(IF(OR($Q7=1,$Q7=2),1,0),IF($X7&lt;=20,1,0))</formula>
    </cfRule>
    <cfRule type="expression" dxfId="632" priority="521">
      <formula>AND(IF($Q7=2,1,0),IF($X7&lt;30,1,0))</formula>
    </cfRule>
    <cfRule type="expression" dxfId="631" priority="522">
      <formula>AND(IF($Q7=3,1,0),IF($X7&lt;30,1,0))</formula>
    </cfRule>
    <cfRule type="expression" dxfId="630" priority="523">
      <formula>AND(IF($Q7=3,1,IF($Q7=4,1,0)),IF($F7&lt;=85,1,0))</formula>
    </cfRule>
  </conditionalFormatting>
  <conditionalFormatting sqref="AV8">
    <cfRule type="expression" dxfId="629" priority="518">
      <formula>AV8="X"</formula>
    </cfRule>
    <cfRule type="expression" dxfId="628" priority="519">
      <formula>AV8="후보"</formula>
    </cfRule>
  </conditionalFormatting>
  <conditionalFormatting sqref="AC8">
    <cfRule type="cellIs" dxfId="627" priority="515" operator="greaterThan">
      <formula>0.9</formula>
    </cfRule>
    <cfRule type="cellIs" dxfId="626" priority="516" operator="greaterThan">
      <formula>0.85</formula>
    </cfRule>
  </conditionalFormatting>
  <conditionalFormatting sqref="N8">
    <cfRule type="cellIs" dxfId="625" priority="513" operator="greaterThan">
      <formula>0.9</formula>
    </cfRule>
    <cfRule type="cellIs" dxfId="624" priority="514" operator="greaterThan">
      <formula>0.85</formula>
    </cfRule>
  </conditionalFormatting>
  <conditionalFormatting sqref="E8">
    <cfRule type="expression" dxfId="623" priority="509">
      <formula>AND(IF(OR($Q8=1,$Q8=2),1,0),IF($X8&lt;=20,1,0))</formula>
    </cfRule>
    <cfRule type="expression" dxfId="622" priority="510">
      <formula>AND(IF($Q8=2,1,0),IF($X8&lt;30,1,0))</formula>
    </cfRule>
    <cfRule type="expression" dxfId="621" priority="511">
      <formula>AND(IF($Q8=3,1,0),IF($X8&lt;30,1,0))</formula>
    </cfRule>
    <cfRule type="expression" dxfId="620" priority="512">
      <formula>AND(IF($Q8=3,1,IF($Q8=4,1,0)),IF($F8&lt;=85,1,0))</formula>
    </cfRule>
  </conditionalFormatting>
  <conditionalFormatting sqref="X8">
    <cfRule type="expression" dxfId="619" priority="505">
      <formula>AND(IF(OR($Q8=1,$Q8=2),1,0),IF($X8&lt;=20,1,0))</formula>
    </cfRule>
    <cfRule type="expression" dxfId="618" priority="506">
      <formula>AND(IF($Q8=2,1,0),IF($X8&lt;30,1,0))</formula>
    </cfRule>
    <cfRule type="expression" dxfId="617" priority="507">
      <formula>AND(IF($Q8=3,1,0),IF($X8&lt;30,1,0))</formula>
    </cfRule>
    <cfRule type="expression" dxfId="616" priority="508">
      <formula>AND(IF($Q8=3,1,IF($Q8=4,1,0)),IF($F8&lt;=85,1,0))</formula>
    </cfRule>
  </conditionalFormatting>
  <conditionalFormatting sqref="AI8">
    <cfRule type="expression" dxfId="615" priority="501">
      <formula>AND(IF(OR($Q8=1,$Q8=2),1,0),IF($X8&lt;=20,1,0))</formula>
    </cfRule>
    <cfRule type="expression" dxfId="614" priority="502">
      <formula>AND(IF($Q8=2,1,0),IF($X8&lt;30,1,0))</formula>
    </cfRule>
    <cfRule type="expression" dxfId="613" priority="503">
      <formula>AND(IF($Q8=3,1,0),IF($X8&lt;30,1,0))</formula>
    </cfRule>
    <cfRule type="expression" dxfId="612" priority="504">
      <formula>AND(IF($Q8=3,1,IF($Q8=4,1,0)),IF($F8&lt;=85,1,0))</formula>
    </cfRule>
  </conditionalFormatting>
  <conditionalFormatting sqref="AV9">
    <cfRule type="expression" dxfId="611" priority="499">
      <formula>AV9="X"</formula>
    </cfRule>
    <cfRule type="expression" dxfId="610" priority="500">
      <formula>AV9="후보"</formula>
    </cfRule>
  </conditionalFormatting>
  <conditionalFormatting sqref="AC9">
    <cfRule type="cellIs" dxfId="609" priority="496" operator="greaterThan">
      <formula>0.9</formula>
    </cfRule>
    <cfRule type="cellIs" dxfId="608" priority="497" operator="greaterThan">
      <formula>0.85</formula>
    </cfRule>
  </conditionalFormatting>
  <conditionalFormatting sqref="N9">
    <cfRule type="cellIs" dxfId="607" priority="494" operator="greaterThan">
      <formula>0.9</formula>
    </cfRule>
    <cfRule type="cellIs" dxfId="606" priority="495" operator="greaterThan">
      <formula>0.85</formula>
    </cfRule>
  </conditionalFormatting>
  <conditionalFormatting sqref="E9">
    <cfRule type="expression" dxfId="605" priority="490">
      <formula>AND(IF(OR($Q9=1,$Q9=2),1,0),IF($X9&lt;=20,1,0))</formula>
    </cfRule>
    <cfRule type="expression" dxfId="604" priority="491">
      <formula>AND(IF($Q9=2,1,0),IF($X9&lt;30,1,0))</formula>
    </cfRule>
    <cfRule type="expression" dxfId="603" priority="492">
      <formula>AND(IF($Q9=3,1,0),IF($X9&lt;30,1,0))</formula>
    </cfRule>
    <cfRule type="expression" dxfId="602" priority="493">
      <formula>AND(IF($Q9=3,1,IF($Q9=4,1,0)),IF($F9&lt;=85,1,0))</formula>
    </cfRule>
  </conditionalFormatting>
  <conditionalFormatting sqref="X9">
    <cfRule type="expression" dxfId="601" priority="486">
      <formula>AND(IF(OR($Q9=1,$Q9=2),1,0),IF($X9&lt;=20,1,0))</formula>
    </cfRule>
    <cfRule type="expression" dxfId="600" priority="487">
      <formula>AND(IF($Q9=2,1,0),IF($X9&lt;30,1,0))</formula>
    </cfRule>
    <cfRule type="expression" dxfId="599" priority="488">
      <formula>AND(IF($Q9=3,1,0),IF($X9&lt;30,1,0))</formula>
    </cfRule>
    <cfRule type="expression" dxfId="598" priority="489">
      <formula>AND(IF($Q9=3,1,IF($Q9=4,1,0)),IF($F9&lt;=85,1,0))</formula>
    </cfRule>
  </conditionalFormatting>
  <conditionalFormatting sqref="AI9">
    <cfRule type="expression" dxfId="597" priority="482">
      <formula>AND(IF(OR($Q9=1,$Q9=2),1,0),IF($X9&lt;=20,1,0))</formula>
    </cfRule>
    <cfRule type="expression" dxfId="596" priority="483">
      <formula>AND(IF($Q9=2,1,0),IF($X9&lt;30,1,0))</formula>
    </cfRule>
    <cfRule type="expression" dxfId="595" priority="484">
      <formula>AND(IF($Q9=3,1,0),IF($X9&lt;30,1,0))</formula>
    </cfRule>
    <cfRule type="expression" dxfId="594" priority="485">
      <formula>AND(IF($Q9=3,1,IF($Q9=4,1,0)),IF($F9&lt;=85,1,0))</formula>
    </cfRule>
  </conditionalFormatting>
  <conditionalFormatting sqref="AV10">
    <cfRule type="expression" dxfId="593" priority="480">
      <formula>AV10="X"</formula>
    </cfRule>
    <cfRule type="expression" dxfId="592" priority="481">
      <formula>AV10="후보"</formula>
    </cfRule>
  </conditionalFormatting>
  <conditionalFormatting sqref="AC10 N10">
    <cfRule type="cellIs" dxfId="591" priority="477" operator="greaterThan">
      <formula>0.9</formula>
    </cfRule>
    <cfRule type="cellIs" dxfId="590" priority="478" operator="greaterThan">
      <formula>0.85</formula>
    </cfRule>
  </conditionalFormatting>
  <conditionalFormatting sqref="AV11">
    <cfRule type="expression" dxfId="589" priority="475">
      <formula>AV11="X"</formula>
    </cfRule>
    <cfRule type="expression" dxfId="588" priority="476">
      <formula>AV11="후보"</formula>
    </cfRule>
  </conditionalFormatting>
  <conditionalFormatting sqref="AC11">
    <cfRule type="cellIs" dxfId="587" priority="472" operator="greaterThan">
      <formula>0.9</formula>
    </cfRule>
    <cfRule type="cellIs" dxfId="586" priority="473" operator="greaterThan">
      <formula>0.85</formula>
    </cfRule>
  </conditionalFormatting>
  <conditionalFormatting sqref="N11">
    <cfRule type="cellIs" dxfId="585" priority="470" operator="greaterThan">
      <formula>0.9</formula>
    </cfRule>
    <cfRule type="cellIs" dxfId="584" priority="471" operator="greaterThan">
      <formula>0.85</formula>
    </cfRule>
  </conditionalFormatting>
  <conditionalFormatting sqref="E11">
    <cfRule type="expression" dxfId="583" priority="466">
      <formula>AND(IF(OR($Q11=1,$Q11=2),1,0),IF($X11&lt;=20,1,0))</formula>
    </cfRule>
    <cfRule type="expression" dxfId="582" priority="467">
      <formula>AND(IF($Q11=2,1,0),IF($X11&lt;30,1,0))</formula>
    </cfRule>
    <cfRule type="expression" dxfId="581" priority="468">
      <formula>AND(IF($Q11=3,1,0),IF($X11&lt;30,1,0))</formula>
    </cfRule>
    <cfRule type="expression" dxfId="580" priority="469">
      <formula>AND(IF($Q11=3,1,IF($Q11=4,1,0)),IF($F11&lt;=85,1,0))</formula>
    </cfRule>
  </conditionalFormatting>
  <conditionalFormatting sqref="X11">
    <cfRule type="expression" dxfId="579" priority="462">
      <formula>AND(IF(OR($Q11=1,$Q11=2),1,0),IF($X11&lt;=20,1,0))</formula>
    </cfRule>
    <cfRule type="expression" dxfId="578" priority="463">
      <formula>AND(IF($Q11=2,1,0),IF($X11&lt;30,1,0))</formula>
    </cfRule>
    <cfRule type="expression" dxfId="577" priority="464">
      <formula>AND(IF($Q11=3,1,0),IF($X11&lt;30,1,0))</formula>
    </cfRule>
    <cfRule type="expression" dxfId="576" priority="465">
      <formula>AND(IF($Q11=3,1,IF($Q11=4,1,0)),IF($F11&lt;=85,1,0))</formula>
    </cfRule>
  </conditionalFormatting>
  <conditionalFormatting sqref="AI11">
    <cfRule type="expression" dxfId="575" priority="458">
      <formula>AND(IF(OR($Q11=1,$Q11=2),1,0),IF($X11&lt;=20,1,0))</formula>
    </cfRule>
    <cfRule type="expression" dxfId="574" priority="459">
      <formula>AND(IF($Q11=2,1,0),IF($X11&lt;30,1,0))</formula>
    </cfRule>
    <cfRule type="expression" dxfId="573" priority="460">
      <formula>AND(IF($Q11=3,1,0),IF($X11&lt;30,1,0))</formula>
    </cfRule>
    <cfRule type="expression" dxfId="572" priority="461">
      <formula>AND(IF($Q11=3,1,IF($Q11=4,1,0)),IF($F11&lt;=85,1,0))</formula>
    </cfRule>
  </conditionalFormatting>
  <conditionalFormatting sqref="AV12">
    <cfRule type="expression" dxfId="571" priority="456">
      <formula>AV12="X"</formula>
    </cfRule>
    <cfRule type="expression" dxfId="570" priority="457">
      <formula>AV12="후보"</formula>
    </cfRule>
  </conditionalFormatting>
  <conditionalFormatting sqref="AC12">
    <cfRule type="cellIs" dxfId="569" priority="453" operator="greaterThan">
      <formula>0.9</formula>
    </cfRule>
    <cfRule type="cellIs" dxfId="568" priority="454" operator="greaterThan">
      <formula>0.85</formula>
    </cfRule>
  </conditionalFormatting>
  <conditionalFormatting sqref="N12">
    <cfRule type="cellIs" dxfId="567" priority="451" operator="greaterThan">
      <formula>0.9</formula>
    </cfRule>
    <cfRule type="cellIs" dxfId="566" priority="452" operator="greaterThan">
      <formula>0.85</formula>
    </cfRule>
  </conditionalFormatting>
  <conditionalFormatting sqref="E12">
    <cfRule type="expression" dxfId="565" priority="447">
      <formula>AND(IF(OR($Q12=1,$Q12=2),1,0),IF($X12&lt;=20,1,0))</formula>
    </cfRule>
    <cfRule type="expression" dxfId="564" priority="448">
      <formula>AND(IF($Q12=2,1,0),IF($X12&lt;30,1,0))</formula>
    </cfRule>
    <cfRule type="expression" dxfId="563" priority="449">
      <formula>AND(IF($Q12=3,1,0),IF($X12&lt;30,1,0))</formula>
    </cfRule>
    <cfRule type="expression" dxfId="562" priority="450">
      <formula>AND(IF($Q12=3,1,IF($Q12=4,1,0)),IF($F12&lt;=85,1,0))</formula>
    </cfRule>
  </conditionalFormatting>
  <conditionalFormatting sqref="X12">
    <cfRule type="expression" dxfId="561" priority="443">
      <formula>AND(IF(OR($Q12=1,$Q12=2),1,0),IF($X12&lt;=20,1,0))</formula>
    </cfRule>
    <cfRule type="expression" dxfId="560" priority="444">
      <formula>AND(IF($Q12=2,1,0),IF($X12&lt;30,1,0))</formula>
    </cfRule>
    <cfRule type="expression" dxfId="559" priority="445">
      <formula>AND(IF($Q12=3,1,0),IF($X12&lt;30,1,0))</formula>
    </cfRule>
    <cfRule type="expression" dxfId="558" priority="446">
      <formula>AND(IF($Q12=3,1,IF($Q12=4,1,0)),IF($F12&lt;=85,1,0))</formula>
    </cfRule>
  </conditionalFormatting>
  <conditionalFormatting sqref="AI12">
    <cfRule type="expression" dxfId="557" priority="439">
      <formula>AND(IF(OR($Q12=1,$Q12=2),1,0),IF($X12&lt;=20,1,0))</formula>
    </cfRule>
    <cfRule type="expression" dxfId="556" priority="440">
      <formula>AND(IF($Q12=2,1,0),IF($X12&lt;30,1,0))</formula>
    </cfRule>
    <cfRule type="expression" dxfId="555" priority="441">
      <formula>AND(IF($Q12=3,1,0),IF($X12&lt;30,1,0))</formula>
    </cfRule>
    <cfRule type="expression" dxfId="554" priority="442">
      <formula>AND(IF($Q12=3,1,IF($Q12=4,1,0)),IF($F12&lt;=85,1,0))</formula>
    </cfRule>
  </conditionalFormatting>
  <conditionalFormatting sqref="AV13">
    <cfRule type="expression" dxfId="553" priority="437">
      <formula>AV13="X"</formula>
    </cfRule>
    <cfRule type="expression" dxfId="552" priority="438">
      <formula>AV13="후보"</formula>
    </cfRule>
  </conditionalFormatting>
  <conditionalFormatting sqref="AC13">
    <cfRule type="cellIs" dxfId="551" priority="434" operator="greaterThan">
      <formula>0.9</formula>
    </cfRule>
    <cfRule type="cellIs" dxfId="550" priority="435" operator="greaterThan">
      <formula>0.85</formula>
    </cfRule>
  </conditionalFormatting>
  <conditionalFormatting sqref="N13">
    <cfRule type="cellIs" dxfId="549" priority="432" operator="greaterThan">
      <formula>0.9</formula>
    </cfRule>
    <cfRule type="cellIs" dxfId="548" priority="433" operator="greaterThan">
      <formula>0.85</formula>
    </cfRule>
  </conditionalFormatting>
  <conditionalFormatting sqref="E13">
    <cfRule type="expression" dxfId="547" priority="428">
      <formula>AND(IF(OR($Q13=1,$Q13=2),1,0),IF($X13&lt;=20,1,0))</formula>
    </cfRule>
    <cfRule type="expression" dxfId="546" priority="429">
      <formula>AND(IF($Q13=2,1,0),IF($X13&lt;30,1,0))</formula>
    </cfRule>
    <cfRule type="expression" dxfId="545" priority="430">
      <formula>AND(IF($Q13=3,1,0),IF($X13&lt;30,1,0))</formula>
    </cfRule>
    <cfRule type="expression" dxfId="544" priority="431">
      <formula>AND(IF($Q13=3,1,IF($Q13=4,1,0)),IF($F13&lt;=85,1,0))</formula>
    </cfRule>
  </conditionalFormatting>
  <conditionalFormatting sqref="X13">
    <cfRule type="expression" dxfId="543" priority="424">
      <formula>AND(IF(OR($Q13=1,$Q13=2),1,0),IF($X13&lt;=20,1,0))</formula>
    </cfRule>
    <cfRule type="expression" dxfId="542" priority="425">
      <formula>AND(IF($Q13=2,1,0),IF($X13&lt;30,1,0))</formula>
    </cfRule>
    <cfRule type="expression" dxfId="541" priority="426">
      <formula>AND(IF($Q13=3,1,0),IF($X13&lt;30,1,0))</formula>
    </cfRule>
    <cfRule type="expression" dxfId="540" priority="427">
      <formula>AND(IF($Q13=3,1,IF($Q13=4,1,0)),IF($F13&lt;=85,1,0))</formula>
    </cfRule>
  </conditionalFormatting>
  <conditionalFormatting sqref="AI13">
    <cfRule type="expression" dxfId="539" priority="420">
      <formula>AND(IF(OR($Q13=1,$Q13=2),1,0),IF($X13&lt;=20,1,0))</formula>
    </cfRule>
    <cfRule type="expression" dxfId="538" priority="421">
      <formula>AND(IF($Q13=2,1,0),IF($X13&lt;30,1,0))</formula>
    </cfRule>
    <cfRule type="expression" dxfId="537" priority="422">
      <formula>AND(IF($Q13=3,1,0),IF($X13&lt;30,1,0))</formula>
    </cfRule>
    <cfRule type="expression" dxfId="536" priority="423">
      <formula>AND(IF($Q13=3,1,IF($Q13=4,1,0)),IF($F13&lt;=85,1,0))</formula>
    </cfRule>
  </conditionalFormatting>
  <conditionalFormatting sqref="AV14">
    <cfRule type="expression" dxfId="535" priority="418">
      <formula>AV14="X"</formula>
    </cfRule>
    <cfRule type="expression" dxfId="534" priority="419">
      <formula>AV14="후보"</formula>
    </cfRule>
  </conditionalFormatting>
  <conditionalFormatting sqref="AC14 N14">
    <cfRule type="cellIs" dxfId="533" priority="415" operator="greaterThan">
      <formula>0.9</formula>
    </cfRule>
    <cfRule type="cellIs" dxfId="532" priority="416" operator="greaterThan">
      <formula>0.85</formula>
    </cfRule>
  </conditionalFormatting>
  <conditionalFormatting sqref="AV15">
    <cfRule type="expression" dxfId="531" priority="413">
      <formula>AV15="X"</formula>
    </cfRule>
    <cfRule type="expression" dxfId="530" priority="414">
      <formula>AV15="후보"</formula>
    </cfRule>
  </conditionalFormatting>
  <conditionalFormatting sqref="AC15">
    <cfRule type="cellIs" dxfId="529" priority="410" operator="greaterThan">
      <formula>0.9</formula>
    </cfRule>
    <cfRule type="cellIs" dxfId="528" priority="411" operator="greaterThan">
      <formula>0.85</formula>
    </cfRule>
  </conditionalFormatting>
  <conditionalFormatting sqref="N15">
    <cfRule type="cellIs" dxfId="527" priority="408" operator="greaterThan">
      <formula>0.9</formula>
    </cfRule>
    <cfRule type="cellIs" dxfId="526" priority="409" operator="greaterThan">
      <formula>0.85</formula>
    </cfRule>
  </conditionalFormatting>
  <conditionalFormatting sqref="E15">
    <cfRule type="expression" dxfId="525" priority="404">
      <formula>AND(IF(OR($Q15=1,$Q15=2),1,0),IF($X15&lt;=20,1,0))</formula>
    </cfRule>
    <cfRule type="expression" dxfId="524" priority="405">
      <formula>AND(IF($Q15=2,1,0),IF($X15&lt;30,1,0))</formula>
    </cfRule>
    <cfRule type="expression" dxfId="523" priority="406">
      <formula>AND(IF($Q15=3,1,0),IF($X15&lt;30,1,0))</formula>
    </cfRule>
    <cfRule type="expression" dxfId="522" priority="407">
      <formula>AND(IF($Q15=3,1,IF($Q15=4,1,0)),IF($F15&lt;=85,1,0))</formula>
    </cfRule>
  </conditionalFormatting>
  <conditionalFormatting sqref="X15">
    <cfRule type="expression" dxfId="521" priority="400">
      <formula>AND(IF(OR($Q15=1,$Q15=2),1,0),IF($X15&lt;=20,1,0))</formula>
    </cfRule>
    <cfRule type="expression" dxfId="520" priority="401">
      <formula>AND(IF($Q15=2,1,0),IF($X15&lt;30,1,0))</formula>
    </cfRule>
    <cfRule type="expression" dxfId="519" priority="402">
      <formula>AND(IF($Q15=3,1,0),IF($X15&lt;30,1,0))</formula>
    </cfRule>
    <cfRule type="expression" dxfId="518" priority="403">
      <formula>AND(IF($Q15=3,1,IF($Q15=4,1,0)),IF($F15&lt;=85,1,0))</formula>
    </cfRule>
  </conditionalFormatting>
  <conditionalFormatting sqref="AI15">
    <cfRule type="expression" dxfId="517" priority="396">
      <formula>AND(IF(OR($Q15=1,$Q15=2),1,0),IF($X15&lt;=20,1,0))</formula>
    </cfRule>
    <cfRule type="expression" dxfId="516" priority="397">
      <formula>AND(IF($Q15=2,1,0),IF($X15&lt;30,1,0))</formula>
    </cfRule>
    <cfRule type="expression" dxfId="515" priority="398">
      <formula>AND(IF($Q15=3,1,0),IF($X15&lt;30,1,0))</formula>
    </cfRule>
    <cfRule type="expression" dxfId="514" priority="399">
      <formula>AND(IF($Q15=3,1,IF($Q15=4,1,0)),IF($F15&lt;=85,1,0))</formula>
    </cfRule>
  </conditionalFormatting>
  <conditionalFormatting sqref="AV16">
    <cfRule type="expression" dxfId="513" priority="394">
      <formula>AV16="X"</formula>
    </cfRule>
    <cfRule type="expression" dxfId="512" priority="395">
      <formula>AV16="후보"</formula>
    </cfRule>
  </conditionalFormatting>
  <conditionalFormatting sqref="AC16">
    <cfRule type="cellIs" dxfId="511" priority="391" operator="greaterThan">
      <formula>0.9</formula>
    </cfRule>
    <cfRule type="cellIs" dxfId="510" priority="392" operator="greaterThan">
      <formula>0.85</formula>
    </cfRule>
  </conditionalFormatting>
  <conditionalFormatting sqref="N16">
    <cfRule type="cellIs" dxfId="509" priority="389" operator="greaterThan">
      <formula>0.9</formula>
    </cfRule>
    <cfRule type="cellIs" dxfId="508" priority="390" operator="greaterThan">
      <formula>0.85</formula>
    </cfRule>
  </conditionalFormatting>
  <conditionalFormatting sqref="E16">
    <cfRule type="expression" dxfId="507" priority="385">
      <formula>AND(IF(OR($Q16=1,$Q16=2),1,0),IF($X16&lt;=20,1,0))</formula>
    </cfRule>
    <cfRule type="expression" dxfId="506" priority="386">
      <formula>AND(IF($Q16=2,1,0),IF($X16&lt;30,1,0))</formula>
    </cfRule>
    <cfRule type="expression" dxfId="505" priority="387">
      <formula>AND(IF($Q16=3,1,0),IF($X16&lt;30,1,0))</formula>
    </cfRule>
    <cfRule type="expression" dxfId="504" priority="388">
      <formula>AND(IF($Q16=3,1,IF($Q16=4,1,0)),IF($F16&lt;=85,1,0))</formula>
    </cfRule>
  </conditionalFormatting>
  <conditionalFormatting sqref="X16">
    <cfRule type="expression" dxfId="503" priority="381">
      <formula>AND(IF(OR($Q16=1,$Q16=2),1,0),IF($X16&lt;=20,1,0))</formula>
    </cfRule>
    <cfRule type="expression" dxfId="502" priority="382">
      <formula>AND(IF($Q16=2,1,0),IF($X16&lt;30,1,0))</formula>
    </cfRule>
    <cfRule type="expression" dxfId="501" priority="383">
      <formula>AND(IF($Q16=3,1,0),IF($X16&lt;30,1,0))</formula>
    </cfRule>
    <cfRule type="expression" dxfId="500" priority="384">
      <formula>AND(IF($Q16=3,1,IF($Q16=4,1,0)),IF($F16&lt;=85,1,0))</formula>
    </cfRule>
  </conditionalFormatting>
  <conditionalFormatting sqref="AI16">
    <cfRule type="expression" dxfId="499" priority="377">
      <formula>AND(IF(OR($Q16=1,$Q16=2),1,0),IF($X16&lt;=20,1,0))</formula>
    </cfRule>
    <cfRule type="expression" dxfId="498" priority="378">
      <formula>AND(IF($Q16=2,1,0),IF($X16&lt;30,1,0))</formula>
    </cfRule>
    <cfRule type="expression" dxfId="497" priority="379">
      <formula>AND(IF($Q16=3,1,0),IF($X16&lt;30,1,0))</formula>
    </cfRule>
    <cfRule type="expression" dxfId="496" priority="380">
      <formula>AND(IF($Q16=3,1,IF($Q16=4,1,0)),IF($F16&lt;=85,1,0))</formula>
    </cfRule>
  </conditionalFormatting>
  <conditionalFormatting sqref="AV17">
    <cfRule type="expression" dxfId="495" priority="375">
      <formula>AV17="X"</formula>
    </cfRule>
    <cfRule type="expression" dxfId="494" priority="376">
      <formula>AV17="후보"</formula>
    </cfRule>
  </conditionalFormatting>
  <conditionalFormatting sqref="AC17">
    <cfRule type="cellIs" dxfId="493" priority="372" operator="greaterThan">
      <formula>0.9</formula>
    </cfRule>
    <cfRule type="cellIs" dxfId="492" priority="373" operator="greaterThan">
      <formula>0.85</formula>
    </cfRule>
  </conditionalFormatting>
  <conditionalFormatting sqref="N17">
    <cfRule type="cellIs" dxfId="491" priority="370" operator="greaterThan">
      <formula>0.9</formula>
    </cfRule>
    <cfRule type="cellIs" dxfId="490" priority="371" operator="greaterThan">
      <formula>0.85</formula>
    </cfRule>
  </conditionalFormatting>
  <conditionalFormatting sqref="E17">
    <cfRule type="expression" dxfId="489" priority="366">
      <formula>AND(IF(OR($Q17=1,$Q17=2),1,0),IF($X17&lt;=20,1,0))</formula>
    </cfRule>
    <cfRule type="expression" dxfId="488" priority="367">
      <formula>AND(IF($Q17=2,1,0),IF($X17&lt;30,1,0))</formula>
    </cfRule>
    <cfRule type="expression" dxfId="487" priority="368">
      <formula>AND(IF($Q17=3,1,0),IF($X17&lt;30,1,0))</formula>
    </cfRule>
    <cfRule type="expression" dxfId="486" priority="369">
      <formula>AND(IF($Q17=3,1,IF($Q17=4,1,0)),IF($F17&lt;=85,1,0))</formula>
    </cfRule>
  </conditionalFormatting>
  <conditionalFormatting sqref="X17">
    <cfRule type="expression" dxfId="485" priority="362">
      <formula>AND(IF(OR($Q17=1,$Q17=2),1,0),IF($X17&lt;=20,1,0))</formula>
    </cfRule>
    <cfRule type="expression" dxfId="484" priority="363">
      <formula>AND(IF($Q17=2,1,0),IF($X17&lt;30,1,0))</formula>
    </cfRule>
    <cfRule type="expression" dxfId="483" priority="364">
      <formula>AND(IF($Q17=3,1,0),IF($X17&lt;30,1,0))</formula>
    </cfRule>
    <cfRule type="expression" dxfId="482" priority="365">
      <formula>AND(IF($Q17=3,1,IF($Q17=4,1,0)),IF($F17&lt;=85,1,0))</formula>
    </cfRule>
  </conditionalFormatting>
  <conditionalFormatting sqref="AI17">
    <cfRule type="expression" dxfId="481" priority="358">
      <formula>AND(IF(OR($Q17=1,$Q17=2),1,0),IF($X17&lt;=20,1,0))</formula>
    </cfRule>
    <cfRule type="expression" dxfId="480" priority="359">
      <formula>AND(IF($Q17=2,1,0),IF($X17&lt;30,1,0))</formula>
    </cfRule>
    <cfRule type="expression" dxfId="479" priority="360">
      <formula>AND(IF($Q17=3,1,0),IF($X17&lt;30,1,0))</formula>
    </cfRule>
    <cfRule type="expression" dxfId="478" priority="361">
      <formula>AND(IF($Q17=3,1,IF($Q17=4,1,0)),IF($F17&lt;=85,1,0))</formula>
    </cfRule>
  </conditionalFormatting>
  <conditionalFormatting sqref="AV18">
    <cfRule type="expression" dxfId="477" priority="356">
      <formula>AV18="X"</formula>
    </cfRule>
    <cfRule type="expression" dxfId="476" priority="357">
      <formula>AV18="후보"</formula>
    </cfRule>
  </conditionalFormatting>
  <conditionalFormatting sqref="AC18 N18">
    <cfRule type="cellIs" dxfId="475" priority="353" operator="greaterThan">
      <formula>0.9</formula>
    </cfRule>
    <cfRule type="cellIs" dxfId="474" priority="354" operator="greaterThan">
      <formula>0.85</formula>
    </cfRule>
  </conditionalFormatting>
  <conditionalFormatting sqref="AV19">
    <cfRule type="expression" dxfId="473" priority="351">
      <formula>AV19="X"</formula>
    </cfRule>
    <cfRule type="expression" dxfId="472" priority="352">
      <formula>AV19="후보"</formula>
    </cfRule>
  </conditionalFormatting>
  <conditionalFormatting sqref="AC19">
    <cfRule type="cellIs" dxfId="471" priority="348" operator="greaterThan">
      <formula>0.9</formula>
    </cfRule>
    <cfRule type="cellIs" dxfId="470" priority="349" operator="greaterThan">
      <formula>0.85</formula>
    </cfRule>
  </conditionalFormatting>
  <conditionalFormatting sqref="N19">
    <cfRule type="cellIs" dxfId="469" priority="346" operator="greaterThan">
      <formula>0.9</formula>
    </cfRule>
    <cfRule type="cellIs" dxfId="468" priority="347" operator="greaterThan">
      <formula>0.85</formula>
    </cfRule>
  </conditionalFormatting>
  <conditionalFormatting sqref="E19">
    <cfRule type="expression" dxfId="467" priority="342">
      <formula>AND(IF(OR($Q19=1,$Q19=2),1,0),IF($X19&lt;=20,1,0))</formula>
    </cfRule>
    <cfRule type="expression" dxfId="466" priority="343">
      <formula>AND(IF($Q19=2,1,0),IF($X19&lt;30,1,0))</formula>
    </cfRule>
    <cfRule type="expression" dxfId="465" priority="344">
      <formula>AND(IF($Q19=3,1,0),IF($X19&lt;30,1,0))</formula>
    </cfRule>
    <cfRule type="expression" dxfId="464" priority="345">
      <formula>AND(IF($Q19=3,1,IF($Q19=4,1,0)),IF($F19&lt;=85,1,0))</formula>
    </cfRule>
  </conditionalFormatting>
  <conditionalFormatting sqref="X19">
    <cfRule type="expression" dxfId="463" priority="338">
      <formula>AND(IF(OR($Q19=1,$Q19=2),1,0),IF($X19&lt;=20,1,0))</formula>
    </cfRule>
    <cfRule type="expression" dxfId="462" priority="339">
      <formula>AND(IF($Q19=2,1,0),IF($X19&lt;30,1,0))</formula>
    </cfRule>
    <cfRule type="expression" dxfId="461" priority="340">
      <formula>AND(IF($Q19=3,1,0),IF($X19&lt;30,1,0))</formula>
    </cfRule>
    <cfRule type="expression" dxfId="460" priority="341">
      <formula>AND(IF($Q19=3,1,IF($Q19=4,1,0)),IF($F19&lt;=85,1,0))</formula>
    </cfRule>
  </conditionalFormatting>
  <conditionalFormatting sqref="AI19">
    <cfRule type="expression" dxfId="459" priority="334">
      <formula>AND(IF(OR($Q19=1,$Q19=2),1,0),IF($X19&lt;=20,1,0))</formula>
    </cfRule>
    <cfRule type="expression" dxfId="458" priority="335">
      <formula>AND(IF($Q19=2,1,0),IF($X19&lt;30,1,0))</formula>
    </cfRule>
    <cfRule type="expression" dxfId="457" priority="336">
      <formula>AND(IF($Q19=3,1,0),IF($X19&lt;30,1,0))</formula>
    </cfRule>
    <cfRule type="expression" dxfId="456" priority="337">
      <formula>AND(IF($Q19=3,1,IF($Q19=4,1,0)),IF($F19&lt;=85,1,0))</formula>
    </cfRule>
  </conditionalFormatting>
  <conditionalFormatting sqref="AV20">
    <cfRule type="expression" dxfId="455" priority="332">
      <formula>AV20="X"</formula>
    </cfRule>
    <cfRule type="expression" dxfId="454" priority="333">
      <formula>AV20="후보"</formula>
    </cfRule>
  </conditionalFormatting>
  <conditionalFormatting sqref="AC20">
    <cfRule type="cellIs" dxfId="453" priority="329" operator="greaterThan">
      <formula>0.9</formula>
    </cfRule>
    <cfRule type="cellIs" dxfId="452" priority="330" operator="greaterThan">
      <formula>0.85</formula>
    </cfRule>
  </conditionalFormatting>
  <conditionalFormatting sqref="N20">
    <cfRule type="cellIs" dxfId="451" priority="327" operator="greaterThan">
      <formula>0.9</formula>
    </cfRule>
    <cfRule type="cellIs" dxfId="450" priority="328" operator="greaterThan">
      <formula>0.85</formula>
    </cfRule>
  </conditionalFormatting>
  <conditionalFormatting sqref="E20">
    <cfRule type="expression" dxfId="449" priority="323">
      <formula>AND(IF(OR($Q20=1,$Q20=2),1,0),IF($X20&lt;=20,1,0))</formula>
    </cfRule>
    <cfRule type="expression" dxfId="448" priority="324">
      <formula>AND(IF($Q20=2,1,0),IF($X20&lt;30,1,0))</formula>
    </cfRule>
    <cfRule type="expression" dxfId="447" priority="325">
      <formula>AND(IF($Q20=3,1,0),IF($X20&lt;30,1,0))</formula>
    </cfRule>
    <cfRule type="expression" dxfId="446" priority="326">
      <formula>AND(IF($Q20=3,1,IF($Q20=4,1,0)),IF($F20&lt;=85,1,0))</formula>
    </cfRule>
  </conditionalFormatting>
  <conditionalFormatting sqref="X20">
    <cfRule type="expression" dxfId="445" priority="319">
      <formula>AND(IF(OR($Q20=1,$Q20=2),1,0),IF($X20&lt;=20,1,0))</formula>
    </cfRule>
    <cfRule type="expression" dxfId="444" priority="320">
      <formula>AND(IF($Q20=2,1,0),IF($X20&lt;30,1,0))</formula>
    </cfRule>
    <cfRule type="expression" dxfId="443" priority="321">
      <formula>AND(IF($Q20=3,1,0),IF($X20&lt;30,1,0))</formula>
    </cfRule>
    <cfRule type="expression" dxfId="442" priority="322">
      <formula>AND(IF($Q20=3,1,IF($Q20=4,1,0)),IF($F20&lt;=85,1,0))</formula>
    </cfRule>
  </conditionalFormatting>
  <conditionalFormatting sqref="AI20">
    <cfRule type="expression" dxfId="441" priority="315">
      <formula>AND(IF(OR($Q20=1,$Q20=2),1,0),IF($X20&lt;=20,1,0))</formula>
    </cfRule>
    <cfRule type="expression" dxfId="440" priority="316">
      <formula>AND(IF($Q20=2,1,0),IF($X20&lt;30,1,0))</formula>
    </cfRule>
    <cfRule type="expression" dxfId="439" priority="317">
      <formula>AND(IF($Q20=3,1,0),IF($X20&lt;30,1,0))</formula>
    </cfRule>
    <cfRule type="expression" dxfId="438" priority="318">
      <formula>AND(IF($Q20=3,1,IF($Q20=4,1,0)),IF($F20&lt;=85,1,0))</formula>
    </cfRule>
  </conditionalFormatting>
  <conditionalFormatting sqref="AV21">
    <cfRule type="expression" dxfId="437" priority="313">
      <formula>AV21="X"</formula>
    </cfRule>
    <cfRule type="expression" dxfId="436" priority="314">
      <formula>AV21="후보"</formula>
    </cfRule>
  </conditionalFormatting>
  <conditionalFormatting sqref="AC21 N21">
    <cfRule type="cellIs" dxfId="435" priority="310" operator="greaterThan">
      <formula>0.9</formula>
    </cfRule>
    <cfRule type="cellIs" dxfId="434" priority="311" operator="greaterThan">
      <formula>0.85</formula>
    </cfRule>
  </conditionalFormatting>
  <conditionalFormatting sqref="AV22">
    <cfRule type="expression" dxfId="433" priority="308">
      <formula>AV22="X"</formula>
    </cfRule>
    <cfRule type="expression" dxfId="432" priority="309">
      <formula>AV22="후보"</formula>
    </cfRule>
  </conditionalFormatting>
  <conditionalFormatting sqref="AC22">
    <cfRule type="cellIs" dxfId="431" priority="305" operator="greaterThan">
      <formula>0.9</formula>
    </cfRule>
    <cfRule type="cellIs" dxfId="430" priority="306" operator="greaterThan">
      <formula>0.85</formula>
    </cfRule>
  </conditionalFormatting>
  <conditionalFormatting sqref="N22">
    <cfRule type="cellIs" dxfId="429" priority="303" operator="greaterThan">
      <formula>0.9</formula>
    </cfRule>
    <cfRule type="cellIs" dxfId="428" priority="304" operator="greaterThan">
      <formula>0.85</formula>
    </cfRule>
  </conditionalFormatting>
  <conditionalFormatting sqref="E22">
    <cfRule type="expression" dxfId="427" priority="299">
      <formula>AND(IF(OR($Q22=1,$Q22=2),1,0),IF($X22&lt;=20,1,0))</formula>
    </cfRule>
    <cfRule type="expression" dxfId="426" priority="300">
      <formula>AND(IF($Q22=2,1,0),IF($X22&lt;30,1,0))</formula>
    </cfRule>
    <cfRule type="expression" dxfId="425" priority="301">
      <formula>AND(IF($Q22=3,1,0),IF($X22&lt;30,1,0))</formula>
    </cfRule>
    <cfRule type="expression" dxfId="424" priority="302">
      <formula>AND(IF($Q22=3,1,IF($Q22=4,1,0)),IF($F22&lt;=85,1,0))</formula>
    </cfRule>
  </conditionalFormatting>
  <conditionalFormatting sqref="X22">
    <cfRule type="expression" dxfId="423" priority="295">
      <formula>AND(IF(OR($Q22=1,$Q22=2),1,0),IF($X22&lt;=20,1,0))</formula>
    </cfRule>
    <cfRule type="expression" dxfId="422" priority="296">
      <formula>AND(IF($Q22=2,1,0),IF($X22&lt;30,1,0))</formula>
    </cfRule>
    <cfRule type="expression" dxfId="421" priority="297">
      <formula>AND(IF($Q22=3,1,0),IF($X22&lt;30,1,0))</formula>
    </cfRule>
    <cfRule type="expression" dxfId="420" priority="298">
      <formula>AND(IF($Q22=3,1,IF($Q22=4,1,0)),IF($F22&lt;=85,1,0))</formula>
    </cfRule>
  </conditionalFormatting>
  <conditionalFormatting sqref="AI22">
    <cfRule type="expression" dxfId="419" priority="291">
      <formula>AND(IF(OR($Q22=1,$Q22=2),1,0),IF($X22&lt;=20,1,0))</formula>
    </cfRule>
    <cfRule type="expression" dxfId="418" priority="292">
      <formula>AND(IF($Q22=2,1,0),IF($X22&lt;30,1,0))</formula>
    </cfRule>
    <cfRule type="expression" dxfId="417" priority="293">
      <formula>AND(IF($Q22=3,1,0),IF($X22&lt;30,1,0))</formula>
    </cfRule>
    <cfRule type="expression" dxfId="416" priority="294">
      <formula>AND(IF($Q22=3,1,IF($Q22=4,1,0)),IF($F22&lt;=85,1,0))</formula>
    </cfRule>
  </conditionalFormatting>
  <conditionalFormatting sqref="AV23">
    <cfRule type="expression" dxfId="415" priority="289">
      <formula>AV23="X"</formula>
    </cfRule>
    <cfRule type="expression" dxfId="414" priority="290">
      <formula>AV23="후보"</formula>
    </cfRule>
  </conditionalFormatting>
  <conditionalFormatting sqref="AC23">
    <cfRule type="cellIs" dxfId="413" priority="286" operator="greaterThan">
      <formula>0.9</formula>
    </cfRule>
    <cfRule type="cellIs" dxfId="412" priority="287" operator="greaterThan">
      <formula>0.85</formula>
    </cfRule>
  </conditionalFormatting>
  <conditionalFormatting sqref="N23">
    <cfRule type="cellIs" dxfId="411" priority="284" operator="greaterThan">
      <formula>0.9</formula>
    </cfRule>
    <cfRule type="cellIs" dxfId="410" priority="285" operator="greaterThan">
      <formula>0.85</formula>
    </cfRule>
  </conditionalFormatting>
  <conditionalFormatting sqref="E23">
    <cfRule type="expression" dxfId="409" priority="280">
      <formula>AND(IF(OR($Q23=1,$Q23=2),1,0),IF($X23&lt;=20,1,0))</formula>
    </cfRule>
    <cfRule type="expression" dxfId="408" priority="281">
      <formula>AND(IF($Q23=2,1,0),IF($X23&lt;30,1,0))</formula>
    </cfRule>
    <cfRule type="expression" dxfId="407" priority="282">
      <formula>AND(IF($Q23=3,1,0),IF($X23&lt;30,1,0))</formula>
    </cfRule>
    <cfRule type="expression" dxfId="406" priority="283">
      <formula>AND(IF($Q23=3,1,IF($Q23=4,1,0)),IF($F23&lt;=85,1,0))</formula>
    </cfRule>
  </conditionalFormatting>
  <conditionalFormatting sqref="X23">
    <cfRule type="expression" dxfId="405" priority="276">
      <formula>AND(IF(OR($Q23=1,$Q23=2),1,0),IF($X23&lt;=20,1,0))</formula>
    </cfRule>
    <cfRule type="expression" dxfId="404" priority="277">
      <formula>AND(IF($Q23=2,1,0),IF($X23&lt;30,1,0))</formula>
    </cfRule>
    <cfRule type="expression" dxfId="403" priority="278">
      <formula>AND(IF($Q23=3,1,0),IF($X23&lt;30,1,0))</formula>
    </cfRule>
    <cfRule type="expression" dxfId="402" priority="279">
      <formula>AND(IF($Q23=3,1,IF($Q23=4,1,0)),IF($F23&lt;=85,1,0))</formula>
    </cfRule>
  </conditionalFormatting>
  <conditionalFormatting sqref="AI23">
    <cfRule type="expression" dxfId="401" priority="272">
      <formula>AND(IF(OR($Q23=1,$Q23=2),1,0),IF($X23&lt;=20,1,0))</formula>
    </cfRule>
    <cfRule type="expression" dxfId="400" priority="273">
      <formula>AND(IF($Q23=2,1,0),IF($X23&lt;30,1,0))</formula>
    </cfRule>
    <cfRule type="expression" dxfId="399" priority="274">
      <formula>AND(IF($Q23=3,1,0),IF($X23&lt;30,1,0))</formula>
    </cfRule>
    <cfRule type="expression" dxfId="398" priority="275">
      <formula>AND(IF($Q23=3,1,IF($Q23=4,1,0)),IF($F23&lt;=85,1,0))</formula>
    </cfRule>
  </conditionalFormatting>
  <conditionalFormatting sqref="AV24">
    <cfRule type="expression" dxfId="397" priority="270">
      <formula>AV24="X"</formula>
    </cfRule>
    <cfRule type="expression" dxfId="396" priority="271">
      <formula>AV24="후보"</formula>
    </cfRule>
  </conditionalFormatting>
  <conditionalFormatting sqref="AC24">
    <cfRule type="cellIs" dxfId="395" priority="267" operator="greaterThan">
      <formula>0.9</formula>
    </cfRule>
    <cfRule type="cellIs" dxfId="394" priority="268" operator="greaterThan">
      <formula>0.85</formula>
    </cfRule>
  </conditionalFormatting>
  <conditionalFormatting sqref="N24">
    <cfRule type="cellIs" dxfId="393" priority="265" operator="greaterThan">
      <formula>0.9</formula>
    </cfRule>
    <cfRule type="cellIs" dxfId="392" priority="266" operator="greaterThan">
      <formula>0.85</formula>
    </cfRule>
  </conditionalFormatting>
  <conditionalFormatting sqref="E24">
    <cfRule type="expression" dxfId="391" priority="261">
      <formula>AND(IF(OR($Q24=1,$Q24=2),1,0),IF($X24&lt;=20,1,0))</formula>
    </cfRule>
    <cfRule type="expression" dxfId="390" priority="262">
      <formula>AND(IF($Q24=2,1,0),IF($X24&lt;30,1,0))</formula>
    </cfRule>
    <cfRule type="expression" dxfId="389" priority="263">
      <formula>AND(IF($Q24=3,1,0),IF($X24&lt;30,1,0))</formula>
    </cfRule>
    <cfRule type="expression" dxfId="388" priority="264">
      <formula>AND(IF($Q24=3,1,IF($Q24=4,1,0)),IF($F24&lt;=85,1,0))</formula>
    </cfRule>
  </conditionalFormatting>
  <conditionalFormatting sqref="X24">
    <cfRule type="expression" dxfId="387" priority="257">
      <formula>AND(IF(OR($Q24=1,$Q24=2),1,0),IF($X24&lt;=20,1,0))</formula>
    </cfRule>
    <cfRule type="expression" dxfId="386" priority="258">
      <formula>AND(IF($Q24=2,1,0),IF($X24&lt;30,1,0))</formula>
    </cfRule>
    <cfRule type="expression" dxfId="385" priority="259">
      <formula>AND(IF($Q24=3,1,0),IF($X24&lt;30,1,0))</formula>
    </cfRule>
    <cfRule type="expression" dxfId="384" priority="260">
      <formula>AND(IF($Q24=3,1,IF($Q24=4,1,0)),IF($F24&lt;=85,1,0))</formula>
    </cfRule>
  </conditionalFormatting>
  <conditionalFormatting sqref="AI24">
    <cfRule type="expression" dxfId="383" priority="253">
      <formula>AND(IF(OR($Q24=1,$Q24=2),1,0),IF($X24&lt;=20,1,0))</formula>
    </cfRule>
    <cfRule type="expression" dxfId="382" priority="254">
      <formula>AND(IF($Q24=2,1,0),IF($X24&lt;30,1,0))</formula>
    </cfRule>
    <cfRule type="expression" dxfId="381" priority="255">
      <formula>AND(IF($Q24=3,1,0),IF($X24&lt;30,1,0))</formula>
    </cfRule>
    <cfRule type="expression" dxfId="380" priority="256">
      <formula>AND(IF($Q24=3,1,IF($Q24=4,1,0)),IF($F24&lt;=85,1,0))</formula>
    </cfRule>
  </conditionalFormatting>
  <conditionalFormatting sqref="AV25">
    <cfRule type="expression" dxfId="379" priority="251">
      <formula>AV25="X"</formula>
    </cfRule>
    <cfRule type="expression" dxfId="378" priority="252">
      <formula>AV25="후보"</formula>
    </cfRule>
  </conditionalFormatting>
  <conditionalFormatting sqref="AC25">
    <cfRule type="cellIs" dxfId="377" priority="248" operator="greaterThan">
      <formula>0.9</formula>
    </cfRule>
    <cfRule type="cellIs" dxfId="376" priority="249" operator="greaterThan">
      <formula>0.85</formula>
    </cfRule>
  </conditionalFormatting>
  <conditionalFormatting sqref="N25">
    <cfRule type="cellIs" dxfId="375" priority="246" operator="greaterThan">
      <formula>0.9</formula>
    </cfRule>
    <cfRule type="cellIs" dxfId="374" priority="247" operator="greaterThan">
      <formula>0.85</formula>
    </cfRule>
  </conditionalFormatting>
  <conditionalFormatting sqref="E25">
    <cfRule type="expression" dxfId="373" priority="242">
      <formula>AND(IF(OR($Q25=1,$Q25=2),1,0),IF($X25&lt;=20,1,0))</formula>
    </cfRule>
    <cfRule type="expression" dxfId="372" priority="243">
      <formula>AND(IF($Q25=2,1,0),IF($X25&lt;30,1,0))</formula>
    </cfRule>
    <cfRule type="expression" dxfId="371" priority="244">
      <formula>AND(IF($Q25=3,1,0),IF($X25&lt;30,1,0))</formula>
    </cfRule>
    <cfRule type="expression" dxfId="370" priority="245">
      <formula>AND(IF($Q25=3,1,IF($Q25=4,1,0)),IF($F25&lt;=85,1,0))</formula>
    </cfRule>
  </conditionalFormatting>
  <conditionalFormatting sqref="X25">
    <cfRule type="expression" dxfId="369" priority="238">
      <formula>AND(IF(OR($Q25=1,$Q25=2),1,0),IF($X25&lt;=20,1,0))</formula>
    </cfRule>
    <cfRule type="expression" dxfId="368" priority="239">
      <formula>AND(IF($Q25=2,1,0),IF($X25&lt;30,1,0))</formula>
    </cfRule>
    <cfRule type="expression" dxfId="367" priority="240">
      <formula>AND(IF($Q25=3,1,0),IF($X25&lt;30,1,0))</formula>
    </cfRule>
    <cfRule type="expression" dxfId="366" priority="241">
      <formula>AND(IF($Q25=3,1,IF($Q25=4,1,0)),IF($F25&lt;=85,1,0))</formula>
    </cfRule>
  </conditionalFormatting>
  <conditionalFormatting sqref="AI25">
    <cfRule type="expression" dxfId="365" priority="234">
      <formula>AND(IF(OR($Q25=1,$Q25=2),1,0),IF($X25&lt;=20,1,0))</formula>
    </cfRule>
    <cfRule type="expression" dxfId="364" priority="235">
      <formula>AND(IF($Q25=2,1,0),IF($X25&lt;30,1,0))</formula>
    </cfRule>
    <cfRule type="expression" dxfId="363" priority="236">
      <formula>AND(IF($Q25=3,1,0),IF($X25&lt;30,1,0))</formula>
    </cfRule>
    <cfRule type="expression" dxfId="362" priority="237">
      <formula>AND(IF($Q25=3,1,IF($Q25=4,1,0)),IF($F25&lt;=85,1,0))</formula>
    </cfRule>
  </conditionalFormatting>
  <conditionalFormatting sqref="AV26">
    <cfRule type="expression" dxfId="361" priority="232">
      <formula>AV26="X"</formula>
    </cfRule>
    <cfRule type="expression" dxfId="360" priority="233">
      <formula>AV26="후보"</formula>
    </cfRule>
  </conditionalFormatting>
  <conditionalFormatting sqref="AC26">
    <cfRule type="cellIs" dxfId="359" priority="229" operator="greaterThan">
      <formula>0.9</formula>
    </cfRule>
    <cfRule type="cellIs" dxfId="358" priority="230" operator="greaterThan">
      <formula>0.85</formula>
    </cfRule>
  </conditionalFormatting>
  <conditionalFormatting sqref="N26">
    <cfRule type="cellIs" dxfId="357" priority="227" operator="greaterThan">
      <formula>0.9</formula>
    </cfRule>
    <cfRule type="cellIs" dxfId="356" priority="228" operator="greaterThan">
      <formula>0.85</formula>
    </cfRule>
  </conditionalFormatting>
  <conditionalFormatting sqref="E26">
    <cfRule type="expression" dxfId="355" priority="223">
      <formula>AND(IF(OR($Q26=1,$Q26=2),1,0),IF($X26&lt;=20,1,0))</formula>
    </cfRule>
    <cfRule type="expression" dxfId="354" priority="224">
      <formula>AND(IF($Q26=2,1,0),IF($X26&lt;30,1,0))</formula>
    </cfRule>
    <cfRule type="expression" dxfId="353" priority="225">
      <formula>AND(IF($Q26=3,1,0),IF($X26&lt;30,1,0))</formula>
    </cfRule>
    <cfRule type="expression" dxfId="352" priority="226">
      <formula>AND(IF($Q26=3,1,IF($Q26=4,1,0)),IF($F26&lt;=85,1,0))</formula>
    </cfRule>
  </conditionalFormatting>
  <conditionalFormatting sqref="X26">
    <cfRule type="expression" dxfId="351" priority="219">
      <formula>AND(IF(OR($Q26=1,$Q26=2),1,0),IF($X26&lt;=20,1,0))</formula>
    </cfRule>
    <cfRule type="expression" dxfId="350" priority="220">
      <formula>AND(IF($Q26=2,1,0),IF($X26&lt;30,1,0))</formula>
    </cfRule>
    <cfRule type="expression" dxfId="349" priority="221">
      <formula>AND(IF($Q26=3,1,0),IF($X26&lt;30,1,0))</formula>
    </cfRule>
    <cfRule type="expression" dxfId="348" priority="222">
      <formula>AND(IF($Q26=3,1,IF($Q26=4,1,0)),IF($F26&lt;=85,1,0))</formula>
    </cfRule>
  </conditionalFormatting>
  <conditionalFormatting sqref="AI26">
    <cfRule type="expression" dxfId="347" priority="215">
      <formula>AND(IF(OR($Q26=1,$Q26=2),1,0),IF($X26&lt;=20,1,0))</formula>
    </cfRule>
    <cfRule type="expression" dxfId="346" priority="216">
      <formula>AND(IF($Q26=2,1,0),IF($X26&lt;30,1,0))</formula>
    </cfRule>
    <cfRule type="expression" dxfId="345" priority="217">
      <formula>AND(IF($Q26=3,1,0),IF($X26&lt;30,1,0))</formula>
    </cfRule>
    <cfRule type="expression" dxfId="344" priority="218">
      <formula>AND(IF($Q26=3,1,IF($Q26=4,1,0)),IF($F26&lt;=85,1,0))</formula>
    </cfRule>
  </conditionalFormatting>
  <conditionalFormatting sqref="AV27">
    <cfRule type="expression" dxfId="343" priority="213">
      <formula>AV27="X"</formula>
    </cfRule>
    <cfRule type="expression" dxfId="342" priority="214">
      <formula>AV27="후보"</formula>
    </cfRule>
  </conditionalFormatting>
  <conditionalFormatting sqref="AC27">
    <cfRule type="cellIs" dxfId="341" priority="210" operator="greaterThan">
      <formula>0.9</formula>
    </cfRule>
    <cfRule type="cellIs" dxfId="340" priority="211" operator="greaterThan">
      <formula>0.85</formula>
    </cfRule>
  </conditionalFormatting>
  <conditionalFormatting sqref="N27">
    <cfRule type="cellIs" dxfId="339" priority="208" operator="greaterThan">
      <formula>0.9</formula>
    </cfRule>
    <cfRule type="cellIs" dxfId="338" priority="209" operator="greaterThan">
      <formula>0.85</formula>
    </cfRule>
  </conditionalFormatting>
  <conditionalFormatting sqref="E27">
    <cfRule type="expression" dxfId="337" priority="204">
      <formula>AND(IF(OR($Q27=1,$Q27=2),1,0),IF($X27&lt;=20,1,0))</formula>
    </cfRule>
    <cfRule type="expression" dxfId="336" priority="205">
      <formula>AND(IF($Q27=2,1,0),IF($X27&lt;30,1,0))</formula>
    </cfRule>
    <cfRule type="expression" dxfId="335" priority="206">
      <formula>AND(IF($Q27=3,1,0),IF($X27&lt;30,1,0))</formula>
    </cfRule>
    <cfRule type="expression" dxfId="334" priority="207">
      <formula>AND(IF($Q27=3,1,IF($Q27=4,1,0)),IF($F27&lt;=85,1,0))</formula>
    </cfRule>
  </conditionalFormatting>
  <conditionalFormatting sqref="X27">
    <cfRule type="expression" dxfId="333" priority="200">
      <formula>AND(IF(OR($Q27=1,$Q27=2),1,0),IF($X27&lt;=20,1,0))</formula>
    </cfRule>
    <cfRule type="expression" dxfId="332" priority="201">
      <formula>AND(IF($Q27=2,1,0),IF($X27&lt;30,1,0))</formula>
    </cfRule>
    <cfRule type="expression" dxfId="331" priority="202">
      <formula>AND(IF($Q27=3,1,0),IF($X27&lt;30,1,0))</formula>
    </cfRule>
    <cfRule type="expression" dxfId="330" priority="203">
      <formula>AND(IF($Q27=3,1,IF($Q27=4,1,0)),IF($F27&lt;=85,1,0))</formula>
    </cfRule>
  </conditionalFormatting>
  <conditionalFormatting sqref="AI27">
    <cfRule type="expression" dxfId="329" priority="196">
      <formula>AND(IF(OR($Q27=1,$Q27=2),1,0),IF($X27&lt;=20,1,0))</formula>
    </cfRule>
    <cfRule type="expression" dxfId="328" priority="197">
      <formula>AND(IF($Q27=2,1,0),IF($X27&lt;30,1,0))</formula>
    </cfRule>
    <cfRule type="expression" dxfId="327" priority="198">
      <formula>AND(IF($Q27=3,1,0),IF($X27&lt;30,1,0))</formula>
    </cfRule>
    <cfRule type="expression" dxfId="326" priority="199">
      <formula>AND(IF($Q27=3,1,IF($Q27=4,1,0)),IF($F27&lt;=85,1,0))</formula>
    </cfRule>
  </conditionalFormatting>
  <conditionalFormatting sqref="AV28">
    <cfRule type="expression" dxfId="325" priority="194">
      <formula>AV28="X"</formula>
    </cfRule>
    <cfRule type="expression" dxfId="324" priority="195">
      <formula>AV28="후보"</formula>
    </cfRule>
  </conditionalFormatting>
  <conditionalFormatting sqref="AC28">
    <cfRule type="cellIs" dxfId="323" priority="191" operator="greaterThan">
      <formula>0.9</formula>
    </cfRule>
    <cfRule type="cellIs" dxfId="322" priority="192" operator="greaterThan">
      <formula>0.85</formula>
    </cfRule>
  </conditionalFormatting>
  <conditionalFormatting sqref="N28">
    <cfRule type="cellIs" dxfId="321" priority="189" operator="greaterThan">
      <formula>0.9</formula>
    </cfRule>
    <cfRule type="cellIs" dxfId="320" priority="190" operator="greaterThan">
      <formula>0.85</formula>
    </cfRule>
  </conditionalFormatting>
  <conditionalFormatting sqref="E28">
    <cfRule type="expression" dxfId="319" priority="185">
      <formula>AND(IF(OR($Q28=1,$Q28=2),1,0),IF($X28&lt;=20,1,0))</formula>
    </cfRule>
    <cfRule type="expression" dxfId="318" priority="186">
      <formula>AND(IF($Q28=2,1,0),IF($X28&lt;30,1,0))</formula>
    </cfRule>
    <cfRule type="expression" dxfId="317" priority="187">
      <formula>AND(IF($Q28=3,1,0),IF($X28&lt;30,1,0))</formula>
    </cfRule>
    <cfRule type="expression" dxfId="316" priority="188">
      <formula>AND(IF($Q28=3,1,IF($Q28=4,1,0)),IF($F28&lt;=85,1,0))</formula>
    </cfRule>
  </conditionalFormatting>
  <conditionalFormatting sqref="X28">
    <cfRule type="expression" dxfId="315" priority="181">
      <formula>AND(IF(OR($Q28=1,$Q28=2),1,0),IF($X28&lt;=20,1,0))</formula>
    </cfRule>
    <cfRule type="expression" dxfId="314" priority="182">
      <formula>AND(IF($Q28=2,1,0),IF($X28&lt;30,1,0))</formula>
    </cfRule>
    <cfRule type="expression" dxfId="313" priority="183">
      <formula>AND(IF($Q28=3,1,0),IF($X28&lt;30,1,0))</formula>
    </cfRule>
    <cfRule type="expression" dxfId="312" priority="184">
      <formula>AND(IF($Q28=3,1,IF($Q28=4,1,0)),IF($F28&lt;=85,1,0))</formula>
    </cfRule>
  </conditionalFormatting>
  <conditionalFormatting sqref="AI28">
    <cfRule type="expression" dxfId="311" priority="177">
      <formula>AND(IF(OR($Q28=1,$Q28=2),1,0),IF($X28&lt;=20,1,0))</formula>
    </cfRule>
    <cfRule type="expression" dxfId="310" priority="178">
      <formula>AND(IF($Q28=2,1,0),IF($X28&lt;30,1,0))</formula>
    </cfRule>
    <cfRule type="expression" dxfId="309" priority="179">
      <formula>AND(IF($Q28=3,1,0),IF($X28&lt;30,1,0))</formula>
    </cfRule>
    <cfRule type="expression" dxfId="308" priority="180">
      <formula>AND(IF($Q28=3,1,IF($Q28=4,1,0)),IF($F28&lt;=85,1,0))</formula>
    </cfRule>
  </conditionalFormatting>
  <conditionalFormatting sqref="AV29">
    <cfRule type="expression" dxfId="307" priority="175">
      <formula>AV29="X"</formula>
    </cfRule>
    <cfRule type="expression" dxfId="306" priority="176">
      <formula>AV29="후보"</formula>
    </cfRule>
  </conditionalFormatting>
  <conditionalFormatting sqref="AC29">
    <cfRule type="cellIs" dxfId="305" priority="172" operator="greaterThan">
      <formula>0.9</formula>
    </cfRule>
    <cfRule type="cellIs" dxfId="304" priority="173" operator="greaterThan">
      <formula>0.85</formula>
    </cfRule>
  </conditionalFormatting>
  <conditionalFormatting sqref="N29">
    <cfRule type="cellIs" dxfId="303" priority="170" operator="greaterThan">
      <formula>0.9</formula>
    </cfRule>
    <cfRule type="cellIs" dxfId="302" priority="171" operator="greaterThan">
      <formula>0.85</formula>
    </cfRule>
  </conditionalFormatting>
  <conditionalFormatting sqref="E29">
    <cfRule type="expression" dxfId="301" priority="166">
      <formula>AND(IF(OR($Q29=1,$Q29=2),1,0),IF($X29&lt;=20,1,0))</formula>
    </cfRule>
    <cfRule type="expression" dxfId="300" priority="167">
      <formula>AND(IF($Q29=2,1,0),IF($X29&lt;30,1,0))</formula>
    </cfRule>
    <cfRule type="expression" dxfId="299" priority="168">
      <formula>AND(IF($Q29=3,1,0),IF($X29&lt;30,1,0))</formula>
    </cfRule>
    <cfRule type="expression" dxfId="298" priority="169">
      <formula>AND(IF($Q29=3,1,IF($Q29=4,1,0)),IF($F29&lt;=85,1,0))</formula>
    </cfRule>
  </conditionalFormatting>
  <conditionalFormatting sqref="X29">
    <cfRule type="expression" dxfId="297" priority="162">
      <formula>AND(IF(OR($Q29=1,$Q29=2),1,0),IF($X29&lt;=20,1,0))</formula>
    </cfRule>
    <cfRule type="expression" dxfId="296" priority="163">
      <formula>AND(IF($Q29=2,1,0),IF($X29&lt;30,1,0))</formula>
    </cfRule>
    <cfRule type="expression" dxfId="295" priority="164">
      <formula>AND(IF($Q29=3,1,0),IF($X29&lt;30,1,0))</formula>
    </cfRule>
    <cfRule type="expression" dxfId="294" priority="165">
      <formula>AND(IF($Q29=3,1,IF($Q29=4,1,0)),IF($F29&lt;=85,1,0))</formula>
    </cfRule>
  </conditionalFormatting>
  <conditionalFormatting sqref="AI29">
    <cfRule type="expression" dxfId="293" priority="158">
      <formula>AND(IF(OR($Q29=1,$Q29=2),1,0),IF($X29&lt;=20,1,0))</formula>
    </cfRule>
    <cfRule type="expression" dxfId="292" priority="159">
      <formula>AND(IF($Q29=2,1,0),IF($X29&lt;30,1,0))</formula>
    </cfRule>
    <cfRule type="expression" dxfId="291" priority="160">
      <formula>AND(IF($Q29=3,1,0),IF($X29&lt;30,1,0))</formula>
    </cfRule>
    <cfRule type="expression" dxfId="290" priority="161">
      <formula>AND(IF($Q29=3,1,IF($Q29=4,1,0)),IF($F29&lt;=85,1,0))</formula>
    </cfRule>
  </conditionalFormatting>
  <conditionalFormatting sqref="AV30">
    <cfRule type="expression" dxfId="289" priority="156">
      <formula>AV30="X"</formula>
    </cfRule>
    <cfRule type="expression" dxfId="288" priority="157">
      <formula>AV30="후보"</formula>
    </cfRule>
  </conditionalFormatting>
  <conditionalFormatting sqref="AC30">
    <cfRule type="cellIs" dxfId="287" priority="153" operator="greaterThan">
      <formula>0.9</formula>
    </cfRule>
    <cfRule type="cellIs" dxfId="286" priority="154" operator="greaterThan">
      <formula>0.85</formula>
    </cfRule>
  </conditionalFormatting>
  <conditionalFormatting sqref="N30">
    <cfRule type="cellIs" dxfId="285" priority="151" operator="greaterThan">
      <formula>0.9</formula>
    </cfRule>
    <cfRule type="cellIs" dxfId="284" priority="152" operator="greaterThan">
      <formula>0.85</formula>
    </cfRule>
  </conditionalFormatting>
  <conditionalFormatting sqref="E30">
    <cfRule type="expression" dxfId="283" priority="147">
      <formula>AND(IF(OR($Q30=1,$Q30=2),1,0),IF($X30&lt;=20,1,0))</formula>
    </cfRule>
    <cfRule type="expression" dxfId="282" priority="148">
      <formula>AND(IF($Q30=2,1,0),IF($X30&lt;30,1,0))</formula>
    </cfRule>
    <cfRule type="expression" dxfId="281" priority="149">
      <formula>AND(IF($Q30=3,1,0),IF($X30&lt;30,1,0))</formula>
    </cfRule>
    <cfRule type="expression" dxfId="280" priority="150">
      <formula>AND(IF($Q30=3,1,IF($Q30=4,1,0)),IF($F30&lt;=85,1,0))</formula>
    </cfRule>
  </conditionalFormatting>
  <conditionalFormatting sqref="X30">
    <cfRule type="expression" dxfId="279" priority="143">
      <formula>AND(IF(OR($Q30=1,$Q30=2),1,0),IF($X30&lt;=20,1,0))</formula>
    </cfRule>
    <cfRule type="expression" dxfId="278" priority="144">
      <formula>AND(IF($Q30=2,1,0),IF($X30&lt;30,1,0))</formula>
    </cfRule>
    <cfRule type="expression" dxfId="277" priority="145">
      <formula>AND(IF($Q30=3,1,0),IF($X30&lt;30,1,0))</formula>
    </cfRule>
    <cfRule type="expression" dxfId="276" priority="146">
      <formula>AND(IF($Q30=3,1,IF($Q30=4,1,0)),IF($F30&lt;=85,1,0))</formula>
    </cfRule>
  </conditionalFormatting>
  <conditionalFormatting sqref="AI30">
    <cfRule type="expression" dxfId="275" priority="139">
      <formula>AND(IF(OR($Q30=1,$Q30=2),1,0),IF($X30&lt;=20,1,0))</formula>
    </cfRule>
    <cfRule type="expression" dxfId="274" priority="140">
      <formula>AND(IF($Q30=2,1,0),IF($X30&lt;30,1,0))</formula>
    </cfRule>
    <cfRule type="expression" dxfId="273" priority="141">
      <formula>AND(IF($Q30=3,1,0),IF($X30&lt;30,1,0))</formula>
    </cfRule>
    <cfRule type="expression" dxfId="272" priority="142">
      <formula>AND(IF($Q30=3,1,IF($Q30=4,1,0)),IF($F30&lt;=85,1,0))</formula>
    </cfRule>
  </conditionalFormatting>
  <conditionalFormatting sqref="AV31">
    <cfRule type="expression" dxfId="271" priority="137">
      <formula>AV31="X"</formula>
    </cfRule>
    <cfRule type="expression" dxfId="270" priority="138">
      <formula>AV31="후보"</formula>
    </cfRule>
  </conditionalFormatting>
  <conditionalFormatting sqref="AC31">
    <cfRule type="cellIs" dxfId="269" priority="134" operator="greaterThan">
      <formula>0.9</formula>
    </cfRule>
    <cfRule type="cellIs" dxfId="268" priority="135" operator="greaterThan">
      <formula>0.85</formula>
    </cfRule>
  </conditionalFormatting>
  <conditionalFormatting sqref="N31">
    <cfRule type="cellIs" dxfId="267" priority="132" operator="greaterThan">
      <formula>0.9</formula>
    </cfRule>
    <cfRule type="cellIs" dxfId="266" priority="133" operator="greaterThan">
      <formula>0.85</formula>
    </cfRule>
  </conditionalFormatting>
  <conditionalFormatting sqref="E31">
    <cfRule type="expression" dxfId="265" priority="128">
      <formula>AND(IF(OR($Q31=1,$Q31=2),1,0),IF($X31&lt;=20,1,0))</formula>
    </cfRule>
    <cfRule type="expression" dxfId="264" priority="129">
      <formula>AND(IF($Q31=2,1,0),IF($X31&lt;30,1,0))</formula>
    </cfRule>
    <cfRule type="expression" dxfId="263" priority="130">
      <formula>AND(IF($Q31=3,1,0),IF($X31&lt;30,1,0))</formula>
    </cfRule>
    <cfRule type="expression" dxfId="262" priority="131">
      <formula>AND(IF($Q31=3,1,IF($Q31=4,1,0)),IF($F31&lt;=85,1,0))</formula>
    </cfRule>
  </conditionalFormatting>
  <conditionalFormatting sqref="X31">
    <cfRule type="expression" dxfId="261" priority="124">
      <formula>AND(IF(OR($Q31=1,$Q31=2),1,0),IF($X31&lt;=20,1,0))</formula>
    </cfRule>
    <cfRule type="expression" dxfId="260" priority="125">
      <formula>AND(IF($Q31=2,1,0),IF($X31&lt;30,1,0))</formula>
    </cfRule>
    <cfRule type="expression" dxfId="259" priority="126">
      <formula>AND(IF($Q31=3,1,0),IF($X31&lt;30,1,0))</formula>
    </cfRule>
    <cfRule type="expression" dxfId="258" priority="127">
      <formula>AND(IF($Q31=3,1,IF($Q31=4,1,0)),IF($F31&lt;=85,1,0))</formula>
    </cfRule>
  </conditionalFormatting>
  <conditionalFormatting sqref="AI31">
    <cfRule type="expression" dxfId="257" priority="120">
      <formula>AND(IF(OR($Q31=1,$Q31=2),1,0),IF($X31&lt;=20,1,0))</formula>
    </cfRule>
    <cfRule type="expression" dxfId="256" priority="121">
      <formula>AND(IF($Q31=2,1,0),IF($X31&lt;30,1,0))</formula>
    </cfRule>
    <cfRule type="expression" dxfId="255" priority="122">
      <formula>AND(IF($Q31=3,1,0),IF($X31&lt;30,1,0))</formula>
    </cfRule>
    <cfRule type="expression" dxfId="254" priority="123">
      <formula>AND(IF($Q31=3,1,IF($Q31=4,1,0)),IF($F31&lt;=85,1,0))</formula>
    </cfRule>
  </conditionalFormatting>
  <conditionalFormatting sqref="AV32">
    <cfRule type="expression" dxfId="253" priority="118">
      <formula>AV32="X"</formula>
    </cfRule>
    <cfRule type="expression" dxfId="252" priority="119">
      <formula>AV32="후보"</formula>
    </cfRule>
  </conditionalFormatting>
  <conditionalFormatting sqref="AC32">
    <cfRule type="cellIs" dxfId="251" priority="115" operator="greaterThan">
      <formula>0.9</formula>
    </cfRule>
    <cfRule type="cellIs" dxfId="250" priority="116" operator="greaterThan">
      <formula>0.85</formula>
    </cfRule>
  </conditionalFormatting>
  <conditionalFormatting sqref="N32">
    <cfRule type="cellIs" dxfId="249" priority="113" operator="greaterThan">
      <formula>0.9</formula>
    </cfRule>
    <cfRule type="cellIs" dxfId="248" priority="114" operator="greaterThan">
      <formula>0.85</formula>
    </cfRule>
  </conditionalFormatting>
  <conditionalFormatting sqref="E32">
    <cfRule type="expression" dxfId="247" priority="109">
      <formula>AND(IF(OR($Q32=1,$Q32=2),1,0),IF($X32&lt;=20,1,0))</formula>
    </cfRule>
    <cfRule type="expression" dxfId="246" priority="110">
      <formula>AND(IF($Q32=2,1,0),IF($X32&lt;30,1,0))</formula>
    </cfRule>
    <cfRule type="expression" dxfId="245" priority="111">
      <formula>AND(IF($Q32=3,1,0),IF($X32&lt;30,1,0))</formula>
    </cfRule>
    <cfRule type="expression" dxfId="244" priority="112">
      <formula>AND(IF($Q32=3,1,IF($Q32=4,1,0)),IF($F32&lt;=85,1,0))</formula>
    </cfRule>
  </conditionalFormatting>
  <conditionalFormatting sqref="X32">
    <cfRule type="expression" dxfId="243" priority="105">
      <formula>AND(IF(OR($Q32=1,$Q32=2),1,0),IF($X32&lt;=20,1,0))</formula>
    </cfRule>
    <cfRule type="expression" dxfId="242" priority="106">
      <formula>AND(IF($Q32=2,1,0),IF($X32&lt;30,1,0))</formula>
    </cfRule>
    <cfRule type="expression" dxfId="241" priority="107">
      <formula>AND(IF($Q32=3,1,0),IF($X32&lt;30,1,0))</formula>
    </cfRule>
    <cfRule type="expression" dxfId="240" priority="108">
      <formula>AND(IF($Q32=3,1,IF($Q32=4,1,0)),IF($F32&lt;=85,1,0))</formula>
    </cfRule>
  </conditionalFormatting>
  <conditionalFormatting sqref="AI32">
    <cfRule type="expression" dxfId="239" priority="101">
      <formula>AND(IF(OR($Q32=1,$Q32=2),1,0),IF($X32&lt;=20,1,0))</formula>
    </cfRule>
    <cfRule type="expression" dxfId="238" priority="102">
      <formula>AND(IF($Q32=2,1,0),IF($X32&lt;30,1,0))</formula>
    </cfRule>
    <cfRule type="expression" dxfId="237" priority="103">
      <formula>AND(IF($Q32=3,1,0),IF($X32&lt;30,1,0))</formula>
    </cfRule>
    <cfRule type="expression" dxfId="236" priority="104">
      <formula>AND(IF($Q32=3,1,IF($Q32=4,1,0)),IF($F32&lt;=85,1,0))</formula>
    </cfRule>
  </conditionalFormatting>
  <conditionalFormatting sqref="AV33">
    <cfRule type="expression" dxfId="235" priority="99">
      <formula>AV33="X"</formula>
    </cfRule>
    <cfRule type="expression" dxfId="234" priority="100">
      <formula>AV33="후보"</formula>
    </cfRule>
  </conditionalFormatting>
  <conditionalFormatting sqref="AC33 N33">
    <cfRule type="cellIs" dxfId="233" priority="96" operator="greaterThan">
      <formula>0.9</formula>
    </cfRule>
    <cfRule type="cellIs" dxfId="232" priority="97" operator="greaterThan">
      <formula>0.85</formula>
    </cfRule>
  </conditionalFormatting>
  <conditionalFormatting sqref="AV34">
    <cfRule type="expression" dxfId="231" priority="94">
      <formula>AV34="X"</formula>
    </cfRule>
    <cfRule type="expression" dxfId="230" priority="95">
      <formula>AV34="후보"</formula>
    </cfRule>
  </conditionalFormatting>
  <conditionalFormatting sqref="AC34">
    <cfRule type="cellIs" dxfId="229" priority="91" operator="greaterThan">
      <formula>0.9</formula>
    </cfRule>
    <cfRule type="cellIs" dxfId="228" priority="92" operator="greaterThan">
      <formula>0.85</formula>
    </cfRule>
  </conditionalFormatting>
  <conditionalFormatting sqref="N34">
    <cfRule type="cellIs" dxfId="227" priority="89" operator="greaterThan">
      <formula>0.9</formula>
    </cfRule>
    <cfRule type="cellIs" dxfId="226" priority="90" operator="greaterThan">
      <formula>0.85</formula>
    </cfRule>
  </conditionalFormatting>
  <conditionalFormatting sqref="E34">
    <cfRule type="expression" dxfId="225" priority="85">
      <formula>AND(IF(OR($Q34=1,$Q34=2),1,0),IF($X34&lt;=20,1,0))</formula>
    </cfRule>
    <cfRule type="expression" dxfId="224" priority="86">
      <formula>AND(IF($Q34=2,1,0),IF($X34&lt;30,1,0))</formula>
    </cfRule>
    <cfRule type="expression" dxfId="223" priority="87">
      <formula>AND(IF($Q34=3,1,0),IF($X34&lt;30,1,0))</formula>
    </cfRule>
    <cfRule type="expression" dxfId="222" priority="88">
      <formula>AND(IF($Q34=3,1,IF($Q34=4,1,0)),IF($F34&lt;=85,1,0))</formula>
    </cfRule>
  </conditionalFormatting>
  <conditionalFormatting sqref="X34">
    <cfRule type="expression" dxfId="221" priority="81">
      <formula>AND(IF(OR($Q34=1,$Q34=2),1,0),IF($X34&lt;=20,1,0))</formula>
    </cfRule>
    <cfRule type="expression" dxfId="220" priority="82">
      <formula>AND(IF($Q34=2,1,0),IF($X34&lt;30,1,0))</formula>
    </cfRule>
    <cfRule type="expression" dxfId="219" priority="83">
      <formula>AND(IF($Q34=3,1,0),IF($X34&lt;30,1,0))</formula>
    </cfRule>
    <cfRule type="expression" dxfId="218" priority="84">
      <formula>AND(IF($Q34=3,1,IF($Q34=4,1,0)),IF($F34&lt;=85,1,0))</formula>
    </cfRule>
  </conditionalFormatting>
  <conditionalFormatting sqref="AI34">
    <cfRule type="expression" dxfId="217" priority="77">
      <formula>AND(IF(OR($Q34=1,$Q34=2),1,0),IF($X34&lt;=20,1,0))</formula>
    </cfRule>
    <cfRule type="expression" dxfId="216" priority="78">
      <formula>AND(IF($Q34=2,1,0),IF($X34&lt;30,1,0))</formula>
    </cfRule>
    <cfRule type="expression" dxfId="215" priority="79">
      <formula>AND(IF($Q34=3,1,0),IF($X34&lt;30,1,0))</formula>
    </cfRule>
    <cfRule type="expression" dxfId="214" priority="80">
      <formula>AND(IF($Q34=3,1,IF($Q34=4,1,0)),IF($F34&lt;=85,1,0))</formula>
    </cfRule>
  </conditionalFormatting>
  <conditionalFormatting sqref="AV35">
    <cfRule type="expression" dxfId="213" priority="75">
      <formula>AV35="X"</formula>
    </cfRule>
    <cfRule type="expression" dxfId="212" priority="76">
      <formula>AV35="후보"</formula>
    </cfRule>
  </conditionalFormatting>
  <conditionalFormatting sqref="AC35">
    <cfRule type="cellIs" dxfId="211" priority="72" operator="greaterThan">
      <formula>0.9</formula>
    </cfRule>
    <cfRule type="cellIs" dxfId="210" priority="73" operator="greaterThan">
      <formula>0.85</formula>
    </cfRule>
  </conditionalFormatting>
  <conditionalFormatting sqref="N35">
    <cfRule type="cellIs" dxfId="209" priority="70" operator="greaterThan">
      <formula>0.9</formula>
    </cfRule>
    <cfRule type="cellIs" dxfId="208" priority="71" operator="greaterThan">
      <formula>0.85</formula>
    </cfRule>
  </conditionalFormatting>
  <conditionalFormatting sqref="E35">
    <cfRule type="expression" dxfId="207" priority="66">
      <formula>AND(IF(OR($Q35=1,$Q35=2),1,0),IF($X35&lt;=20,1,0))</formula>
    </cfRule>
    <cfRule type="expression" dxfId="206" priority="67">
      <formula>AND(IF($Q35=2,1,0),IF($X35&lt;30,1,0))</formula>
    </cfRule>
    <cfRule type="expression" dxfId="205" priority="68">
      <formula>AND(IF($Q35=3,1,0),IF($X35&lt;30,1,0))</formula>
    </cfRule>
    <cfRule type="expression" dxfId="204" priority="69">
      <formula>AND(IF($Q35=3,1,IF($Q35=4,1,0)),IF($F35&lt;=85,1,0))</formula>
    </cfRule>
  </conditionalFormatting>
  <conditionalFormatting sqref="X35">
    <cfRule type="expression" dxfId="203" priority="62">
      <formula>AND(IF(OR($Q35=1,$Q35=2),1,0),IF($X35&lt;=20,1,0))</formula>
    </cfRule>
    <cfRule type="expression" dxfId="202" priority="63">
      <formula>AND(IF($Q35=2,1,0),IF($X35&lt;30,1,0))</formula>
    </cfRule>
    <cfRule type="expression" dxfId="201" priority="64">
      <formula>AND(IF($Q35=3,1,0),IF($X35&lt;30,1,0))</formula>
    </cfRule>
    <cfRule type="expression" dxfId="200" priority="65">
      <formula>AND(IF($Q35=3,1,IF($Q35=4,1,0)),IF($F35&lt;=85,1,0))</formula>
    </cfRule>
  </conditionalFormatting>
  <conditionalFormatting sqref="AI35">
    <cfRule type="expression" dxfId="199" priority="58">
      <formula>AND(IF(OR($Q35=1,$Q35=2),1,0),IF($X35&lt;=20,1,0))</formula>
    </cfRule>
    <cfRule type="expression" dxfId="198" priority="59">
      <formula>AND(IF($Q35=2,1,0),IF($X35&lt;30,1,0))</formula>
    </cfRule>
    <cfRule type="expression" dxfId="197" priority="60">
      <formula>AND(IF($Q35=3,1,0),IF($X35&lt;30,1,0))</formula>
    </cfRule>
    <cfRule type="expression" dxfId="196" priority="61">
      <formula>AND(IF($Q35=3,1,IF($Q35=4,1,0)),IF($F35&lt;=85,1,0))</formula>
    </cfRule>
  </conditionalFormatting>
  <conditionalFormatting sqref="AV36">
    <cfRule type="expression" dxfId="195" priority="56">
      <formula>AV36="X"</formula>
    </cfRule>
    <cfRule type="expression" dxfId="194" priority="57">
      <formula>AV36="후보"</formula>
    </cfRule>
  </conditionalFormatting>
  <conditionalFormatting sqref="AC36">
    <cfRule type="cellIs" dxfId="193" priority="53" operator="greaterThan">
      <formula>0.9</formula>
    </cfRule>
    <cfRule type="cellIs" dxfId="192" priority="54" operator="greaterThan">
      <formula>0.85</formula>
    </cfRule>
  </conditionalFormatting>
  <conditionalFormatting sqref="N36">
    <cfRule type="cellIs" dxfId="191" priority="51" operator="greaterThan">
      <formula>0.9</formula>
    </cfRule>
    <cfRule type="cellIs" dxfId="190" priority="52" operator="greaterThan">
      <formula>0.85</formula>
    </cfRule>
  </conditionalFormatting>
  <conditionalFormatting sqref="E36">
    <cfRule type="expression" dxfId="189" priority="47">
      <formula>AND(IF(OR($Q36=1,$Q36=2),1,0),IF($X36&lt;=20,1,0))</formula>
    </cfRule>
    <cfRule type="expression" dxfId="188" priority="48">
      <formula>AND(IF($Q36=2,1,0),IF($X36&lt;30,1,0))</formula>
    </cfRule>
    <cfRule type="expression" dxfId="187" priority="49">
      <formula>AND(IF($Q36=3,1,0),IF($X36&lt;30,1,0))</formula>
    </cfRule>
    <cfRule type="expression" dxfId="186" priority="50">
      <formula>AND(IF($Q36=3,1,IF($Q36=4,1,0)),IF($F36&lt;=85,1,0))</formula>
    </cfRule>
  </conditionalFormatting>
  <conditionalFormatting sqref="X36">
    <cfRule type="expression" dxfId="185" priority="43">
      <formula>AND(IF(OR($Q36=1,$Q36=2),1,0),IF($X36&lt;=20,1,0))</formula>
    </cfRule>
    <cfRule type="expression" dxfId="184" priority="44">
      <formula>AND(IF($Q36=2,1,0),IF($X36&lt;30,1,0))</formula>
    </cfRule>
    <cfRule type="expression" dxfId="183" priority="45">
      <formula>AND(IF($Q36=3,1,0),IF($X36&lt;30,1,0))</formula>
    </cfRule>
    <cfRule type="expression" dxfId="182" priority="46">
      <formula>AND(IF($Q36=3,1,IF($Q36=4,1,0)),IF($F36&lt;=85,1,0))</formula>
    </cfRule>
  </conditionalFormatting>
  <conditionalFormatting sqref="AI36">
    <cfRule type="expression" dxfId="181" priority="39">
      <formula>AND(IF(OR($Q36=1,$Q36=2),1,0),IF($X36&lt;=20,1,0))</formula>
    </cfRule>
    <cfRule type="expression" dxfId="180" priority="40">
      <formula>AND(IF($Q36=2,1,0),IF($X36&lt;30,1,0))</formula>
    </cfRule>
    <cfRule type="expression" dxfId="179" priority="41">
      <formula>AND(IF($Q36=3,1,0),IF($X36&lt;30,1,0))</formula>
    </cfRule>
    <cfRule type="expression" dxfId="178" priority="42">
      <formula>AND(IF($Q36=3,1,IF($Q36=4,1,0)),IF($F36&lt;=85,1,0))</formula>
    </cfRule>
  </conditionalFormatting>
  <conditionalFormatting sqref="AV37">
    <cfRule type="expression" dxfId="177" priority="37">
      <formula>AV37="X"</formula>
    </cfRule>
    <cfRule type="expression" dxfId="176" priority="38">
      <formula>AV37="후보"</formula>
    </cfRule>
  </conditionalFormatting>
  <conditionalFormatting sqref="AC37">
    <cfRule type="cellIs" dxfId="175" priority="34" operator="greaterThan">
      <formula>0.9</formula>
    </cfRule>
    <cfRule type="cellIs" dxfId="174" priority="35" operator="greaterThan">
      <formula>0.85</formula>
    </cfRule>
  </conditionalFormatting>
  <conditionalFormatting sqref="N37">
    <cfRule type="cellIs" dxfId="173" priority="32" operator="greaterThan">
      <formula>0.9</formula>
    </cfRule>
    <cfRule type="cellIs" dxfId="172" priority="33" operator="greaterThan">
      <formula>0.85</formula>
    </cfRule>
  </conditionalFormatting>
  <conditionalFormatting sqref="E37">
    <cfRule type="expression" dxfId="171" priority="28">
      <formula>AND(IF(OR($Q37=1,$Q37=2),1,0),IF($X37&lt;=20,1,0))</formula>
    </cfRule>
    <cfRule type="expression" dxfId="170" priority="29">
      <formula>AND(IF($Q37=2,1,0),IF($X37&lt;30,1,0))</formula>
    </cfRule>
    <cfRule type="expression" dxfId="169" priority="30">
      <formula>AND(IF($Q37=3,1,0),IF($X37&lt;30,1,0))</formula>
    </cfRule>
    <cfRule type="expression" dxfId="168" priority="31">
      <formula>AND(IF($Q37=3,1,IF($Q37=4,1,0)),IF($F37&lt;=85,1,0))</formula>
    </cfRule>
  </conditionalFormatting>
  <conditionalFormatting sqref="X37">
    <cfRule type="expression" dxfId="167" priority="24">
      <formula>AND(IF(OR($Q37=1,$Q37=2),1,0),IF($X37&lt;=20,1,0))</formula>
    </cfRule>
    <cfRule type="expression" dxfId="166" priority="25">
      <formula>AND(IF($Q37=2,1,0),IF($X37&lt;30,1,0))</formula>
    </cfRule>
    <cfRule type="expression" dxfId="165" priority="26">
      <formula>AND(IF($Q37=3,1,0),IF($X37&lt;30,1,0))</formula>
    </cfRule>
    <cfRule type="expression" dxfId="164" priority="27">
      <formula>AND(IF($Q37=3,1,IF($Q37=4,1,0)),IF($F37&lt;=85,1,0))</formula>
    </cfRule>
  </conditionalFormatting>
  <conditionalFormatting sqref="AI37">
    <cfRule type="expression" dxfId="163" priority="20">
      <formula>AND(IF(OR($Q37=1,$Q37=2),1,0),IF($X37&lt;=20,1,0))</formula>
    </cfRule>
    <cfRule type="expression" dxfId="162" priority="21">
      <formula>AND(IF($Q37=2,1,0),IF($X37&lt;30,1,0))</formula>
    </cfRule>
    <cfRule type="expression" dxfId="161" priority="22">
      <formula>AND(IF($Q37=3,1,0),IF($X37&lt;30,1,0))</formula>
    </cfRule>
    <cfRule type="expression" dxfId="160" priority="23">
      <formula>AND(IF($Q37=3,1,IF($Q37=4,1,0)),IF($F37&lt;=85,1,0))</formula>
    </cfRule>
  </conditionalFormatting>
  <conditionalFormatting sqref="AV38">
    <cfRule type="expression" dxfId="159" priority="18">
      <formula>AV38="X"</formula>
    </cfRule>
    <cfRule type="expression" dxfId="158" priority="19">
      <formula>AV38="후보"</formula>
    </cfRule>
  </conditionalFormatting>
  <conditionalFormatting sqref="AC38">
    <cfRule type="cellIs" dxfId="157" priority="15" operator="greaterThan">
      <formula>0.9</formula>
    </cfRule>
    <cfRule type="cellIs" dxfId="156" priority="16" operator="greaterThan">
      <formula>0.85</formula>
    </cfRule>
  </conditionalFormatting>
  <conditionalFormatting sqref="N38">
    <cfRule type="cellIs" dxfId="155" priority="13" operator="greaterThan">
      <formula>0.9</formula>
    </cfRule>
    <cfRule type="cellIs" dxfId="154" priority="14" operator="greaterThan">
      <formula>0.85</formula>
    </cfRule>
  </conditionalFormatting>
  <conditionalFormatting sqref="E38">
    <cfRule type="expression" dxfId="153" priority="9">
      <formula>AND(IF(OR($Q38=1,$Q38=2),1,0),IF($X38&lt;=20,1,0))</formula>
    </cfRule>
    <cfRule type="expression" dxfId="152" priority="10">
      <formula>AND(IF($Q38=2,1,0),IF($X38&lt;30,1,0))</formula>
    </cfRule>
    <cfRule type="expression" dxfId="151" priority="11">
      <formula>AND(IF($Q38=3,1,0),IF($X38&lt;30,1,0))</formula>
    </cfRule>
    <cfRule type="expression" dxfId="150" priority="12">
      <formula>AND(IF($Q38=3,1,IF($Q38=4,1,0)),IF($F38&lt;=85,1,0))</formula>
    </cfRule>
  </conditionalFormatting>
  <conditionalFormatting sqref="X38">
    <cfRule type="expression" dxfId="149" priority="5">
      <formula>AND(IF(OR($Q38=1,$Q38=2),1,0),IF($X38&lt;=20,1,0))</formula>
    </cfRule>
    <cfRule type="expression" dxfId="148" priority="6">
      <formula>AND(IF($Q38=2,1,0),IF($X38&lt;30,1,0))</formula>
    </cfRule>
    <cfRule type="expression" dxfId="147" priority="7">
      <formula>AND(IF($Q38=3,1,0),IF($X38&lt;30,1,0))</formula>
    </cfRule>
    <cfRule type="expression" dxfId="146" priority="8">
      <formula>AND(IF($Q38=3,1,IF($Q38=4,1,0)),IF($F38&lt;=85,1,0))</formula>
    </cfRule>
  </conditionalFormatting>
  <conditionalFormatting sqref="AI38">
    <cfRule type="expression" dxfId="145" priority="1">
      <formula>AND(IF(OR($Q38=1,$Q38=2),1,0),IF($X38&lt;=20,1,0))</formula>
    </cfRule>
    <cfRule type="expression" dxfId="144" priority="2">
      <formula>AND(IF($Q38=2,1,0),IF($X38&lt;30,1,0))</formula>
    </cfRule>
    <cfRule type="expression" dxfId="143" priority="3">
      <formula>AND(IF($Q38=3,1,0),IF($X38&lt;30,1,0))</formula>
    </cfRule>
    <cfRule type="expression" dxfId="142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오송읍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오송읍 오송힐데스하임('10.10.,402^)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1153</v>
      </c>
      <c r="B6" s="10" t="s">
        <v>1411</v>
      </c>
      <c r="C6" s="88">
        <v>402</v>
      </c>
      <c r="D6" s="86">
        <v>145.1</v>
      </c>
      <c r="E6" s="87">
        <v>44</v>
      </c>
      <c r="F6" s="86">
        <v>109.5</v>
      </c>
      <c r="G6" s="17">
        <v>33</v>
      </c>
      <c r="H6" s="88">
        <v>132</v>
      </c>
      <c r="I6" s="89">
        <v>68000</v>
      </c>
      <c r="J6" s="89" t="s">
        <v>71</v>
      </c>
      <c r="K6" s="89">
        <v>43000</v>
      </c>
      <c r="L6" s="89" t="s">
        <v>71</v>
      </c>
      <c r="M6" s="90">
        <f>I6-K6</f>
        <v>25000</v>
      </c>
      <c r="N6" s="4">
        <f>IF(ISERROR(K6/I6),"",K6/I6)</f>
        <v>0.63235294117647056</v>
      </c>
      <c r="O6" s="91">
        <f>I6/E6</f>
        <v>1545.4545454545455</v>
      </c>
      <c r="P6" s="91">
        <f>K6/E6</f>
        <v>977.27272727272725</v>
      </c>
      <c r="Q6" s="79">
        <v>3</v>
      </c>
      <c r="R6" s="79">
        <v>2</v>
      </c>
      <c r="S6" s="79" t="s">
        <v>62</v>
      </c>
      <c r="T6" s="5">
        <v>145</v>
      </c>
      <c r="U6" s="9"/>
      <c r="W6" s="86">
        <f t="shared" ref="W6:X8" si="2">D6</f>
        <v>145.1</v>
      </c>
      <c r="X6" s="87">
        <f t="shared" si="2"/>
        <v>44</v>
      </c>
      <c r="Y6" s="92">
        <f t="shared" ref="Y6:Z8" si="3">H6</f>
        <v>132</v>
      </c>
      <c r="Z6" s="90">
        <f t="shared" si="3"/>
        <v>68000</v>
      </c>
      <c r="AA6" s="90">
        <f>K6</f>
        <v>43000</v>
      </c>
      <c r="AB6" s="90">
        <f t="shared" ref="AB6:AD8" si="4">M6</f>
        <v>25000</v>
      </c>
      <c r="AC6" s="4">
        <f t="shared" si="4"/>
        <v>0.63235294117647056</v>
      </c>
      <c r="AD6" s="91">
        <f t="shared" si="4"/>
        <v>1545.4545454545455</v>
      </c>
      <c r="AE6" s="79" t="str">
        <f>S6</f>
        <v>계</v>
      </c>
      <c r="AF6" s="79" t="str">
        <f>Q6&amp;"/"&amp;R6</f>
        <v>3/2</v>
      </c>
      <c r="AH6" s="20" t="str">
        <f t="shared" si="1"/>
        <v>오송힐데스하임</v>
      </c>
      <c r="AI6" s="87">
        <f t="shared" si="0"/>
        <v>44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1153</v>
      </c>
      <c r="B7" s="10" t="s">
        <v>1411</v>
      </c>
      <c r="C7" s="88">
        <v>402</v>
      </c>
      <c r="D7" s="86">
        <v>166.4</v>
      </c>
      <c r="E7" s="87">
        <v>50</v>
      </c>
      <c r="F7" s="86">
        <v>132.6</v>
      </c>
      <c r="G7" s="17">
        <v>40</v>
      </c>
      <c r="H7" s="88">
        <v>216</v>
      </c>
      <c r="I7" s="89">
        <v>80000</v>
      </c>
      <c r="J7" s="89" t="s">
        <v>71</v>
      </c>
      <c r="K7" s="89">
        <v>45000</v>
      </c>
      <c r="L7" s="89" t="s">
        <v>71</v>
      </c>
      <c r="M7" s="90">
        <f>I7-K7</f>
        <v>35000</v>
      </c>
      <c r="N7" s="4">
        <f>IF(ISERROR(K7/I7),"",K7/I7)</f>
        <v>0.5625</v>
      </c>
      <c r="O7" s="91">
        <f>I7/E7</f>
        <v>1600</v>
      </c>
      <c r="P7" s="91">
        <f>K7/E7</f>
        <v>900</v>
      </c>
      <c r="Q7" s="79">
        <v>3</v>
      </c>
      <c r="R7" s="79">
        <v>2</v>
      </c>
      <c r="S7" s="79" t="s">
        <v>62</v>
      </c>
      <c r="T7" s="5">
        <v>166</v>
      </c>
      <c r="U7" s="9"/>
      <c r="W7" s="86">
        <f t="shared" si="2"/>
        <v>166.4</v>
      </c>
      <c r="X7" s="87">
        <f t="shared" si="2"/>
        <v>50</v>
      </c>
      <c r="Y7" s="92">
        <f t="shared" si="3"/>
        <v>216</v>
      </c>
      <c r="Z7" s="90">
        <f t="shared" si="3"/>
        <v>80000</v>
      </c>
      <c r="AA7" s="90">
        <f>K7</f>
        <v>45000</v>
      </c>
      <c r="AB7" s="90">
        <f t="shared" si="4"/>
        <v>35000</v>
      </c>
      <c r="AC7" s="4">
        <f t="shared" si="4"/>
        <v>0.5625</v>
      </c>
      <c r="AD7" s="91">
        <f t="shared" si="4"/>
        <v>1600</v>
      </c>
      <c r="AE7" s="79" t="str">
        <f>S7</f>
        <v>계</v>
      </c>
      <c r="AF7" s="79" t="str">
        <f>Q7&amp;"/"&amp;R7</f>
        <v>3/2</v>
      </c>
      <c r="AH7" s="20" t="str">
        <f t="shared" si="1"/>
        <v>오송힐데스하임</v>
      </c>
      <c r="AI7" s="87">
        <f t="shared" si="0"/>
        <v>50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1153</v>
      </c>
      <c r="B8" s="10" t="s">
        <v>1411</v>
      </c>
      <c r="C8" s="88">
        <v>402</v>
      </c>
      <c r="D8" s="86">
        <v>212.6</v>
      </c>
      <c r="E8" s="87">
        <v>64</v>
      </c>
      <c r="F8" s="86">
        <v>174.8</v>
      </c>
      <c r="G8" s="17">
        <v>53</v>
      </c>
      <c r="H8" s="88">
        <v>54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3</v>
      </c>
      <c r="S8" s="79" t="s">
        <v>62</v>
      </c>
      <c r="T8" s="5">
        <v>212</v>
      </c>
      <c r="U8" s="9"/>
      <c r="W8" s="86">
        <f t="shared" si="2"/>
        <v>212.6</v>
      </c>
      <c r="X8" s="87">
        <f t="shared" si="2"/>
        <v>64</v>
      </c>
      <c r="Y8" s="92">
        <f t="shared" si="3"/>
        <v>54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3/3</v>
      </c>
      <c r="AH8" s="20" t="str">
        <f t="shared" si="1"/>
        <v>오송힐데스하임</v>
      </c>
      <c r="AI8" s="87">
        <f t="shared" si="0"/>
        <v>64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오송읍 오송상록롯데캐슬('10.09.,671^)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1158</v>
      </c>
      <c r="B10" s="10" t="s">
        <v>1412</v>
      </c>
      <c r="C10" s="88">
        <v>671</v>
      </c>
      <c r="D10" s="86">
        <v>116.4</v>
      </c>
      <c r="E10" s="87">
        <v>35</v>
      </c>
      <c r="F10" s="86">
        <v>84.9</v>
      </c>
      <c r="G10" s="17">
        <v>26</v>
      </c>
      <c r="H10" s="88">
        <v>342</v>
      </c>
      <c r="I10" s="89">
        <v>48000</v>
      </c>
      <c r="J10" s="89" t="s">
        <v>89</v>
      </c>
      <c r="K10" s="89">
        <v>35000</v>
      </c>
      <c r="L10" s="89" t="s">
        <v>71</v>
      </c>
      <c r="M10" s="90">
        <f>I10-K10</f>
        <v>13000</v>
      </c>
      <c r="N10" s="4">
        <f>IF(ISERROR(K10/I10),"",K10/I10)</f>
        <v>0.72916666666666663</v>
      </c>
      <c r="O10" s="91">
        <f>I10/E10</f>
        <v>1371.4285714285713</v>
      </c>
      <c r="P10" s="91">
        <f>K10/E10</f>
        <v>1000</v>
      </c>
      <c r="Q10" s="79">
        <v>3</v>
      </c>
      <c r="R10" s="79">
        <v>2</v>
      </c>
      <c r="S10" s="79" t="s">
        <v>62</v>
      </c>
      <c r="T10" s="5">
        <v>116</v>
      </c>
      <c r="U10" s="9"/>
      <c r="W10" s="86">
        <f>D10</f>
        <v>116.4</v>
      </c>
      <c r="X10" s="87">
        <f>E10</f>
        <v>35</v>
      </c>
      <c r="Y10" s="92">
        <f>H10</f>
        <v>342</v>
      </c>
      <c r="Z10" s="90">
        <f>I10</f>
        <v>48000</v>
      </c>
      <c r="AA10" s="90">
        <f>K10</f>
        <v>35000</v>
      </c>
      <c r="AB10" s="90">
        <f t="shared" ref="AB10:AD11" si="5">M10</f>
        <v>13000</v>
      </c>
      <c r="AC10" s="4">
        <f t="shared" si="5"/>
        <v>0.72916666666666663</v>
      </c>
      <c r="AD10" s="91">
        <f t="shared" si="5"/>
        <v>1371.4285714285713</v>
      </c>
      <c r="AE10" s="79" t="str">
        <f>S10</f>
        <v>계</v>
      </c>
      <c r="AF10" s="79" t="str">
        <f>Q10&amp;"/"&amp;R10</f>
        <v>3/2</v>
      </c>
      <c r="AH10" s="20" t="str">
        <f t="shared" si="1"/>
        <v>오송상록롯데캐슬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 t="s">
        <v>1158</v>
      </c>
      <c r="B11" s="10" t="s">
        <v>1412</v>
      </c>
      <c r="C11" s="88">
        <v>671</v>
      </c>
      <c r="D11" s="86">
        <v>117.4</v>
      </c>
      <c r="E11" s="87">
        <v>36</v>
      </c>
      <c r="F11" s="86">
        <v>84.9</v>
      </c>
      <c r="G11" s="17">
        <v>26</v>
      </c>
      <c r="H11" s="88">
        <v>329</v>
      </c>
      <c r="I11" s="89">
        <v>50000</v>
      </c>
      <c r="J11" s="89" t="s">
        <v>89</v>
      </c>
      <c r="K11" s="89">
        <v>36000</v>
      </c>
      <c r="L11" s="89" t="s">
        <v>71</v>
      </c>
      <c r="M11" s="90">
        <f>I11-K11</f>
        <v>14000</v>
      </c>
      <c r="N11" s="4">
        <f>IF(ISERROR(K11/I11),"",K11/I11)</f>
        <v>0.72</v>
      </c>
      <c r="O11" s="91">
        <f>I11/E11</f>
        <v>1388.8888888888889</v>
      </c>
      <c r="P11" s="91">
        <f>K11/E11</f>
        <v>1000</v>
      </c>
      <c r="Q11" s="79">
        <v>3</v>
      </c>
      <c r="R11" s="79">
        <v>2</v>
      </c>
      <c r="S11" s="79" t="s">
        <v>62</v>
      </c>
      <c r="T11" s="5">
        <v>117</v>
      </c>
      <c r="U11" s="9"/>
      <c r="W11" s="86">
        <f>D11</f>
        <v>117.4</v>
      </c>
      <c r="X11" s="87">
        <f>E11</f>
        <v>36</v>
      </c>
      <c r="Y11" s="92">
        <f>H11</f>
        <v>329</v>
      </c>
      <c r="Z11" s="90">
        <f>I11</f>
        <v>50000</v>
      </c>
      <c r="AA11" s="90">
        <f>K11</f>
        <v>36000</v>
      </c>
      <c r="AB11" s="90">
        <f t="shared" si="5"/>
        <v>14000</v>
      </c>
      <c r="AC11" s="4">
        <f t="shared" si="5"/>
        <v>0.72</v>
      </c>
      <c r="AD11" s="91">
        <f t="shared" si="5"/>
        <v>1388.8888888888889</v>
      </c>
      <c r="AE11" s="79" t="str">
        <f>S11</f>
        <v>계</v>
      </c>
      <c r="AF11" s="79" t="str">
        <f>Q11&amp;"/"&amp;R11</f>
        <v>3/2</v>
      </c>
      <c r="AH11" s="20" t="str">
        <f t="shared" si="1"/>
        <v>오송상록롯데캐슬</v>
      </c>
      <c r="AI11" s="87">
        <f t="shared" si="0"/>
        <v>36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오송읍 KTX오송역대광로제비앙('10.10.,402^)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1163</v>
      </c>
      <c r="B13" s="10" t="s">
        <v>1411</v>
      </c>
      <c r="C13" s="88">
        <v>402</v>
      </c>
      <c r="D13" s="86">
        <v>145.1</v>
      </c>
      <c r="E13" s="87">
        <v>44</v>
      </c>
      <c r="F13" s="86">
        <v>109.5</v>
      </c>
      <c r="G13" s="17">
        <v>33</v>
      </c>
      <c r="H13" s="88">
        <v>132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>
        <v>145</v>
      </c>
      <c r="U13" s="9"/>
      <c r="W13" s="86">
        <f>D13</f>
        <v>145.1</v>
      </c>
      <c r="X13" s="87">
        <f>E13</f>
        <v>44</v>
      </c>
      <c r="Y13" s="92">
        <f>H13</f>
        <v>132</v>
      </c>
      <c r="Z13" s="90">
        <f>I13</f>
        <v>0</v>
      </c>
      <c r="AA13" s="90">
        <f>K13</f>
        <v>0</v>
      </c>
      <c r="AB13" s="90">
        <f>M13</f>
        <v>0</v>
      </c>
      <c r="AC13" s="4" t="str">
        <f>N13</f>
        <v/>
      </c>
      <c r="AD13" s="91">
        <f>O13</f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KTX오송역대광로제비앙</v>
      </c>
      <c r="AI13" s="87">
        <f t="shared" si="0"/>
        <v>44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41" priority="125">
      <formula>AV4="X"</formula>
    </cfRule>
    <cfRule type="expression" dxfId="140" priority="126">
      <formula>AV4="후보"</formula>
    </cfRule>
  </conditionalFormatting>
  <conditionalFormatting sqref="AC1:AC2 AC4:AC6 N4:N5">
    <cfRule type="cellIs" dxfId="139" priority="122" operator="greaterThan">
      <formula>0.9</formula>
    </cfRule>
    <cfRule type="cellIs" dxfId="138" priority="123" operator="greaterThan">
      <formula>0.85</formula>
    </cfRule>
  </conditionalFormatting>
  <conditionalFormatting sqref="N1:N2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6">
    <cfRule type="expression" dxfId="133" priority="114">
      <formula>AND(IF(OR($Q6=1,$Q6=2),1,0),IF($X6&lt;=20,1,0))</formula>
    </cfRule>
    <cfRule type="expression" dxfId="132" priority="115">
      <formula>AND(IF($Q6=2,1,0),IF($X6&lt;30,1,0))</formula>
    </cfRule>
    <cfRule type="expression" dxfId="131" priority="116">
      <formula>AND(IF($Q6=3,1,0),IF($X6&lt;30,1,0))</formula>
    </cfRule>
    <cfRule type="expression" dxfId="130" priority="117">
      <formula>AND(IF($Q6=3,1,IF($Q6=4,1,0)),IF($F6&lt;=85,1,0))</formula>
    </cfRule>
  </conditionalFormatting>
  <conditionalFormatting sqref="X6">
    <cfRule type="expression" dxfId="129" priority="110">
      <formula>AND(IF(OR($Q6=1,$Q6=2),1,0),IF($X6&lt;=20,1,0))</formula>
    </cfRule>
    <cfRule type="expression" dxfId="128" priority="111">
      <formula>AND(IF($Q6=2,1,0),IF($X6&lt;30,1,0))</formula>
    </cfRule>
    <cfRule type="expression" dxfId="127" priority="112">
      <formula>AND(IF($Q6=3,1,0),IF($X6&lt;30,1,0))</formula>
    </cfRule>
    <cfRule type="expression" dxfId="126" priority="113">
      <formula>AND(IF($Q6=3,1,IF($Q6=4,1,0)),IF($F6&lt;=85,1,0))</formula>
    </cfRule>
  </conditionalFormatting>
  <conditionalFormatting sqref="AI6">
    <cfRule type="expression" dxfId="125" priority="106">
      <formula>AND(IF(OR($Q6=1,$Q6=2),1,0),IF($X6&lt;=20,1,0))</formula>
    </cfRule>
    <cfRule type="expression" dxfId="124" priority="107">
      <formula>AND(IF($Q6=2,1,0),IF($X6&lt;30,1,0))</formula>
    </cfRule>
    <cfRule type="expression" dxfId="123" priority="108">
      <formula>AND(IF($Q6=3,1,0),IF($X6&lt;30,1,0))</formula>
    </cfRule>
    <cfRule type="expression" dxfId="122" priority="109">
      <formula>AND(IF($Q6=3,1,IF($Q6=4,1,0)),IF($F6&lt;=85,1,0))</formula>
    </cfRule>
  </conditionalFormatting>
  <conditionalFormatting sqref="AV7">
    <cfRule type="expression" dxfId="121" priority="104">
      <formula>AV7="X"</formula>
    </cfRule>
    <cfRule type="expression" dxfId="120" priority="105">
      <formula>AV7="후보"</formula>
    </cfRule>
  </conditionalFormatting>
  <conditionalFormatting sqref="AC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7">
    <cfRule type="expression" dxfId="115" priority="95">
      <formula>AND(IF(OR($Q7=1,$Q7=2),1,0),IF($X7&lt;=20,1,0))</formula>
    </cfRule>
    <cfRule type="expression" dxfId="114" priority="96">
      <formula>AND(IF($Q7=2,1,0),IF($X7&lt;30,1,0))</formula>
    </cfRule>
    <cfRule type="expression" dxfId="113" priority="97">
      <formula>AND(IF($Q7=3,1,0),IF($X7&lt;30,1,0))</formula>
    </cfRule>
    <cfRule type="expression" dxfId="112" priority="98">
      <formula>AND(IF($Q7=3,1,IF($Q7=4,1,0)),IF($F7&lt;=85,1,0))</formula>
    </cfRule>
  </conditionalFormatting>
  <conditionalFormatting sqref="X7">
    <cfRule type="expression" dxfId="111" priority="91">
      <formula>AND(IF(OR($Q7=1,$Q7=2),1,0),IF($X7&lt;=20,1,0))</formula>
    </cfRule>
    <cfRule type="expression" dxfId="110" priority="92">
      <formula>AND(IF($Q7=2,1,0),IF($X7&lt;30,1,0))</formula>
    </cfRule>
    <cfRule type="expression" dxfId="109" priority="93">
      <formula>AND(IF($Q7=3,1,0),IF($X7&lt;30,1,0))</formula>
    </cfRule>
    <cfRule type="expression" dxfId="108" priority="94">
      <formula>AND(IF($Q7=3,1,IF($Q7=4,1,0)),IF($F7&lt;=85,1,0))</formula>
    </cfRule>
  </conditionalFormatting>
  <conditionalFormatting sqref="AI7">
    <cfRule type="expression" dxfId="107" priority="87">
      <formula>AND(IF(OR($Q7=1,$Q7=2),1,0),IF($X7&lt;=20,1,0))</formula>
    </cfRule>
    <cfRule type="expression" dxfId="106" priority="88">
      <formula>AND(IF($Q7=2,1,0),IF($X7&lt;30,1,0))</formula>
    </cfRule>
    <cfRule type="expression" dxfId="105" priority="89">
      <formula>AND(IF($Q7=3,1,0),IF($X7&lt;30,1,0))</formula>
    </cfRule>
    <cfRule type="expression" dxfId="104" priority="90">
      <formula>AND(IF($Q7=3,1,IF($Q7=4,1,0)),IF($F7&lt;=85,1,0))</formula>
    </cfRule>
  </conditionalFormatting>
  <conditionalFormatting sqref="AV8">
    <cfRule type="expression" dxfId="103" priority="85">
      <formula>AV8="X"</formula>
    </cfRule>
    <cfRule type="expression" dxfId="102" priority="86">
      <formula>AV8="후보"</formula>
    </cfRule>
  </conditionalFormatting>
  <conditionalFormatting sqref="AC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N8">
    <cfRule type="cellIs" dxfId="99" priority="80" operator="greaterThan">
      <formula>0.9</formula>
    </cfRule>
    <cfRule type="cellIs" dxfId="98" priority="81" operator="greaterThan">
      <formula>0.85</formula>
    </cfRule>
  </conditionalFormatting>
  <conditionalFormatting sqref="E8">
    <cfRule type="expression" dxfId="97" priority="76">
      <formula>AND(IF(OR($Q8=1,$Q8=2),1,0),IF($X8&lt;=20,1,0))</formula>
    </cfRule>
    <cfRule type="expression" dxfId="96" priority="77">
      <formula>AND(IF($Q8=2,1,0),IF($X8&lt;30,1,0))</formula>
    </cfRule>
    <cfRule type="expression" dxfId="95" priority="78">
      <formula>AND(IF($Q8=3,1,0),IF($X8&lt;30,1,0))</formula>
    </cfRule>
    <cfRule type="expression" dxfId="94" priority="79">
      <formula>AND(IF($Q8=3,1,IF($Q8=4,1,0)),IF($F8&lt;=85,1,0))</formula>
    </cfRule>
  </conditionalFormatting>
  <conditionalFormatting sqref="X8">
    <cfRule type="expression" dxfId="93" priority="72">
      <formula>AND(IF(OR($Q8=1,$Q8=2),1,0),IF($X8&lt;=20,1,0))</formula>
    </cfRule>
    <cfRule type="expression" dxfId="92" priority="73">
      <formula>AND(IF($Q8=2,1,0),IF($X8&lt;30,1,0))</formula>
    </cfRule>
    <cfRule type="expression" dxfId="91" priority="74">
      <formula>AND(IF($Q8=3,1,0),IF($X8&lt;30,1,0))</formula>
    </cfRule>
    <cfRule type="expression" dxfId="90" priority="75">
      <formula>AND(IF($Q8=3,1,IF($Q8=4,1,0)),IF($F8&lt;=85,1,0))</formula>
    </cfRule>
  </conditionalFormatting>
  <conditionalFormatting sqref="AI8">
    <cfRule type="expression" dxfId="89" priority="68">
      <formula>AND(IF(OR($Q8=1,$Q8=2),1,0),IF($X8&lt;=20,1,0))</formula>
    </cfRule>
    <cfRule type="expression" dxfId="88" priority="69">
      <formula>AND(IF($Q8=2,1,0),IF($X8&lt;30,1,0))</formula>
    </cfRule>
    <cfRule type="expression" dxfId="87" priority="70">
      <formula>AND(IF($Q8=3,1,0),IF($X8&lt;30,1,0))</formula>
    </cfRule>
    <cfRule type="expression" dxfId="86" priority="71">
      <formula>AND(IF($Q8=3,1,IF($Q8=4,1,0)),IF($F8&lt;=85,1,0))</formula>
    </cfRule>
  </conditionalFormatting>
  <conditionalFormatting sqref="AV9">
    <cfRule type="expression" dxfId="85" priority="66">
      <formula>AV9="X"</formula>
    </cfRule>
    <cfRule type="expression" dxfId="84" priority="67">
      <formula>AV9="후보"</formula>
    </cfRule>
  </conditionalFormatting>
  <conditionalFormatting sqref="AC9 N9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AV10">
    <cfRule type="expression" dxfId="81" priority="61">
      <formula>AV10="X"</formula>
    </cfRule>
    <cfRule type="expression" dxfId="80" priority="62">
      <formula>AV10="후보"</formula>
    </cfRule>
  </conditionalFormatting>
  <conditionalFormatting sqref="AC1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10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10">
    <cfRule type="expression" dxfId="75" priority="52">
      <formula>AND(IF(OR($Q10=1,$Q10=2),1,0),IF($X10&lt;=20,1,0))</formula>
    </cfRule>
    <cfRule type="expression" dxfId="74" priority="53">
      <formula>AND(IF($Q10=2,1,0),IF($X10&lt;30,1,0))</formula>
    </cfRule>
    <cfRule type="expression" dxfId="73" priority="54">
      <formula>AND(IF($Q10=3,1,0),IF($X10&lt;30,1,0))</formula>
    </cfRule>
    <cfRule type="expression" dxfId="72" priority="55">
      <formula>AND(IF($Q10=3,1,IF($Q10=4,1,0)),IF($F10&lt;=85,1,0))</formula>
    </cfRule>
  </conditionalFormatting>
  <conditionalFormatting sqref="X10">
    <cfRule type="expression" dxfId="71" priority="48">
      <formula>AND(IF(OR($Q10=1,$Q10=2),1,0),IF($X10&lt;=20,1,0))</formula>
    </cfRule>
    <cfRule type="expression" dxfId="70" priority="49">
      <formula>AND(IF($Q10=2,1,0),IF($X10&lt;30,1,0))</formula>
    </cfRule>
    <cfRule type="expression" dxfId="69" priority="50">
      <formula>AND(IF($Q10=3,1,0),IF($X10&lt;30,1,0))</formula>
    </cfRule>
    <cfRule type="expression" dxfId="68" priority="51">
      <formula>AND(IF($Q10=3,1,IF($Q10=4,1,0)),IF($F10&lt;=85,1,0))</formula>
    </cfRule>
  </conditionalFormatting>
  <conditionalFormatting sqref="AI10">
    <cfRule type="expression" dxfId="67" priority="44">
      <formula>AND(IF(OR($Q10=1,$Q10=2),1,0),IF($X10&lt;=20,1,0))</formula>
    </cfRule>
    <cfRule type="expression" dxfId="66" priority="45">
      <formula>AND(IF($Q10=2,1,0),IF($X10&lt;30,1,0))</formula>
    </cfRule>
    <cfRule type="expression" dxfId="65" priority="46">
      <formula>AND(IF($Q10=3,1,0),IF($X10&lt;30,1,0))</formula>
    </cfRule>
    <cfRule type="expression" dxfId="64" priority="47">
      <formula>AND(IF($Q10=3,1,IF($Q10=4,1,0)),IF($F10&lt;=85,1,0))</formula>
    </cfRule>
  </conditionalFormatting>
  <conditionalFormatting sqref="AV11">
    <cfRule type="expression" dxfId="63" priority="42">
      <formula>AV11="X"</formula>
    </cfRule>
    <cfRule type="expression" dxfId="62" priority="43">
      <formula>AV11="후보"</formula>
    </cfRule>
  </conditionalFormatting>
  <conditionalFormatting sqref="AC11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11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11">
    <cfRule type="expression" dxfId="57" priority="33">
      <formula>AND(IF(OR($Q11=1,$Q11=2),1,0),IF($X11&lt;=20,1,0))</formula>
    </cfRule>
    <cfRule type="expression" dxfId="56" priority="34">
      <formula>AND(IF($Q11=2,1,0),IF($X11&lt;30,1,0))</formula>
    </cfRule>
    <cfRule type="expression" dxfId="55" priority="35">
      <formula>AND(IF($Q11=3,1,0),IF($X11&lt;30,1,0))</formula>
    </cfRule>
    <cfRule type="expression" dxfId="54" priority="36">
      <formula>AND(IF($Q11=3,1,IF($Q11=4,1,0)),IF($F11&lt;=85,1,0))</formula>
    </cfRule>
  </conditionalFormatting>
  <conditionalFormatting sqref="X11">
    <cfRule type="expression" dxfId="53" priority="29">
      <formula>AND(IF(OR($Q11=1,$Q11=2),1,0),IF($X11&lt;=20,1,0))</formula>
    </cfRule>
    <cfRule type="expression" dxfId="52" priority="30">
      <formula>AND(IF($Q11=2,1,0),IF($X11&lt;30,1,0))</formula>
    </cfRule>
    <cfRule type="expression" dxfId="51" priority="31">
      <formula>AND(IF($Q11=3,1,0),IF($X11&lt;30,1,0))</formula>
    </cfRule>
    <cfRule type="expression" dxfId="50" priority="32">
      <formula>AND(IF($Q11=3,1,IF($Q11=4,1,0)),IF($F11&lt;=85,1,0))</formula>
    </cfRule>
  </conditionalFormatting>
  <conditionalFormatting sqref="AI11">
    <cfRule type="expression" dxfId="49" priority="25">
      <formula>AND(IF(OR($Q11=1,$Q11=2),1,0),IF($X11&lt;=20,1,0))</formula>
    </cfRule>
    <cfRule type="expression" dxfId="48" priority="26">
      <formula>AND(IF($Q11=2,1,0),IF($X11&lt;30,1,0))</formula>
    </cfRule>
    <cfRule type="expression" dxfId="47" priority="27">
      <formula>AND(IF($Q11=3,1,0),IF($X11&lt;30,1,0))</formula>
    </cfRule>
    <cfRule type="expression" dxfId="46" priority="28">
      <formula>AND(IF($Q11=3,1,IF($Q11=4,1,0)),IF($F11&lt;=85,1,0))</formula>
    </cfRule>
  </conditionalFormatting>
  <conditionalFormatting sqref="AV12">
    <cfRule type="expression" dxfId="45" priority="23">
      <formula>AV12="X"</formula>
    </cfRule>
    <cfRule type="expression" dxfId="44" priority="24">
      <formula>AV12="후보"</formula>
    </cfRule>
  </conditionalFormatting>
  <conditionalFormatting sqref="AC12 N12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13">
    <cfRule type="expression" dxfId="41" priority="18">
      <formula>AV13="X"</formula>
    </cfRule>
    <cfRule type="expression" dxfId="40" priority="19">
      <formula>AV13="후보"</formula>
    </cfRule>
  </conditionalFormatting>
  <conditionalFormatting sqref="AC1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3">
    <cfRule type="expression" dxfId="35" priority="9">
      <formula>AND(IF(OR($Q13=1,$Q13=2),1,0),IF($X13&lt;=20,1,0))</formula>
    </cfRule>
    <cfRule type="expression" dxfId="34" priority="10">
      <formula>AND(IF($Q13=2,1,0),IF($X13&lt;30,1,0))</formula>
    </cfRule>
    <cfRule type="expression" dxfId="33" priority="11">
      <formula>AND(IF($Q13=3,1,0),IF($X13&lt;30,1,0))</formula>
    </cfRule>
    <cfRule type="expression" dxfId="32" priority="12">
      <formula>AND(IF($Q13=3,1,IF($Q13=4,1,0)),IF($F13&lt;=85,1,0))</formula>
    </cfRule>
  </conditionalFormatting>
  <conditionalFormatting sqref="X13">
    <cfRule type="expression" dxfId="31" priority="5">
      <formula>AND(IF(OR($Q13=1,$Q13=2),1,0),IF($X13&lt;=20,1,0))</formula>
    </cfRule>
    <cfRule type="expression" dxfId="30" priority="6">
      <formula>AND(IF($Q13=2,1,0),IF($X13&lt;30,1,0))</formula>
    </cfRule>
    <cfRule type="expression" dxfId="29" priority="7">
      <formula>AND(IF($Q13=3,1,0),IF($X13&lt;30,1,0))</formula>
    </cfRule>
    <cfRule type="expression" dxfId="28" priority="8">
      <formula>AND(IF($Q13=3,1,IF($Q13=4,1,0)),IF($F13&lt;=85,1,0))</formula>
    </cfRule>
  </conditionalFormatting>
  <conditionalFormatting sqref="AI13">
    <cfRule type="expression" dxfId="27" priority="1">
      <formula>AND(IF(OR($Q13=1,$Q13=2),1,0),IF($X13&lt;=20,1,0))</formula>
    </cfRule>
    <cfRule type="expression" dxfId="26" priority="2">
      <formula>AND(IF($Q13=2,1,0),IF($X13&lt;30,1,0))</formula>
    </cfRule>
    <cfRule type="expression" dxfId="25" priority="3">
      <formula>AND(IF($Q13=3,1,0),IF($X13&lt;30,1,0))</formula>
    </cfRule>
    <cfRule type="expression" dxfId="2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1332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1333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1333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1413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>IF(E4="","",E4)</f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20</v>
      </c>
      <c r="B6" s="10" t="s">
        <v>1414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62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가경동</vt:lpstr>
      <vt:lpstr>강내면</vt:lpstr>
      <vt:lpstr>강서동</vt:lpstr>
      <vt:lpstr>문암동</vt:lpstr>
      <vt:lpstr>복대동</vt:lpstr>
      <vt:lpstr>봉명동</vt:lpstr>
      <vt:lpstr>비하동</vt:lpstr>
      <vt:lpstr>송절동</vt:lpstr>
      <vt:lpstr>신봉동</vt:lpstr>
      <vt:lpstr>오송읍</vt:lpstr>
      <vt:lpstr>양식</vt:lpstr>
      <vt:lpstr>가경동!Print_Area</vt:lpstr>
      <vt:lpstr>강내면!Print_Area</vt:lpstr>
      <vt:lpstr>강서동!Print_Area</vt:lpstr>
      <vt:lpstr>단지추출!Print_Area</vt:lpstr>
      <vt:lpstr>단지추출_가격표용!Print_Area</vt:lpstr>
      <vt:lpstr>문암동!Print_Area</vt:lpstr>
      <vt:lpstr>복대동!Print_Area</vt:lpstr>
      <vt:lpstr>봉명동!Print_Area</vt:lpstr>
      <vt:lpstr>비하동!Print_Area</vt:lpstr>
      <vt:lpstr>송절동!Print_Area</vt:lpstr>
      <vt:lpstr>신봉동!Print_Area</vt:lpstr>
      <vt:lpstr>양식!Print_Area</vt:lpstr>
      <vt:lpstr>오송읍!Print_Area</vt:lpstr>
      <vt:lpstr>가경동!Print_Titles</vt:lpstr>
      <vt:lpstr>강내면!Print_Titles</vt:lpstr>
      <vt:lpstr>강서동!Print_Titles</vt:lpstr>
      <vt:lpstr>단지추출!Print_Titles</vt:lpstr>
      <vt:lpstr>단지추출_가격표용!Print_Titles</vt:lpstr>
      <vt:lpstr>문암동!Print_Titles</vt:lpstr>
      <vt:lpstr>복대동!Print_Titles</vt:lpstr>
      <vt:lpstr>봉명동!Print_Titles</vt:lpstr>
      <vt:lpstr>비하동!Print_Titles</vt:lpstr>
      <vt:lpstr>송절동!Print_Titles</vt:lpstr>
      <vt:lpstr>신봉동!Print_Titles</vt:lpstr>
      <vt:lpstr>양식!Print_Titles</vt:lpstr>
      <vt:lpstr>오송읍!Print_Titles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2022-06-27T12:26:48Z</dcterms:modified>
</cp:coreProperties>
</file>