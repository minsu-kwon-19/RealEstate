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음동" sheetId="6" state="visible" r:id="rId6"/>
    <sheet xmlns:r="http://schemas.openxmlformats.org/officeDocument/2006/relationships" name="가음정동" sheetId="7" state="visible" r:id="rId7"/>
    <sheet xmlns:r="http://schemas.openxmlformats.org/officeDocument/2006/relationships" name="남산동" sheetId="8" state="visible" r:id="rId8"/>
    <sheet xmlns:r="http://schemas.openxmlformats.org/officeDocument/2006/relationships" name="남양동" sheetId="9" state="visible" r:id="rId9"/>
    <sheet xmlns:r="http://schemas.openxmlformats.org/officeDocument/2006/relationships" name="내동" sheetId="10" state="visible" r:id="rId10"/>
    <sheet xmlns:r="http://schemas.openxmlformats.org/officeDocument/2006/relationships" name="대방동" sheetId="11" state="visible" r:id="rId11"/>
    <sheet xmlns:r="http://schemas.openxmlformats.org/officeDocument/2006/relationships" name="대원동" sheetId="12" state="visible" r:id="rId12"/>
    <sheet xmlns:r="http://schemas.openxmlformats.org/officeDocument/2006/relationships" name="반림동" sheetId="13" state="visible" r:id="rId13"/>
    <sheet xmlns:r="http://schemas.openxmlformats.org/officeDocument/2006/relationships" name="반지동" sheetId="14" state="visible" r:id="rId14"/>
    <sheet xmlns:r="http://schemas.openxmlformats.org/officeDocument/2006/relationships" name="사파동" sheetId="15" state="visible" r:id="rId15"/>
    <sheet xmlns:r="http://schemas.openxmlformats.org/officeDocument/2006/relationships" name="사파정동" sheetId="16" state="visible" r:id="rId16"/>
    <sheet xmlns:r="http://schemas.openxmlformats.org/officeDocument/2006/relationships" name="상남동" sheetId="17" state="visible" r:id="rId17"/>
    <sheet xmlns:r="http://schemas.openxmlformats.org/officeDocument/2006/relationships" name="성주동" sheetId="18" state="visible" r:id="rId18"/>
    <sheet xmlns:r="http://schemas.openxmlformats.org/officeDocument/2006/relationships" name="신월동" sheetId="19" state="visible" r:id="rId19"/>
    <sheet xmlns:r="http://schemas.openxmlformats.org/officeDocument/2006/relationships" name="신촌동" sheetId="20" state="visible" r:id="rId20"/>
    <sheet xmlns:r="http://schemas.openxmlformats.org/officeDocument/2006/relationships" name="안민동" sheetId="21" state="visible" r:id="rId21"/>
    <sheet xmlns:r="http://schemas.openxmlformats.org/officeDocument/2006/relationships" name="외동" sheetId="22" state="visible" r:id="rId22"/>
    <sheet xmlns:r="http://schemas.openxmlformats.org/officeDocument/2006/relationships" name="용호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'가음동'!$1:$3</definedName>
    <definedName name="_xlnm.Print_Area" localSheetId="5">'가음동'!$A$1:$U$6</definedName>
    <definedName name="_xlnm.Print_Titles" localSheetId="6">'가음정동'!$1:$3</definedName>
    <definedName name="_xlnm.Print_Area" localSheetId="6">'가음정동'!$A$1:$U$6</definedName>
    <definedName name="_xlnm.Print_Titles" localSheetId="7">'남산동'!$1:$3</definedName>
    <definedName name="_xlnm.Print_Area" localSheetId="7">'남산동'!$A$1:$U$6</definedName>
    <definedName name="_xlnm.Print_Titles" localSheetId="8">'남양동'!$1:$3</definedName>
    <definedName name="_xlnm.Print_Area" localSheetId="8">'남양동'!$A$1:$U$6</definedName>
    <definedName name="_xlnm.Print_Titles" localSheetId="9">'내동'!$1:$3</definedName>
    <definedName name="_xlnm.Print_Area" localSheetId="9">'내동'!$A$1:$U$6</definedName>
    <definedName name="_xlnm.Print_Titles" localSheetId="10">'대방동'!$1:$3</definedName>
    <definedName name="_xlnm.Print_Area" localSheetId="10">'대방동'!$A$1:$U$6</definedName>
    <definedName name="_xlnm.Print_Titles" localSheetId="11">'대원동'!$1:$3</definedName>
    <definedName name="_xlnm.Print_Area" localSheetId="11">'대원동'!$A$1:$U$6</definedName>
    <definedName name="_xlnm.Print_Titles" localSheetId="12">'반림동'!$1:$3</definedName>
    <definedName name="_xlnm.Print_Area" localSheetId="12">'반림동'!$A$1:$U$6</definedName>
    <definedName name="_xlnm.Print_Titles" localSheetId="13">'반지동'!$1:$3</definedName>
    <definedName name="_xlnm.Print_Area" localSheetId="13">'반지동'!$A$1:$U$6</definedName>
    <definedName name="_xlnm.Print_Titles" localSheetId="14">'사파동'!$1:$3</definedName>
    <definedName name="_xlnm.Print_Area" localSheetId="14">'사파동'!$A$1:$U$6</definedName>
    <definedName name="_xlnm.Print_Titles" localSheetId="15">'사파정동'!$1:$3</definedName>
    <definedName name="_xlnm.Print_Area" localSheetId="15">'사파정동'!$A$1:$U$6</definedName>
    <definedName name="_xlnm.Print_Titles" localSheetId="16">'상남동'!$1:$3</definedName>
    <definedName name="_xlnm.Print_Area" localSheetId="16">'상남동'!$A$1:$U$6</definedName>
    <definedName name="_xlnm.Print_Titles" localSheetId="17">'성주동'!$1:$3</definedName>
    <definedName name="_xlnm.Print_Area" localSheetId="17">'성주동'!$A$1:$U$6</definedName>
    <definedName name="_xlnm.Print_Titles" localSheetId="18">'신월동'!$1:$3</definedName>
    <definedName name="_xlnm.Print_Area" localSheetId="18">'신월동'!$A$1:$U$6</definedName>
    <definedName name="_xlnm.Print_Titles" localSheetId="19">'신촌동'!$1:$3</definedName>
    <definedName name="_xlnm.Print_Area" localSheetId="19">'신촌동'!$A$1:$U$6</definedName>
    <definedName name="_xlnm.Print_Titles" localSheetId="20">'안민동'!$1:$3</definedName>
    <definedName name="_xlnm.Print_Area" localSheetId="20">'안민동'!$A$1:$U$6</definedName>
    <definedName name="_xlnm.Print_Titles" localSheetId="21">'외동'!$1:$3</definedName>
    <definedName name="_xlnm.Print_Area" localSheetId="21">'외동'!$A$1:$U$6</definedName>
    <definedName name="_xlnm.Print_Titles" localSheetId="22">'용호동'!$1:$3</definedName>
    <definedName name="_xlnm.Print_Area" localSheetId="22">'용호동'!$A$1:$U$6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369" sqref="A369:XFD36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3">
      <c r="A1" s="24" t="inlineStr">
        <is>
          <t>창원시 성산구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90.09999999999999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90.5</v>
      </c>
      <c r="E5" s="131" t="n">
        <v>27</v>
      </c>
      <c r="F5" s="130" t="n">
        <v>64.8</v>
      </c>
      <c r="G5" s="17" t="n">
        <v>20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90B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가음동 창원가음정한림풀에버</t>
        </is>
      </c>
      <c r="B6" s="75" t="inlineStr">
        <is>
          <t>14.07.</t>
        </is>
      </c>
      <c r="C6" s="129" t="n">
        <v>266</v>
      </c>
      <c r="D6" s="130" t="n">
        <v>112.4</v>
      </c>
      <c r="E6" s="131" t="n">
        <v>34</v>
      </c>
      <c r="F6" s="130" t="n">
        <v>85</v>
      </c>
      <c r="G6" s="17" t="n">
        <v>26</v>
      </c>
      <c r="H6" s="132" t="n">
        <v>94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가음동 창원가음정한림풀에버</t>
        </is>
      </c>
      <c r="B7" s="75" t="inlineStr">
        <is>
          <t>14.07.</t>
        </is>
      </c>
      <c r="C7" s="129" t="n">
        <v>266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94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가음동 럭키</t>
        </is>
      </c>
      <c r="B8" s="75" t="inlineStr">
        <is>
          <t>80.02.</t>
        </is>
      </c>
      <c r="C8" s="129" t="n">
        <v>330</v>
      </c>
      <c r="D8" s="130" t="n">
        <v>56.2</v>
      </c>
      <c r="E8" s="131" t="n">
        <v>17</v>
      </c>
      <c r="F8" s="130" t="n">
        <v>43.4</v>
      </c>
      <c r="G8" s="17" t="n">
        <v>13</v>
      </c>
      <c r="H8" s="132" t="n">
        <v>100</v>
      </c>
      <c r="I8" s="133" t="n">
        <v>39000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가음동 럭키</t>
        </is>
      </c>
      <c r="B9" s="75" t="inlineStr">
        <is>
          <t>80.02.</t>
        </is>
      </c>
      <c r="C9" s="129" t="n">
        <v>330</v>
      </c>
      <c r="D9" s="130" t="n">
        <v>61.4</v>
      </c>
      <c r="E9" s="131" t="n">
        <v>19</v>
      </c>
      <c r="F9" s="130" t="n">
        <v>43.4</v>
      </c>
      <c r="G9" s="17" t="n">
        <v>13</v>
      </c>
      <c r="H9" s="132" t="n">
        <v>40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가음동 럭키</t>
        </is>
      </c>
      <c r="B10" s="75" t="inlineStr">
        <is>
          <t>80.02.</t>
        </is>
      </c>
      <c r="C10" s="129" t="n">
        <v>330</v>
      </c>
      <c r="D10" s="130" t="n">
        <v>64.8</v>
      </c>
      <c r="E10" s="131" t="n">
        <v>20</v>
      </c>
      <c r="F10" s="130" t="n">
        <v>49.4</v>
      </c>
      <c r="G10" s="17" t="n">
        <v>15</v>
      </c>
      <c r="H10" s="132" t="n">
        <v>190</v>
      </c>
      <c r="I10" s="133" t="n">
        <v>35000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64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가음동 창원센텀푸르지오</t>
        </is>
      </c>
      <c r="B11" s="75" t="inlineStr">
        <is>
          <t>18.01.</t>
        </is>
      </c>
      <c r="C11" s="129" t="n">
        <v>975</v>
      </c>
      <c r="D11" s="130" t="n">
        <v>84.40000000000001</v>
      </c>
      <c r="E11" s="131" t="n">
        <v>26</v>
      </c>
      <c r="F11" s="130" t="n">
        <v>60</v>
      </c>
      <c r="G11" s="17" t="n">
        <v>18</v>
      </c>
      <c r="H11" s="132" t="n">
        <v>224</v>
      </c>
      <c r="I11" s="133" t="n">
        <v>58000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가음동 창원센텀푸르지오</t>
        </is>
      </c>
      <c r="B12" s="75" t="inlineStr">
        <is>
          <t>18.01.</t>
        </is>
      </c>
      <c r="C12" s="129" t="n">
        <v>975</v>
      </c>
      <c r="D12" s="130" t="n">
        <v>99</v>
      </c>
      <c r="E12" s="131" t="n">
        <v>30</v>
      </c>
      <c r="F12" s="130" t="n">
        <v>73.7</v>
      </c>
      <c r="G12" s="17" t="n">
        <v>22</v>
      </c>
      <c r="H12" s="132" t="n">
        <v>216</v>
      </c>
      <c r="I12" s="133" t="n">
        <v>65000</v>
      </c>
      <c r="J12" s="133" t="inlineStr">
        <is>
          <t>19</t>
        </is>
      </c>
      <c r="K12" s="133" t="n">
        <v>50000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98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가음동 창원센텀푸르지오</t>
        </is>
      </c>
      <c r="B13" s="75" t="inlineStr">
        <is>
          <t>18.01.</t>
        </is>
      </c>
      <c r="C13" s="129" t="n">
        <v>975</v>
      </c>
      <c r="D13" s="130" t="n">
        <v>111.7</v>
      </c>
      <c r="E13" s="131" t="n">
        <v>34</v>
      </c>
      <c r="F13" s="130" t="n">
        <v>84.90000000000001</v>
      </c>
      <c r="G13" s="17" t="n">
        <v>26</v>
      </c>
      <c r="H13" s="132" t="n">
        <v>208</v>
      </c>
      <c r="I13" s="133" t="n">
        <v>74000</v>
      </c>
      <c r="J13" s="133" t="inlineStr">
        <is>
          <t>8</t>
        </is>
      </c>
      <c r="K13" s="133" t="n">
        <v>52000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111A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가음동 창원센텀푸르지오</t>
        </is>
      </c>
      <c r="B14" s="75" t="inlineStr">
        <is>
          <t>18.01.</t>
        </is>
      </c>
      <c r="C14" s="129" t="n">
        <v>975</v>
      </c>
      <c r="D14" s="130" t="n">
        <v>111.2</v>
      </c>
      <c r="E14" s="131" t="n">
        <v>34</v>
      </c>
      <c r="F14" s="130" t="n">
        <v>85</v>
      </c>
      <c r="G14" s="17" t="n">
        <v>26</v>
      </c>
      <c r="H14" s="132" t="n">
        <v>191</v>
      </c>
      <c r="I14" s="133" t="n">
        <v>73000</v>
      </c>
      <c r="J14" s="133" t="inlineStr">
        <is>
          <t>중</t>
        </is>
      </c>
      <c r="K14" s="133" t="n">
        <v>52000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111B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가음동 창원센텀푸르지오</t>
        </is>
      </c>
      <c r="B15" s="75" t="inlineStr">
        <is>
          <t>18.01.</t>
        </is>
      </c>
      <c r="C15" s="129" t="n">
        <v>975</v>
      </c>
      <c r="D15" s="130" t="n">
        <v>111.4</v>
      </c>
      <c r="E15" s="131" t="n">
        <v>34</v>
      </c>
      <c r="F15" s="130" t="n">
        <v>85</v>
      </c>
      <c r="G15" s="17" t="n">
        <v>26</v>
      </c>
      <c r="H15" s="132" t="n">
        <v>92</v>
      </c>
      <c r="I15" s="133" t="n">
        <v>74000</v>
      </c>
      <c r="J15" s="133" t="inlineStr">
        <is>
          <t>17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111C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가음동 창원센텀푸르지오</t>
        </is>
      </c>
      <c r="B16" s="75" t="inlineStr">
        <is>
          <t>18.01.</t>
        </is>
      </c>
      <c r="C16" s="129" t="n">
        <v>975</v>
      </c>
      <c r="D16" s="130" t="n">
        <v>131.5</v>
      </c>
      <c r="E16" s="131" t="n">
        <v>40</v>
      </c>
      <c r="F16" s="130" t="n">
        <v>101.9</v>
      </c>
      <c r="G16" s="17" t="n">
        <v>31</v>
      </c>
      <c r="H16" s="132" t="n">
        <v>44</v>
      </c>
      <c r="I16" s="133" t="n">
        <v>95000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131C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가음동 창원더샵센트럴파크2단지</t>
        </is>
      </c>
      <c r="B17" s="75" t="inlineStr">
        <is>
          <t>17.04.</t>
        </is>
      </c>
      <c r="C17" s="129" t="n">
        <v>624</v>
      </c>
      <c r="D17" s="130" t="n">
        <v>79</v>
      </c>
      <c r="E17" s="131" t="n">
        <v>24</v>
      </c>
      <c r="F17" s="130" t="n">
        <v>59.8</v>
      </c>
      <c r="G17" s="17" t="n">
        <v>18</v>
      </c>
      <c r="H17" s="132" t="n">
        <v>50</v>
      </c>
      <c r="I17" s="133" t="n">
        <v>54800</v>
      </c>
      <c r="J17" s="133" t="inlineStr">
        <is>
          <t>8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78A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가음동 창원더샵센트럴파크2단지</t>
        </is>
      </c>
      <c r="B18" s="75" t="inlineStr">
        <is>
          <t>17.04.</t>
        </is>
      </c>
      <c r="C18" s="129" t="n">
        <v>624</v>
      </c>
      <c r="D18" s="130" t="n">
        <v>80.59999999999999</v>
      </c>
      <c r="E18" s="131" t="n">
        <v>24</v>
      </c>
      <c r="F18" s="130" t="n">
        <v>59.8</v>
      </c>
      <c r="G18" s="17" t="n">
        <v>18</v>
      </c>
      <c r="H18" s="132" t="n">
        <v>50</v>
      </c>
      <c r="I18" s="133" t="n">
        <v>56000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가음동 창원더샵센트럴파크2단지</t>
        </is>
      </c>
      <c r="B19" s="75" t="inlineStr">
        <is>
          <t>17.04.</t>
        </is>
      </c>
      <c r="C19" s="129" t="n">
        <v>624</v>
      </c>
      <c r="D19" s="130" t="n">
        <v>110.9</v>
      </c>
      <c r="E19" s="131" t="n">
        <v>34</v>
      </c>
      <c r="F19" s="130" t="n">
        <v>84.90000000000001</v>
      </c>
      <c r="G19" s="17" t="n">
        <v>26</v>
      </c>
      <c r="H19" s="132" t="n">
        <v>224</v>
      </c>
      <c r="I19" s="133" t="n">
        <v>70000</v>
      </c>
      <c r="J19" s="133" t="inlineStr">
        <is>
          <t>26</t>
        </is>
      </c>
      <c r="K19" s="133" t="n">
        <v>50000</v>
      </c>
      <c r="L19" s="133" t="inlineStr">
        <is>
          <t>24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가음동 창원더샵센트럴파크2단지</t>
        </is>
      </c>
      <c r="B20" s="75" t="inlineStr">
        <is>
          <t>17.04.</t>
        </is>
      </c>
      <c r="C20" s="129" t="n">
        <v>624</v>
      </c>
      <c r="D20" s="130" t="n">
        <v>110.7</v>
      </c>
      <c r="E20" s="131" t="n">
        <v>33</v>
      </c>
      <c r="F20" s="130" t="n">
        <v>84.8</v>
      </c>
      <c r="G20" s="17" t="n">
        <v>26</v>
      </c>
      <c r="H20" s="132" t="n">
        <v>150</v>
      </c>
      <c r="I20" s="133" t="n">
        <v>65000</v>
      </c>
      <c r="J20" s="133" t="inlineStr">
        <is>
          <t>14</t>
        </is>
      </c>
      <c r="K20" s="133" t="n">
        <v>50000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110B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가음동 창원더샵센트럴파크2단지</t>
        </is>
      </c>
      <c r="B21" s="75" t="inlineStr">
        <is>
          <t>17.04.</t>
        </is>
      </c>
      <c r="C21" s="129" t="n">
        <v>624</v>
      </c>
      <c r="D21" s="130" t="n">
        <v>111</v>
      </c>
      <c r="E21" s="131" t="n">
        <v>34</v>
      </c>
      <c r="F21" s="130" t="n">
        <v>84.8</v>
      </c>
      <c r="G21" s="17" t="n">
        <v>26</v>
      </c>
      <c r="H21" s="132" t="n">
        <v>50</v>
      </c>
      <c r="I21" s="133" t="n">
        <v>67000</v>
      </c>
      <c r="J21" s="133" t="inlineStr">
        <is>
          <t>6</t>
        </is>
      </c>
      <c r="K21" s="133" t="n">
        <v>53000</v>
      </c>
      <c r="L21" s="133" t="inlineStr">
        <is>
          <t>고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110C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가음동 창원더샵센트럴파크2단지</t>
        </is>
      </c>
      <c r="B22" s="75" t="inlineStr">
        <is>
          <t>17.04.</t>
        </is>
      </c>
      <c r="C22" s="129" t="n">
        <v>624</v>
      </c>
      <c r="D22" s="130" t="n">
        <v>129.6</v>
      </c>
      <c r="E22" s="131" t="n">
        <v>39</v>
      </c>
      <c r="F22" s="130" t="n">
        <v>98.8</v>
      </c>
      <c r="G22" s="17" t="n">
        <v>30</v>
      </c>
      <c r="H22" s="132" t="n">
        <v>100</v>
      </c>
      <c r="I22" s="133" t="n">
        <v>78000</v>
      </c>
      <c r="J22" s="133" t="inlineStr">
        <is>
          <t>고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129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가음동 창원더샵센트럴파크1단지</t>
        </is>
      </c>
      <c r="B23" s="75" t="inlineStr">
        <is>
          <t>17.04.</t>
        </is>
      </c>
      <c r="C23" s="129" t="n">
        <v>386</v>
      </c>
      <c r="D23" s="130" t="n">
        <v>107.5</v>
      </c>
      <c r="E23" s="131" t="n">
        <v>33</v>
      </c>
      <c r="F23" s="130" t="n">
        <v>84.8</v>
      </c>
      <c r="G23" s="17" t="n">
        <v>26</v>
      </c>
      <c r="H23" s="132" t="n">
        <v>146</v>
      </c>
      <c r="I23" s="133" t="n">
        <v>70000</v>
      </c>
      <c r="J23" s="133" t="inlineStr">
        <is>
          <t>25</t>
        </is>
      </c>
      <c r="K23" s="133" t="n">
        <v>50000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107B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가음동 창원더샵센트럴파크1단지</t>
        </is>
      </c>
      <c r="B24" s="75" t="inlineStr">
        <is>
          <t>17.04.</t>
        </is>
      </c>
      <c r="C24" s="129" t="n">
        <v>386</v>
      </c>
      <c r="D24" s="130" t="n">
        <v>107.8</v>
      </c>
      <c r="E24" s="131" t="n">
        <v>33</v>
      </c>
      <c r="F24" s="130" t="n">
        <v>84.8</v>
      </c>
      <c r="G24" s="17" t="n">
        <v>26</v>
      </c>
      <c r="H24" s="132" t="n">
        <v>50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107C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가음동 창원더샵센트럴파크1단지</t>
        </is>
      </c>
      <c r="B25" s="75" t="inlineStr">
        <is>
          <t>17.04.</t>
        </is>
      </c>
      <c r="C25" s="129" t="n">
        <v>386</v>
      </c>
      <c r="D25" s="130" t="n">
        <v>125.9</v>
      </c>
      <c r="E25" s="131" t="n">
        <v>38</v>
      </c>
      <c r="F25" s="130" t="n">
        <v>98.8</v>
      </c>
      <c r="G25" s="17" t="n">
        <v>30</v>
      </c>
      <c r="H25" s="132" t="n">
        <v>98</v>
      </c>
      <c r="I25" s="133" t="n">
        <v>76000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가음동 창원더샵센트럴파크1단지</t>
        </is>
      </c>
      <c r="B26" s="75" t="inlineStr">
        <is>
          <t>17.04.</t>
        </is>
      </c>
      <c r="C26" s="129" t="n">
        <v>386</v>
      </c>
      <c r="D26" s="130" t="n">
        <v>147.9</v>
      </c>
      <c r="E26" s="131" t="n">
        <v>45</v>
      </c>
      <c r="F26" s="130" t="n">
        <v>117.7</v>
      </c>
      <c r="G26" s="17" t="n">
        <v>36</v>
      </c>
      <c r="H26" s="132" t="n">
        <v>46</v>
      </c>
      <c r="I26" s="133" t="n">
        <v>95000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inlineStr">
        <is>
          <t>147A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가음동 창원더샵센트럴파크1단지</t>
        </is>
      </c>
      <c r="B27" s="75" t="inlineStr">
        <is>
          <t>17.04.</t>
        </is>
      </c>
      <c r="C27" s="129" t="n">
        <v>386</v>
      </c>
      <c r="D27" s="130" t="n">
        <v>149.2</v>
      </c>
      <c r="E27" s="131" t="n">
        <v>45</v>
      </c>
      <c r="F27" s="130" t="n">
        <v>117.9</v>
      </c>
      <c r="G27" s="17" t="n">
        <v>36</v>
      </c>
      <c r="H27" s="132" t="n">
        <v>46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inlineStr">
        <is>
          <t>149B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가음동 창원가음한화꿈에그린</t>
        </is>
      </c>
      <c r="B28" s="75" t="inlineStr">
        <is>
          <t>17.08.</t>
        </is>
      </c>
      <c r="C28" s="129" t="n">
        <v>749</v>
      </c>
      <c r="D28" s="130" t="n">
        <v>79.90000000000001</v>
      </c>
      <c r="E28" s="131" t="n">
        <v>24</v>
      </c>
      <c r="F28" s="130" t="n">
        <v>60</v>
      </c>
      <c r="G28" s="17" t="n">
        <v>18</v>
      </c>
      <c r="H28" s="132" t="n">
        <v>88</v>
      </c>
      <c r="I28" s="133" t="n">
        <v>55000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가음동 창원가음한화꿈에그린</t>
        </is>
      </c>
      <c r="B29" s="75" t="inlineStr">
        <is>
          <t>17.08.</t>
        </is>
      </c>
      <c r="C29" s="129" t="n">
        <v>749</v>
      </c>
      <c r="D29" s="130" t="n">
        <v>94.8</v>
      </c>
      <c r="E29" s="131" t="n">
        <v>29</v>
      </c>
      <c r="F29" s="130" t="n">
        <v>70.90000000000001</v>
      </c>
      <c r="G29" s="17" t="n">
        <v>21</v>
      </c>
      <c r="H29" s="132" t="n">
        <v>54</v>
      </c>
      <c r="I29" s="133" t="n">
        <v>65000</v>
      </c>
      <c r="J29" s="133" t="inlineStr">
        <is>
          <t>고</t>
        </is>
      </c>
      <c r="K29" s="133" t="n">
        <v>46000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94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가음동 창원가음한화꿈에그린</t>
        </is>
      </c>
      <c r="B30" s="75" t="inlineStr">
        <is>
          <t>17.08.</t>
        </is>
      </c>
      <c r="C30" s="129" t="n">
        <v>749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377</v>
      </c>
      <c r="I30" s="133" t="n">
        <v>66000</v>
      </c>
      <c r="J30" s="133" t="inlineStr">
        <is>
          <t>26</t>
        </is>
      </c>
      <c r="K30" s="133" t="n">
        <v>50000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112A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가음동 창원가음한화꿈에그린</t>
        </is>
      </c>
      <c r="B31" s="75" t="inlineStr">
        <is>
          <t>17.08.</t>
        </is>
      </c>
      <c r="C31" s="129" t="n">
        <v>749</v>
      </c>
      <c r="D31" s="130" t="n">
        <v>112</v>
      </c>
      <c r="E31" s="131" t="n">
        <v>34</v>
      </c>
      <c r="F31" s="130" t="n">
        <v>85</v>
      </c>
      <c r="G31" s="17" t="n">
        <v>26</v>
      </c>
      <c r="H31" s="132" t="n">
        <v>110</v>
      </c>
      <c r="I31" s="133" t="n">
        <v>72000</v>
      </c>
      <c r="J31" s="133" t="inlineStr">
        <is>
          <t>26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가음동 창원가음한화꿈에그린</t>
        </is>
      </c>
      <c r="B32" s="75" t="inlineStr">
        <is>
          <t>17.08.</t>
        </is>
      </c>
      <c r="C32" s="129" t="n">
        <v>749</v>
      </c>
      <c r="D32" s="130" t="n">
        <v>112.4</v>
      </c>
      <c r="E32" s="131" t="n">
        <v>34</v>
      </c>
      <c r="F32" s="130" t="n">
        <v>85</v>
      </c>
      <c r="G32" s="17" t="n">
        <v>26</v>
      </c>
      <c r="H32" s="132" t="n">
        <v>8</v>
      </c>
      <c r="I32" s="133" t="n">
        <v>66000</v>
      </c>
      <c r="J32" s="133" t="inlineStr">
        <is>
          <t>26</t>
        </is>
      </c>
      <c r="K32" s="133" t="n">
        <v>50000</v>
      </c>
      <c r="L32" s="133" t="inlineStr">
        <is>
          <t>10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112A2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가음동 창원가음한화꿈에그린</t>
        </is>
      </c>
      <c r="B33" s="75" t="inlineStr">
        <is>
          <t>17.08.</t>
        </is>
      </c>
      <c r="C33" s="129" t="n">
        <v>749</v>
      </c>
      <c r="D33" s="130" t="n">
        <v>131.9</v>
      </c>
      <c r="E33" s="131" t="n">
        <v>40</v>
      </c>
      <c r="F33" s="130" t="n">
        <v>100.6</v>
      </c>
      <c r="G33" s="17" t="n">
        <v>30</v>
      </c>
      <c r="H33" s="132" t="n">
        <v>85</v>
      </c>
      <c r="I33" s="133" t="n">
        <v>75500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가음동 창원가음한화꿈에그린</t>
        </is>
      </c>
      <c r="B34" s="75" t="inlineStr">
        <is>
          <t>17.08.</t>
        </is>
      </c>
      <c r="C34" s="129" t="n">
        <v>749</v>
      </c>
      <c r="D34" s="130" t="n">
        <v>144.8</v>
      </c>
      <c r="E34" s="131" t="n">
        <v>44</v>
      </c>
      <c r="F34" s="130" t="n">
        <v>110.9</v>
      </c>
      <c r="G34" s="17" t="n">
        <v>34</v>
      </c>
      <c r="H34" s="132" t="n">
        <v>27</v>
      </c>
      <c r="I34" s="133" t="n">
        <v>95000</v>
      </c>
      <c r="J34" s="133" t="inlineStr">
        <is>
          <t>19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144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가음동 창원더샵센트럴파크3단지</t>
        </is>
      </c>
      <c r="B35" s="75" t="inlineStr">
        <is>
          <t>17.04.</t>
        </is>
      </c>
      <c r="C35" s="129" t="n">
        <v>448</v>
      </c>
      <c r="D35" s="130" t="n">
        <v>93.90000000000001</v>
      </c>
      <c r="E35" s="131" t="n">
        <v>28</v>
      </c>
      <c r="F35" s="130" t="n">
        <v>71.90000000000001</v>
      </c>
      <c r="G35" s="17" t="n">
        <v>22</v>
      </c>
      <c r="H35" s="132" t="n">
        <v>160</v>
      </c>
      <c r="I35" s="133" t="n">
        <v>61000</v>
      </c>
      <c r="J35" s="133" t="inlineStr">
        <is>
          <t>6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93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가음동 창원더샵센트럴파크3단지</t>
        </is>
      </c>
      <c r="B36" s="75" t="inlineStr">
        <is>
          <t>17.04.</t>
        </is>
      </c>
      <c r="C36" s="129" t="n">
        <v>448</v>
      </c>
      <c r="D36" s="130" t="n">
        <v>110.3</v>
      </c>
      <c r="E36" s="131" t="n">
        <v>33</v>
      </c>
      <c r="F36" s="130" t="n">
        <v>84.8</v>
      </c>
      <c r="G36" s="17" t="n">
        <v>26</v>
      </c>
      <c r="H36" s="132" t="n">
        <v>104</v>
      </c>
      <c r="I36" s="133" t="n">
        <v>65000</v>
      </c>
      <c r="J36" s="133" t="inlineStr">
        <is>
          <t>15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가음동 창원더샵센트럴파크3단지</t>
        </is>
      </c>
      <c r="B37" s="75" t="inlineStr">
        <is>
          <t>17.04.</t>
        </is>
      </c>
      <c r="C37" s="129" t="n">
        <v>448</v>
      </c>
      <c r="D37" s="130" t="n">
        <v>110.5</v>
      </c>
      <c r="E37" s="131" t="n">
        <v>33</v>
      </c>
      <c r="F37" s="130" t="n">
        <v>84.90000000000001</v>
      </c>
      <c r="G37" s="17" t="n">
        <v>26</v>
      </c>
      <c r="H37" s="132" t="n">
        <v>80</v>
      </c>
      <c r="I37" s="133" t="n">
        <v>65000</v>
      </c>
      <c r="J37" s="133" t="inlineStr">
        <is>
          <t>19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가음동 창원더샵센트럴파크3단지</t>
        </is>
      </c>
      <c r="B38" s="75" t="inlineStr">
        <is>
          <t>17.04.</t>
        </is>
      </c>
      <c r="C38" s="129" t="n">
        <v>448</v>
      </c>
      <c r="D38" s="130" t="n">
        <v>110.6</v>
      </c>
      <c r="E38" s="131" t="n">
        <v>33</v>
      </c>
      <c r="F38" s="130" t="n">
        <v>84.8</v>
      </c>
      <c r="G38" s="17" t="n">
        <v>26</v>
      </c>
      <c r="H38" s="132" t="n">
        <v>52</v>
      </c>
      <c r="I38" s="133" t="n">
        <v>73000</v>
      </c>
      <c r="J38" s="133" t="inlineStr">
        <is>
          <t>16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가음동 창원더샵센트럴파크3단지</t>
        </is>
      </c>
      <c r="B39" s="75" t="inlineStr">
        <is>
          <t>17.04.</t>
        </is>
      </c>
      <c r="C39" s="129" t="n">
        <v>448</v>
      </c>
      <c r="D39" s="130" t="n">
        <v>129.1</v>
      </c>
      <c r="E39" s="131" t="n">
        <v>39</v>
      </c>
      <c r="F39" s="130" t="n">
        <v>98.8</v>
      </c>
      <c r="G39" s="17" t="n">
        <v>30</v>
      </c>
      <c r="H39" s="132" t="n">
        <v>52</v>
      </c>
      <c r="I39" s="133" t="n">
        <v>83000</v>
      </c>
      <c r="J39" s="133" t="inlineStr">
        <is>
          <t>20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129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가음동 은아</t>
        </is>
      </c>
      <c r="B40" s="75" t="inlineStr">
        <is>
          <t>87.12.</t>
        </is>
      </c>
      <c r="C40" s="129" t="n">
        <v>500</v>
      </c>
      <c r="D40" s="130" t="n">
        <v>59.4</v>
      </c>
      <c r="E40" s="131" t="n">
        <v>18</v>
      </c>
      <c r="F40" s="130" t="n">
        <v>49.8</v>
      </c>
      <c r="G40" s="17" t="n">
        <v>15</v>
      </c>
      <c r="H40" s="132" t="n">
        <v>350</v>
      </c>
      <c r="I40" s="133" t="n">
        <v>25000</v>
      </c>
      <c r="J40" s="133" t="inlineStr">
        <is>
          <t>고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2</v>
      </c>
      <c r="R40" s="120" t="n">
        <v>1</v>
      </c>
      <c r="S40" s="120" t="inlineStr">
        <is>
          <t>계</t>
        </is>
      </c>
      <c r="T40" s="5" t="inlineStr">
        <is>
          <t>59A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가음동 은아</t>
        </is>
      </c>
      <c r="B41" s="75" t="inlineStr">
        <is>
          <t>87.12.</t>
        </is>
      </c>
      <c r="C41" s="129" t="n">
        <v>500</v>
      </c>
      <c r="D41" s="130" t="n">
        <v>59.4</v>
      </c>
      <c r="E41" s="131" t="n">
        <v>18</v>
      </c>
      <c r="F41" s="130" t="n">
        <v>49.9</v>
      </c>
      <c r="G41" s="17" t="n">
        <v>15</v>
      </c>
      <c r="H41" s="132" t="n">
        <v>150</v>
      </c>
      <c r="I41" s="133" t="n">
        <v>26000</v>
      </c>
      <c r="J41" s="133" t="inlineStr">
        <is>
          <t>고</t>
        </is>
      </c>
      <c r="K41" s="133" t="n">
        <v>12000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inlineStr">
        <is>
          <t>59B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가음정동 소라</t>
        </is>
      </c>
      <c r="B42" s="75" t="inlineStr">
        <is>
          <t>90.01.</t>
        </is>
      </c>
      <c r="C42" s="129" t="n">
        <v>348</v>
      </c>
      <c r="D42" s="130" t="n">
        <v>83.3</v>
      </c>
      <c r="E42" s="131" t="n">
        <v>25</v>
      </c>
      <c r="F42" s="130" t="n">
        <v>59.9</v>
      </c>
      <c r="G42" s="17" t="n">
        <v>18</v>
      </c>
      <c r="H42" s="132" t="n">
        <v>252</v>
      </c>
      <c r="I42" s="133" t="n">
        <v>11800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83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가음정동 소라</t>
        </is>
      </c>
      <c r="B43" s="75" t="inlineStr">
        <is>
          <t>90.01.</t>
        </is>
      </c>
      <c r="C43" s="129" t="n">
        <v>348</v>
      </c>
      <c r="D43" s="130" t="n">
        <v>102.1</v>
      </c>
      <c r="E43" s="131" t="n">
        <v>31</v>
      </c>
      <c r="F43" s="130" t="n">
        <v>84.8</v>
      </c>
      <c r="G43" s="17" t="n">
        <v>26</v>
      </c>
      <c r="H43" s="132" t="n">
        <v>96</v>
      </c>
      <c r="I43" s="133" t="n">
        <v>18000</v>
      </c>
      <c r="J43" s="133" t="inlineStr">
        <is>
          <t>고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남산동 한양</t>
        </is>
      </c>
      <c r="B44" s="75" t="inlineStr">
        <is>
          <t>86.05.</t>
        </is>
      </c>
      <c r="C44" s="129" t="n">
        <v>332</v>
      </c>
      <c r="D44" s="130" t="n">
        <v>59.5</v>
      </c>
      <c r="E44" s="131" t="n">
        <v>18</v>
      </c>
      <c r="F44" s="130" t="n">
        <v>43.6</v>
      </c>
      <c r="G44" s="17" t="n">
        <v>13</v>
      </c>
      <c r="H44" s="132" t="n">
        <v>70</v>
      </c>
      <c r="I44" s="133" t="n">
        <v>8500</v>
      </c>
      <c r="J44" s="133" t="inlineStr">
        <is>
          <t>9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남산동 한양</t>
        </is>
      </c>
      <c r="B45" s="75" t="inlineStr">
        <is>
          <t>86.05.</t>
        </is>
      </c>
      <c r="C45" s="129" t="n">
        <v>332</v>
      </c>
      <c r="D45" s="130" t="n">
        <v>87.5</v>
      </c>
      <c r="E45" s="131" t="n">
        <v>26</v>
      </c>
      <c r="F45" s="130" t="n">
        <v>63.7</v>
      </c>
      <c r="G45" s="17" t="n">
        <v>19</v>
      </c>
      <c r="H45" s="132" t="n">
        <v>48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87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남산동 한양</t>
        </is>
      </c>
      <c r="B46" s="75" t="inlineStr">
        <is>
          <t>86.05.</t>
        </is>
      </c>
      <c r="C46" s="129" t="n">
        <v>332</v>
      </c>
      <c r="D46" s="130" t="n">
        <v>116.4</v>
      </c>
      <c r="E46" s="131" t="n">
        <v>35</v>
      </c>
      <c r="F46" s="130" t="n">
        <v>84.8</v>
      </c>
      <c r="G46" s="17" t="n">
        <v>26</v>
      </c>
      <c r="H46" s="132" t="n">
        <v>48</v>
      </c>
      <c r="I46" s="133" t="n">
        <v>19000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복</t>
        </is>
      </c>
      <c r="T46" s="5" t="n">
        <v>116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남산동 대우2차</t>
        </is>
      </c>
      <c r="B47" s="75" t="inlineStr">
        <is>
          <t>91.09.</t>
        </is>
      </c>
      <c r="C47" s="129" t="n">
        <v>408</v>
      </c>
      <c r="D47" s="130" t="n">
        <v>65.09999999999999</v>
      </c>
      <c r="E47" s="131" t="n">
        <v>20</v>
      </c>
      <c r="F47" s="130" t="n">
        <v>48.8</v>
      </c>
      <c r="G47" s="17" t="n">
        <v>15</v>
      </c>
      <c r="H47" s="132" t="n">
        <v>192</v>
      </c>
      <c r="I47" s="133" t="n">
        <v>9500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복</t>
        </is>
      </c>
      <c r="T47" s="5" t="n">
        <v>65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남산동 대우2차</t>
        </is>
      </c>
      <c r="B48" s="75" t="inlineStr">
        <is>
          <t>91.09.</t>
        </is>
      </c>
      <c r="C48" s="129" t="n">
        <v>408</v>
      </c>
      <c r="D48" s="130" t="n">
        <v>83.90000000000001</v>
      </c>
      <c r="E48" s="131" t="n">
        <v>25</v>
      </c>
      <c r="F48" s="130" t="n">
        <v>67.8</v>
      </c>
      <c r="G48" s="17" t="n">
        <v>20</v>
      </c>
      <c r="H48" s="132" t="n">
        <v>72</v>
      </c>
      <c r="I48" s="133" t="n">
        <v>15000</v>
      </c>
      <c r="J48" s="133" t="inlineStr">
        <is>
          <t>9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n">
        <v>83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남산동 대우2차</t>
        </is>
      </c>
      <c r="B49" s="75" t="inlineStr">
        <is>
          <t>91.09.</t>
        </is>
      </c>
      <c r="C49" s="129" t="n">
        <v>408</v>
      </c>
      <c r="D49" s="130" t="n">
        <v>84.59999999999999</v>
      </c>
      <c r="E49" s="131" t="n">
        <v>26</v>
      </c>
      <c r="F49" s="130" t="n">
        <v>68.09999999999999</v>
      </c>
      <c r="G49" s="17" t="n">
        <v>21</v>
      </c>
      <c r="H49" s="132" t="n">
        <v>72</v>
      </c>
      <c r="I49" s="133" t="n">
        <v>17000</v>
      </c>
      <c r="J49" s="133" t="inlineStr">
        <is>
          <t>11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1</v>
      </c>
      <c r="S49" s="120" t="inlineStr">
        <is>
          <t>계</t>
        </is>
      </c>
      <c r="T49" s="5" t="n">
        <v>84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남산동 대우2차</t>
        </is>
      </c>
      <c r="B50" s="75" t="inlineStr">
        <is>
          <t>91.09.</t>
        </is>
      </c>
      <c r="C50" s="129" t="n">
        <v>408</v>
      </c>
      <c r="D50" s="130" t="n">
        <v>96.8</v>
      </c>
      <c r="E50" s="131" t="n">
        <v>29</v>
      </c>
      <c r="F50" s="130" t="n">
        <v>79</v>
      </c>
      <c r="G50" s="17" t="n">
        <v>24</v>
      </c>
      <c r="H50" s="132" t="n">
        <v>24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남산동 대우2차</t>
        </is>
      </c>
      <c r="B51" s="75" t="inlineStr">
        <is>
          <t>91.09.</t>
        </is>
      </c>
      <c r="C51" s="129" t="n">
        <v>408</v>
      </c>
      <c r="D51" s="130" t="n">
        <v>98.2</v>
      </c>
      <c r="E51" s="131" t="n">
        <v>30</v>
      </c>
      <c r="F51" s="130" t="n">
        <v>80.90000000000001</v>
      </c>
      <c r="G51" s="17" t="n">
        <v>24</v>
      </c>
      <c r="H51" s="132" t="n">
        <v>48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98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남산동 대우1차</t>
        </is>
      </c>
      <c r="B52" s="75" t="inlineStr">
        <is>
          <t>91.09.</t>
        </is>
      </c>
      <c r="C52" s="129" t="n">
        <v>636</v>
      </c>
      <c r="D52" s="130" t="n">
        <v>51.1</v>
      </c>
      <c r="E52" s="131" t="n">
        <v>15</v>
      </c>
      <c r="F52" s="130" t="n">
        <v>37.7</v>
      </c>
      <c r="G52" s="17" t="n">
        <v>11</v>
      </c>
      <c r="H52" s="132" t="n">
        <v>60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복</t>
        </is>
      </c>
      <c r="T52" s="5" t="n">
        <v>51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남산동 대우1차</t>
        </is>
      </c>
      <c r="B53" s="75" t="inlineStr">
        <is>
          <t>91.09.</t>
        </is>
      </c>
      <c r="C53" s="129" t="n">
        <v>636</v>
      </c>
      <c r="D53" s="130" t="n">
        <v>66.2</v>
      </c>
      <c r="E53" s="131" t="n">
        <v>20</v>
      </c>
      <c r="F53" s="130" t="n">
        <v>48.8</v>
      </c>
      <c r="G53" s="17" t="n">
        <v>15</v>
      </c>
      <c r="H53" s="132" t="n">
        <v>60</v>
      </c>
      <c r="I53" s="133" t="n">
        <v>10000</v>
      </c>
      <c r="J53" s="133" t="inlineStr">
        <is>
          <t>10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복</t>
        </is>
      </c>
      <c r="T53" s="5" t="n">
        <v>66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남산동 남산효성해링턴플레이스</t>
        </is>
      </c>
      <c r="B54" s="75" t="inlineStr">
        <is>
          <t>18.06.</t>
        </is>
      </c>
      <c r="C54" s="129" t="n">
        <v>460</v>
      </c>
      <c r="D54" s="130" t="n">
        <v>79.59999999999999</v>
      </c>
      <c r="E54" s="131" t="n">
        <v>24</v>
      </c>
      <c r="F54" s="130" t="n">
        <v>59.9</v>
      </c>
      <c r="G54" s="17" t="n">
        <v>18</v>
      </c>
      <c r="H54" s="132" t="n">
        <v>140</v>
      </c>
      <c r="I54" s="133" t="n">
        <v>25000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79A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남산동 남산효성해링턴플레이스</t>
        </is>
      </c>
      <c r="B55" s="75" t="inlineStr">
        <is>
          <t>18.06.</t>
        </is>
      </c>
      <c r="C55" s="129" t="n">
        <v>460</v>
      </c>
      <c r="D55" s="130" t="n">
        <v>81.59999999999999</v>
      </c>
      <c r="E55" s="131" t="n">
        <v>25</v>
      </c>
      <c r="F55" s="130" t="n">
        <v>59.9</v>
      </c>
      <c r="G55" s="17" t="n">
        <v>18</v>
      </c>
      <c r="H55" s="132" t="n">
        <v>82</v>
      </c>
      <c r="I55" s="133" t="n">
        <v>28500</v>
      </c>
      <c r="J55" s="133" t="inlineStr">
        <is>
          <t>15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81B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남산동 남산효성해링턴플레이스</t>
        </is>
      </c>
      <c r="B56" s="75" t="inlineStr">
        <is>
          <t>18.06.</t>
        </is>
      </c>
      <c r="C56" s="129" t="n">
        <v>460</v>
      </c>
      <c r="D56" s="130" t="n">
        <v>101.5</v>
      </c>
      <c r="E56" s="131" t="n">
        <v>31</v>
      </c>
      <c r="F56" s="130" t="n">
        <v>79.40000000000001</v>
      </c>
      <c r="G56" s="17" t="n">
        <v>24</v>
      </c>
      <c r="H56" s="132" t="n">
        <v>112</v>
      </c>
      <c r="I56" s="133" t="n">
        <v>30000</v>
      </c>
      <c r="J56" s="133" t="inlineStr">
        <is>
          <t>12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101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남산동 남산효성해링턴플레이스</t>
        </is>
      </c>
      <c r="B57" s="75" t="inlineStr">
        <is>
          <t>18.06.</t>
        </is>
      </c>
      <c r="C57" s="129" t="n">
        <v>460</v>
      </c>
      <c r="D57" s="130" t="n">
        <v>108</v>
      </c>
      <c r="E57" s="131" t="n">
        <v>33</v>
      </c>
      <c r="F57" s="130" t="n">
        <v>84.90000000000001</v>
      </c>
      <c r="G57" s="17" t="n">
        <v>26</v>
      </c>
      <c r="H57" s="132" t="n">
        <v>56</v>
      </c>
      <c r="I57" s="133" t="n">
        <v>34000</v>
      </c>
      <c r="J57" s="133" t="inlineStr">
        <is>
          <t>중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108A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남산동 남산효성해링턴플레이스</t>
        </is>
      </c>
      <c r="B58" s="75" t="inlineStr">
        <is>
          <t>18.06.</t>
        </is>
      </c>
      <c r="C58" s="129" t="n">
        <v>460</v>
      </c>
      <c r="D58" s="130" t="n">
        <v>110.1</v>
      </c>
      <c r="E58" s="131" t="n">
        <v>33</v>
      </c>
      <c r="F58" s="130" t="n">
        <v>84.90000000000001</v>
      </c>
      <c r="G58" s="17" t="n">
        <v>26</v>
      </c>
      <c r="H58" s="132" t="n">
        <v>70</v>
      </c>
      <c r="I58" s="133" t="n">
        <v>32000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110B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남양동 위드파크</t>
        </is>
      </c>
      <c r="B59" s="75" t="inlineStr">
        <is>
          <t>98.05.</t>
        </is>
      </c>
      <c r="C59" s="129" t="n">
        <v>960</v>
      </c>
      <c r="D59" s="130" t="n">
        <v>69.90000000000001</v>
      </c>
      <c r="E59" s="131" t="n">
        <v>21</v>
      </c>
      <c r="F59" s="130" t="n">
        <v>51.5</v>
      </c>
      <c r="G59" s="17" t="n">
        <v>16</v>
      </c>
      <c r="H59" s="132" t="n">
        <v>120</v>
      </c>
      <c r="I59" s="133" t="n">
        <v>19300</v>
      </c>
      <c r="J59" s="133" t="inlineStr">
        <is>
          <t>10</t>
        </is>
      </c>
      <c r="K59" s="133" t="n">
        <v>17000</v>
      </c>
      <c r="L59" s="133" t="inlineStr">
        <is>
          <t>15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복</t>
        </is>
      </c>
      <c r="T59" s="5" t="n">
        <v>69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남양동 위드파크</t>
        </is>
      </c>
      <c r="B60" s="75" t="inlineStr">
        <is>
          <t>98.05.</t>
        </is>
      </c>
      <c r="C60" s="129" t="n">
        <v>960</v>
      </c>
      <c r="D60" s="130" t="n">
        <v>70.5</v>
      </c>
      <c r="E60" s="131" t="n">
        <v>21</v>
      </c>
      <c r="F60" s="130" t="n">
        <v>53.8</v>
      </c>
      <c r="G60" s="17" t="n">
        <v>16</v>
      </c>
      <c r="H60" s="132" t="n">
        <v>390</v>
      </c>
      <c r="I60" s="133" t="n">
        <v>22000</v>
      </c>
      <c r="J60" s="133" t="inlineStr">
        <is>
          <t>10</t>
        </is>
      </c>
      <c r="K60" s="133" t="n">
        <v>19000</v>
      </c>
      <c r="L60" s="133" t="inlineStr">
        <is>
          <t>13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70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남양동 위드파크</t>
        </is>
      </c>
      <c r="B61" s="75" t="inlineStr">
        <is>
          <t>98.05.</t>
        </is>
      </c>
      <c r="C61" s="129" t="n">
        <v>960</v>
      </c>
      <c r="D61" s="130" t="n">
        <v>76.5</v>
      </c>
      <c r="E61" s="131" t="n">
        <v>23</v>
      </c>
      <c r="F61" s="130" t="n">
        <v>58.5</v>
      </c>
      <c r="G61" s="17" t="n">
        <v>18</v>
      </c>
      <c r="H61" s="132" t="n">
        <v>360</v>
      </c>
      <c r="I61" s="133" t="n">
        <v>24000</v>
      </c>
      <c r="J61" s="133" t="inlineStr">
        <is>
          <t>15</t>
        </is>
      </c>
      <c r="K61" s="133" t="n">
        <v>22000</v>
      </c>
      <c r="L61" s="133" t="inlineStr">
        <is>
          <t>7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복</t>
        </is>
      </c>
      <c r="T61" s="5" t="n">
        <v>76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남양동 위드파크</t>
        </is>
      </c>
      <c r="B62" s="75" t="inlineStr">
        <is>
          <t>98.05.</t>
        </is>
      </c>
      <c r="C62" s="129" t="n">
        <v>960</v>
      </c>
      <c r="D62" s="130" t="n">
        <v>78.09999999999999</v>
      </c>
      <c r="E62" s="131" t="n">
        <v>24</v>
      </c>
      <c r="F62" s="130" t="n">
        <v>59.7</v>
      </c>
      <c r="G62" s="17" t="n">
        <v>18</v>
      </c>
      <c r="H62" s="132" t="n">
        <v>60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1</v>
      </c>
      <c r="S62" s="120" t="inlineStr">
        <is>
          <t>복</t>
        </is>
      </c>
      <c r="T62" s="5" t="n">
        <v>78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남양동 위드파크</t>
        </is>
      </c>
      <c r="B63" s="75" t="inlineStr">
        <is>
          <t>98.05.</t>
        </is>
      </c>
      <c r="C63" s="129" t="n">
        <v>960</v>
      </c>
      <c r="D63" s="130" t="n">
        <v>78.2</v>
      </c>
      <c r="E63" s="131" t="n">
        <v>24</v>
      </c>
      <c r="F63" s="130" t="n">
        <v>59.7</v>
      </c>
      <c r="G63" s="17" t="n">
        <v>18</v>
      </c>
      <c r="H63" s="132" t="n">
        <v>30</v>
      </c>
      <c r="I63" s="133" t="n">
        <v>27000</v>
      </c>
      <c r="J63" s="133" t="inlineStr">
        <is>
          <t>14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복</t>
        </is>
      </c>
      <c r="T63" s="5" t="inlineStr">
        <is>
          <t>78E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남양동 롯데</t>
        </is>
      </c>
      <c r="B64" s="75" t="inlineStr">
        <is>
          <t>90.09.</t>
        </is>
      </c>
      <c r="C64" s="129" t="n">
        <v>450</v>
      </c>
      <c r="D64" s="130" t="n">
        <v>87.3</v>
      </c>
      <c r="E64" s="131" t="n">
        <v>26</v>
      </c>
      <c r="F64" s="130" t="n">
        <v>71.59999999999999</v>
      </c>
      <c r="G64" s="17" t="n">
        <v>22</v>
      </c>
      <c r="H64" s="132" t="n">
        <v>150</v>
      </c>
      <c r="I64" s="133" t="n">
        <v>27000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n">
        <v>87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남양동 롯데</t>
        </is>
      </c>
      <c r="B65" s="75" t="inlineStr">
        <is>
          <t>90.09.</t>
        </is>
      </c>
      <c r="C65" s="129" t="n">
        <v>450</v>
      </c>
      <c r="D65" s="130" t="n">
        <v>102.2</v>
      </c>
      <c r="E65" s="131" t="n">
        <v>31</v>
      </c>
      <c r="F65" s="130" t="n">
        <v>84.7</v>
      </c>
      <c r="G65" s="17" t="n">
        <v>26</v>
      </c>
      <c r="H65" s="132" t="n">
        <v>180</v>
      </c>
      <c r="I65" s="133" t="n">
        <v>32000</v>
      </c>
      <c r="J65" s="133" t="inlineStr">
        <is>
          <t>10</t>
        </is>
      </c>
      <c r="K65" s="133" t="n">
        <v>28000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남양동 롯데</t>
        </is>
      </c>
      <c r="B66" s="75" t="inlineStr">
        <is>
          <t>90.09.</t>
        </is>
      </c>
      <c r="C66" s="129" t="n">
        <v>450</v>
      </c>
      <c r="D66" s="130" t="n">
        <v>149.4</v>
      </c>
      <c r="E66" s="131" t="n">
        <v>45</v>
      </c>
      <c r="F66" s="130" t="n">
        <v>129.9</v>
      </c>
      <c r="G66" s="17" t="n">
        <v>39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149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남양동 상남동성(남양동성)</t>
        </is>
      </c>
      <c r="B67" s="75" t="inlineStr">
        <is>
          <t>90.09.</t>
        </is>
      </c>
      <c r="C67" s="129" t="n">
        <v>540</v>
      </c>
      <c r="D67" s="130" t="n">
        <v>93.7</v>
      </c>
      <c r="E67" s="131" t="n">
        <v>28</v>
      </c>
      <c r="F67" s="130" t="n">
        <v>77.7</v>
      </c>
      <c r="G67" s="17" t="n">
        <v>24</v>
      </c>
      <c r="H67" s="132" t="n">
        <v>180</v>
      </c>
      <c r="I67" s="133" t="n">
        <v>28500</v>
      </c>
      <c r="J67" s="133" t="inlineStr">
        <is>
          <t>10</t>
        </is>
      </c>
      <c r="K67" s="133" t="n">
        <v>24000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93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남양동 상남동성(남양동성)</t>
        </is>
      </c>
      <c r="B68" s="75" t="inlineStr">
        <is>
          <t>90.09.</t>
        </is>
      </c>
      <c r="C68" s="129" t="n">
        <v>540</v>
      </c>
      <c r="D68" s="130" t="n">
        <v>101.6</v>
      </c>
      <c r="E68" s="131" t="n">
        <v>31</v>
      </c>
      <c r="F68" s="130" t="n">
        <v>84.90000000000001</v>
      </c>
      <c r="G68" s="17" t="n">
        <v>26</v>
      </c>
      <c r="H68" s="132" t="n">
        <v>180</v>
      </c>
      <c r="I68" s="133" t="n">
        <v>29000</v>
      </c>
      <c r="J68" s="133" t="inlineStr">
        <is>
          <t>15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101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남양동 상남동성(남양동성)</t>
        </is>
      </c>
      <c r="B69" s="75" t="inlineStr">
        <is>
          <t>90.09.</t>
        </is>
      </c>
      <c r="C69" s="129" t="n">
        <v>540</v>
      </c>
      <c r="D69" s="130" t="n">
        <v>155.3</v>
      </c>
      <c r="E69" s="131" t="n">
        <v>47</v>
      </c>
      <c r="F69" s="130" t="n">
        <v>135.1</v>
      </c>
      <c r="G69" s="17" t="n">
        <v>41</v>
      </c>
      <c r="H69" s="132" t="n">
        <v>180</v>
      </c>
      <c r="I69" s="133" t="n">
        <v>38000</v>
      </c>
      <c r="J69" s="133" t="inlineStr">
        <is>
          <t>13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155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남양동 우성</t>
        </is>
      </c>
      <c r="B70" s="75" t="inlineStr">
        <is>
          <t>89.12.</t>
        </is>
      </c>
      <c r="C70" s="129" t="n">
        <v>750</v>
      </c>
      <c r="D70" s="130" t="n">
        <v>83.40000000000001</v>
      </c>
      <c r="E70" s="131" t="n">
        <v>25</v>
      </c>
      <c r="F70" s="130" t="n">
        <v>68.2</v>
      </c>
      <c r="G70" s="17" t="n">
        <v>21</v>
      </c>
      <c r="H70" s="132" t="n">
        <v>90</v>
      </c>
      <c r="I70" s="133" t="n">
        <v>37000</v>
      </c>
      <c r="J70" s="133" t="inlineStr">
        <is>
          <t>14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83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남양동 우성</t>
        </is>
      </c>
      <c r="B71" s="75" t="inlineStr">
        <is>
          <t>89.12.</t>
        </is>
      </c>
      <c r="C71" s="129" t="n">
        <v>750</v>
      </c>
      <c r="D71" s="130" t="n">
        <v>89</v>
      </c>
      <c r="E71" s="131" t="n">
        <v>27</v>
      </c>
      <c r="F71" s="130" t="n">
        <v>73.40000000000001</v>
      </c>
      <c r="G71" s="17" t="n">
        <v>22</v>
      </c>
      <c r="H71" s="132" t="n">
        <v>270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남양동 우성</t>
        </is>
      </c>
      <c r="B72" s="75" t="inlineStr">
        <is>
          <t>89.12.</t>
        </is>
      </c>
      <c r="C72" s="129" t="n">
        <v>750</v>
      </c>
      <c r="D72" s="130" t="n">
        <v>99.8</v>
      </c>
      <c r="E72" s="131" t="n">
        <v>30</v>
      </c>
      <c r="F72" s="130" t="n">
        <v>83.5</v>
      </c>
      <c r="G72" s="17" t="n">
        <v>25</v>
      </c>
      <c r="H72" s="132" t="n">
        <v>390</v>
      </c>
      <c r="I72" s="133" t="n">
        <v>39000</v>
      </c>
      <c r="J72" s="133" t="inlineStr">
        <is>
          <t>13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n">
        <v>99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남양동 피오르빌</t>
        </is>
      </c>
      <c r="B73" s="75" t="inlineStr">
        <is>
          <t>95.07.</t>
        </is>
      </c>
      <c r="C73" s="129" t="n">
        <v>1560</v>
      </c>
      <c r="D73" s="130" t="n">
        <v>52.9</v>
      </c>
      <c r="E73" s="131" t="n">
        <v>16</v>
      </c>
      <c r="F73" s="130" t="n">
        <v>39.7</v>
      </c>
      <c r="G73" s="17" t="n">
        <v>12</v>
      </c>
      <c r="H73" s="132" t="n">
        <v>540</v>
      </c>
      <c r="I73" s="133" t="n">
        <v>15000</v>
      </c>
      <c r="J73" s="133" t="inlineStr">
        <is>
          <t>15</t>
        </is>
      </c>
      <c r="K73" s="133" t="n">
        <v>13000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복</t>
        </is>
      </c>
      <c r="T73" s="5" t="n">
        <v>52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남양동 피오르빌</t>
        </is>
      </c>
      <c r="B74" s="75" t="inlineStr">
        <is>
          <t>95.07.</t>
        </is>
      </c>
      <c r="C74" s="129" t="n">
        <v>1560</v>
      </c>
      <c r="D74" s="130" t="n">
        <v>66</v>
      </c>
      <c r="E74" s="131" t="n">
        <v>20</v>
      </c>
      <c r="F74" s="130" t="n">
        <v>49.5</v>
      </c>
      <c r="G74" s="17" t="n">
        <v>15</v>
      </c>
      <c r="H74" s="132" t="n">
        <v>1020</v>
      </c>
      <c r="I74" s="133" t="n">
        <v>18000</v>
      </c>
      <c r="J74" s="133" t="inlineStr">
        <is>
          <t>고</t>
        </is>
      </c>
      <c r="K74" s="133" t="n">
        <v>15000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1</v>
      </c>
      <c r="S74" s="120" t="inlineStr">
        <is>
          <t>복</t>
        </is>
      </c>
      <c r="T74" s="5" t="n">
        <v>66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남양동 한림엘리시온</t>
        </is>
      </c>
      <c r="B75" s="75" t="inlineStr">
        <is>
          <t>02.05.</t>
        </is>
      </c>
      <c r="C75" s="129" t="n">
        <v>210</v>
      </c>
      <c r="D75" s="130" t="n">
        <v>109.1</v>
      </c>
      <c r="E75" s="131" t="n">
        <v>33</v>
      </c>
      <c r="F75" s="130" t="n">
        <v>84.90000000000001</v>
      </c>
      <c r="G75" s="17" t="n">
        <v>26</v>
      </c>
      <c r="H75" s="132" t="n">
        <v>210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109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남양동 성원2차</t>
        </is>
      </c>
      <c r="B76" s="75" t="inlineStr">
        <is>
          <t>92.02.</t>
        </is>
      </c>
      <c r="C76" s="129" t="n">
        <v>1404</v>
      </c>
      <c r="D76" s="130" t="n">
        <v>96.5</v>
      </c>
      <c r="E76" s="131" t="n">
        <v>29</v>
      </c>
      <c r="F76" s="130" t="n">
        <v>79.7</v>
      </c>
      <c r="G76" s="17" t="n">
        <v>24</v>
      </c>
      <c r="H76" s="132" t="n">
        <v>144</v>
      </c>
      <c r="I76" s="133" t="n">
        <v>31000</v>
      </c>
      <c r="J76" s="133" t="inlineStr">
        <is>
          <t>11</t>
        </is>
      </c>
      <c r="K76" s="133" t="n">
        <v>27000</v>
      </c>
      <c r="L76" s="133" t="inlineStr">
        <is>
          <t>18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96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남양동 성원2차</t>
        </is>
      </c>
      <c r="B77" s="75" t="inlineStr">
        <is>
          <t>92.02.</t>
        </is>
      </c>
      <c r="C77" s="129" t="n">
        <v>1404</v>
      </c>
      <c r="D77" s="130" t="n">
        <v>102.1</v>
      </c>
      <c r="E77" s="131" t="n">
        <v>31</v>
      </c>
      <c r="F77" s="130" t="n">
        <v>84.90000000000001</v>
      </c>
      <c r="G77" s="17" t="n">
        <v>26</v>
      </c>
      <c r="H77" s="132" t="n">
        <v>1020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102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남양동 성원2차</t>
        </is>
      </c>
      <c r="B78" s="75" t="inlineStr">
        <is>
          <t>92.02.</t>
        </is>
      </c>
      <c r="C78" s="129" t="n">
        <v>1404</v>
      </c>
      <c r="D78" s="130" t="n">
        <v>115.5</v>
      </c>
      <c r="E78" s="131" t="n">
        <v>35</v>
      </c>
      <c r="F78" s="130" t="n">
        <v>97</v>
      </c>
      <c r="G78" s="17" t="n">
        <v>29</v>
      </c>
      <c r="H78" s="132" t="n">
        <v>30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115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남양동 성원2차</t>
        </is>
      </c>
      <c r="B79" s="75" t="inlineStr">
        <is>
          <t>92.02.</t>
        </is>
      </c>
      <c r="C79" s="129" t="n">
        <v>1404</v>
      </c>
      <c r="D79" s="130" t="n">
        <v>131.6</v>
      </c>
      <c r="E79" s="131" t="n">
        <v>40</v>
      </c>
      <c r="F79" s="130" t="n">
        <v>112.8</v>
      </c>
      <c r="G79" s="17" t="n">
        <v>34</v>
      </c>
      <c r="H79" s="132" t="n">
        <v>30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131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남양동 성원2차</t>
        </is>
      </c>
      <c r="B80" s="75" t="inlineStr">
        <is>
          <t>92.02.</t>
        </is>
      </c>
      <c r="C80" s="129" t="n">
        <v>1404</v>
      </c>
      <c r="D80" s="130" t="n">
        <v>136.6</v>
      </c>
      <c r="E80" s="131" t="n">
        <v>41</v>
      </c>
      <c r="F80" s="130" t="n">
        <v>118.1</v>
      </c>
      <c r="G80" s="17" t="n">
        <v>36</v>
      </c>
      <c r="H80" s="132" t="n">
        <v>90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136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남양동 성원2차</t>
        </is>
      </c>
      <c r="B81" s="75" t="inlineStr">
        <is>
          <t>92.02.</t>
        </is>
      </c>
      <c r="C81" s="129" t="n">
        <v>1404</v>
      </c>
      <c r="D81" s="130" t="n">
        <v>175.3</v>
      </c>
      <c r="E81" s="131" t="n">
        <v>53</v>
      </c>
      <c r="F81" s="130" t="n">
        <v>153.1</v>
      </c>
      <c r="G81" s="17" t="n">
        <v>46</v>
      </c>
      <c r="H81" s="132" t="n">
        <v>60</v>
      </c>
      <c r="I81" s="133" t="n">
        <v>44000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5</v>
      </c>
      <c r="R81" s="120" t="n">
        <v>2</v>
      </c>
      <c r="S81" s="120" t="inlineStr">
        <is>
          <t>계</t>
        </is>
      </c>
      <c r="T81" s="5" t="n">
        <v>175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남양동 성원2차</t>
        </is>
      </c>
      <c r="B82" s="75" t="inlineStr">
        <is>
          <t>92.02.</t>
        </is>
      </c>
      <c r="C82" s="129" t="n">
        <v>1404</v>
      </c>
      <c r="D82" s="130" t="n">
        <v>218.1</v>
      </c>
      <c r="E82" s="131" t="n">
        <v>66</v>
      </c>
      <c r="F82" s="130" t="n">
        <v>192.5</v>
      </c>
      <c r="G82" s="17" t="n">
        <v>58</v>
      </c>
      <c r="H82" s="132" t="n">
        <v>30</v>
      </c>
      <c r="I82" s="133" t="n">
        <v>49000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6</v>
      </c>
      <c r="R82" s="120" t="n">
        <v>3</v>
      </c>
      <c r="S82" s="120" t="inlineStr">
        <is>
          <t>계</t>
        </is>
      </c>
      <c r="T82" s="5" t="n">
        <v>218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남양동 성원1차(그랜드타운남산)</t>
        </is>
      </c>
      <c r="B83" s="75" t="inlineStr">
        <is>
          <t>91.01.</t>
        </is>
      </c>
      <c r="C83" s="129" t="n">
        <v>1350</v>
      </c>
      <c r="D83" s="130" t="n">
        <v>95.7</v>
      </c>
      <c r="E83" s="131" t="n">
        <v>29</v>
      </c>
      <c r="F83" s="130" t="n">
        <v>79.7</v>
      </c>
      <c r="G83" s="17" t="n">
        <v>24</v>
      </c>
      <c r="H83" s="132" t="n">
        <v>180</v>
      </c>
      <c r="I83" s="133" t="n">
        <v>30000</v>
      </c>
      <c r="J83" s="133" t="inlineStr">
        <is>
          <t>6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inlineStr">
        <is>
          <t>95A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남양동 성원1차(그랜드타운남산)</t>
        </is>
      </c>
      <c r="B84" s="75" t="inlineStr">
        <is>
          <t>91.01.</t>
        </is>
      </c>
      <c r="C84" s="129" t="n">
        <v>1350</v>
      </c>
      <c r="D84" s="130" t="n">
        <v>95.7</v>
      </c>
      <c r="E84" s="131" t="n">
        <v>29</v>
      </c>
      <c r="F84" s="130" t="n">
        <v>79.8</v>
      </c>
      <c r="G84" s="17" t="n">
        <v>24</v>
      </c>
      <c r="H84" s="132" t="n">
        <v>180</v>
      </c>
      <c r="I84" s="133" t="n">
        <v>28500</v>
      </c>
      <c r="J84" s="133" t="inlineStr">
        <is>
          <t>고</t>
        </is>
      </c>
      <c r="K84" s="133" t="n">
        <v>20000</v>
      </c>
      <c r="L84" s="133" t="inlineStr">
        <is>
          <t>고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inlineStr">
        <is>
          <t>95B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남양동 성원1차(그랜드타운남산)</t>
        </is>
      </c>
      <c r="B85" s="75" t="inlineStr">
        <is>
          <t>91.01.</t>
        </is>
      </c>
      <c r="C85" s="129" t="n">
        <v>1350</v>
      </c>
      <c r="D85" s="130" t="n">
        <v>102.9</v>
      </c>
      <c r="E85" s="131" t="n">
        <v>31</v>
      </c>
      <c r="F85" s="130" t="n">
        <v>85</v>
      </c>
      <c r="G85" s="17" t="n">
        <v>26</v>
      </c>
      <c r="H85" s="132" t="n">
        <v>510</v>
      </c>
      <c r="I85" s="133" t="n">
        <v>31200</v>
      </c>
      <c r="J85" s="133" t="inlineStr">
        <is>
          <t>8</t>
        </is>
      </c>
      <c r="K85" s="133" t="n">
        <v>29000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102B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84.7</v>
      </c>
      <c r="G86" s="17" t="n">
        <v>26</v>
      </c>
      <c r="H86" s="132" t="n">
        <v>255</v>
      </c>
      <c r="I86" s="133" t="n">
        <v>35000</v>
      </c>
      <c r="J86" s="133" t="inlineStr">
        <is>
          <t>13</t>
        </is>
      </c>
      <c r="K86" s="133" t="n">
        <v>31000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남양동 성원1차(그랜드타운남산)</t>
        </is>
      </c>
      <c r="B87" s="75" t="inlineStr">
        <is>
          <t>91.01.</t>
        </is>
      </c>
      <c r="C87" s="129" t="n">
        <v>1350</v>
      </c>
      <c r="D87" s="130" t="n">
        <v>116.5</v>
      </c>
      <c r="E87" s="131" t="n">
        <v>35</v>
      </c>
      <c r="F87" s="130" t="n">
        <v>96.7</v>
      </c>
      <c r="G87" s="17" t="n">
        <v>29</v>
      </c>
      <c r="H87" s="132" t="n">
        <v>15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116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남양동 성원1차(그랜드타운남산)</t>
        </is>
      </c>
      <c r="B88" s="75" t="inlineStr">
        <is>
          <t>91.01.</t>
        </is>
      </c>
      <c r="C88" s="129" t="n">
        <v>1350</v>
      </c>
      <c r="D88" s="130" t="n">
        <v>139.2</v>
      </c>
      <c r="E88" s="131" t="n">
        <v>42</v>
      </c>
      <c r="F88" s="130" t="n">
        <v>119</v>
      </c>
      <c r="G88" s="17" t="n">
        <v>36</v>
      </c>
      <c r="H88" s="132" t="n">
        <v>150</v>
      </c>
      <c r="I88" s="133" t="n">
        <v>43000</v>
      </c>
      <c r="J88" s="133" t="inlineStr">
        <is>
          <t>10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139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남양동 성원1차(그랜드타운남산)</t>
        </is>
      </c>
      <c r="B89" s="75" t="inlineStr">
        <is>
          <t>91.01.</t>
        </is>
      </c>
      <c r="C89" s="129" t="n">
        <v>1350</v>
      </c>
      <c r="D89" s="130" t="n">
        <v>163</v>
      </c>
      <c r="E89" s="131" t="n">
        <v>49</v>
      </c>
      <c r="F89" s="130" t="n">
        <v>140.8</v>
      </c>
      <c r="G89" s="17" t="n">
        <v>43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163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내동 일성그라미</t>
        </is>
      </c>
      <c r="B90" s="75" t="inlineStr">
        <is>
          <t>90.03.</t>
        </is>
      </c>
      <c r="C90" s="129" t="n">
        <v>240</v>
      </c>
      <c r="D90" s="130" t="n">
        <v>87.5</v>
      </c>
      <c r="E90" s="131" t="n">
        <v>26</v>
      </c>
      <c r="F90" s="130" t="n">
        <v>72</v>
      </c>
      <c r="G90" s="17" t="n">
        <v>22</v>
      </c>
      <c r="H90" s="132" t="n">
        <v>120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87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내동 일성그라미</t>
        </is>
      </c>
      <c r="B91" s="75" t="inlineStr">
        <is>
          <t>90.03.</t>
        </is>
      </c>
      <c r="C91" s="129" t="n">
        <v>240</v>
      </c>
      <c r="D91" s="130" t="n">
        <v>96.59999999999999</v>
      </c>
      <c r="E91" s="131" t="n">
        <v>29</v>
      </c>
      <c r="F91" s="130" t="n">
        <v>80.3</v>
      </c>
      <c r="G91" s="17" t="n">
        <v>24</v>
      </c>
      <c r="H91" s="132" t="n">
        <v>120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n">
        <v>96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내동 목련</t>
        </is>
      </c>
      <c r="B92" s="75" t="inlineStr">
        <is>
          <t>79.09.</t>
        </is>
      </c>
      <c r="C92" s="129" t="n">
        <v>239</v>
      </c>
      <c r="D92" s="130" t="n">
        <v>52.9</v>
      </c>
      <c r="E92" s="131" t="n">
        <v>16</v>
      </c>
      <c r="F92" s="130" t="n">
        <v>41.2</v>
      </c>
      <c r="G92" s="17" t="n">
        <v>12</v>
      </c>
      <c r="H92" s="132" t="n">
        <v>179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52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내동 목련</t>
        </is>
      </c>
      <c r="B93" s="75" t="inlineStr">
        <is>
          <t>79.09.</t>
        </is>
      </c>
      <c r="C93" s="129" t="n">
        <v>239</v>
      </c>
      <c r="D93" s="130" t="n">
        <v>76</v>
      </c>
      <c r="E93" s="131" t="n">
        <v>23</v>
      </c>
      <c r="F93" s="130" t="n">
        <v>59.7</v>
      </c>
      <c r="G93" s="17" t="n">
        <v>18</v>
      </c>
      <c r="H93" s="132" t="n">
        <v>20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복</t>
        </is>
      </c>
      <c r="T93" s="5" t="n">
        <v>76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내동 목련</t>
        </is>
      </c>
      <c r="B94" s="75" t="inlineStr">
        <is>
          <t>79.09.</t>
        </is>
      </c>
      <c r="C94" s="129" t="n">
        <v>239</v>
      </c>
      <c r="D94" s="130" t="n">
        <v>82.7</v>
      </c>
      <c r="E94" s="131" t="n">
        <v>25</v>
      </c>
      <c r="F94" s="130" t="n">
        <v>64</v>
      </c>
      <c r="G94" s="17" t="n">
        <v>19</v>
      </c>
      <c r="H94" s="132" t="n">
        <v>20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복</t>
        </is>
      </c>
      <c r="T94" s="5" t="n">
        <v>82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내동 목련</t>
        </is>
      </c>
      <c r="B95" s="75" t="inlineStr">
        <is>
          <t>79.09.</t>
        </is>
      </c>
      <c r="C95" s="129" t="n">
        <v>239</v>
      </c>
      <c r="D95" s="130" t="n">
        <v>102.5</v>
      </c>
      <c r="E95" s="131" t="n">
        <v>31</v>
      </c>
      <c r="F95" s="130" t="n">
        <v>81.7</v>
      </c>
      <c r="G95" s="17" t="n">
        <v>25</v>
      </c>
      <c r="H95" s="132" t="n">
        <v>10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복</t>
        </is>
      </c>
      <c r="T95" s="5" t="n">
        <v>102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내동 목련</t>
        </is>
      </c>
      <c r="B96" s="75" t="inlineStr">
        <is>
          <t>79.09.</t>
        </is>
      </c>
      <c r="C96" s="129" t="n">
        <v>239</v>
      </c>
      <c r="D96" s="130" t="n">
        <v>105.8</v>
      </c>
      <c r="E96" s="131" t="n">
        <v>32</v>
      </c>
      <c r="F96" s="130" t="n">
        <v>84.3</v>
      </c>
      <c r="G96" s="17" t="n">
        <v>25</v>
      </c>
      <c r="H96" s="132" t="n">
        <v>10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복</t>
        </is>
      </c>
      <c r="T96" s="5" t="n">
        <v>105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내동 내동주공1단지</t>
        </is>
      </c>
      <c r="B97" s="75" t="inlineStr">
        <is>
          <t>77.01.</t>
        </is>
      </c>
      <c r="C97" s="129" t="n">
        <v>200</v>
      </c>
      <c r="D97" s="130" t="n">
        <v>50.2</v>
      </c>
      <c r="E97" s="131" t="n">
        <v>15</v>
      </c>
      <c r="F97" s="130" t="n">
        <v>49.5</v>
      </c>
      <c r="G97" s="17" t="n">
        <v>15</v>
      </c>
      <c r="H97" s="132" t="n">
        <v>200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복</t>
        </is>
      </c>
      <c r="T97" s="5" t="n">
        <v>50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내동 창원월드메르디앙웨스턴애비뉴</t>
        </is>
      </c>
      <c r="B98" s="75" t="inlineStr">
        <is>
          <t>09.02.</t>
        </is>
      </c>
      <c r="C98" s="129" t="n">
        <v>504</v>
      </c>
      <c r="D98" s="130" t="n">
        <v>77.59999999999999</v>
      </c>
      <c r="E98" s="131" t="n">
        <v>23</v>
      </c>
      <c r="F98" s="130" t="n">
        <v>59.9</v>
      </c>
      <c r="G98" s="17" t="n">
        <v>18</v>
      </c>
      <c r="H98" s="132" t="n">
        <v>180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77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내동 창원월드메르디앙웨스턴애비뉴</t>
        </is>
      </c>
      <c r="B99" s="75" t="inlineStr">
        <is>
          <t>09.02.</t>
        </is>
      </c>
      <c r="C99" s="129" t="n">
        <v>504</v>
      </c>
      <c r="D99" s="130" t="n">
        <v>107.7</v>
      </c>
      <c r="E99" s="131" t="n">
        <v>33</v>
      </c>
      <c r="F99" s="130" t="n">
        <v>84.59999999999999</v>
      </c>
      <c r="G99" s="17" t="n">
        <v>26</v>
      </c>
      <c r="H99" s="132" t="n">
        <v>182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107A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내동 창원월드메르디앙웨스턴애비뉴</t>
        </is>
      </c>
      <c r="B100" s="75" t="inlineStr">
        <is>
          <t>09.02.</t>
        </is>
      </c>
      <c r="C100" s="129" t="n">
        <v>504</v>
      </c>
      <c r="D100" s="130" t="n">
        <v>108.7</v>
      </c>
      <c r="E100" s="131" t="n">
        <v>33</v>
      </c>
      <c r="F100" s="130" t="n">
        <v>84.90000000000001</v>
      </c>
      <c r="G100" s="17" t="n">
        <v>26</v>
      </c>
      <c r="H100" s="132" t="n">
        <v>90</v>
      </c>
      <c r="I100" s="133" t="n">
        <v>30000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108B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내동 창원월드메르디앙웨스턴애비뉴</t>
        </is>
      </c>
      <c r="B101" s="75" t="inlineStr">
        <is>
          <t>09.02.</t>
        </is>
      </c>
      <c r="C101" s="129" t="n">
        <v>504</v>
      </c>
      <c r="D101" s="130" t="n">
        <v>143.9</v>
      </c>
      <c r="E101" s="131" t="n">
        <v>44</v>
      </c>
      <c r="F101" s="130" t="n">
        <v>115.4</v>
      </c>
      <c r="G101" s="17" t="n">
        <v>35</v>
      </c>
      <c r="H101" s="132" t="n">
        <v>52</v>
      </c>
      <c r="I101" s="133" t="n">
        <v>35000</v>
      </c>
      <c r="J101" s="133" t="inlineStr">
        <is>
          <t>7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4</v>
      </c>
      <c r="R101" s="120" t="n">
        <v>2</v>
      </c>
      <c r="S101" s="120" t="inlineStr">
        <is>
          <t>계</t>
        </is>
      </c>
      <c r="T101" s="5" t="n">
        <v>143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대방동 대방덕산타운2차</t>
        </is>
      </c>
      <c r="B102" s="75" t="inlineStr">
        <is>
          <t>96.02.</t>
        </is>
      </c>
      <c r="C102" s="129" t="n">
        <v>586</v>
      </c>
      <c r="D102" s="130" t="n">
        <v>78.7</v>
      </c>
      <c r="E102" s="131" t="n">
        <v>24</v>
      </c>
      <c r="F102" s="130" t="n">
        <v>59.9</v>
      </c>
      <c r="G102" s="17" t="n">
        <v>18</v>
      </c>
      <c r="H102" s="132" t="n">
        <v>238</v>
      </c>
      <c r="I102" s="133" t="n">
        <v>26500</v>
      </c>
      <c r="J102" s="133" t="inlineStr">
        <is>
          <t>16</t>
        </is>
      </c>
      <c r="K102" s="133" t="n">
        <v>24000</v>
      </c>
      <c r="L102" s="133" t="inlineStr">
        <is>
          <t>9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78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대방동 대방덕산타운2차</t>
        </is>
      </c>
      <c r="B103" s="75" t="inlineStr">
        <is>
          <t>96.02.</t>
        </is>
      </c>
      <c r="C103" s="129" t="n">
        <v>586</v>
      </c>
      <c r="D103" s="130" t="n">
        <v>91.3</v>
      </c>
      <c r="E103" s="131" t="n">
        <v>28</v>
      </c>
      <c r="F103" s="130" t="n">
        <v>71.8</v>
      </c>
      <c r="G103" s="17" t="n">
        <v>22</v>
      </c>
      <c r="H103" s="132" t="n">
        <v>120</v>
      </c>
      <c r="I103" s="133" t="n">
        <v>30000</v>
      </c>
      <c r="J103" s="133" t="inlineStr">
        <is>
          <t>19</t>
        </is>
      </c>
      <c r="K103" s="133" t="n">
        <v>27000</v>
      </c>
      <c r="L103" s="133" t="inlineStr">
        <is>
          <t>20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91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대방동 대방덕산타운2차</t>
        </is>
      </c>
      <c r="B104" s="75" t="inlineStr">
        <is>
          <t>96.02.</t>
        </is>
      </c>
      <c r="C104" s="129" t="n">
        <v>586</v>
      </c>
      <c r="D104" s="130" t="n">
        <v>105.6</v>
      </c>
      <c r="E104" s="131" t="n">
        <v>32</v>
      </c>
      <c r="F104" s="130" t="n">
        <v>84.90000000000001</v>
      </c>
      <c r="G104" s="17" t="n">
        <v>26</v>
      </c>
      <c r="H104" s="132" t="n">
        <v>228</v>
      </c>
      <c r="I104" s="133" t="n">
        <v>35500</v>
      </c>
      <c r="J104" s="133" t="inlineStr">
        <is>
          <t>8</t>
        </is>
      </c>
      <c r="K104" s="133" t="n">
        <v>35000</v>
      </c>
      <c r="L104" s="133" t="inlineStr">
        <is>
          <t>7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대방동 대방그린빌</t>
        </is>
      </c>
      <c r="B105" s="75" t="inlineStr">
        <is>
          <t>96.06.</t>
        </is>
      </c>
      <c r="C105" s="129" t="n">
        <v>834</v>
      </c>
      <c r="D105" s="130" t="n">
        <v>54.5</v>
      </c>
      <c r="E105" s="131" t="n">
        <v>16</v>
      </c>
      <c r="F105" s="130" t="n">
        <v>39.7</v>
      </c>
      <c r="G105" s="17" t="n">
        <v>12</v>
      </c>
      <c r="H105" s="132" t="n">
        <v>426</v>
      </c>
      <c r="I105" s="133" t="n">
        <v>15000</v>
      </c>
      <c r="J105" s="133" t="inlineStr">
        <is>
          <t>9</t>
        </is>
      </c>
      <c r="K105" s="133" t="n">
        <v>13000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2</v>
      </c>
      <c r="R105" s="120" t="n">
        <v>1</v>
      </c>
      <c r="S105" s="120" t="inlineStr">
        <is>
          <t>복</t>
        </is>
      </c>
      <c r="T105" s="5" t="n">
        <v>54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대방동 대방그린빌</t>
        </is>
      </c>
      <c r="B106" s="75" t="inlineStr">
        <is>
          <t>96.06.</t>
        </is>
      </c>
      <c r="C106" s="129" t="n">
        <v>834</v>
      </c>
      <c r="D106" s="130" t="n">
        <v>68.40000000000001</v>
      </c>
      <c r="E106" s="131" t="n">
        <v>21</v>
      </c>
      <c r="F106" s="130" t="n">
        <v>49.9</v>
      </c>
      <c r="G106" s="17" t="n">
        <v>15</v>
      </c>
      <c r="H106" s="132" t="n">
        <v>408</v>
      </c>
      <c r="I106" s="133" t="n">
        <v>17500</v>
      </c>
      <c r="J106" s="133" t="inlineStr">
        <is>
          <t>18</t>
        </is>
      </c>
      <c r="K106" s="133" t="n">
        <v>17000</v>
      </c>
      <c r="L106" s="133" t="inlineStr">
        <is>
          <t>17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2</v>
      </c>
      <c r="R106" s="120" t="n">
        <v>1</v>
      </c>
      <c r="S106" s="120" t="inlineStr">
        <is>
          <t>복</t>
        </is>
      </c>
      <c r="T106" s="5" t="n">
        <v>68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대방동 대방덕산타운</t>
        </is>
      </c>
      <c r="B107" s="75" t="inlineStr">
        <is>
          <t>92.07.</t>
        </is>
      </c>
      <c r="C107" s="129" t="n">
        <v>920</v>
      </c>
      <c r="D107" s="130" t="n">
        <v>69.5</v>
      </c>
      <c r="E107" s="131" t="n">
        <v>21</v>
      </c>
      <c r="F107" s="130" t="n">
        <v>49.9</v>
      </c>
      <c r="G107" s="17" t="n">
        <v>15</v>
      </c>
      <c r="H107" s="132" t="n">
        <v>380</v>
      </c>
      <c r="I107" s="133" t="n">
        <v>17500</v>
      </c>
      <c r="J107" s="133" t="inlineStr">
        <is>
          <t>14</t>
        </is>
      </c>
      <c r="K107" s="133" t="n">
        <v>14000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대방동 대방덕산타운</t>
        </is>
      </c>
      <c r="B108" s="75" t="inlineStr">
        <is>
          <t>92.07.</t>
        </is>
      </c>
      <c r="C108" s="129" t="n">
        <v>920</v>
      </c>
      <c r="D108" s="130" t="n">
        <v>74.5</v>
      </c>
      <c r="E108" s="131" t="n">
        <v>23</v>
      </c>
      <c r="F108" s="130" t="n">
        <v>60</v>
      </c>
      <c r="G108" s="17" t="n">
        <v>18</v>
      </c>
      <c r="H108" s="132" t="n">
        <v>150</v>
      </c>
      <c r="I108" s="133" t="n"/>
      <c r="J108" s="133" t="n"/>
      <c r="K108" s="133" t="n">
        <v>22500</v>
      </c>
      <c r="L108" s="133" t="inlineStr">
        <is>
          <t>10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inlineStr">
        <is>
          <t>74A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대방동 대방덕산타운</t>
        </is>
      </c>
      <c r="B109" s="75" t="inlineStr">
        <is>
          <t>92.07.</t>
        </is>
      </c>
      <c r="C109" s="129" t="n">
        <v>920</v>
      </c>
      <c r="D109" s="130" t="n">
        <v>75.40000000000001</v>
      </c>
      <c r="E109" s="131" t="n">
        <v>23</v>
      </c>
      <c r="F109" s="130" t="n">
        <v>60</v>
      </c>
      <c r="G109" s="17" t="n">
        <v>18</v>
      </c>
      <c r="H109" s="132" t="n">
        <v>90</v>
      </c>
      <c r="I109" s="133" t="n">
        <v>21500</v>
      </c>
      <c r="J109" s="133" t="inlineStr">
        <is>
          <t>9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2</v>
      </c>
      <c r="R109" s="120" t="n">
        <v>1</v>
      </c>
      <c r="S109" s="120" t="inlineStr">
        <is>
          <t>계</t>
        </is>
      </c>
      <c r="T109" s="5" t="inlineStr">
        <is>
          <t>75B</t>
        </is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대방동 대방덕산타운</t>
        </is>
      </c>
      <c r="B110" s="75" t="inlineStr">
        <is>
          <t>92.07.</t>
        </is>
      </c>
      <c r="C110" s="129" t="n">
        <v>920</v>
      </c>
      <c r="D110" s="130" t="n">
        <v>101.9</v>
      </c>
      <c r="E110" s="131" t="n">
        <v>31</v>
      </c>
      <c r="F110" s="130" t="n">
        <v>85</v>
      </c>
      <c r="G110" s="17" t="n">
        <v>26</v>
      </c>
      <c r="H110" s="132" t="n">
        <v>240</v>
      </c>
      <c r="I110" s="133" t="n">
        <v>31000</v>
      </c>
      <c r="J110" s="133" t="inlineStr">
        <is>
          <t>15</t>
        </is>
      </c>
      <c r="K110" s="133" t="n">
        <v>30000</v>
      </c>
      <c r="L110" s="133" t="inlineStr">
        <is>
          <t>15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대방동 대방덕산타운</t>
        </is>
      </c>
      <c r="B111" s="75" t="inlineStr">
        <is>
          <t>92.07.</t>
        </is>
      </c>
      <c r="C111" s="129" t="n">
        <v>920</v>
      </c>
      <c r="D111" s="130" t="n">
        <v>153.6</v>
      </c>
      <c r="E111" s="131" t="n">
        <v>46</v>
      </c>
      <c r="F111" s="130" t="n">
        <v>131.7</v>
      </c>
      <c r="G111" s="17" t="n">
        <v>40</v>
      </c>
      <c r="H111" s="132" t="n">
        <v>60</v>
      </c>
      <c r="I111" s="133" t="n">
        <v>39000</v>
      </c>
      <c r="J111" s="133" t="inlineStr">
        <is>
          <t>중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153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대방동 성원남산3차(301~308동)</t>
        </is>
      </c>
      <c r="B112" s="75" t="inlineStr">
        <is>
          <t>92.11.</t>
        </is>
      </c>
      <c r="C112" s="129" t="n">
        <v>1397</v>
      </c>
      <c r="D112" s="130" t="n">
        <v>68.8</v>
      </c>
      <c r="E112" s="131" t="n">
        <v>21</v>
      </c>
      <c r="F112" s="130" t="n">
        <v>49.7</v>
      </c>
      <c r="G112" s="17" t="n">
        <v>15</v>
      </c>
      <c r="H112" s="132" t="n">
        <v>159</v>
      </c>
      <c r="I112" s="133" t="n">
        <v>14500</v>
      </c>
      <c r="J112" s="133" t="inlineStr">
        <is>
          <t>5</t>
        </is>
      </c>
      <c r="K112" s="133" t="n">
        <v>14000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68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대방동 성원남산3차(301~308동)</t>
        </is>
      </c>
      <c r="B113" s="75" t="inlineStr">
        <is>
          <t>92.11.</t>
        </is>
      </c>
      <c r="C113" s="129" t="n">
        <v>1397</v>
      </c>
      <c r="D113" s="130" t="n">
        <v>80.3</v>
      </c>
      <c r="E113" s="131" t="n">
        <v>24</v>
      </c>
      <c r="F113" s="130" t="n">
        <v>59.3</v>
      </c>
      <c r="G113" s="17" t="n">
        <v>18</v>
      </c>
      <c r="H113" s="132" t="n">
        <v>479</v>
      </c>
      <c r="I113" s="133" t="n">
        <v>20000</v>
      </c>
      <c r="J113" s="133" t="inlineStr">
        <is>
          <t>12</t>
        </is>
      </c>
      <c r="K113" s="133" t="n">
        <v>19000</v>
      </c>
      <c r="L113" s="133" t="inlineStr">
        <is>
          <t>고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대방동 성원남산3차(301~308동)</t>
        </is>
      </c>
      <c r="B114" s="75" t="inlineStr">
        <is>
          <t>92.11.</t>
        </is>
      </c>
      <c r="C114" s="129" t="n">
        <v>1397</v>
      </c>
      <c r="D114" s="130" t="n">
        <v>105.9</v>
      </c>
      <c r="E114" s="131" t="n">
        <v>32</v>
      </c>
      <c r="F114" s="130" t="n">
        <v>85</v>
      </c>
      <c r="G114" s="17" t="n">
        <v>26</v>
      </c>
      <c r="H114" s="132" t="n">
        <v>759</v>
      </c>
      <c r="I114" s="133" t="n">
        <v>29000</v>
      </c>
      <c r="J114" s="133" t="inlineStr">
        <is>
          <t>6</t>
        </is>
      </c>
      <c r="K114" s="133" t="n">
        <v>30000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대방동 대방대동</t>
        </is>
      </c>
      <c r="B115" s="75" t="inlineStr">
        <is>
          <t>92.09.</t>
        </is>
      </c>
      <c r="C115" s="129" t="n">
        <v>1835</v>
      </c>
      <c r="D115" s="130" t="n">
        <v>68.7</v>
      </c>
      <c r="E115" s="131" t="n">
        <v>21</v>
      </c>
      <c r="F115" s="130" t="n">
        <v>49.9</v>
      </c>
      <c r="G115" s="17" t="n">
        <v>15</v>
      </c>
      <c r="H115" s="132" t="n">
        <v>767</v>
      </c>
      <c r="I115" s="133" t="n">
        <v>19000</v>
      </c>
      <c r="J115" s="133" t="inlineStr">
        <is>
          <t>12</t>
        </is>
      </c>
      <c r="K115" s="133" t="n">
        <v>15500</v>
      </c>
      <c r="L115" s="133" t="inlineStr">
        <is>
          <t>14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복</t>
        </is>
      </c>
      <c r="T115" s="5" t="n">
        <v>68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대방동 대방대동</t>
        </is>
      </c>
      <c r="B116" s="75" t="inlineStr">
        <is>
          <t>92.09.</t>
        </is>
      </c>
      <c r="C116" s="129" t="n">
        <v>1835</v>
      </c>
      <c r="D116" s="130" t="n">
        <v>76.7</v>
      </c>
      <c r="E116" s="131" t="n">
        <v>23</v>
      </c>
      <c r="F116" s="130" t="n">
        <v>60</v>
      </c>
      <c r="G116" s="17" t="n">
        <v>18</v>
      </c>
      <c r="H116" s="132" t="n">
        <v>408</v>
      </c>
      <c r="I116" s="133" t="n">
        <v>23000</v>
      </c>
      <c r="J116" s="133" t="inlineStr">
        <is>
          <t>10</t>
        </is>
      </c>
      <c r="K116" s="133" t="n">
        <v>21000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n">
        <v>76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대방동 대방대동</t>
        </is>
      </c>
      <c r="B117" s="75" t="inlineStr">
        <is>
          <t>92.09.</t>
        </is>
      </c>
      <c r="C117" s="129" t="n">
        <v>1835</v>
      </c>
      <c r="D117" s="130" t="n">
        <v>100.9</v>
      </c>
      <c r="E117" s="131" t="n">
        <v>31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고</t>
        </is>
      </c>
      <c r="K117" s="133" t="n">
        <v>32000</v>
      </c>
      <c r="L117" s="133" t="inlineStr">
        <is>
          <t>12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100A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대방동 대방대동</t>
        </is>
      </c>
      <c r="B118" s="75" t="inlineStr">
        <is>
          <t>92.09.</t>
        </is>
      </c>
      <c r="C118" s="129" t="n">
        <v>1835</v>
      </c>
      <c r="D118" s="130" t="n">
        <v>100.9</v>
      </c>
      <c r="E118" s="131" t="n">
        <v>31</v>
      </c>
      <c r="F118" s="130" t="n">
        <v>84.90000000000001</v>
      </c>
      <c r="G118" s="17" t="n">
        <v>26</v>
      </c>
      <c r="H118" s="132" t="n">
        <v>210</v>
      </c>
      <c r="I118" s="133" t="n">
        <v>39000</v>
      </c>
      <c r="J118" s="133" t="inlineStr">
        <is>
          <t>8</t>
        </is>
      </c>
      <c r="K118" s="133" t="n">
        <v>34000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100B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대방동 대방대동</t>
        </is>
      </c>
      <c r="B119" s="75" t="inlineStr">
        <is>
          <t>92.09.</t>
        </is>
      </c>
      <c r="C119" s="129" t="n">
        <v>1835</v>
      </c>
      <c r="D119" s="130" t="n">
        <v>146.4</v>
      </c>
      <c r="E119" s="131" t="n">
        <v>44</v>
      </c>
      <c r="F119" s="130" t="n">
        <v>126.4</v>
      </c>
      <c r="G119" s="17" t="n">
        <v>38</v>
      </c>
      <c r="H119" s="132" t="n">
        <v>90</v>
      </c>
      <c r="I119" s="133" t="n">
        <v>42500</v>
      </c>
      <c r="J119" s="133" t="inlineStr">
        <is>
          <t>중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n">
        <v>146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대방동 대동디지털황토</t>
        </is>
      </c>
      <c r="B120" s="75" t="inlineStr">
        <is>
          <t>01.09.</t>
        </is>
      </c>
      <c r="C120" s="129" t="n">
        <v>704</v>
      </c>
      <c r="D120" s="130" t="n">
        <v>85.09999999999999</v>
      </c>
      <c r="E120" s="131" t="n">
        <v>26</v>
      </c>
      <c r="F120" s="130" t="n">
        <v>59.8</v>
      </c>
      <c r="G120" s="17" t="n">
        <v>18</v>
      </c>
      <c r="H120" s="132" t="n">
        <v>228</v>
      </c>
      <c r="I120" s="133" t="n">
        <v>32000</v>
      </c>
      <c r="J120" s="133" t="inlineStr">
        <is>
          <t>14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85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대방동 대동디지털황토</t>
        </is>
      </c>
      <c r="B121" s="75" t="inlineStr">
        <is>
          <t>01.09.</t>
        </is>
      </c>
      <c r="C121" s="129" t="n">
        <v>704</v>
      </c>
      <c r="D121" s="130" t="n">
        <v>114.5</v>
      </c>
      <c r="E121" s="131" t="n">
        <v>35</v>
      </c>
      <c r="F121" s="130" t="n">
        <v>84.90000000000001</v>
      </c>
      <c r="G121" s="17" t="n">
        <v>26</v>
      </c>
      <c r="H121" s="132" t="n">
        <v>356</v>
      </c>
      <c r="I121" s="133" t="n">
        <v>42000</v>
      </c>
      <c r="J121" s="133" t="inlineStr">
        <is>
          <t>20</t>
        </is>
      </c>
      <c r="K121" s="133" t="n">
        <v>38000</v>
      </c>
      <c r="L121" s="133" t="inlineStr">
        <is>
          <t>16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114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대방동 대동디지털황토</t>
        </is>
      </c>
      <c r="B122" s="75" t="inlineStr">
        <is>
          <t>01.09.</t>
        </is>
      </c>
      <c r="C122" s="129" t="n">
        <v>704</v>
      </c>
      <c r="D122" s="130" t="n">
        <v>148.2</v>
      </c>
      <c r="E122" s="131" t="n">
        <v>45</v>
      </c>
      <c r="F122" s="130" t="n">
        <v>114.9</v>
      </c>
      <c r="G122" s="17" t="n">
        <v>35</v>
      </c>
      <c r="H122" s="132" t="n">
        <v>120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148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대방동 대방동성</t>
        </is>
      </c>
      <c r="B123" s="75" t="inlineStr">
        <is>
          <t>96.05.</t>
        </is>
      </c>
      <c r="C123" s="129" t="n">
        <v>556</v>
      </c>
      <c r="D123" s="130" t="n">
        <v>76.3</v>
      </c>
      <c r="E123" s="131" t="n">
        <v>23</v>
      </c>
      <c r="F123" s="130" t="n">
        <v>60</v>
      </c>
      <c r="G123" s="17" t="n">
        <v>18</v>
      </c>
      <c r="H123" s="132" t="n">
        <v>238</v>
      </c>
      <c r="I123" s="133" t="n">
        <v>26000</v>
      </c>
      <c r="J123" s="133" t="inlineStr">
        <is>
          <t>11</t>
        </is>
      </c>
      <c r="K123" s="133" t="n">
        <v>25000</v>
      </c>
      <c r="L123" s="133" t="inlineStr">
        <is>
          <t>16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76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대방동 대방동성</t>
        </is>
      </c>
      <c r="B124" s="75" t="inlineStr">
        <is>
          <t>96.05.</t>
        </is>
      </c>
      <c r="C124" s="129" t="n">
        <v>556</v>
      </c>
      <c r="D124" s="130" t="n">
        <v>108</v>
      </c>
      <c r="E124" s="131" t="n">
        <v>33</v>
      </c>
      <c r="F124" s="130" t="n">
        <v>85</v>
      </c>
      <c r="G124" s="17" t="n">
        <v>26</v>
      </c>
      <c r="H124" s="132" t="n">
        <v>198</v>
      </c>
      <c r="I124" s="133" t="n">
        <v>37000</v>
      </c>
      <c r="J124" s="133" t="inlineStr">
        <is>
          <t>20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대방동 대방동성</t>
        </is>
      </c>
      <c r="B125" s="75" t="inlineStr">
        <is>
          <t>96.05.</t>
        </is>
      </c>
      <c r="C125" s="129" t="n">
        <v>556</v>
      </c>
      <c r="D125" s="130" t="n">
        <v>129.5</v>
      </c>
      <c r="E125" s="131" t="n">
        <v>39</v>
      </c>
      <c r="F125" s="130" t="n">
        <v>101.9</v>
      </c>
      <c r="G125" s="17" t="n">
        <v>31</v>
      </c>
      <c r="H125" s="132" t="n">
        <v>120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4</v>
      </c>
      <c r="R125" s="120" t="n">
        <v>2</v>
      </c>
      <c r="S125" s="120" t="inlineStr">
        <is>
          <t>계</t>
        </is>
      </c>
      <c r="T125" s="5" t="n">
        <v>129</v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대방동 대방대동황토방</t>
        </is>
      </c>
      <c r="B126" s="75" t="inlineStr">
        <is>
          <t>01.05.</t>
        </is>
      </c>
      <c r="C126" s="129" t="n">
        <v>708</v>
      </c>
      <c r="D126" s="130" t="n">
        <v>84.3</v>
      </c>
      <c r="E126" s="131" t="n">
        <v>25</v>
      </c>
      <c r="F126" s="130" t="n">
        <v>59.2</v>
      </c>
      <c r="G126" s="17" t="n">
        <v>18</v>
      </c>
      <c r="H126" s="132" t="n">
        <v>312</v>
      </c>
      <c r="I126" s="133" t="n">
        <v>29000</v>
      </c>
      <c r="J126" s="133" t="inlineStr">
        <is>
          <t>17</t>
        </is>
      </c>
      <c r="K126" s="133" t="n">
        <v>24000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84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대방동 대방대동황토방</t>
        </is>
      </c>
      <c r="B127" s="75" t="inlineStr">
        <is>
          <t>01.05.</t>
        </is>
      </c>
      <c r="C127" s="129" t="n">
        <v>708</v>
      </c>
      <c r="D127" s="130" t="n">
        <v>112.8</v>
      </c>
      <c r="E127" s="131" t="n">
        <v>34</v>
      </c>
      <c r="F127" s="130" t="n">
        <v>84.09999999999999</v>
      </c>
      <c r="G127" s="17" t="n">
        <v>25</v>
      </c>
      <c r="H127" s="132" t="n">
        <v>324</v>
      </c>
      <c r="I127" s="133" t="n">
        <v>44000</v>
      </c>
      <c r="J127" s="133" t="inlineStr">
        <is>
          <t>중</t>
        </is>
      </c>
      <c r="K127" s="133" t="n">
        <v>42000</v>
      </c>
      <c r="L127" s="133" t="inlineStr">
        <is>
          <t>15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112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대방동 대방대동황토방</t>
        </is>
      </c>
      <c r="B128" s="75" t="inlineStr">
        <is>
          <t>01.05.</t>
        </is>
      </c>
      <c r="C128" s="129" t="n">
        <v>708</v>
      </c>
      <c r="D128" s="130" t="n">
        <v>148.4</v>
      </c>
      <c r="E128" s="131" t="n">
        <v>45</v>
      </c>
      <c r="F128" s="130" t="n">
        <v>115</v>
      </c>
      <c r="G128" s="17" t="n">
        <v>35</v>
      </c>
      <c r="H128" s="132" t="n">
        <v>72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148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대방동 대방개나리1차</t>
        </is>
      </c>
      <c r="B129" s="75" t="inlineStr">
        <is>
          <t>92.09.</t>
        </is>
      </c>
      <c r="C129" s="129" t="n">
        <v>1005</v>
      </c>
      <c r="D129" s="130" t="n">
        <v>57.1</v>
      </c>
      <c r="E129" s="131" t="n">
        <v>17</v>
      </c>
      <c r="F129" s="130" t="n">
        <v>42.2</v>
      </c>
      <c r="G129" s="17" t="n">
        <v>13</v>
      </c>
      <c r="H129" s="132" t="n">
        <v>600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복</t>
        </is>
      </c>
      <c r="T129" s="5" t="n">
        <v>57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대방동 대방개나리1차</t>
        </is>
      </c>
      <c r="B130" s="75" t="inlineStr">
        <is>
          <t>92.09.</t>
        </is>
      </c>
      <c r="C130" s="129" t="n">
        <v>1005</v>
      </c>
      <c r="D130" s="130" t="n">
        <v>68.2</v>
      </c>
      <c r="E130" s="131" t="n">
        <v>21</v>
      </c>
      <c r="F130" s="130" t="n">
        <v>49.4</v>
      </c>
      <c r="G130" s="17" t="n">
        <v>15</v>
      </c>
      <c r="H130" s="132" t="n">
        <v>405</v>
      </c>
      <c r="I130" s="133" t="n">
        <v>19000</v>
      </c>
      <c r="J130" s="133" t="inlineStr">
        <is>
          <t>8</t>
        </is>
      </c>
      <c r="K130" s="133" t="n">
        <v>15000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68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대방동 성원남산3차(309~311동)</t>
        </is>
      </c>
      <c r="B131" s="75" t="inlineStr">
        <is>
          <t>92.11.</t>
        </is>
      </c>
      <c r="C131" s="129" t="n">
        <v>1017</v>
      </c>
      <c r="D131" s="130" t="n">
        <v>62.4</v>
      </c>
      <c r="E131" s="131" t="n">
        <v>19</v>
      </c>
      <c r="F131" s="130" t="n">
        <v>48</v>
      </c>
      <c r="G131" s="17" t="n">
        <v>15</v>
      </c>
      <c r="H131" s="132" t="n">
        <v>1017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62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대원동 대원파크빌</t>
        </is>
      </c>
      <c r="B132" s="75" t="inlineStr">
        <is>
          <t>97.12.</t>
        </is>
      </c>
      <c r="C132" s="129" t="n">
        <v>603</v>
      </c>
      <c r="D132" s="130" t="n">
        <v>65</v>
      </c>
      <c r="E132" s="131" t="n">
        <v>20</v>
      </c>
      <c r="F132" s="130" t="n">
        <v>52.9</v>
      </c>
      <c r="G132" s="17" t="n">
        <v>16</v>
      </c>
      <c r="H132" s="132" t="n">
        <v>603</v>
      </c>
      <c r="I132" s="133" t="n">
        <v>12200</v>
      </c>
      <c r="J132" s="133" t="inlineStr">
        <is>
          <t>중</t>
        </is>
      </c>
      <c r="K132" s="133" t="n">
        <v>12200</v>
      </c>
      <c r="L132" s="133" t="inlineStr">
        <is>
          <t>12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복</t>
        </is>
      </c>
      <c r="T132" s="5" t="n">
        <v>64</v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대원동 현대</t>
        </is>
      </c>
      <c r="B133" s="75" t="inlineStr">
        <is>
          <t>79.10.</t>
        </is>
      </c>
      <c r="C133" s="129" t="n">
        <v>630</v>
      </c>
      <c r="D133" s="130" t="n">
        <v>50.4</v>
      </c>
      <c r="E133" s="131" t="n">
        <v>15</v>
      </c>
      <c r="F133" s="130" t="n">
        <v>50.4</v>
      </c>
      <c r="G133" s="17" t="n">
        <v>15</v>
      </c>
      <c r="H133" s="132" t="n">
        <v>80</v>
      </c>
      <c r="I133" s="133" t="n">
        <v>34050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50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대원동 현대</t>
        </is>
      </c>
      <c r="B134" s="75" t="inlineStr">
        <is>
          <t>79.10.</t>
        </is>
      </c>
      <c r="C134" s="129" t="n">
        <v>630</v>
      </c>
      <c r="D134" s="130" t="n">
        <v>54.2</v>
      </c>
      <c r="E134" s="131" t="n">
        <v>16</v>
      </c>
      <c r="F134" s="130" t="n">
        <v>54.2</v>
      </c>
      <c r="G134" s="17" t="n">
        <v>16</v>
      </c>
      <c r="H134" s="132" t="n">
        <v>30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54</v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대원동 현대</t>
        </is>
      </c>
      <c r="B135" s="75" t="inlineStr">
        <is>
          <t>79.10.</t>
        </is>
      </c>
      <c r="C135" s="129" t="n">
        <v>630</v>
      </c>
      <c r="D135" s="130" t="n">
        <v>57.1</v>
      </c>
      <c r="E135" s="131" t="n">
        <v>17</v>
      </c>
      <c r="F135" s="130" t="n">
        <v>47</v>
      </c>
      <c r="G135" s="17" t="n">
        <v>14</v>
      </c>
      <c r="H135" s="132" t="n">
        <v>210</v>
      </c>
      <c r="I135" s="133" t="n">
        <v>34950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57</v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대원동 현대</t>
        </is>
      </c>
      <c r="B136" s="75" t="inlineStr">
        <is>
          <t>79.10.</t>
        </is>
      </c>
      <c r="C136" s="129" t="n">
        <v>630</v>
      </c>
      <c r="D136" s="130" t="n">
        <v>61.9</v>
      </c>
      <c r="E136" s="131" t="n">
        <v>19</v>
      </c>
      <c r="F136" s="130" t="n">
        <v>55.8</v>
      </c>
      <c r="G136" s="17" t="n">
        <v>17</v>
      </c>
      <c r="H136" s="132" t="n">
        <v>100</v>
      </c>
      <c r="I136" s="133" t="n">
        <v>42000</v>
      </c>
      <c r="J136" s="133" t="inlineStr">
        <is>
          <t>중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61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대원동 현대</t>
        </is>
      </c>
      <c r="B137" s="75" t="inlineStr">
        <is>
          <t>79.10.</t>
        </is>
      </c>
      <c r="C137" s="129" t="n">
        <v>630</v>
      </c>
      <c r="D137" s="130" t="n">
        <v>62.6</v>
      </c>
      <c r="E137" s="131" t="n">
        <v>19</v>
      </c>
      <c r="F137" s="130" t="n">
        <v>56.5</v>
      </c>
      <c r="G137" s="17" t="n">
        <v>17</v>
      </c>
      <c r="H137" s="132" t="n">
        <v>150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inlineStr">
        <is>
          <t>62B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대원동 현대</t>
        </is>
      </c>
      <c r="B138" s="75" t="inlineStr">
        <is>
          <t>79.10.</t>
        </is>
      </c>
      <c r="C138" s="129" t="n">
        <v>630</v>
      </c>
      <c r="D138" s="130" t="n">
        <v>75.7</v>
      </c>
      <c r="E138" s="131" t="n">
        <v>23</v>
      </c>
      <c r="F138" s="130" t="n">
        <v>75.7</v>
      </c>
      <c r="G138" s="17" t="n">
        <v>23</v>
      </c>
      <c r="H138" s="132" t="n">
        <v>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대원동 현대</t>
        </is>
      </c>
      <c r="B139" s="75" t="inlineStr">
        <is>
          <t>79.10.</t>
        </is>
      </c>
      <c r="C139" s="129" t="n">
        <v>630</v>
      </c>
      <c r="D139" s="130" t="n">
        <v>102.9</v>
      </c>
      <c r="E139" s="131" t="n">
        <v>31</v>
      </c>
      <c r="F139" s="130" t="n">
        <v>102.9</v>
      </c>
      <c r="G139" s="17" t="n">
        <v>31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102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대원동 포레나대원</t>
        </is>
      </c>
      <c r="B140" s="75" t="inlineStr">
        <is>
          <t>18.12.</t>
        </is>
      </c>
      <c r="C140" s="129" t="n">
        <v>1530</v>
      </c>
      <c r="D140" s="130" t="n">
        <v>82.3</v>
      </c>
      <c r="E140" s="131" t="n">
        <v>25</v>
      </c>
      <c r="F140" s="130" t="n">
        <v>59.1</v>
      </c>
      <c r="G140" s="17" t="n">
        <v>18</v>
      </c>
      <c r="H140" s="132" t="n">
        <v>296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82A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대원동 포레나대원</t>
        </is>
      </c>
      <c r="B141" s="75" t="inlineStr">
        <is>
          <t>18.12.</t>
        </is>
      </c>
      <c r="C141" s="129" t="n">
        <v>1530</v>
      </c>
      <c r="D141" s="130" t="n">
        <v>82.8</v>
      </c>
      <c r="E141" s="131" t="n">
        <v>25</v>
      </c>
      <c r="F141" s="130" t="n">
        <v>59.3</v>
      </c>
      <c r="G141" s="17" t="n">
        <v>18</v>
      </c>
      <c r="H141" s="132" t="n">
        <v>219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82B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대원동 포레나대원</t>
        </is>
      </c>
      <c r="B142" s="75" t="inlineStr">
        <is>
          <t>18.12.</t>
        </is>
      </c>
      <c r="C142" s="129" t="n">
        <v>1530</v>
      </c>
      <c r="D142" s="130" t="n">
        <v>94.90000000000001</v>
      </c>
      <c r="E142" s="131" t="n">
        <v>29</v>
      </c>
      <c r="F142" s="130" t="n">
        <v>68.2</v>
      </c>
      <c r="G142" s="17" t="n">
        <v>21</v>
      </c>
      <c r="H142" s="132" t="n">
        <v>194</v>
      </c>
      <c r="I142" s="133" t="n">
        <v>66500</v>
      </c>
      <c r="J142" s="133" t="inlineStr">
        <is>
          <t>중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94A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대원동 포레나대원</t>
        </is>
      </c>
      <c r="B143" s="75" t="inlineStr">
        <is>
          <t>18.12.</t>
        </is>
      </c>
      <c r="C143" s="129" t="n">
        <v>1530</v>
      </c>
      <c r="D143" s="130" t="n">
        <v>95.2</v>
      </c>
      <c r="E143" s="131" t="n">
        <v>29</v>
      </c>
      <c r="F143" s="130" t="n">
        <v>68.2</v>
      </c>
      <c r="G143" s="17" t="n">
        <v>21</v>
      </c>
      <c r="H143" s="132" t="n">
        <v>171</v>
      </c>
      <c r="I143" s="133" t="n">
        <v>65000</v>
      </c>
      <c r="J143" s="133" t="inlineStr">
        <is>
          <t>12</t>
        </is>
      </c>
      <c r="K143" s="133" t="n">
        <v>48000</v>
      </c>
      <c r="L143" s="133" t="inlineStr">
        <is>
          <t>5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95B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대원동 포레나대원</t>
        </is>
      </c>
      <c r="B144" s="75" t="inlineStr">
        <is>
          <t>18.12.</t>
        </is>
      </c>
      <c r="C144" s="129" t="n">
        <v>1530</v>
      </c>
      <c r="D144" s="130" t="n">
        <v>116.6</v>
      </c>
      <c r="E144" s="131" t="n">
        <v>35</v>
      </c>
      <c r="F144" s="130" t="n">
        <v>84.3</v>
      </c>
      <c r="G144" s="17" t="n">
        <v>25</v>
      </c>
      <c r="H144" s="132" t="n">
        <v>148</v>
      </c>
      <c r="I144" s="133" t="n">
        <v>70000</v>
      </c>
      <c r="J144" s="133" t="inlineStr">
        <is>
          <t>6</t>
        </is>
      </c>
      <c r="K144" s="133" t="n">
        <v>52000</v>
      </c>
      <c r="L144" s="133" t="inlineStr">
        <is>
          <t>11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116A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대원동 포레나대원</t>
        </is>
      </c>
      <c r="B145" s="75" t="inlineStr">
        <is>
          <t>18.12.</t>
        </is>
      </c>
      <c r="C145" s="129" t="n">
        <v>1530</v>
      </c>
      <c r="D145" s="130" t="n">
        <v>116.5</v>
      </c>
      <c r="E145" s="131" t="n">
        <v>35</v>
      </c>
      <c r="F145" s="130" t="n">
        <v>84.40000000000001</v>
      </c>
      <c r="G145" s="17" t="n">
        <v>26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116B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대원동 포레나대원</t>
        </is>
      </c>
      <c r="B146" s="75" t="inlineStr">
        <is>
          <t>18.12.</t>
        </is>
      </c>
      <c r="C146" s="129" t="n">
        <v>1530</v>
      </c>
      <c r="D146" s="130" t="n">
        <v>116.8</v>
      </c>
      <c r="E146" s="131" t="n">
        <v>35</v>
      </c>
      <c r="F146" s="130" t="n">
        <v>84.40000000000001</v>
      </c>
      <c r="G146" s="17" t="n">
        <v>26</v>
      </c>
      <c r="H146" s="132" t="n">
        <v>132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116Bb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대원동 포레나대원</t>
        </is>
      </c>
      <c r="B147" s="75" t="inlineStr">
        <is>
          <t>18.12.</t>
        </is>
      </c>
      <c r="C147" s="129" t="n">
        <v>1530</v>
      </c>
      <c r="D147" s="130" t="n">
        <v>116.7</v>
      </c>
      <c r="E147" s="131" t="n">
        <v>35</v>
      </c>
      <c r="F147" s="130" t="n">
        <v>84.40000000000001</v>
      </c>
      <c r="G147" s="17" t="n">
        <v>26</v>
      </c>
      <c r="H147" s="132" t="n">
        <v>60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116C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대원동 포레나대원</t>
        </is>
      </c>
      <c r="B148" s="75" t="inlineStr">
        <is>
          <t>18.12.</t>
        </is>
      </c>
      <c r="C148" s="129" t="n">
        <v>1530</v>
      </c>
      <c r="D148" s="130" t="n">
        <v>117.4</v>
      </c>
      <c r="E148" s="131" t="n">
        <v>36</v>
      </c>
      <c r="F148" s="130" t="n">
        <v>84.40000000000001</v>
      </c>
      <c r="G148" s="17" t="n">
        <v>26</v>
      </c>
      <c r="H148" s="132" t="n">
        <v>66</v>
      </c>
      <c r="I148" s="133" t="n">
        <v>75000</v>
      </c>
      <c r="J148" s="133" t="inlineStr">
        <is>
          <t>중</t>
        </is>
      </c>
      <c r="K148" s="133" t="n">
        <v>50000</v>
      </c>
      <c r="L148" s="133" t="inlineStr">
        <is>
          <t>9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117D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대원동 포레나대원</t>
        </is>
      </c>
      <c r="B149" s="75" t="inlineStr">
        <is>
          <t>18.12.</t>
        </is>
      </c>
      <c r="C149" s="129" t="n">
        <v>1530</v>
      </c>
      <c r="D149" s="130" t="n">
        <v>117.2</v>
      </c>
      <c r="E149" s="131" t="n">
        <v>35</v>
      </c>
      <c r="F149" s="130" t="n">
        <v>84.40000000000001</v>
      </c>
      <c r="G149" s="17" t="n">
        <v>26</v>
      </c>
      <c r="H149" s="132" t="n">
        <v>48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inlineStr">
        <is>
          <t>117Ba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대원동 포레나대원</t>
        </is>
      </c>
      <c r="B150" s="75" t="inlineStr">
        <is>
          <t>18.12.</t>
        </is>
      </c>
      <c r="C150" s="129" t="n">
        <v>1530</v>
      </c>
      <c r="D150" s="130" t="n">
        <v>147.1</v>
      </c>
      <c r="E150" s="131" t="n">
        <v>44</v>
      </c>
      <c r="F150" s="130" t="n">
        <v>108.3</v>
      </c>
      <c r="G150" s="17" t="n">
        <v>33</v>
      </c>
      <c r="H150" s="132" t="n">
        <v>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147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대원동 대원대동황토방1차</t>
        </is>
      </c>
      <c r="B151" s="75" t="inlineStr">
        <is>
          <t>99.04.</t>
        </is>
      </c>
      <c r="C151" s="129" t="n">
        <v>486</v>
      </c>
      <c r="D151" s="130" t="n">
        <v>104.1</v>
      </c>
      <c r="E151" s="131" t="n">
        <v>31</v>
      </c>
      <c r="F151" s="130" t="n">
        <v>84.90000000000001</v>
      </c>
      <c r="G151" s="17" t="n">
        <v>26</v>
      </c>
      <c r="H151" s="132" t="n">
        <v>330</v>
      </c>
      <c r="I151" s="133" t="n">
        <v>26500</v>
      </c>
      <c r="J151" s="133" t="inlineStr">
        <is>
          <t>고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104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대원동 대원대동황토방1차</t>
        </is>
      </c>
      <c r="B152" s="75" t="inlineStr">
        <is>
          <t>99.04.</t>
        </is>
      </c>
      <c r="C152" s="129" t="n">
        <v>486</v>
      </c>
      <c r="D152" s="130" t="n">
        <v>143.4</v>
      </c>
      <c r="E152" s="131" t="n">
        <v>43</v>
      </c>
      <c r="F152" s="130" t="n">
        <v>120.9</v>
      </c>
      <c r="G152" s="17" t="n">
        <v>37</v>
      </c>
      <c r="H152" s="132" t="n">
        <v>156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143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반림동 노블파크</t>
        </is>
      </c>
      <c r="B153" s="75" t="inlineStr">
        <is>
          <t>07.12.</t>
        </is>
      </c>
      <c r="C153" s="129" t="n">
        <v>2699</v>
      </c>
      <c r="D153" s="130" t="n">
        <v>69.8</v>
      </c>
      <c r="E153" s="131" t="n">
        <v>21</v>
      </c>
      <c r="F153" s="130" t="n">
        <v>51.9</v>
      </c>
      <c r="G153" s="17" t="n">
        <v>16</v>
      </c>
      <c r="H153" s="132" t="n">
        <v>30</v>
      </c>
      <c r="I153" s="133" t="n">
        <v>37000</v>
      </c>
      <c r="J153" s="133" t="inlineStr">
        <is>
          <t>11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69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반림동 노블파크</t>
        </is>
      </c>
      <c r="B154" s="75" t="inlineStr">
        <is>
          <t>07.12.</t>
        </is>
      </c>
      <c r="C154" s="129" t="n">
        <v>2699</v>
      </c>
      <c r="D154" s="130" t="n">
        <v>84</v>
      </c>
      <c r="E154" s="131" t="n">
        <v>25</v>
      </c>
      <c r="F154" s="130" t="n">
        <v>60</v>
      </c>
      <c r="G154" s="17" t="n">
        <v>18</v>
      </c>
      <c r="H154" s="132" t="n">
        <v>164</v>
      </c>
      <c r="I154" s="133" t="n">
        <v>49000</v>
      </c>
      <c r="J154" s="133" t="inlineStr">
        <is>
          <t>8</t>
        </is>
      </c>
      <c r="K154" s="133" t="n">
        <v>45000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반림동 노블파크</t>
        </is>
      </c>
      <c r="B155" s="75" t="inlineStr">
        <is>
          <t>07.12.</t>
        </is>
      </c>
      <c r="C155" s="129" t="n">
        <v>2699</v>
      </c>
      <c r="D155" s="130" t="n">
        <v>90.3</v>
      </c>
      <c r="E155" s="131" t="n">
        <v>27</v>
      </c>
      <c r="F155" s="130" t="n">
        <v>66.3</v>
      </c>
      <c r="G155" s="17" t="n">
        <v>20</v>
      </c>
      <c r="H155" s="132" t="n">
        <v>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반림동 노블파크</t>
        </is>
      </c>
      <c r="B156" s="75" t="inlineStr">
        <is>
          <t>07.12.</t>
        </is>
      </c>
      <c r="C156" s="129" t="n">
        <v>2699</v>
      </c>
      <c r="D156" s="130" t="n">
        <v>102.7</v>
      </c>
      <c r="E156" s="131" t="n">
        <v>31</v>
      </c>
      <c r="F156" s="130" t="n">
        <v>76</v>
      </c>
      <c r="G156" s="17" t="n">
        <v>23</v>
      </c>
      <c r="H156" s="132" t="n">
        <v>250</v>
      </c>
      <c r="I156" s="133" t="n">
        <v>56500</v>
      </c>
      <c r="J156" s="133" t="inlineStr">
        <is>
          <t>10</t>
        </is>
      </c>
      <c r="K156" s="133" t="n">
        <v>46000</v>
      </c>
      <c r="L156" s="133" t="inlineStr">
        <is>
          <t>중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102A2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반림동 노블파크</t>
        </is>
      </c>
      <c r="B157" s="75" t="inlineStr">
        <is>
          <t>07.12.</t>
        </is>
      </c>
      <c r="C157" s="129" t="n">
        <v>2699</v>
      </c>
      <c r="D157" s="130" t="n">
        <v>102.9</v>
      </c>
      <c r="E157" s="131" t="n">
        <v>31</v>
      </c>
      <c r="F157" s="130" t="n">
        <v>76.2</v>
      </c>
      <c r="G157" s="17" t="n">
        <v>23</v>
      </c>
      <c r="H157" s="132" t="n">
        <v>166</v>
      </c>
      <c r="I157" s="133" t="n">
        <v>60000</v>
      </c>
      <c r="J157" s="133" t="inlineStr">
        <is>
          <t>12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102B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반림동 노블파크</t>
        </is>
      </c>
      <c r="B158" s="75" t="inlineStr">
        <is>
          <t>07.12.</t>
        </is>
      </c>
      <c r="C158" s="129" t="n">
        <v>2699</v>
      </c>
      <c r="D158" s="130" t="n">
        <v>103</v>
      </c>
      <c r="E158" s="131" t="n">
        <v>31</v>
      </c>
      <c r="F158" s="130" t="n">
        <v>76</v>
      </c>
      <c r="G158" s="17" t="n">
        <v>23</v>
      </c>
      <c r="H158" s="132" t="n">
        <v>176</v>
      </c>
      <c r="I158" s="133" t="n">
        <v>57000</v>
      </c>
      <c r="J158" s="133" t="inlineStr">
        <is>
          <t>7</t>
        </is>
      </c>
      <c r="K158" s="133" t="n">
        <v>43500</v>
      </c>
      <c r="L158" s="133" t="inlineStr">
        <is>
          <t>7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inlineStr">
        <is>
          <t>103A1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반림동 노블파크</t>
        </is>
      </c>
      <c r="B159" s="75" t="inlineStr">
        <is>
          <t>07.12.</t>
        </is>
      </c>
      <c r="C159" s="129" t="n">
        <v>2699</v>
      </c>
      <c r="D159" s="130" t="n">
        <v>113.7</v>
      </c>
      <c r="E159" s="131" t="n">
        <v>34</v>
      </c>
      <c r="F159" s="130" t="n">
        <v>85</v>
      </c>
      <c r="G159" s="17" t="n">
        <v>26</v>
      </c>
      <c r="H159" s="132" t="n">
        <v>674</v>
      </c>
      <c r="I159" s="133" t="n">
        <v>67000</v>
      </c>
      <c r="J159" s="133" t="inlineStr">
        <is>
          <t>고</t>
        </is>
      </c>
      <c r="K159" s="133" t="n">
        <v>47000</v>
      </c>
      <c r="L159" s="133" t="inlineStr">
        <is>
          <t>18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inlineStr">
        <is>
          <t>113A1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반림동 노블파크</t>
        </is>
      </c>
      <c r="B160" s="75" t="inlineStr">
        <is>
          <t>07.12.</t>
        </is>
      </c>
      <c r="C160" s="129" t="n">
        <v>2699</v>
      </c>
      <c r="D160" s="130" t="n">
        <v>113.7</v>
      </c>
      <c r="E160" s="131" t="n">
        <v>34</v>
      </c>
      <c r="F160" s="130" t="n">
        <v>85</v>
      </c>
      <c r="G160" s="17" t="n">
        <v>26</v>
      </c>
      <c r="H160" s="132" t="n">
        <v>236</v>
      </c>
      <c r="I160" s="133" t="n">
        <v>67000</v>
      </c>
      <c r="J160" s="133" t="inlineStr">
        <is>
          <t>고</t>
        </is>
      </c>
      <c r="K160" s="133" t="n">
        <v>47000</v>
      </c>
      <c r="L160" s="133" t="inlineStr">
        <is>
          <t>18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113B1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반림동 노블파크</t>
        </is>
      </c>
      <c r="B161" s="75" t="inlineStr">
        <is>
          <t>07.12.</t>
        </is>
      </c>
      <c r="C161" s="129" t="n">
        <v>2699</v>
      </c>
      <c r="D161" s="130" t="n">
        <v>113.7</v>
      </c>
      <c r="E161" s="131" t="n">
        <v>34</v>
      </c>
      <c r="F161" s="130" t="n">
        <v>85</v>
      </c>
      <c r="G161" s="17" t="n">
        <v>26</v>
      </c>
      <c r="H161" s="132" t="n">
        <v>120</v>
      </c>
      <c r="I161" s="133" t="n">
        <v>67000</v>
      </c>
      <c r="J161" s="133" t="inlineStr">
        <is>
          <t>고</t>
        </is>
      </c>
      <c r="K161" s="133" t="n">
        <v>47000</v>
      </c>
      <c r="L161" s="133" t="inlineStr">
        <is>
          <t>18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113A2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반림동 노블파크</t>
        </is>
      </c>
      <c r="B162" s="75" t="inlineStr">
        <is>
          <t>07.12.</t>
        </is>
      </c>
      <c r="C162" s="129" t="n">
        <v>2699</v>
      </c>
      <c r="D162" s="130" t="n">
        <v>113.7</v>
      </c>
      <c r="E162" s="131" t="n">
        <v>34</v>
      </c>
      <c r="F162" s="130" t="n">
        <v>85</v>
      </c>
      <c r="G162" s="17" t="n">
        <v>26</v>
      </c>
      <c r="H162" s="132" t="n">
        <v>118</v>
      </c>
      <c r="I162" s="133" t="n">
        <v>67000</v>
      </c>
      <c r="J162" s="133" t="inlineStr">
        <is>
          <t>고</t>
        </is>
      </c>
      <c r="K162" s="133" t="n">
        <v>47000</v>
      </c>
      <c r="L162" s="133" t="inlineStr">
        <is>
          <t>18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113B2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반림동 노블파크</t>
        </is>
      </c>
      <c r="B163" s="75" t="inlineStr">
        <is>
          <t>07.12.</t>
        </is>
      </c>
      <c r="C163" s="129" t="n">
        <v>2699</v>
      </c>
      <c r="D163" s="130" t="n">
        <v>113.7</v>
      </c>
      <c r="E163" s="131" t="n">
        <v>34</v>
      </c>
      <c r="F163" s="130" t="n">
        <v>85</v>
      </c>
      <c r="G163" s="17" t="n">
        <v>26</v>
      </c>
      <c r="H163" s="132" t="n">
        <v>60</v>
      </c>
      <c r="I163" s="133" t="n">
        <v>67000</v>
      </c>
      <c r="J163" s="133" t="inlineStr">
        <is>
          <t>고</t>
        </is>
      </c>
      <c r="K163" s="133" t="n">
        <v>47000</v>
      </c>
      <c r="L163" s="133" t="inlineStr">
        <is>
          <t>18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113B3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반림동 노블파크</t>
        </is>
      </c>
      <c r="B164" s="75" t="inlineStr">
        <is>
          <t>07.12.</t>
        </is>
      </c>
      <c r="C164" s="129" t="n">
        <v>2699</v>
      </c>
      <c r="D164" s="130" t="n">
        <v>113.7</v>
      </c>
      <c r="E164" s="131" t="n">
        <v>34</v>
      </c>
      <c r="F164" s="130" t="n">
        <v>85</v>
      </c>
      <c r="G164" s="17" t="n">
        <v>26</v>
      </c>
      <c r="H164" s="132" t="n">
        <v>54</v>
      </c>
      <c r="I164" s="133" t="n">
        <v>67000</v>
      </c>
      <c r="J164" s="133" t="inlineStr">
        <is>
          <t>고</t>
        </is>
      </c>
      <c r="K164" s="133" t="n">
        <v>47000</v>
      </c>
      <c r="L164" s="133" t="inlineStr">
        <is>
          <t>18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113C1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반림동 노블파크</t>
        </is>
      </c>
      <c r="B165" s="75" t="inlineStr">
        <is>
          <t>07.12.</t>
        </is>
      </c>
      <c r="C165" s="129" t="n">
        <v>2699</v>
      </c>
      <c r="D165" s="130" t="n">
        <v>113.7</v>
      </c>
      <c r="E165" s="131" t="n">
        <v>34</v>
      </c>
      <c r="F165" s="130" t="n">
        <v>85</v>
      </c>
      <c r="G165" s="17" t="n">
        <v>26</v>
      </c>
      <c r="H165" s="132" t="n">
        <v>52</v>
      </c>
      <c r="I165" s="133" t="n">
        <v>67000</v>
      </c>
      <c r="J165" s="133" t="inlineStr">
        <is>
          <t>고</t>
        </is>
      </c>
      <c r="K165" s="133" t="n">
        <v>47000</v>
      </c>
      <c r="L165" s="133" t="inlineStr">
        <is>
          <t>18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113C2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반림동 노블파크</t>
        </is>
      </c>
      <c r="B166" s="75" t="inlineStr">
        <is>
          <t>07.12.</t>
        </is>
      </c>
      <c r="C166" s="129" t="n">
        <v>2699</v>
      </c>
      <c r="D166" s="130" t="n">
        <v>113.7</v>
      </c>
      <c r="E166" s="131" t="n">
        <v>34</v>
      </c>
      <c r="F166" s="130" t="n">
        <v>85</v>
      </c>
      <c r="G166" s="17" t="n">
        <v>26</v>
      </c>
      <c r="H166" s="132" t="n">
        <v>36</v>
      </c>
      <c r="I166" s="133" t="n">
        <v>67000</v>
      </c>
      <c r="J166" s="133" t="inlineStr">
        <is>
          <t>고</t>
        </is>
      </c>
      <c r="K166" s="133" t="n">
        <v>47000</v>
      </c>
      <c r="L166" s="133" t="inlineStr">
        <is>
          <t>18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113A3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반림동 노블파크</t>
        </is>
      </c>
      <c r="B167" s="75" t="inlineStr">
        <is>
          <t>07.12.</t>
        </is>
      </c>
      <c r="C167" s="129" t="n">
        <v>2699</v>
      </c>
      <c r="D167" s="130" t="n">
        <v>113.7</v>
      </c>
      <c r="E167" s="131" t="n">
        <v>34</v>
      </c>
      <c r="F167" s="130" t="n">
        <v>85</v>
      </c>
      <c r="G167" s="17" t="n">
        <v>26</v>
      </c>
      <c r="H167" s="132" t="n">
        <v>32</v>
      </c>
      <c r="I167" s="133" t="n">
        <v>67000</v>
      </c>
      <c r="J167" s="133" t="inlineStr">
        <is>
          <t>고</t>
        </is>
      </c>
      <c r="K167" s="133" t="n">
        <v>47000</v>
      </c>
      <c r="L167" s="133" t="inlineStr">
        <is>
          <t>18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113D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반림동 노블파크</t>
        </is>
      </c>
      <c r="B168" s="75" t="inlineStr">
        <is>
          <t>07.12.</t>
        </is>
      </c>
      <c r="C168" s="129" t="n">
        <v>2699</v>
      </c>
      <c r="D168" s="130" t="n">
        <v>131.1</v>
      </c>
      <c r="E168" s="131" t="n">
        <v>40</v>
      </c>
      <c r="F168" s="130" t="n">
        <v>101.9</v>
      </c>
      <c r="G168" s="17" t="n">
        <v>31</v>
      </c>
      <c r="H168" s="132" t="n">
        <v>179</v>
      </c>
      <c r="I168" s="133" t="n">
        <v>68000</v>
      </c>
      <c r="J168" s="133" t="inlineStr">
        <is>
          <t>11</t>
        </is>
      </c>
      <c r="K168" s="133" t="n">
        <v>53000</v>
      </c>
      <c r="L168" s="133" t="inlineStr">
        <is>
          <t>12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131A1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반림동 노블파크</t>
        </is>
      </c>
      <c r="B169" s="75" t="inlineStr">
        <is>
          <t>07.12.</t>
        </is>
      </c>
      <c r="C169" s="129" t="n">
        <v>2699</v>
      </c>
      <c r="D169" s="130" t="n">
        <v>131.1</v>
      </c>
      <c r="E169" s="131" t="n">
        <v>40</v>
      </c>
      <c r="F169" s="130" t="n">
        <v>101.9</v>
      </c>
      <c r="G169" s="17" t="n">
        <v>31</v>
      </c>
      <c r="H169" s="132" t="n">
        <v>68</v>
      </c>
      <c r="I169" s="133" t="n">
        <v>68000</v>
      </c>
      <c r="J169" s="133" t="inlineStr">
        <is>
          <t>11</t>
        </is>
      </c>
      <c r="K169" s="133" t="n">
        <v>53000</v>
      </c>
      <c r="L169" s="133" t="inlineStr">
        <is>
          <t>12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131A2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반림동 노블파크</t>
        </is>
      </c>
      <c r="B170" s="75" t="inlineStr">
        <is>
          <t>07.12.</t>
        </is>
      </c>
      <c r="C170" s="129" t="n">
        <v>2699</v>
      </c>
      <c r="D170" s="130" t="n">
        <v>163.7</v>
      </c>
      <c r="E170" s="131" t="n">
        <v>50</v>
      </c>
      <c r="F170" s="130" t="n">
        <v>129.5</v>
      </c>
      <c r="G170" s="17" t="n">
        <v>39</v>
      </c>
      <c r="H170" s="132" t="n">
        <v>96</v>
      </c>
      <c r="I170" s="133" t="n">
        <v>87000</v>
      </c>
      <c r="J170" s="133" t="inlineStr">
        <is>
          <t>11</t>
        </is>
      </c>
      <c r="K170" s="133" t="n">
        <v>70000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inlineStr">
        <is>
          <t>163A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반림동 노블파크</t>
        </is>
      </c>
      <c r="B171" s="75" t="inlineStr">
        <is>
          <t>07.12.</t>
        </is>
      </c>
      <c r="C171" s="129" t="n">
        <v>2699</v>
      </c>
      <c r="D171" s="130" t="n">
        <v>163.6</v>
      </c>
      <c r="E171" s="131" t="n">
        <v>49</v>
      </c>
      <c r="F171" s="130" t="n">
        <v>129.4</v>
      </c>
      <c r="G171" s="17" t="n">
        <v>39</v>
      </c>
      <c r="H171" s="132" t="n">
        <v>62</v>
      </c>
      <c r="I171" s="133" t="n">
        <v>94000</v>
      </c>
      <c r="J171" s="133" t="inlineStr">
        <is>
          <t>15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inlineStr">
        <is>
          <t>163B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반림동 반림럭키</t>
        </is>
      </c>
      <c r="B173" s="75" t="inlineStr">
        <is>
          <t>89.01.</t>
        </is>
      </c>
      <c r="C173" s="129" t="n">
        <v>1620</v>
      </c>
      <c r="D173" s="130" t="n">
        <v>66.5</v>
      </c>
      <c r="E173" s="131" t="n">
        <v>20</v>
      </c>
      <c r="F173" s="130" t="n">
        <v>49.5</v>
      </c>
      <c r="G173" s="17" t="n">
        <v>15</v>
      </c>
      <c r="H173" s="132" t="n">
        <v>300</v>
      </c>
      <c r="I173" s="133" t="n">
        <v>23000</v>
      </c>
      <c r="J173" s="133" t="inlineStr">
        <is>
          <t>7</t>
        </is>
      </c>
      <c r="K173" s="133" t="n">
        <v>16000</v>
      </c>
      <c r="L173" s="133" t="inlineStr">
        <is>
          <t>12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복</t>
        </is>
      </c>
      <c r="T173" s="5" t="n">
        <v>66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반림동 반림럭키</t>
        </is>
      </c>
      <c r="B174" s="75" t="inlineStr">
        <is>
          <t>89.01.</t>
        </is>
      </c>
      <c r="C174" s="129" t="n">
        <v>1620</v>
      </c>
      <c r="D174" s="130" t="n">
        <v>79.40000000000001</v>
      </c>
      <c r="E174" s="131" t="n">
        <v>24</v>
      </c>
      <c r="F174" s="130" t="n">
        <v>59.2</v>
      </c>
      <c r="G174" s="17" t="n">
        <v>18</v>
      </c>
      <c r="H174" s="132" t="n">
        <v>210</v>
      </c>
      <c r="I174" s="133" t="n">
        <v>27000</v>
      </c>
      <c r="J174" s="133" t="inlineStr">
        <is>
          <t>8</t>
        </is>
      </c>
      <c r="K174" s="133" t="n">
        <v>22000</v>
      </c>
      <c r="L174" s="133" t="inlineStr">
        <is>
          <t>9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2</v>
      </c>
      <c r="R174" s="120" t="n">
        <v>1</v>
      </c>
      <c r="S174" s="120" t="inlineStr">
        <is>
          <t>복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반림동 반림럭키</t>
        </is>
      </c>
      <c r="B175" s="75" t="inlineStr">
        <is>
          <t>89.01.</t>
        </is>
      </c>
      <c r="C175" s="129" t="n">
        <v>1620</v>
      </c>
      <c r="D175" s="130" t="n">
        <v>93.09999999999999</v>
      </c>
      <c r="E175" s="131" t="n">
        <v>28</v>
      </c>
      <c r="F175" s="130" t="n">
        <v>76.09999999999999</v>
      </c>
      <c r="G175" s="17" t="n">
        <v>23</v>
      </c>
      <c r="H175" s="132" t="n">
        <v>240</v>
      </c>
      <c r="I175" s="133" t="n">
        <v>39000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inlineStr">
        <is>
          <t>93A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반림동 반림럭키</t>
        </is>
      </c>
      <c r="B176" s="75" t="inlineStr">
        <is>
          <t>89.01.</t>
        </is>
      </c>
      <c r="C176" s="129" t="n">
        <v>1620</v>
      </c>
      <c r="D176" s="130" t="n">
        <v>93.7</v>
      </c>
      <c r="E176" s="131" t="n">
        <v>28</v>
      </c>
      <c r="F176" s="130" t="n">
        <v>76.3</v>
      </c>
      <c r="G176" s="17" t="n">
        <v>23</v>
      </c>
      <c r="H176" s="132" t="n">
        <v>210</v>
      </c>
      <c r="I176" s="133" t="n">
        <v>36500</v>
      </c>
      <c r="J176" s="133" t="inlineStr">
        <is>
          <t>고</t>
        </is>
      </c>
      <c r="K176" s="133" t="n">
        <v>28000</v>
      </c>
      <c r="L176" s="133" t="inlineStr">
        <is>
          <t>10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1</v>
      </c>
      <c r="S176" s="120" t="inlineStr">
        <is>
          <t>계</t>
        </is>
      </c>
      <c r="T176" s="5" t="inlineStr">
        <is>
          <t>93B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반림동 반림럭키</t>
        </is>
      </c>
      <c r="B177" s="75" t="inlineStr">
        <is>
          <t>89.01.</t>
        </is>
      </c>
      <c r="C177" s="129" t="n">
        <v>1620</v>
      </c>
      <c r="D177" s="130" t="n">
        <v>93.3</v>
      </c>
      <c r="E177" s="131" t="n">
        <v>28</v>
      </c>
      <c r="F177" s="130" t="n">
        <v>76.40000000000001</v>
      </c>
      <c r="G177" s="17" t="n">
        <v>23</v>
      </c>
      <c r="H177" s="132" t="n">
        <v>90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inlineStr">
        <is>
          <t>93C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반림동 반림럭키</t>
        </is>
      </c>
      <c r="B178" s="75" t="inlineStr">
        <is>
          <t>89.01.</t>
        </is>
      </c>
      <c r="C178" s="129" t="n">
        <v>1620</v>
      </c>
      <c r="D178" s="130" t="n">
        <v>102.9</v>
      </c>
      <c r="E178" s="131" t="n">
        <v>31</v>
      </c>
      <c r="F178" s="130" t="n">
        <v>84.90000000000001</v>
      </c>
      <c r="G178" s="17" t="n">
        <v>26</v>
      </c>
      <c r="H178" s="132" t="n">
        <v>210</v>
      </c>
      <c r="I178" s="133" t="n">
        <v>42000</v>
      </c>
      <c r="J178" s="133" t="inlineStr">
        <is>
          <t>12</t>
        </is>
      </c>
      <c r="K178" s="133" t="n">
        <v>23000</v>
      </c>
      <c r="L178" s="133" t="inlineStr">
        <is>
          <t>15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102C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반림동 반림럭키</t>
        </is>
      </c>
      <c r="B179" s="75" t="inlineStr">
        <is>
          <t>89.01.</t>
        </is>
      </c>
      <c r="C179" s="129" t="n">
        <v>1620</v>
      </c>
      <c r="D179" s="130" t="n">
        <v>103.3</v>
      </c>
      <c r="E179" s="131" t="n">
        <v>31</v>
      </c>
      <c r="F179" s="130" t="n">
        <v>84.90000000000001</v>
      </c>
      <c r="G179" s="17" t="n">
        <v>26</v>
      </c>
      <c r="H179" s="132" t="n">
        <v>270</v>
      </c>
      <c r="I179" s="133" t="n">
        <v>40000</v>
      </c>
      <c r="J179" s="133" t="inlineStr">
        <is>
          <t>8</t>
        </is>
      </c>
      <c r="K179" s="133" t="n">
        <v>25000</v>
      </c>
      <c r="L179" s="133" t="inlineStr">
        <is>
          <t>고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103B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반림동 반림럭키</t>
        </is>
      </c>
      <c r="B180" s="75" t="inlineStr">
        <is>
          <t>89.01.</t>
        </is>
      </c>
      <c r="C180" s="129" t="n">
        <v>1620</v>
      </c>
      <c r="D180" s="130" t="n">
        <v>103.2</v>
      </c>
      <c r="E180" s="131" t="n">
        <v>31</v>
      </c>
      <c r="F180" s="130" t="n">
        <v>84.90000000000001</v>
      </c>
      <c r="G180" s="17" t="n">
        <v>26</v>
      </c>
      <c r="H180" s="132" t="n">
        <v>90</v>
      </c>
      <c r="I180" s="133" t="n">
        <v>43000</v>
      </c>
      <c r="J180" s="133" t="inlineStr">
        <is>
          <t>6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103A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반림동 트리비앙</t>
        </is>
      </c>
      <c r="B181" s="75" t="inlineStr">
        <is>
          <t>06.10.</t>
        </is>
      </c>
      <c r="C181" s="129" t="n">
        <v>2610</v>
      </c>
      <c r="D181" s="130" t="n">
        <v>85.09999999999999</v>
      </c>
      <c r="E181" s="131" t="n">
        <v>26</v>
      </c>
      <c r="F181" s="130" t="n">
        <v>60</v>
      </c>
      <c r="G181" s="17" t="n">
        <v>18</v>
      </c>
      <c r="H181" s="132" t="n">
        <v>338</v>
      </c>
      <c r="I181" s="133" t="n">
        <v>45000</v>
      </c>
      <c r="J181" s="133" t="inlineStr">
        <is>
          <t>중</t>
        </is>
      </c>
      <c r="K181" s="133" t="n">
        <v>37000</v>
      </c>
      <c r="L181" s="133" t="inlineStr">
        <is>
          <t>15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85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반림동 트리비앙</t>
        </is>
      </c>
      <c r="B182" s="75" t="inlineStr">
        <is>
          <t>06.10.</t>
        </is>
      </c>
      <c r="C182" s="129" t="n">
        <v>2610</v>
      </c>
      <c r="D182" s="130" t="n">
        <v>89.3</v>
      </c>
      <c r="E182" s="131" t="n">
        <v>27</v>
      </c>
      <c r="F182" s="130" t="n">
        <v>66.3</v>
      </c>
      <c r="G182" s="17" t="n">
        <v>20</v>
      </c>
      <c r="H182" s="132" t="n">
        <v>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2</v>
      </c>
      <c r="R182" s="120" t="n">
        <v>2</v>
      </c>
      <c r="S182" s="120" t="inlineStr">
        <is>
          <t>계</t>
        </is>
      </c>
      <c r="T182" s="5" t="n">
        <v>89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반림동 트리비앙</t>
        </is>
      </c>
      <c r="B183" s="75" t="inlineStr">
        <is>
          <t>06.10.</t>
        </is>
      </c>
      <c r="C183" s="129" t="n">
        <v>2610</v>
      </c>
      <c r="D183" s="130" t="n">
        <v>98.90000000000001</v>
      </c>
      <c r="E183" s="131" t="n">
        <v>30</v>
      </c>
      <c r="F183" s="130" t="n">
        <v>73.90000000000001</v>
      </c>
      <c r="G183" s="17" t="n">
        <v>22</v>
      </c>
      <c r="H183" s="132" t="n">
        <v>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2</v>
      </c>
      <c r="R183" s="120" t="n">
        <v>2</v>
      </c>
      <c r="S183" s="120" t="inlineStr">
        <is>
          <t>계</t>
        </is>
      </c>
      <c r="T183" s="5" t="n">
        <v>98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반림동 트리비앙</t>
        </is>
      </c>
      <c r="B184" s="75" t="inlineStr">
        <is>
          <t>06.10.</t>
        </is>
      </c>
      <c r="C184" s="129" t="n">
        <v>2610</v>
      </c>
      <c r="D184" s="130" t="n">
        <v>103</v>
      </c>
      <c r="E184" s="131" t="n">
        <v>31</v>
      </c>
      <c r="F184" s="130" t="n">
        <v>76</v>
      </c>
      <c r="G184" s="17" t="n">
        <v>23</v>
      </c>
      <c r="H184" s="132" t="n">
        <v>252</v>
      </c>
      <c r="I184" s="133" t="n">
        <v>60000</v>
      </c>
      <c r="J184" s="133" t="inlineStr">
        <is>
          <t>14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102B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반림동 트리비앙</t>
        </is>
      </c>
      <c r="B185" s="75" t="inlineStr">
        <is>
          <t>06.10.</t>
        </is>
      </c>
      <c r="C185" s="129" t="n">
        <v>2610</v>
      </c>
      <c r="D185" s="130" t="n">
        <v>102.2</v>
      </c>
      <c r="E185" s="131" t="n">
        <v>31</v>
      </c>
      <c r="F185" s="130" t="n">
        <v>76</v>
      </c>
      <c r="G185" s="17" t="n">
        <v>23</v>
      </c>
      <c r="H185" s="132" t="n">
        <v>158</v>
      </c>
      <c r="I185" s="133" t="n">
        <v>58000</v>
      </c>
      <c r="J185" s="133" t="inlineStr">
        <is>
          <t>15</t>
        </is>
      </c>
      <c r="K185" s="133" t="n">
        <v>46000</v>
      </c>
      <c r="L185" s="133" t="inlineStr">
        <is>
          <t>중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반림동 트리비앙</t>
        </is>
      </c>
      <c r="B186" s="75" t="inlineStr">
        <is>
          <t>06.10.</t>
        </is>
      </c>
      <c r="C186" s="129" t="n">
        <v>2610</v>
      </c>
      <c r="D186" s="130" t="n">
        <v>102.5</v>
      </c>
      <c r="E186" s="131" t="n">
        <v>31</v>
      </c>
      <c r="F186" s="130" t="n">
        <v>76.2</v>
      </c>
      <c r="G186" s="17" t="n">
        <v>23</v>
      </c>
      <c r="H186" s="132" t="n">
        <v>149</v>
      </c>
      <c r="I186" s="133" t="n">
        <v>60500</v>
      </c>
      <c r="J186" s="133" t="inlineStr">
        <is>
          <t>10</t>
        </is>
      </c>
      <c r="K186" s="133" t="n">
        <v>47000</v>
      </c>
      <c r="L186" s="133" t="inlineStr">
        <is>
          <t>14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102C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반림동 트리비앙</t>
        </is>
      </c>
      <c r="B187" s="75" t="inlineStr">
        <is>
          <t>06.10.</t>
        </is>
      </c>
      <c r="C187" s="129" t="n">
        <v>2610</v>
      </c>
      <c r="D187" s="130" t="n">
        <v>113.8</v>
      </c>
      <c r="E187" s="131" t="n">
        <v>34</v>
      </c>
      <c r="F187" s="130" t="n">
        <v>85</v>
      </c>
      <c r="G187" s="17" t="n">
        <v>26</v>
      </c>
      <c r="H187" s="132" t="n">
        <v>809</v>
      </c>
      <c r="I187" s="133" t="n">
        <v>64000</v>
      </c>
      <c r="J187" s="133" t="inlineStr">
        <is>
          <t>12</t>
        </is>
      </c>
      <c r="K187" s="133" t="n">
        <v>48000</v>
      </c>
      <c r="L187" s="133" t="inlineStr">
        <is>
          <t>11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113A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반림동 트리비앙</t>
        </is>
      </c>
      <c r="B188" s="75" t="inlineStr">
        <is>
          <t>06.10.</t>
        </is>
      </c>
      <c r="C188" s="129" t="n">
        <v>2610</v>
      </c>
      <c r="D188" s="130" t="n">
        <v>113.9</v>
      </c>
      <c r="E188" s="131" t="n">
        <v>34</v>
      </c>
      <c r="F188" s="130" t="n">
        <v>85</v>
      </c>
      <c r="G188" s="17" t="n">
        <v>26</v>
      </c>
      <c r="H188" s="132" t="n">
        <v>373</v>
      </c>
      <c r="I188" s="133" t="n">
        <v>63000</v>
      </c>
      <c r="J188" s="133" t="inlineStr">
        <is>
          <t>7</t>
        </is>
      </c>
      <c r="K188" s="133" t="n">
        <v>50000</v>
      </c>
      <c r="L188" s="133" t="inlineStr">
        <is>
          <t>10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113C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반림동 트리비앙</t>
        </is>
      </c>
      <c r="B189" s="75" t="inlineStr">
        <is>
          <t>06.10.</t>
        </is>
      </c>
      <c r="C189" s="129" t="n">
        <v>2610</v>
      </c>
      <c r="D189" s="130" t="n">
        <v>113.7</v>
      </c>
      <c r="E189" s="131" t="n">
        <v>34</v>
      </c>
      <c r="F189" s="130" t="n">
        <v>85</v>
      </c>
      <c r="G189" s="17" t="n">
        <v>26</v>
      </c>
      <c r="H189" s="132" t="n">
        <v>51</v>
      </c>
      <c r="I189" s="133" t="n">
        <v>64000</v>
      </c>
      <c r="J189" s="133" t="inlineStr">
        <is>
          <t>고</t>
        </is>
      </c>
      <c r="K189" s="133" t="n">
        <v>52000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113B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반림동 트리비앙</t>
        </is>
      </c>
      <c r="B190" s="75" t="inlineStr">
        <is>
          <t>06.10.</t>
        </is>
      </c>
      <c r="C190" s="129" t="n">
        <v>2610</v>
      </c>
      <c r="D190" s="130" t="n">
        <v>131.7</v>
      </c>
      <c r="E190" s="131" t="n">
        <v>40</v>
      </c>
      <c r="F190" s="130" t="n">
        <v>101.9</v>
      </c>
      <c r="G190" s="17" t="n">
        <v>31</v>
      </c>
      <c r="H190" s="132" t="n">
        <v>235</v>
      </c>
      <c r="I190" s="133" t="n">
        <v>80000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131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반림동 트리비앙</t>
        </is>
      </c>
      <c r="B191" s="75" t="inlineStr">
        <is>
          <t>06.10.</t>
        </is>
      </c>
      <c r="C191" s="129" t="n">
        <v>2610</v>
      </c>
      <c r="D191" s="130" t="n">
        <v>164.2</v>
      </c>
      <c r="E191" s="131" t="n">
        <v>50</v>
      </c>
      <c r="F191" s="130" t="n">
        <v>129.5</v>
      </c>
      <c r="G191" s="17" t="n">
        <v>39</v>
      </c>
      <c r="H191" s="132" t="n">
        <v>87</v>
      </c>
      <c r="I191" s="133" t="n">
        <v>93000</v>
      </c>
      <c r="J191" s="133" t="inlineStr">
        <is>
          <t>11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4</v>
      </c>
      <c r="R191" s="120" t="n">
        <v>2</v>
      </c>
      <c r="S191" s="120" t="inlineStr">
        <is>
          <t>계</t>
        </is>
      </c>
      <c r="T191" s="5" t="inlineStr">
        <is>
          <t>164B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반림동 트리비앙</t>
        </is>
      </c>
      <c r="B192" s="75" t="inlineStr">
        <is>
          <t>06.10.</t>
        </is>
      </c>
      <c r="C192" s="129" t="n">
        <v>2610</v>
      </c>
      <c r="D192" s="130" t="n">
        <v>164.1</v>
      </c>
      <c r="E192" s="131" t="n">
        <v>50</v>
      </c>
      <c r="F192" s="130" t="n">
        <v>129.4</v>
      </c>
      <c r="G192" s="17" t="n">
        <v>39</v>
      </c>
      <c r="H192" s="132" t="n">
        <v>60</v>
      </c>
      <c r="I192" s="133" t="n">
        <v>93000</v>
      </c>
      <c r="J192" s="133" t="inlineStr">
        <is>
          <t>고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4</v>
      </c>
      <c r="R192" s="120" t="n">
        <v>2</v>
      </c>
      <c r="S192" s="120" t="inlineStr">
        <is>
          <t>계</t>
        </is>
      </c>
      <c r="T192" s="5" t="inlineStr">
        <is>
          <t>164A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반림동 트리비앙</t>
        </is>
      </c>
      <c r="B193" s="75" t="inlineStr">
        <is>
          <t>06.10.</t>
        </is>
      </c>
      <c r="C193" s="129" t="n">
        <v>2610</v>
      </c>
      <c r="D193" s="130" t="n">
        <v>188</v>
      </c>
      <c r="E193" s="131" t="n">
        <v>57</v>
      </c>
      <c r="F193" s="130" t="n">
        <v>148.7</v>
      </c>
      <c r="G193" s="17" t="n">
        <v>45</v>
      </c>
      <c r="H193" s="132" t="n">
        <v>90</v>
      </c>
      <c r="I193" s="133" t="n">
        <v>107000</v>
      </c>
      <c r="J193" s="133" t="inlineStr">
        <is>
          <t>12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188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반림동 현대</t>
        </is>
      </c>
      <c r="B194" s="75" t="inlineStr">
        <is>
          <t>89.04.</t>
        </is>
      </c>
      <c r="C194" s="129" t="n">
        <v>1200</v>
      </c>
      <c r="D194" s="130" t="n">
        <v>84.3</v>
      </c>
      <c r="E194" s="131" t="n">
        <v>26</v>
      </c>
      <c r="F194" s="130" t="n">
        <v>68.8</v>
      </c>
      <c r="G194" s="17" t="n">
        <v>21</v>
      </c>
      <c r="H194" s="132" t="n">
        <v>390</v>
      </c>
      <c r="I194" s="133" t="n">
        <v>37000</v>
      </c>
      <c r="J194" s="133" t="inlineStr">
        <is>
          <t>고</t>
        </is>
      </c>
      <c r="K194" s="133" t="n">
        <v>30000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inlineStr">
        <is>
          <t>84A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반림동 현대</t>
        </is>
      </c>
      <c r="B195" s="75" t="inlineStr">
        <is>
          <t>89.04.</t>
        </is>
      </c>
      <c r="C195" s="129" t="n">
        <v>1200</v>
      </c>
      <c r="D195" s="130" t="n">
        <v>85.8</v>
      </c>
      <c r="E195" s="131" t="n">
        <v>26</v>
      </c>
      <c r="F195" s="130" t="n">
        <v>68.90000000000001</v>
      </c>
      <c r="G195" s="17" t="n">
        <v>21</v>
      </c>
      <c r="H195" s="132" t="n">
        <v>90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85B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반림동 현대</t>
        </is>
      </c>
      <c r="B196" s="75" t="inlineStr">
        <is>
          <t>89.04.</t>
        </is>
      </c>
      <c r="C196" s="129" t="n">
        <v>1200</v>
      </c>
      <c r="D196" s="130" t="n">
        <v>102.8</v>
      </c>
      <c r="E196" s="131" t="n">
        <v>31</v>
      </c>
      <c r="F196" s="130" t="n">
        <v>84.5</v>
      </c>
      <c r="G196" s="17" t="n">
        <v>26</v>
      </c>
      <c r="H196" s="132" t="n">
        <v>330</v>
      </c>
      <c r="I196" s="133" t="n">
        <v>48000</v>
      </c>
      <c r="J196" s="133" t="inlineStr">
        <is>
          <t>5</t>
        </is>
      </c>
      <c r="K196" s="133" t="n">
        <v>33000</v>
      </c>
      <c r="L196" s="133" t="inlineStr">
        <is>
          <t>15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반림동 현대</t>
        </is>
      </c>
      <c r="B197" s="75" t="inlineStr">
        <is>
          <t>89.04.</t>
        </is>
      </c>
      <c r="C197" s="129" t="n">
        <v>1200</v>
      </c>
      <c r="D197" s="130" t="n">
        <v>102.4</v>
      </c>
      <c r="E197" s="131" t="n">
        <v>31</v>
      </c>
      <c r="F197" s="130" t="n">
        <v>84.5</v>
      </c>
      <c r="G197" s="17" t="n">
        <v>26</v>
      </c>
      <c r="H197" s="132" t="n">
        <v>150</v>
      </c>
      <c r="I197" s="133" t="n">
        <v>50000</v>
      </c>
      <c r="J197" s="133" t="inlineStr">
        <is>
          <t>11</t>
        </is>
      </c>
      <c r="K197" s="133" t="n">
        <v>32000</v>
      </c>
      <c r="L197" s="133" t="inlineStr">
        <is>
          <t>6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102A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반림동 현대</t>
        </is>
      </c>
      <c r="B198" s="75" t="inlineStr">
        <is>
          <t>89.04.</t>
        </is>
      </c>
      <c r="C198" s="129" t="n">
        <v>1200</v>
      </c>
      <c r="D198" s="130" t="n">
        <v>124.4</v>
      </c>
      <c r="E198" s="131" t="n">
        <v>38</v>
      </c>
      <c r="F198" s="130" t="n">
        <v>106.3</v>
      </c>
      <c r="G198" s="17" t="n">
        <v>32</v>
      </c>
      <c r="H198" s="132" t="n">
        <v>120</v>
      </c>
      <c r="I198" s="133" t="n">
        <v>58000</v>
      </c>
      <c r="J198" s="133" t="inlineStr">
        <is>
          <t>13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124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반림동 현대</t>
        </is>
      </c>
      <c r="B199" s="75" t="inlineStr">
        <is>
          <t>89.04.</t>
        </is>
      </c>
      <c r="C199" s="129" t="n">
        <v>1200</v>
      </c>
      <c r="D199" s="130" t="n">
        <v>145.5</v>
      </c>
      <c r="E199" s="131" t="n">
        <v>44</v>
      </c>
      <c r="F199" s="130" t="n">
        <v>125.3</v>
      </c>
      <c r="G199" s="17" t="n">
        <v>38</v>
      </c>
      <c r="H199" s="132" t="n">
        <v>60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n">
        <v>145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147.7</v>
      </c>
      <c r="E200" s="131" t="n">
        <v>45</v>
      </c>
      <c r="F200" s="130" t="n">
        <v>126.7</v>
      </c>
      <c r="G200" s="17" t="n">
        <v>38</v>
      </c>
      <c r="H200" s="132" t="n">
        <v>60</v>
      </c>
      <c r="I200" s="133" t="n">
        <v>65000</v>
      </c>
      <c r="J200" s="133" t="inlineStr">
        <is>
          <t>고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147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반림동 현대2차</t>
        </is>
      </c>
      <c r="B201" s="75" t="inlineStr">
        <is>
          <t>89.10.</t>
        </is>
      </c>
      <c r="C201" s="129" t="n">
        <v>1395</v>
      </c>
      <c r="D201" s="130" t="n">
        <v>57.4</v>
      </c>
      <c r="E201" s="131" t="n">
        <v>17</v>
      </c>
      <c r="F201" s="130" t="n">
        <v>44.2</v>
      </c>
      <c r="G201" s="17" t="n">
        <v>13</v>
      </c>
      <c r="H201" s="132" t="n">
        <v>135</v>
      </c>
      <c r="I201" s="133" t="n">
        <v>22000</v>
      </c>
      <c r="J201" s="133" t="inlineStr">
        <is>
          <t>고</t>
        </is>
      </c>
      <c r="K201" s="133" t="n">
        <v>15000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57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반림동 현대2차</t>
        </is>
      </c>
      <c r="B202" s="75" t="inlineStr">
        <is>
          <t>89.10.</t>
        </is>
      </c>
      <c r="C202" s="129" t="n">
        <v>1395</v>
      </c>
      <c r="D202" s="130" t="n">
        <v>86</v>
      </c>
      <c r="E202" s="131" t="n">
        <v>26</v>
      </c>
      <c r="F202" s="130" t="n">
        <v>69.8</v>
      </c>
      <c r="G202" s="17" t="n">
        <v>21</v>
      </c>
      <c r="H202" s="132" t="n">
        <v>510</v>
      </c>
      <c r="I202" s="133" t="n">
        <v>38500</v>
      </c>
      <c r="J202" s="133" t="inlineStr">
        <is>
          <t>5</t>
        </is>
      </c>
      <c r="K202" s="133" t="n">
        <v>27000</v>
      </c>
      <c r="L202" s="133" t="inlineStr">
        <is>
          <t>14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1</v>
      </c>
      <c r="S202" s="120" t="inlineStr">
        <is>
          <t>계</t>
        </is>
      </c>
      <c r="T202" s="5" t="n">
        <v>86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반림동 현대2차</t>
        </is>
      </c>
      <c r="B203" s="75" t="inlineStr">
        <is>
          <t>89.10.</t>
        </is>
      </c>
      <c r="C203" s="129" t="n">
        <v>1395</v>
      </c>
      <c r="D203" s="130" t="n">
        <v>101.9</v>
      </c>
      <c r="E203" s="131" t="n">
        <v>31</v>
      </c>
      <c r="F203" s="130" t="n">
        <v>84.8</v>
      </c>
      <c r="G203" s="17" t="n">
        <v>26</v>
      </c>
      <c r="H203" s="132" t="n">
        <v>690</v>
      </c>
      <c r="I203" s="133" t="n">
        <v>47000</v>
      </c>
      <c r="J203" s="133" t="inlineStr">
        <is>
          <t>10</t>
        </is>
      </c>
      <c r="K203" s="133" t="n">
        <v>30000</v>
      </c>
      <c r="L203" s="133" t="inlineStr">
        <is>
          <t>15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101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반림동 현대2차</t>
        </is>
      </c>
      <c r="B204" s="75" t="inlineStr">
        <is>
          <t>89.10.</t>
        </is>
      </c>
      <c r="C204" s="129" t="n">
        <v>1395</v>
      </c>
      <c r="D204" s="130" t="n">
        <v>153.2</v>
      </c>
      <c r="E204" s="131" t="n">
        <v>46</v>
      </c>
      <c r="F204" s="130" t="n">
        <v>132.5</v>
      </c>
      <c r="G204" s="17" t="n">
        <v>40</v>
      </c>
      <c r="H204" s="132" t="n">
        <v>60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153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반지동 까치1차</t>
        </is>
      </c>
      <c r="B205" s="75" t="inlineStr">
        <is>
          <t>90.09.</t>
        </is>
      </c>
      <c r="C205" s="129" t="n">
        <v>500</v>
      </c>
      <c r="D205" s="130" t="n">
        <v>38.2</v>
      </c>
      <c r="E205" s="131" t="n">
        <v>12</v>
      </c>
      <c r="F205" s="130" t="n">
        <v>30.2</v>
      </c>
      <c r="G205" s="17" t="n">
        <v>9</v>
      </c>
      <c r="H205" s="132" t="n">
        <v>50</v>
      </c>
      <c r="I205" s="133" t="n">
        <v>25000</v>
      </c>
      <c r="J205" s="133" t="inlineStr">
        <is>
          <t>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38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반지동 까치1차</t>
        </is>
      </c>
      <c r="B206" s="75" t="inlineStr">
        <is>
          <t>90.09.</t>
        </is>
      </c>
      <c r="C206" s="129" t="n">
        <v>500</v>
      </c>
      <c r="D206" s="130" t="n">
        <v>39.7</v>
      </c>
      <c r="E206" s="131" t="n">
        <v>12</v>
      </c>
      <c r="F206" s="130" t="n">
        <v>31.5</v>
      </c>
      <c r="G206" s="17" t="n">
        <v>10</v>
      </c>
      <c r="H206" s="132" t="n">
        <v>450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39</v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반지동 까치2차</t>
        </is>
      </c>
      <c r="B207" s="75" t="inlineStr">
        <is>
          <t>91.06.</t>
        </is>
      </c>
      <c r="C207" s="129" t="n">
        <v>416</v>
      </c>
      <c r="D207" s="130" t="n">
        <v>59.4</v>
      </c>
      <c r="E207" s="131" t="n">
        <v>18</v>
      </c>
      <c r="F207" s="130" t="n">
        <v>54.1</v>
      </c>
      <c r="G207" s="17" t="n">
        <v>16</v>
      </c>
      <c r="H207" s="132" t="n">
        <v>416</v>
      </c>
      <c r="I207" s="133" t="n">
        <v>16000</v>
      </c>
      <c r="J207" s="133" t="inlineStr">
        <is>
          <t>10</t>
        </is>
      </c>
      <c r="K207" s="133" t="n">
        <v>14500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복</t>
        </is>
      </c>
      <c r="T207" s="5" t="n">
        <v>59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반지동 반송대동</t>
        </is>
      </c>
      <c r="B208" s="75" t="inlineStr">
        <is>
          <t>91.07.</t>
        </is>
      </c>
      <c r="C208" s="129" t="n">
        <v>1292</v>
      </c>
      <c r="D208" s="130" t="n">
        <v>83.40000000000001</v>
      </c>
      <c r="E208" s="131" t="n">
        <v>25</v>
      </c>
      <c r="F208" s="130" t="n">
        <v>70.09999999999999</v>
      </c>
      <c r="G208" s="17" t="n">
        <v>21</v>
      </c>
      <c r="H208" s="132" t="n">
        <v>408</v>
      </c>
      <c r="I208" s="133" t="n">
        <v>27500</v>
      </c>
      <c r="J208" s="133" t="inlineStr">
        <is>
          <t>12</t>
        </is>
      </c>
      <c r="K208" s="133" t="n">
        <v>23000</v>
      </c>
      <c r="L208" s="133" t="inlineStr">
        <is>
          <t>14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83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반지동 반송대동</t>
        </is>
      </c>
      <c r="B209" s="75" t="inlineStr">
        <is>
          <t>91.07.</t>
        </is>
      </c>
      <c r="C209" s="129" t="n">
        <v>1292</v>
      </c>
      <c r="D209" s="130" t="n">
        <v>100.9</v>
      </c>
      <c r="E209" s="131" t="n">
        <v>31</v>
      </c>
      <c r="F209" s="130" t="n">
        <v>84.90000000000001</v>
      </c>
      <c r="G209" s="17" t="n">
        <v>26</v>
      </c>
      <c r="H209" s="132" t="n">
        <v>262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100A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101</v>
      </c>
      <c r="E210" s="131" t="n">
        <v>31</v>
      </c>
      <c r="F210" s="130" t="n">
        <v>85</v>
      </c>
      <c r="G210" s="17" t="n">
        <v>26</v>
      </c>
      <c r="H210" s="132" t="n">
        <v>472</v>
      </c>
      <c r="I210" s="133" t="n">
        <v>28000</v>
      </c>
      <c r="J210" s="133" t="inlineStr">
        <is>
          <t>중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101B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반지동 반송대동</t>
        </is>
      </c>
      <c r="B211" s="75" t="inlineStr">
        <is>
          <t>91.07.</t>
        </is>
      </c>
      <c r="C211" s="129" t="n">
        <v>1292</v>
      </c>
      <c r="D211" s="130" t="n">
        <v>143.4</v>
      </c>
      <c r="E211" s="131" t="n">
        <v>43</v>
      </c>
      <c r="F211" s="130" t="n">
        <v>120.7</v>
      </c>
      <c r="G211" s="17" t="n">
        <v>36</v>
      </c>
      <c r="H211" s="132" t="n">
        <v>60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143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반지동 반송대동</t>
        </is>
      </c>
      <c r="B212" s="75" t="inlineStr">
        <is>
          <t>91.07.</t>
        </is>
      </c>
      <c r="C212" s="129" t="n">
        <v>1292</v>
      </c>
      <c r="D212" s="130" t="n">
        <v>147.1</v>
      </c>
      <c r="E212" s="131" t="n">
        <v>44</v>
      </c>
      <c r="F212" s="130" t="n">
        <v>123.7</v>
      </c>
      <c r="G212" s="17" t="n">
        <v>37</v>
      </c>
      <c r="H212" s="132" t="n">
        <v>90</v>
      </c>
      <c r="I212" s="133" t="n">
        <v>46000</v>
      </c>
      <c r="J212" s="133" t="inlineStr">
        <is>
          <t>고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147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사파동 삼익1차</t>
        </is>
      </c>
      <c r="B213" s="75" t="inlineStr">
        <is>
          <t>88.09.</t>
        </is>
      </c>
      <c r="C213" s="129" t="n">
        <v>570</v>
      </c>
      <c r="D213" s="130" t="n">
        <v>48.7</v>
      </c>
      <c r="E213" s="131" t="n">
        <v>15</v>
      </c>
      <c r="F213" s="130" t="n">
        <v>39.9</v>
      </c>
      <c r="G213" s="17" t="n">
        <v>12</v>
      </c>
      <c r="H213" s="132" t="n">
        <v>120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48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사파동 삼익1차</t>
        </is>
      </c>
      <c r="B214" s="75" t="inlineStr">
        <is>
          <t>88.09.</t>
        </is>
      </c>
      <c r="C214" s="129" t="n">
        <v>570</v>
      </c>
      <c r="D214" s="130" t="n">
        <v>59.8</v>
      </c>
      <c r="E214" s="131" t="n">
        <v>18</v>
      </c>
      <c r="F214" s="130" t="n">
        <v>49.8</v>
      </c>
      <c r="G214" s="17" t="n">
        <v>15</v>
      </c>
      <c r="H214" s="132" t="n">
        <v>200</v>
      </c>
      <c r="I214" s="133" t="n">
        <v>40000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n">
        <v>59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70.90000000000001</v>
      </c>
      <c r="E215" s="131" t="n">
        <v>21</v>
      </c>
      <c r="F215" s="130" t="n">
        <v>60</v>
      </c>
      <c r="G215" s="17" t="n">
        <v>18</v>
      </c>
      <c r="H215" s="132" t="n">
        <v>220</v>
      </c>
      <c r="I215" s="133" t="n"/>
      <c r="J215" s="133" t="n"/>
      <c r="K215" s="133" t="n">
        <v>20000</v>
      </c>
      <c r="L215" s="133" t="inlineStr">
        <is>
          <t>5</t>
        </is>
      </c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70B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사파동 삼익1차</t>
        </is>
      </c>
      <c r="B216" s="75" t="inlineStr">
        <is>
          <t>88.09.</t>
        </is>
      </c>
      <c r="C216" s="129" t="n">
        <v>570</v>
      </c>
      <c r="D216" s="130" t="n">
        <v>70.8</v>
      </c>
      <c r="E216" s="131" t="n">
        <v>21</v>
      </c>
      <c r="F216" s="130" t="n">
        <v>59.9</v>
      </c>
      <c r="G216" s="17" t="n">
        <v>18</v>
      </c>
      <c r="H216" s="132" t="n">
        <v>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inlineStr">
        <is>
          <t>70A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사파동 삼익2차</t>
        </is>
      </c>
      <c r="B217" s="75" t="inlineStr">
        <is>
          <t>89.01.</t>
        </is>
      </c>
      <c r="C217" s="129" t="n">
        <v>400</v>
      </c>
      <c r="D217" s="130" t="n">
        <v>50.9</v>
      </c>
      <c r="E217" s="131" t="n">
        <v>15</v>
      </c>
      <c r="F217" s="130" t="n">
        <v>42</v>
      </c>
      <c r="G217" s="17" t="n">
        <v>13</v>
      </c>
      <c r="H217" s="132" t="n">
        <v>20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사파동 삼익2차</t>
        </is>
      </c>
      <c r="B218" s="75" t="inlineStr">
        <is>
          <t>89.01.</t>
        </is>
      </c>
      <c r="C218" s="129" t="n">
        <v>400</v>
      </c>
      <c r="D218" s="130" t="n">
        <v>79.5</v>
      </c>
      <c r="E218" s="131" t="n">
        <v>24</v>
      </c>
      <c r="F218" s="130" t="n">
        <v>68.59999999999999</v>
      </c>
      <c r="G218" s="17" t="n">
        <v>21</v>
      </c>
      <c r="H218" s="132" t="n">
        <v>140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79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사파동 삼익2차</t>
        </is>
      </c>
      <c r="B219" s="75" t="inlineStr">
        <is>
          <t>89.01.</t>
        </is>
      </c>
      <c r="C219" s="129" t="n">
        <v>400</v>
      </c>
      <c r="D219" s="130" t="n">
        <v>91.3</v>
      </c>
      <c r="E219" s="131" t="n">
        <v>28</v>
      </c>
      <c r="F219" s="130" t="n">
        <v>79.7</v>
      </c>
      <c r="G219" s="17" t="n">
        <v>24</v>
      </c>
      <c r="H219" s="132" t="n">
        <v>200</v>
      </c>
      <c r="I219" s="133" t="n">
        <v>60000</v>
      </c>
      <c r="J219" s="133" t="inlineStr">
        <is>
          <t>5</t>
        </is>
      </c>
      <c r="K219" s="133" t="n">
        <v>25000</v>
      </c>
      <c r="L219" s="133" t="inlineStr">
        <is>
          <t>5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n">
        <v>91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사파동 삼익2차</t>
        </is>
      </c>
      <c r="B220" s="75" t="inlineStr">
        <is>
          <t>89.01.</t>
        </is>
      </c>
      <c r="C220" s="129" t="n">
        <v>400</v>
      </c>
      <c r="D220" s="130" t="n">
        <v>129.5</v>
      </c>
      <c r="E220" s="131" t="n">
        <v>39</v>
      </c>
      <c r="F220" s="130" t="n">
        <v>114.9</v>
      </c>
      <c r="G220" s="17" t="n">
        <v>35</v>
      </c>
      <c r="H220" s="132" t="n">
        <v>40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129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사파동 사파동성</t>
        </is>
      </c>
      <c r="B221" s="75" t="inlineStr">
        <is>
          <t>92.11.</t>
        </is>
      </c>
      <c r="C221" s="129" t="n">
        <v>1986</v>
      </c>
      <c r="D221" s="130" t="n">
        <v>71.5</v>
      </c>
      <c r="E221" s="131" t="n">
        <v>22</v>
      </c>
      <c r="F221" s="130" t="n">
        <v>49.5</v>
      </c>
      <c r="G221" s="17" t="n">
        <v>15</v>
      </c>
      <c r="H221" s="132" t="n">
        <v>902</v>
      </c>
      <c r="I221" s="133" t="n">
        <v>18000</v>
      </c>
      <c r="J221" s="133" t="inlineStr">
        <is>
          <t>12</t>
        </is>
      </c>
      <c r="K221" s="133" t="n">
        <v>16000</v>
      </c>
      <c r="L221" s="133" t="inlineStr">
        <is>
          <t>8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2</v>
      </c>
      <c r="R221" s="120" t="n">
        <v>1</v>
      </c>
      <c r="S221" s="120" t="inlineStr">
        <is>
          <t>복</t>
        </is>
      </c>
      <c r="T221" s="5" t="n">
        <v>71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사파동 사파동성</t>
        </is>
      </c>
      <c r="B222" s="75" t="inlineStr">
        <is>
          <t>92.11.</t>
        </is>
      </c>
      <c r="C222" s="129" t="n">
        <v>1986</v>
      </c>
      <c r="D222" s="130" t="n">
        <v>75.59999999999999</v>
      </c>
      <c r="E222" s="131" t="n">
        <v>23</v>
      </c>
      <c r="F222" s="130" t="n">
        <v>59.9</v>
      </c>
      <c r="G222" s="17" t="n">
        <v>18</v>
      </c>
      <c r="H222" s="132" t="n">
        <v>370</v>
      </c>
      <c r="I222" s="133" t="n">
        <v>23900</v>
      </c>
      <c r="J222" s="133" t="inlineStr">
        <is>
          <t>7</t>
        </is>
      </c>
      <c r="K222" s="133" t="n">
        <v>22000</v>
      </c>
      <c r="L222" s="133" t="inlineStr">
        <is>
          <t>12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n">
        <v>75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사파동 사파동성</t>
        </is>
      </c>
      <c r="B223" s="75" t="inlineStr">
        <is>
          <t>92.11.</t>
        </is>
      </c>
      <c r="C223" s="129" t="n">
        <v>1986</v>
      </c>
      <c r="D223" s="130" t="n">
        <v>103</v>
      </c>
      <c r="E223" s="131" t="n">
        <v>31</v>
      </c>
      <c r="F223" s="130" t="n">
        <v>84.7</v>
      </c>
      <c r="G223" s="17" t="n">
        <v>26</v>
      </c>
      <c r="H223" s="132" t="n">
        <v>504</v>
      </c>
      <c r="I223" s="133" t="n">
        <v>33500</v>
      </c>
      <c r="J223" s="133" t="inlineStr">
        <is>
          <t>5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102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사파동 사파동성</t>
        </is>
      </c>
      <c r="B224" s="75" t="inlineStr">
        <is>
          <t>92.11.</t>
        </is>
      </c>
      <c r="C224" s="129" t="n">
        <v>1986</v>
      </c>
      <c r="D224" s="130" t="n">
        <v>154.8</v>
      </c>
      <c r="E224" s="131" t="n">
        <v>47</v>
      </c>
      <c r="F224" s="130" t="n">
        <v>133.6</v>
      </c>
      <c r="G224" s="17" t="n">
        <v>40</v>
      </c>
      <c r="H224" s="132" t="n">
        <v>210</v>
      </c>
      <c r="I224" s="133" t="n">
        <v>40000</v>
      </c>
      <c r="J224" s="133" t="inlineStr">
        <is>
          <t>16</t>
        </is>
      </c>
      <c r="K224" s="133" t="n">
        <v>30000</v>
      </c>
      <c r="L224" s="133" t="inlineStr">
        <is>
          <t>15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사파동 대동1차</t>
        </is>
      </c>
      <c r="B225" s="75" t="inlineStr">
        <is>
          <t>88.06.</t>
        </is>
      </c>
      <c r="C225" s="129" t="n">
        <v>400</v>
      </c>
      <c r="D225" s="130" t="n">
        <v>55.3</v>
      </c>
      <c r="E225" s="131" t="n">
        <v>17</v>
      </c>
      <c r="F225" s="130" t="n">
        <v>45.7</v>
      </c>
      <c r="G225" s="17" t="n">
        <v>14</v>
      </c>
      <c r="H225" s="132" t="n">
        <v>110</v>
      </c>
      <c r="I225" s="133" t="n">
        <v>30000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55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사파동 대동1차</t>
        </is>
      </c>
      <c r="B226" s="75" t="inlineStr">
        <is>
          <t>88.06.</t>
        </is>
      </c>
      <c r="C226" s="129" t="n">
        <v>400</v>
      </c>
      <c r="D226" s="130" t="n">
        <v>60.7</v>
      </c>
      <c r="E226" s="131" t="n">
        <v>18</v>
      </c>
      <c r="F226" s="130" t="n">
        <v>50.3</v>
      </c>
      <c r="G226" s="17" t="n">
        <v>15</v>
      </c>
      <c r="H226" s="132" t="n">
        <v>172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n">
        <v>60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사파동 대동1차</t>
        </is>
      </c>
      <c r="B227" s="75" t="inlineStr">
        <is>
          <t>88.06.</t>
        </is>
      </c>
      <c r="C227" s="129" t="n">
        <v>400</v>
      </c>
      <c r="D227" s="130" t="n">
        <v>63.4</v>
      </c>
      <c r="E227" s="131" t="n">
        <v>19</v>
      </c>
      <c r="F227" s="130" t="n">
        <v>52.8</v>
      </c>
      <c r="G227" s="17" t="n">
        <v>16</v>
      </c>
      <c r="H227" s="132" t="n">
        <v>118</v>
      </c>
      <c r="I227" s="133" t="n">
        <v>38000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1</v>
      </c>
      <c r="S227" s="120" t="inlineStr">
        <is>
          <t>계</t>
        </is>
      </c>
      <c r="T227" s="5" t="n">
        <v>63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사파동 대동2차</t>
        </is>
      </c>
      <c r="B228" s="75" t="inlineStr">
        <is>
          <t>89.09.</t>
        </is>
      </c>
      <c r="C228" s="129" t="n">
        <v>470</v>
      </c>
      <c r="D228" s="130" t="n">
        <v>54.7</v>
      </c>
      <c r="E228" s="131" t="n">
        <v>17</v>
      </c>
      <c r="F228" s="130" t="n">
        <v>44</v>
      </c>
      <c r="G228" s="17" t="n">
        <v>13</v>
      </c>
      <c r="H228" s="132" t="n">
        <v>50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54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사파동 대동2차</t>
        </is>
      </c>
      <c r="B229" s="75" t="inlineStr">
        <is>
          <t>89.09.</t>
        </is>
      </c>
      <c r="C229" s="129" t="n">
        <v>470</v>
      </c>
      <c r="D229" s="130" t="n">
        <v>61.5</v>
      </c>
      <c r="E229" s="131" t="n">
        <v>19</v>
      </c>
      <c r="F229" s="130" t="n">
        <v>50.3</v>
      </c>
      <c r="G229" s="17" t="n">
        <v>15</v>
      </c>
      <c r="H229" s="132" t="n">
        <v>50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1</v>
      </c>
      <c r="S229" s="120" t="inlineStr">
        <is>
          <t>계</t>
        </is>
      </c>
      <c r="T229" s="5" t="n">
        <v>61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사파동 대동2차</t>
        </is>
      </c>
      <c r="B230" s="75" t="inlineStr">
        <is>
          <t>89.09.</t>
        </is>
      </c>
      <c r="C230" s="129" t="n">
        <v>470</v>
      </c>
      <c r="D230" s="130" t="n">
        <v>82.40000000000001</v>
      </c>
      <c r="E230" s="131" t="n">
        <v>25</v>
      </c>
      <c r="F230" s="130" t="n">
        <v>69.3</v>
      </c>
      <c r="G230" s="17" t="n">
        <v>21</v>
      </c>
      <c r="H230" s="132" t="n">
        <v>130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82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사파동 대동2차</t>
        </is>
      </c>
      <c r="B231" s="75" t="inlineStr">
        <is>
          <t>89.09.</t>
        </is>
      </c>
      <c r="C231" s="129" t="n">
        <v>470</v>
      </c>
      <c r="D231" s="130" t="n">
        <v>85.2</v>
      </c>
      <c r="E231" s="131" t="n">
        <v>26</v>
      </c>
      <c r="F231" s="130" t="n">
        <v>70.09999999999999</v>
      </c>
      <c r="G231" s="17" t="n">
        <v>21</v>
      </c>
      <c r="H231" s="132" t="n">
        <v>40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85</v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사파동 대동2차</t>
        </is>
      </c>
      <c r="B232" s="75" t="inlineStr">
        <is>
          <t>89.09.</t>
        </is>
      </c>
      <c r="C232" s="129" t="n">
        <v>470</v>
      </c>
      <c r="D232" s="130" t="n">
        <v>91.09999999999999</v>
      </c>
      <c r="E232" s="131" t="n">
        <v>28</v>
      </c>
      <c r="F232" s="130" t="n">
        <v>75.3</v>
      </c>
      <c r="G232" s="17" t="n">
        <v>23</v>
      </c>
      <c r="H232" s="132" t="n">
        <v>40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1</v>
      </c>
      <c r="S232" s="120" t="inlineStr">
        <is>
          <t>계</t>
        </is>
      </c>
      <c r="T232" s="5" t="n">
        <v>91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사파동 대동2차</t>
        </is>
      </c>
      <c r="B233" s="75" t="inlineStr">
        <is>
          <t>89.09.</t>
        </is>
      </c>
      <c r="C233" s="129" t="n">
        <v>470</v>
      </c>
      <c r="D233" s="130" t="n">
        <v>96.8</v>
      </c>
      <c r="E233" s="131" t="n">
        <v>29</v>
      </c>
      <c r="F233" s="130" t="n">
        <v>81.90000000000001</v>
      </c>
      <c r="G233" s="17" t="n">
        <v>25</v>
      </c>
      <c r="H233" s="132" t="n">
        <v>160</v>
      </c>
      <c r="I233" s="133" t="n">
        <v>58000</v>
      </c>
      <c r="J233" s="133" t="inlineStr">
        <is>
          <t>5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96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사파동 동양무궁화</t>
        </is>
      </c>
      <c r="B234" s="75" t="inlineStr">
        <is>
          <t>88.02.</t>
        </is>
      </c>
      <c r="C234" s="129" t="n">
        <v>770</v>
      </c>
      <c r="D234" s="130" t="n">
        <v>61.1</v>
      </c>
      <c r="E234" s="131" t="n">
        <v>18</v>
      </c>
      <c r="F234" s="130" t="n">
        <v>51.6</v>
      </c>
      <c r="G234" s="17" t="n">
        <v>16</v>
      </c>
      <c r="H234" s="132" t="n">
        <v>550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61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사파동 동양무궁화</t>
        </is>
      </c>
      <c r="B235" s="75" t="inlineStr">
        <is>
          <t>88.02.</t>
        </is>
      </c>
      <c r="C235" s="129" t="n">
        <v>770</v>
      </c>
      <c r="D235" s="130" t="n">
        <v>68.40000000000001</v>
      </c>
      <c r="E235" s="131" t="n">
        <v>21</v>
      </c>
      <c r="F235" s="130" t="n">
        <v>59.8</v>
      </c>
      <c r="G235" s="17" t="n">
        <v>18</v>
      </c>
      <c r="H235" s="132" t="n">
        <v>110</v>
      </c>
      <c r="I235" s="133" t="n">
        <v>40000</v>
      </c>
      <c r="J235" s="133" t="inlineStr">
        <is>
          <t>5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inlineStr">
        <is>
          <t>68B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사파동 동양무궁화</t>
        </is>
      </c>
      <c r="B236" s="75" t="inlineStr">
        <is>
          <t>88.02.</t>
        </is>
      </c>
      <c r="C236" s="129" t="n">
        <v>770</v>
      </c>
      <c r="D236" s="130" t="n">
        <v>70.8</v>
      </c>
      <c r="E236" s="131" t="n">
        <v>21</v>
      </c>
      <c r="F236" s="130" t="n">
        <v>59.6</v>
      </c>
      <c r="G236" s="17" t="n">
        <v>18</v>
      </c>
      <c r="H236" s="132" t="n">
        <v>110</v>
      </c>
      <c r="I236" s="133" t="n">
        <v>40000</v>
      </c>
      <c r="J236" s="133" t="inlineStr">
        <is>
          <t>5</t>
        </is>
      </c>
      <c r="K236" s="133" t="n">
        <v>17000</v>
      </c>
      <c r="L236" s="133" t="inlineStr">
        <is>
          <t>고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1</v>
      </c>
      <c r="S236" s="120" t="inlineStr">
        <is>
          <t>계</t>
        </is>
      </c>
      <c r="T236" s="5" t="inlineStr">
        <is>
          <t>70A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사파정동 성산반도유보라아이비파크</t>
        </is>
      </c>
      <c r="B237" s="75" t="inlineStr">
        <is>
          <t>22.03.</t>
        </is>
      </c>
      <c r="C237" s="129" t="n">
        <v>1045</v>
      </c>
      <c r="D237" s="130" t="n">
        <v>84.8</v>
      </c>
      <c r="E237" s="131" t="n">
        <v>26</v>
      </c>
      <c r="F237" s="130" t="n">
        <v>64.8</v>
      </c>
      <c r="G237" s="17" t="n">
        <v>20</v>
      </c>
      <c r="H237" s="132" t="n">
        <v>152</v>
      </c>
      <c r="I237" s="133" t="n">
        <v>45900</v>
      </c>
      <c r="J237" s="133" t="inlineStr">
        <is>
          <t>13</t>
        </is>
      </c>
      <c r="K237" s="133" t="n">
        <v>36000</v>
      </c>
      <c r="L237" s="133" t="inlineStr">
        <is>
          <t>10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84A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사파정동 성산반도유보라아이비파크</t>
        </is>
      </c>
      <c r="B238" s="75" t="inlineStr">
        <is>
          <t>22.03.</t>
        </is>
      </c>
      <c r="C238" s="129" t="n">
        <v>1045</v>
      </c>
      <c r="D238" s="130" t="n">
        <v>84.2</v>
      </c>
      <c r="E238" s="131" t="n">
        <v>25</v>
      </c>
      <c r="F238" s="130" t="n">
        <v>64.3</v>
      </c>
      <c r="G238" s="17" t="n">
        <v>19</v>
      </c>
      <c r="H238" s="132" t="n">
        <v>66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84B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사파정동 성산반도유보라아이비파크</t>
        </is>
      </c>
      <c r="B239" s="75" t="inlineStr">
        <is>
          <t>22.03.</t>
        </is>
      </c>
      <c r="C239" s="129" t="n">
        <v>1045</v>
      </c>
      <c r="D239" s="130" t="n">
        <v>102.3</v>
      </c>
      <c r="E239" s="131" t="n">
        <v>31</v>
      </c>
      <c r="F239" s="130" t="n">
        <v>79</v>
      </c>
      <c r="G239" s="17" t="n">
        <v>24</v>
      </c>
      <c r="H239" s="132" t="n">
        <v>426</v>
      </c>
      <c r="I239" s="133" t="n">
        <v>51800</v>
      </c>
      <c r="J239" s="133" t="inlineStr">
        <is>
          <t>10</t>
        </is>
      </c>
      <c r="K239" s="133" t="n">
        <v>37000</v>
      </c>
      <c r="L239" s="133" t="inlineStr">
        <is>
          <t>5</t>
        </is>
      </c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102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사파정동 성산반도유보라아이비파크</t>
        </is>
      </c>
      <c r="B240" s="75" t="inlineStr">
        <is>
          <t>22.03.</t>
        </is>
      </c>
      <c r="C240" s="129" t="n">
        <v>1045</v>
      </c>
      <c r="D240" s="130" t="n">
        <v>116.1</v>
      </c>
      <c r="E240" s="131" t="n">
        <v>35</v>
      </c>
      <c r="F240" s="130" t="n">
        <v>86.40000000000001</v>
      </c>
      <c r="G240" s="17" t="n">
        <v>26</v>
      </c>
      <c r="H240" s="132" t="n">
        <v>21</v>
      </c>
      <c r="I240" s="133" t="n">
        <v>79000</v>
      </c>
      <c r="J240" s="133" t="inlineStr">
        <is>
          <t>고</t>
        </is>
      </c>
      <c r="K240" s="133" t="n">
        <v>60000</v>
      </c>
      <c r="L240" s="133" t="inlineStr">
        <is>
          <t>15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inlineStr">
        <is>
          <t>116P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상남동 대우</t>
        </is>
      </c>
      <c r="B241" s="75" t="inlineStr">
        <is>
          <t>85.12.</t>
        </is>
      </c>
      <c r="C241" s="129" t="n">
        <v>680</v>
      </c>
      <c r="D241" s="130" t="n">
        <v>44.4</v>
      </c>
      <c r="E241" s="131" t="n">
        <v>13</v>
      </c>
      <c r="F241" s="130" t="n">
        <v>35.5</v>
      </c>
      <c r="G241" s="17" t="n">
        <v>11</v>
      </c>
      <c r="H241" s="132" t="n">
        <v>80</v>
      </c>
      <c r="I241" s="133" t="n">
        <v>32000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n">
        <v>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상남동 대우</t>
        </is>
      </c>
      <c r="B242" s="75" t="inlineStr">
        <is>
          <t>85.12.</t>
        </is>
      </c>
      <c r="C242" s="129" t="n">
        <v>680</v>
      </c>
      <c r="D242" s="130" t="n">
        <v>51.5</v>
      </c>
      <c r="E242" s="131" t="n">
        <v>16</v>
      </c>
      <c r="F242" s="130" t="n">
        <v>42.2</v>
      </c>
      <c r="G242" s="17" t="n">
        <v>13</v>
      </c>
      <c r="H242" s="132" t="n">
        <v>160</v>
      </c>
      <c r="I242" s="133" t="n">
        <v>32500</v>
      </c>
      <c r="J242" s="133" t="inlineStr">
        <is>
          <t>5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n">
        <v>51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상남동 대우</t>
        </is>
      </c>
      <c r="B243" s="75" t="inlineStr">
        <is>
          <t>85.12.</t>
        </is>
      </c>
      <c r="C243" s="129" t="n">
        <v>680</v>
      </c>
      <c r="D243" s="130" t="n">
        <v>56.8</v>
      </c>
      <c r="E243" s="131" t="n">
        <v>17</v>
      </c>
      <c r="F243" s="130" t="n">
        <v>49.1</v>
      </c>
      <c r="G243" s="17" t="n">
        <v>15</v>
      </c>
      <c r="H243" s="132" t="n">
        <v>100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2</v>
      </c>
      <c r="R243" s="120" t="n">
        <v>1</v>
      </c>
      <c r="S243" s="120" t="inlineStr">
        <is>
          <t>계</t>
        </is>
      </c>
      <c r="T243" s="5" t="n">
        <v>56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상남동 대우</t>
        </is>
      </c>
      <c r="B244" s="75" t="inlineStr">
        <is>
          <t>85.12.</t>
        </is>
      </c>
      <c r="C244" s="129" t="n">
        <v>680</v>
      </c>
      <c r="D244" s="130" t="n">
        <v>59</v>
      </c>
      <c r="E244" s="131" t="n">
        <v>18</v>
      </c>
      <c r="F244" s="130" t="n">
        <v>49.2</v>
      </c>
      <c r="G244" s="17" t="n">
        <v>15</v>
      </c>
      <c r="H244" s="132" t="n">
        <v>200</v>
      </c>
      <c r="I244" s="133" t="n">
        <v>42000</v>
      </c>
      <c r="J244" s="133" t="inlineStr">
        <is>
          <t>5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상남동 대우</t>
        </is>
      </c>
      <c r="B245" s="75" t="inlineStr">
        <is>
          <t>85.12.</t>
        </is>
      </c>
      <c r="C245" s="129" t="n">
        <v>680</v>
      </c>
      <c r="D245" s="130" t="n">
        <v>66.7</v>
      </c>
      <c r="E245" s="131" t="n">
        <v>20</v>
      </c>
      <c r="F245" s="130" t="n">
        <v>58.8</v>
      </c>
      <c r="G245" s="17" t="n">
        <v>18</v>
      </c>
      <c r="H245" s="132" t="n">
        <v>100</v>
      </c>
      <c r="I245" s="133" t="n">
        <v>50000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n">
        <v>66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상남동 대우</t>
        </is>
      </c>
      <c r="B246" s="75" t="inlineStr">
        <is>
          <t>85.12.</t>
        </is>
      </c>
      <c r="C246" s="129" t="n">
        <v>680</v>
      </c>
      <c r="D246" s="130" t="n">
        <v>82.59999999999999</v>
      </c>
      <c r="E246" s="131" t="n">
        <v>25</v>
      </c>
      <c r="F246" s="130" t="n">
        <v>73.5</v>
      </c>
      <c r="G246" s="17" t="n">
        <v>22</v>
      </c>
      <c r="H246" s="132" t="n">
        <v>30</v>
      </c>
      <c r="I246" s="133" t="n">
        <v>68000</v>
      </c>
      <c r="J246" s="133" t="inlineStr">
        <is>
          <t>중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1</v>
      </c>
      <c r="S246" s="120" t="inlineStr">
        <is>
          <t>계</t>
        </is>
      </c>
      <c r="T246" s="5" t="n">
        <v>82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상남동 대우</t>
        </is>
      </c>
      <c r="B247" s="75" t="inlineStr">
        <is>
          <t>85.12.</t>
        </is>
      </c>
      <c r="C247" s="129" t="n">
        <v>680</v>
      </c>
      <c r="D247" s="130" t="n">
        <v>130</v>
      </c>
      <c r="E247" s="131" t="n">
        <v>39</v>
      </c>
      <c r="F247" s="130" t="n">
        <v>120.1</v>
      </c>
      <c r="G247" s="17" t="n">
        <v>36</v>
      </c>
      <c r="H247" s="132" t="n">
        <v>10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130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상남동 대동</t>
        </is>
      </c>
      <c r="B248" s="75" t="inlineStr">
        <is>
          <t>94.12.</t>
        </is>
      </c>
      <c r="C248" s="129" t="n">
        <v>2810</v>
      </c>
      <c r="D248" s="130" t="n">
        <v>67.09999999999999</v>
      </c>
      <c r="E248" s="131" t="n">
        <v>20</v>
      </c>
      <c r="F248" s="130" t="n">
        <v>50</v>
      </c>
      <c r="G248" s="17" t="n">
        <v>15</v>
      </c>
      <c r="H248" s="132" t="n">
        <v>452</v>
      </c>
      <c r="I248" s="133" t="n">
        <v>25000</v>
      </c>
      <c r="J248" s="133" t="inlineStr">
        <is>
          <t>16</t>
        </is>
      </c>
      <c r="K248" s="133" t="n">
        <v>15000</v>
      </c>
      <c r="L248" s="133" t="inlineStr">
        <is>
          <t>20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2</v>
      </c>
      <c r="R248" s="120" t="n">
        <v>1</v>
      </c>
      <c r="S248" s="120" t="inlineStr">
        <is>
          <t>복</t>
        </is>
      </c>
      <c r="T248" s="5" t="n">
        <v>67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상남동 대동</t>
        </is>
      </c>
      <c r="B249" s="75" t="inlineStr">
        <is>
          <t>94.12.</t>
        </is>
      </c>
      <c r="C249" s="129" t="n">
        <v>2810</v>
      </c>
      <c r="D249" s="130" t="n">
        <v>77.40000000000001</v>
      </c>
      <c r="E249" s="131" t="n">
        <v>23</v>
      </c>
      <c r="F249" s="130" t="n">
        <v>59.3</v>
      </c>
      <c r="G249" s="17" t="n">
        <v>18</v>
      </c>
      <c r="H249" s="132" t="n">
        <v>210</v>
      </c>
      <c r="I249" s="133" t="n">
        <v>35000</v>
      </c>
      <c r="J249" s="133" t="inlineStr">
        <is>
          <t>17</t>
        </is>
      </c>
      <c r="K249" s="133" t="n">
        <v>25000</v>
      </c>
      <c r="L249" s="133" t="inlineStr">
        <is>
          <t>17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2</v>
      </c>
      <c r="R249" s="120" t="n">
        <v>1</v>
      </c>
      <c r="S249" s="120" t="inlineStr">
        <is>
          <t>계</t>
        </is>
      </c>
      <c r="T249" s="5" t="n">
        <v>77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상남동 대동</t>
        </is>
      </c>
      <c r="B250" s="75" t="inlineStr">
        <is>
          <t>94.12.</t>
        </is>
      </c>
      <c r="C250" s="129" t="n">
        <v>2810</v>
      </c>
      <c r="D250" s="130" t="n">
        <v>80.40000000000001</v>
      </c>
      <c r="E250" s="131" t="n">
        <v>24</v>
      </c>
      <c r="F250" s="130" t="n">
        <v>59.8</v>
      </c>
      <c r="G250" s="17" t="n">
        <v>18</v>
      </c>
      <c r="H250" s="132" t="n">
        <v>452</v>
      </c>
      <c r="I250" s="133" t="n">
        <v>34000</v>
      </c>
      <c r="J250" s="133" t="inlineStr">
        <is>
          <t>25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80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상남동 대동</t>
        </is>
      </c>
      <c r="B251" s="75" t="inlineStr">
        <is>
          <t>94.12.</t>
        </is>
      </c>
      <c r="C251" s="129" t="n">
        <v>2810</v>
      </c>
      <c r="D251" s="130" t="n">
        <v>105.4</v>
      </c>
      <c r="E251" s="131" t="n">
        <v>32</v>
      </c>
      <c r="F251" s="130" t="n">
        <v>84.90000000000001</v>
      </c>
      <c r="G251" s="17" t="n">
        <v>26</v>
      </c>
      <c r="H251" s="132" t="n">
        <v>890</v>
      </c>
      <c r="I251" s="133" t="n">
        <v>43800</v>
      </c>
      <c r="J251" s="133" t="inlineStr">
        <is>
          <t>10</t>
        </is>
      </c>
      <c r="K251" s="133" t="n">
        <v>30000</v>
      </c>
      <c r="L251" s="133" t="inlineStr">
        <is>
          <t>5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상남동 대동</t>
        </is>
      </c>
      <c r="B252" s="75" t="inlineStr">
        <is>
          <t>94.12.</t>
        </is>
      </c>
      <c r="C252" s="129" t="n">
        <v>2810</v>
      </c>
      <c r="D252" s="130" t="n">
        <v>138.9</v>
      </c>
      <c r="E252" s="131" t="n">
        <v>42</v>
      </c>
      <c r="F252" s="130" t="n">
        <v>115</v>
      </c>
      <c r="G252" s="17" t="n">
        <v>35</v>
      </c>
      <c r="H252" s="132" t="n">
        <v>306</v>
      </c>
      <c r="I252" s="133" t="n">
        <v>50000</v>
      </c>
      <c r="J252" s="133" t="inlineStr">
        <is>
          <t>중</t>
        </is>
      </c>
      <c r="K252" s="133" t="n">
        <v>40000</v>
      </c>
      <c r="L252" s="133" t="inlineStr">
        <is>
          <t>25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4</v>
      </c>
      <c r="R252" s="120" t="n">
        <v>2</v>
      </c>
      <c r="S252" s="120" t="inlineStr">
        <is>
          <t>계</t>
        </is>
      </c>
      <c r="T252" s="5" t="inlineStr">
        <is>
          <t>138A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상남동 대동</t>
        </is>
      </c>
      <c r="B253" s="75" t="inlineStr">
        <is>
          <t>94.12.</t>
        </is>
      </c>
      <c r="C253" s="129" t="n">
        <v>2810</v>
      </c>
      <c r="D253" s="130" t="n">
        <v>139.5</v>
      </c>
      <c r="E253" s="131" t="n">
        <v>42</v>
      </c>
      <c r="F253" s="130" t="n">
        <v>115.5</v>
      </c>
      <c r="G253" s="17" t="n">
        <v>35</v>
      </c>
      <c r="H253" s="132" t="n">
        <v>60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4</v>
      </c>
      <c r="R253" s="120" t="n">
        <v>2</v>
      </c>
      <c r="S253" s="120" t="inlineStr">
        <is>
          <t>계</t>
        </is>
      </c>
      <c r="T253" s="5" t="inlineStr">
        <is>
          <t>139B</t>
        </is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상남동 대동</t>
        </is>
      </c>
      <c r="B254" s="75" t="inlineStr">
        <is>
          <t>94.12.</t>
        </is>
      </c>
      <c r="C254" s="129" t="n">
        <v>2810</v>
      </c>
      <c r="D254" s="130" t="n">
        <v>140.8</v>
      </c>
      <c r="E254" s="131" t="n">
        <v>43</v>
      </c>
      <c r="F254" s="130" t="n">
        <v>116.6</v>
      </c>
      <c r="G254" s="17" t="n">
        <v>35</v>
      </c>
      <c r="H254" s="132" t="n">
        <v>110</v>
      </c>
      <c r="I254" s="133" t="n">
        <v>53000</v>
      </c>
      <c r="J254" s="133" t="inlineStr">
        <is>
          <t>중</t>
        </is>
      </c>
      <c r="K254" s="133" t="n">
        <v>38000</v>
      </c>
      <c r="L254" s="133" t="inlineStr">
        <is>
          <t>중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4</v>
      </c>
      <c r="R254" s="120" t="n">
        <v>2</v>
      </c>
      <c r="S254" s="120" t="inlineStr">
        <is>
          <t>계</t>
        </is>
      </c>
      <c r="T254" s="5" t="n">
        <v>140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상남동 대동</t>
        </is>
      </c>
      <c r="B255" s="75" t="inlineStr">
        <is>
          <t>94.12.</t>
        </is>
      </c>
      <c r="C255" s="129" t="n">
        <v>2810</v>
      </c>
      <c r="D255" s="130" t="n">
        <v>157.8</v>
      </c>
      <c r="E255" s="131" t="n">
        <v>48</v>
      </c>
      <c r="F255" s="130" t="n">
        <v>132.2</v>
      </c>
      <c r="G255" s="17" t="n">
        <v>40</v>
      </c>
      <c r="H255" s="132" t="n">
        <v>130</v>
      </c>
      <c r="I255" s="133" t="n">
        <v>58500</v>
      </c>
      <c r="J255" s="133" t="inlineStr">
        <is>
          <t>중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4</v>
      </c>
      <c r="R255" s="120" t="n">
        <v>2</v>
      </c>
      <c r="S255" s="120" t="inlineStr">
        <is>
          <t>계</t>
        </is>
      </c>
      <c r="T255" s="5" t="inlineStr">
        <is>
          <t>157B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상남동 대동</t>
        </is>
      </c>
      <c r="B256" s="75" t="inlineStr">
        <is>
          <t>94.12.</t>
        </is>
      </c>
      <c r="C256" s="129" t="n">
        <v>2810</v>
      </c>
      <c r="D256" s="130" t="n">
        <v>157.8</v>
      </c>
      <c r="E256" s="131" t="n">
        <v>48</v>
      </c>
      <c r="F256" s="130" t="n">
        <v>132.2</v>
      </c>
      <c r="G256" s="17" t="n">
        <v>40</v>
      </c>
      <c r="H256" s="132" t="n">
        <v>100</v>
      </c>
      <c r="I256" s="133" t="n">
        <v>58500</v>
      </c>
      <c r="J256" s="133" t="inlineStr">
        <is>
          <t>중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4</v>
      </c>
      <c r="R256" s="120" t="n">
        <v>2</v>
      </c>
      <c r="S256" s="120" t="inlineStr">
        <is>
          <t>계</t>
        </is>
      </c>
      <c r="T256" s="5" t="inlineStr">
        <is>
          <t>157A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상남동 대동</t>
        </is>
      </c>
      <c r="B257" s="75" t="inlineStr">
        <is>
          <t>94.12.</t>
        </is>
      </c>
      <c r="C257" s="129" t="n">
        <v>2810</v>
      </c>
      <c r="D257" s="130" t="n">
        <v>193</v>
      </c>
      <c r="E257" s="131" t="n">
        <v>58</v>
      </c>
      <c r="F257" s="130" t="n">
        <v>164.7</v>
      </c>
      <c r="G257" s="17" t="n">
        <v>50</v>
      </c>
      <c r="H257" s="132" t="n">
        <v>100</v>
      </c>
      <c r="I257" s="133" t="n">
        <v>60000</v>
      </c>
      <c r="J257" s="133" t="inlineStr">
        <is>
          <t>고</t>
        </is>
      </c>
      <c r="K257" s="133" t="n">
        <v>45000</v>
      </c>
      <c r="L257" s="133" t="inlineStr">
        <is>
          <t>12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5</v>
      </c>
      <c r="R257" s="120" t="n">
        <v>2</v>
      </c>
      <c r="S257" s="120" t="inlineStr">
        <is>
          <t>계</t>
        </is>
      </c>
      <c r="T257" s="5" t="n">
        <v>192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상남동 상남꿈에그린</t>
        </is>
      </c>
      <c r="B258" s="75" t="inlineStr">
        <is>
          <t>14.09.</t>
        </is>
      </c>
      <c r="C258" s="129" t="n">
        <v>812</v>
      </c>
      <c r="D258" s="130" t="n">
        <v>100.5</v>
      </c>
      <c r="E258" s="131" t="n">
        <v>30</v>
      </c>
      <c r="F258" s="130" t="n">
        <v>72.59999999999999</v>
      </c>
      <c r="G258" s="17" t="n">
        <v>22</v>
      </c>
      <c r="H258" s="132" t="n">
        <v>86</v>
      </c>
      <c r="I258" s="133" t="n">
        <v>58500</v>
      </c>
      <c r="J258" s="133" t="inlineStr">
        <is>
          <t>19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3</v>
      </c>
      <c r="R258" s="120" t="n">
        <v>2</v>
      </c>
      <c r="S258" s="120" t="inlineStr">
        <is>
          <t>복</t>
        </is>
      </c>
      <c r="T258" s="5" t="n">
        <v>100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상남동 상남꿈에그린</t>
        </is>
      </c>
      <c r="B259" s="75" t="inlineStr">
        <is>
          <t>14.09.</t>
        </is>
      </c>
      <c r="C259" s="129" t="n">
        <v>812</v>
      </c>
      <c r="D259" s="130" t="n">
        <v>113.3</v>
      </c>
      <c r="E259" s="131" t="n">
        <v>34</v>
      </c>
      <c r="F259" s="130" t="n">
        <v>84.90000000000001</v>
      </c>
      <c r="G259" s="17" t="n">
        <v>26</v>
      </c>
      <c r="H259" s="132" t="n">
        <v>252</v>
      </c>
      <c r="I259" s="133" t="n">
        <v>62000</v>
      </c>
      <c r="J259" s="133" t="inlineStr">
        <is>
          <t>중</t>
        </is>
      </c>
      <c r="K259" s="133" t="n">
        <v>49000</v>
      </c>
      <c r="L259" s="133" t="inlineStr">
        <is>
          <t>중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113B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상남동 상남꿈에그린</t>
        </is>
      </c>
      <c r="B260" s="75" t="inlineStr">
        <is>
          <t>14.09.</t>
        </is>
      </c>
      <c r="C260" s="129" t="n">
        <v>812</v>
      </c>
      <c r="D260" s="130" t="n">
        <v>114</v>
      </c>
      <c r="E260" s="131" t="n">
        <v>34</v>
      </c>
      <c r="F260" s="130" t="n">
        <v>84.90000000000001</v>
      </c>
      <c r="G260" s="17" t="n">
        <v>26</v>
      </c>
      <c r="H260" s="132" t="n">
        <v>286</v>
      </c>
      <c r="I260" s="133" t="n">
        <v>68000</v>
      </c>
      <c r="J260" s="133" t="inlineStr">
        <is>
          <t>중</t>
        </is>
      </c>
      <c r="K260" s="133" t="n">
        <v>49000</v>
      </c>
      <c r="L260" s="133" t="inlineStr">
        <is>
          <t>중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2</v>
      </c>
      <c r="S260" s="120" t="inlineStr">
        <is>
          <t>계</t>
        </is>
      </c>
      <c r="T260" s="5" t="inlineStr">
        <is>
          <t>114A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상남동 상남꿈에그린</t>
        </is>
      </c>
      <c r="B261" s="75" t="inlineStr">
        <is>
          <t>14.09.</t>
        </is>
      </c>
      <c r="C261" s="129" t="n">
        <v>812</v>
      </c>
      <c r="D261" s="130" t="n">
        <v>129</v>
      </c>
      <c r="E261" s="131" t="n">
        <v>39</v>
      </c>
      <c r="F261" s="130" t="n">
        <v>101.7</v>
      </c>
      <c r="G261" s="17" t="n">
        <v>31</v>
      </c>
      <c r="H261" s="132" t="n">
        <v>88</v>
      </c>
      <c r="I261" s="133" t="n">
        <v>79000</v>
      </c>
      <c r="J261" s="133" t="inlineStr">
        <is>
          <t>중</t>
        </is>
      </c>
      <c r="K261" s="133" t="n">
        <v>62000</v>
      </c>
      <c r="L261" s="133" t="inlineStr">
        <is>
          <t>8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4</v>
      </c>
      <c r="R261" s="120" t="n">
        <v>2</v>
      </c>
      <c r="S261" s="120" t="inlineStr">
        <is>
          <t>계</t>
        </is>
      </c>
      <c r="T261" s="5" t="n">
        <v>129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상남동 상남꿈에그린</t>
        </is>
      </c>
      <c r="B262" s="75" t="inlineStr">
        <is>
          <t>14.09.</t>
        </is>
      </c>
      <c r="C262" s="129" t="n">
        <v>812</v>
      </c>
      <c r="D262" s="130" t="n">
        <v>156.9</v>
      </c>
      <c r="E262" s="131" t="n">
        <v>47</v>
      </c>
      <c r="F262" s="130" t="n">
        <v>124.2</v>
      </c>
      <c r="G262" s="17" t="n">
        <v>38</v>
      </c>
      <c r="H262" s="132" t="n">
        <v>100</v>
      </c>
      <c r="I262" s="133" t="n">
        <v>93000</v>
      </c>
      <c r="J262" s="133" t="inlineStr">
        <is>
          <t>중</t>
        </is>
      </c>
      <c r="K262" s="133" t="n">
        <v>80000</v>
      </c>
      <c r="L262" s="133" t="inlineStr">
        <is>
          <t>고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4</v>
      </c>
      <c r="R262" s="120" t="n">
        <v>2</v>
      </c>
      <c r="S262" s="120" t="inlineStr">
        <is>
          <t>계</t>
        </is>
      </c>
      <c r="T262" s="5" t="n">
        <v>156</v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상남동 성원(토월그랜드타운)</t>
        </is>
      </c>
      <c r="B263" s="75" t="inlineStr">
        <is>
          <t>94.06.</t>
        </is>
      </c>
      <c r="C263" s="129" t="n">
        <v>6252</v>
      </c>
      <c r="D263" s="130" t="n">
        <v>72</v>
      </c>
      <c r="E263" s="131" t="n">
        <v>22</v>
      </c>
      <c r="F263" s="130" t="n">
        <v>50</v>
      </c>
      <c r="G263" s="17" t="n">
        <v>15</v>
      </c>
      <c r="H263" s="132" t="n">
        <v>920</v>
      </c>
      <c r="I263" s="133" t="n">
        <v>19000</v>
      </c>
      <c r="J263" s="133" t="inlineStr">
        <is>
          <t>22</t>
        </is>
      </c>
      <c r="K263" s="133" t="n">
        <v>14000</v>
      </c>
      <c r="L263" s="133" t="inlineStr">
        <is>
          <t>11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복</t>
        </is>
      </c>
      <c r="T263" s="5" t="n">
        <v>71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상남동 성원(토월그랜드타운)</t>
        </is>
      </c>
      <c r="B264" s="75" t="inlineStr">
        <is>
          <t>94.06.</t>
        </is>
      </c>
      <c r="C264" s="129" t="n">
        <v>6252</v>
      </c>
      <c r="D264" s="130" t="n">
        <v>86.40000000000001</v>
      </c>
      <c r="E264" s="131" t="n">
        <v>26</v>
      </c>
      <c r="F264" s="130" t="n">
        <v>60</v>
      </c>
      <c r="G264" s="17" t="n">
        <v>18</v>
      </c>
      <c r="H264" s="132" t="n">
        <v>1500</v>
      </c>
      <c r="I264" s="133" t="n">
        <v>27300</v>
      </c>
      <c r="J264" s="133" t="inlineStr">
        <is>
          <t>고</t>
        </is>
      </c>
      <c r="K264" s="133" t="n">
        <v>20000</v>
      </c>
      <c r="L264" s="133" t="inlineStr">
        <is>
          <t>19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1</v>
      </c>
      <c r="S264" s="120" t="inlineStr">
        <is>
          <t>복</t>
        </is>
      </c>
      <c r="T264" s="5" t="n">
        <v>86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상남동 성원(토월그랜드타운)</t>
        </is>
      </c>
      <c r="B265" s="75" t="inlineStr">
        <is>
          <t>94.06.</t>
        </is>
      </c>
      <c r="C265" s="129" t="n">
        <v>6252</v>
      </c>
      <c r="D265" s="130" t="n">
        <v>107.2</v>
      </c>
      <c r="E265" s="131" t="n">
        <v>32</v>
      </c>
      <c r="F265" s="130" t="n">
        <v>84.90000000000001</v>
      </c>
      <c r="G265" s="17" t="n">
        <v>26</v>
      </c>
      <c r="H265" s="132" t="n">
        <v>1932</v>
      </c>
      <c r="I265" s="133" t="n">
        <v>43000</v>
      </c>
      <c r="J265" s="133" t="inlineStr">
        <is>
          <t>7</t>
        </is>
      </c>
      <c r="K265" s="133" t="n">
        <v>35000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3</v>
      </c>
      <c r="R265" s="120" t="n">
        <v>2</v>
      </c>
      <c r="S265" s="120" t="inlineStr">
        <is>
          <t>계</t>
        </is>
      </c>
      <c r="T265" s="5" t="inlineStr">
        <is>
          <t>107A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상남동 성원(토월그랜드타운)</t>
        </is>
      </c>
      <c r="B266" s="75" t="inlineStr">
        <is>
          <t>94.06.</t>
        </is>
      </c>
      <c r="C266" s="129" t="n">
        <v>6252</v>
      </c>
      <c r="D266" s="130" t="n">
        <v>107.2</v>
      </c>
      <c r="E266" s="131" t="n">
        <v>32</v>
      </c>
      <c r="F266" s="130" t="n">
        <v>84.90000000000001</v>
      </c>
      <c r="G266" s="17" t="n">
        <v>26</v>
      </c>
      <c r="H266" s="132" t="n">
        <v>850</v>
      </c>
      <c r="I266" s="133" t="n">
        <v>43000</v>
      </c>
      <c r="J266" s="133" t="inlineStr">
        <is>
          <t>7</t>
        </is>
      </c>
      <c r="K266" s="133" t="n">
        <v>35000</v>
      </c>
      <c r="L266" s="133" t="inlineStr">
        <is>
          <t>고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2</v>
      </c>
      <c r="S266" s="120" t="inlineStr">
        <is>
          <t>계</t>
        </is>
      </c>
      <c r="T266" s="5" t="inlineStr">
        <is>
          <t>107B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상남동 성원(토월그랜드타운)</t>
        </is>
      </c>
      <c r="B267" s="75" t="inlineStr">
        <is>
          <t>94.06.</t>
        </is>
      </c>
      <c r="C267" s="129" t="n">
        <v>6252</v>
      </c>
      <c r="D267" s="130" t="n">
        <v>132.8</v>
      </c>
      <c r="E267" s="131" t="n">
        <v>40</v>
      </c>
      <c r="F267" s="130" t="n">
        <v>108.5</v>
      </c>
      <c r="G267" s="17" t="n">
        <v>33</v>
      </c>
      <c r="H267" s="132" t="n">
        <v>700</v>
      </c>
      <c r="I267" s="133" t="n">
        <v>52000</v>
      </c>
      <c r="J267" s="133" t="inlineStr">
        <is>
          <t>중</t>
        </is>
      </c>
      <c r="K267" s="133" t="n">
        <v>37000</v>
      </c>
      <c r="L267" s="133" t="inlineStr">
        <is>
          <t>8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4</v>
      </c>
      <c r="R267" s="120" t="n">
        <v>2</v>
      </c>
      <c r="S267" s="120" t="inlineStr">
        <is>
          <t>계</t>
        </is>
      </c>
      <c r="T267" s="5" t="n">
        <v>132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상남동 성원(토월그랜드타운)</t>
        </is>
      </c>
      <c r="B268" s="75" t="inlineStr">
        <is>
          <t>94.06.</t>
        </is>
      </c>
      <c r="C268" s="129" t="n">
        <v>6252</v>
      </c>
      <c r="D268" s="130" t="n">
        <v>164.9</v>
      </c>
      <c r="E268" s="131" t="n">
        <v>50</v>
      </c>
      <c r="F268" s="130" t="n">
        <v>136.9</v>
      </c>
      <c r="G268" s="17" t="n">
        <v>41</v>
      </c>
      <c r="H268" s="132" t="n">
        <v>200</v>
      </c>
      <c r="I268" s="133" t="n">
        <v>61000</v>
      </c>
      <c r="J268" s="133" t="inlineStr">
        <is>
          <t>10</t>
        </is>
      </c>
      <c r="K268" s="133" t="n">
        <v>45000</v>
      </c>
      <c r="L268" s="133" t="inlineStr">
        <is>
          <t>22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4</v>
      </c>
      <c r="R268" s="120" t="n">
        <v>2</v>
      </c>
      <c r="S268" s="120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상남동 성원(토월그랜드타운)</t>
        </is>
      </c>
      <c r="B269" s="75" t="inlineStr">
        <is>
          <t>94.06.</t>
        </is>
      </c>
      <c r="C269" s="129" t="n">
        <v>6252</v>
      </c>
      <c r="D269" s="130" t="n">
        <v>198.2</v>
      </c>
      <c r="E269" s="131" t="n">
        <v>60</v>
      </c>
      <c r="F269" s="130" t="n">
        <v>167.6</v>
      </c>
      <c r="G269" s="17" t="n">
        <v>51</v>
      </c>
      <c r="H269" s="132" t="n">
        <v>150</v>
      </c>
      <c r="I269" s="133" t="n">
        <v>61000</v>
      </c>
      <c r="J269" s="133" t="inlineStr">
        <is>
          <t>17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6</v>
      </c>
      <c r="R269" s="120" t="n">
        <v>2</v>
      </c>
      <c r="S269" s="120" t="inlineStr">
        <is>
          <t>계</t>
        </is>
      </c>
      <c r="T269" s="5" t="n">
        <v>198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성주동 프리빌리지2차</t>
        </is>
      </c>
      <c r="B270" s="75" t="inlineStr">
        <is>
          <t>10.12.</t>
        </is>
      </c>
      <c r="C270" s="129" t="n">
        <v>672</v>
      </c>
      <c r="D270" s="130" t="n">
        <v>111.3</v>
      </c>
      <c r="E270" s="131" t="n">
        <v>34</v>
      </c>
      <c r="F270" s="130" t="n">
        <v>85</v>
      </c>
      <c r="G270" s="17" t="n">
        <v>26</v>
      </c>
      <c r="H270" s="132" t="n">
        <v>206</v>
      </c>
      <c r="I270" s="133" t="n">
        <v>50000</v>
      </c>
      <c r="J270" s="133" t="inlineStr">
        <is>
          <t>11</t>
        </is>
      </c>
      <c r="K270" s="133" t="n">
        <v>44000</v>
      </c>
      <c r="L270" s="133" t="inlineStr">
        <is>
          <t>17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inlineStr">
        <is>
          <t>111B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성주동 프리빌리지2차</t>
        </is>
      </c>
      <c r="B271" s="75" t="inlineStr">
        <is>
          <t>10.12.</t>
        </is>
      </c>
      <c r="C271" s="129" t="n">
        <v>672</v>
      </c>
      <c r="D271" s="130" t="n">
        <v>111.1</v>
      </c>
      <c r="E271" s="131" t="n">
        <v>34</v>
      </c>
      <c r="F271" s="130" t="n">
        <v>85</v>
      </c>
      <c r="G271" s="17" t="n">
        <v>26</v>
      </c>
      <c r="H271" s="132" t="n">
        <v>80</v>
      </c>
      <c r="I271" s="133" t="n">
        <v>50000</v>
      </c>
      <c r="J271" s="133" t="inlineStr">
        <is>
          <t>고</t>
        </is>
      </c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3</v>
      </c>
      <c r="R271" s="120" t="n">
        <v>2</v>
      </c>
      <c r="S271" s="120" t="inlineStr">
        <is>
          <t>계</t>
        </is>
      </c>
      <c r="T271" s="5" t="inlineStr">
        <is>
          <t>111A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성주동 프리빌리지2차</t>
        </is>
      </c>
      <c r="B272" s="75" t="inlineStr">
        <is>
          <t>10.12.</t>
        </is>
      </c>
      <c r="C272" s="129" t="n">
        <v>672</v>
      </c>
      <c r="D272" s="130" t="n">
        <v>132.5</v>
      </c>
      <c r="E272" s="131" t="n">
        <v>40</v>
      </c>
      <c r="F272" s="130" t="n">
        <v>101.9</v>
      </c>
      <c r="G272" s="17" t="n">
        <v>31</v>
      </c>
      <c r="H272" s="132" t="n">
        <v>96</v>
      </c>
      <c r="I272" s="133" t="n">
        <v>56000</v>
      </c>
      <c r="J272" s="133" t="inlineStr">
        <is>
          <t>고</t>
        </is>
      </c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3</v>
      </c>
      <c r="R272" s="120" t="n">
        <v>2</v>
      </c>
      <c r="S272" s="120" t="inlineStr">
        <is>
          <t>계</t>
        </is>
      </c>
      <c r="T272" s="5" t="n">
        <v>132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성주동 프리빌리지2차</t>
        </is>
      </c>
      <c r="B273" s="75" t="inlineStr">
        <is>
          <t>10.12.</t>
        </is>
      </c>
      <c r="C273" s="129" t="n">
        <v>672</v>
      </c>
      <c r="D273" s="130" t="n">
        <v>152.1</v>
      </c>
      <c r="E273" s="131" t="n">
        <v>46</v>
      </c>
      <c r="F273" s="130" t="n">
        <v>125</v>
      </c>
      <c r="G273" s="17" t="n">
        <v>38</v>
      </c>
      <c r="H273" s="132" t="n">
        <v>142</v>
      </c>
      <c r="I273" s="133" t="n">
        <v>60000</v>
      </c>
      <c r="J273" s="133" t="inlineStr">
        <is>
          <t>19</t>
        </is>
      </c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4</v>
      </c>
      <c r="R273" s="120" t="n">
        <v>2</v>
      </c>
      <c r="S273" s="120" t="inlineStr">
        <is>
          <t>계</t>
        </is>
      </c>
      <c r="T273" s="5" t="n">
        <v>152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성주동 프리빌리지2차</t>
        </is>
      </c>
      <c r="B274" s="75" t="inlineStr">
        <is>
          <t>10.12.</t>
        </is>
      </c>
      <c r="C274" s="129" t="n">
        <v>672</v>
      </c>
      <c r="D274" s="130" t="n">
        <v>196.2</v>
      </c>
      <c r="E274" s="131" t="n">
        <v>59</v>
      </c>
      <c r="F274" s="130" t="n">
        <v>161.8</v>
      </c>
      <c r="G274" s="17" t="n">
        <v>49</v>
      </c>
      <c r="H274" s="132" t="n">
        <v>148</v>
      </c>
      <c r="I274" s="133" t="n">
        <v>68000</v>
      </c>
      <c r="J274" s="133" t="inlineStr">
        <is>
          <t>중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4</v>
      </c>
      <c r="R274" s="120" t="n">
        <v>2</v>
      </c>
      <c r="S274" s="120" t="inlineStr">
        <is>
          <t>계</t>
        </is>
      </c>
      <c r="T274" s="5" t="n">
        <v>196</v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성주동 성주효성해링턴코트</t>
        </is>
      </c>
      <c r="B275" s="75" t="inlineStr">
        <is>
          <t>13.12.</t>
        </is>
      </c>
      <c r="C275" s="129" t="n">
        <v>365</v>
      </c>
      <c r="D275" s="130" t="n">
        <v>109.1</v>
      </c>
      <c r="E275" s="131" t="n">
        <v>33</v>
      </c>
      <c r="F275" s="130" t="n">
        <v>84.90000000000001</v>
      </c>
      <c r="G275" s="17" t="n">
        <v>26</v>
      </c>
      <c r="H275" s="132" t="n">
        <v>200</v>
      </c>
      <c r="I275" s="133" t="n">
        <v>49000</v>
      </c>
      <c r="J275" s="133" t="inlineStr">
        <is>
          <t>고</t>
        </is>
      </c>
      <c r="K275" s="133" t="n">
        <v>38000</v>
      </c>
      <c r="L275" s="133" t="inlineStr">
        <is>
          <t>고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inlineStr">
        <is>
          <t>109A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성주동 성주효성해링턴코트</t>
        </is>
      </c>
      <c r="B276" s="75" t="inlineStr">
        <is>
          <t>13.12.</t>
        </is>
      </c>
      <c r="C276" s="129" t="n">
        <v>365</v>
      </c>
      <c r="D276" s="130" t="n">
        <v>109.1</v>
      </c>
      <c r="E276" s="131" t="n">
        <v>33</v>
      </c>
      <c r="F276" s="130" t="n">
        <v>84.90000000000001</v>
      </c>
      <c r="G276" s="17" t="n">
        <v>26</v>
      </c>
      <c r="H276" s="132" t="n">
        <v>36</v>
      </c>
      <c r="I276" s="133" t="n">
        <v>49000</v>
      </c>
      <c r="J276" s="133" t="inlineStr">
        <is>
          <t>고</t>
        </is>
      </c>
      <c r="K276" s="133" t="n">
        <v>38000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3</v>
      </c>
      <c r="R276" s="120" t="n">
        <v>2</v>
      </c>
      <c r="S276" s="120" t="inlineStr">
        <is>
          <t>계</t>
        </is>
      </c>
      <c r="T276" s="5" t="inlineStr">
        <is>
          <t>109A1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성주동 성주효성해링턴코트</t>
        </is>
      </c>
      <c r="B277" s="75" t="inlineStr">
        <is>
          <t>13.12.</t>
        </is>
      </c>
      <c r="C277" s="129" t="n">
        <v>365</v>
      </c>
      <c r="D277" s="130" t="n">
        <v>109.6</v>
      </c>
      <c r="E277" s="131" t="n">
        <v>33</v>
      </c>
      <c r="F277" s="130" t="n">
        <v>84.3</v>
      </c>
      <c r="G277" s="17" t="n">
        <v>25</v>
      </c>
      <c r="H277" s="132" t="n">
        <v>24</v>
      </c>
      <c r="I277" s="133" t="n"/>
      <c r="J277" s="133" t="n"/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inlineStr">
        <is>
          <t>109B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성주동 성주효성해링턴코트</t>
        </is>
      </c>
      <c r="B278" s="75" t="inlineStr">
        <is>
          <t>13.12.</t>
        </is>
      </c>
      <c r="C278" s="129" t="n">
        <v>365</v>
      </c>
      <c r="D278" s="130" t="n">
        <v>109.6</v>
      </c>
      <c r="E278" s="131" t="n">
        <v>33</v>
      </c>
      <c r="F278" s="130" t="n">
        <v>84.3</v>
      </c>
      <c r="G278" s="17" t="n">
        <v>25</v>
      </c>
      <c r="H278" s="132" t="n">
        <v>12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inlineStr">
        <is>
          <t>109C</t>
        </is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성주동 성주효성해링턴코트</t>
        </is>
      </c>
      <c r="B279" s="75" t="inlineStr">
        <is>
          <t>13.12.</t>
        </is>
      </c>
      <c r="C279" s="129" t="n">
        <v>365</v>
      </c>
      <c r="D279" s="130" t="n">
        <v>129.4</v>
      </c>
      <c r="E279" s="131" t="n">
        <v>39</v>
      </c>
      <c r="F279" s="130" t="n">
        <v>100.4</v>
      </c>
      <c r="G279" s="17" t="n">
        <v>30</v>
      </c>
      <c r="H279" s="132" t="n">
        <v>76</v>
      </c>
      <c r="I279" s="133" t="n">
        <v>55000</v>
      </c>
      <c r="J279" s="133" t="inlineStr">
        <is>
          <t>고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n">
        <v>129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성주동 성주효성해링턴코트</t>
        </is>
      </c>
      <c r="B280" s="75" t="inlineStr">
        <is>
          <t>13.12.</t>
        </is>
      </c>
      <c r="C280" s="129" t="n">
        <v>365</v>
      </c>
      <c r="D280" s="130" t="n">
        <v>151.5</v>
      </c>
      <c r="E280" s="131" t="n">
        <v>46</v>
      </c>
      <c r="F280" s="130" t="n">
        <v>118.4</v>
      </c>
      <c r="G280" s="17" t="n">
        <v>36</v>
      </c>
      <c r="H280" s="132" t="n">
        <v>17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4</v>
      </c>
      <c r="R280" s="120" t="n">
        <v>2</v>
      </c>
      <c r="S280" s="120" t="inlineStr">
        <is>
          <t>계</t>
        </is>
      </c>
      <c r="T280" s="5" t="n">
        <v>151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성주동 유니온빌리지</t>
        </is>
      </c>
      <c r="B281" s="75" t="inlineStr">
        <is>
          <t>05.10.</t>
        </is>
      </c>
      <c r="C281" s="129" t="n">
        <v>1360</v>
      </c>
      <c r="D281" s="130" t="n">
        <v>107.9</v>
      </c>
      <c r="E281" s="131" t="n">
        <v>33</v>
      </c>
      <c r="F281" s="130" t="n">
        <v>84.90000000000001</v>
      </c>
      <c r="G281" s="17" t="n">
        <v>26</v>
      </c>
      <c r="H281" s="132" t="n">
        <v>683</v>
      </c>
      <c r="I281" s="133" t="n">
        <v>42000</v>
      </c>
      <c r="J281" s="133" t="inlineStr">
        <is>
          <t>10</t>
        </is>
      </c>
      <c r="K281" s="133" t="n">
        <v>35000</v>
      </c>
      <c r="L281" s="133" t="inlineStr">
        <is>
          <t>8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3</v>
      </c>
      <c r="R281" s="120" t="n">
        <v>2</v>
      </c>
      <c r="S281" s="120" t="inlineStr">
        <is>
          <t>계</t>
        </is>
      </c>
      <c r="T281" s="5" t="n">
        <v>107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성주동 유니온빌리지</t>
        </is>
      </c>
      <c r="B282" s="75" t="inlineStr">
        <is>
          <t>05.10.</t>
        </is>
      </c>
      <c r="C282" s="129" t="n">
        <v>1360</v>
      </c>
      <c r="D282" s="130" t="n">
        <v>133.4</v>
      </c>
      <c r="E282" s="131" t="n">
        <v>40</v>
      </c>
      <c r="F282" s="130" t="n">
        <v>102</v>
      </c>
      <c r="G282" s="17" t="n">
        <v>31</v>
      </c>
      <c r="H282" s="132" t="n">
        <v>327</v>
      </c>
      <c r="I282" s="133" t="n">
        <v>50000</v>
      </c>
      <c r="J282" s="133" t="inlineStr">
        <is>
          <t>고</t>
        </is>
      </c>
      <c r="K282" s="133" t="n">
        <v>44000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3</v>
      </c>
      <c r="R282" s="120" t="n">
        <v>2</v>
      </c>
      <c r="S282" s="120" t="inlineStr">
        <is>
          <t>계</t>
        </is>
      </c>
      <c r="T282" s="5" t="n">
        <v>133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성주동 유니온빌리지</t>
        </is>
      </c>
      <c r="B283" s="75" t="inlineStr">
        <is>
          <t>05.10.</t>
        </is>
      </c>
      <c r="C283" s="129" t="n">
        <v>1360</v>
      </c>
      <c r="D283" s="130" t="n">
        <v>163.7</v>
      </c>
      <c r="E283" s="131" t="n">
        <v>50</v>
      </c>
      <c r="F283" s="130" t="n">
        <v>130.9</v>
      </c>
      <c r="G283" s="17" t="n">
        <v>40</v>
      </c>
      <c r="H283" s="132" t="n">
        <v>118</v>
      </c>
      <c r="I283" s="133" t="n">
        <v>57500</v>
      </c>
      <c r="J283" s="133" t="inlineStr">
        <is>
          <t>16</t>
        </is>
      </c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n">
        <v>163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성주동 유니온빌리지</t>
        </is>
      </c>
      <c r="B284" s="75" t="inlineStr">
        <is>
          <t>05.10.</t>
        </is>
      </c>
      <c r="C284" s="129" t="n">
        <v>1360</v>
      </c>
      <c r="D284" s="130" t="n">
        <v>184.4</v>
      </c>
      <c r="E284" s="131" t="n">
        <v>56</v>
      </c>
      <c r="F284" s="130" t="n">
        <v>148</v>
      </c>
      <c r="G284" s="17" t="n">
        <v>45</v>
      </c>
      <c r="H284" s="132" t="n">
        <v>152</v>
      </c>
      <c r="I284" s="133" t="n">
        <v>63000</v>
      </c>
      <c r="J284" s="133" t="inlineStr">
        <is>
          <t>중</t>
        </is>
      </c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n">
        <v>184</v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성주동 유니온빌리지</t>
        </is>
      </c>
      <c r="B285" s="75" t="inlineStr">
        <is>
          <t>05.10.</t>
        </is>
      </c>
      <c r="C285" s="129" t="n">
        <v>1360</v>
      </c>
      <c r="D285" s="130" t="n">
        <v>221.1</v>
      </c>
      <c r="E285" s="131" t="n">
        <v>67</v>
      </c>
      <c r="F285" s="130" t="n">
        <v>181.5</v>
      </c>
      <c r="G285" s="17" t="n">
        <v>55</v>
      </c>
      <c r="H285" s="132" t="n">
        <v>80</v>
      </c>
      <c r="I285" s="133" t="n">
        <v>87000</v>
      </c>
      <c r="J285" s="133" t="inlineStr">
        <is>
          <t>12</t>
        </is>
      </c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5</v>
      </c>
      <c r="R285" s="120" t="n">
        <v>2</v>
      </c>
      <c r="S285" s="120" t="inlineStr">
        <is>
          <t>계</t>
        </is>
      </c>
      <c r="T285" s="5" t="n">
        <v>221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성주동 한림푸르지오</t>
        </is>
      </c>
      <c r="B286" s="75" t="inlineStr">
        <is>
          <t>03.12.</t>
        </is>
      </c>
      <c r="C286" s="129" t="n">
        <v>520</v>
      </c>
      <c r="D286" s="130" t="n">
        <v>110.4</v>
      </c>
      <c r="E286" s="131" t="n">
        <v>33</v>
      </c>
      <c r="F286" s="130" t="n">
        <v>84.90000000000001</v>
      </c>
      <c r="G286" s="17" t="n">
        <v>26</v>
      </c>
      <c r="H286" s="132" t="n">
        <v>280</v>
      </c>
      <c r="I286" s="133" t="n">
        <v>52000</v>
      </c>
      <c r="J286" s="133" t="inlineStr">
        <is>
          <t>10</t>
        </is>
      </c>
      <c r="K286" s="133" t="n">
        <v>50000</v>
      </c>
      <c r="L286" s="133" t="inlineStr">
        <is>
          <t>18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110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성주동 한림푸르지오</t>
        </is>
      </c>
      <c r="B287" s="75" t="inlineStr">
        <is>
          <t>03.12.</t>
        </is>
      </c>
      <c r="C287" s="129" t="n">
        <v>520</v>
      </c>
      <c r="D287" s="130" t="n">
        <v>126</v>
      </c>
      <c r="E287" s="131" t="n">
        <v>38</v>
      </c>
      <c r="F287" s="130" t="n">
        <v>101.9</v>
      </c>
      <c r="G287" s="17" t="n">
        <v>31</v>
      </c>
      <c r="H287" s="132" t="n">
        <v>120</v>
      </c>
      <c r="I287" s="133" t="n">
        <v>61000</v>
      </c>
      <c r="J287" s="133" t="inlineStr">
        <is>
          <t>고</t>
        </is>
      </c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n">
        <v>126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성주동 한림푸르지오</t>
        </is>
      </c>
      <c r="B288" s="75" t="inlineStr">
        <is>
          <t>03.12.</t>
        </is>
      </c>
      <c r="C288" s="129" t="n">
        <v>520</v>
      </c>
      <c r="D288" s="130" t="n">
        <v>169.7</v>
      </c>
      <c r="E288" s="131" t="n">
        <v>51</v>
      </c>
      <c r="F288" s="130" t="n">
        <v>140.7</v>
      </c>
      <c r="G288" s="17" t="n">
        <v>43</v>
      </c>
      <c r="H288" s="132" t="n">
        <v>80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4</v>
      </c>
      <c r="R288" s="120" t="n">
        <v>2</v>
      </c>
      <c r="S288" s="120" t="inlineStr">
        <is>
          <t>계</t>
        </is>
      </c>
      <c r="T288" s="5" t="n">
        <v>169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성주동 한림푸르지오</t>
        </is>
      </c>
      <c r="B289" s="75" t="inlineStr">
        <is>
          <t>03.12.</t>
        </is>
      </c>
      <c r="C289" s="129" t="n">
        <v>520</v>
      </c>
      <c r="D289" s="130" t="n">
        <v>216.5</v>
      </c>
      <c r="E289" s="131" t="n">
        <v>66</v>
      </c>
      <c r="F289" s="130" t="n">
        <v>186.1</v>
      </c>
      <c r="G289" s="17" t="n">
        <v>56</v>
      </c>
      <c r="H289" s="132" t="n">
        <v>40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5</v>
      </c>
      <c r="R289" s="120" t="n">
        <v>2</v>
      </c>
      <c r="S289" s="120" t="inlineStr">
        <is>
          <t>계</t>
        </is>
      </c>
      <c r="T289" s="5" t="n">
        <v>216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성주동 프리빌리지</t>
        </is>
      </c>
      <c r="B290" s="75" t="inlineStr">
        <is>
          <t>03.10.</t>
        </is>
      </c>
      <c r="C290" s="129" t="n">
        <v>1062</v>
      </c>
      <c r="D290" s="130" t="n">
        <v>110.2</v>
      </c>
      <c r="E290" s="131" t="n">
        <v>33</v>
      </c>
      <c r="F290" s="130" t="n">
        <v>84.90000000000001</v>
      </c>
      <c r="G290" s="17" t="n">
        <v>26</v>
      </c>
      <c r="H290" s="132" t="n">
        <v>554</v>
      </c>
      <c r="I290" s="133" t="n">
        <v>51000</v>
      </c>
      <c r="J290" s="133" t="inlineStr">
        <is>
          <t>20</t>
        </is>
      </c>
      <c r="K290" s="133" t="n">
        <v>45000</v>
      </c>
      <c r="L290" s="133" t="inlineStr">
        <is>
          <t>15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2</v>
      </c>
      <c r="S290" s="120" t="inlineStr">
        <is>
          <t>계</t>
        </is>
      </c>
      <c r="T290" s="5" t="n">
        <v>110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성주동 프리빌리지</t>
        </is>
      </c>
      <c r="B291" s="75" t="inlineStr">
        <is>
          <t>03.10.</t>
        </is>
      </c>
      <c r="C291" s="129" t="n">
        <v>1062</v>
      </c>
      <c r="D291" s="130" t="n">
        <v>128.8</v>
      </c>
      <c r="E291" s="131" t="n">
        <v>39</v>
      </c>
      <c r="F291" s="130" t="n">
        <v>102</v>
      </c>
      <c r="G291" s="17" t="n">
        <v>31</v>
      </c>
      <c r="H291" s="132" t="n">
        <v>240</v>
      </c>
      <c r="I291" s="133" t="n">
        <v>54000</v>
      </c>
      <c r="J291" s="133" t="inlineStr">
        <is>
          <t>20</t>
        </is>
      </c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128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성주동 프리빌리지</t>
        </is>
      </c>
      <c r="B292" s="75" t="inlineStr">
        <is>
          <t>03.10.</t>
        </is>
      </c>
      <c r="C292" s="129" t="n">
        <v>1062</v>
      </c>
      <c r="D292" s="130" t="n">
        <v>150.5</v>
      </c>
      <c r="E292" s="131" t="n">
        <v>46</v>
      </c>
      <c r="F292" s="130" t="n">
        <v>124.9</v>
      </c>
      <c r="G292" s="17" t="n">
        <v>38</v>
      </c>
      <c r="H292" s="132" t="n">
        <v>40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150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성주동 프리빌리지</t>
        </is>
      </c>
      <c r="B293" s="75" t="inlineStr">
        <is>
          <t>03.10.</t>
        </is>
      </c>
      <c r="C293" s="129" t="n">
        <v>1062</v>
      </c>
      <c r="D293" s="130" t="n">
        <v>165.8</v>
      </c>
      <c r="E293" s="131" t="n">
        <v>50</v>
      </c>
      <c r="F293" s="130" t="n">
        <v>134.9</v>
      </c>
      <c r="G293" s="17" t="n">
        <v>41</v>
      </c>
      <c r="H293" s="132" t="n">
        <v>188</v>
      </c>
      <c r="I293" s="133" t="n">
        <v>63000</v>
      </c>
      <c r="J293" s="133" t="inlineStr">
        <is>
          <t>9</t>
        </is>
      </c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4</v>
      </c>
      <c r="R293" s="120" t="n">
        <v>2</v>
      </c>
      <c r="S293" s="120" t="inlineStr">
        <is>
          <t>계</t>
        </is>
      </c>
      <c r="T293" s="5" t="n">
        <v>165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성주동 프리빌리지</t>
        </is>
      </c>
      <c r="B294" s="75" t="inlineStr">
        <is>
          <t>03.10.</t>
        </is>
      </c>
      <c r="C294" s="129" t="n">
        <v>1062</v>
      </c>
      <c r="D294" s="130" t="n">
        <v>195.3</v>
      </c>
      <c r="E294" s="131" t="n">
        <v>59</v>
      </c>
      <c r="F294" s="130" t="n">
        <v>160.3</v>
      </c>
      <c r="G294" s="17" t="n">
        <v>48</v>
      </c>
      <c r="H294" s="132" t="n">
        <v>40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4</v>
      </c>
      <c r="R294" s="120" t="n">
        <v>2</v>
      </c>
      <c r="S294" s="120" t="inlineStr">
        <is>
          <t>계</t>
        </is>
      </c>
      <c r="T294" s="5" t="n">
        <v>195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신월동 은아</t>
        </is>
      </c>
      <c r="B295" s="75" t="inlineStr">
        <is>
          <t>88.07.</t>
        </is>
      </c>
      <c r="C295" s="129" t="n">
        <v>1550</v>
      </c>
      <c r="D295" s="130" t="n">
        <v>68.8</v>
      </c>
      <c r="E295" s="131" t="n">
        <v>21</v>
      </c>
      <c r="F295" s="130" t="n">
        <v>59</v>
      </c>
      <c r="G295" s="17" t="n">
        <v>18</v>
      </c>
      <c r="H295" s="132" t="n">
        <v>50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2</v>
      </c>
      <c r="R295" s="120" t="n">
        <v>1</v>
      </c>
      <c r="S295" s="120" t="inlineStr">
        <is>
          <t>계</t>
        </is>
      </c>
      <c r="T295" s="5" t="inlineStr">
        <is>
          <t>68A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신월동 은아</t>
        </is>
      </c>
      <c r="B296" s="75" t="inlineStr">
        <is>
          <t>88.07.</t>
        </is>
      </c>
      <c r="C296" s="129" t="n">
        <v>1550</v>
      </c>
      <c r="D296" s="130" t="n">
        <v>70.3</v>
      </c>
      <c r="E296" s="131" t="n">
        <v>21</v>
      </c>
      <c r="F296" s="130" t="n">
        <v>60.4</v>
      </c>
      <c r="G296" s="17" t="n">
        <v>18</v>
      </c>
      <c r="H296" s="132" t="n">
        <v>240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계</t>
        </is>
      </c>
      <c r="T296" s="5" t="inlineStr">
        <is>
          <t>70B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신월동 은아</t>
        </is>
      </c>
      <c r="B297" s="75" t="inlineStr">
        <is>
          <t>88.07.</t>
        </is>
      </c>
      <c r="C297" s="129" t="n">
        <v>1550</v>
      </c>
      <c r="D297" s="130" t="n">
        <v>84.90000000000001</v>
      </c>
      <c r="E297" s="131" t="n">
        <v>26</v>
      </c>
      <c r="F297" s="130" t="n">
        <v>74.2</v>
      </c>
      <c r="G297" s="17" t="n">
        <v>22</v>
      </c>
      <c r="H297" s="132" t="n">
        <v>220</v>
      </c>
      <c r="I297" s="133" t="n">
        <v>60000</v>
      </c>
      <c r="J297" s="133" t="inlineStr">
        <is>
          <t>중</t>
        </is>
      </c>
      <c r="K297" s="133" t="n">
        <v>16500</v>
      </c>
      <c r="L297" s="133" t="inlineStr">
        <is>
          <t>중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n">
        <v>84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신월동 은아</t>
        </is>
      </c>
      <c r="B298" s="75" t="inlineStr">
        <is>
          <t>88.07.</t>
        </is>
      </c>
      <c r="C298" s="129" t="n">
        <v>1550</v>
      </c>
      <c r="D298" s="130" t="n">
        <v>91</v>
      </c>
      <c r="E298" s="131" t="n">
        <v>28</v>
      </c>
      <c r="F298" s="130" t="n">
        <v>79.8</v>
      </c>
      <c r="G298" s="17" t="n">
        <v>24</v>
      </c>
      <c r="H298" s="132" t="n">
        <v>230</v>
      </c>
      <c r="I298" s="133" t="n">
        <v>62000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n">
        <v>90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신월동 은아</t>
        </is>
      </c>
      <c r="B299" s="75" t="inlineStr">
        <is>
          <t>88.07.</t>
        </is>
      </c>
      <c r="C299" s="129" t="n">
        <v>1550</v>
      </c>
      <c r="D299" s="130" t="n">
        <v>96.7</v>
      </c>
      <c r="E299" s="131" t="n">
        <v>29</v>
      </c>
      <c r="F299" s="130" t="n">
        <v>84.8</v>
      </c>
      <c r="G299" s="17" t="n">
        <v>26</v>
      </c>
      <c r="H299" s="132" t="n">
        <v>460</v>
      </c>
      <c r="I299" s="133" t="n">
        <v>75000</v>
      </c>
      <c r="J299" s="133" t="inlineStr">
        <is>
          <t>5</t>
        </is>
      </c>
      <c r="K299" s="133" t="n">
        <v>25000</v>
      </c>
      <c r="L299" s="133" t="inlineStr">
        <is>
          <t>5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1</v>
      </c>
      <c r="S299" s="120" t="inlineStr">
        <is>
          <t>계</t>
        </is>
      </c>
      <c r="T299" s="5" t="inlineStr">
        <is>
          <t>96B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신월동 은아</t>
        </is>
      </c>
      <c r="B300" s="75" t="inlineStr">
        <is>
          <t>88.07.</t>
        </is>
      </c>
      <c r="C300" s="129" t="n">
        <v>1550</v>
      </c>
      <c r="D300" s="130" t="n">
        <v>96.59999999999999</v>
      </c>
      <c r="E300" s="131" t="n">
        <v>29</v>
      </c>
      <c r="F300" s="130" t="n">
        <v>84.5</v>
      </c>
      <c r="G300" s="17" t="n">
        <v>26</v>
      </c>
      <c r="H300" s="132" t="n">
        <v>120</v>
      </c>
      <c r="I300" s="133" t="n">
        <v>75000</v>
      </c>
      <c r="J300" s="133" t="inlineStr">
        <is>
          <t>고</t>
        </is>
      </c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1</v>
      </c>
      <c r="S300" s="120" t="inlineStr">
        <is>
          <t>계</t>
        </is>
      </c>
      <c r="T300" s="5" t="inlineStr">
        <is>
          <t>96A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신월동 은아</t>
        </is>
      </c>
      <c r="B301" s="75" t="inlineStr">
        <is>
          <t>88.07.</t>
        </is>
      </c>
      <c r="C301" s="129" t="n">
        <v>1550</v>
      </c>
      <c r="D301" s="130" t="n">
        <v>126</v>
      </c>
      <c r="E301" s="131" t="n">
        <v>38</v>
      </c>
      <c r="F301" s="130" t="n">
        <v>111.6</v>
      </c>
      <c r="G301" s="17" t="n">
        <v>34</v>
      </c>
      <c r="H301" s="132" t="n">
        <v>160</v>
      </c>
      <c r="I301" s="133" t="n">
        <v>90000</v>
      </c>
      <c r="J301" s="133" t="inlineStr">
        <is>
          <t>고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n">
        <v>125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신월동 은아</t>
        </is>
      </c>
      <c r="B302" s="75" t="inlineStr">
        <is>
          <t>88.07.</t>
        </is>
      </c>
      <c r="C302" s="129" t="n">
        <v>1550</v>
      </c>
      <c r="D302" s="130" t="n">
        <v>150.2</v>
      </c>
      <c r="E302" s="131" t="n">
        <v>45</v>
      </c>
      <c r="F302" s="130" t="n">
        <v>134.1</v>
      </c>
      <c r="G302" s="17" t="n">
        <v>41</v>
      </c>
      <c r="H302" s="132" t="n">
        <v>50</v>
      </c>
      <c r="I302" s="133" t="n">
        <v>120000</v>
      </c>
      <c r="J302" s="133" t="inlineStr">
        <is>
          <t>5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n">
        <v>150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신월동 은아</t>
        </is>
      </c>
      <c r="B303" s="75" t="inlineStr">
        <is>
          <t>88.07.</t>
        </is>
      </c>
      <c r="C303" s="129" t="n">
        <v>1550</v>
      </c>
      <c r="D303" s="130" t="n">
        <v>189.1</v>
      </c>
      <c r="E303" s="131" t="n">
        <v>57</v>
      </c>
      <c r="F303" s="130" t="n">
        <v>170.3</v>
      </c>
      <c r="G303" s="17" t="n">
        <v>52</v>
      </c>
      <c r="H303" s="132" t="n">
        <v>20</v>
      </c>
      <c r="I303" s="133" t="n">
        <v>150000</v>
      </c>
      <c r="J303" s="133" t="inlineStr">
        <is>
          <t>중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5</v>
      </c>
      <c r="R303" s="120" t="n">
        <v>2</v>
      </c>
      <c r="S303" s="120" t="inlineStr">
        <is>
          <t>계</t>
        </is>
      </c>
      <c r="T303" s="5" t="n">
        <v>189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신월동 주공</t>
        </is>
      </c>
      <c r="B304" s="75" t="inlineStr">
        <is>
          <t>87.10.</t>
        </is>
      </c>
      <c r="C304" s="129" t="n">
        <v>1500</v>
      </c>
      <c r="D304" s="130" t="n">
        <v>45.1</v>
      </c>
      <c r="E304" s="131" t="n">
        <v>14</v>
      </c>
      <c r="F304" s="130" t="n">
        <v>39.7</v>
      </c>
      <c r="G304" s="17" t="n">
        <v>12</v>
      </c>
      <c r="H304" s="132" t="n">
        <v>870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2</v>
      </c>
      <c r="R304" s="120" t="n">
        <v>1</v>
      </c>
      <c r="S304" s="120" t="inlineStr">
        <is>
          <t>계</t>
        </is>
      </c>
      <c r="T304" s="5" t="n">
        <v>45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신월동 주공</t>
        </is>
      </c>
      <c r="B305" s="75" t="inlineStr">
        <is>
          <t>87.10.</t>
        </is>
      </c>
      <c r="C305" s="129" t="n">
        <v>1500</v>
      </c>
      <c r="D305" s="130" t="n">
        <v>52.5</v>
      </c>
      <c r="E305" s="131" t="n">
        <v>16</v>
      </c>
      <c r="F305" s="130" t="n">
        <v>47.1</v>
      </c>
      <c r="G305" s="17" t="n">
        <v>14</v>
      </c>
      <c r="H305" s="132" t="n">
        <v>120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2</v>
      </c>
      <c r="R305" s="120" t="n">
        <v>1</v>
      </c>
      <c r="S305" s="120" t="inlineStr">
        <is>
          <t>계</t>
        </is>
      </c>
      <c r="T305" s="5" t="inlineStr">
        <is>
          <t>52B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신월동 주공</t>
        </is>
      </c>
      <c r="B306" s="75" t="inlineStr">
        <is>
          <t>87.10.</t>
        </is>
      </c>
      <c r="C306" s="129" t="n">
        <v>1500</v>
      </c>
      <c r="D306" s="130" t="n">
        <v>52.1</v>
      </c>
      <c r="E306" s="131" t="n">
        <v>16</v>
      </c>
      <c r="F306" s="130" t="n">
        <v>46.7</v>
      </c>
      <c r="G306" s="17" t="n">
        <v>14</v>
      </c>
      <c r="H306" s="132" t="n">
        <v>110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2</v>
      </c>
      <c r="R306" s="120" t="n">
        <v>1</v>
      </c>
      <c r="S306" s="120" t="inlineStr">
        <is>
          <t>계</t>
        </is>
      </c>
      <c r="T306" s="5" t="inlineStr">
        <is>
          <t>52A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신월동 주공</t>
        </is>
      </c>
      <c r="B307" s="75" t="inlineStr">
        <is>
          <t>87.10.</t>
        </is>
      </c>
      <c r="C307" s="129" t="n">
        <v>1500</v>
      </c>
      <c r="D307" s="130" t="n">
        <v>57</v>
      </c>
      <c r="E307" s="131" t="n">
        <v>17</v>
      </c>
      <c r="F307" s="130" t="n">
        <v>51</v>
      </c>
      <c r="G307" s="17" t="n">
        <v>15</v>
      </c>
      <c r="H307" s="132" t="n">
        <v>220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계</t>
        </is>
      </c>
      <c r="T307" s="5" t="n">
        <v>57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신월동 주공</t>
        </is>
      </c>
      <c r="B308" s="75" t="inlineStr">
        <is>
          <t>87.10.</t>
        </is>
      </c>
      <c r="C308" s="129" t="n">
        <v>1500</v>
      </c>
      <c r="D308" s="130" t="n">
        <v>65.59999999999999</v>
      </c>
      <c r="E308" s="131" t="n">
        <v>20</v>
      </c>
      <c r="F308" s="130" t="n">
        <v>59.1</v>
      </c>
      <c r="G308" s="17" t="n">
        <v>18</v>
      </c>
      <c r="H308" s="132" t="n">
        <v>180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1</v>
      </c>
      <c r="S308" s="120" t="inlineStr">
        <is>
          <t>계</t>
        </is>
      </c>
      <c r="T308" s="5" t="n">
        <v>65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신촌동 창원신촌동원로얄듀크</t>
        </is>
      </c>
      <c r="B309" s="75" t="inlineStr">
        <is>
          <t>08.10.</t>
        </is>
      </c>
      <c r="C309" s="129" t="n">
        <v>225</v>
      </c>
      <c r="D309" s="130" t="n">
        <v>111</v>
      </c>
      <c r="E309" s="131" t="n">
        <v>34</v>
      </c>
      <c r="F309" s="130" t="n">
        <v>85</v>
      </c>
      <c r="G309" s="17" t="n">
        <v>26</v>
      </c>
      <c r="H309" s="132" t="n">
        <v>100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복</t>
        </is>
      </c>
      <c r="T309" s="5" t="inlineStr">
        <is>
          <t>110A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신촌동 창원신촌동원로얄듀크</t>
        </is>
      </c>
      <c r="B310" s="75" t="inlineStr">
        <is>
          <t>08.10.</t>
        </is>
      </c>
      <c r="C310" s="129" t="n">
        <v>225</v>
      </c>
      <c r="D310" s="130" t="n">
        <v>111</v>
      </c>
      <c r="E310" s="131" t="n">
        <v>34</v>
      </c>
      <c r="F310" s="130" t="n">
        <v>85</v>
      </c>
      <c r="G310" s="17" t="n">
        <v>26</v>
      </c>
      <c r="H310" s="132" t="n">
        <v>45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복</t>
        </is>
      </c>
      <c r="T310" s="5" t="inlineStr">
        <is>
          <t>110B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신촌동 창원신촌동원로얄듀크</t>
        </is>
      </c>
      <c r="B311" s="75" t="inlineStr">
        <is>
          <t>08.10.</t>
        </is>
      </c>
      <c r="C311" s="129" t="n">
        <v>225</v>
      </c>
      <c r="D311" s="130" t="n">
        <v>148.9</v>
      </c>
      <c r="E311" s="131" t="n">
        <v>45</v>
      </c>
      <c r="F311" s="130" t="n">
        <v>121.6</v>
      </c>
      <c r="G311" s="17" t="n">
        <v>37</v>
      </c>
      <c r="H311" s="132" t="n">
        <v>60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4</v>
      </c>
      <c r="R311" s="120" t="n">
        <v>2</v>
      </c>
      <c r="S311" s="120" t="inlineStr">
        <is>
          <t>복</t>
        </is>
      </c>
      <c r="T311" s="5" t="inlineStr">
        <is>
          <t>148C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신촌동 창원신촌동원로얄듀크</t>
        </is>
      </c>
      <c r="B312" s="75" t="inlineStr">
        <is>
          <t>08.10.</t>
        </is>
      </c>
      <c r="C312" s="129" t="n">
        <v>225</v>
      </c>
      <c r="D312" s="130" t="n">
        <v>148.9</v>
      </c>
      <c r="E312" s="131" t="n">
        <v>45</v>
      </c>
      <c r="F312" s="130" t="n">
        <v>121.6</v>
      </c>
      <c r="G312" s="17" t="n">
        <v>37</v>
      </c>
      <c r="H312" s="132" t="n">
        <v>20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4</v>
      </c>
      <c r="R312" s="120" t="n">
        <v>2</v>
      </c>
      <c r="S312" s="120" t="inlineStr">
        <is>
          <t>복</t>
        </is>
      </c>
      <c r="T312" s="5" t="inlineStr">
        <is>
          <t>148D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신촌동 동성2차(21-6)</t>
        </is>
      </c>
      <c r="B313" s="75" t="inlineStr">
        <is>
          <t>87.08.</t>
        </is>
      </c>
      <c r="C313" s="129" t="n">
        <v>300</v>
      </c>
      <c r="D313" s="130" t="n">
        <v>66.59999999999999</v>
      </c>
      <c r="E313" s="131" t="n">
        <v>20</v>
      </c>
      <c r="F313" s="130" t="n">
        <v>60</v>
      </c>
      <c r="G313" s="17" t="n">
        <v>18</v>
      </c>
      <c r="H313" s="132" t="n">
        <v>250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1</v>
      </c>
      <c r="S313" s="120" t="inlineStr">
        <is>
          <t>계</t>
        </is>
      </c>
      <c r="T313" s="5" t="inlineStr">
        <is>
          <t>66B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신촌동 동성2차(21-6)</t>
        </is>
      </c>
      <c r="B314" s="75" t="inlineStr">
        <is>
          <t>87.08.</t>
        </is>
      </c>
      <c r="C314" s="129" t="n">
        <v>300</v>
      </c>
      <c r="D314" s="130" t="n">
        <v>66.3</v>
      </c>
      <c r="E314" s="131" t="n">
        <v>20</v>
      </c>
      <c r="F314" s="130" t="n">
        <v>59.7</v>
      </c>
      <c r="G314" s="17" t="n">
        <v>18</v>
      </c>
      <c r="H314" s="132" t="n">
        <v>50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2</v>
      </c>
      <c r="R314" s="120" t="n">
        <v>1</v>
      </c>
      <c r="S314" s="120" t="inlineStr">
        <is>
          <t>계</t>
        </is>
      </c>
      <c r="T314" s="5" t="inlineStr">
        <is>
          <t>66A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신촌동 양곡상가</t>
        </is>
      </c>
      <c r="B315" s="75" t="inlineStr">
        <is>
          <t>79.09.</t>
        </is>
      </c>
      <c r="C315" s="129" t="n">
        <v>330</v>
      </c>
      <c r="D315" s="130" t="n">
        <v>82.7</v>
      </c>
      <c r="E315" s="131" t="n">
        <v>25</v>
      </c>
      <c r="F315" s="130" t="n">
        <v>62.7</v>
      </c>
      <c r="G315" s="17" t="n">
        <v>19</v>
      </c>
      <c r="H315" s="132" t="n">
        <v>264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2</v>
      </c>
      <c r="R315" s="120" t="n">
        <v>1</v>
      </c>
      <c r="S315" s="120" t="inlineStr">
        <is>
          <t>복</t>
        </is>
      </c>
      <c r="T315" s="5" t="n">
        <v>82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신촌동 양곡상가</t>
        </is>
      </c>
      <c r="B316" s="75" t="inlineStr">
        <is>
          <t>79.09.</t>
        </is>
      </c>
      <c r="C316" s="129" t="n">
        <v>330</v>
      </c>
      <c r="D316" s="130" t="n">
        <v>105.8</v>
      </c>
      <c r="E316" s="131" t="n">
        <v>32</v>
      </c>
      <c r="F316" s="130" t="n">
        <v>82.2</v>
      </c>
      <c r="G316" s="17" t="n">
        <v>25</v>
      </c>
      <c r="H316" s="132" t="n">
        <v>66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3</v>
      </c>
      <c r="R316" s="120" t="n">
        <v>1</v>
      </c>
      <c r="S316" s="120" t="inlineStr">
        <is>
          <t>복</t>
        </is>
      </c>
      <c r="T316" s="5" t="n">
        <v>105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신촌동 동성1차</t>
        </is>
      </c>
      <c r="B317" s="75" t="inlineStr">
        <is>
          <t>86.10.</t>
        </is>
      </c>
      <c r="C317" s="129" t="n">
        <v>240</v>
      </c>
      <c r="D317" s="130" t="n">
        <v>69.7</v>
      </c>
      <c r="E317" s="131" t="n">
        <v>21</v>
      </c>
      <c r="F317" s="130" t="n">
        <v>59.8</v>
      </c>
      <c r="G317" s="17" t="n">
        <v>18</v>
      </c>
      <c r="H317" s="132" t="n">
        <v>240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69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신촌동 성원</t>
        </is>
      </c>
      <c r="B318" s="75" t="inlineStr">
        <is>
          <t>87.06.</t>
        </is>
      </c>
      <c r="C318" s="129" t="n">
        <v>410</v>
      </c>
      <c r="D318" s="130" t="n">
        <v>56.9</v>
      </c>
      <c r="E318" s="131" t="n">
        <v>17</v>
      </c>
      <c r="F318" s="130" t="n">
        <v>50.9</v>
      </c>
      <c r="G318" s="17" t="n">
        <v>15</v>
      </c>
      <c r="H318" s="132" t="n">
        <v>90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2</v>
      </c>
      <c r="R318" s="120" t="n">
        <v>1</v>
      </c>
      <c r="S318" s="120" t="inlineStr">
        <is>
          <t>계</t>
        </is>
      </c>
      <c r="T318" s="5" t="inlineStr">
        <is>
          <t>56A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신촌동 성원</t>
        </is>
      </c>
      <c r="B319" s="75" t="inlineStr">
        <is>
          <t>87.06.</t>
        </is>
      </c>
      <c r="C319" s="129" t="n">
        <v>410</v>
      </c>
      <c r="D319" s="130" t="n">
        <v>57.1</v>
      </c>
      <c r="E319" s="131" t="n">
        <v>17</v>
      </c>
      <c r="F319" s="130" t="n">
        <v>51.2</v>
      </c>
      <c r="G319" s="17" t="n">
        <v>16</v>
      </c>
      <c r="H319" s="132" t="n">
        <v>90</v>
      </c>
      <c r="I319" s="133" t="n">
        <v>12500</v>
      </c>
      <c r="J319" s="133" t="inlineStr">
        <is>
          <t>5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2</v>
      </c>
      <c r="R319" s="120" t="n">
        <v>1</v>
      </c>
      <c r="S319" s="120" t="inlineStr">
        <is>
          <t>계</t>
        </is>
      </c>
      <c r="T319" s="5" t="inlineStr">
        <is>
          <t>57B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신촌동 성원</t>
        </is>
      </c>
      <c r="B320" s="75" t="inlineStr">
        <is>
          <t>87.06.</t>
        </is>
      </c>
      <c r="C320" s="129" t="n">
        <v>410</v>
      </c>
      <c r="D320" s="130" t="n">
        <v>59.2</v>
      </c>
      <c r="E320" s="131" t="n">
        <v>18</v>
      </c>
      <c r="F320" s="130" t="n">
        <v>52.7</v>
      </c>
      <c r="G320" s="17" t="n">
        <v>16</v>
      </c>
      <c r="H320" s="132" t="n">
        <v>90</v>
      </c>
      <c r="I320" s="133" t="n">
        <v>12000</v>
      </c>
      <c r="J320" s="133" t="inlineStr">
        <is>
          <t>중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계</t>
        </is>
      </c>
      <c r="T320" s="5" t="n">
        <v>59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신촌동 성원</t>
        </is>
      </c>
      <c r="B321" s="75" t="inlineStr">
        <is>
          <t>87.06.</t>
        </is>
      </c>
      <c r="C321" s="129" t="n">
        <v>410</v>
      </c>
      <c r="D321" s="130" t="n">
        <v>65.3</v>
      </c>
      <c r="E321" s="131" t="n">
        <v>20</v>
      </c>
      <c r="F321" s="130" t="n">
        <v>59.2</v>
      </c>
      <c r="G321" s="17" t="n">
        <v>18</v>
      </c>
      <c r="H321" s="132" t="n">
        <v>140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65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안민동 안민청솔마을대동</t>
        </is>
      </c>
      <c r="B322" s="75" t="inlineStr">
        <is>
          <t>99.06.</t>
        </is>
      </c>
      <c r="C322" s="129" t="n">
        <v>920</v>
      </c>
      <c r="D322" s="130" t="n">
        <v>79.59999999999999</v>
      </c>
      <c r="E322" s="131" t="n">
        <v>24</v>
      </c>
      <c r="F322" s="130" t="n">
        <v>60</v>
      </c>
      <c r="G322" s="17" t="n">
        <v>18</v>
      </c>
      <c r="H322" s="132" t="n">
        <v>217</v>
      </c>
      <c r="I322" s="133" t="n">
        <v>18500</v>
      </c>
      <c r="J322" s="133" t="inlineStr">
        <is>
          <t>18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2</v>
      </c>
      <c r="R322" s="120" t="n">
        <v>1</v>
      </c>
      <c r="S322" s="120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안민동 안민청솔마을대동</t>
        </is>
      </c>
      <c r="B323" s="75" t="inlineStr">
        <is>
          <t>99.06.</t>
        </is>
      </c>
      <c r="C323" s="129" t="n">
        <v>920</v>
      </c>
      <c r="D323" s="130" t="n">
        <v>107.4</v>
      </c>
      <c r="E323" s="131" t="n">
        <v>32</v>
      </c>
      <c r="F323" s="130" t="n">
        <v>85</v>
      </c>
      <c r="G323" s="17" t="n">
        <v>26</v>
      </c>
      <c r="H323" s="132" t="n">
        <v>537</v>
      </c>
      <c r="I323" s="133" t="n">
        <v>22000</v>
      </c>
      <c r="J323" s="133" t="inlineStr">
        <is>
          <t>고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안민동 안민청솔마을대동</t>
        </is>
      </c>
      <c r="B324" s="75" t="inlineStr">
        <is>
          <t>99.06.</t>
        </is>
      </c>
      <c r="C324" s="129" t="n">
        <v>920</v>
      </c>
      <c r="D324" s="130" t="n">
        <v>147.9</v>
      </c>
      <c r="E324" s="131" t="n">
        <v>45</v>
      </c>
      <c r="F324" s="130" t="n">
        <v>119.7</v>
      </c>
      <c r="G324" s="17" t="n">
        <v>36</v>
      </c>
      <c r="H324" s="132" t="n">
        <v>68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3</v>
      </c>
      <c r="R324" s="120" t="n">
        <v>2</v>
      </c>
      <c r="S324" s="120" t="inlineStr">
        <is>
          <t>계</t>
        </is>
      </c>
      <c r="T324" s="5" t="n">
        <v>147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안민동 안민청솔마을대동</t>
        </is>
      </c>
      <c r="B325" s="75" t="inlineStr">
        <is>
          <t>99.06.</t>
        </is>
      </c>
      <c r="C325" s="129" t="n">
        <v>920</v>
      </c>
      <c r="D325" s="130" t="n">
        <v>181.1</v>
      </c>
      <c r="E325" s="131" t="n">
        <v>55</v>
      </c>
      <c r="F325" s="130" t="n">
        <v>149.8</v>
      </c>
      <c r="G325" s="17" t="n">
        <v>45</v>
      </c>
      <c r="H325" s="132" t="n">
        <v>98</v>
      </c>
      <c r="I325" s="133" t="n">
        <v>33000</v>
      </c>
      <c r="J325" s="133" t="inlineStr">
        <is>
          <t>고</t>
        </is>
      </c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4</v>
      </c>
      <c r="R325" s="120" t="n">
        <v>2</v>
      </c>
      <c r="S325" s="120" t="inlineStr">
        <is>
          <t>계</t>
        </is>
      </c>
      <c r="T325" s="5" t="n">
        <v>181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안민동 성산삼정그린코아포레스트1단지</t>
        </is>
      </c>
      <c r="B326" s="75" t="inlineStr">
        <is>
          <t>24.05.</t>
        </is>
      </c>
      <c r="C326" s="129" t="n">
        <v>401</v>
      </c>
      <c r="D326" s="130" t="n">
        <v>100.6</v>
      </c>
      <c r="E326" s="131" t="n">
        <v>30</v>
      </c>
      <c r="F326" s="130" t="n">
        <v>75.2</v>
      </c>
      <c r="G326" s="17" t="n">
        <v>23</v>
      </c>
      <c r="H326" s="132" t="n">
        <v>195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2</v>
      </c>
      <c r="S326" s="120" t="inlineStr">
        <is>
          <t>계</t>
        </is>
      </c>
      <c r="T326" s="5" t="n">
        <v>100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안민동 성산삼정그린코아포레스트1단지</t>
        </is>
      </c>
      <c r="B327" s="75" t="inlineStr">
        <is>
          <t>24.05.</t>
        </is>
      </c>
      <c r="C327" s="129" t="n">
        <v>401</v>
      </c>
      <c r="D327" s="130" t="n">
        <v>109</v>
      </c>
      <c r="E327" s="131" t="n">
        <v>33</v>
      </c>
      <c r="F327" s="130" t="n">
        <v>84.7</v>
      </c>
      <c r="G327" s="17" t="n">
        <v>26</v>
      </c>
      <c r="H327" s="132" t="n">
        <v>154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계</t>
        </is>
      </c>
      <c r="T327" s="5" t="inlineStr">
        <is>
          <t>108A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안민동 성산삼정그린코아포레스트1단지</t>
        </is>
      </c>
      <c r="B328" s="75" t="inlineStr">
        <is>
          <t>24.05.</t>
        </is>
      </c>
      <c r="C328" s="129" t="n">
        <v>401</v>
      </c>
      <c r="D328" s="130" t="n">
        <v>110.5</v>
      </c>
      <c r="E328" s="131" t="n">
        <v>33</v>
      </c>
      <c r="F328" s="130" t="n">
        <v>84.90000000000001</v>
      </c>
      <c r="G328" s="17" t="n">
        <v>26</v>
      </c>
      <c r="H328" s="132" t="n">
        <v>52</v>
      </c>
      <c r="I328" s="133" t="n"/>
      <c r="J328" s="133" t="n"/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inlineStr">
        <is>
          <t>110B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안민동 한솔마을대동</t>
        </is>
      </c>
      <c r="B329" s="75" t="inlineStr">
        <is>
          <t>99.05.</t>
        </is>
      </c>
      <c r="C329" s="129" t="n">
        <v>640</v>
      </c>
      <c r="D329" s="130" t="n">
        <v>75.3</v>
      </c>
      <c r="E329" s="131" t="n">
        <v>23</v>
      </c>
      <c r="F329" s="130" t="n">
        <v>59.2</v>
      </c>
      <c r="G329" s="17" t="n">
        <v>18</v>
      </c>
      <c r="H329" s="132" t="n">
        <v>120</v>
      </c>
      <c r="I329" s="133" t="n">
        <v>18000</v>
      </c>
      <c r="J329" s="133" t="inlineStr">
        <is>
          <t>중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75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안민동 한솔마을대동</t>
        </is>
      </c>
      <c r="B330" s="75" t="inlineStr">
        <is>
          <t>99.05.</t>
        </is>
      </c>
      <c r="C330" s="129" t="n">
        <v>640</v>
      </c>
      <c r="D330" s="130" t="n">
        <v>76.3</v>
      </c>
      <c r="E330" s="131" t="n">
        <v>23</v>
      </c>
      <c r="F330" s="130" t="n">
        <v>60</v>
      </c>
      <c r="G330" s="17" t="n">
        <v>18</v>
      </c>
      <c r="H330" s="132" t="n">
        <v>20</v>
      </c>
      <c r="I330" s="133" t="n">
        <v>18000</v>
      </c>
      <c r="J330" s="133" t="inlineStr">
        <is>
          <t>중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1</v>
      </c>
      <c r="S330" s="120" t="inlineStr">
        <is>
          <t>계</t>
        </is>
      </c>
      <c r="T330" s="5" t="n">
        <v>76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안민동 한솔마을대동</t>
        </is>
      </c>
      <c r="B331" s="75" t="inlineStr">
        <is>
          <t>99.05.</t>
        </is>
      </c>
      <c r="C331" s="129" t="n">
        <v>640</v>
      </c>
      <c r="D331" s="130" t="n">
        <v>108.1</v>
      </c>
      <c r="E331" s="131" t="n">
        <v>33</v>
      </c>
      <c r="F331" s="130" t="n">
        <v>85</v>
      </c>
      <c r="G331" s="17" t="n">
        <v>26</v>
      </c>
      <c r="H331" s="132" t="n">
        <v>500</v>
      </c>
      <c r="I331" s="133" t="n">
        <v>23000</v>
      </c>
      <c r="J331" s="133" t="inlineStr">
        <is>
          <t>고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n">
        <v>108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안민동 동부산아이존빌</t>
        </is>
      </c>
      <c r="B332" s="75" t="inlineStr">
        <is>
          <t>02.03.</t>
        </is>
      </c>
      <c r="C332" s="129" t="n">
        <v>262</v>
      </c>
      <c r="D332" s="130" t="n">
        <v>81.59999999999999</v>
      </c>
      <c r="E332" s="131" t="n">
        <v>25</v>
      </c>
      <c r="F332" s="130" t="n">
        <v>60</v>
      </c>
      <c r="G332" s="17" t="n">
        <v>18</v>
      </c>
      <c r="H332" s="132" t="n">
        <v>55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inlineStr">
        <is>
          <t>81B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안민동 동부산아이존빌</t>
        </is>
      </c>
      <c r="B333" s="75" t="inlineStr">
        <is>
          <t>02.03.</t>
        </is>
      </c>
      <c r="C333" s="129" t="n">
        <v>262</v>
      </c>
      <c r="D333" s="130" t="n">
        <v>82.3</v>
      </c>
      <c r="E333" s="131" t="n">
        <v>25</v>
      </c>
      <c r="F333" s="130" t="n">
        <v>59.8</v>
      </c>
      <c r="G333" s="17" t="n">
        <v>18</v>
      </c>
      <c r="H333" s="132" t="n">
        <v>115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82A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안민동 동부산아이존빌</t>
        </is>
      </c>
      <c r="B334" s="75" t="inlineStr">
        <is>
          <t>02.03.</t>
        </is>
      </c>
      <c r="C334" s="129" t="n">
        <v>262</v>
      </c>
      <c r="D334" s="130" t="n">
        <v>114.6</v>
      </c>
      <c r="E334" s="131" t="n">
        <v>35</v>
      </c>
      <c r="F334" s="130" t="n">
        <v>84.90000000000001</v>
      </c>
      <c r="G334" s="17" t="n">
        <v>26</v>
      </c>
      <c r="H334" s="132" t="n">
        <v>92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114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외동 월드메르디앙이스턴애비뉴</t>
        </is>
      </c>
      <c r="B335" s="75" t="inlineStr">
        <is>
          <t>09.01.</t>
        </is>
      </c>
      <c r="C335" s="129" t="n">
        <v>439</v>
      </c>
      <c r="D335" s="130" t="n">
        <v>77.59999999999999</v>
      </c>
      <c r="E335" s="131" t="n">
        <v>23</v>
      </c>
      <c r="F335" s="130" t="n">
        <v>59.9</v>
      </c>
      <c r="G335" s="17" t="n">
        <v>18</v>
      </c>
      <c r="H335" s="132" t="n">
        <v>150</v>
      </c>
      <c r="I335" s="133" t="n"/>
      <c r="J335" s="133" t="n"/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n">
        <v>77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외동 월드메르디앙이스턴애비뉴</t>
        </is>
      </c>
      <c r="B336" s="75" t="inlineStr">
        <is>
          <t>09.01.</t>
        </is>
      </c>
      <c r="C336" s="129" t="n">
        <v>439</v>
      </c>
      <c r="D336" s="130" t="n">
        <v>107.7</v>
      </c>
      <c r="E336" s="131" t="n">
        <v>33</v>
      </c>
      <c r="F336" s="130" t="n">
        <v>84.59999999999999</v>
      </c>
      <c r="G336" s="17" t="n">
        <v>26</v>
      </c>
      <c r="H336" s="132" t="n">
        <v>130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n">
        <v>107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외동 월드메르디앙이스턴애비뉴</t>
        </is>
      </c>
      <c r="B337" s="75" t="inlineStr">
        <is>
          <t>09.01.</t>
        </is>
      </c>
      <c r="C337" s="129" t="n">
        <v>439</v>
      </c>
      <c r="D337" s="130" t="n">
        <v>108.7</v>
      </c>
      <c r="E337" s="131" t="n">
        <v>33</v>
      </c>
      <c r="F337" s="130" t="n">
        <v>84.90000000000001</v>
      </c>
      <c r="G337" s="17" t="n">
        <v>26</v>
      </c>
      <c r="H337" s="132" t="n">
        <v>75</v>
      </c>
      <c r="I337" s="133" t="n">
        <v>34000</v>
      </c>
      <c r="J337" s="133" t="inlineStr">
        <is>
          <t>11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108B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외동 월드메르디앙이스턴애비뉴</t>
        </is>
      </c>
      <c r="B338" s="75" t="inlineStr">
        <is>
          <t>09.01.</t>
        </is>
      </c>
      <c r="C338" s="129" t="n">
        <v>439</v>
      </c>
      <c r="D338" s="130" t="n">
        <v>143.8</v>
      </c>
      <c r="E338" s="131" t="n">
        <v>44</v>
      </c>
      <c r="F338" s="130" t="n">
        <v>115.4</v>
      </c>
      <c r="G338" s="17" t="n">
        <v>35</v>
      </c>
      <c r="H338" s="132" t="n">
        <v>84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143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용호동 용지무학</t>
        </is>
      </c>
      <c r="B339" s="75" t="inlineStr">
        <is>
          <t>87.10.</t>
        </is>
      </c>
      <c r="C339" s="129" t="n">
        <v>1040</v>
      </c>
      <c r="D339" s="130" t="n">
        <v>60.4</v>
      </c>
      <c r="E339" s="131" t="n">
        <v>18</v>
      </c>
      <c r="F339" s="130" t="n">
        <v>50.5</v>
      </c>
      <c r="G339" s="17" t="n">
        <v>15</v>
      </c>
      <c r="H339" s="132" t="n">
        <v>150</v>
      </c>
      <c r="I339" s="133" t="n">
        <v>36000</v>
      </c>
      <c r="J339" s="133" t="inlineStr">
        <is>
          <t>5</t>
        </is>
      </c>
      <c r="K339" s="133" t="n">
        <v>14000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60B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용호동 용지무학</t>
        </is>
      </c>
      <c r="B340" s="75" t="inlineStr">
        <is>
          <t>87.10.</t>
        </is>
      </c>
      <c r="C340" s="129" t="n">
        <v>1040</v>
      </c>
      <c r="D340" s="130" t="n">
        <v>60.3</v>
      </c>
      <c r="E340" s="131" t="n">
        <v>18</v>
      </c>
      <c r="F340" s="130" t="n">
        <v>50.3</v>
      </c>
      <c r="G340" s="17" t="n">
        <v>15</v>
      </c>
      <c r="H340" s="132" t="n">
        <v>80</v>
      </c>
      <c r="I340" s="133" t="n">
        <v>38000</v>
      </c>
      <c r="J340" s="133" t="inlineStr">
        <is>
          <t>중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60A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용호동 용지무학</t>
        </is>
      </c>
      <c r="B341" s="75" t="inlineStr">
        <is>
          <t>87.10.</t>
        </is>
      </c>
      <c r="C341" s="129" t="n">
        <v>1040</v>
      </c>
      <c r="D341" s="130" t="n">
        <v>66.90000000000001</v>
      </c>
      <c r="E341" s="131" t="n">
        <v>20</v>
      </c>
      <c r="F341" s="130" t="n">
        <v>56.4</v>
      </c>
      <c r="G341" s="17" t="n">
        <v>17</v>
      </c>
      <c r="H341" s="132" t="n">
        <v>810</v>
      </c>
      <c r="I341" s="133" t="n">
        <v>42000</v>
      </c>
      <c r="J341" s="133" t="inlineStr">
        <is>
          <t>고</t>
        </is>
      </c>
      <c r="K341" s="133" t="n">
        <v>15000</v>
      </c>
      <c r="L341" s="133" t="inlineStr">
        <is>
          <t>고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3</v>
      </c>
      <c r="R341" s="120" t="n">
        <v>1</v>
      </c>
      <c r="S341" s="120" t="inlineStr">
        <is>
          <t>계</t>
        </is>
      </c>
      <c r="T341" s="5" t="n">
        <v>66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용호동 용지더샵레이크파크</t>
        </is>
      </c>
      <c r="B342" s="75" t="inlineStr">
        <is>
          <t>17.11.</t>
        </is>
      </c>
      <c r="C342" s="129" t="n">
        <v>883</v>
      </c>
      <c r="D342" s="130" t="n">
        <v>85.90000000000001</v>
      </c>
      <c r="E342" s="131" t="n">
        <v>26</v>
      </c>
      <c r="F342" s="130" t="n">
        <v>60</v>
      </c>
      <c r="G342" s="17" t="n">
        <v>18</v>
      </c>
      <c r="H342" s="132" t="n">
        <v>196</v>
      </c>
      <c r="I342" s="133" t="n">
        <v>75000</v>
      </c>
      <c r="J342" s="133" t="inlineStr">
        <is>
          <t>21</t>
        </is>
      </c>
      <c r="K342" s="133" t="n">
        <v>50000</v>
      </c>
      <c r="L342" s="133" t="inlineStr">
        <is>
          <t>6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n">
        <v>85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용호동 용지더샵레이크파크</t>
        </is>
      </c>
      <c r="B343" s="75" t="inlineStr">
        <is>
          <t>17.11.</t>
        </is>
      </c>
      <c r="C343" s="129" t="n">
        <v>883</v>
      </c>
      <c r="D343" s="130" t="n">
        <v>112.7</v>
      </c>
      <c r="E343" s="131" t="n">
        <v>34</v>
      </c>
      <c r="F343" s="130" t="n">
        <v>84.5</v>
      </c>
      <c r="G343" s="17" t="n">
        <v>26</v>
      </c>
      <c r="H343" s="132" t="n">
        <v>412</v>
      </c>
      <c r="I343" s="133" t="n">
        <v>103500</v>
      </c>
      <c r="J343" s="133" t="inlineStr">
        <is>
          <t>고</t>
        </is>
      </c>
      <c r="K343" s="133" t="n">
        <v>72000</v>
      </c>
      <c r="L343" s="133" t="inlineStr">
        <is>
          <t>중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112A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용호동 용지더샵레이크파크</t>
        </is>
      </c>
      <c r="B344" s="75" t="inlineStr">
        <is>
          <t>17.11.</t>
        </is>
      </c>
      <c r="C344" s="129" t="n">
        <v>883</v>
      </c>
      <c r="D344" s="130" t="n">
        <v>113.7</v>
      </c>
      <c r="E344" s="131" t="n">
        <v>34</v>
      </c>
      <c r="F344" s="130" t="n">
        <v>85</v>
      </c>
      <c r="G344" s="17" t="n">
        <v>26</v>
      </c>
      <c r="H344" s="132" t="n">
        <v>104</v>
      </c>
      <c r="I344" s="133" t="n">
        <v>120000</v>
      </c>
      <c r="J344" s="133" t="inlineStr">
        <is>
          <t>9</t>
        </is>
      </c>
      <c r="K344" s="133" t="n">
        <v>75000</v>
      </c>
      <c r="L344" s="133" t="inlineStr">
        <is>
          <t>25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113B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용호동 용지더샵레이크파크</t>
        </is>
      </c>
      <c r="B345" s="75" t="inlineStr">
        <is>
          <t>17.11.</t>
        </is>
      </c>
      <c r="C345" s="129" t="n">
        <v>883</v>
      </c>
      <c r="D345" s="130" t="n">
        <v>130.2</v>
      </c>
      <c r="E345" s="131" t="n">
        <v>39</v>
      </c>
      <c r="F345" s="130" t="n">
        <v>101.9</v>
      </c>
      <c r="G345" s="17" t="n">
        <v>31</v>
      </c>
      <c r="H345" s="132" t="n">
        <v>114</v>
      </c>
      <c r="I345" s="133" t="n">
        <v>138000</v>
      </c>
      <c r="J345" s="133" t="inlineStr">
        <is>
          <t>중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4</v>
      </c>
      <c r="R345" s="120" t="n">
        <v>2</v>
      </c>
      <c r="S345" s="120" t="inlineStr">
        <is>
          <t>계</t>
        </is>
      </c>
      <c r="T345" s="5" t="n">
        <v>130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용호동 용지더샵레이크파크</t>
        </is>
      </c>
      <c r="B346" s="75" t="inlineStr">
        <is>
          <t>17.11.</t>
        </is>
      </c>
      <c r="C346" s="129" t="n">
        <v>883</v>
      </c>
      <c r="D346" s="130" t="n">
        <v>147.4</v>
      </c>
      <c r="E346" s="131" t="n">
        <v>45</v>
      </c>
      <c r="F346" s="130" t="n">
        <v>119.2</v>
      </c>
      <c r="G346" s="17" t="n">
        <v>36</v>
      </c>
      <c r="H346" s="132" t="n">
        <v>57</v>
      </c>
      <c r="I346" s="133" t="n">
        <v>159000</v>
      </c>
      <c r="J346" s="133" t="inlineStr">
        <is>
          <t>13</t>
        </is>
      </c>
      <c r="K346" s="133" t="n">
        <v>120000</v>
      </c>
      <c r="L346" s="133" t="inlineStr">
        <is>
          <t>13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147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용호동 일동</t>
        </is>
      </c>
      <c r="B347" s="75" t="inlineStr">
        <is>
          <t>86.10.</t>
        </is>
      </c>
      <c r="C347" s="129" t="n">
        <v>810</v>
      </c>
      <c r="D347" s="130" t="n">
        <v>57.7</v>
      </c>
      <c r="E347" s="131" t="n">
        <v>17</v>
      </c>
      <c r="F347" s="130" t="n">
        <v>51</v>
      </c>
      <c r="G347" s="17" t="n">
        <v>15</v>
      </c>
      <c r="H347" s="132" t="n">
        <v>400</v>
      </c>
      <c r="I347" s="133" t="n">
        <v>36000</v>
      </c>
      <c r="J347" s="133" t="inlineStr">
        <is>
          <t>5</t>
        </is>
      </c>
      <c r="K347" s="133" t="n">
        <v>14000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2</v>
      </c>
      <c r="R347" s="120" t="n">
        <v>1</v>
      </c>
      <c r="S347" s="120" t="inlineStr">
        <is>
          <t>계</t>
        </is>
      </c>
      <c r="T347" s="5" t="n">
        <v>57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용호동 일동</t>
        </is>
      </c>
      <c r="B348" s="75" t="inlineStr">
        <is>
          <t>86.10.</t>
        </is>
      </c>
      <c r="C348" s="129" t="n">
        <v>810</v>
      </c>
      <c r="D348" s="130" t="n">
        <v>66.3</v>
      </c>
      <c r="E348" s="131" t="n">
        <v>20</v>
      </c>
      <c r="F348" s="130" t="n">
        <v>59.6</v>
      </c>
      <c r="G348" s="17" t="n">
        <v>18</v>
      </c>
      <c r="H348" s="132" t="n">
        <v>410</v>
      </c>
      <c r="I348" s="133" t="n">
        <v>40000</v>
      </c>
      <c r="J348" s="133" t="inlineStr">
        <is>
          <t>5</t>
        </is>
      </c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1</v>
      </c>
      <c r="S348" s="120" t="inlineStr">
        <is>
          <t>계</t>
        </is>
      </c>
      <c r="T348" s="5" t="n">
        <v>66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용호동 롯데맨션2단지</t>
        </is>
      </c>
      <c r="B349" s="75" t="inlineStr">
        <is>
          <t>88.09.</t>
        </is>
      </c>
      <c r="C349" s="129" t="n">
        <v>320</v>
      </c>
      <c r="D349" s="130" t="n">
        <v>60.6</v>
      </c>
      <c r="E349" s="131" t="n">
        <v>18</v>
      </c>
      <c r="F349" s="130" t="n">
        <v>55.7</v>
      </c>
      <c r="G349" s="17" t="n">
        <v>17</v>
      </c>
      <c r="H349" s="132" t="n">
        <v>90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60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용호동 롯데맨션2단지</t>
        </is>
      </c>
      <c r="B350" s="75" t="inlineStr">
        <is>
          <t>88.09.</t>
        </is>
      </c>
      <c r="C350" s="129" t="n">
        <v>320</v>
      </c>
      <c r="D350" s="130" t="n">
        <v>75.2</v>
      </c>
      <c r="E350" s="131" t="n">
        <v>23</v>
      </c>
      <c r="F350" s="130" t="n">
        <v>68.5</v>
      </c>
      <c r="G350" s="17" t="n">
        <v>21</v>
      </c>
      <c r="H350" s="132" t="n">
        <v>50</v>
      </c>
      <c r="I350" s="133" t="n">
        <v>70000</v>
      </c>
      <c r="J350" s="133" t="inlineStr">
        <is>
          <t>중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75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용호동 롯데맨션2단지</t>
        </is>
      </c>
      <c r="B351" s="75" t="inlineStr">
        <is>
          <t>88.09.</t>
        </is>
      </c>
      <c r="C351" s="129" t="n">
        <v>320</v>
      </c>
      <c r="D351" s="130" t="n">
        <v>86.40000000000001</v>
      </c>
      <c r="E351" s="131" t="n">
        <v>26</v>
      </c>
      <c r="F351" s="130" t="n">
        <v>82.5</v>
      </c>
      <c r="G351" s="17" t="n">
        <v>25</v>
      </c>
      <c r="H351" s="132" t="n">
        <v>20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2</v>
      </c>
      <c r="S351" s="120" t="inlineStr">
        <is>
          <t>계</t>
        </is>
      </c>
      <c r="T351" s="5" t="n">
        <v>86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용호동 롯데맨션2단지</t>
        </is>
      </c>
      <c r="B352" s="75" t="inlineStr">
        <is>
          <t>88.09.</t>
        </is>
      </c>
      <c r="C352" s="129" t="n">
        <v>320</v>
      </c>
      <c r="D352" s="130" t="n">
        <v>113.8</v>
      </c>
      <c r="E352" s="131" t="n">
        <v>34</v>
      </c>
      <c r="F352" s="130" t="n">
        <v>106.7</v>
      </c>
      <c r="G352" s="17" t="n">
        <v>32</v>
      </c>
      <c r="H352" s="132" t="n">
        <v>40</v>
      </c>
      <c r="I352" s="133" t="n">
        <v>97000</v>
      </c>
      <c r="J352" s="133" t="inlineStr">
        <is>
          <t>중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113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용호동 롯데맨션2단지</t>
        </is>
      </c>
      <c r="B353" s="75" t="inlineStr">
        <is>
          <t>88.09.</t>
        </is>
      </c>
      <c r="C353" s="129" t="n">
        <v>320</v>
      </c>
      <c r="D353" s="130" t="n">
        <v>120.1</v>
      </c>
      <c r="E353" s="131" t="n">
        <v>36</v>
      </c>
      <c r="F353" s="130" t="n">
        <v>113</v>
      </c>
      <c r="G353" s="17" t="n">
        <v>34</v>
      </c>
      <c r="H353" s="132" t="n">
        <v>60</v>
      </c>
      <c r="I353" s="133" t="n"/>
      <c r="J353" s="133" t="n"/>
      <c r="K353" s="133" t="n">
        <v>35000</v>
      </c>
      <c r="L353" s="133" t="inlineStr">
        <is>
          <t>5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120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용호동 롯데맨션2단지</t>
        </is>
      </c>
      <c r="B354" s="75" t="inlineStr">
        <is>
          <t>88.09.</t>
        </is>
      </c>
      <c r="C354" s="129" t="n">
        <v>320</v>
      </c>
      <c r="D354" s="130" t="n">
        <v>148.9</v>
      </c>
      <c r="E354" s="131" t="n">
        <v>45</v>
      </c>
      <c r="F354" s="130" t="n">
        <v>141.7</v>
      </c>
      <c r="G354" s="17" t="n">
        <v>43</v>
      </c>
      <c r="H354" s="132" t="n">
        <v>40</v>
      </c>
      <c r="I354" s="133" t="n"/>
      <c r="J354" s="133" t="n"/>
      <c r="K354" s="133" t="n">
        <v>50000</v>
      </c>
      <c r="L354" s="133" t="inlineStr">
        <is>
          <t>5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148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용호동 롯데맨션2단지</t>
        </is>
      </c>
      <c r="B355" s="75" t="inlineStr">
        <is>
          <t>88.09.</t>
        </is>
      </c>
      <c r="C355" s="129" t="n">
        <v>320</v>
      </c>
      <c r="D355" s="130" t="n">
        <v>194</v>
      </c>
      <c r="E355" s="131" t="n">
        <v>59</v>
      </c>
      <c r="F355" s="130" t="n">
        <v>186.8</v>
      </c>
      <c r="G355" s="17" t="n">
        <v>57</v>
      </c>
      <c r="H355" s="132" t="n">
        <v>20</v>
      </c>
      <c r="I355" s="133" t="n"/>
      <c r="J355" s="133" t="n"/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n">
        <v>194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용호동 롯데맨션1단지</t>
        </is>
      </c>
      <c r="B356" s="75" t="inlineStr">
        <is>
          <t>84.11.</t>
        </is>
      </c>
      <c r="C356" s="129" t="n">
        <v>600</v>
      </c>
      <c r="D356" s="130" t="n">
        <v>74.2</v>
      </c>
      <c r="E356" s="131" t="n">
        <v>22</v>
      </c>
      <c r="F356" s="130" t="n">
        <v>67.5</v>
      </c>
      <c r="G356" s="17" t="n">
        <v>20</v>
      </c>
      <c r="H356" s="132" t="n">
        <v>160</v>
      </c>
      <c r="I356" s="133" t="n">
        <v>65000</v>
      </c>
      <c r="J356" s="133" t="inlineStr">
        <is>
          <t>중</t>
        </is>
      </c>
      <c r="K356" s="133" t="n">
        <v>25000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74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용호동 롯데맨션1단지</t>
        </is>
      </c>
      <c r="B357" s="75" t="inlineStr">
        <is>
          <t>84.11.</t>
        </is>
      </c>
      <c r="C357" s="129" t="n">
        <v>600</v>
      </c>
      <c r="D357" s="130" t="n">
        <v>86.7</v>
      </c>
      <c r="E357" s="131" t="n">
        <v>26</v>
      </c>
      <c r="F357" s="130" t="n">
        <v>80</v>
      </c>
      <c r="G357" s="17" t="n">
        <v>24</v>
      </c>
      <c r="H357" s="132" t="n">
        <v>210</v>
      </c>
      <c r="I357" s="133" t="n">
        <v>84000</v>
      </c>
      <c r="J357" s="133" t="inlineStr">
        <is>
          <t>중</t>
        </is>
      </c>
      <c r="K357" s="133" t="n">
        <v>26000</v>
      </c>
      <c r="L357" s="133" t="inlineStr">
        <is>
          <t>고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1</v>
      </c>
      <c r="S357" s="120" t="inlineStr">
        <is>
          <t>계</t>
        </is>
      </c>
      <c r="T357" s="5" t="inlineStr">
        <is>
          <t>86A</t>
        </is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용호동 롯데맨션1단지</t>
        </is>
      </c>
      <c r="B358" s="75" t="inlineStr">
        <is>
          <t>84.11.</t>
        </is>
      </c>
      <c r="C358" s="129" t="n">
        <v>600</v>
      </c>
      <c r="D358" s="130" t="n">
        <v>86.40000000000001</v>
      </c>
      <c r="E358" s="131" t="n">
        <v>26</v>
      </c>
      <c r="F358" s="130" t="n">
        <v>82.5</v>
      </c>
      <c r="G358" s="17" t="n">
        <v>25</v>
      </c>
      <c r="H358" s="132" t="n">
        <v>80</v>
      </c>
      <c r="I358" s="133" t="n">
        <v>82000</v>
      </c>
      <c r="J358" s="133" t="inlineStr">
        <is>
          <t>고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3</v>
      </c>
      <c r="R358" s="120" t="n">
        <v>1</v>
      </c>
      <c r="S358" s="120" t="inlineStr">
        <is>
          <t>계</t>
        </is>
      </c>
      <c r="T358" s="5" t="inlineStr">
        <is>
          <t>86B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용호동 롯데맨션1단지</t>
        </is>
      </c>
      <c r="B359" s="75" t="inlineStr">
        <is>
          <t>84.11.</t>
        </is>
      </c>
      <c r="C359" s="129" t="n">
        <v>600</v>
      </c>
      <c r="D359" s="130" t="n">
        <v>106</v>
      </c>
      <c r="E359" s="131" t="n">
        <v>32</v>
      </c>
      <c r="F359" s="130" t="n">
        <v>99.09999999999999</v>
      </c>
      <c r="G359" s="17" t="n">
        <v>30</v>
      </c>
      <c r="H359" s="132" t="n">
        <v>30</v>
      </c>
      <c r="I359" s="133" t="n">
        <v>90000</v>
      </c>
      <c r="J359" s="133" t="inlineStr">
        <is>
          <t>5</t>
        </is>
      </c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4</v>
      </c>
      <c r="R359" s="120" t="n">
        <v>1</v>
      </c>
      <c r="S359" s="120" t="inlineStr">
        <is>
          <t>계</t>
        </is>
      </c>
      <c r="T359" s="5" t="n">
        <v>105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용호동 롯데맨션1단지</t>
        </is>
      </c>
      <c r="B360" s="75" t="inlineStr">
        <is>
          <t>84.11.</t>
        </is>
      </c>
      <c r="C360" s="129" t="n">
        <v>600</v>
      </c>
      <c r="D360" s="130" t="n">
        <v>120.1</v>
      </c>
      <c r="E360" s="131" t="n">
        <v>36</v>
      </c>
      <c r="F360" s="130" t="n">
        <v>113.4</v>
      </c>
      <c r="G360" s="17" t="n">
        <v>34</v>
      </c>
      <c r="H360" s="132" t="n">
        <v>30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4</v>
      </c>
      <c r="R360" s="120" t="n">
        <v>2</v>
      </c>
      <c r="S360" s="120" t="inlineStr">
        <is>
          <t>계</t>
        </is>
      </c>
      <c r="T360" s="5" t="inlineStr">
        <is>
          <t>120B</t>
        </is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용호동 롯데맨션1단지</t>
        </is>
      </c>
      <c r="B361" s="75" t="inlineStr">
        <is>
          <t>84.11.</t>
        </is>
      </c>
      <c r="C361" s="129" t="n">
        <v>600</v>
      </c>
      <c r="D361" s="130" t="n">
        <v>120.1</v>
      </c>
      <c r="E361" s="131" t="n">
        <v>36</v>
      </c>
      <c r="F361" s="130" t="n">
        <v>113</v>
      </c>
      <c r="G361" s="17" t="n">
        <v>34</v>
      </c>
      <c r="H361" s="132" t="n">
        <v>30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3</v>
      </c>
      <c r="R361" s="120" t="n">
        <v>2</v>
      </c>
      <c r="S361" s="120" t="inlineStr">
        <is>
          <t>계</t>
        </is>
      </c>
      <c r="T361" s="5" t="inlineStr">
        <is>
          <t>120C</t>
        </is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용호동 롯데맨션1단지</t>
        </is>
      </c>
      <c r="B362" s="75" t="inlineStr">
        <is>
          <t>84.11.</t>
        </is>
      </c>
      <c r="C362" s="129" t="n">
        <v>600</v>
      </c>
      <c r="D362" s="130" t="n">
        <v>139.4</v>
      </c>
      <c r="E362" s="131" t="n">
        <v>42</v>
      </c>
      <c r="F362" s="130" t="n">
        <v>132.6</v>
      </c>
      <c r="G362" s="17" t="n">
        <v>40</v>
      </c>
      <c r="H362" s="132" t="n">
        <v>30</v>
      </c>
      <c r="I362" s="133" t="n">
        <v>110000</v>
      </c>
      <c r="J362" s="133" t="inlineStr">
        <is>
          <t>고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139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용호동 롯데맨션1단지</t>
        </is>
      </c>
      <c r="B363" s="75" t="inlineStr">
        <is>
          <t>84.11.</t>
        </is>
      </c>
      <c r="C363" s="129" t="n">
        <v>600</v>
      </c>
      <c r="D363" s="130" t="n">
        <v>148.9</v>
      </c>
      <c r="E363" s="131" t="n">
        <v>45</v>
      </c>
      <c r="F363" s="130" t="n">
        <v>141.7</v>
      </c>
      <c r="G363" s="17" t="n">
        <v>43</v>
      </c>
      <c r="H363" s="132" t="n">
        <v>30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2</v>
      </c>
      <c r="S363" s="120" t="inlineStr">
        <is>
          <t>계</t>
        </is>
      </c>
      <c r="T363" s="5" t="inlineStr">
        <is>
          <t>148A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용호동 용지아이파크</t>
        </is>
      </c>
      <c r="B364" s="75" t="inlineStr">
        <is>
          <t>17.06.</t>
        </is>
      </c>
      <c r="C364" s="129" t="n">
        <v>1036</v>
      </c>
      <c r="D364" s="130" t="n">
        <v>85.3</v>
      </c>
      <c r="E364" s="131" t="n">
        <v>26</v>
      </c>
      <c r="F364" s="130" t="n">
        <v>59.5</v>
      </c>
      <c r="G364" s="17" t="n">
        <v>18</v>
      </c>
      <c r="H364" s="132" t="n">
        <v>11</v>
      </c>
      <c r="I364" s="133" t="n">
        <v>76000</v>
      </c>
      <c r="J364" s="133" t="inlineStr">
        <is>
          <t>20</t>
        </is>
      </c>
      <c r="K364" s="133" t="n">
        <v>55000</v>
      </c>
      <c r="L364" s="133" t="inlineStr">
        <is>
          <t>22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85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용호동 용지아이파크</t>
        </is>
      </c>
      <c r="B365" s="75" t="inlineStr">
        <is>
          <t>17.06.</t>
        </is>
      </c>
      <c r="C365" s="129" t="n">
        <v>1036</v>
      </c>
      <c r="D365" s="130" t="n">
        <v>113.9</v>
      </c>
      <c r="E365" s="131" t="n">
        <v>34</v>
      </c>
      <c r="F365" s="130" t="n">
        <v>84.7</v>
      </c>
      <c r="G365" s="17" t="n">
        <v>26</v>
      </c>
      <c r="H365" s="132" t="n">
        <v>421</v>
      </c>
      <c r="I365" s="133" t="n">
        <v>98000</v>
      </c>
      <c r="J365" s="133" t="inlineStr">
        <is>
          <t>10</t>
        </is>
      </c>
      <c r="K365" s="133" t="n">
        <v>65500</v>
      </c>
      <c r="L365" s="133" t="inlineStr">
        <is>
          <t>고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2</v>
      </c>
      <c r="S365" s="120" t="inlineStr">
        <is>
          <t>계</t>
        </is>
      </c>
      <c r="T365" s="5" t="inlineStr">
        <is>
          <t>113B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용호동 용지아이파크</t>
        </is>
      </c>
      <c r="B366" s="75" t="inlineStr">
        <is>
          <t>17.06.</t>
        </is>
      </c>
      <c r="C366" s="129" t="n">
        <v>1036</v>
      </c>
      <c r="D366" s="130" t="n">
        <v>113.6</v>
      </c>
      <c r="E366" s="131" t="n">
        <v>34</v>
      </c>
      <c r="F366" s="130" t="n">
        <v>84.7</v>
      </c>
      <c r="G366" s="17" t="n">
        <v>26</v>
      </c>
      <c r="H366" s="132" t="n">
        <v>221</v>
      </c>
      <c r="I366" s="133" t="n">
        <v>103000</v>
      </c>
      <c r="J366" s="133" t="inlineStr">
        <is>
          <t>고</t>
        </is>
      </c>
      <c r="K366" s="133" t="n">
        <v>65000</v>
      </c>
      <c r="L366" s="133" t="inlineStr">
        <is>
          <t>고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2</v>
      </c>
      <c r="S366" s="120" t="inlineStr">
        <is>
          <t>계</t>
        </is>
      </c>
      <c r="T366" s="5" t="inlineStr">
        <is>
          <t>113A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용호동 용지아이파크</t>
        </is>
      </c>
      <c r="B367" s="75" t="inlineStr">
        <is>
          <t>17.06.</t>
        </is>
      </c>
      <c r="C367" s="129" t="n">
        <v>1036</v>
      </c>
      <c r="D367" s="130" t="n">
        <v>130</v>
      </c>
      <c r="E367" s="131" t="n">
        <v>39</v>
      </c>
      <c r="F367" s="130" t="n">
        <v>100.2</v>
      </c>
      <c r="G367" s="17" t="n">
        <v>30</v>
      </c>
      <c r="H367" s="132" t="n">
        <v>140</v>
      </c>
      <c r="I367" s="133" t="n">
        <v>129000</v>
      </c>
      <c r="J367" s="133" t="inlineStr">
        <is>
          <t>중</t>
        </is>
      </c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130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용호동 용지아이파크</t>
        </is>
      </c>
      <c r="B368" s="75" t="inlineStr">
        <is>
          <t>17.06.</t>
        </is>
      </c>
      <c r="C368" s="129" t="n">
        <v>1036</v>
      </c>
      <c r="D368" s="130" t="n">
        <v>144.7</v>
      </c>
      <c r="E368" s="131" t="n">
        <v>44</v>
      </c>
      <c r="F368" s="130" t="n">
        <v>114.8</v>
      </c>
      <c r="G368" s="17" t="n">
        <v>35</v>
      </c>
      <c r="H368" s="132" t="n">
        <v>98</v>
      </c>
      <c r="I368" s="133" t="n">
        <v>158000</v>
      </c>
      <c r="J368" s="133" t="inlineStr">
        <is>
          <t>5</t>
        </is>
      </c>
      <c r="K368" s="133" t="n">
        <v>90000</v>
      </c>
      <c r="L368" s="133" t="inlineStr">
        <is>
          <t>고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n">
        <v>144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용호동 용지아이파크</t>
        </is>
      </c>
      <c r="B369" s="75" t="inlineStr">
        <is>
          <t>17.06.</t>
        </is>
      </c>
      <c r="C369" s="129" t="n">
        <v>1036</v>
      </c>
      <c r="D369" s="130" t="n">
        <v>157.9</v>
      </c>
      <c r="E369" s="131" t="n">
        <v>48</v>
      </c>
      <c r="F369" s="130" t="n">
        <v>127.4</v>
      </c>
      <c r="G369" s="17" t="n">
        <v>39</v>
      </c>
      <c r="H369" s="132" t="n">
        <v>56</v>
      </c>
      <c r="I369" s="133" t="n">
        <v>185000</v>
      </c>
      <c r="J369" s="133" t="inlineStr">
        <is>
          <t>9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4</v>
      </c>
      <c r="R369" s="120" t="n">
        <v>2</v>
      </c>
      <c r="S369" s="120" t="inlineStr">
        <is>
          <t>계</t>
        </is>
      </c>
      <c r="T369" s="5" t="n">
        <v>157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2738" operator="lessThan" dxfId="2">
      <formula>15.1</formula>
    </cfRule>
    <cfRule type="cellIs" priority="82739" operator="lessThan" dxfId="14000">
      <formula>18.1</formula>
    </cfRule>
    <cfRule type="cellIs" priority="82740" operator="lessThan" dxfId="13999">
      <formula>21.1</formula>
    </cfRule>
    <cfRule type="cellIs" priority="82741" operator="lessThan" dxfId="13998">
      <formula>24.1</formula>
    </cfRule>
    <cfRule type="cellIs" priority="82742" operator="lessThan" dxfId="1">
      <formula>30</formula>
    </cfRule>
    <cfRule type="cellIs" priority="82743" operator="lessThan" dxfId="13996">
      <formula>34.1</formula>
    </cfRule>
  </conditionalFormatting>
  <conditionalFormatting sqref="Z3">
    <cfRule type="colorScale" priority="827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2735" operator="greaterThan" dxfId="17">
      <formula>0.9</formula>
    </cfRule>
    <cfRule type="cellIs" priority="82736" operator="greaterThan" dxfId="16">
      <formula>0.85</formula>
    </cfRule>
  </conditionalFormatting>
  <conditionalFormatting sqref="N2">
    <cfRule type="cellIs" priority="82733" operator="greaterThan" dxfId="17">
      <formula>0.9</formula>
    </cfRule>
    <cfRule type="cellIs" priority="82734" operator="greaterThan" dxfId="16">
      <formula>0.85</formula>
    </cfRule>
  </conditionalFormatting>
  <conditionalFormatting sqref="AV4">
    <cfRule type="expression" priority="6587" dxfId="23">
      <formula>AV4="X"</formula>
    </cfRule>
    <cfRule type="expression" priority="6588" dxfId="22">
      <formula>AV4="후보"</formula>
    </cfRule>
  </conditionalFormatting>
  <conditionalFormatting sqref="AC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">
    <cfRule type="expression" priority="6579" dxfId="3">
      <formula>AND(IF(OR($Q4=1,$Q4=2),1,0),IF($X4&lt;=20,1,0))</formula>
    </cfRule>
    <cfRule type="expression" priority="6580" dxfId="2">
      <formula>AND(IF($Q4=2,1,0),IF($X4&lt;30,1,0))</formula>
    </cfRule>
    <cfRule type="expression" priority="6581" dxfId="1">
      <formula>AND(IF($Q4=3,1,0),IF($X4&lt;30,1,0))</formula>
    </cfRule>
    <cfRule type="expression" priority="6582" dxfId="0">
      <formula>AND(IF($Q4=3,1,IF($Q4=4,1,0)),IF($F4&lt;=85,1,0))</formula>
    </cfRule>
  </conditionalFormatting>
  <conditionalFormatting sqref="X4">
    <cfRule type="expression" priority="6575" dxfId="3">
      <formula>AND(IF(OR($Q4=1,$Q4=2),1,0),IF($X4&lt;=20,1,0))</formula>
    </cfRule>
    <cfRule type="expression" priority="6576" dxfId="2">
      <formula>AND(IF($Q4=2,1,0),IF($X4&lt;30,1,0))</formula>
    </cfRule>
    <cfRule type="expression" priority="6577" dxfId="1">
      <formula>AND(IF($Q4=3,1,0),IF($X4&lt;30,1,0))</formula>
    </cfRule>
    <cfRule type="expression" priority="6578" dxfId="0">
      <formula>AND(IF($Q4=3,1,IF($Q4=4,1,0)),IF($F4&lt;=85,1,0))</formula>
    </cfRule>
  </conditionalFormatting>
  <conditionalFormatting sqref="AI4">
    <cfRule type="expression" priority="6571" dxfId="3">
      <formula>AND(IF(OR($Q4=1,$Q4=2),1,0),IF($X4&lt;=20,1,0))</formula>
    </cfRule>
    <cfRule type="expression" priority="6572" dxfId="2">
      <formula>AND(IF($Q4=2,1,0),IF($X4&lt;30,1,0))</formula>
    </cfRule>
    <cfRule type="expression" priority="6573" dxfId="1">
      <formula>AND(IF($Q4=3,1,0),IF($X4&lt;30,1,0))</formula>
    </cfRule>
    <cfRule type="expression" priority="6574" dxfId="0">
      <formula>AND(IF($Q4=3,1,IF($Q4=4,1,0)),IF($F4&lt;=85,1,0))</formula>
    </cfRule>
  </conditionalFormatting>
  <conditionalFormatting sqref="AV5">
    <cfRule type="expression" priority="6569" dxfId="23">
      <formula>AV5="X"</formula>
    </cfRule>
    <cfRule type="expression" priority="6570" dxfId="22">
      <formula>AV5="후보"</formula>
    </cfRule>
  </conditionalFormatting>
  <conditionalFormatting sqref="AC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5">
    <cfRule type="expression" priority="6561" dxfId="3">
      <formula>AND(IF(OR($Q5=1,$Q5=2),1,0),IF($X5&lt;=20,1,0))</formula>
    </cfRule>
    <cfRule type="expression" priority="6562" dxfId="2">
      <formula>AND(IF($Q5=2,1,0),IF($X5&lt;30,1,0))</formula>
    </cfRule>
    <cfRule type="expression" priority="6563" dxfId="1">
      <formula>AND(IF($Q5=3,1,0),IF($X5&lt;30,1,0))</formula>
    </cfRule>
    <cfRule type="expression" priority="6564" dxfId="0">
      <formula>AND(IF($Q5=3,1,IF($Q5=4,1,0)),IF($F5&lt;=85,1,0))</formula>
    </cfRule>
  </conditionalFormatting>
  <conditionalFormatting sqref="X5">
    <cfRule type="expression" priority="6557" dxfId="3">
      <formula>AND(IF(OR($Q5=1,$Q5=2),1,0),IF($X5&lt;=20,1,0))</formula>
    </cfRule>
    <cfRule type="expression" priority="6558" dxfId="2">
      <formula>AND(IF($Q5=2,1,0),IF($X5&lt;30,1,0))</formula>
    </cfRule>
    <cfRule type="expression" priority="6559" dxfId="1">
      <formula>AND(IF($Q5=3,1,0),IF($X5&lt;30,1,0))</formula>
    </cfRule>
    <cfRule type="expression" priority="6560" dxfId="0">
      <formula>AND(IF($Q5=3,1,IF($Q5=4,1,0)),IF($F5&lt;=85,1,0))</formula>
    </cfRule>
  </conditionalFormatting>
  <conditionalFormatting sqref="AI5">
    <cfRule type="expression" priority="6553" dxfId="3">
      <formula>AND(IF(OR($Q5=1,$Q5=2),1,0),IF($X5&lt;=20,1,0))</formula>
    </cfRule>
    <cfRule type="expression" priority="6554" dxfId="2">
      <formula>AND(IF($Q5=2,1,0),IF($X5&lt;30,1,0))</formula>
    </cfRule>
    <cfRule type="expression" priority="6555" dxfId="1">
      <formula>AND(IF($Q5=3,1,0),IF($X5&lt;30,1,0))</formula>
    </cfRule>
    <cfRule type="expression" priority="6556" dxfId="0">
      <formula>AND(IF($Q5=3,1,IF($Q5=4,1,0)),IF($F5&lt;=85,1,0))</formula>
    </cfRule>
  </conditionalFormatting>
  <conditionalFormatting sqref="AV6">
    <cfRule type="expression" priority="6551" dxfId="23">
      <formula>AV6="X"</formula>
    </cfRule>
    <cfRule type="expression" priority="6552" dxfId="22">
      <formula>AV6="후보"</formula>
    </cfRule>
  </conditionalFormatting>
  <conditionalFormatting sqref="AC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">
    <cfRule type="expression" priority="6543" dxfId="3">
      <formula>AND(IF(OR($Q6=1,$Q6=2),1,0),IF($X6&lt;=20,1,0))</formula>
    </cfRule>
    <cfRule type="expression" priority="6544" dxfId="2">
      <formula>AND(IF($Q6=2,1,0),IF($X6&lt;30,1,0))</formula>
    </cfRule>
    <cfRule type="expression" priority="6545" dxfId="1">
      <formula>AND(IF($Q6=3,1,0),IF($X6&lt;30,1,0))</formula>
    </cfRule>
    <cfRule type="expression" priority="6546" dxfId="0">
      <formula>AND(IF($Q6=3,1,IF($Q6=4,1,0)),IF($F6&lt;=85,1,0))</formula>
    </cfRule>
  </conditionalFormatting>
  <conditionalFormatting sqref="X6">
    <cfRule type="expression" priority="6539" dxfId="3">
      <formula>AND(IF(OR($Q6=1,$Q6=2),1,0),IF($X6&lt;=20,1,0))</formula>
    </cfRule>
    <cfRule type="expression" priority="6540" dxfId="2">
      <formula>AND(IF($Q6=2,1,0),IF($X6&lt;30,1,0))</formula>
    </cfRule>
    <cfRule type="expression" priority="6541" dxfId="1">
      <formula>AND(IF($Q6=3,1,0),IF($X6&lt;30,1,0))</formula>
    </cfRule>
    <cfRule type="expression" priority="6542" dxfId="0">
      <formula>AND(IF($Q6=3,1,IF($Q6=4,1,0)),IF($F6&lt;=85,1,0))</formula>
    </cfRule>
  </conditionalFormatting>
  <conditionalFormatting sqref="AI6">
    <cfRule type="expression" priority="6535" dxfId="3">
      <formula>AND(IF(OR($Q6=1,$Q6=2),1,0),IF($X6&lt;=20,1,0))</formula>
    </cfRule>
    <cfRule type="expression" priority="6536" dxfId="2">
      <formula>AND(IF($Q6=2,1,0),IF($X6&lt;30,1,0))</formula>
    </cfRule>
    <cfRule type="expression" priority="6537" dxfId="1">
      <formula>AND(IF($Q6=3,1,0),IF($X6&lt;30,1,0))</formula>
    </cfRule>
    <cfRule type="expression" priority="6538" dxfId="0">
      <formula>AND(IF($Q6=3,1,IF($Q6=4,1,0)),IF($F6&lt;=85,1,0))</formula>
    </cfRule>
  </conditionalFormatting>
  <conditionalFormatting sqref="AV7">
    <cfRule type="expression" priority="6533" dxfId="23">
      <formula>AV7="X"</formula>
    </cfRule>
    <cfRule type="expression" priority="6534" dxfId="22">
      <formula>AV7="후보"</formula>
    </cfRule>
  </conditionalFormatting>
  <conditionalFormatting sqref="AC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7">
    <cfRule type="expression" priority="6525" dxfId="3">
      <formula>AND(IF(OR($Q7=1,$Q7=2),1,0),IF($X7&lt;=20,1,0))</formula>
    </cfRule>
    <cfRule type="expression" priority="6526" dxfId="2">
      <formula>AND(IF($Q7=2,1,0),IF($X7&lt;30,1,0))</formula>
    </cfRule>
    <cfRule type="expression" priority="6527" dxfId="1">
      <formula>AND(IF($Q7=3,1,0),IF($X7&lt;30,1,0))</formula>
    </cfRule>
    <cfRule type="expression" priority="6528" dxfId="0">
      <formula>AND(IF($Q7=3,1,IF($Q7=4,1,0)),IF($F7&lt;=85,1,0))</formula>
    </cfRule>
  </conditionalFormatting>
  <conditionalFormatting sqref="X7">
    <cfRule type="expression" priority="6521" dxfId="3">
      <formula>AND(IF(OR($Q7=1,$Q7=2),1,0),IF($X7&lt;=20,1,0))</formula>
    </cfRule>
    <cfRule type="expression" priority="6522" dxfId="2">
      <formula>AND(IF($Q7=2,1,0),IF($X7&lt;30,1,0))</formula>
    </cfRule>
    <cfRule type="expression" priority="6523" dxfId="1">
      <formula>AND(IF($Q7=3,1,0),IF($X7&lt;30,1,0))</formula>
    </cfRule>
    <cfRule type="expression" priority="6524" dxfId="0">
      <formula>AND(IF($Q7=3,1,IF($Q7=4,1,0)),IF($F7&lt;=85,1,0))</formula>
    </cfRule>
  </conditionalFormatting>
  <conditionalFormatting sqref="AI7">
    <cfRule type="expression" priority="6517" dxfId="3">
      <formula>AND(IF(OR($Q7=1,$Q7=2),1,0),IF($X7&lt;=20,1,0))</formula>
    </cfRule>
    <cfRule type="expression" priority="6518" dxfId="2">
      <formula>AND(IF($Q7=2,1,0),IF($X7&lt;30,1,0))</formula>
    </cfRule>
    <cfRule type="expression" priority="6519" dxfId="1">
      <formula>AND(IF($Q7=3,1,0),IF($X7&lt;30,1,0))</formula>
    </cfRule>
    <cfRule type="expression" priority="6520" dxfId="0">
      <formula>AND(IF($Q7=3,1,IF($Q7=4,1,0)),IF($F7&lt;=85,1,0))</formula>
    </cfRule>
  </conditionalFormatting>
  <conditionalFormatting sqref="AV8">
    <cfRule type="expression" priority="6515" dxfId="23">
      <formula>AV8="X"</formula>
    </cfRule>
    <cfRule type="expression" priority="6516" dxfId="22">
      <formula>AV8="후보"</formula>
    </cfRule>
  </conditionalFormatting>
  <conditionalFormatting sqref="AC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8">
    <cfRule type="expression" priority="6507" dxfId="3">
      <formula>AND(IF(OR($Q8=1,$Q8=2),1,0),IF($X8&lt;=20,1,0))</formula>
    </cfRule>
    <cfRule type="expression" priority="6508" dxfId="2">
      <formula>AND(IF($Q8=2,1,0),IF($X8&lt;30,1,0))</formula>
    </cfRule>
    <cfRule type="expression" priority="6509" dxfId="1">
      <formula>AND(IF($Q8=3,1,0),IF($X8&lt;30,1,0))</formula>
    </cfRule>
    <cfRule type="expression" priority="6510" dxfId="0">
      <formula>AND(IF($Q8=3,1,IF($Q8=4,1,0)),IF($F8&lt;=85,1,0))</formula>
    </cfRule>
  </conditionalFormatting>
  <conditionalFormatting sqref="X8">
    <cfRule type="expression" priority="6503" dxfId="3">
      <formula>AND(IF(OR($Q8=1,$Q8=2),1,0),IF($X8&lt;=20,1,0))</formula>
    </cfRule>
    <cfRule type="expression" priority="6504" dxfId="2">
      <formula>AND(IF($Q8=2,1,0),IF($X8&lt;30,1,0))</formula>
    </cfRule>
    <cfRule type="expression" priority="6505" dxfId="1">
      <formula>AND(IF($Q8=3,1,0),IF($X8&lt;30,1,0))</formula>
    </cfRule>
    <cfRule type="expression" priority="6506" dxfId="0">
      <formula>AND(IF($Q8=3,1,IF($Q8=4,1,0)),IF($F8&lt;=85,1,0))</formula>
    </cfRule>
  </conditionalFormatting>
  <conditionalFormatting sqref="AI8">
    <cfRule type="expression" priority="6499" dxfId="3">
      <formula>AND(IF(OR($Q8=1,$Q8=2),1,0),IF($X8&lt;=20,1,0))</formula>
    </cfRule>
    <cfRule type="expression" priority="6500" dxfId="2">
      <formula>AND(IF($Q8=2,1,0),IF($X8&lt;30,1,0))</formula>
    </cfRule>
    <cfRule type="expression" priority="6501" dxfId="1">
      <formula>AND(IF($Q8=3,1,0),IF($X8&lt;30,1,0))</formula>
    </cfRule>
    <cfRule type="expression" priority="6502" dxfId="0">
      <formula>AND(IF($Q8=3,1,IF($Q8=4,1,0)),IF($F8&lt;=85,1,0))</formula>
    </cfRule>
  </conditionalFormatting>
  <conditionalFormatting sqref="AV9">
    <cfRule type="expression" priority="6497" dxfId="23">
      <formula>AV9="X"</formula>
    </cfRule>
    <cfRule type="expression" priority="6498" dxfId="22">
      <formula>AV9="후보"</formula>
    </cfRule>
  </conditionalFormatting>
  <conditionalFormatting sqref="AC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">
    <cfRule type="expression" priority="6489" dxfId="3">
      <formula>AND(IF(OR($Q9=1,$Q9=2),1,0),IF($X9&lt;=20,1,0))</formula>
    </cfRule>
    <cfRule type="expression" priority="6490" dxfId="2">
      <formula>AND(IF($Q9=2,1,0),IF($X9&lt;30,1,0))</formula>
    </cfRule>
    <cfRule type="expression" priority="6491" dxfId="1">
      <formula>AND(IF($Q9=3,1,0),IF($X9&lt;30,1,0))</formula>
    </cfRule>
    <cfRule type="expression" priority="6492" dxfId="0">
      <formula>AND(IF($Q9=3,1,IF($Q9=4,1,0)),IF($F9&lt;=85,1,0))</formula>
    </cfRule>
  </conditionalFormatting>
  <conditionalFormatting sqref="X9">
    <cfRule type="expression" priority="6485" dxfId="3">
      <formula>AND(IF(OR($Q9=1,$Q9=2),1,0),IF($X9&lt;=20,1,0))</formula>
    </cfRule>
    <cfRule type="expression" priority="6486" dxfId="2">
      <formula>AND(IF($Q9=2,1,0),IF($X9&lt;30,1,0))</formula>
    </cfRule>
    <cfRule type="expression" priority="6487" dxfId="1">
      <formula>AND(IF($Q9=3,1,0),IF($X9&lt;30,1,0))</formula>
    </cfRule>
    <cfRule type="expression" priority="6488" dxfId="0">
      <formula>AND(IF($Q9=3,1,IF($Q9=4,1,0)),IF($F9&lt;=85,1,0))</formula>
    </cfRule>
  </conditionalFormatting>
  <conditionalFormatting sqref="AI9">
    <cfRule type="expression" priority="6481" dxfId="3">
      <formula>AND(IF(OR($Q9=1,$Q9=2),1,0),IF($X9&lt;=20,1,0))</formula>
    </cfRule>
    <cfRule type="expression" priority="6482" dxfId="2">
      <formula>AND(IF($Q9=2,1,0),IF($X9&lt;30,1,0))</formula>
    </cfRule>
    <cfRule type="expression" priority="6483" dxfId="1">
      <formula>AND(IF($Q9=3,1,0),IF($X9&lt;30,1,0))</formula>
    </cfRule>
    <cfRule type="expression" priority="6484" dxfId="0">
      <formula>AND(IF($Q9=3,1,IF($Q9=4,1,0)),IF($F9&lt;=85,1,0))</formula>
    </cfRule>
  </conditionalFormatting>
  <conditionalFormatting sqref="AV10">
    <cfRule type="expression" priority="6479" dxfId="23">
      <formula>AV10="X"</formula>
    </cfRule>
    <cfRule type="expression" priority="6480" dxfId="22">
      <formula>AV10="후보"</formula>
    </cfRule>
  </conditionalFormatting>
  <conditionalFormatting sqref="AC1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0">
    <cfRule type="expression" priority="6471" dxfId="3">
      <formula>AND(IF(OR($Q10=1,$Q10=2),1,0),IF($X10&lt;=20,1,0))</formula>
    </cfRule>
    <cfRule type="expression" priority="6472" dxfId="2">
      <formula>AND(IF($Q10=2,1,0),IF($X10&lt;30,1,0))</formula>
    </cfRule>
    <cfRule type="expression" priority="6473" dxfId="1">
      <formula>AND(IF($Q10=3,1,0),IF($X10&lt;30,1,0))</formula>
    </cfRule>
    <cfRule type="expression" priority="6474" dxfId="0">
      <formula>AND(IF($Q10=3,1,IF($Q10=4,1,0)),IF($F10&lt;=85,1,0))</formula>
    </cfRule>
  </conditionalFormatting>
  <conditionalFormatting sqref="X10">
    <cfRule type="expression" priority="6467" dxfId="3">
      <formula>AND(IF(OR($Q10=1,$Q10=2),1,0),IF($X10&lt;=20,1,0))</formula>
    </cfRule>
    <cfRule type="expression" priority="6468" dxfId="2">
      <formula>AND(IF($Q10=2,1,0),IF($X10&lt;30,1,0))</formula>
    </cfRule>
    <cfRule type="expression" priority="6469" dxfId="1">
      <formula>AND(IF($Q10=3,1,0),IF($X10&lt;30,1,0))</formula>
    </cfRule>
    <cfRule type="expression" priority="6470" dxfId="0">
      <formula>AND(IF($Q10=3,1,IF($Q10=4,1,0)),IF($F10&lt;=85,1,0))</formula>
    </cfRule>
  </conditionalFormatting>
  <conditionalFormatting sqref="AI10">
    <cfRule type="expression" priority="6463" dxfId="3">
      <formula>AND(IF(OR($Q10=1,$Q10=2),1,0),IF($X10&lt;=20,1,0))</formula>
    </cfRule>
    <cfRule type="expression" priority="6464" dxfId="2">
      <formula>AND(IF($Q10=2,1,0),IF($X10&lt;30,1,0))</formula>
    </cfRule>
    <cfRule type="expression" priority="6465" dxfId="1">
      <formula>AND(IF($Q10=3,1,0),IF($X10&lt;30,1,0))</formula>
    </cfRule>
    <cfRule type="expression" priority="6466" dxfId="0">
      <formula>AND(IF($Q10=3,1,IF($Q10=4,1,0)),IF($F10&lt;=85,1,0))</formula>
    </cfRule>
  </conditionalFormatting>
  <conditionalFormatting sqref="AV11">
    <cfRule type="expression" priority="6461" dxfId="23">
      <formula>AV11="X"</formula>
    </cfRule>
    <cfRule type="expression" priority="6462" dxfId="22">
      <formula>AV11="후보"</formula>
    </cfRule>
  </conditionalFormatting>
  <conditionalFormatting sqref="AC1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1">
    <cfRule type="expression" priority="6453" dxfId="3">
      <formula>AND(IF(OR($Q11=1,$Q11=2),1,0),IF($X11&lt;=20,1,0))</formula>
    </cfRule>
    <cfRule type="expression" priority="6454" dxfId="2">
      <formula>AND(IF($Q11=2,1,0),IF($X11&lt;30,1,0))</formula>
    </cfRule>
    <cfRule type="expression" priority="6455" dxfId="1">
      <formula>AND(IF($Q11=3,1,0),IF($X11&lt;30,1,0))</formula>
    </cfRule>
    <cfRule type="expression" priority="6456" dxfId="0">
      <formula>AND(IF($Q11=3,1,IF($Q11=4,1,0)),IF($F11&lt;=85,1,0))</formula>
    </cfRule>
  </conditionalFormatting>
  <conditionalFormatting sqref="X11">
    <cfRule type="expression" priority="6449" dxfId="3">
      <formula>AND(IF(OR($Q11=1,$Q11=2),1,0),IF($X11&lt;=20,1,0))</formula>
    </cfRule>
    <cfRule type="expression" priority="6450" dxfId="2">
      <formula>AND(IF($Q11=2,1,0),IF($X11&lt;30,1,0))</formula>
    </cfRule>
    <cfRule type="expression" priority="6451" dxfId="1">
      <formula>AND(IF($Q11=3,1,0),IF($X11&lt;30,1,0))</formula>
    </cfRule>
    <cfRule type="expression" priority="6452" dxfId="0">
      <formula>AND(IF($Q11=3,1,IF($Q11=4,1,0)),IF($F11&lt;=85,1,0))</formula>
    </cfRule>
  </conditionalFormatting>
  <conditionalFormatting sqref="AI11">
    <cfRule type="expression" priority="6445" dxfId="3">
      <formula>AND(IF(OR($Q11=1,$Q11=2),1,0),IF($X11&lt;=20,1,0))</formula>
    </cfRule>
    <cfRule type="expression" priority="6446" dxfId="2">
      <formula>AND(IF($Q11=2,1,0),IF($X11&lt;30,1,0))</formula>
    </cfRule>
    <cfRule type="expression" priority="6447" dxfId="1">
      <formula>AND(IF($Q11=3,1,0),IF($X11&lt;30,1,0))</formula>
    </cfRule>
    <cfRule type="expression" priority="6448" dxfId="0">
      <formula>AND(IF($Q11=3,1,IF($Q11=4,1,0)),IF($F11&lt;=85,1,0))</formula>
    </cfRule>
  </conditionalFormatting>
  <conditionalFormatting sqref="AV12">
    <cfRule type="expression" priority="6443" dxfId="23">
      <formula>AV12="X"</formula>
    </cfRule>
    <cfRule type="expression" priority="6444" dxfId="22">
      <formula>AV12="후보"</formula>
    </cfRule>
  </conditionalFormatting>
  <conditionalFormatting sqref="AC1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">
    <cfRule type="expression" priority="6435" dxfId="3">
      <formula>AND(IF(OR($Q12=1,$Q12=2),1,0),IF($X12&lt;=20,1,0))</formula>
    </cfRule>
    <cfRule type="expression" priority="6436" dxfId="2">
      <formula>AND(IF($Q12=2,1,0),IF($X12&lt;30,1,0))</formula>
    </cfRule>
    <cfRule type="expression" priority="6437" dxfId="1">
      <formula>AND(IF($Q12=3,1,0),IF($X12&lt;30,1,0))</formula>
    </cfRule>
    <cfRule type="expression" priority="6438" dxfId="0">
      <formula>AND(IF($Q12=3,1,IF($Q12=4,1,0)),IF($F12&lt;=85,1,0))</formula>
    </cfRule>
  </conditionalFormatting>
  <conditionalFormatting sqref="X12">
    <cfRule type="expression" priority="6431" dxfId="3">
      <formula>AND(IF(OR($Q12=1,$Q12=2),1,0),IF($X12&lt;=20,1,0))</formula>
    </cfRule>
    <cfRule type="expression" priority="6432" dxfId="2">
      <formula>AND(IF($Q12=2,1,0),IF($X12&lt;30,1,0))</formula>
    </cfRule>
    <cfRule type="expression" priority="6433" dxfId="1">
      <formula>AND(IF($Q12=3,1,0),IF($X12&lt;30,1,0))</formula>
    </cfRule>
    <cfRule type="expression" priority="6434" dxfId="0">
      <formula>AND(IF($Q12=3,1,IF($Q12=4,1,0)),IF($F12&lt;=85,1,0))</formula>
    </cfRule>
  </conditionalFormatting>
  <conditionalFormatting sqref="AI12">
    <cfRule type="expression" priority="6427" dxfId="3">
      <formula>AND(IF(OR($Q12=1,$Q12=2),1,0),IF($X12&lt;=20,1,0))</formula>
    </cfRule>
    <cfRule type="expression" priority="6428" dxfId="2">
      <formula>AND(IF($Q12=2,1,0),IF($X12&lt;30,1,0))</formula>
    </cfRule>
    <cfRule type="expression" priority="6429" dxfId="1">
      <formula>AND(IF($Q12=3,1,0),IF($X12&lt;30,1,0))</formula>
    </cfRule>
    <cfRule type="expression" priority="6430" dxfId="0">
      <formula>AND(IF($Q12=3,1,IF($Q12=4,1,0)),IF($F12&lt;=85,1,0))</formula>
    </cfRule>
  </conditionalFormatting>
  <conditionalFormatting sqref="AV13">
    <cfRule type="expression" priority="6425" dxfId="23">
      <formula>AV13="X"</formula>
    </cfRule>
    <cfRule type="expression" priority="6426" dxfId="22">
      <formula>AV13="후보"</formula>
    </cfRule>
  </conditionalFormatting>
  <conditionalFormatting sqref="AC1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">
    <cfRule type="expression" priority="6417" dxfId="3">
      <formula>AND(IF(OR($Q13=1,$Q13=2),1,0),IF($X13&lt;=20,1,0))</formula>
    </cfRule>
    <cfRule type="expression" priority="6418" dxfId="2">
      <formula>AND(IF($Q13=2,1,0),IF($X13&lt;30,1,0))</formula>
    </cfRule>
    <cfRule type="expression" priority="6419" dxfId="1">
      <formula>AND(IF($Q13=3,1,0),IF($X13&lt;30,1,0))</formula>
    </cfRule>
    <cfRule type="expression" priority="6420" dxfId="0">
      <formula>AND(IF($Q13=3,1,IF($Q13=4,1,0)),IF($F13&lt;=85,1,0))</formula>
    </cfRule>
  </conditionalFormatting>
  <conditionalFormatting sqref="X13">
    <cfRule type="expression" priority="6413" dxfId="3">
      <formula>AND(IF(OR($Q13=1,$Q13=2),1,0),IF($X13&lt;=20,1,0))</formula>
    </cfRule>
    <cfRule type="expression" priority="6414" dxfId="2">
      <formula>AND(IF($Q13=2,1,0),IF($X13&lt;30,1,0))</formula>
    </cfRule>
    <cfRule type="expression" priority="6415" dxfId="1">
      <formula>AND(IF($Q13=3,1,0),IF($X13&lt;30,1,0))</formula>
    </cfRule>
    <cfRule type="expression" priority="6416" dxfId="0">
      <formula>AND(IF($Q13=3,1,IF($Q13=4,1,0)),IF($F13&lt;=85,1,0))</formula>
    </cfRule>
  </conditionalFormatting>
  <conditionalFormatting sqref="AI13">
    <cfRule type="expression" priority="6409" dxfId="3">
      <formula>AND(IF(OR($Q13=1,$Q13=2),1,0),IF($X13&lt;=20,1,0))</formula>
    </cfRule>
    <cfRule type="expression" priority="6410" dxfId="2">
      <formula>AND(IF($Q13=2,1,0),IF($X13&lt;30,1,0))</formula>
    </cfRule>
    <cfRule type="expression" priority="6411" dxfId="1">
      <formula>AND(IF($Q13=3,1,0),IF($X13&lt;30,1,0))</formula>
    </cfRule>
    <cfRule type="expression" priority="6412" dxfId="0">
      <formula>AND(IF($Q13=3,1,IF($Q13=4,1,0)),IF($F13&lt;=85,1,0))</formula>
    </cfRule>
  </conditionalFormatting>
  <conditionalFormatting sqref="AV14">
    <cfRule type="expression" priority="6407" dxfId="23">
      <formula>AV14="X"</formula>
    </cfRule>
    <cfRule type="expression" priority="6408" dxfId="22">
      <formula>AV14="후보"</formula>
    </cfRule>
  </conditionalFormatting>
  <conditionalFormatting sqref="AC1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4">
    <cfRule type="expression" priority="6399" dxfId="3">
      <formula>AND(IF(OR($Q14=1,$Q14=2),1,0),IF($X14&lt;=20,1,0))</formula>
    </cfRule>
    <cfRule type="expression" priority="6400" dxfId="2">
      <formula>AND(IF($Q14=2,1,0),IF($X14&lt;30,1,0))</formula>
    </cfRule>
    <cfRule type="expression" priority="6401" dxfId="1">
      <formula>AND(IF($Q14=3,1,0),IF($X14&lt;30,1,0))</formula>
    </cfRule>
    <cfRule type="expression" priority="6402" dxfId="0">
      <formula>AND(IF($Q14=3,1,IF($Q14=4,1,0)),IF($F14&lt;=85,1,0))</formula>
    </cfRule>
  </conditionalFormatting>
  <conditionalFormatting sqref="X14">
    <cfRule type="expression" priority="6395" dxfId="3">
      <formula>AND(IF(OR($Q14=1,$Q14=2),1,0),IF($X14&lt;=20,1,0))</formula>
    </cfRule>
    <cfRule type="expression" priority="6396" dxfId="2">
      <formula>AND(IF($Q14=2,1,0),IF($X14&lt;30,1,0))</formula>
    </cfRule>
    <cfRule type="expression" priority="6397" dxfId="1">
      <formula>AND(IF($Q14=3,1,0),IF($X14&lt;30,1,0))</formula>
    </cfRule>
    <cfRule type="expression" priority="6398" dxfId="0">
      <formula>AND(IF($Q14=3,1,IF($Q14=4,1,0)),IF($F14&lt;=85,1,0))</formula>
    </cfRule>
  </conditionalFormatting>
  <conditionalFormatting sqref="AI14">
    <cfRule type="expression" priority="6391" dxfId="3">
      <formula>AND(IF(OR($Q14=1,$Q14=2),1,0),IF($X14&lt;=20,1,0))</formula>
    </cfRule>
    <cfRule type="expression" priority="6392" dxfId="2">
      <formula>AND(IF($Q14=2,1,0),IF($X14&lt;30,1,0))</formula>
    </cfRule>
    <cfRule type="expression" priority="6393" dxfId="1">
      <formula>AND(IF($Q14=3,1,0),IF($X14&lt;30,1,0))</formula>
    </cfRule>
    <cfRule type="expression" priority="6394" dxfId="0">
      <formula>AND(IF($Q14=3,1,IF($Q14=4,1,0)),IF($F14&lt;=85,1,0))</formula>
    </cfRule>
  </conditionalFormatting>
  <conditionalFormatting sqref="AV15">
    <cfRule type="expression" priority="6389" dxfId="23">
      <formula>AV15="X"</formula>
    </cfRule>
    <cfRule type="expression" priority="6390" dxfId="22">
      <formula>AV15="후보"</formula>
    </cfRule>
  </conditionalFormatting>
  <conditionalFormatting sqref="AC1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">
    <cfRule type="expression" priority="6381" dxfId="3">
      <formula>AND(IF(OR($Q15=1,$Q15=2),1,0),IF($X15&lt;=20,1,0))</formula>
    </cfRule>
    <cfRule type="expression" priority="6382" dxfId="2">
      <formula>AND(IF($Q15=2,1,0),IF($X15&lt;30,1,0))</formula>
    </cfRule>
    <cfRule type="expression" priority="6383" dxfId="1">
      <formula>AND(IF($Q15=3,1,0),IF($X15&lt;30,1,0))</formula>
    </cfRule>
    <cfRule type="expression" priority="6384" dxfId="0">
      <formula>AND(IF($Q15=3,1,IF($Q15=4,1,0)),IF($F15&lt;=85,1,0))</formula>
    </cfRule>
  </conditionalFormatting>
  <conditionalFormatting sqref="X15">
    <cfRule type="expression" priority="6377" dxfId="3">
      <formula>AND(IF(OR($Q15=1,$Q15=2),1,0),IF($X15&lt;=20,1,0))</formula>
    </cfRule>
    <cfRule type="expression" priority="6378" dxfId="2">
      <formula>AND(IF($Q15=2,1,0),IF($X15&lt;30,1,0))</formula>
    </cfRule>
    <cfRule type="expression" priority="6379" dxfId="1">
      <formula>AND(IF($Q15=3,1,0),IF($X15&lt;30,1,0))</formula>
    </cfRule>
    <cfRule type="expression" priority="6380" dxfId="0">
      <formula>AND(IF($Q15=3,1,IF($Q15=4,1,0)),IF($F15&lt;=85,1,0))</formula>
    </cfRule>
  </conditionalFormatting>
  <conditionalFormatting sqref="AI15">
    <cfRule type="expression" priority="6373" dxfId="3">
      <formula>AND(IF(OR($Q15=1,$Q15=2),1,0),IF($X15&lt;=20,1,0))</formula>
    </cfRule>
    <cfRule type="expression" priority="6374" dxfId="2">
      <formula>AND(IF($Q15=2,1,0),IF($X15&lt;30,1,0))</formula>
    </cfRule>
    <cfRule type="expression" priority="6375" dxfId="1">
      <formula>AND(IF($Q15=3,1,0),IF($X15&lt;30,1,0))</formula>
    </cfRule>
    <cfRule type="expression" priority="6376" dxfId="0">
      <formula>AND(IF($Q15=3,1,IF($Q15=4,1,0)),IF($F15&lt;=85,1,0))</formula>
    </cfRule>
  </conditionalFormatting>
  <conditionalFormatting sqref="AV16">
    <cfRule type="expression" priority="6371" dxfId="23">
      <formula>AV16="X"</formula>
    </cfRule>
    <cfRule type="expression" priority="6372" dxfId="22">
      <formula>AV16="후보"</formula>
    </cfRule>
  </conditionalFormatting>
  <conditionalFormatting sqref="AC1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6">
    <cfRule type="expression" priority="6363" dxfId="3">
      <formula>AND(IF(OR($Q16=1,$Q16=2),1,0),IF($X16&lt;=20,1,0))</formula>
    </cfRule>
    <cfRule type="expression" priority="6364" dxfId="2">
      <formula>AND(IF($Q16=2,1,0),IF($X16&lt;30,1,0))</formula>
    </cfRule>
    <cfRule type="expression" priority="6365" dxfId="1">
      <formula>AND(IF($Q16=3,1,0),IF($X16&lt;30,1,0))</formula>
    </cfRule>
    <cfRule type="expression" priority="6366" dxfId="0">
      <formula>AND(IF($Q16=3,1,IF($Q16=4,1,0)),IF($F16&lt;=85,1,0))</formula>
    </cfRule>
  </conditionalFormatting>
  <conditionalFormatting sqref="X16">
    <cfRule type="expression" priority="6359" dxfId="3">
      <formula>AND(IF(OR($Q16=1,$Q16=2),1,0),IF($X16&lt;=20,1,0))</formula>
    </cfRule>
    <cfRule type="expression" priority="6360" dxfId="2">
      <formula>AND(IF($Q16=2,1,0),IF($X16&lt;30,1,0))</formula>
    </cfRule>
    <cfRule type="expression" priority="6361" dxfId="1">
      <formula>AND(IF($Q16=3,1,0),IF($X16&lt;30,1,0))</formula>
    </cfRule>
    <cfRule type="expression" priority="6362" dxfId="0">
      <formula>AND(IF($Q16=3,1,IF($Q16=4,1,0)),IF($F16&lt;=85,1,0))</formula>
    </cfRule>
  </conditionalFormatting>
  <conditionalFormatting sqref="AI16">
    <cfRule type="expression" priority="6355" dxfId="3">
      <formula>AND(IF(OR($Q16=1,$Q16=2),1,0),IF($X16&lt;=20,1,0))</formula>
    </cfRule>
    <cfRule type="expression" priority="6356" dxfId="2">
      <formula>AND(IF($Q16=2,1,0),IF($X16&lt;30,1,0))</formula>
    </cfRule>
    <cfRule type="expression" priority="6357" dxfId="1">
      <formula>AND(IF($Q16=3,1,0),IF($X16&lt;30,1,0))</formula>
    </cfRule>
    <cfRule type="expression" priority="6358" dxfId="0">
      <formula>AND(IF($Q16=3,1,IF($Q16=4,1,0)),IF($F16&lt;=85,1,0))</formula>
    </cfRule>
  </conditionalFormatting>
  <conditionalFormatting sqref="AV17">
    <cfRule type="expression" priority="6353" dxfId="23">
      <formula>AV17="X"</formula>
    </cfRule>
    <cfRule type="expression" priority="6354" dxfId="22">
      <formula>AV17="후보"</formula>
    </cfRule>
  </conditionalFormatting>
  <conditionalFormatting sqref="AC1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7">
    <cfRule type="expression" priority="6345" dxfId="3">
      <formula>AND(IF(OR($Q17=1,$Q17=2),1,0),IF($X17&lt;=20,1,0))</formula>
    </cfRule>
    <cfRule type="expression" priority="6346" dxfId="2">
      <formula>AND(IF($Q17=2,1,0),IF($X17&lt;30,1,0))</formula>
    </cfRule>
    <cfRule type="expression" priority="6347" dxfId="1">
      <formula>AND(IF($Q17=3,1,0),IF($X17&lt;30,1,0))</formula>
    </cfRule>
    <cfRule type="expression" priority="6348" dxfId="0">
      <formula>AND(IF($Q17=3,1,IF($Q17=4,1,0)),IF($F17&lt;=85,1,0))</formula>
    </cfRule>
  </conditionalFormatting>
  <conditionalFormatting sqref="X17">
    <cfRule type="expression" priority="6341" dxfId="3">
      <formula>AND(IF(OR($Q17=1,$Q17=2),1,0),IF($X17&lt;=20,1,0))</formula>
    </cfRule>
    <cfRule type="expression" priority="6342" dxfId="2">
      <formula>AND(IF($Q17=2,1,0),IF($X17&lt;30,1,0))</formula>
    </cfRule>
    <cfRule type="expression" priority="6343" dxfId="1">
      <formula>AND(IF($Q17=3,1,0),IF($X17&lt;30,1,0))</formula>
    </cfRule>
    <cfRule type="expression" priority="6344" dxfId="0">
      <formula>AND(IF($Q17=3,1,IF($Q17=4,1,0)),IF($F17&lt;=85,1,0))</formula>
    </cfRule>
  </conditionalFormatting>
  <conditionalFormatting sqref="AI17">
    <cfRule type="expression" priority="6337" dxfId="3">
      <formula>AND(IF(OR($Q17=1,$Q17=2),1,0),IF($X17&lt;=20,1,0))</formula>
    </cfRule>
    <cfRule type="expression" priority="6338" dxfId="2">
      <formula>AND(IF($Q17=2,1,0),IF($X17&lt;30,1,0))</formula>
    </cfRule>
    <cfRule type="expression" priority="6339" dxfId="1">
      <formula>AND(IF($Q17=3,1,0),IF($X17&lt;30,1,0))</formula>
    </cfRule>
    <cfRule type="expression" priority="6340" dxfId="0">
      <formula>AND(IF($Q17=3,1,IF($Q17=4,1,0)),IF($F17&lt;=85,1,0))</formula>
    </cfRule>
  </conditionalFormatting>
  <conditionalFormatting sqref="AV18">
    <cfRule type="expression" priority="6335" dxfId="23">
      <formula>AV18="X"</formula>
    </cfRule>
    <cfRule type="expression" priority="6336" dxfId="22">
      <formula>AV18="후보"</formula>
    </cfRule>
  </conditionalFormatting>
  <conditionalFormatting sqref="AC1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">
    <cfRule type="expression" priority="6327" dxfId="3">
      <formula>AND(IF(OR($Q18=1,$Q18=2),1,0),IF($X18&lt;=20,1,0))</formula>
    </cfRule>
    <cfRule type="expression" priority="6328" dxfId="2">
      <formula>AND(IF($Q18=2,1,0),IF($X18&lt;30,1,0))</formula>
    </cfRule>
    <cfRule type="expression" priority="6329" dxfId="1">
      <formula>AND(IF($Q18=3,1,0),IF($X18&lt;30,1,0))</formula>
    </cfRule>
    <cfRule type="expression" priority="6330" dxfId="0">
      <formula>AND(IF($Q18=3,1,IF($Q18=4,1,0)),IF($F18&lt;=85,1,0))</formula>
    </cfRule>
  </conditionalFormatting>
  <conditionalFormatting sqref="X18">
    <cfRule type="expression" priority="6323" dxfId="3">
      <formula>AND(IF(OR($Q18=1,$Q18=2),1,0),IF($X18&lt;=20,1,0))</formula>
    </cfRule>
    <cfRule type="expression" priority="6324" dxfId="2">
      <formula>AND(IF($Q18=2,1,0),IF($X18&lt;30,1,0))</formula>
    </cfRule>
    <cfRule type="expression" priority="6325" dxfId="1">
      <formula>AND(IF($Q18=3,1,0),IF($X18&lt;30,1,0))</formula>
    </cfRule>
    <cfRule type="expression" priority="6326" dxfId="0">
      <formula>AND(IF($Q18=3,1,IF($Q18=4,1,0)),IF($F18&lt;=85,1,0))</formula>
    </cfRule>
  </conditionalFormatting>
  <conditionalFormatting sqref="AI18">
    <cfRule type="expression" priority="6319" dxfId="3">
      <formula>AND(IF(OR($Q18=1,$Q18=2),1,0),IF($X18&lt;=20,1,0))</formula>
    </cfRule>
    <cfRule type="expression" priority="6320" dxfId="2">
      <formula>AND(IF($Q18=2,1,0),IF($X18&lt;30,1,0))</formula>
    </cfRule>
    <cfRule type="expression" priority="6321" dxfId="1">
      <formula>AND(IF($Q18=3,1,0),IF($X18&lt;30,1,0))</formula>
    </cfRule>
    <cfRule type="expression" priority="6322" dxfId="0">
      <formula>AND(IF($Q18=3,1,IF($Q18=4,1,0)),IF($F18&lt;=85,1,0))</formula>
    </cfRule>
  </conditionalFormatting>
  <conditionalFormatting sqref="AV19">
    <cfRule type="expression" priority="6317" dxfId="23">
      <formula>AV19="X"</formula>
    </cfRule>
    <cfRule type="expression" priority="6318" dxfId="22">
      <formula>AV19="후보"</formula>
    </cfRule>
  </conditionalFormatting>
  <conditionalFormatting sqref="AC1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">
    <cfRule type="expression" priority="6309" dxfId="3">
      <formula>AND(IF(OR($Q19=1,$Q19=2),1,0),IF($X19&lt;=20,1,0))</formula>
    </cfRule>
    <cfRule type="expression" priority="6310" dxfId="2">
      <formula>AND(IF($Q19=2,1,0),IF($X19&lt;30,1,0))</formula>
    </cfRule>
    <cfRule type="expression" priority="6311" dxfId="1">
      <formula>AND(IF($Q19=3,1,0),IF($X19&lt;30,1,0))</formula>
    </cfRule>
    <cfRule type="expression" priority="6312" dxfId="0">
      <formula>AND(IF($Q19=3,1,IF($Q19=4,1,0)),IF($F19&lt;=85,1,0))</formula>
    </cfRule>
  </conditionalFormatting>
  <conditionalFormatting sqref="X19">
    <cfRule type="expression" priority="6305" dxfId="3">
      <formula>AND(IF(OR($Q19=1,$Q19=2),1,0),IF($X19&lt;=20,1,0))</formula>
    </cfRule>
    <cfRule type="expression" priority="6306" dxfId="2">
      <formula>AND(IF($Q19=2,1,0),IF($X19&lt;30,1,0))</formula>
    </cfRule>
    <cfRule type="expression" priority="6307" dxfId="1">
      <formula>AND(IF($Q19=3,1,0),IF($X19&lt;30,1,0))</formula>
    </cfRule>
    <cfRule type="expression" priority="6308" dxfId="0">
      <formula>AND(IF($Q19=3,1,IF($Q19=4,1,0)),IF($F19&lt;=85,1,0))</formula>
    </cfRule>
  </conditionalFormatting>
  <conditionalFormatting sqref="AI19">
    <cfRule type="expression" priority="6301" dxfId="3">
      <formula>AND(IF(OR($Q19=1,$Q19=2),1,0),IF($X19&lt;=20,1,0))</formula>
    </cfRule>
    <cfRule type="expression" priority="6302" dxfId="2">
      <formula>AND(IF($Q19=2,1,0),IF($X19&lt;30,1,0))</formula>
    </cfRule>
    <cfRule type="expression" priority="6303" dxfId="1">
      <formula>AND(IF($Q19=3,1,0),IF($X19&lt;30,1,0))</formula>
    </cfRule>
    <cfRule type="expression" priority="6304" dxfId="0">
      <formula>AND(IF($Q19=3,1,IF($Q19=4,1,0)),IF($F19&lt;=85,1,0))</formula>
    </cfRule>
  </conditionalFormatting>
  <conditionalFormatting sqref="AV20">
    <cfRule type="expression" priority="6299" dxfId="23">
      <formula>AV20="X"</formula>
    </cfRule>
    <cfRule type="expression" priority="6300" dxfId="22">
      <formula>AV20="후보"</formula>
    </cfRule>
  </conditionalFormatting>
  <conditionalFormatting sqref="AC2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0">
    <cfRule type="expression" priority="6291" dxfId="3">
      <formula>AND(IF(OR($Q20=1,$Q20=2),1,0),IF($X20&lt;=20,1,0))</formula>
    </cfRule>
    <cfRule type="expression" priority="6292" dxfId="2">
      <formula>AND(IF($Q20=2,1,0),IF($X20&lt;30,1,0))</formula>
    </cfRule>
    <cfRule type="expression" priority="6293" dxfId="1">
      <formula>AND(IF($Q20=3,1,0),IF($X20&lt;30,1,0))</formula>
    </cfRule>
    <cfRule type="expression" priority="6294" dxfId="0">
      <formula>AND(IF($Q20=3,1,IF($Q20=4,1,0)),IF($F20&lt;=85,1,0))</formula>
    </cfRule>
  </conditionalFormatting>
  <conditionalFormatting sqref="X20">
    <cfRule type="expression" priority="6287" dxfId="3">
      <formula>AND(IF(OR($Q20=1,$Q20=2),1,0),IF($X20&lt;=20,1,0))</formula>
    </cfRule>
    <cfRule type="expression" priority="6288" dxfId="2">
      <formula>AND(IF($Q20=2,1,0),IF($X20&lt;30,1,0))</formula>
    </cfRule>
    <cfRule type="expression" priority="6289" dxfId="1">
      <formula>AND(IF($Q20=3,1,0),IF($X20&lt;30,1,0))</formula>
    </cfRule>
    <cfRule type="expression" priority="6290" dxfId="0">
      <formula>AND(IF($Q20=3,1,IF($Q20=4,1,0)),IF($F20&lt;=85,1,0))</formula>
    </cfRule>
  </conditionalFormatting>
  <conditionalFormatting sqref="AI20">
    <cfRule type="expression" priority="6283" dxfId="3">
      <formula>AND(IF(OR($Q20=1,$Q20=2),1,0),IF($X20&lt;=20,1,0))</formula>
    </cfRule>
    <cfRule type="expression" priority="6284" dxfId="2">
      <formula>AND(IF($Q20=2,1,0),IF($X20&lt;30,1,0))</formula>
    </cfRule>
    <cfRule type="expression" priority="6285" dxfId="1">
      <formula>AND(IF($Q20=3,1,0),IF($X20&lt;30,1,0))</formula>
    </cfRule>
    <cfRule type="expression" priority="6286" dxfId="0">
      <formula>AND(IF($Q20=3,1,IF($Q20=4,1,0)),IF($F20&lt;=85,1,0))</formula>
    </cfRule>
  </conditionalFormatting>
  <conditionalFormatting sqref="AV21">
    <cfRule type="expression" priority="6281" dxfId="23">
      <formula>AV21="X"</formula>
    </cfRule>
    <cfRule type="expression" priority="6282" dxfId="22">
      <formula>AV21="후보"</formula>
    </cfRule>
  </conditionalFormatting>
  <conditionalFormatting sqref="AC2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">
    <cfRule type="expression" priority="6273" dxfId="3">
      <formula>AND(IF(OR($Q21=1,$Q21=2),1,0),IF($X21&lt;=20,1,0))</formula>
    </cfRule>
    <cfRule type="expression" priority="6274" dxfId="2">
      <formula>AND(IF($Q21=2,1,0),IF($X21&lt;30,1,0))</formula>
    </cfRule>
    <cfRule type="expression" priority="6275" dxfId="1">
      <formula>AND(IF($Q21=3,1,0),IF($X21&lt;30,1,0))</formula>
    </cfRule>
    <cfRule type="expression" priority="6276" dxfId="0">
      <formula>AND(IF($Q21=3,1,IF($Q21=4,1,0)),IF($F21&lt;=85,1,0))</formula>
    </cfRule>
  </conditionalFormatting>
  <conditionalFormatting sqref="X21">
    <cfRule type="expression" priority="6269" dxfId="3">
      <formula>AND(IF(OR($Q21=1,$Q21=2),1,0),IF($X21&lt;=20,1,0))</formula>
    </cfRule>
    <cfRule type="expression" priority="6270" dxfId="2">
      <formula>AND(IF($Q21=2,1,0),IF($X21&lt;30,1,0))</formula>
    </cfRule>
    <cfRule type="expression" priority="6271" dxfId="1">
      <formula>AND(IF($Q21=3,1,0),IF($X21&lt;30,1,0))</formula>
    </cfRule>
    <cfRule type="expression" priority="6272" dxfId="0">
      <formula>AND(IF($Q21=3,1,IF($Q21=4,1,0)),IF($F21&lt;=85,1,0))</formula>
    </cfRule>
  </conditionalFormatting>
  <conditionalFormatting sqref="AI21">
    <cfRule type="expression" priority="6265" dxfId="3">
      <formula>AND(IF(OR($Q21=1,$Q21=2),1,0),IF($X21&lt;=20,1,0))</formula>
    </cfRule>
    <cfRule type="expression" priority="6266" dxfId="2">
      <formula>AND(IF($Q21=2,1,0),IF($X21&lt;30,1,0))</formula>
    </cfRule>
    <cfRule type="expression" priority="6267" dxfId="1">
      <formula>AND(IF($Q21=3,1,0),IF($X21&lt;30,1,0))</formula>
    </cfRule>
    <cfRule type="expression" priority="6268" dxfId="0">
      <formula>AND(IF($Q21=3,1,IF($Q21=4,1,0)),IF($F21&lt;=85,1,0))</formula>
    </cfRule>
  </conditionalFormatting>
  <conditionalFormatting sqref="AV22">
    <cfRule type="expression" priority="6263" dxfId="23">
      <formula>AV22="X"</formula>
    </cfRule>
    <cfRule type="expression" priority="6264" dxfId="22">
      <formula>AV22="후보"</formula>
    </cfRule>
  </conditionalFormatting>
  <conditionalFormatting sqref="AC2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2">
    <cfRule type="expression" priority="6255" dxfId="3">
      <formula>AND(IF(OR($Q22=1,$Q22=2),1,0),IF($X22&lt;=20,1,0))</formula>
    </cfRule>
    <cfRule type="expression" priority="6256" dxfId="2">
      <formula>AND(IF($Q22=2,1,0),IF($X22&lt;30,1,0))</formula>
    </cfRule>
    <cfRule type="expression" priority="6257" dxfId="1">
      <formula>AND(IF($Q22=3,1,0),IF($X22&lt;30,1,0))</formula>
    </cfRule>
    <cfRule type="expression" priority="6258" dxfId="0">
      <formula>AND(IF($Q22=3,1,IF($Q22=4,1,0)),IF($F22&lt;=85,1,0))</formula>
    </cfRule>
  </conditionalFormatting>
  <conditionalFormatting sqref="X22">
    <cfRule type="expression" priority="6251" dxfId="3">
      <formula>AND(IF(OR($Q22=1,$Q22=2),1,0),IF($X22&lt;=20,1,0))</formula>
    </cfRule>
    <cfRule type="expression" priority="6252" dxfId="2">
      <formula>AND(IF($Q22=2,1,0),IF($X22&lt;30,1,0))</formula>
    </cfRule>
    <cfRule type="expression" priority="6253" dxfId="1">
      <formula>AND(IF($Q22=3,1,0),IF($X22&lt;30,1,0))</formula>
    </cfRule>
    <cfRule type="expression" priority="6254" dxfId="0">
      <formula>AND(IF($Q22=3,1,IF($Q22=4,1,0)),IF($F22&lt;=85,1,0))</formula>
    </cfRule>
  </conditionalFormatting>
  <conditionalFormatting sqref="AI22">
    <cfRule type="expression" priority="6247" dxfId="3">
      <formula>AND(IF(OR($Q22=1,$Q22=2),1,0),IF($X22&lt;=20,1,0))</formula>
    </cfRule>
    <cfRule type="expression" priority="6248" dxfId="2">
      <formula>AND(IF($Q22=2,1,0),IF($X22&lt;30,1,0))</formula>
    </cfRule>
    <cfRule type="expression" priority="6249" dxfId="1">
      <formula>AND(IF($Q22=3,1,0),IF($X22&lt;30,1,0))</formula>
    </cfRule>
    <cfRule type="expression" priority="6250" dxfId="0">
      <formula>AND(IF($Q22=3,1,IF($Q22=4,1,0)),IF($F22&lt;=85,1,0))</formula>
    </cfRule>
  </conditionalFormatting>
  <conditionalFormatting sqref="AV23">
    <cfRule type="expression" priority="6245" dxfId="23">
      <formula>AV23="X"</formula>
    </cfRule>
    <cfRule type="expression" priority="6246" dxfId="22">
      <formula>AV23="후보"</formula>
    </cfRule>
  </conditionalFormatting>
  <conditionalFormatting sqref="AC2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3">
    <cfRule type="expression" priority="6237" dxfId="3">
      <formula>AND(IF(OR($Q23=1,$Q23=2),1,0),IF($X23&lt;=20,1,0))</formula>
    </cfRule>
    <cfRule type="expression" priority="6238" dxfId="2">
      <formula>AND(IF($Q23=2,1,0),IF($X23&lt;30,1,0))</formula>
    </cfRule>
    <cfRule type="expression" priority="6239" dxfId="1">
      <formula>AND(IF($Q23=3,1,0),IF($X23&lt;30,1,0))</formula>
    </cfRule>
    <cfRule type="expression" priority="6240" dxfId="0">
      <formula>AND(IF($Q23=3,1,IF($Q23=4,1,0)),IF($F23&lt;=85,1,0))</formula>
    </cfRule>
  </conditionalFormatting>
  <conditionalFormatting sqref="X23">
    <cfRule type="expression" priority="6233" dxfId="3">
      <formula>AND(IF(OR($Q23=1,$Q23=2),1,0),IF($X23&lt;=20,1,0))</formula>
    </cfRule>
    <cfRule type="expression" priority="6234" dxfId="2">
      <formula>AND(IF($Q23=2,1,0),IF($X23&lt;30,1,0))</formula>
    </cfRule>
    <cfRule type="expression" priority="6235" dxfId="1">
      <formula>AND(IF($Q23=3,1,0),IF($X23&lt;30,1,0))</formula>
    </cfRule>
    <cfRule type="expression" priority="6236" dxfId="0">
      <formula>AND(IF($Q23=3,1,IF($Q23=4,1,0)),IF($F23&lt;=85,1,0))</formula>
    </cfRule>
  </conditionalFormatting>
  <conditionalFormatting sqref="AI23">
    <cfRule type="expression" priority="6229" dxfId="3">
      <formula>AND(IF(OR($Q23=1,$Q23=2),1,0),IF($X23&lt;=20,1,0))</formula>
    </cfRule>
    <cfRule type="expression" priority="6230" dxfId="2">
      <formula>AND(IF($Q23=2,1,0),IF($X23&lt;30,1,0))</formula>
    </cfRule>
    <cfRule type="expression" priority="6231" dxfId="1">
      <formula>AND(IF($Q23=3,1,0),IF($X23&lt;30,1,0))</formula>
    </cfRule>
    <cfRule type="expression" priority="6232" dxfId="0">
      <formula>AND(IF($Q23=3,1,IF($Q23=4,1,0)),IF($F23&lt;=85,1,0))</formula>
    </cfRule>
  </conditionalFormatting>
  <conditionalFormatting sqref="AV24">
    <cfRule type="expression" priority="6227" dxfId="23">
      <formula>AV24="X"</formula>
    </cfRule>
    <cfRule type="expression" priority="6228" dxfId="22">
      <formula>AV24="후보"</formula>
    </cfRule>
  </conditionalFormatting>
  <conditionalFormatting sqref="AC2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4">
    <cfRule type="expression" priority="6219" dxfId="3">
      <formula>AND(IF(OR($Q24=1,$Q24=2),1,0),IF($X24&lt;=20,1,0))</formula>
    </cfRule>
    <cfRule type="expression" priority="6220" dxfId="2">
      <formula>AND(IF($Q24=2,1,0),IF($X24&lt;30,1,0))</formula>
    </cfRule>
    <cfRule type="expression" priority="6221" dxfId="1">
      <formula>AND(IF($Q24=3,1,0),IF($X24&lt;30,1,0))</formula>
    </cfRule>
    <cfRule type="expression" priority="6222" dxfId="0">
      <formula>AND(IF($Q24=3,1,IF($Q24=4,1,0)),IF($F24&lt;=85,1,0))</formula>
    </cfRule>
  </conditionalFormatting>
  <conditionalFormatting sqref="X24">
    <cfRule type="expression" priority="6215" dxfId="3">
      <formula>AND(IF(OR($Q24=1,$Q24=2),1,0),IF($X24&lt;=20,1,0))</formula>
    </cfRule>
    <cfRule type="expression" priority="6216" dxfId="2">
      <formula>AND(IF($Q24=2,1,0),IF($X24&lt;30,1,0))</formula>
    </cfRule>
    <cfRule type="expression" priority="6217" dxfId="1">
      <formula>AND(IF($Q24=3,1,0),IF($X24&lt;30,1,0))</formula>
    </cfRule>
    <cfRule type="expression" priority="6218" dxfId="0">
      <formula>AND(IF($Q24=3,1,IF($Q24=4,1,0)),IF($F24&lt;=85,1,0))</formula>
    </cfRule>
  </conditionalFormatting>
  <conditionalFormatting sqref="AI24">
    <cfRule type="expression" priority="6211" dxfId="3">
      <formula>AND(IF(OR($Q24=1,$Q24=2),1,0),IF($X24&lt;=20,1,0))</formula>
    </cfRule>
    <cfRule type="expression" priority="6212" dxfId="2">
      <formula>AND(IF($Q24=2,1,0),IF($X24&lt;30,1,0))</formula>
    </cfRule>
    <cfRule type="expression" priority="6213" dxfId="1">
      <formula>AND(IF($Q24=3,1,0),IF($X24&lt;30,1,0))</formula>
    </cfRule>
    <cfRule type="expression" priority="6214" dxfId="0">
      <formula>AND(IF($Q24=3,1,IF($Q24=4,1,0)),IF($F24&lt;=85,1,0))</formula>
    </cfRule>
  </conditionalFormatting>
  <conditionalFormatting sqref="AV25">
    <cfRule type="expression" priority="6209" dxfId="23">
      <formula>AV25="X"</formula>
    </cfRule>
    <cfRule type="expression" priority="6210" dxfId="22">
      <formula>AV25="후보"</formula>
    </cfRule>
  </conditionalFormatting>
  <conditionalFormatting sqref="AC2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">
    <cfRule type="expression" priority="6201" dxfId="3">
      <formula>AND(IF(OR($Q25=1,$Q25=2),1,0),IF($X25&lt;=20,1,0))</formula>
    </cfRule>
    <cfRule type="expression" priority="6202" dxfId="2">
      <formula>AND(IF($Q25=2,1,0),IF($X25&lt;30,1,0))</formula>
    </cfRule>
    <cfRule type="expression" priority="6203" dxfId="1">
      <formula>AND(IF($Q25=3,1,0),IF($X25&lt;30,1,0))</formula>
    </cfRule>
    <cfRule type="expression" priority="6204" dxfId="0">
      <formula>AND(IF($Q25=3,1,IF($Q25=4,1,0)),IF($F25&lt;=85,1,0))</formula>
    </cfRule>
  </conditionalFormatting>
  <conditionalFormatting sqref="X25">
    <cfRule type="expression" priority="6197" dxfId="3">
      <formula>AND(IF(OR($Q25=1,$Q25=2),1,0),IF($X25&lt;=20,1,0))</formula>
    </cfRule>
    <cfRule type="expression" priority="6198" dxfId="2">
      <formula>AND(IF($Q25=2,1,0),IF($X25&lt;30,1,0))</formula>
    </cfRule>
    <cfRule type="expression" priority="6199" dxfId="1">
      <formula>AND(IF($Q25=3,1,0),IF($X25&lt;30,1,0))</formula>
    </cfRule>
    <cfRule type="expression" priority="6200" dxfId="0">
      <formula>AND(IF($Q25=3,1,IF($Q25=4,1,0)),IF($F25&lt;=85,1,0))</formula>
    </cfRule>
  </conditionalFormatting>
  <conditionalFormatting sqref="AI25">
    <cfRule type="expression" priority="6193" dxfId="3">
      <formula>AND(IF(OR($Q25=1,$Q25=2),1,0),IF($X25&lt;=20,1,0))</formula>
    </cfRule>
    <cfRule type="expression" priority="6194" dxfId="2">
      <formula>AND(IF($Q25=2,1,0),IF($X25&lt;30,1,0))</formula>
    </cfRule>
    <cfRule type="expression" priority="6195" dxfId="1">
      <formula>AND(IF($Q25=3,1,0),IF($X25&lt;30,1,0))</formula>
    </cfRule>
    <cfRule type="expression" priority="6196" dxfId="0">
      <formula>AND(IF($Q25=3,1,IF($Q25=4,1,0)),IF($F25&lt;=85,1,0))</formula>
    </cfRule>
  </conditionalFormatting>
  <conditionalFormatting sqref="AV26">
    <cfRule type="expression" priority="6191" dxfId="23">
      <formula>AV26="X"</formula>
    </cfRule>
    <cfRule type="expression" priority="6192" dxfId="22">
      <formula>AV26="후보"</formula>
    </cfRule>
  </conditionalFormatting>
  <conditionalFormatting sqref="AC2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6">
    <cfRule type="expression" priority="6183" dxfId="3">
      <formula>AND(IF(OR($Q26=1,$Q26=2),1,0),IF($X26&lt;=20,1,0))</formula>
    </cfRule>
    <cfRule type="expression" priority="6184" dxfId="2">
      <formula>AND(IF($Q26=2,1,0),IF($X26&lt;30,1,0))</formula>
    </cfRule>
    <cfRule type="expression" priority="6185" dxfId="1">
      <formula>AND(IF($Q26=3,1,0),IF($X26&lt;30,1,0))</formula>
    </cfRule>
    <cfRule type="expression" priority="6186" dxfId="0">
      <formula>AND(IF($Q26=3,1,IF($Q26=4,1,0)),IF($F26&lt;=85,1,0))</formula>
    </cfRule>
  </conditionalFormatting>
  <conditionalFormatting sqref="X26">
    <cfRule type="expression" priority="6179" dxfId="3">
      <formula>AND(IF(OR($Q26=1,$Q26=2),1,0),IF($X26&lt;=20,1,0))</formula>
    </cfRule>
    <cfRule type="expression" priority="6180" dxfId="2">
      <formula>AND(IF($Q26=2,1,0),IF($X26&lt;30,1,0))</formula>
    </cfRule>
    <cfRule type="expression" priority="6181" dxfId="1">
      <formula>AND(IF($Q26=3,1,0),IF($X26&lt;30,1,0))</formula>
    </cfRule>
    <cfRule type="expression" priority="6182" dxfId="0">
      <formula>AND(IF($Q26=3,1,IF($Q26=4,1,0)),IF($F26&lt;=85,1,0))</formula>
    </cfRule>
  </conditionalFormatting>
  <conditionalFormatting sqref="AI26">
    <cfRule type="expression" priority="6175" dxfId="3">
      <formula>AND(IF(OR($Q26=1,$Q26=2),1,0),IF($X26&lt;=20,1,0))</formula>
    </cfRule>
    <cfRule type="expression" priority="6176" dxfId="2">
      <formula>AND(IF($Q26=2,1,0),IF($X26&lt;30,1,0))</formula>
    </cfRule>
    <cfRule type="expression" priority="6177" dxfId="1">
      <formula>AND(IF($Q26=3,1,0),IF($X26&lt;30,1,0))</formula>
    </cfRule>
    <cfRule type="expression" priority="6178" dxfId="0">
      <formula>AND(IF($Q26=3,1,IF($Q26=4,1,0)),IF($F26&lt;=85,1,0))</formula>
    </cfRule>
  </conditionalFormatting>
  <conditionalFormatting sqref="AV27">
    <cfRule type="expression" priority="6173" dxfId="23">
      <formula>AV27="X"</formula>
    </cfRule>
    <cfRule type="expression" priority="6174" dxfId="22">
      <formula>AV27="후보"</formula>
    </cfRule>
  </conditionalFormatting>
  <conditionalFormatting sqref="AC2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">
    <cfRule type="expression" priority="6165" dxfId="3">
      <formula>AND(IF(OR($Q27=1,$Q27=2),1,0),IF($X27&lt;=20,1,0))</formula>
    </cfRule>
    <cfRule type="expression" priority="6166" dxfId="2">
      <formula>AND(IF($Q27=2,1,0),IF($X27&lt;30,1,0))</formula>
    </cfRule>
    <cfRule type="expression" priority="6167" dxfId="1">
      <formula>AND(IF($Q27=3,1,0),IF($X27&lt;30,1,0))</formula>
    </cfRule>
    <cfRule type="expression" priority="6168" dxfId="0">
      <formula>AND(IF($Q27=3,1,IF($Q27=4,1,0)),IF($F27&lt;=85,1,0))</formula>
    </cfRule>
  </conditionalFormatting>
  <conditionalFormatting sqref="X27">
    <cfRule type="expression" priority="6161" dxfId="3">
      <formula>AND(IF(OR($Q27=1,$Q27=2),1,0),IF($X27&lt;=20,1,0))</formula>
    </cfRule>
    <cfRule type="expression" priority="6162" dxfId="2">
      <formula>AND(IF($Q27=2,1,0),IF($X27&lt;30,1,0))</formula>
    </cfRule>
    <cfRule type="expression" priority="6163" dxfId="1">
      <formula>AND(IF($Q27=3,1,0),IF($X27&lt;30,1,0))</formula>
    </cfRule>
    <cfRule type="expression" priority="6164" dxfId="0">
      <formula>AND(IF($Q27=3,1,IF($Q27=4,1,0)),IF($F27&lt;=85,1,0))</formula>
    </cfRule>
  </conditionalFormatting>
  <conditionalFormatting sqref="AI27">
    <cfRule type="expression" priority="6157" dxfId="3">
      <formula>AND(IF(OR($Q27=1,$Q27=2),1,0),IF($X27&lt;=20,1,0))</formula>
    </cfRule>
    <cfRule type="expression" priority="6158" dxfId="2">
      <formula>AND(IF($Q27=2,1,0),IF($X27&lt;30,1,0))</formula>
    </cfRule>
    <cfRule type="expression" priority="6159" dxfId="1">
      <formula>AND(IF($Q27=3,1,0),IF($X27&lt;30,1,0))</formula>
    </cfRule>
    <cfRule type="expression" priority="6160" dxfId="0">
      <formula>AND(IF($Q27=3,1,IF($Q27=4,1,0)),IF($F27&lt;=85,1,0))</formula>
    </cfRule>
  </conditionalFormatting>
  <conditionalFormatting sqref="AV28">
    <cfRule type="expression" priority="6155" dxfId="23">
      <formula>AV28="X"</formula>
    </cfRule>
    <cfRule type="expression" priority="6156" dxfId="22">
      <formula>AV28="후보"</formula>
    </cfRule>
  </conditionalFormatting>
  <conditionalFormatting sqref="AC2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8">
    <cfRule type="expression" priority="6147" dxfId="3">
      <formula>AND(IF(OR($Q28=1,$Q28=2),1,0),IF($X28&lt;=20,1,0))</formula>
    </cfRule>
    <cfRule type="expression" priority="6148" dxfId="2">
      <formula>AND(IF($Q28=2,1,0),IF($X28&lt;30,1,0))</formula>
    </cfRule>
    <cfRule type="expression" priority="6149" dxfId="1">
      <formula>AND(IF($Q28=3,1,0),IF($X28&lt;30,1,0))</formula>
    </cfRule>
    <cfRule type="expression" priority="6150" dxfId="0">
      <formula>AND(IF($Q28=3,1,IF($Q28=4,1,0)),IF($F28&lt;=85,1,0))</formula>
    </cfRule>
  </conditionalFormatting>
  <conditionalFormatting sqref="X28">
    <cfRule type="expression" priority="6143" dxfId="3">
      <formula>AND(IF(OR($Q28=1,$Q28=2),1,0),IF($X28&lt;=20,1,0))</formula>
    </cfRule>
    <cfRule type="expression" priority="6144" dxfId="2">
      <formula>AND(IF($Q28=2,1,0),IF($X28&lt;30,1,0))</formula>
    </cfRule>
    <cfRule type="expression" priority="6145" dxfId="1">
      <formula>AND(IF($Q28=3,1,0),IF($X28&lt;30,1,0))</formula>
    </cfRule>
    <cfRule type="expression" priority="6146" dxfId="0">
      <formula>AND(IF($Q28=3,1,IF($Q28=4,1,0)),IF($F28&lt;=85,1,0))</formula>
    </cfRule>
  </conditionalFormatting>
  <conditionalFormatting sqref="AI28">
    <cfRule type="expression" priority="6139" dxfId="3">
      <formula>AND(IF(OR($Q28=1,$Q28=2),1,0),IF($X28&lt;=20,1,0))</formula>
    </cfRule>
    <cfRule type="expression" priority="6140" dxfId="2">
      <formula>AND(IF($Q28=2,1,0),IF($X28&lt;30,1,0))</formula>
    </cfRule>
    <cfRule type="expression" priority="6141" dxfId="1">
      <formula>AND(IF($Q28=3,1,0),IF($X28&lt;30,1,0))</formula>
    </cfRule>
    <cfRule type="expression" priority="6142" dxfId="0">
      <formula>AND(IF($Q28=3,1,IF($Q28=4,1,0)),IF($F28&lt;=85,1,0))</formula>
    </cfRule>
  </conditionalFormatting>
  <conditionalFormatting sqref="AV29">
    <cfRule type="expression" priority="6137" dxfId="23">
      <formula>AV29="X"</formula>
    </cfRule>
    <cfRule type="expression" priority="6138" dxfId="22">
      <formula>AV29="후보"</formula>
    </cfRule>
  </conditionalFormatting>
  <conditionalFormatting sqref="AC2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9">
    <cfRule type="expression" priority="6129" dxfId="3">
      <formula>AND(IF(OR($Q29=1,$Q29=2),1,0),IF($X29&lt;=20,1,0))</formula>
    </cfRule>
    <cfRule type="expression" priority="6130" dxfId="2">
      <formula>AND(IF($Q29=2,1,0),IF($X29&lt;30,1,0))</formula>
    </cfRule>
    <cfRule type="expression" priority="6131" dxfId="1">
      <formula>AND(IF($Q29=3,1,0),IF($X29&lt;30,1,0))</formula>
    </cfRule>
    <cfRule type="expression" priority="6132" dxfId="0">
      <formula>AND(IF($Q29=3,1,IF($Q29=4,1,0)),IF($F29&lt;=85,1,0))</formula>
    </cfRule>
  </conditionalFormatting>
  <conditionalFormatting sqref="X29">
    <cfRule type="expression" priority="6125" dxfId="3">
      <formula>AND(IF(OR($Q29=1,$Q29=2),1,0),IF($X29&lt;=20,1,0))</formula>
    </cfRule>
    <cfRule type="expression" priority="6126" dxfId="2">
      <formula>AND(IF($Q29=2,1,0),IF($X29&lt;30,1,0))</formula>
    </cfRule>
    <cfRule type="expression" priority="6127" dxfId="1">
      <formula>AND(IF($Q29=3,1,0),IF($X29&lt;30,1,0))</formula>
    </cfRule>
    <cfRule type="expression" priority="6128" dxfId="0">
      <formula>AND(IF($Q29=3,1,IF($Q29=4,1,0)),IF($F29&lt;=85,1,0))</formula>
    </cfRule>
  </conditionalFormatting>
  <conditionalFormatting sqref="AI29">
    <cfRule type="expression" priority="6121" dxfId="3">
      <formula>AND(IF(OR($Q29=1,$Q29=2),1,0),IF($X29&lt;=20,1,0))</formula>
    </cfRule>
    <cfRule type="expression" priority="6122" dxfId="2">
      <formula>AND(IF($Q29=2,1,0),IF($X29&lt;30,1,0))</formula>
    </cfRule>
    <cfRule type="expression" priority="6123" dxfId="1">
      <formula>AND(IF($Q29=3,1,0),IF($X29&lt;30,1,0))</formula>
    </cfRule>
    <cfRule type="expression" priority="6124" dxfId="0">
      <formula>AND(IF($Q29=3,1,IF($Q29=4,1,0)),IF($F29&lt;=85,1,0))</formula>
    </cfRule>
  </conditionalFormatting>
  <conditionalFormatting sqref="AV30">
    <cfRule type="expression" priority="6119" dxfId="23">
      <formula>AV30="X"</formula>
    </cfRule>
    <cfRule type="expression" priority="6120" dxfId="22">
      <formula>AV30="후보"</formula>
    </cfRule>
  </conditionalFormatting>
  <conditionalFormatting sqref="AC3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">
    <cfRule type="expression" priority="6111" dxfId="3">
      <formula>AND(IF(OR($Q30=1,$Q30=2),1,0),IF($X30&lt;=20,1,0))</formula>
    </cfRule>
    <cfRule type="expression" priority="6112" dxfId="2">
      <formula>AND(IF($Q30=2,1,0),IF($X30&lt;30,1,0))</formula>
    </cfRule>
    <cfRule type="expression" priority="6113" dxfId="1">
      <formula>AND(IF($Q30=3,1,0),IF($X30&lt;30,1,0))</formula>
    </cfRule>
    <cfRule type="expression" priority="6114" dxfId="0">
      <formula>AND(IF($Q30=3,1,IF($Q30=4,1,0)),IF($F30&lt;=85,1,0))</formula>
    </cfRule>
  </conditionalFormatting>
  <conditionalFormatting sqref="X30">
    <cfRule type="expression" priority="6107" dxfId="3">
      <formula>AND(IF(OR($Q30=1,$Q30=2),1,0),IF($X30&lt;=20,1,0))</formula>
    </cfRule>
    <cfRule type="expression" priority="6108" dxfId="2">
      <formula>AND(IF($Q30=2,1,0),IF($X30&lt;30,1,0))</formula>
    </cfRule>
    <cfRule type="expression" priority="6109" dxfId="1">
      <formula>AND(IF($Q30=3,1,0),IF($X30&lt;30,1,0))</formula>
    </cfRule>
    <cfRule type="expression" priority="6110" dxfId="0">
      <formula>AND(IF($Q30=3,1,IF($Q30=4,1,0)),IF($F30&lt;=85,1,0))</formula>
    </cfRule>
  </conditionalFormatting>
  <conditionalFormatting sqref="AI30">
    <cfRule type="expression" priority="6103" dxfId="3">
      <formula>AND(IF(OR($Q30=1,$Q30=2),1,0),IF($X30&lt;=20,1,0))</formula>
    </cfRule>
    <cfRule type="expression" priority="6104" dxfId="2">
      <formula>AND(IF($Q30=2,1,0),IF($X30&lt;30,1,0))</formula>
    </cfRule>
    <cfRule type="expression" priority="6105" dxfId="1">
      <formula>AND(IF($Q30=3,1,0),IF($X30&lt;30,1,0))</formula>
    </cfRule>
    <cfRule type="expression" priority="6106" dxfId="0">
      <formula>AND(IF($Q30=3,1,IF($Q30=4,1,0)),IF($F30&lt;=85,1,0))</formula>
    </cfRule>
  </conditionalFormatting>
  <conditionalFormatting sqref="AV31">
    <cfRule type="expression" priority="6101" dxfId="23">
      <formula>AV31="X"</formula>
    </cfRule>
    <cfRule type="expression" priority="6102" dxfId="22">
      <formula>AV31="후보"</formula>
    </cfRule>
  </conditionalFormatting>
  <conditionalFormatting sqref="AC3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">
    <cfRule type="expression" priority="6093" dxfId="3">
      <formula>AND(IF(OR($Q31=1,$Q31=2),1,0),IF($X31&lt;=20,1,0))</formula>
    </cfRule>
    <cfRule type="expression" priority="6094" dxfId="2">
      <formula>AND(IF($Q31=2,1,0),IF($X31&lt;30,1,0))</formula>
    </cfRule>
    <cfRule type="expression" priority="6095" dxfId="1">
      <formula>AND(IF($Q31=3,1,0),IF($X31&lt;30,1,0))</formula>
    </cfRule>
    <cfRule type="expression" priority="6096" dxfId="0">
      <formula>AND(IF($Q31=3,1,IF($Q31=4,1,0)),IF($F31&lt;=85,1,0))</formula>
    </cfRule>
  </conditionalFormatting>
  <conditionalFormatting sqref="X31">
    <cfRule type="expression" priority="6089" dxfId="3">
      <formula>AND(IF(OR($Q31=1,$Q31=2),1,0),IF($X31&lt;=20,1,0))</formula>
    </cfRule>
    <cfRule type="expression" priority="6090" dxfId="2">
      <formula>AND(IF($Q31=2,1,0),IF($X31&lt;30,1,0))</formula>
    </cfRule>
    <cfRule type="expression" priority="6091" dxfId="1">
      <formula>AND(IF($Q31=3,1,0),IF($X31&lt;30,1,0))</formula>
    </cfRule>
    <cfRule type="expression" priority="6092" dxfId="0">
      <formula>AND(IF($Q31=3,1,IF($Q31=4,1,0)),IF($F31&lt;=85,1,0))</formula>
    </cfRule>
  </conditionalFormatting>
  <conditionalFormatting sqref="AI31">
    <cfRule type="expression" priority="6085" dxfId="3">
      <formula>AND(IF(OR($Q31=1,$Q31=2),1,0),IF($X31&lt;=20,1,0))</formula>
    </cfRule>
    <cfRule type="expression" priority="6086" dxfId="2">
      <formula>AND(IF($Q31=2,1,0),IF($X31&lt;30,1,0))</formula>
    </cfRule>
    <cfRule type="expression" priority="6087" dxfId="1">
      <formula>AND(IF($Q31=3,1,0),IF($X31&lt;30,1,0))</formula>
    </cfRule>
    <cfRule type="expression" priority="6088" dxfId="0">
      <formula>AND(IF($Q31=3,1,IF($Q31=4,1,0)),IF($F31&lt;=85,1,0))</formula>
    </cfRule>
  </conditionalFormatting>
  <conditionalFormatting sqref="AV32">
    <cfRule type="expression" priority="6083" dxfId="23">
      <formula>AV32="X"</formula>
    </cfRule>
    <cfRule type="expression" priority="6084" dxfId="22">
      <formula>AV32="후보"</formula>
    </cfRule>
  </conditionalFormatting>
  <conditionalFormatting sqref="AC3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2">
    <cfRule type="expression" priority="6075" dxfId="3">
      <formula>AND(IF(OR($Q32=1,$Q32=2),1,0),IF($X32&lt;=20,1,0))</formula>
    </cfRule>
    <cfRule type="expression" priority="6076" dxfId="2">
      <formula>AND(IF($Q32=2,1,0),IF($X32&lt;30,1,0))</formula>
    </cfRule>
    <cfRule type="expression" priority="6077" dxfId="1">
      <formula>AND(IF($Q32=3,1,0),IF($X32&lt;30,1,0))</formula>
    </cfRule>
    <cfRule type="expression" priority="6078" dxfId="0">
      <formula>AND(IF($Q32=3,1,IF($Q32=4,1,0)),IF($F32&lt;=85,1,0))</formula>
    </cfRule>
  </conditionalFormatting>
  <conditionalFormatting sqref="X32">
    <cfRule type="expression" priority="6071" dxfId="3">
      <formula>AND(IF(OR($Q32=1,$Q32=2),1,0),IF($X32&lt;=20,1,0))</formula>
    </cfRule>
    <cfRule type="expression" priority="6072" dxfId="2">
      <formula>AND(IF($Q32=2,1,0),IF($X32&lt;30,1,0))</formula>
    </cfRule>
    <cfRule type="expression" priority="6073" dxfId="1">
      <formula>AND(IF($Q32=3,1,0),IF($X32&lt;30,1,0))</formula>
    </cfRule>
    <cfRule type="expression" priority="6074" dxfId="0">
      <formula>AND(IF($Q32=3,1,IF($Q32=4,1,0)),IF($F32&lt;=85,1,0))</formula>
    </cfRule>
  </conditionalFormatting>
  <conditionalFormatting sqref="AI32">
    <cfRule type="expression" priority="6067" dxfId="3">
      <formula>AND(IF(OR($Q32=1,$Q32=2),1,0),IF($X32&lt;=20,1,0))</formula>
    </cfRule>
    <cfRule type="expression" priority="6068" dxfId="2">
      <formula>AND(IF($Q32=2,1,0),IF($X32&lt;30,1,0))</formula>
    </cfRule>
    <cfRule type="expression" priority="6069" dxfId="1">
      <formula>AND(IF($Q32=3,1,0),IF($X32&lt;30,1,0))</formula>
    </cfRule>
    <cfRule type="expression" priority="6070" dxfId="0">
      <formula>AND(IF($Q32=3,1,IF($Q32=4,1,0)),IF($F32&lt;=85,1,0))</formula>
    </cfRule>
  </conditionalFormatting>
  <conditionalFormatting sqref="AV33">
    <cfRule type="expression" priority="6065" dxfId="23">
      <formula>AV33="X"</formula>
    </cfRule>
    <cfRule type="expression" priority="6066" dxfId="22">
      <formula>AV33="후보"</formula>
    </cfRule>
  </conditionalFormatting>
  <conditionalFormatting sqref="AC3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3">
    <cfRule type="expression" priority="6057" dxfId="3">
      <formula>AND(IF(OR($Q33=1,$Q33=2),1,0),IF($X33&lt;=20,1,0))</formula>
    </cfRule>
    <cfRule type="expression" priority="6058" dxfId="2">
      <formula>AND(IF($Q33=2,1,0),IF($X33&lt;30,1,0))</formula>
    </cfRule>
    <cfRule type="expression" priority="6059" dxfId="1">
      <formula>AND(IF($Q33=3,1,0),IF($X33&lt;30,1,0))</formula>
    </cfRule>
    <cfRule type="expression" priority="6060" dxfId="0">
      <formula>AND(IF($Q33=3,1,IF($Q33=4,1,0)),IF($F33&lt;=85,1,0))</formula>
    </cfRule>
  </conditionalFormatting>
  <conditionalFormatting sqref="X33">
    <cfRule type="expression" priority="6053" dxfId="3">
      <formula>AND(IF(OR($Q33=1,$Q33=2),1,0),IF($X33&lt;=20,1,0))</formula>
    </cfRule>
    <cfRule type="expression" priority="6054" dxfId="2">
      <formula>AND(IF($Q33=2,1,0),IF($X33&lt;30,1,0))</formula>
    </cfRule>
    <cfRule type="expression" priority="6055" dxfId="1">
      <formula>AND(IF($Q33=3,1,0),IF($X33&lt;30,1,0))</formula>
    </cfRule>
    <cfRule type="expression" priority="6056" dxfId="0">
      <formula>AND(IF($Q33=3,1,IF($Q33=4,1,0)),IF($F33&lt;=85,1,0))</formula>
    </cfRule>
  </conditionalFormatting>
  <conditionalFormatting sqref="AI33">
    <cfRule type="expression" priority="6049" dxfId="3">
      <formula>AND(IF(OR($Q33=1,$Q33=2),1,0),IF($X33&lt;=20,1,0))</formula>
    </cfRule>
    <cfRule type="expression" priority="6050" dxfId="2">
      <formula>AND(IF($Q33=2,1,0),IF($X33&lt;30,1,0))</formula>
    </cfRule>
    <cfRule type="expression" priority="6051" dxfId="1">
      <formula>AND(IF($Q33=3,1,0),IF($X33&lt;30,1,0))</formula>
    </cfRule>
    <cfRule type="expression" priority="6052" dxfId="0">
      <formula>AND(IF($Q33=3,1,IF($Q33=4,1,0)),IF($F33&lt;=85,1,0))</formula>
    </cfRule>
  </conditionalFormatting>
  <conditionalFormatting sqref="AV34">
    <cfRule type="expression" priority="6047" dxfId="23">
      <formula>AV34="X"</formula>
    </cfRule>
    <cfRule type="expression" priority="6048" dxfId="22">
      <formula>AV34="후보"</formula>
    </cfRule>
  </conditionalFormatting>
  <conditionalFormatting sqref="AC3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4">
    <cfRule type="expression" priority="6039" dxfId="3">
      <formula>AND(IF(OR($Q34=1,$Q34=2),1,0),IF($X34&lt;=20,1,0))</formula>
    </cfRule>
    <cfRule type="expression" priority="6040" dxfId="2">
      <formula>AND(IF($Q34=2,1,0),IF($X34&lt;30,1,0))</formula>
    </cfRule>
    <cfRule type="expression" priority="6041" dxfId="1">
      <formula>AND(IF($Q34=3,1,0),IF($X34&lt;30,1,0))</formula>
    </cfRule>
    <cfRule type="expression" priority="6042" dxfId="0">
      <formula>AND(IF($Q34=3,1,IF($Q34=4,1,0)),IF($F34&lt;=85,1,0))</formula>
    </cfRule>
  </conditionalFormatting>
  <conditionalFormatting sqref="X34">
    <cfRule type="expression" priority="6035" dxfId="3">
      <formula>AND(IF(OR($Q34=1,$Q34=2),1,0),IF($X34&lt;=20,1,0))</formula>
    </cfRule>
    <cfRule type="expression" priority="6036" dxfId="2">
      <formula>AND(IF($Q34=2,1,0),IF($X34&lt;30,1,0))</formula>
    </cfRule>
    <cfRule type="expression" priority="6037" dxfId="1">
      <formula>AND(IF($Q34=3,1,0),IF($X34&lt;30,1,0))</formula>
    </cfRule>
    <cfRule type="expression" priority="6038" dxfId="0">
      <formula>AND(IF($Q34=3,1,IF($Q34=4,1,0)),IF($F34&lt;=85,1,0))</formula>
    </cfRule>
  </conditionalFormatting>
  <conditionalFormatting sqref="AI34">
    <cfRule type="expression" priority="6031" dxfId="3">
      <formula>AND(IF(OR($Q34=1,$Q34=2),1,0),IF($X34&lt;=20,1,0))</formula>
    </cfRule>
    <cfRule type="expression" priority="6032" dxfId="2">
      <formula>AND(IF($Q34=2,1,0),IF($X34&lt;30,1,0))</formula>
    </cfRule>
    <cfRule type="expression" priority="6033" dxfId="1">
      <formula>AND(IF($Q34=3,1,0),IF($X34&lt;30,1,0))</formula>
    </cfRule>
    <cfRule type="expression" priority="6034" dxfId="0">
      <formula>AND(IF($Q34=3,1,IF($Q34=4,1,0)),IF($F34&lt;=85,1,0))</formula>
    </cfRule>
  </conditionalFormatting>
  <conditionalFormatting sqref="AV35">
    <cfRule type="expression" priority="6029" dxfId="23">
      <formula>AV35="X"</formula>
    </cfRule>
    <cfRule type="expression" priority="6030" dxfId="22">
      <formula>AV35="후보"</formula>
    </cfRule>
  </conditionalFormatting>
  <conditionalFormatting sqref="AC3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5">
    <cfRule type="expression" priority="6021" dxfId="3">
      <formula>AND(IF(OR($Q35=1,$Q35=2),1,0),IF($X35&lt;=20,1,0))</formula>
    </cfRule>
    <cfRule type="expression" priority="6022" dxfId="2">
      <formula>AND(IF($Q35=2,1,0),IF($X35&lt;30,1,0))</formula>
    </cfRule>
    <cfRule type="expression" priority="6023" dxfId="1">
      <formula>AND(IF($Q35=3,1,0),IF($X35&lt;30,1,0))</formula>
    </cfRule>
    <cfRule type="expression" priority="6024" dxfId="0">
      <formula>AND(IF($Q35=3,1,IF($Q35=4,1,0)),IF($F35&lt;=85,1,0))</formula>
    </cfRule>
  </conditionalFormatting>
  <conditionalFormatting sqref="X35">
    <cfRule type="expression" priority="6017" dxfId="3">
      <formula>AND(IF(OR($Q35=1,$Q35=2),1,0),IF($X35&lt;=20,1,0))</formula>
    </cfRule>
    <cfRule type="expression" priority="6018" dxfId="2">
      <formula>AND(IF($Q35=2,1,0),IF($X35&lt;30,1,0))</formula>
    </cfRule>
    <cfRule type="expression" priority="6019" dxfId="1">
      <formula>AND(IF($Q35=3,1,0),IF($X35&lt;30,1,0))</formula>
    </cfRule>
    <cfRule type="expression" priority="6020" dxfId="0">
      <formula>AND(IF($Q35=3,1,IF($Q35=4,1,0)),IF($F35&lt;=85,1,0))</formula>
    </cfRule>
  </conditionalFormatting>
  <conditionalFormatting sqref="AI35">
    <cfRule type="expression" priority="6013" dxfId="3">
      <formula>AND(IF(OR($Q35=1,$Q35=2),1,0),IF($X35&lt;=20,1,0))</formula>
    </cfRule>
    <cfRule type="expression" priority="6014" dxfId="2">
      <formula>AND(IF($Q35=2,1,0),IF($X35&lt;30,1,0))</formula>
    </cfRule>
    <cfRule type="expression" priority="6015" dxfId="1">
      <formula>AND(IF($Q35=3,1,0),IF($X35&lt;30,1,0))</formula>
    </cfRule>
    <cfRule type="expression" priority="6016" dxfId="0">
      <formula>AND(IF($Q35=3,1,IF($Q35=4,1,0)),IF($F35&lt;=85,1,0))</formula>
    </cfRule>
  </conditionalFormatting>
  <conditionalFormatting sqref="AV36">
    <cfRule type="expression" priority="6011" dxfId="23">
      <formula>AV36="X"</formula>
    </cfRule>
    <cfRule type="expression" priority="6012" dxfId="22">
      <formula>AV36="후보"</formula>
    </cfRule>
  </conditionalFormatting>
  <conditionalFormatting sqref="AC3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6">
    <cfRule type="expression" priority="6003" dxfId="3">
      <formula>AND(IF(OR($Q36=1,$Q36=2),1,0),IF($X36&lt;=20,1,0))</formula>
    </cfRule>
    <cfRule type="expression" priority="6004" dxfId="2">
      <formula>AND(IF($Q36=2,1,0),IF($X36&lt;30,1,0))</formula>
    </cfRule>
    <cfRule type="expression" priority="6005" dxfId="1">
      <formula>AND(IF($Q36=3,1,0),IF($X36&lt;30,1,0))</formula>
    </cfRule>
    <cfRule type="expression" priority="6006" dxfId="0">
      <formula>AND(IF($Q36=3,1,IF($Q36=4,1,0)),IF($F36&lt;=85,1,0))</formula>
    </cfRule>
  </conditionalFormatting>
  <conditionalFormatting sqref="X36">
    <cfRule type="expression" priority="5999" dxfId="3">
      <formula>AND(IF(OR($Q36=1,$Q36=2),1,0),IF($X36&lt;=20,1,0))</formula>
    </cfRule>
    <cfRule type="expression" priority="6000" dxfId="2">
      <formula>AND(IF($Q36=2,1,0),IF($X36&lt;30,1,0))</formula>
    </cfRule>
    <cfRule type="expression" priority="6001" dxfId="1">
      <formula>AND(IF($Q36=3,1,0),IF($X36&lt;30,1,0))</formula>
    </cfRule>
    <cfRule type="expression" priority="6002" dxfId="0">
      <formula>AND(IF($Q36=3,1,IF($Q36=4,1,0)),IF($F36&lt;=85,1,0))</formula>
    </cfRule>
  </conditionalFormatting>
  <conditionalFormatting sqref="AI36">
    <cfRule type="expression" priority="5995" dxfId="3">
      <formula>AND(IF(OR($Q36=1,$Q36=2),1,0),IF($X36&lt;=20,1,0))</formula>
    </cfRule>
    <cfRule type="expression" priority="5996" dxfId="2">
      <formula>AND(IF($Q36=2,1,0),IF($X36&lt;30,1,0))</formula>
    </cfRule>
    <cfRule type="expression" priority="5997" dxfId="1">
      <formula>AND(IF($Q36=3,1,0),IF($X36&lt;30,1,0))</formula>
    </cfRule>
    <cfRule type="expression" priority="5998" dxfId="0">
      <formula>AND(IF($Q36=3,1,IF($Q36=4,1,0)),IF($F36&lt;=85,1,0))</formula>
    </cfRule>
  </conditionalFormatting>
  <conditionalFormatting sqref="AV37">
    <cfRule type="expression" priority="5993" dxfId="23">
      <formula>AV37="X"</formula>
    </cfRule>
    <cfRule type="expression" priority="5994" dxfId="22">
      <formula>AV37="후보"</formula>
    </cfRule>
  </conditionalFormatting>
  <conditionalFormatting sqref="AC3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7">
    <cfRule type="expression" priority="5985" dxfId="3">
      <formula>AND(IF(OR($Q37=1,$Q37=2),1,0),IF($X37&lt;=20,1,0))</formula>
    </cfRule>
    <cfRule type="expression" priority="5986" dxfId="2">
      <formula>AND(IF($Q37=2,1,0),IF($X37&lt;30,1,0))</formula>
    </cfRule>
    <cfRule type="expression" priority="5987" dxfId="1">
      <formula>AND(IF($Q37=3,1,0),IF($X37&lt;30,1,0))</formula>
    </cfRule>
    <cfRule type="expression" priority="5988" dxfId="0">
      <formula>AND(IF($Q37=3,1,IF($Q37=4,1,0)),IF($F37&lt;=85,1,0))</formula>
    </cfRule>
  </conditionalFormatting>
  <conditionalFormatting sqref="X37">
    <cfRule type="expression" priority="5981" dxfId="3">
      <formula>AND(IF(OR($Q37=1,$Q37=2),1,0),IF($X37&lt;=20,1,0))</formula>
    </cfRule>
    <cfRule type="expression" priority="5982" dxfId="2">
      <formula>AND(IF($Q37=2,1,0),IF($X37&lt;30,1,0))</formula>
    </cfRule>
    <cfRule type="expression" priority="5983" dxfId="1">
      <formula>AND(IF($Q37=3,1,0),IF($X37&lt;30,1,0))</formula>
    </cfRule>
    <cfRule type="expression" priority="5984" dxfId="0">
      <formula>AND(IF($Q37=3,1,IF($Q37=4,1,0)),IF($F37&lt;=85,1,0))</formula>
    </cfRule>
  </conditionalFormatting>
  <conditionalFormatting sqref="AI37">
    <cfRule type="expression" priority="5977" dxfId="3">
      <formula>AND(IF(OR($Q37=1,$Q37=2),1,0),IF($X37&lt;=20,1,0))</formula>
    </cfRule>
    <cfRule type="expression" priority="5978" dxfId="2">
      <formula>AND(IF($Q37=2,1,0),IF($X37&lt;30,1,0))</formula>
    </cfRule>
    <cfRule type="expression" priority="5979" dxfId="1">
      <formula>AND(IF($Q37=3,1,0),IF($X37&lt;30,1,0))</formula>
    </cfRule>
    <cfRule type="expression" priority="5980" dxfId="0">
      <formula>AND(IF($Q37=3,1,IF($Q37=4,1,0)),IF($F37&lt;=85,1,0))</formula>
    </cfRule>
  </conditionalFormatting>
  <conditionalFormatting sqref="AV38">
    <cfRule type="expression" priority="5975" dxfId="23">
      <formula>AV38="X"</formula>
    </cfRule>
    <cfRule type="expression" priority="5976" dxfId="22">
      <formula>AV38="후보"</formula>
    </cfRule>
  </conditionalFormatting>
  <conditionalFormatting sqref="AC3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8">
    <cfRule type="expression" priority="5967" dxfId="3">
      <formula>AND(IF(OR($Q38=1,$Q38=2),1,0),IF($X38&lt;=20,1,0))</formula>
    </cfRule>
    <cfRule type="expression" priority="5968" dxfId="2">
      <formula>AND(IF($Q38=2,1,0),IF($X38&lt;30,1,0))</formula>
    </cfRule>
    <cfRule type="expression" priority="5969" dxfId="1">
      <formula>AND(IF($Q38=3,1,0),IF($X38&lt;30,1,0))</formula>
    </cfRule>
    <cfRule type="expression" priority="5970" dxfId="0">
      <formula>AND(IF($Q38=3,1,IF($Q38=4,1,0)),IF($F38&lt;=85,1,0))</formula>
    </cfRule>
  </conditionalFormatting>
  <conditionalFormatting sqref="X38">
    <cfRule type="expression" priority="5963" dxfId="3">
      <formula>AND(IF(OR($Q38=1,$Q38=2),1,0),IF($X38&lt;=20,1,0))</formula>
    </cfRule>
    <cfRule type="expression" priority="5964" dxfId="2">
      <formula>AND(IF($Q38=2,1,0),IF($X38&lt;30,1,0))</formula>
    </cfRule>
    <cfRule type="expression" priority="5965" dxfId="1">
      <formula>AND(IF($Q38=3,1,0),IF($X38&lt;30,1,0))</formula>
    </cfRule>
    <cfRule type="expression" priority="5966" dxfId="0">
      <formula>AND(IF($Q38=3,1,IF($Q38=4,1,0)),IF($F38&lt;=85,1,0))</formula>
    </cfRule>
  </conditionalFormatting>
  <conditionalFormatting sqref="AI38">
    <cfRule type="expression" priority="5959" dxfId="3">
      <formula>AND(IF(OR($Q38=1,$Q38=2),1,0),IF($X38&lt;=20,1,0))</formula>
    </cfRule>
    <cfRule type="expression" priority="5960" dxfId="2">
      <formula>AND(IF($Q38=2,1,0),IF($X38&lt;30,1,0))</formula>
    </cfRule>
    <cfRule type="expression" priority="5961" dxfId="1">
      <formula>AND(IF($Q38=3,1,0),IF($X38&lt;30,1,0))</formula>
    </cfRule>
    <cfRule type="expression" priority="5962" dxfId="0">
      <formula>AND(IF($Q38=3,1,IF($Q38=4,1,0)),IF($F38&lt;=85,1,0))</formula>
    </cfRule>
  </conditionalFormatting>
  <conditionalFormatting sqref="AV39">
    <cfRule type="expression" priority="5957" dxfId="23">
      <formula>AV39="X"</formula>
    </cfRule>
    <cfRule type="expression" priority="5958" dxfId="22">
      <formula>AV39="후보"</formula>
    </cfRule>
  </conditionalFormatting>
  <conditionalFormatting sqref="AC3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">
    <cfRule type="expression" priority="5949" dxfId="3">
      <formula>AND(IF(OR($Q39=1,$Q39=2),1,0),IF($X39&lt;=20,1,0))</formula>
    </cfRule>
    <cfRule type="expression" priority="5950" dxfId="2">
      <formula>AND(IF($Q39=2,1,0),IF($X39&lt;30,1,0))</formula>
    </cfRule>
    <cfRule type="expression" priority="5951" dxfId="1">
      <formula>AND(IF($Q39=3,1,0),IF($X39&lt;30,1,0))</formula>
    </cfRule>
    <cfRule type="expression" priority="5952" dxfId="0">
      <formula>AND(IF($Q39=3,1,IF($Q39=4,1,0)),IF($F39&lt;=85,1,0))</formula>
    </cfRule>
  </conditionalFormatting>
  <conditionalFormatting sqref="X39">
    <cfRule type="expression" priority="5945" dxfId="3">
      <formula>AND(IF(OR($Q39=1,$Q39=2),1,0),IF($X39&lt;=20,1,0))</formula>
    </cfRule>
    <cfRule type="expression" priority="5946" dxfId="2">
      <formula>AND(IF($Q39=2,1,0),IF($X39&lt;30,1,0))</formula>
    </cfRule>
    <cfRule type="expression" priority="5947" dxfId="1">
      <formula>AND(IF($Q39=3,1,0),IF($X39&lt;30,1,0))</formula>
    </cfRule>
    <cfRule type="expression" priority="5948" dxfId="0">
      <formula>AND(IF($Q39=3,1,IF($Q39=4,1,0)),IF($F39&lt;=85,1,0))</formula>
    </cfRule>
  </conditionalFormatting>
  <conditionalFormatting sqref="AI39">
    <cfRule type="expression" priority="5941" dxfId="3">
      <formula>AND(IF(OR($Q39=1,$Q39=2),1,0),IF($X39&lt;=20,1,0))</formula>
    </cfRule>
    <cfRule type="expression" priority="5942" dxfId="2">
      <formula>AND(IF($Q39=2,1,0),IF($X39&lt;30,1,0))</formula>
    </cfRule>
    <cfRule type="expression" priority="5943" dxfId="1">
      <formula>AND(IF($Q39=3,1,0),IF($X39&lt;30,1,0))</formula>
    </cfRule>
    <cfRule type="expression" priority="5944" dxfId="0">
      <formula>AND(IF($Q39=3,1,IF($Q39=4,1,0)),IF($F39&lt;=85,1,0))</formula>
    </cfRule>
  </conditionalFormatting>
  <conditionalFormatting sqref="AV40">
    <cfRule type="expression" priority="5939" dxfId="23">
      <formula>AV40="X"</formula>
    </cfRule>
    <cfRule type="expression" priority="5940" dxfId="22">
      <formula>AV40="후보"</formula>
    </cfRule>
  </conditionalFormatting>
  <conditionalFormatting sqref="AC4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0">
    <cfRule type="expression" priority="5931" dxfId="3">
      <formula>AND(IF(OR($Q40=1,$Q40=2),1,0),IF($X40&lt;=20,1,0))</formula>
    </cfRule>
    <cfRule type="expression" priority="5932" dxfId="2">
      <formula>AND(IF($Q40=2,1,0),IF($X40&lt;30,1,0))</formula>
    </cfRule>
    <cfRule type="expression" priority="5933" dxfId="1">
      <formula>AND(IF($Q40=3,1,0),IF($X40&lt;30,1,0))</formula>
    </cfRule>
    <cfRule type="expression" priority="5934" dxfId="0">
      <formula>AND(IF($Q40=3,1,IF($Q40=4,1,0)),IF($F40&lt;=85,1,0))</formula>
    </cfRule>
  </conditionalFormatting>
  <conditionalFormatting sqref="X40">
    <cfRule type="expression" priority="5927" dxfId="3">
      <formula>AND(IF(OR($Q40=1,$Q40=2),1,0),IF($X40&lt;=20,1,0))</formula>
    </cfRule>
    <cfRule type="expression" priority="5928" dxfId="2">
      <formula>AND(IF($Q40=2,1,0),IF($X40&lt;30,1,0))</formula>
    </cfRule>
    <cfRule type="expression" priority="5929" dxfId="1">
      <formula>AND(IF($Q40=3,1,0),IF($X40&lt;30,1,0))</formula>
    </cfRule>
    <cfRule type="expression" priority="5930" dxfId="0">
      <formula>AND(IF($Q40=3,1,IF($Q40=4,1,0)),IF($F40&lt;=85,1,0))</formula>
    </cfRule>
  </conditionalFormatting>
  <conditionalFormatting sqref="AI40">
    <cfRule type="expression" priority="5923" dxfId="3">
      <formula>AND(IF(OR($Q40=1,$Q40=2),1,0),IF($X40&lt;=20,1,0))</formula>
    </cfRule>
    <cfRule type="expression" priority="5924" dxfId="2">
      <formula>AND(IF($Q40=2,1,0),IF($X40&lt;30,1,0))</formula>
    </cfRule>
    <cfRule type="expression" priority="5925" dxfId="1">
      <formula>AND(IF($Q40=3,1,0),IF($X40&lt;30,1,0))</formula>
    </cfRule>
    <cfRule type="expression" priority="5926" dxfId="0">
      <formula>AND(IF($Q40=3,1,IF($Q40=4,1,0)),IF($F40&lt;=85,1,0))</formula>
    </cfRule>
  </conditionalFormatting>
  <conditionalFormatting sqref="AV41">
    <cfRule type="expression" priority="5921" dxfId="23">
      <formula>AV41="X"</formula>
    </cfRule>
    <cfRule type="expression" priority="5922" dxfId="22">
      <formula>AV41="후보"</formula>
    </cfRule>
  </conditionalFormatting>
  <conditionalFormatting sqref="AC4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">
    <cfRule type="expression" priority="5913" dxfId="3">
      <formula>AND(IF(OR($Q41=1,$Q41=2),1,0),IF($X41&lt;=20,1,0))</formula>
    </cfRule>
    <cfRule type="expression" priority="5914" dxfId="2">
      <formula>AND(IF($Q41=2,1,0),IF($X41&lt;30,1,0))</formula>
    </cfRule>
    <cfRule type="expression" priority="5915" dxfId="1">
      <formula>AND(IF($Q41=3,1,0),IF($X41&lt;30,1,0))</formula>
    </cfRule>
    <cfRule type="expression" priority="5916" dxfId="0">
      <formula>AND(IF($Q41=3,1,IF($Q41=4,1,0)),IF($F41&lt;=85,1,0))</formula>
    </cfRule>
  </conditionalFormatting>
  <conditionalFormatting sqref="X41">
    <cfRule type="expression" priority="5909" dxfId="3">
      <formula>AND(IF(OR($Q41=1,$Q41=2),1,0),IF($X41&lt;=20,1,0))</formula>
    </cfRule>
    <cfRule type="expression" priority="5910" dxfId="2">
      <formula>AND(IF($Q41=2,1,0),IF($X41&lt;30,1,0))</formula>
    </cfRule>
    <cfRule type="expression" priority="5911" dxfId="1">
      <formula>AND(IF($Q41=3,1,0),IF($X41&lt;30,1,0))</formula>
    </cfRule>
    <cfRule type="expression" priority="5912" dxfId="0">
      <formula>AND(IF($Q41=3,1,IF($Q41=4,1,0)),IF($F41&lt;=85,1,0))</formula>
    </cfRule>
  </conditionalFormatting>
  <conditionalFormatting sqref="AI41">
    <cfRule type="expression" priority="5905" dxfId="3">
      <formula>AND(IF(OR($Q41=1,$Q41=2),1,0),IF($X41&lt;=20,1,0))</formula>
    </cfRule>
    <cfRule type="expression" priority="5906" dxfId="2">
      <formula>AND(IF($Q41=2,1,0),IF($X41&lt;30,1,0))</formula>
    </cfRule>
    <cfRule type="expression" priority="5907" dxfId="1">
      <formula>AND(IF($Q41=3,1,0),IF($X41&lt;30,1,0))</formula>
    </cfRule>
    <cfRule type="expression" priority="5908" dxfId="0">
      <formula>AND(IF($Q41=3,1,IF($Q41=4,1,0)),IF($F41&lt;=85,1,0))</formula>
    </cfRule>
  </conditionalFormatting>
  <conditionalFormatting sqref="AV42">
    <cfRule type="expression" priority="5903" dxfId="23">
      <formula>AV42="X"</formula>
    </cfRule>
    <cfRule type="expression" priority="5904" dxfId="22">
      <formula>AV42="후보"</formula>
    </cfRule>
  </conditionalFormatting>
  <conditionalFormatting sqref="AC4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2">
    <cfRule type="expression" priority="5895" dxfId="3">
      <formula>AND(IF(OR($Q42=1,$Q42=2),1,0),IF($X42&lt;=20,1,0))</formula>
    </cfRule>
    <cfRule type="expression" priority="5896" dxfId="2">
      <formula>AND(IF($Q42=2,1,0),IF($X42&lt;30,1,0))</formula>
    </cfRule>
    <cfRule type="expression" priority="5897" dxfId="1">
      <formula>AND(IF($Q42=3,1,0),IF($X42&lt;30,1,0))</formula>
    </cfRule>
    <cfRule type="expression" priority="5898" dxfId="0">
      <formula>AND(IF($Q42=3,1,IF($Q42=4,1,0)),IF($F42&lt;=85,1,0))</formula>
    </cfRule>
  </conditionalFormatting>
  <conditionalFormatting sqref="X42">
    <cfRule type="expression" priority="5891" dxfId="3">
      <formula>AND(IF(OR($Q42=1,$Q42=2),1,0),IF($X42&lt;=20,1,0))</formula>
    </cfRule>
    <cfRule type="expression" priority="5892" dxfId="2">
      <formula>AND(IF($Q42=2,1,0),IF($X42&lt;30,1,0))</formula>
    </cfRule>
    <cfRule type="expression" priority="5893" dxfId="1">
      <formula>AND(IF($Q42=3,1,0),IF($X42&lt;30,1,0))</formula>
    </cfRule>
    <cfRule type="expression" priority="5894" dxfId="0">
      <formula>AND(IF($Q42=3,1,IF($Q42=4,1,0)),IF($F42&lt;=85,1,0))</formula>
    </cfRule>
  </conditionalFormatting>
  <conditionalFormatting sqref="AI42">
    <cfRule type="expression" priority="5887" dxfId="3">
      <formula>AND(IF(OR($Q42=1,$Q42=2),1,0),IF($X42&lt;=20,1,0))</formula>
    </cfRule>
    <cfRule type="expression" priority="5888" dxfId="2">
      <formula>AND(IF($Q42=2,1,0),IF($X42&lt;30,1,0))</formula>
    </cfRule>
    <cfRule type="expression" priority="5889" dxfId="1">
      <formula>AND(IF($Q42=3,1,0),IF($X42&lt;30,1,0))</formula>
    </cfRule>
    <cfRule type="expression" priority="5890" dxfId="0">
      <formula>AND(IF($Q42=3,1,IF($Q42=4,1,0)),IF($F42&lt;=85,1,0))</formula>
    </cfRule>
  </conditionalFormatting>
  <conditionalFormatting sqref="AV43">
    <cfRule type="expression" priority="5885" dxfId="23">
      <formula>AV43="X"</formula>
    </cfRule>
    <cfRule type="expression" priority="5886" dxfId="22">
      <formula>AV43="후보"</formula>
    </cfRule>
  </conditionalFormatting>
  <conditionalFormatting sqref="AC4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3">
    <cfRule type="expression" priority="5877" dxfId="3">
      <formula>AND(IF(OR($Q43=1,$Q43=2),1,0),IF($X43&lt;=20,1,0))</formula>
    </cfRule>
    <cfRule type="expression" priority="5878" dxfId="2">
      <formula>AND(IF($Q43=2,1,0),IF($X43&lt;30,1,0))</formula>
    </cfRule>
    <cfRule type="expression" priority="5879" dxfId="1">
      <formula>AND(IF($Q43=3,1,0),IF($X43&lt;30,1,0))</formula>
    </cfRule>
    <cfRule type="expression" priority="5880" dxfId="0">
      <formula>AND(IF($Q43=3,1,IF($Q43=4,1,0)),IF($F43&lt;=85,1,0))</formula>
    </cfRule>
  </conditionalFormatting>
  <conditionalFormatting sqref="X43">
    <cfRule type="expression" priority="5873" dxfId="3">
      <formula>AND(IF(OR($Q43=1,$Q43=2),1,0),IF($X43&lt;=20,1,0))</formula>
    </cfRule>
    <cfRule type="expression" priority="5874" dxfId="2">
      <formula>AND(IF($Q43=2,1,0),IF($X43&lt;30,1,0))</formula>
    </cfRule>
    <cfRule type="expression" priority="5875" dxfId="1">
      <formula>AND(IF($Q43=3,1,0),IF($X43&lt;30,1,0))</formula>
    </cfRule>
    <cfRule type="expression" priority="5876" dxfId="0">
      <formula>AND(IF($Q43=3,1,IF($Q43=4,1,0)),IF($F43&lt;=85,1,0))</formula>
    </cfRule>
  </conditionalFormatting>
  <conditionalFormatting sqref="AI43">
    <cfRule type="expression" priority="5869" dxfId="3">
      <formula>AND(IF(OR($Q43=1,$Q43=2),1,0),IF($X43&lt;=20,1,0))</formula>
    </cfRule>
    <cfRule type="expression" priority="5870" dxfId="2">
      <formula>AND(IF($Q43=2,1,0),IF($X43&lt;30,1,0))</formula>
    </cfRule>
    <cfRule type="expression" priority="5871" dxfId="1">
      <formula>AND(IF($Q43=3,1,0),IF($X43&lt;30,1,0))</formula>
    </cfRule>
    <cfRule type="expression" priority="5872" dxfId="0">
      <formula>AND(IF($Q43=3,1,IF($Q43=4,1,0)),IF($F43&lt;=85,1,0))</formula>
    </cfRule>
  </conditionalFormatting>
  <conditionalFormatting sqref="AV44">
    <cfRule type="expression" priority="5867" dxfId="23">
      <formula>AV44="X"</formula>
    </cfRule>
    <cfRule type="expression" priority="5868" dxfId="22">
      <formula>AV44="후보"</formula>
    </cfRule>
  </conditionalFormatting>
  <conditionalFormatting sqref="AC4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4">
    <cfRule type="expression" priority="5859" dxfId="3">
      <formula>AND(IF(OR($Q44=1,$Q44=2),1,0),IF($X44&lt;=20,1,0))</formula>
    </cfRule>
    <cfRule type="expression" priority="5860" dxfId="2">
      <formula>AND(IF($Q44=2,1,0),IF($X44&lt;30,1,0))</formula>
    </cfRule>
    <cfRule type="expression" priority="5861" dxfId="1">
      <formula>AND(IF($Q44=3,1,0),IF($X44&lt;30,1,0))</formula>
    </cfRule>
    <cfRule type="expression" priority="5862" dxfId="0">
      <formula>AND(IF($Q44=3,1,IF($Q44=4,1,0)),IF($F44&lt;=85,1,0))</formula>
    </cfRule>
  </conditionalFormatting>
  <conditionalFormatting sqref="X44">
    <cfRule type="expression" priority="5855" dxfId="3">
      <formula>AND(IF(OR($Q44=1,$Q44=2),1,0),IF($X44&lt;=20,1,0))</formula>
    </cfRule>
    <cfRule type="expression" priority="5856" dxfId="2">
      <formula>AND(IF($Q44=2,1,0),IF($X44&lt;30,1,0))</formula>
    </cfRule>
    <cfRule type="expression" priority="5857" dxfId="1">
      <formula>AND(IF($Q44=3,1,0),IF($X44&lt;30,1,0))</formula>
    </cfRule>
    <cfRule type="expression" priority="5858" dxfId="0">
      <formula>AND(IF($Q44=3,1,IF($Q44=4,1,0)),IF($F44&lt;=85,1,0))</formula>
    </cfRule>
  </conditionalFormatting>
  <conditionalFormatting sqref="AI44">
    <cfRule type="expression" priority="5851" dxfId="3">
      <formula>AND(IF(OR($Q44=1,$Q44=2),1,0),IF($X44&lt;=20,1,0))</formula>
    </cfRule>
    <cfRule type="expression" priority="5852" dxfId="2">
      <formula>AND(IF($Q44=2,1,0),IF($X44&lt;30,1,0))</formula>
    </cfRule>
    <cfRule type="expression" priority="5853" dxfId="1">
      <formula>AND(IF($Q44=3,1,0),IF($X44&lt;30,1,0))</formula>
    </cfRule>
    <cfRule type="expression" priority="5854" dxfId="0">
      <formula>AND(IF($Q44=3,1,IF($Q44=4,1,0)),IF($F44&lt;=85,1,0))</formula>
    </cfRule>
  </conditionalFormatting>
  <conditionalFormatting sqref="AV45">
    <cfRule type="expression" priority="5849" dxfId="23">
      <formula>AV45="X"</formula>
    </cfRule>
    <cfRule type="expression" priority="5850" dxfId="22">
      <formula>AV45="후보"</formula>
    </cfRule>
  </conditionalFormatting>
  <conditionalFormatting sqref="AC4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5">
    <cfRule type="expression" priority="5841" dxfId="3">
      <formula>AND(IF(OR($Q45=1,$Q45=2),1,0),IF($X45&lt;=20,1,0))</formula>
    </cfRule>
    <cfRule type="expression" priority="5842" dxfId="2">
      <formula>AND(IF($Q45=2,1,0),IF($X45&lt;30,1,0))</formula>
    </cfRule>
    <cfRule type="expression" priority="5843" dxfId="1">
      <formula>AND(IF($Q45=3,1,0),IF($X45&lt;30,1,0))</formula>
    </cfRule>
    <cfRule type="expression" priority="5844" dxfId="0">
      <formula>AND(IF($Q45=3,1,IF($Q45=4,1,0)),IF($F45&lt;=85,1,0))</formula>
    </cfRule>
  </conditionalFormatting>
  <conditionalFormatting sqref="X45">
    <cfRule type="expression" priority="5837" dxfId="3">
      <formula>AND(IF(OR($Q45=1,$Q45=2),1,0),IF($X45&lt;=20,1,0))</formula>
    </cfRule>
    <cfRule type="expression" priority="5838" dxfId="2">
      <formula>AND(IF($Q45=2,1,0),IF($X45&lt;30,1,0))</formula>
    </cfRule>
    <cfRule type="expression" priority="5839" dxfId="1">
      <formula>AND(IF($Q45=3,1,0),IF($X45&lt;30,1,0))</formula>
    </cfRule>
    <cfRule type="expression" priority="5840" dxfId="0">
      <formula>AND(IF($Q45=3,1,IF($Q45=4,1,0)),IF($F45&lt;=85,1,0))</formula>
    </cfRule>
  </conditionalFormatting>
  <conditionalFormatting sqref="AI45">
    <cfRule type="expression" priority="5833" dxfId="3">
      <formula>AND(IF(OR($Q45=1,$Q45=2),1,0),IF($X45&lt;=20,1,0))</formula>
    </cfRule>
    <cfRule type="expression" priority="5834" dxfId="2">
      <formula>AND(IF($Q45=2,1,0),IF($X45&lt;30,1,0))</formula>
    </cfRule>
    <cfRule type="expression" priority="5835" dxfId="1">
      <formula>AND(IF($Q45=3,1,0),IF($X45&lt;30,1,0))</formula>
    </cfRule>
    <cfRule type="expression" priority="5836" dxfId="0">
      <formula>AND(IF($Q45=3,1,IF($Q45=4,1,0)),IF($F45&lt;=85,1,0))</formula>
    </cfRule>
  </conditionalFormatting>
  <conditionalFormatting sqref="AV46">
    <cfRule type="expression" priority="5831" dxfId="23">
      <formula>AV46="X"</formula>
    </cfRule>
    <cfRule type="expression" priority="5832" dxfId="22">
      <formula>AV46="후보"</formula>
    </cfRule>
  </conditionalFormatting>
  <conditionalFormatting sqref="AC4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6">
    <cfRule type="expression" priority="5823" dxfId="3">
      <formula>AND(IF(OR($Q46=1,$Q46=2),1,0),IF($X46&lt;=20,1,0))</formula>
    </cfRule>
    <cfRule type="expression" priority="5824" dxfId="2">
      <formula>AND(IF($Q46=2,1,0),IF($X46&lt;30,1,0))</formula>
    </cfRule>
    <cfRule type="expression" priority="5825" dxfId="1">
      <formula>AND(IF($Q46=3,1,0),IF($X46&lt;30,1,0))</formula>
    </cfRule>
    <cfRule type="expression" priority="5826" dxfId="0">
      <formula>AND(IF($Q46=3,1,IF($Q46=4,1,0)),IF($F46&lt;=85,1,0))</formula>
    </cfRule>
  </conditionalFormatting>
  <conditionalFormatting sqref="X46">
    <cfRule type="expression" priority="5819" dxfId="3">
      <formula>AND(IF(OR($Q46=1,$Q46=2),1,0),IF($X46&lt;=20,1,0))</formula>
    </cfRule>
    <cfRule type="expression" priority="5820" dxfId="2">
      <formula>AND(IF($Q46=2,1,0),IF($X46&lt;30,1,0))</formula>
    </cfRule>
    <cfRule type="expression" priority="5821" dxfId="1">
      <formula>AND(IF($Q46=3,1,0),IF($X46&lt;30,1,0))</formula>
    </cfRule>
    <cfRule type="expression" priority="5822" dxfId="0">
      <formula>AND(IF($Q46=3,1,IF($Q46=4,1,0)),IF($F46&lt;=85,1,0))</formula>
    </cfRule>
  </conditionalFormatting>
  <conditionalFormatting sqref="AI46">
    <cfRule type="expression" priority="5815" dxfId="3">
      <formula>AND(IF(OR($Q46=1,$Q46=2),1,0),IF($X46&lt;=20,1,0))</formula>
    </cfRule>
    <cfRule type="expression" priority="5816" dxfId="2">
      <formula>AND(IF($Q46=2,1,0),IF($X46&lt;30,1,0))</formula>
    </cfRule>
    <cfRule type="expression" priority="5817" dxfId="1">
      <formula>AND(IF($Q46=3,1,0),IF($X46&lt;30,1,0))</formula>
    </cfRule>
    <cfRule type="expression" priority="5818" dxfId="0">
      <formula>AND(IF($Q46=3,1,IF($Q46=4,1,0)),IF($F46&lt;=85,1,0))</formula>
    </cfRule>
  </conditionalFormatting>
  <conditionalFormatting sqref="AV47">
    <cfRule type="expression" priority="5813" dxfId="23">
      <formula>AV47="X"</formula>
    </cfRule>
    <cfRule type="expression" priority="5814" dxfId="22">
      <formula>AV47="후보"</formula>
    </cfRule>
  </conditionalFormatting>
  <conditionalFormatting sqref="AC4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7">
    <cfRule type="expression" priority="5805" dxfId="3">
      <formula>AND(IF(OR($Q47=1,$Q47=2),1,0),IF($X47&lt;=20,1,0))</formula>
    </cfRule>
    <cfRule type="expression" priority="5806" dxfId="2">
      <formula>AND(IF($Q47=2,1,0),IF($X47&lt;30,1,0))</formula>
    </cfRule>
    <cfRule type="expression" priority="5807" dxfId="1">
      <formula>AND(IF($Q47=3,1,0),IF($X47&lt;30,1,0))</formula>
    </cfRule>
    <cfRule type="expression" priority="5808" dxfId="0">
      <formula>AND(IF($Q47=3,1,IF($Q47=4,1,0)),IF($F47&lt;=85,1,0))</formula>
    </cfRule>
  </conditionalFormatting>
  <conditionalFormatting sqref="X47">
    <cfRule type="expression" priority="5801" dxfId="3">
      <formula>AND(IF(OR($Q47=1,$Q47=2),1,0),IF($X47&lt;=20,1,0))</formula>
    </cfRule>
    <cfRule type="expression" priority="5802" dxfId="2">
      <formula>AND(IF($Q47=2,1,0),IF($X47&lt;30,1,0))</formula>
    </cfRule>
    <cfRule type="expression" priority="5803" dxfId="1">
      <formula>AND(IF($Q47=3,1,0),IF($X47&lt;30,1,0))</formula>
    </cfRule>
    <cfRule type="expression" priority="5804" dxfId="0">
      <formula>AND(IF($Q47=3,1,IF($Q47=4,1,0)),IF($F47&lt;=85,1,0))</formula>
    </cfRule>
  </conditionalFormatting>
  <conditionalFormatting sqref="AI47">
    <cfRule type="expression" priority="5797" dxfId="3">
      <formula>AND(IF(OR($Q47=1,$Q47=2),1,0),IF($X47&lt;=20,1,0))</formula>
    </cfRule>
    <cfRule type="expression" priority="5798" dxfId="2">
      <formula>AND(IF($Q47=2,1,0),IF($X47&lt;30,1,0))</formula>
    </cfRule>
    <cfRule type="expression" priority="5799" dxfId="1">
      <formula>AND(IF($Q47=3,1,0),IF($X47&lt;30,1,0))</formula>
    </cfRule>
    <cfRule type="expression" priority="5800" dxfId="0">
      <formula>AND(IF($Q47=3,1,IF($Q47=4,1,0)),IF($F47&lt;=85,1,0))</formula>
    </cfRule>
  </conditionalFormatting>
  <conditionalFormatting sqref="AV48">
    <cfRule type="expression" priority="5795" dxfId="23">
      <formula>AV48="X"</formula>
    </cfRule>
    <cfRule type="expression" priority="5796" dxfId="22">
      <formula>AV48="후보"</formula>
    </cfRule>
  </conditionalFormatting>
  <conditionalFormatting sqref="AC4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8">
    <cfRule type="expression" priority="5787" dxfId="3">
      <formula>AND(IF(OR($Q48=1,$Q48=2),1,0),IF($X48&lt;=20,1,0))</formula>
    </cfRule>
    <cfRule type="expression" priority="5788" dxfId="2">
      <formula>AND(IF($Q48=2,1,0),IF($X48&lt;30,1,0))</formula>
    </cfRule>
    <cfRule type="expression" priority="5789" dxfId="1">
      <formula>AND(IF($Q48=3,1,0),IF($X48&lt;30,1,0))</formula>
    </cfRule>
    <cfRule type="expression" priority="5790" dxfId="0">
      <formula>AND(IF($Q48=3,1,IF($Q48=4,1,0)),IF($F48&lt;=85,1,0))</formula>
    </cfRule>
  </conditionalFormatting>
  <conditionalFormatting sqref="X48">
    <cfRule type="expression" priority="5783" dxfId="3">
      <formula>AND(IF(OR($Q48=1,$Q48=2),1,0),IF($X48&lt;=20,1,0))</formula>
    </cfRule>
    <cfRule type="expression" priority="5784" dxfId="2">
      <formula>AND(IF($Q48=2,1,0),IF($X48&lt;30,1,0))</formula>
    </cfRule>
    <cfRule type="expression" priority="5785" dxfId="1">
      <formula>AND(IF($Q48=3,1,0),IF($X48&lt;30,1,0))</formula>
    </cfRule>
    <cfRule type="expression" priority="5786" dxfId="0">
      <formula>AND(IF($Q48=3,1,IF($Q48=4,1,0)),IF($F48&lt;=85,1,0))</formula>
    </cfRule>
  </conditionalFormatting>
  <conditionalFormatting sqref="AI48">
    <cfRule type="expression" priority="5779" dxfId="3">
      <formula>AND(IF(OR($Q48=1,$Q48=2),1,0),IF($X48&lt;=20,1,0))</formula>
    </cfRule>
    <cfRule type="expression" priority="5780" dxfId="2">
      <formula>AND(IF($Q48=2,1,0),IF($X48&lt;30,1,0))</formula>
    </cfRule>
    <cfRule type="expression" priority="5781" dxfId="1">
      <formula>AND(IF($Q48=3,1,0),IF($X48&lt;30,1,0))</formula>
    </cfRule>
    <cfRule type="expression" priority="5782" dxfId="0">
      <formula>AND(IF($Q48=3,1,IF($Q48=4,1,0)),IF($F48&lt;=85,1,0))</formula>
    </cfRule>
  </conditionalFormatting>
  <conditionalFormatting sqref="AV49">
    <cfRule type="expression" priority="5777" dxfId="23">
      <formula>AV49="X"</formula>
    </cfRule>
    <cfRule type="expression" priority="5778" dxfId="22">
      <formula>AV49="후보"</formula>
    </cfRule>
  </conditionalFormatting>
  <conditionalFormatting sqref="AC4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9">
    <cfRule type="expression" priority="5769" dxfId="3">
      <formula>AND(IF(OR($Q49=1,$Q49=2),1,0),IF($X49&lt;=20,1,0))</formula>
    </cfRule>
    <cfRule type="expression" priority="5770" dxfId="2">
      <formula>AND(IF($Q49=2,1,0),IF($X49&lt;30,1,0))</formula>
    </cfRule>
    <cfRule type="expression" priority="5771" dxfId="1">
      <formula>AND(IF($Q49=3,1,0),IF($X49&lt;30,1,0))</formula>
    </cfRule>
    <cfRule type="expression" priority="5772" dxfId="0">
      <formula>AND(IF($Q49=3,1,IF($Q49=4,1,0)),IF($F49&lt;=85,1,0))</formula>
    </cfRule>
  </conditionalFormatting>
  <conditionalFormatting sqref="X49">
    <cfRule type="expression" priority="5765" dxfId="3">
      <formula>AND(IF(OR($Q49=1,$Q49=2),1,0),IF($X49&lt;=20,1,0))</formula>
    </cfRule>
    <cfRule type="expression" priority="5766" dxfId="2">
      <formula>AND(IF($Q49=2,1,0),IF($X49&lt;30,1,0))</formula>
    </cfRule>
    <cfRule type="expression" priority="5767" dxfId="1">
      <formula>AND(IF($Q49=3,1,0),IF($X49&lt;30,1,0))</formula>
    </cfRule>
    <cfRule type="expression" priority="5768" dxfId="0">
      <formula>AND(IF($Q49=3,1,IF($Q49=4,1,0)),IF($F49&lt;=85,1,0))</formula>
    </cfRule>
  </conditionalFormatting>
  <conditionalFormatting sqref="AI49">
    <cfRule type="expression" priority="5761" dxfId="3">
      <formula>AND(IF(OR($Q49=1,$Q49=2),1,0),IF($X49&lt;=20,1,0))</formula>
    </cfRule>
    <cfRule type="expression" priority="5762" dxfId="2">
      <formula>AND(IF($Q49=2,1,0),IF($X49&lt;30,1,0))</formula>
    </cfRule>
    <cfRule type="expression" priority="5763" dxfId="1">
      <formula>AND(IF($Q49=3,1,0),IF($X49&lt;30,1,0))</formula>
    </cfRule>
    <cfRule type="expression" priority="5764" dxfId="0">
      <formula>AND(IF($Q49=3,1,IF($Q49=4,1,0)),IF($F49&lt;=85,1,0))</formula>
    </cfRule>
  </conditionalFormatting>
  <conditionalFormatting sqref="AV50">
    <cfRule type="expression" priority="5759" dxfId="23">
      <formula>AV50="X"</formula>
    </cfRule>
    <cfRule type="expression" priority="5760" dxfId="22">
      <formula>AV50="후보"</formula>
    </cfRule>
  </conditionalFormatting>
  <conditionalFormatting sqref="AC5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5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50">
    <cfRule type="expression" priority="5751" dxfId="3">
      <formula>AND(IF(OR($Q50=1,$Q50=2),1,0),IF($X50&lt;=20,1,0))</formula>
    </cfRule>
    <cfRule type="expression" priority="5752" dxfId="2">
      <formula>AND(IF($Q50=2,1,0),IF($X50&lt;30,1,0))</formula>
    </cfRule>
    <cfRule type="expression" priority="5753" dxfId="1">
      <formula>AND(IF($Q50=3,1,0),IF($X50&lt;30,1,0))</formula>
    </cfRule>
    <cfRule type="expression" priority="5754" dxfId="0">
      <formula>AND(IF($Q50=3,1,IF($Q50=4,1,0)),IF($F50&lt;=85,1,0))</formula>
    </cfRule>
  </conditionalFormatting>
  <conditionalFormatting sqref="X50">
    <cfRule type="expression" priority="5747" dxfId="3">
      <formula>AND(IF(OR($Q50=1,$Q50=2),1,0),IF($X50&lt;=20,1,0))</formula>
    </cfRule>
    <cfRule type="expression" priority="5748" dxfId="2">
      <formula>AND(IF($Q50=2,1,0),IF($X50&lt;30,1,0))</formula>
    </cfRule>
    <cfRule type="expression" priority="5749" dxfId="1">
      <formula>AND(IF($Q50=3,1,0),IF($X50&lt;30,1,0))</formula>
    </cfRule>
    <cfRule type="expression" priority="5750" dxfId="0">
      <formula>AND(IF($Q50=3,1,IF($Q50=4,1,0)),IF($F50&lt;=85,1,0))</formula>
    </cfRule>
  </conditionalFormatting>
  <conditionalFormatting sqref="AI50">
    <cfRule type="expression" priority="5743" dxfId="3">
      <formula>AND(IF(OR($Q50=1,$Q50=2),1,0),IF($X50&lt;=20,1,0))</formula>
    </cfRule>
    <cfRule type="expression" priority="5744" dxfId="2">
      <formula>AND(IF($Q50=2,1,0),IF($X50&lt;30,1,0))</formula>
    </cfRule>
    <cfRule type="expression" priority="5745" dxfId="1">
      <formula>AND(IF($Q50=3,1,0),IF($X50&lt;30,1,0))</formula>
    </cfRule>
    <cfRule type="expression" priority="5746" dxfId="0">
      <formula>AND(IF($Q50=3,1,IF($Q50=4,1,0)),IF($F50&lt;=85,1,0))</formula>
    </cfRule>
  </conditionalFormatting>
  <conditionalFormatting sqref="AV51">
    <cfRule type="expression" priority="5741" dxfId="23">
      <formula>AV51="X"</formula>
    </cfRule>
    <cfRule type="expression" priority="5742" dxfId="22">
      <formula>AV51="후보"</formula>
    </cfRule>
  </conditionalFormatting>
  <conditionalFormatting sqref="AC5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5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51">
    <cfRule type="expression" priority="5733" dxfId="3">
      <formula>AND(IF(OR($Q51=1,$Q51=2),1,0),IF($X51&lt;=20,1,0))</formula>
    </cfRule>
    <cfRule type="expression" priority="5734" dxfId="2">
      <formula>AND(IF($Q51=2,1,0),IF($X51&lt;30,1,0))</formula>
    </cfRule>
    <cfRule type="expression" priority="5735" dxfId="1">
      <formula>AND(IF($Q51=3,1,0),IF($X51&lt;30,1,0))</formula>
    </cfRule>
    <cfRule type="expression" priority="5736" dxfId="0">
      <formula>AND(IF($Q51=3,1,IF($Q51=4,1,0)),IF($F51&lt;=85,1,0))</formula>
    </cfRule>
  </conditionalFormatting>
  <conditionalFormatting sqref="X51">
    <cfRule type="expression" priority="5729" dxfId="3">
      <formula>AND(IF(OR($Q51=1,$Q51=2),1,0),IF($X51&lt;=20,1,0))</formula>
    </cfRule>
    <cfRule type="expression" priority="5730" dxfId="2">
      <formula>AND(IF($Q51=2,1,0),IF($X51&lt;30,1,0))</formula>
    </cfRule>
    <cfRule type="expression" priority="5731" dxfId="1">
      <formula>AND(IF($Q51=3,1,0),IF($X51&lt;30,1,0))</formula>
    </cfRule>
    <cfRule type="expression" priority="5732" dxfId="0">
      <formula>AND(IF($Q51=3,1,IF($Q51=4,1,0)),IF($F51&lt;=85,1,0))</formula>
    </cfRule>
  </conditionalFormatting>
  <conditionalFormatting sqref="AI51">
    <cfRule type="expression" priority="5725" dxfId="3">
      <formula>AND(IF(OR($Q51=1,$Q51=2),1,0),IF($X51&lt;=20,1,0))</formula>
    </cfRule>
    <cfRule type="expression" priority="5726" dxfId="2">
      <formula>AND(IF($Q51=2,1,0),IF($X51&lt;30,1,0))</formula>
    </cfRule>
    <cfRule type="expression" priority="5727" dxfId="1">
      <formula>AND(IF($Q51=3,1,0),IF($X51&lt;30,1,0))</formula>
    </cfRule>
    <cfRule type="expression" priority="5728" dxfId="0">
      <formula>AND(IF($Q51=3,1,IF($Q51=4,1,0)),IF($F51&lt;=85,1,0))</formula>
    </cfRule>
  </conditionalFormatting>
  <conditionalFormatting sqref="AV52">
    <cfRule type="expression" priority="5723" dxfId="23">
      <formula>AV52="X"</formula>
    </cfRule>
    <cfRule type="expression" priority="5724" dxfId="22">
      <formula>AV52="후보"</formula>
    </cfRule>
  </conditionalFormatting>
  <conditionalFormatting sqref="AC5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5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52">
    <cfRule type="expression" priority="5715" dxfId="3">
      <formula>AND(IF(OR($Q52=1,$Q52=2),1,0),IF($X52&lt;=20,1,0))</formula>
    </cfRule>
    <cfRule type="expression" priority="5716" dxfId="2">
      <formula>AND(IF($Q52=2,1,0),IF($X52&lt;30,1,0))</formula>
    </cfRule>
    <cfRule type="expression" priority="5717" dxfId="1">
      <formula>AND(IF($Q52=3,1,0),IF($X52&lt;30,1,0))</formula>
    </cfRule>
    <cfRule type="expression" priority="5718" dxfId="0">
      <formula>AND(IF($Q52=3,1,IF($Q52=4,1,0)),IF($F52&lt;=85,1,0))</formula>
    </cfRule>
  </conditionalFormatting>
  <conditionalFormatting sqref="X52">
    <cfRule type="expression" priority="5711" dxfId="3">
      <formula>AND(IF(OR($Q52=1,$Q52=2),1,0),IF($X52&lt;=20,1,0))</formula>
    </cfRule>
    <cfRule type="expression" priority="5712" dxfId="2">
      <formula>AND(IF($Q52=2,1,0),IF($X52&lt;30,1,0))</formula>
    </cfRule>
    <cfRule type="expression" priority="5713" dxfId="1">
      <formula>AND(IF($Q52=3,1,0),IF($X52&lt;30,1,0))</formula>
    </cfRule>
    <cfRule type="expression" priority="5714" dxfId="0">
      <formula>AND(IF($Q52=3,1,IF($Q52=4,1,0)),IF($F52&lt;=85,1,0))</formula>
    </cfRule>
  </conditionalFormatting>
  <conditionalFormatting sqref="AI52">
    <cfRule type="expression" priority="5707" dxfId="3">
      <formula>AND(IF(OR($Q52=1,$Q52=2),1,0),IF($X52&lt;=20,1,0))</formula>
    </cfRule>
    <cfRule type="expression" priority="5708" dxfId="2">
      <formula>AND(IF($Q52=2,1,0),IF($X52&lt;30,1,0))</formula>
    </cfRule>
    <cfRule type="expression" priority="5709" dxfId="1">
      <formula>AND(IF($Q52=3,1,0),IF($X52&lt;30,1,0))</formula>
    </cfRule>
    <cfRule type="expression" priority="5710" dxfId="0">
      <formula>AND(IF($Q52=3,1,IF($Q52=4,1,0)),IF($F52&lt;=85,1,0))</formula>
    </cfRule>
  </conditionalFormatting>
  <conditionalFormatting sqref="AV53">
    <cfRule type="expression" priority="5705" dxfId="23">
      <formula>AV53="X"</formula>
    </cfRule>
    <cfRule type="expression" priority="5706" dxfId="22">
      <formula>AV53="후보"</formula>
    </cfRule>
  </conditionalFormatting>
  <conditionalFormatting sqref="AC5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5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53">
    <cfRule type="expression" priority="5697" dxfId="3">
      <formula>AND(IF(OR($Q53=1,$Q53=2),1,0),IF($X53&lt;=20,1,0))</formula>
    </cfRule>
    <cfRule type="expression" priority="5698" dxfId="2">
      <formula>AND(IF($Q53=2,1,0),IF($X53&lt;30,1,0))</formula>
    </cfRule>
    <cfRule type="expression" priority="5699" dxfId="1">
      <formula>AND(IF($Q53=3,1,0),IF($X53&lt;30,1,0))</formula>
    </cfRule>
    <cfRule type="expression" priority="5700" dxfId="0">
      <formula>AND(IF($Q53=3,1,IF($Q53=4,1,0)),IF($F53&lt;=85,1,0))</formula>
    </cfRule>
  </conditionalFormatting>
  <conditionalFormatting sqref="X53">
    <cfRule type="expression" priority="5693" dxfId="3">
      <formula>AND(IF(OR($Q53=1,$Q53=2),1,0),IF($X53&lt;=20,1,0))</formula>
    </cfRule>
    <cfRule type="expression" priority="5694" dxfId="2">
      <formula>AND(IF($Q53=2,1,0),IF($X53&lt;30,1,0))</formula>
    </cfRule>
    <cfRule type="expression" priority="5695" dxfId="1">
      <formula>AND(IF($Q53=3,1,0),IF($X53&lt;30,1,0))</formula>
    </cfRule>
    <cfRule type="expression" priority="5696" dxfId="0">
      <formula>AND(IF($Q53=3,1,IF($Q53=4,1,0)),IF($F53&lt;=85,1,0))</formula>
    </cfRule>
  </conditionalFormatting>
  <conditionalFormatting sqref="AI53">
    <cfRule type="expression" priority="5689" dxfId="3">
      <formula>AND(IF(OR($Q53=1,$Q53=2),1,0),IF($X53&lt;=20,1,0))</formula>
    </cfRule>
    <cfRule type="expression" priority="5690" dxfId="2">
      <formula>AND(IF($Q53=2,1,0),IF($X53&lt;30,1,0))</formula>
    </cfRule>
    <cfRule type="expression" priority="5691" dxfId="1">
      <formula>AND(IF($Q53=3,1,0),IF($X53&lt;30,1,0))</formula>
    </cfRule>
    <cfRule type="expression" priority="5692" dxfId="0">
      <formula>AND(IF($Q53=3,1,IF($Q53=4,1,0)),IF($F53&lt;=85,1,0))</formula>
    </cfRule>
  </conditionalFormatting>
  <conditionalFormatting sqref="AV54">
    <cfRule type="expression" priority="5687" dxfId="23">
      <formula>AV54="X"</formula>
    </cfRule>
    <cfRule type="expression" priority="5688" dxfId="22">
      <formula>AV54="후보"</formula>
    </cfRule>
  </conditionalFormatting>
  <conditionalFormatting sqref="AC5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5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54">
    <cfRule type="expression" priority="5679" dxfId="3">
      <formula>AND(IF(OR($Q54=1,$Q54=2),1,0),IF($X54&lt;=20,1,0))</formula>
    </cfRule>
    <cfRule type="expression" priority="5680" dxfId="2">
      <formula>AND(IF($Q54=2,1,0),IF($X54&lt;30,1,0))</formula>
    </cfRule>
    <cfRule type="expression" priority="5681" dxfId="1">
      <formula>AND(IF($Q54=3,1,0),IF($X54&lt;30,1,0))</formula>
    </cfRule>
    <cfRule type="expression" priority="5682" dxfId="0">
      <formula>AND(IF($Q54=3,1,IF($Q54=4,1,0)),IF($F54&lt;=85,1,0))</formula>
    </cfRule>
  </conditionalFormatting>
  <conditionalFormatting sqref="X54">
    <cfRule type="expression" priority="5675" dxfId="3">
      <formula>AND(IF(OR($Q54=1,$Q54=2),1,0),IF($X54&lt;=20,1,0))</formula>
    </cfRule>
    <cfRule type="expression" priority="5676" dxfId="2">
      <formula>AND(IF($Q54=2,1,0),IF($X54&lt;30,1,0))</formula>
    </cfRule>
    <cfRule type="expression" priority="5677" dxfId="1">
      <formula>AND(IF($Q54=3,1,0),IF($X54&lt;30,1,0))</formula>
    </cfRule>
    <cfRule type="expression" priority="5678" dxfId="0">
      <formula>AND(IF($Q54=3,1,IF($Q54=4,1,0)),IF($F54&lt;=85,1,0))</formula>
    </cfRule>
  </conditionalFormatting>
  <conditionalFormatting sqref="AI54">
    <cfRule type="expression" priority="5671" dxfId="3">
      <formula>AND(IF(OR($Q54=1,$Q54=2),1,0),IF($X54&lt;=20,1,0))</formula>
    </cfRule>
    <cfRule type="expression" priority="5672" dxfId="2">
      <formula>AND(IF($Q54=2,1,0),IF($X54&lt;30,1,0))</formula>
    </cfRule>
    <cfRule type="expression" priority="5673" dxfId="1">
      <formula>AND(IF($Q54=3,1,0),IF($X54&lt;30,1,0))</formula>
    </cfRule>
    <cfRule type="expression" priority="5674" dxfId="0">
      <formula>AND(IF($Q54=3,1,IF($Q54=4,1,0)),IF($F54&lt;=85,1,0))</formula>
    </cfRule>
  </conditionalFormatting>
  <conditionalFormatting sqref="AV55">
    <cfRule type="expression" priority="5669" dxfId="23">
      <formula>AV55="X"</formula>
    </cfRule>
    <cfRule type="expression" priority="5670" dxfId="22">
      <formula>AV55="후보"</formula>
    </cfRule>
  </conditionalFormatting>
  <conditionalFormatting sqref="AC5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5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55">
    <cfRule type="expression" priority="5661" dxfId="3">
      <formula>AND(IF(OR($Q55=1,$Q55=2),1,0),IF($X55&lt;=20,1,0))</formula>
    </cfRule>
    <cfRule type="expression" priority="5662" dxfId="2">
      <formula>AND(IF($Q55=2,1,0),IF($X55&lt;30,1,0))</formula>
    </cfRule>
    <cfRule type="expression" priority="5663" dxfId="1">
      <formula>AND(IF($Q55=3,1,0),IF($X55&lt;30,1,0))</formula>
    </cfRule>
    <cfRule type="expression" priority="5664" dxfId="0">
      <formula>AND(IF($Q55=3,1,IF($Q55=4,1,0)),IF($F55&lt;=85,1,0))</formula>
    </cfRule>
  </conditionalFormatting>
  <conditionalFormatting sqref="X55">
    <cfRule type="expression" priority="5657" dxfId="3">
      <formula>AND(IF(OR($Q55=1,$Q55=2),1,0),IF($X55&lt;=20,1,0))</formula>
    </cfRule>
    <cfRule type="expression" priority="5658" dxfId="2">
      <formula>AND(IF($Q55=2,1,0),IF($X55&lt;30,1,0))</formula>
    </cfRule>
    <cfRule type="expression" priority="5659" dxfId="1">
      <formula>AND(IF($Q55=3,1,0),IF($X55&lt;30,1,0))</formula>
    </cfRule>
    <cfRule type="expression" priority="5660" dxfId="0">
      <formula>AND(IF($Q55=3,1,IF($Q55=4,1,0)),IF($F55&lt;=85,1,0))</formula>
    </cfRule>
  </conditionalFormatting>
  <conditionalFormatting sqref="AI55">
    <cfRule type="expression" priority="5653" dxfId="3">
      <formula>AND(IF(OR($Q55=1,$Q55=2),1,0),IF($X55&lt;=20,1,0))</formula>
    </cfRule>
    <cfRule type="expression" priority="5654" dxfId="2">
      <formula>AND(IF($Q55=2,1,0),IF($X55&lt;30,1,0))</formula>
    </cfRule>
    <cfRule type="expression" priority="5655" dxfId="1">
      <formula>AND(IF($Q55=3,1,0),IF($X55&lt;30,1,0))</formula>
    </cfRule>
    <cfRule type="expression" priority="5656" dxfId="0">
      <formula>AND(IF($Q55=3,1,IF($Q55=4,1,0)),IF($F55&lt;=85,1,0))</formula>
    </cfRule>
  </conditionalFormatting>
  <conditionalFormatting sqref="AV56">
    <cfRule type="expression" priority="5651" dxfId="23">
      <formula>AV56="X"</formula>
    </cfRule>
    <cfRule type="expression" priority="5652" dxfId="22">
      <formula>AV56="후보"</formula>
    </cfRule>
  </conditionalFormatting>
  <conditionalFormatting sqref="AC5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5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56">
    <cfRule type="expression" priority="5643" dxfId="3">
      <formula>AND(IF(OR($Q56=1,$Q56=2),1,0),IF($X56&lt;=20,1,0))</formula>
    </cfRule>
    <cfRule type="expression" priority="5644" dxfId="2">
      <formula>AND(IF($Q56=2,1,0),IF($X56&lt;30,1,0))</formula>
    </cfRule>
    <cfRule type="expression" priority="5645" dxfId="1">
      <formula>AND(IF($Q56=3,1,0),IF($X56&lt;30,1,0))</formula>
    </cfRule>
    <cfRule type="expression" priority="5646" dxfId="0">
      <formula>AND(IF($Q56=3,1,IF($Q56=4,1,0)),IF($F56&lt;=85,1,0))</formula>
    </cfRule>
  </conditionalFormatting>
  <conditionalFormatting sqref="X56">
    <cfRule type="expression" priority="5639" dxfId="3">
      <formula>AND(IF(OR($Q56=1,$Q56=2),1,0),IF($X56&lt;=20,1,0))</formula>
    </cfRule>
    <cfRule type="expression" priority="5640" dxfId="2">
      <formula>AND(IF($Q56=2,1,0),IF($X56&lt;30,1,0))</formula>
    </cfRule>
    <cfRule type="expression" priority="5641" dxfId="1">
      <formula>AND(IF($Q56=3,1,0),IF($X56&lt;30,1,0))</formula>
    </cfRule>
    <cfRule type="expression" priority="5642" dxfId="0">
      <formula>AND(IF($Q56=3,1,IF($Q56=4,1,0)),IF($F56&lt;=85,1,0))</formula>
    </cfRule>
  </conditionalFormatting>
  <conditionalFormatting sqref="AI56">
    <cfRule type="expression" priority="5635" dxfId="3">
      <formula>AND(IF(OR($Q56=1,$Q56=2),1,0),IF($X56&lt;=20,1,0))</formula>
    </cfRule>
    <cfRule type="expression" priority="5636" dxfId="2">
      <formula>AND(IF($Q56=2,1,0),IF($X56&lt;30,1,0))</formula>
    </cfRule>
    <cfRule type="expression" priority="5637" dxfId="1">
      <formula>AND(IF($Q56=3,1,0),IF($X56&lt;30,1,0))</formula>
    </cfRule>
    <cfRule type="expression" priority="5638" dxfId="0">
      <formula>AND(IF($Q56=3,1,IF($Q56=4,1,0)),IF($F56&lt;=85,1,0))</formula>
    </cfRule>
  </conditionalFormatting>
  <conditionalFormatting sqref="AV57">
    <cfRule type="expression" priority="5633" dxfId="23">
      <formula>AV57="X"</formula>
    </cfRule>
    <cfRule type="expression" priority="5634" dxfId="22">
      <formula>AV57="후보"</formula>
    </cfRule>
  </conditionalFormatting>
  <conditionalFormatting sqref="AC5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5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57">
    <cfRule type="expression" priority="5625" dxfId="3">
      <formula>AND(IF(OR($Q57=1,$Q57=2),1,0),IF($X57&lt;=20,1,0))</formula>
    </cfRule>
    <cfRule type="expression" priority="5626" dxfId="2">
      <formula>AND(IF($Q57=2,1,0),IF($X57&lt;30,1,0))</formula>
    </cfRule>
    <cfRule type="expression" priority="5627" dxfId="1">
      <formula>AND(IF($Q57=3,1,0),IF($X57&lt;30,1,0))</formula>
    </cfRule>
    <cfRule type="expression" priority="5628" dxfId="0">
      <formula>AND(IF($Q57=3,1,IF($Q57=4,1,0)),IF($F57&lt;=85,1,0))</formula>
    </cfRule>
  </conditionalFormatting>
  <conditionalFormatting sqref="X57">
    <cfRule type="expression" priority="5621" dxfId="3">
      <formula>AND(IF(OR($Q57=1,$Q57=2),1,0),IF($X57&lt;=20,1,0))</formula>
    </cfRule>
    <cfRule type="expression" priority="5622" dxfId="2">
      <formula>AND(IF($Q57=2,1,0),IF($X57&lt;30,1,0))</formula>
    </cfRule>
    <cfRule type="expression" priority="5623" dxfId="1">
      <formula>AND(IF($Q57=3,1,0),IF($X57&lt;30,1,0))</formula>
    </cfRule>
    <cfRule type="expression" priority="5624" dxfId="0">
      <formula>AND(IF($Q57=3,1,IF($Q57=4,1,0)),IF($F57&lt;=85,1,0))</formula>
    </cfRule>
  </conditionalFormatting>
  <conditionalFormatting sqref="AI57">
    <cfRule type="expression" priority="5617" dxfId="3">
      <formula>AND(IF(OR($Q57=1,$Q57=2),1,0),IF($X57&lt;=20,1,0))</formula>
    </cfRule>
    <cfRule type="expression" priority="5618" dxfId="2">
      <formula>AND(IF($Q57=2,1,0),IF($X57&lt;30,1,0))</formula>
    </cfRule>
    <cfRule type="expression" priority="5619" dxfId="1">
      <formula>AND(IF($Q57=3,1,0),IF($X57&lt;30,1,0))</formula>
    </cfRule>
    <cfRule type="expression" priority="5620" dxfId="0">
      <formula>AND(IF($Q57=3,1,IF($Q57=4,1,0)),IF($F57&lt;=85,1,0))</formula>
    </cfRule>
  </conditionalFormatting>
  <conditionalFormatting sqref="AV58">
    <cfRule type="expression" priority="5615" dxfId="23">
      <formula>AV58="X"</formula>
    </cfRule>
    <cfRule type="expression" priority="5616" dxfId="22">
      <formula>AV58="후보"</formula>
    </cfRule>
  </conditionalFormatting>
  <conditionalFormatting sqref="AC5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5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58">
    <cfRule type="expression" priority="5607" dxfId="3">
      <formula>AND(IF(OR($Q58=1,$Q58=2),1,0),IF($X58&lt;=20,1,0))</formula>
    </cfRule>
    <cfRule type="expression" priority="5608" dxfId="2">
      <formula>AND(IF($Q58=2,1,0),IF($X58&lt;30,1,0))</formula>
    </cfRule>
    <cfRule type="expression" priority="5609" dxfId="1">
      <formula>AND(IF($Q58=3,1,0),IF($X58&lt;30,1,0))</formula>
    </cfRule>
    <cfRule type="expression" priority="5610" dxfId="0">
      <formula>AND(IF($Q58=3,1,IF($Q58=4,1,0)),IF($F58&lt;=85,1,0))</formula>
    </cfRule>
  </conditionalFormatting>
  <conditionalFormatting sqref="X58">
    <cfRule type="expression" priority="5603" dxfId="3">
      <formula>AND(IF(OR($Q58=1,$Q58=2),1,0),IF($X58&lt;=20,1,0))</formula>
    </cfRule>
    <cfRule type="expression" priority="5604" dxfId="2">
      <formula>AND(IF($Q58=2,1,0),IF($X58&lt;30,1,0))</formula>
    </cfRule>
    <cfRule type="expression" priority="5605" dxfId="1">
      <formula>AND(IF($Q58=3,1,0),IF($X58&lt;30,1,0))</formula>
    </cfRule>
    <cfRule type="expression" priority="5606" dxfId="0">
      <formula>AND(IF($Q58=3,1,IF($Q58=4,1,0)),IF($F58&lt;=85,1,0))</formula>
    </cfRule>
  </conditionalFormatting>
  <conditionalFormatting sqref="AI58">
    <cfRule type="expression" priority="5599" dxfId="3">
      <formula>AND(IF(OR($Q58=1,$Q58=2),1,0),IF($X58&lt;=20,1,0))</formula>
    </cfRule>
    <cfRule type="expression" priority="5600" dxfId="2">
      <formula>AND(IF($Q58=2,1,0),IF($X58&lt;30,1,0))</formula>
    </cfRule>
    <cfRule type="expression" priority="5601" dxfId="1">
      <formula>AND(IF($Q58=3,1,0),IF($X58&lt;30,1,0))</formula>
    </cfRule>
    <cfRule type="expression" priority="5602" dxfId="0">
      <formula>AND(IF($Q58=3,1,IF($Q58=4,1,0)),IF($F58&lt;=85,1,0))</formula>
    </cfRule>
  </conditionalFormatting>
  <conditionalFormatting sqref="AV59">
    <cfRule type="expression" priority="5597" dxfId="23">
      <formula>AV59="X"</formula>
    </cfRule>
    <cfRule type="expression" priority="5598" dxfId="22">
      <formula>AV59="후보"</formula>
    </cfRule>
  </conditionalFormatting>
  <conditionalFormatting sqref="AC5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5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59">
    <cfRule type="expression" priority="5589" dxfId="3">
      <formula>AND(IF(OR($Q59=1,$Q59=2),1,0),IF($X59&lt;=20,1,0))</formula>
    </cfRule>
    <cfRule type="expression" priority="5590" dxfId="2">
      <formula>AND(IF($Q59=2,1,0),IF($X59&lt;30,1,0))</formula>
    </cfRule>
    <cfRule type="expression" priority="5591" dxfId="1">
      <formula>AND(IF($Q59=3,1,0),IF($X59&lt;30,1,0))</formula>
    </cfRule>
    <cfRule type="expression" priority="5592" dxfId="0">
      <formula>AND(IF($Q59=3,1,IF($Q59=4,1,0)),IF($F59&lt;=85,1,0))</formula>
    </cfRule>
  </conditionalFormatting>
  <conditionalFormatting sqref="X59">
    <cfRule type="expression" priority="5585" dxfId="3">
      <formula>AND(IF(OR($Q59=1,$Q59=2),1,0),IF($X59&lt;=20,1,0))</formula>
    </cfRule>
    <cfRule type="expression" priority="5586" dxfId="2">
      <formula>AND(IF($Q59=2,1,0),IF($X59&lt;30,1,0))</formula>
    </cfRule>
    <cfRule type="expression" priority="5587" dxfId="1">
      <formula>AND(IF($Q59=3,1,0),IF($X59&lt;30,1,0))</formula>
    </cfRule>
    <cfRule type="expression" priority="5588" dxfId="0">
      <formula>AND(IF($Q59=3,1,IF($Q59=4,1,0)),IF($F59&lt;=85,1,0))</formula>
    </cfRule>
  </conditionalFormatting>
  <conditionalFormatting sqref="AI59">
    <cfRule type="expression" priority="5581" dxfId="3">
      <formula>AND(IF(OR($Q59=1,$Q59=2),1,0),IF($X59&lt;=20,1,0))</formula>
    </cfRule>
    <cfRule type="expression" priority="5582" dxfId="2">
      <formula>AND(IF($Q59=2,1,0),IF($X59&lt;30,1,0))</formula>
    </cfRule>
    <cfRule type="expression" priority="5583" dxfId="1">
      <formula>AND(IF($Q59=3,1,0),IF($X59&lt;30,1,0))</formula>
    </cfRule>
    <cfRule type="expression" priority="5584" dxfId="0">
      <formula>AND(IF($Q59=3,1,IF($Q59=4,1,0)),IF($F59&lt;=85,1,0))</formula>
    </cfRule>
  </conditionalFormatting>
  <conditionalFormatting sqref="AV60">
    <cfRule type="expression" priority="5579" dxfId="23">
      <formula>AV60="X"</formula>
    </cfRule>
    <cfRule type="expression" priority="5580" dxfId="22">
      <formula>AV60="후보"</formula>
    </cfRule>
  </conditionalFormatting>
  <conditionalFormatting sqref="AC6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0">
    <cfRule type="expression" priority="5571" dxfId="3">
      <formula>AND(IF(OR($Q60=1,$Q60=2),1,0),IF($X60&lt;=20,1,0))</formula>
    </cfRule>
    <cfRule type="expression" priority="5572" dxfId="2">
      <formula>AND(IF($Q60=2,1,0),IF($X60&lt;30,1,0))</formula>
    </cfRule>
    <cfRule type="expression" priority="5573" dxfId="1">
      <formula>AND(IF($Q60=3,1,0),IF($X60&lt;30,1,0))</formula>
    </cfRule>
    <cfRule type="expression" priority="5574" dxfId="0">
      <formula>AND(IF($Q60=3,1,IF($Q60=4,1,0)),IF($F60&lt;=85,1,0))</formula>
    </cfRule>
  </conditionalFormatting>
  <conditionalFormatting sqref="X60">
    <cfRule type="expression" priority="5567" dxfId="3">
      <formula>AND(IF(OR($Q60=1,$Q60=2),1,0),IF($X60&lt;=20,1,0))</formula>
    </cfRule>
    <cfRule type="expression" priority="5568" dxfId="2">
      <formula>AND(IF($Q60=2,1,0),IF($X60&lt;30,1,0))</formula>
    </cfRule>
    <cfRule type="expression" priority="5569" dxfId="1">
      <formula>AND(IF($Q60=3,1,0),IF($X60&lt;30,1,0))</formula>
    </cfRule>
    <cfRule type="expression" priority="5570" dxfId="0">
      <formula>AND(IF($Q60=3,1,IF($Q60=4,1,0)),IF($F60&lt;=85,1,0))</formula>
    </cfRule>
  </conditionalFormatting>
  <conditionalFormatting sqref="AI60">
    <cfRule type="expression" priority="5563" dxfId="3">
      <formula>AND(IF(OR($Q60=1,$Q60=2),1,0),IF($X60&lt;=20,1,0))</formula>
    </cfRule>
    <cfRule type="expression" priority="5564" dxfId="2">
      <formula>AND(IF($Q60=2,1,0),IF($X60&lt;30,1,0))</formula>
    </cfRule>
    <cfRule type="expression" priority="5565" dxfId="1">
      <formula>AND(IF($Q60=3,1,0),IF($X60&lt;30,1,0))</formula>
    </cfRule>
    <cfRule type="expression" priority="5566" dxfId="0">
      <formula>AND(IF($Q60=3,1,IF($Q60=4,1,0)),IF($F60&lt;=85,1,0))</formula>
    </cfRule>
  </conditionalFormatting>
  <conditionalFormatting sqref="AV61">
    <cfRule type="expression" priority="5561" dxfId="23">
      <formula>AV61="X"</formula>
    </cfRule>
    <cfRule type="expression" priority="5562" dxfId="22">
      <formula>AV61="후보"</formula>
    </cfRule>
  </conditionalFormatting>
  <conditionalFormatting sqref="AC6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1">
    <cfRule type="expression" priority="5553" dxfId="3">
      <formula>AND(IF(OR($Q61=1,$Q61=2),1,0),IF($X61&lt;=20,1,0))</formula>
    </cfRule>
    <cfRule type="expression" priority="5554" dxfId="2">
      <formula>AND(IF($Q61=2,1,0),IF($X61&lt;30,1,0))</formula>
    </cfRule>
    <cfRule type="expression" priority="5555" dxfId="1">
      <formula>AND(IF($Q61=3,1,0),IF($X61&lt;30,1,0))</formula>
    </cfRule>
    <cfRule type="expression" priority="5556" dxfId="0">
      <formula>AND(IF($Q61=3,1,IF($Q61=4,1,0)),IF($F61&lt;=85,1,0))</formula>
    </cfRule>
  </conditionalFormatting>
  <conditionalFormatting sqref="X61">
    <cfRule type="expression" priority="5549" dxfId="3">
      <formula>AND(IF(OR($Q61=1,$Q61=2),1,0),IF($X61&lt;=20,1,0))</formula>
    </cfRule>
    <cfRule type="expression" priority="5550" dxfId="2">
      <formula>AND(IF($Q61=2,1,0),IF($X61&lt;30,1,0))</formula>
    </cfRule>
    <cfRule type="expression" priority="5551" dxfId="1">
      <formula>AND(IF($Q61=3,1,0),IF($X61&lt;30,1,0))</formula>
    </cfRule>
    <cfRule type="expression" priority="5552" dxfId="0">
      <formula>AND(IF($Q61=3,1,IF($Q61=4,1,0)),IF($F61&lt;=85,1,0))</formula>
    </cfRule>
  </conditionalFormatting>
  <conditionalFormatting sqref="AI61">
    <cfRule type="expression" priority="5545" dxfId="3">
      <formula>AND(IF(OR($Q61=1,$Q61=2),1,0),IF($X61&lt;=20,1,0))</formula>
    </cfRule>
    <cfRule type="expression" priority="5546" dxfId="2">
      <formula>AND(IF($Q61=2,1,0),IF($X61&lt;30,1,0))</formula>
    </cfRule>
    <cfRule type="expression" priority="5547" dxfId="1">
      <formula>AND(IF($Q61=3,1,0),IF($X61&lt;30,1,0))</formula>
    </cfRule>
    <cfRule type="expression" priority="5548" dxfId="0">
      <formula>AND(IF($Q61=3,1,IF($Q61=4,1,0)),IF($F61&lt;=85,1,0))</formula>
    </cfRule>
  </conditionalFormatting>
  <conditionalFormatting sqref="AV62">
    <cfRule type="expression" priority="5543" dxfId="23">
      <formula>AV62="X"</formula>
    </cfRule>
    <cfRule type="expression" priority="5544" dxfId="22">
      <formula>AV62="후보"</formula>
    </cfRule>
  </conditionalFormatting>
  <conditionalFormatting sqref="AC6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2">
    <cfRule type="expression" priority="5535" dxfId="3">
      <formula>AND(IF(OR($Q62=1,$Q62=2),1,0),IF($X62&lt;=20,1,0))</formula>
    </cfRule>
    <cfRule type="expression" priority="5536" dxfId="2">
      <formula>AND(IF($Q62=2,1,0),IF($X62&lt;30,1,0))</formula>
    </cfRule>
    <cfRule type="expression" priority="5537" dxfId="1">
      <formula>AND(IF($Q62=3,1,0),IF($X62&lt;30,1,0))</formula>
    </cfRule>
    <cfRule type="expression" priority="5538" dxfId="0">
      <formula>AND(IF($Q62=3,1,IF($Q62=4,1,0)),IF($F62&lt;=85,1,0))</formula>
    </cfRule>
  </conditionalFormatting>
  <conditionalFormatting sqref="X62">
    <cfRule type="expression" priority="5531" dxfId="3">
      <formula>AND(IF(OR($Q62=1,$Q62=2),1,0),IF($X62&lt;=20,1,0))</formula>
    </cfRule>
    <cfRule type="expression" priority="5532" dxfId="2">
      <formula>AND(IF($Q62=2,1,0),IF($X62&lt;30,1,0))</formula>
    </cfRule>
    <cfRule type="expression" priority="5533" dxfId="1">
      <formula>AND(IF($Q62=3,1,0),IF($X62&lt;30,1,0))</formula>
    </cfRule>
    <cfRule type="expression" priority="5534" dxfId="0">
      <formula>AND(IF($Q62=3,1,IF($Q62=4,1,0)),IF($F62&lt;=85,1,0))</formula>
    </cfRule>
  </conditionalFormatting>
  <conditionalFormatting sqref="AI62">
    <cfRule type="expression" priority="5527" dxfId="3">
      <formula>AND(IF(OR($Q62=1,$Q62=2),1,0),IF($X62&lt;=20,1,0))</formula>
    </cfRule>
    <cfRule type="expression" priority="5528" dxfId="2">
      <formula>AND(IF($Q62=2,1,0),IF($X62&lt;30,1,0))</formula>
    </cfRule>
    <cfRule type="expression" priority="5529" dxfId="1">
      <formula>AND(IF($Q62=3,1,0),IF($X62&lt;30,1,0))</formula>
    </cfRule>
    <cfRule type="expression" priority="5530" dxfId="0">
      <formula>AND(IF($Q62=3,1,IF($Q62=4,1,0)),IF($F62&lt;=85,1,0))</formula>
    </cfRule>
  </conditionalFormatting>
  <conditionalFormatting sqref="AV63">
    <cfRule type="expression" priority="5525" dxfId="23">
      <formula>AV63="X"</formula>
    </cfRule>
    <cfRule type="expression" priority="5526" dxfId="22">
      <formula>AV63="후보"</formula>
    </cfRule>
  </conditionalFormatting>
  <conditionalFormatting sqref="AC6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3">
    <cfRule type="expression" priority="5517" dxfId="3">
      <formula>AND(IF(OR($Q63=1,$Q63=2),1,0),IF($X63&lt;=20,1,0))</formula>
    </cfRule>
    <cfRule type="expression" priority="5518" dxfId="2">
      <formula>AND(IF($Q63=2,1,0),IF($X63&lt;30,1,0))</formula>
    </cfRule>
    <cfRule type="expression" priority="5519" dxfId="1">
      <formula>AND(IF($Q63=3,1,0),IF($X63&lt;30,1,0))</formula>
    </cfRule>
    <cfRule type="expression" priority="5520" dxfId="0">
      <formula>AND(IF($Q63=3,1,IF($Q63=4,1,0)),IF($F63&lt;=85,1,0))</formula>
    </cfRule>
  </conditionalFormatting>
  <conditionalFormatting sqref="X63">
    <cfRule type="expression" priority="5513" dxfId="3">
      <formula>AND(IF(OR($Q63=1,$Q63=2),1,0),IF($X63&lt;=20,1,0))</formula>
    </cfRule>
    <cfRule type="expression" priority="5514" dxfId="2">
      <formula>AND(IF($Q63=2,1,0),IF($X63&lt;30,1,0))</formula>
    </cfRule>
    <cfRule type="expression" priority="5515" dxfId="1">
      <formula>AND(IF($Q63=3,1,0),IF($X63&lt;30,1,0))</formula>
    </cfRule>
    <cfRule type="expression" priority="5516" dxfId="0">
      <formula>AND(IF($Q63=3,1,IF($Q63=4,1,0)),IF($F63&lt;=85,1,0))</formula>
    </cfRule>
  </conditionalFormatting>
  <conditionalFormatting sqref="AI63">
    <cfRule type="expression" priority="5509" dxfId="3">
      <formula>AND(IF(OR($Q63=1,$Q63=2),1,0),IF($X63&lt;=20,1,0))</formula>
    </cfRule>
    <cfRule type="expression" priority="5510" dxfId="2">
      <formula>AND(IF($Q63=2,1,0),IF($X63&lt;30,1,0))</formula>
    </cfRule>
    <cfRule type="expression" priority="5511" dxfId="1">
      <formula>AND(IF($Q63=3,1,0),IF($X63&lt;30,1,0))</formula>
    </cfRule>
    <cfRule type="expression" priority="5512" dxfId="0">
      <formula>AND(IF($Q63=3,1,IF($Q63=4,1,0)),IF($F63&lt;=85,1,0))</formula>
    </cfRule>
  </conditionalFormatting>
  <conditionalFormatting sqref="AV64">
    <cfRule type="expression" priority="5507" dxfId="23">
      <formula>AV64="X"</formula>
    </cfRule>
    <cfRule type="expression" priority="5508" dxfId="22">
      <formula>AV64="후보"</formula>
    </cfRule>
  </conditionalFormatting>
  <conditionalFormatting sqref="AC6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4">
    <cfRule type="expression" priority="5499" dxfId="3">
      <formula>AND(IF(OR($Q64=1,$Q64=2),1,0),IF($X64&lt;=20,1,0))</formula>
    </cfRule>
    <cfRule type="expression" priority="5500" dxfId="2">
      <formula>AND(IF($Q64=2,1,0),IF($X64&lt;30,1,0))</formula>
    </cfRule>
    <cfRule type="expression" priority="5501" dxfId="1">
      <formula>AND(IF($Q64=3,1,0),IF($X64&lt;30,1,0))</formula>
    </cfRule>
    <cfRule type="expression" priority="5502" dxfId="0">
      <formula>AND(IF($Q64=3,1,IF($Q64=4,1,0)),IF($F64&lt;=85,1,0))</formula>
    </cfRule>
  </conditionalFormatting>
  <conditionalFormatting sqref="X64">
    <cfRule type="expression" priority="5495" dxfId="3">
      <formula>AND(IF(OR($Q64=1,$Q64=2),1,0),IF($X64&lt;=20,1,0))</formula>
    </cfRule>
    <cfRule type="expression" priority="5496" dxfId="2">
      <formula>AND(IF($Q64=2,1,0),IF($X64&lt;30,1,0))</formula>
    </cfRule>
    <cfRule type="expression" priority="5497" dxfId="1">
      <formula>AND(IF($Q64=3,1,0),IF($X64&lt;30,1,0))</formula>
    </cfRule>
    <cfRule type="expression" priority="5498" dxfId="0">
      <formula>AND(IF($Q64=3,1,IF($Q64=4,1,0)),IF($F64&lt;=85,1,0))</formula>
    </cfRule>
  </conditionalFormatting>
  <conditionalFormatting sqref="AI64">
    <cfRule type="expression" priority="5491" dxfId="3">
      <formula>AND(IF(OR($Q64=1,$Q64=2),1,0),IF($X64&lt;=20,1,0))</formula>
    </cfRule>
    <cfRule type="expression" priority="5492" dxfId="2">
      <formula>AND(IF($Q64=2,1,0),IF($X64&lt;30,1,0))</formula>
    </cfRule>
    <cfRule type="expression" priority="5493" dxfId="1">
      <formula>AND(IF($Q64=3,1,0),IF($X64&lt;30,1,0))</formula>
    </cfRule>
    <cfRule type="expression" priority="5494" dxfId="0">
      <formula>AND(IF($Q64=3,1,IF($Q64=4,1,0)),IF($F64&lt;=85,1,0))</formula>
    </cfRule>
  </conditionalFormatting>
  <conditionalFormatting sqref="AV65">
    <cfRule type="expression" priority="5489" dxfId="23">
      <formula>AV65="X"</formula>
    </cfRule>
    <cfRule type="expression" priority="5490" dxfId="22">
      <formula>AV65="후보"</formula>
    </cfRule>
  </conditionalFormatting>
  <conditionalFormatting sqref="AC6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5">
    <cfRule type="expression" priority="5481" dxfId="3">
      <formula>AND(IF(OR($Q65=1,$Q65=2),1,0),IF($X65&lt;=20,1,0))</formula>
    </cfRule>
    <cfRule type="expression" priority="5482" dxfId="2">
      <formula>AND(IF($Q65=2,1,0),IF($X65&lt;30,1,0))</formula>
    </cfRule>
    <cfRule type="expression" priority="5483" dxfId="1">
      <formula>AND(IF($Q65=3,1,0),IF($X65&lt;30,1,0))</formula>
    </cfRule>
    <cfRule type="expression" priority="5484" dxfId="0">
      <formula>AND(IF($Q65=3,1,IF($Q65=4,1,0)),IF($F65&lt;=85,1,0))</formula>
    </cfRule>
  </conditionalFormatting>
  <conditionalFormatting sqref="X65">
    <cfRule type="expression" priority="5477" dxfId="3">
      <formula>AND(IF(OR($Q65=1,$Q65=2),1,0),IF($X65&lt;=20,1,0))</formula>
    </cfRule>
    <cfRule type="expression" priority="5478" dxfId="2">
      <formula>AND(IF($Q65=2,1,0),IF($X65&lt;30,1,0))</formula>
    </cfRule>
    <cfRule type="expression" priority="5479" dxfId="1">
      <formula>AND(IF($Q65=3,1,0),IF($X65&lt;30,1,0))</formula>
    </cfRule>
    <cfRule type="expression" priority="5480" dxfId="0">
      <formula>AND(IF($Q65=3,1,IF($Q65=4,1,0)),IF($F65&lt;=85,1,0))</formula>
    </cfRule>
  </conditionalFormatting>
  <conditionalFormatting sqref="AI65">
    <cfRule type="expression" priority="5473" dxfId="3">
      <formula>AND(IF(OR($Q65=1,$Q65=2),1,0),IF($X65&lt;=20,1,0))</formula>
    </cfRule>
    <cfRule type="expression" priority="5474" dxfId="2">
      <formula>AND(IF($Q65=2,1,0),IF($X65&lt;30,1,0))</formula>
    </cfRule>
    <cfRule type="expression" priority="5475" dxfId="1">
      <formula>AND(IF($Q65=3,1,0),IF($X65&lt;30,1,0))</formula>
    </cfRule>
    <cfRule type="expression" priority="5476" dxfId="0">
      <formula>AND(IF($Q65=3,1,IF($Q65=4,1,0)),IF($F65&lt;=85,1,0))</formula>
    </cfRule>
  </conditionalFormatting>
  <conditionalFormatting sqref="AV66">
    <cfRule type="expression" priority="5471" dxfId="23">
      <formula>AV66="X"</formula>
    </cfRule>
    <cfRule type="expression" priority="5472" dxfId="22">
      <formula>AV66="후보"</formula>
    </cfRule>
  </conditionalFormatting>
  <conditionalFormatting sqref="AC6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6">
    <cfRule type="expression" priority="5463" dxfId="3">
      <formula>AND(IF(OR($Q66=1,$Q66=2),1,0),IF($X66&lt;=20,1,0))</formula>
    </cfRule>
    <cfRule type="expression" priority="5464" dxfId="2">
      <formula>AND(IF($Q66=2,1,0),IF($X66&lt;30,1,0))</formula>
    </cfRule>
    <cfRule type="expression" priority="5465" dxfId="1">
      <formula>AND(IF($Q66=3,1,0),IF($X66&lt;30,1,0))</formula>
    </cfRule>
    <cfRule type="expression" priority="5466" dxfId="0">
      <formula>AND(IF($Q66=3,1,IF($Q66=4,1,0)),IF($F66&lt;=85,1,0))</formula>
    </cfRule>
  </conditionalFormatting>
  <conditionalFormatting sqref="X66">
    <cfRule type="expression" priority="5459" dxfId="3">
      <formula>AND(IF(OR($Q66=1,$Q66=2),1,0),IF($X66&lt;=20,1,0))</formula>
    </cfRule>
    <cfRule type="expression" priority="5460" dxfId="2">
      <formula>AND(IF($Q66=2,1,0),IF($X66&lt;30,1,0))</formula>
    </cfRule>
    <cfRule type="expression" priority="5461" dxfId="1">
      <formula>AND(IF($Q66=3,1,0),IF($X66&lt;30,1,0))</formula>
    </cfRule>
    <cfRule type="expression" priority="5462" dxfId="0">
      <formula>AND(IF($Q66=3,1,IF($Q66=4,1,0)),IF($F66&lt;=85,1,0))</formula>
    </cfRule>
  </conditionalFormatting>
  <conditionalFormatting sqref="AI66">
    <cfRule type="expression" priority="5455" dxfId="3">
      <formula>AND(IF(OR($Q66=1,$Q66=2),1,0),IF($X66&lt;=20,1,0))</formula>
    </cfRule>
    <cfRule type="expression" priority="5456" dxfId="2">
      <formula>AND(IF($Q66=2,1,0),IF($X66&lt;30,1,0))</formula>
    </cfRule>
    <cfRule type="expression" priority="5457" dxfId="1">
      <formula>AND(IF($Q66=3,1,0),IF($X66&lt;30,1,0))</formula>
    </cfRule>
    <cfRule type="expression" priority="5458" dxfId="0">
      <formula>AND(IF($Q66=3,1,IF($Q66=4,1,0)),IF($F66&lt;=85,1,0))</formula>
    </cfRule>
  </conditionalFormatting>
  <conditionalFormatting sqref="AV67">
    <cfRule type="expression" priority="5453" dxfId="23">
      <formula>AV67="X"</formula>
    </cfRule>
    <cfRule type="expression" priority="5454" dxfId="22">
      <formula>AV67="후보"</formula>
    </cfRule>
  </conditionalFormatting>
  <conditionalFormatting sqref="AC6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7">
    <cfRule type="expression" priority="5445" dxfId="3">
      <formula>AND(IF(OR($Q67=1,$Q67=2),1,0),IF($X67&lt;=20,1,0))</formula>
    </cfRule>
    <cfRule type="expression" priority="5446" dxfId="2">
      <formula>AND(IF($Q67=2,1,0),IF($X67&lt;30,1,0))</formula>
    </cfRule>
    <cfRule type="expression" priority="5447" dxfId="1">
      <formula>AND(IF($Q67=3,1,0),IF($X67&lt;30,1,0))</formula>
    </cfRule>
    <cfRule type="expression" priority="5448" dxfId="0">
      <formula>AND(IF($Q67=3,1,IF($Q67=4,1,0)),IF($F67&lt;=85,1,0))</formula>
    </cfRule>
  </conditionalFormatting>
  <conditionalFormatting sqref="X67">
    <cfRule type="expression" priority="5441" dxfId="3">
      <formula>AND(IF(OR($Q67=1,$Q67=2),1,0),IF($X67&lt;=20,1,0))</formula>
    </cfRule>
    <cfRule type="expression" priority="5442" dxfId="2">
      <formula>AND(IF($Q67=2,1,0),IF($X67&lt;30,1,0))</formula>
    </cfRule>
    <cfRule type="expression" priority="5443" dxfId="1">
      <formula>AND(IF($Q67=3,1,0),IF($X67&lt;30,1,0))</formula>
    </cfRule>
    <cfRule type="expression" priority="5444" dxfId="0">
      <formula>AND(IF($Q67=3,1,IF($Q67=4,1,0)),IF($F67&lt;=85,1,0))</formula>
    </cfRule>
  </conditionalFormatting>
  <conditionalFormatting sqref="AI67">
    <cfRule type="expression" priority="5437" dxfId="3">
      <formula>AND(IF(OR($Q67=1,$Q67=2),1,0),IF($X67&lt;=20,1,0))</formula>
    </cfRule>
    <cfRule type="expression" priority="5438" dxfId="2">
      <formula>AND(IF($Q67=2,1,0),IF($X67&lt;30,1,0))</formula>
    </cfRule>
    <cfRule type="expression" priority="5439" dxfId="1">
      <formula>AND(IF($Q67=3,1,0),IF($X67&lt;30,1,0))</formula>
    </cfRule>
    <cfRule type="expression" priority="5440" dxfId="0">
      <formula>AND(IF($Q67=3,1,IF($Q67=4,1,0)),IF($F67&lt;=85,1,0))</formula>
    </cfRule>
  </conditionalFormatting>
  <conditionalFormatting sqref="AV68">
    <cfRule type="expression" priority="5435" dxfId="23">
      <formula>AV68="X"</formula>
    </cfRule>
    <cfRule type="expression" priority="5436" dxfId="22">
      <formula>AV68="후보"</formula>
    </cfRule>
  </conditionalFormatting>
  <conditionalFormatting sqref="AC6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">
    <cfRule type="expression" priority="5427" dxfId="3">
      <formula>AND(IF(OR($Q68=1,$Q68=2),1,0),IF($X68&lt;=20,1,0))</formula>
    </cfRule>
    <cfRule type="expression" priority="5428" dxfId="2">
      <formula>AND(IF($Q68=2,1,0),IF($X68&lt;30,1,0))</formula>
    </cfRule>
    <cfRule type="expression" priority="5429" dxfId="1">
      <formula>AND(IF($Q68=3,1,0),IF($X68&lt;30,1,0))</formula>
    </cfRule>
    <cfRule type="expression" priority="5430" dxfId="0">
      <formula>AND(IF($Q68=3,1,IF($Q68=4,1,0)),IF($F68&lt;=85,1,0))</formula>
    </cfRule>
  </conditionalFormatting>
  <conditionalFormatting sqref="X68">
    <cfRule type="expression" priority="5423" dxfId="3">
      <formula>AND(IF(OR($Q68=1,$Q68=2),1,0),IF($X68&lt;=20,1,0))</formula>
    </cfRule>
    <cfRule type="expression" priority="5424" dxfId="2">
      <formula>AND(IF($Q68=2,1,0),IF($X68&lt;30,1,0))</formula>
    </cfRule>
    <cfRule type="expression" priority="5425" dxfId="1">
      <formula>AND(IF($Q68=3,1,0),IF($X68&lt;30,1,0))</formula>
    </cfRule>
    <cfRule type="expression" priority="5426" dxfId="0">
      <formula>AND(IF($Q68=3,1,IF($Q68=4,1,0)),IF($F68&lt;=85,1,0))</formula>
    </cfRule>
  </conditionalFormatting>
  <conditionalFormatting sqref="AI68">
    <cfRule type="expression" priority="5419" dxfId="3">
      <formula>AND(IF(OR($Q68=1,$Q68=2),1,0),IF($X68&lt;=20,1,0))</formula>
    </cfRule>
    <cfRule type="expression" priority="5420" dxfId="2">
      <formula>AND(IF($Q68=2,1,0),IF($X68&lt;30,1,0))</formula>
    </cfRule>
    <cfRule type="expression" priority="5421" dxfId="1">
      <formula>AND(IF($Q68=3,1,0),IF($X68&lt;30,1,0))</formula>
    </cfRule>
    <cfRule type="expression" priority="5422" dxfId="0">
      <formula>AND(IF($Q68=3,1,IF($Q68=4,1,0)),IF($F68&lt;=85,1,0))</formula>
    </cfRule>
  </conditionalFormatting>
  <conditionalFormatting sqref="AV69">
    <cfRule type="expression" priority="5417" dxfId="23">
      <formula>AV69="X"</formula>
    </cfRule>
    <cfRule type="expression" priority="5418" dxfId="22">
      <formula>AV69="후보"</formula>
    </cfRule>
  </conditionalFormatting>
  <conditionalFormatting sqref="AC6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9">
    <cfRule type="expression" priority="5409" dxfId="3">
      <formula>AND(IF(OR($Q69=1,$Q69=2),1,0),IF($X69&lt;=20,1,0))</formula>
    </cfRule>
    <cfRule type="expression" priority="5410" dxfId="2">
      <formula>AND(IF($Q69=2,1,0),IF($X69&lt;30,1,0))</formula>
    </cfRule>
    <cfRule type="expression" priority="5411" dxfId="1">
      <formula>AND(IF($Q69=3,1,0),IF($X69&lt;30,1,0))</formula>
    </cfRule>
    <cfRule type="expression" priority="5412" dxfId="0">
      <formula>AND(IF($Q69=3,1,IF($Q69=4,1,0)),IF($F69&lt;=85,1,0))</formula>
    </cfRule>
  </conditionalFormatting>
  <conditionalFormatting sqref="X69">
    <cfRule type="expression" priority="5405" dxfId="3">
      <formula>AND(IF(OR($Q69=1,$Q69=2),1,0),IF($X69&lt;=20,1,0))</formula>
    </cfRule>
    <cfRule type="expression" priority="5406" dxfId="2">
      <formula>AND(IF($Q69=2,1,0),IF($X69&lt;30,1,0))</formula>
    </cfRule>
    <cfRule type="expression" priority="5407" dxfId="1">
      <formula>AND(IF($Q69=3,1,0),IF($X69&lt;30,1,0))</formula>
    </cfRule>
    <cfRule type="expression" priority="5408" dxfId="0">
      <formula>AND(IF($Q69=3,1,IF($Q69=4,1,0)),IF($F69&lt;=85,1,0))</formula>
    </cfRule>
  </conditionalFormatting>
  <conditionalFormatting sqref="AI69">
    <cfRule type="expression" priority="5401" dxfId="3">
      <formula>AND(IF(OR($Q69=1,$Q69=2),1,0),IF($X69&lt;=20,1,0))</formula>
    </cfRule>
    <cfRule type="expression" priority="5402" dxfId="2">
      <formula>AND(IF($Q69=2,1,0),IF($X69&lt;30,1,0))</formula>
    </cfRule>
    <cfRule type="expression" priority="5403" dxfId="1">
      <formula>AND(IF($Q69=3,1,0),IF($X69&lt;30,1,0))</formula>
    </cfRule>
    <cfRule type="expression" priority="5404" dxfId="0">
      <formula>AND(IF($Q69=3,1,IF($Q69=4,1,0)),IF($F69&lt;=85,1,0))</formula>
    </cfRule>
  </conditionalFormatting>
  <conditionalFormatting sqref="AV70">
    <cfRule type="expression" priority="5399" dxfId="23">
      <formula>AV70="X"</formula>
    </cfRule>
    <cfRule type="expression" priority="5400" dxfId="22">
      <formula>AV70="후보"</formula>
    </cfRule>
  </conditionalFormatting>
  <conditionalFormatting sqref="AC7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0">
    <cfRule type="expression" priority="5391" dxfId="3">
      <formula>AND(IF(OR($Q70=1,$Q70=2),1,0),IF($X70&lt;=20,1,0))</formula>
    </cfRule>
    <cfRule type="expression" priority="5392" dxfId="2">
      <formula>AND(IF($Q70=2,1,0),IF($X70&lt;30,1,0))</formula>
    </cfRule>
    <cfRule type="expression" priority="5393" dxfId="1">
      <formula>AND(IF($Q70=3,1,0),IF($X70&lt;30,1,0))</formula>
    </cfRule>
    <cfRule type="expression" priority="5394" dxfId="0">
      <formula>AND(IF($Q70=3,1,IF($Q70=4,1,0)),IF($F70&lt;=85,1,0))</formula>
    </cfRule>
  </conditionalFormatting>
  <conditionalFormatting sqref="X70">
    <cfRule type="expression" priority="5387" dxfId="3">
      <formula>AND(IF(OR($Q70=1,$Q70=2),1,0),IF($X70&lt;=20,1,0))</formula>
    </cfRule>
    <cfRule type="expression" priority="5388" dxfId="2">
      <formula>AND(IF($Q70=2,1,0),IF($X70&lt;30,1,0))</formula>
    </cfRule>
    <cfRule type="expression" priority="5389" dxfId="1">
      <formula>AND(IF($Q70=3,1,0),IF($X70&lt;30,1,0))</formula>
    </cfRule>
    <cfRule type="expression" priority="5390" dxfId="0">
      <formula>AND(IF($Q70=3,1,IF($Q70=4,1,0)),IF($F70&lt;=85,1,0))</formula>
    </cfRule>
  </conditionalFormatting>
  <conditionalFormatting sqref="AI70">
    <cfRule type="expression" priority="5383" dxfId="3">
      <formula>AND(IF(OR($Q70=1,$Q70=2),1,0),IF($X70&lt;=20,1,0))</formula>
    </cfRule>
    <cfRule type="expression" priority="5384" dxfId="2">
      <formula>AND(IF($Q70=2,1,0),IF($X70&lt;30,1,0))</formula>
    </cfRule>
    <cfRule type="expression" priority="5385" dxfId="1">
      <formula>AND(IF($Q70=3,1,0),IF($X70&lt;30,1,0))</formula>
    </cfRule>
    <cfRule type="expression" priority="5386" dxfId="0">
      <formula>AND(IF($Q70=3,1,IF($Q70=4,1,0)),IF($F70&lt;=85,1,0))</formula>
    </cfRule>
  </conditionalFormatting>
  <conditionalFormatting sqref="AV71">
    <cfRule type="expression" priority="5381" dxfId="23">
      <formula>AV71="X"</formula>
    </cfRule>
    <cfRule type="expression" priority="5382" dxfId="22">
      <formula>AV71="후보"</formula>
    </cfRule>
  </conditionalFormatting>
  <conditionalFormatting sqref="AC7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1">
    <cfRule type="expression" priority="5373" dxfId="3">
      <formula>AND(IF(OR($Q71=1,$Q71=2),1,0),IF($X71&lt;=20,1,0))</formula>
    </cfRule>
    <cfRule type="expression" priority="5374" dxfId="2">
      <formula>AND(IF($Q71=2,1,0),IF($X71&lt;30,1,0))</formula>
    </cfRule>
    <cfRule type="expression" priority="5375" dxfId="1">
      <formula>AND(IF($Q71=3,1,0),IF($X71&lt;30,1,0))</formula>
    </cfRule>
    <cfRule type="expression" priority="5376" dxfId="0">
      <formula>AND(IF($Q71=3,1,IF($Q71=4,1,0)),IF($F71&lt;=85,1,0))</formula>
    </cfRule>
  </conditionalFormatting>
  <conditionalFormatting sqref="X71">
    <cfRule type="expression" priority="5369" dxfId="3">
      <formula>AND(IF(OR($Q71=1,$Q71=2),1,0),IF($X71&lt;=20,1,0))</formula>
    </cfRule>
    <cfRule type="expression" priority="5370" dxfId="2">
      <formula>AND(IF($Q71=2,1,0),IF($X71&lt;30,1,0))</formula>
    </cfRule>
    <cfRule type="expression" priority="5371" dxfId="1">
      <formula>AND(IF($Q71=3,1,0),IF($X71&lt;30,1,0))</formula>
    </cfRule>
    <cfRule type="expression" priority="5372" dxfId="0">
      <formula>AND(IF($Q71=3,1,IF($Q71=4,1,0)),IF($F71&lt;=85,1,0))</formula>
    </cfRule>
  </conditionalFormatting>
  <conditionalFormatting sqref="AI71">
    <cfRule type="expression" priority="5365" dxfId="3">
      <formula>AND(IF(OR($Q71=1,$Q71=2),1,0),IF($X71&lt;=20,1,0))</formula>
    </cfRule>
    <cfRule type="expression" priority="5366" dxfId="2">
      <formula>AND(IF($Q71=2,1,0),IF($X71&lt;30,1,0))</formula>
    </cfRule>
    <cfRule type="expression" priority="5367" dxfId="1">
      <formula>AND(IF($Q71=3,1,0),IF($X71&lt;30,1,0))</formula>
    </cfRule>
    <cfRule type="expression" priority="5368" dxfId="0">
      <formula>AND(IF($Q71=3,1,IF($Q71=4,1,0)),IF($F71&lt;=85,1,0))</formula>
    </cfRule>
  </conditionalFormatting>
  <conditionalFormatting sqref="AV72">
    <cfRule type="expression" priority="5363" dxfId="23">
      <formula>AV72="X"</formula>
    </cfRule>
    <cfRule type="expression" priority="5364" dxfId="22">
      <formula>AV72="후보"</formula>
    </cfRule>
  </conditionalFormatting>
  <conditionalFormatting sqref="AC7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2">
    <cfRule type="expression" priority="5355" dxfId="3">
      <formula>AND(IF(OR($Q72=1,$Q72=2),1,0),IF($X72&lt;=20,1,0))</formula>
    </cfRule>
    <cfRule type="expression" priority="5356" dxfId="2">
      <formula>AND(IF($Q72=2,1,0),IF($X72&lt;30,1,0))</formula>
    </cfRule>
    <cfRule type="expression" priority="5357" dxfId="1">
      <formula>AND(IF($Q72=3,1,0),IF($X72&lt;30,1,0))</formula>
    </cfRule>
    <cfRule type="expression" priority="5358" dxfId="0">
      <formula>AND(IF($Q72=3,1,IF($Q72=4,1,0)),IF($F72&lt;=85,1,0))</formula>
    </cfRule>
  </conditionalFormatting>
  <conditionalFormatting sqref="X72">
    <cfRule type="expression" priority="5351" dxfId="3">
      <formula>AND(IF(OR($Q72=1,$Q72=2),1,0),IF($X72&lt;=20,1,0))</formula>
    </cfRule>
    <cfRule type="expression" priority="5352" dxfId="2">
      <formula>AND(IF($Q72=2,1,0),IF($X72&lt;30,1,0))</formula>
    </cfRule>
    <cfRule type="expression" priority="5353" dxfId="1">
      <formula>AND(IF($Q72=3,1,0),IF($X72&lt;30,1,0))</formula>
    </cfRule>
    <cfRule type="expression" priority="5354" dxfId="0">
      <formula>AND(IF($Q72=3,1,IF($Q72=4,1,0)),IF($F72&lt;=85,1,0))</formula>
    </cfRule>
  </conditionalFormatting>
  <conditionalFormatting sqref="AI72">
    <cfRule type="expression" priority="5347" dxfId="3">
      <formula>AND(IF(OR($Q72=1,$Q72=2),1,0),IF($X72&lt;=20,1,0))</formula>
    </cfRule>
    <cfRule type="expression" priority="5348" dxfId="2">
      <formula>AND(IF($Q72=2,1,0),IF($X72&lt;30,1,0))</formula>
    </cfRule>
    <cfRule type="expression" priority="5349" dxfId="1">
      <formula>AND(IF($Q72=3,1,0),IF($X72&lt;30,1,0))</formula>
    </cfRule>
    <cfRule type="expression" priority="5350" dxfId="0">
      <formula>AND(IF($Q72=3,1,IF($Q72=4,1,0)),IF($F72&lt;=85,1,0))</formula>
    </cfRule>
  </conditionalFormatting>
  <conditionalFormatting sqref="AV73">
    <cfRule type="expression" priority="5345" dxfId="23">
      <formula>AV73="X"</formula>
    </cfRule>
    <cfRule type="expression" priority="5346" dxfId="22">
      <formula>AV73="후보"</formula>
    </cfRule>
  </conditionalFormatting>
  <conditionalFormatting sqref="AC7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3">
    <cfRule type="expression" priority="5337" dxfId="3">
      <formula>AND(IF(OR($Q73=1,$Q73=2),1,0),IF($X73&lt;=20,1,0))</formula>
    </cfRule>
    <cfRule type="expression" priority="5338" dxfId="2">
      <formula>AND(IF($Q73=2,1,0),IF($X73&lt;30,1,0))</formula>
    </cfRule>
    <cfRule type="expression" priority="5339" dxfId="1">
      <formula>AND(IF($Q73=3,1,0),IF($X73&lt;30,1,0))</formula>
    </cfRule>
    <cfRule type="expression" priority="5340" dxfId="0">
      <formula>AND(IF($Q73=3,1,IF($Q73=4,1,0)),IF($F73&lt;=85,1,0))</formula>
    </cfRule>
  </conditionalFormatting>
  <conditionalFormatting sqref="X73">
    <cfRule type="expression" priority="5333" dxfId="3">
      <formula>AND(IF(OR($Q73=1,$Q73=2),1,0),IF($X73&lt;=20,1,0))</formula>
    </cfRule>
    <cfRule type="expression" priority="5334" dxfId="2">
      <formula>AND(IF($Q73=2,1,0),IF($X73&lt;30,1,0))</formula>
    </cfRule>
    <cfRule type="expression" priority="5335" dxfId="1">
      <formula>AND(IF($Q73=3,1,0),IF($X73&lt;30,1,0))</formula>
    </cfRule>
    <cfRule type="expression" priority="5336" dxfId="0">
      <formula>AND(IF($Q73=3,1,IF($Q73=4,1,0)),IF($F73&lt;=85,1,0))</formula>
    </cfRule>
  </conditionalFormatting>
  <conditionalFormatting sqref="AI73">
    <cfRule type="expression" priority="5329" dxfId="3">
      <formula>AND(IF(OR($Q73=1,$Q73=2),1,0),IF($X73&lt;=20,1,0))</formula>
    </cfRule>
    <cfRule type="expression" priority="5330" dxfId="2">
      <formula>AND(IF($Q73=2,1,0),IF($X73&lt;30,1,0))</formula>
    </cfRule>
    <cfRule type="expression" priority="5331" dxfId="1">
      <formula>AND(IF($Q73=3,1,0),IF($X73&lt;30,1,0))</formula>
    </cfRule>
    <cfRule type="expression" priority="5332" dxfId="0">
      <formula>AND(IF($Q73=3,1,IF($Q73=4,1,0)),IF($F73&lt;=85,1,0))</formula>
    </cfRule>
  </conditionalFormatting>
  <conditionalFormatting sqref="AV74">
    <cfRule type="expression" priority="5327" dxfId="23">
      <formula>AV74="X"</formula>
    </cfRule>
    <cfRule type="expression" priority="5328" dxfId="22">
      <formula>AV74="후보"</formula>
    </cfRule>
  </conditionalFormatting>
  <conditionalFormatting sqref="AC7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4">
    <cfRule type="expression" priority="5319" dxfId="3">
      <formula>AND(IF(OR($Q74=1,$Q74=2),1,0),IF($X74&lt;=20,1,0))</formula>
    </cfRule>
    <cfRule type="expression" priority="5320" dxfId="2">
      <formula>AND(IF($Q74=2,1,0),IF($X74&lt;30,1,0))</formula>
    </cfRule>
    <cfRule type="expression" priority="5321" dxfId="1">
      <formula>AND(IF($Q74=3,1,0),IF($X74&lt;30,1,0))</formula>
    </cfRule>
    <cfRule type="expression" priority="5322" dxfId="0">
      <formula>AND(IF($Q74=3,1,IF($Q74=4,1,0)),IF($F74&lt;=85,1,0))</formula>
    </cfRule>
  </conditionalFormatting>
  <conditionalFormatting sqref="X74">
    <cfRule type="expression" priority="5315" dxfId="3">
      <formula>AND(IF(OR($Q74=1,$Q74=2),1,0),IF($X74&lt;=20,1,0))</formula>
    </cfRule>
    <cfRule type="expression" priority="5316" dxfId="2">
      <formula>AND(IF($Q74=2,1,0),IF($X74&lt;30,1,0))</formula>
    </cfRule>
    <cfRule type="expression" priority="5317" dxfId="1">
      <formula>AND(IF($Q74=3,1,0),IF($X74&lt;30,1,0))</formula>
    </cfRule>
    <cfRule type="expression" priority="5318" dxfId="0">
      <formula>AND(IF($Q74=3,1,IF($Q74=4,1,0)),IF($F74&lt;=85,1,0))</formula>
    </cfRule>
  </conditionalFormatting>
  <conditionalFormatting sqref="AI74">
    <cfRule type="expression" priority="5311" dxfId="3">
      <formula>AND(IF(OR($Q74=1,$Q74=2),1,0),IF($X74&lt;=20,1,0))</formula>
    </cfRule>
    <cfRule type="expression" priority="5312" dxfId="2">
      <formula>AND(IF($Q74=2,1,0),IF($X74&lt;30,1,0))</formula>
    </cfRule>
    <cfRule type="expression" priority="5313" dxfId="1">
      <formula>AND(IF($Q74=3,1,0),IF($X74&lt;30,1,0))</formula>
    </cfRule>
    <cfRule type="expression" priority="5314" dxfId="0">
      <formula>AND(IF($Q74=3,1,IF($Q74=4,1,0)),IF($F74&lt;=85,1,0))</formula>
    </cfRule>
  </conditionalFormatting>
  <conditionalFormatting sqref="AV75">
    <cfRule type="expression" priority="5309" dxfId="23">
      <formula>AV75="X"</formula>
    </cfRule>
    <cfRule type="expression" priority="5310" dxfId="22">
      <formula>AV75="후보"</formula>
    </cfRule>
  </conditionalFormatting>
  <conditionalFormatting sqref="AC7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5">
    <cfRule type="expression" priority="5301" dxfId="3">
      <formula>AND(IF(OR($Q75=1,$Q75=2),1,0),IF($X75&lt;=20,1,0))</formula>
    </cfRule>
    <cfRule type="expression" priority="5302" dxfId="2">
      <formula>AND(IF($Q75=2,1,0),IF($X75&lt;30,1,0))</formula>
    </cfRule>
    <cfRule type="expression" priority="5303" dxfId="1">
      <formula>AND(IF($Q75=3,1,0),IF($X75&lt;30,1,0))</formula>
    </cfRule>
    <cfRule type="expression" priority="5304" dxfId="0">
      <formula>AND(IF($Q75=3,1,IF($Q75=4,1,0)),IF($F75&lt;=85,1,0))</formula>
    </cfRule>
  </conditionalFormatting>
  <conditionalFormatting sqref="X75">
    <cfRule type="expression" priority="5297" dxfId="3">
      <formula>AND(IF(OR($Q75=1,$Q75=2),1,0),IF($X75&lt;=20,1,0))</formula>
    </cfRule>
    <cfRule type="expression" priority="5298" dxfId="2">
      <formula>AND(IF($Q75=2,1,0),IF($X75&lt;30,1,0))</formula>
    </cfRule>
    <cfRule type="expression" priority="5299" dxfId="1">
      <formula>AND(IF($Q75=3,1,0),IF($X75&lt;30,1,0))</formula>
    </cfRule>
    <cfRule type="expression" priority="5300" dxfId="0">
      <formula>AND(IF($Q75=3,1,IF($Q75=4,1,0)),IF($F75&lt;=85,1,0))</formula>
    </cfRule>
  </conditionalFormatting>
  <conditionalFormatting sqref="AI75">
    <cfRule type="expression" priority="5293" dxfId="3">
      <formula>AND(IF(OR($Q75=1,$Q75=2),1,0),IF($X75&lt;=20,1,0))</formula>
    </cfRule>
    <cfRule type="expression" priority="5294" dxfId="2">
      <formula>AND(IF($Q75=2,1,0),IF($X75&lt;30,1,0))</formula>
    </cfRule>
    <cfRule type="expression" priority="5295" dxfId="1">
      <formula>AND(IF($Q75=3,1,0),IF($X75&lt;30,1,0))</formula>
    </cfRule>
    <cfRule type="expression" priority="5296" dxfId="0">
      <formula>AND(IF($Q75=3,1,IF($Q75=4,1,0)),IF($F75&lt;=85,1,0))</formula>
    </cfRule>
  </conditionalFormatting>
  <conditionalFormatting sqref="AV76">
    <cfRule type="expression" priority="5291" dxfId="23">
      <formula>AV76="X"</formula>
    </cfRule>
    <cfRule type="expression" priority="5292" dxfId="22">
      <formula>AV76="후보"</formula>
    </cfRule>
  </conditionalFormatting>
  <conditionalFormatting sqref="AC7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">
    <cfRule type="expression" priority="5283" dxfId="3">
      <formula>AND(IF(OR($Q76=1,$Q76=2),1,0),IF($X76&lt;=20,1,0))</formula>
    </cfRule>
    <cfRule type="expression" priority="5284" dxfId="2">
      <formula>AND(IF($Q76=2,1,0),IF($X76&lt;30,1,0))</formula>
    </cfRule>
    <cfRule type="expression" priority="5285" dxfId="1">
      <formula>AND(IF($Q76=3,1,0),IF($X76&lt;30,1,0))</formula>
    </cfRule>
    <cfRule type="expression" priority="5286" dxfId="0">
      <formula>AND(IF($Q76=3,1,IF($Q76=4,1,0)),IF($F76&lt;=85,1,0))</formula>
    </cfRule>
  </conditionalFormatting>
  <conditionalFormatting sqref="X76">
    <cfRule type="expression" priority="5279" dxfId="3">
      <formula>AND(IF(OR($Q76=1,$Q76=2),1,0),IF($X76&lt;=20,1,0))</formula>
    </cfRule>
    <cfRule type="expression" priority="5280" dxfId="2">
      <formula>AND(IF($Q76=2,1,0),IF($X76&lt;30,1,0))</formula>
    </cfRule>
    <cfRule type="expression" priority="5281" dxfId="1">
      <formula>AND(IF($Q76=3,1,0),IF($X76&lt;30,1,0))</formula>
    </cfRule>
    <cfRule type="expression" priority="5282" dxfId="0">
      <formula>AND(IF($Q76=3,1,IF($Q76=4,1,0)),IF($F76&lt;=85,1,0))</formula>
    </cfRule>
  </conditionalFormatting>
  <conditionalFormatting sqref="AI76">
    <cfRule type="expression" priority="5275" dxfId="3">
      <formula>AND(IF(OR($Q76=1,$Q76=2),1,0),IF($X76&lt;=20,1,0))</formula>
    </cfRule>
    <cfRule type="expression" priority="5276" dxfId="2">
      <formula>AND(IF($Q76=2,1,0),IF($X76&lt;30,1,0))</formula>
    </cfRule>
    <cfRule type="expression" priority="5277" dxfId="1">
      <formula>AND(IF($Q76=3,1,0),IF($X76&lt;30,1,0))</formula>
    </cfRule>
    <cfRule type="expression" priority="5278" dxfId="0">
      <formula>AND(IF($Q76=3,1,IF($Q76=4,1,0)),IF($F76&lt;=85,1,0))</formula>
    </cfRule>
  </conditionalFormatting>
  <conditionalFormatting sqref="AV77">
    <cfRule type="expression" priority="5273" dxfId="23">
      <formula>AV77="X"</formula>
    </cfRule>
    <cfRule type="expression" priority="5274" dxfId="22">
      <formula>AV77="후보"</formula>
    </cfRule>
  </conditionalFormatting>
  <conditionalFormatting sqref="AC7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7">
    <cfRule type="expression" priority="5265" dxfId="3">
      <formula>AND(IF(OR($Q77=1,$Q77=2),1,0),IF($X77&lt;=20,1,0))</formula>
    </cfRule>
    <cfRule type="expression" priority="5266" dxfId="2">
      <formula>AND(IF($Q77=2,1,0),IF($X77&lt;30,1,0))</formula>
    </cfRule>
    <cfRule type="expression" priority="5267" dxfId="1">
      <formula>AND(IF($Q77=3,1,0),IF($X77&lt;30,1,0))</formula>
    </cfRule>
    <cfRule type="expression" priority="5268" dxfId="0">
      <formula>AND(IF($Q77=3,1,IF($Q77=4,1,0)),IF($F77&lt;=85,1,0))</formula>
    </cfRule>
  </conditionalFormatting>
  <conditionalFormatting sqref="X77">
    <cfRule type="expression" priority="5261" dxfId="3">
      <formula>AND(IF(OR($Q77=1,$Q77=2),1,0),IF($X77&lt;=20,1,0))</formula>
    </cfRule>
    <cfRule type="expression" priority="5262" dxfId="2">
      <formula>AND(IF($Q77=2,1,0),IF($X77&lt;30,1,0))</formula>
    </cfRule>
    <cfRule type="expression" priority="5263" dxfId="1">
      <formula>AND(IF($Q77=3,1,0),IF($X77&lt;30,1,0))</formula>
    </cfRule>
    <cfRule type="expression" priority="5264" dxfId="0">
      <formula>AND(IF($Q77=3,1,IF($Q77=4,1,0)),IF($F77&lt;=85,1,0))</formula>
    </cfRule>
  </conditionalFormatting>
  <conditionalFormatting sqref="AI77">
    <cfRule type="expression" priority="5257" dxfId="3">
      <formula>AND(IF(OR($Q77=1,$Q77=2),1,0),IF($X77&lt;=20,1,0))</formula>
    </cfRule>
    <cfRule type="expression" priority="5258" dxfId="2">
      <formula>AND(IF($Q77=2,1,0),IF($X77&lt;30,1,0))</formula>
    </cfRule>
    <cfRule type="expression" priority="5259" dxfId="1">
      <formula>AND(IF($Q77=3,1,0),IF($X77&lt;30,1,0))</formula>
    </cfRule>
    <cfRule type="expression" priority="5260" dxfId="0">
      <formula>AND(IF($Q77=3,1,IF($Q77=4,1,0)),IF($F77&lt;=85,1,0))</formula>
    </cfRule>
  </conditionalFormatting>
  <conditionalFormatting sqref="AV78">
    <cfRule type="expression" priority="5255" dxfId="23">
      <formula>AV78="X"</formula>
    </cfRule>
    <cfRule type="expression" priority="5256" dxfId="22">
      <formula>AV78="후보"</formula>
    </cfRule>
  </conditionalFormatting>
  <conditionalFormatting sqref="AC7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8">
    <cfRule type="expression" priority="5247" dxfId="3">
      <formula>AND(IF(OR($Q78=1,$Q78=2),1,0),IF($X78&lt;=20,1,0))</formula>
    </cfRule>
    <cfRule type="expression" priority="5248" dxfId="2">
      <formula>AND(IF($Q78=2,1,0),IF($X78&lt;30,1,0))</formula>
    </cfRule>
    <cfRule type="expression" priority="5249" dxfId="1">
      <formula>AND(IF($Q78=3,1,0),IF($X78&lt;30,1,0))</formula>
    </cfRule>
    <cfRule type="expression" priority="5250" dxfId="0">
      <formula>AND(IF($Q78=3,1,IF($Q78=4,1,0)),IF($F78&lt;=85,1,0))</formula>
    </cfRule>
  </conditionalFormatting>
  <conditionalFormatting sqref="X78">
    <cfRule type="expression" priority="5243" dxfId="3">
      <formula>AND(IF(OR($Q78=1,$Q78=2),1,0),IF($X78&lt;=20,1,0))</formula>
    </cfRule>
    <cfRule type="expression" priority="5244" dxfId="2">
      <formula>AND(IF($Q78=2,1,0),IF($X78&lt;30,1,0))</formula>
    </cfRule>
    <cfRule type="expression" priority="5245" dxfId="1">
      <formula>AND(IF($Q78=3,1,0),IF($X78&lt;30,1,0))</formula>
    </cfRule>
    <cfRule type="expression" priority="5246" dxfId="0">
      <formula>AND(IF($Q78=3,1,IF($Q78=4,1,0)),IF($F78&lt;=85,1,0))</formula>
    </cfRule>
  </conditionalFormatting>
  <conditionalFormatting sqref="AI78">
    <cfRule type="expression" priority="5239" dxfId="3">
      <formula>AND(IF(OR($Q78=1,$Q78=2),1,0),IF($X78&lt;=20,1,0))</formula>
    </cfRule>
    <cfRule type="expression" priority="5240" dxfId="2">
      <formula>AND(IF($Q78=2,1,0),IF($X78&lt;30,1,0))</formula>
    </cfRule>
    <cfRule type="expression" priority="5241" dxfId="1">
      <formula>AND(IF($Q78=3,1,0),IF($X78&lt;30,1,0))</formula>
    </cfRule>
    <cfRule type="expression" priority="5242" dxfId="0">
      <formula>AND(IF($Q78=3,1,IF($Q78=4,1,0)),IF($F78&lt;=85,1,0))</formula>
    </cfRule>
  </conditionalFormatting>
  <conditionalFormatting sqref="AV79">
    <cfRule type="expression" priority="5237" dxfId="23">
      <formula>AV79="X"</formula>
    </cfRule>
    <cfRule type="expression" priority="5238" dxfId="22">
      <formula>AV79="후보"</formula>
    </cfRule>
  </conditionalFormatting>
  <conditionalFormatting sqref="AC7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9">
    <cfRule type="expression" priority="5229" dxfId="3">
      <formula>AND(IF(OR($Q79=1,$Q79=2),1,0),IF($X79&lt;=20,1,0))</formula>
    </cfRule>
    <cfRule type="expression" priority="5230" dxfId="2">
      <formula>AND(IF($Q79=2,1,0),IF($X79&lt;30,1,0))</formula>
    </cfRule>
    <cfRule type="expression" priority="5231" dxfId="1">
      <formula>AND(IF($Q79=3,1,0),IF($X79&lt;30,1,0))</formula>
    </cfRule>
    <cfRule type="expression" priority="5232" dxfId="0">
      <formula>AND(IF($Q79=3,1,IF($Q79=4,1,0)),IF($F79&lt;=85,1,0))</formula>
    </cfRule>
  </conditionalFormatting>
  <conditionalFormatting sqref="X79">
    <cfRule type="expression" priority="5225" dxfId="3">
      <formula>AND(IF(OR($Q79=1,$Q79=2),1,0),IF($X79&lt;=20,1,0))</formula>
    </cfRule>
    <cfRule type="expression" priority="5226" dxfId="2">
      <formula>AND(IF($Q79=2,1,0),IF($X79&lt;30,1,0))</formula>
    </cfRule>
    <cfRule type="expression" priority="5227" dxfId="1">
      <formula>AND(IF($Q79=3,1,0),IF($X79&lt;30,1,0))</formula>
    </cfRule>
    <cfRule type="expression" priority="5228" dxfId="0">
      <formula>AND(IF($Q79=3,1,IF($Q79=4,1,0)),IF($F79&lt;=85,1,0))</formula>
    </cfRule>
  </conditionalFormatting>
  <conditionalFormatting sqref="AI79">
    <cfRule type="expression" priority="5221" dxfId="3">
      <formula>AND(IF(OR($Q79=1,$Q79=2),1,0),IF($X79&lt;=20,1,0))</formula>
    </cfRule>
    <cfRule type="expression" priority="5222" dxfId="2">
      <formula>AND(IF($Q79=2,1,0),IF($X79&lt;30,1,0))</formula>
    </cfRule>
    <cfRule type="expression" priority="5223" dxfId="1">
      <formula>AND(IF($Q79=3,1,0),IF($X79&lt;30,1,0))</formula>
    </cfRule>
    <cfRule type="expression" priority="5224" dxfId="0">
      <formula>AND(IF($Q79=3,1,IF($Q79=4,1,0)),IF($F79&lt;=85,1,0))</formula>
    </cfRule>
  </conditionalFormatting>
  <conditionalFormatting sqref="AV80">
    <cfRule type="expression" priority="5219" dxfId="23">
      <formula>AV80="X"</formula>
    </cfRule>
    <cfRule type="expression" priority="5220" dxfId="22">
      <formula>AV80="후보"</formula>
    </cfRule>
  </conditionalFormatting>
  <conditionalFormatting sqref="AC8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80">
    <cfRule type="expression" priority="5211" dxfId="3">
      <formula>AND(IF(OR($Q80=1,$Q80=2),1,0),IF($X80&lt;=20,1,0))</formula>
    </cfRule>
    <cfRule type="expression" priority="5212" dxfId="2">
      <formula>AND(IF($Q80=2,1,0),IF($X80&lt;30,1,0))</formula>
    </cfRule>
    <cfRule type="expression" priority="5213" dxfId="1">
      <formula>AND(IF($Q80=3,1,0),IF($X80&lt;30,1,0))</formula>
    </cfRule>
    <cfRule type="expression" priority="5214" dxfId="0">
      <formula>AND(IF($Q80=3,1,IF($Q80=4,1,0)),IF($F80&lt;=85,1,0))</formula>
    </cfRule>
  </conditionalFormatting>
  <conditionalFormatting sqref="X80">
    <cfRule type="expression" priority="5207" dxfId="3">
      <formula>AND(IF(OR($Q80=1,$Q80=2),1,0),IF($X80&lt;=20,1,0))</formula>
    </cfRule>
    <cfRule type="expression" priority="5208" dxfId="2">
      <formula>AND(IF($Q80=2,1,0),IF($X80&lt;30,1,0))</formula>
    </cfRule>
    <cfRule type="expression" priority="5209" dxfId="1">
      <formula>AND(IF($Q80=3,1,0),IF($X80&lt;30,1,0))</formula>
    </cfRule>
    <cfRule type="expression" priority="5210" dxfId="0">
      <formula>AND(IF($Q80=3,1,IF($Q80=4,1,0)),IF($F80&lt;=85,1,0))</formula>
    </cfRule>
  </conditionalFormatting>
  <conditionalFormatting sqref="AI80">
    <cfRule type="expression" priority="5203" dxfId="3">
      <formula>AND(IF(OR($Q80=1,$Q80=2),1,0),IF($X80&lt;=20,1,0))</formula>
    </cfRule>
    <cfRule type="expression" priority="5204" dxfId="2">
      <formula>AND(IF($Q80=2,1,0),IF($X80&lt;30,1,0))</formula>
    </cfRule>
    <cfRule type="expression" priority="5205" dxfId="1">
      <formula>AND(IF($Q80=3,1,0),IF($X80&lt;30,1,0))</formula>
    </cfRule>
    <cfRule type="expression" priority="5206" dxfId="0">
      <formula>AND(IF($Q80=3,1,IF($Q80=4,1,0)),IF($F80&lt;=85,1,0))</formula>
    </cfRule>
  </conditionalFormatting>
  <conditionalFormatting sqref="AV81">
    <cfRule type="expression" priority="5201" dxfId="23">
      <formula>AV81="X"</formula>
    </cfRule>
    <cfRule type="expression" priority="5202" dxfId="22">
      <formula>AV81="후보"</formula>
    </cfRule>
  </conditionalFormatting>
  <conditionalFormatting sqref="AC8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81">
    <cfRule type="expression" priority="5193" dxfId="3">
      <formula>AND(IF(OR($Q81=1,$Q81=2),1,0),IF($X81&lt;=20,1,0))</formula>
    </cfRule>
    <cfRule type="expression" priority="5194" dxfId="2">
      <formula>AND(IF($Q81=2,1,0),IF($X81&lt;30,1,0))</formula>
    </cfRule>
    <cfRule type="expression" priority="5195" dxfId="1">
      <formula>AND(IF($Q81=3,1,0),IF($X81&lt;30,1,0))</formula>
    </cfRule>
    <cfRule type="expression" priority="5196" dxfId="0">
      <formula>AND(IF($Q81=3,1,IF($Q81=4,1,0)),IF($F81&lt;=85,1,0))</formula>
    </cfRule>
  </conditionalFormatting>
  <conditionalFormatting sqref="X81">
    <cfRule type="expression" priority="5189" dxfId="3">
      <formula>AND(IF(OR($Q81=1,$Q81=2),1,0),IF($X81&lt;=20,1,0))</formula>
    </cfRule>
    <cfRule type="expression" priority="5190" dxfId="2">
      <formula>AND(IF($Q81=2,1,0),IF($X81&lt;30,1,0))</formula>
    </cfRule>
    <cfRule type="expression" priority="5191" dxfId="1">
      <formula>AND(IF($Q81=3,1,0),IF($X81&lt;30,1,0))</formula>
    </cfRule>
    <cfRule type="expression" priority="5192" dxfId="0">
      <formula>AND(IF($Q81=3,1,IF($Q81=4,1,0)),IF($F81&lt;=85,1,0))</formula>
    </cfRule>
  </conditionalFormatting>
  <conditionalFormatting sqref="AI81">
    <cfRule type="expression" priority="5185" dxfId="3">
      <formula>AND(IF(OR($Q81=1,$Q81=2),1,0),IF($X81&lt;=20,1,0))</formula>
    </cfRule>
    <cfRule type="expression" priority="5186" dxfId="2">
      <formula>AND(IF($Q81=2,1,0),IF($X81&lt;30,1,0))</formula>
    </cfRule>
    <cfRule type="expression" priority="5187" dxfId="1">
      <formula>AND(IF($Q81=3,1,0),IF($X81&lt;30,1,0))</formula>
    </cfRule>
    <cfRule type="expression" priority="5188" dxfId="0">
      <formula>AND(IF($Q81=3,1,IF($Q81=4,1,0)),IF($F81&lt;=85,1,0))</formula>
    </cfRule>
  </conditionalFormatting>
  <conditionalFormatting sqref="AV82">
    <cfRule type="expression" priority="5183" dxfId="23">
      <formula>AV82="X"</formula>
    </cfRule>
    <cfRule type="expression" priority="5184" dxfId="22">
      <formula>AV82="후보"</formula>
    </cfRule>
  </conditionalFormatting>
  <conditionalFormatting sqref="AC8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82">
    <cfRule type="expression" priority="5175" dxfId="3">
      <formula>AND(IF(OR($Q82=1,$Q82=2),1,0),IF($X82&lt;=20,1,0))</formula>
    </cfRule>
    <cfRule type="expression" priority="5176" dxfId="2">
      <formula>AND(IF($Q82=2,1,0),IF($X82&lt;30,1,0))</formula>
    </cfRule>
    <cfRule type="expression" priority="5177" dxfId="1">
      <formula>AND(IF($Q82=3,1,0),IF($X82&lt;30,1,0))</formula>
    </cfRule>
    <cfRule type="expression" priority="5178" dxfId="0">
      <formula>AND(IF($Q82=3,1,IF($Q82=4,1,0)),IF($F82&lt;=85,1,0))</formula>
    </cfRule>
  </conditionalFormatting>
  <conditionalFormatting sqref="X82">
    <cfRule type="expression" priority="5171" dxfId="3">
      <formula>AND(IF(OR($Q82=1,$Q82=2),1,0),IF($X82&lt;=20,1,0))</formula>
    </cfRule>
    <cfRule type="expression" priority="5172" dxfId="2">
      <formula>AND(IF($Q82=2,1,0),IF($X82&lt;30,1,0))</formula>
    </cfRule>
    <cfRule type="expression" priority="5173" dxfId="1">
      <formula>AND(IF($Q82=3,1,0),IF($X82&lt;30,1,0))</formula>
    </cfRule>
    <cfRule type="expression" priority="5174" dxfId="0">
      <formula>AND(IF($Q82=3,1,IF($Q82=4,1,0)),IF($F82&lt;=85,1,0))</formula>
    </cfRule>
  </conditionalFormatting>
  <conditionalFormatting sqref="AI82">
    <cfRule type="expression" priority="5167" dxfId="3">
      <formula>AND(IF(OR($Q82=1,$Q82=2),1,0),IF($X82&lt;=20,1,0))</formula>
    </cfRule>
    <cfRule type="expression" priority="5168" dxfId="2">
      <formula>AND(IF($Q82=2,1,0),IF($X82&lt;30,1,0))</formula>
    </cfRule>
    <cfRule type="expression" priority="5169" dxfId="1">
      <formula>AND(IF($Q82=3,1,0),IF($X82&lt;30,1,0))</formula>
    </cfRule>
    <cfRule type="expression" priority="5170" dxfId="0">
      <formula>AND(IF($Q82=3,1,IF($Q82=4,1,0)),IF($F82&lt;=85,1,0))</formula>
    </cfRule>
  </conditionalFormatting>
  <conditionalFormatting sqref="AV83">
    <cfRule type="expression" priority="5165" dxfId="23">
      <formula>AV83="X"</formula>
    </cfRule>
    <cfRule type="expression" priority="5166" dxfId="22">
      <formula>AV83="후보"</formula>
    </cfRule>
  </conditionalFormatting>
  <conditionalFormatting sqref="AC8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8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83">
    <cfRule type="expression" priority="5157" dxfId="3">
      <formula>AND(IF(OR($Q83=1,$Q83=2),1,0),IF($X83&lt;=20,1,0))</formula>
    </cfRule>
    <cfRule type="expression" priority="5158" dxfId="2">
      <formula>AND(IF($Q83=2,1,0),IF($X83&lt;30,1,0))</formula>
    </cfRule>
    <cfRule type="expression" priority="5159" dxfId="1">
      <formula>AND(IF($Q83=3,1,0),IF($X83&lt;30,1,0))</formula>
    </cfRule>
    <cfRule type="expression" priority="5160" dxfId="0">
      <formula>AND(IF($Q83=3,1,IF($Q83=4,1,0)),IF($F83&lt;=85,1,0))</formula>
    </cfRule>
  </conditionalFormatting>
  <conditionalFormatting sqref="X83">
    <cfRule type="expression" priority="5153" dxfId="3">
      <formula>AND(IF(OR($Q83=1,$Q83=2),1,0),IF($X83&lt;=20,1,0))</formula>
    </cfRule>
    <cfRule type="expression" priority="5154" dxfId="2">
      <formula>AND(IF($Q83=2,1,0),IF($X83&lt;30,1,0))</formula>
    </cfRule>
    <cfRule type="expression" priority="5155" dxfId="1">
      <formula>AND(IF($Q83=3,1,0),IF($X83&lt;30,1,0))</formula>
    </cfRule>
    <cfRule type="expression" priority="5156" dxfId="0">
      <formula>AND(IF($Q83=3,1,IF($Q83=4,1,0)),IF($F83&lt;=85,1,0))</formula>
    </cfRule>
  </conditionalFormatting>
  <conditionalFormatting sqref="AI83">
    <cfRule type="expression" priority="5149" dxfId="3">
      <formula>AND(IF(OR($Q83=1,$Q83=2),1,0),IF($X83&lt;=20,1,0))</formula>
    </cfRule>
    <cfRule type="expression" priority="5150" dxfId="2">
      <formula>AND(IF($Q83=2,1,0),IF($X83&lt;30,1,0))</formula>
    </cfRule>
    <cfRule type="expression" priority="5151" dxfId="1">
      <formula>AND(IF($Q83=3,1,0),IF($X83&lt;30,1,0))</formula>
    </cfRule>
    <cfRule type="expression" priority="5152" dxfId="0">
      <formula>AND(IF($Q83=3,1,IF($Q83=4,1,0)),IF($F83&lt;=85,1,0))</formula>
    </cfRule>
  </conditionalFormatting>
  <conditionalFormatting sqref="AV84">
    <cfRule type="expression" priority="5147" dxfId="23">
      <formula>AV84="X"</formula>
    </cfRule>
    <cfRule type="expression" priority="5148" dxfId="22">
      <formula>AV84="후보"</formula>
    </cfRule>
  </conditionalFormatting>
  <conditionalFormatting sqref="AC8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8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84">
    <cfRule type="expression" priority="5139" dxfId="3">
      <formula>AND(IF(OR($Q84=1,$Q84=2),1,0),IF($X84&lt;=20,1,0))</formula>
    </cfRule>
    <cfRule type="expression" priority="5140" dxfId="2">
      <formula>AND(IF($Q84=2,1,0),IF($X84&lt;30,1,0))</formula>
    </cfRule>
    <cfRule type="expression" priority="5141" dxfId="1">
      <formula>AND(IF($Q84=3,1,0),IF($X84&lt;30,1,0))</formula>
    </cfRule>
    <cfRule type="expression" priority="5142" dxfId="0">
      <formula>AND(IF($Q84=3,1,IF($Q84=4,1,0)),IF($F84&lt;=85,1,0))</formula>
    </cfRule>
  </conditionalFormatting>
  <conditionalFormatting sqref="X84">
    <cfRule type="expression" priority="5135" dxfId="3">
      <formula>AND(IF(OR($Q84=1,$Q84=2),1,0),IF($X84&lt;=20,1,0))</formula>
    </cfRule>
    <cfRule type="expression" priority="5136" dxfId="2">
      <formula>AND(IF($Q84=2,1,0),IF($X84&lt;30,1,0))</formula>
    </cfRule>
    <cfRule type="expression" priority="5137" dxfId="1">
      <formula>AND(IF($Q84=3,1,0),IF($X84&lt;30,1,0))</formula>
    </cfRule>
    <cfRule type="expression" priority="5138" dxfId="0">
      <formula>AND(IF($Q84=3,1,IF($Q84=4,1,0)),IF($F84&lt;=85,1,0))</formula>
    </cfRule>
  </conditionalFormatting>
  <conditionalFormatting sqref="AI84">
    <cfRule type="expression" priority="5131" dxfId="3">
      <formula>AND(IF(OR($Q84=1,$Q84=2),1,0),IF($X84&lt;=20,1,0))</formula>
    </cfRule>
    <cfRule type="expression" priority="5132" dxfId="2">
      <formula>AND(IF($Q84=2,1,0),IF($X84&lt;30,1,0))</formula>
    </cfRule>
    <cfRule type="expression" priority="5133" dxfId="1">
      <formula>AND(IF($Q84=3,1,0),IF($X84&lt;30,1,0))</formula>
    </cfRule>
    <cfRule type="expression" priority="5134" dxfId="0">
      <formula>AND(IF($Q84=3,1,IF($Q84=4,1,0)),IF($F84&lt;=85,1,0))</formula>
    </cfRule>
  </conditionalFormatting>
  <conditionalFormatting sqref="AV85">
    <cfRule type="expression" priority="5129" dxfId="23">
      <formula>AV85="X"</formula>
    </cfRule>
    <cfRule type="expression" priority="5130" dxfId="22">
      <formula>AV85="후보"</formula>
    </cfRule>
  </conditionalFormatting>
  <conditionalFormatting sqref="AC8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8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85">
    <cfRule type="expression" priority="5121" dxfId="3">
      <formula>AND(IF(OR($Q85=1,$Q85=2),1,0),IF($X85&lt;=20,1,0))</formula>
    </cfRule>
    <cfRule type="expression" priority="5122" dxfId="2">
      <formula>AND(IF($Q85=2,1,0),IF($X85&lt;30,1,0))</formula>
    </cfRule>
    <cfRule type="expression" priority="5123" dxfId="1">
      <formula>AND(IF($Q85=3,1,0),IF($X85&lt;30,1,0))</formula>
    </cfRule>
    <cfRule type="expression" priority="5124" dxfId="0">
      <formula>AND(IF($Q85=3,1,IF($Q85=4,1,0)),IF($F85&lt;=85,1,0))</formula>
    </cfRule>
  </conditionalFormatting>
  <conditionalFormatting sqref="X85">
    <cfRule type="expression" priority="5117" dxfId="3">
      <formula>AND(IF(OR($Q85=1,$Q85=2),1,0),IF($X85&lt;=20,1,0))</formula>
    </cfRule>
    <cfRule type="expression" priority="5118" dxfId="2">
      <formula>AND(IF($Q85=2,1,0),IF($X85&lt;30,1,0))</formula>
    </cfRule>
    <cfRule type="expression" priority="5119" dxfId="1">
      <formula>AND(IF($Q85=3,1,0),IF($X85&lt;30,1,0))</formula>
    </cfRule>
    <cfRule type="expression" priority="5120" dxfId="0">
      <formula>AND(IF($Q85=3,1,IF($Q85=4,1,0)),IF($F85&lt;=85,1,0))</formula>
    </cfRule>
  </conditionalFormatting>
  <conditionalFormatting sqref="AI85">
    <cfRule type="expression" priority="5113" dxfId="3">
      <formula>AND(IF(OR($Q85=1,$Q85=2),1,0),IF($X85&lt;=20,1,0))</formula>
    </cfRule>
    <cfRule type="expression" priority="5114" dxfId="2">
      <formula>AND(IF($Q85=2,1,0),IF($X85&lt;30,1,0))</formula>
    </cfRule>
    <cfRule type="expression" priority="5115" dxfId="1">
      <formula>AND(IF($Q85=3,1,0),IF($X85&lt;30,1,0))</formula>
    </cfRule>
    <cfRule type="expression" priority="5116" dxfId="0">
      <formula>AND(IF($Q85=3,1,IF($Q85=4,1,0)),IF($F85&lt;=85,1,0))</formula>
    </cfRule>
  </conditionalFormatting>
  <conditionalFormatting sqref="AV86">
    <cfRule type="expression" priority="5111" dxfId="23">
      <formula>AV86="X"</formula>
    </cfRule>
    <cfRule type="expression" priority="5112" dxfId="22">
      <formula>AV86="후보"</formula>
    </cfRule>
  </conditionalFormatting>
  <conditionalFormatting sqref="AC8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8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86">
    <cfRule type="expression" priority="5103" dxfId="3">
      <formula>AND(IF(OR($Q86=1,$Q86=2),1,0),IF($X86&lt;=20,1,0))</formula>
    </cfRule>
    <cfRule type="expression" priority="5104" dxfId="2">
      <formula>AND(IF($Q86=2,1,0),IF($X86&lt;30,1,0))</formula>
    </cfRule>
    <cfRule type="expression" priority="5105" dxfId="1">
      <formula>AND(IF($Q86=3,1,0),IF($X86&lt;30,1,0))</formula>
    </cfRule>
    <cfRule type="expression" priority="5106" dxfId="0">
      <formula>AND(IF($Q86=3,1,IF($Q86=4,1,0)),IF($F86&lt;=85,1,0))</formula>
    </cfRule>
  </conditionalFormatting>
  <conditionalFormatting sqref="X86">
    <cfRule type="expression" priority="5099" dxfId="3">
      <formula>AND(IF(OR($Q86=1,$Q86=2),1,0),IF($X86&lt;=20,1,0))</formula>
    </cfRule>
    <cfRule type="expression" priority="5100" dxfId="2">
      <formula>AND(IF($Q86=2,1,0),IF($X86&lt;30,1,0))</formula>
    </cfRule>
    <cfRule type="expression" priority="5101" dxfId="1">
      <formula>AND(IF($Q86=3,1,0),IF($X86&lt;30,1,0))</formula>
    </cfRule>
    <cfRule type="expression" priority="5102" dxfId="0">
      <formula>AND(IF($Q86=3,1,IF($Q86=4,1,0)),IF($F86&lt;=85,1,0))</formula>
    </cfRule>
  </conditionalFormatting>
  <conditionalFormatting sqref="AI86">
    <cfRule type="expression" priority="5095" dxfId="3">
      <formula>AND(IF(OR($Q86=1,$Q86=2),1,0),IF($X86&lt;=20,1,0))</formula>
    </cfRule>
    <cfRule type="expression" priority="5096" dxfId="2">
      <formula>AND(IF($Q86=2,1,0),IF($X86&lt;30,1,0))</formula>
    </cfRule>
    <cfRule type="expression" priority="5097" dxfId="1">
      <formula>AND(IF($Q86=3,1,0),IF($X86&lt;30,1,0))</formula>
    </cfRule>
    <cfRule type="expression" priority="5098" dxfId="0">
      <formula>AND(IF($Q86=3,1,IF($Q86=4,1,0)),IF($F86&lt;=85,1,0))</formula>
    </cfRule>
  </conditionalFormatting>
  <conditionalFormatting sqref="AV87">
    <cfRule type="expression" priority="5093" dxfId="23">
      <formula>AV87="X"</formula>
    </cfRule>
    <cfRule type="expression" priority="5094" dxfId="22">
      <formula>AV87="후보"</formula>
    </cfRule>
  </conditionalFormatting>
  <conditionalFormatting sqref="AC8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8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87">
    <cfRule type="expression" priority="5085" dxfId="3">
      <formula>AND(IF(OR($Q87=1,$Q87=2),1,0),IF($X87&lt;=20,1,0))</formula>
    </cfRule>
    <cfRule type="expression" priority="5086" dxfId="2">
      <formula>AND(IF($Q87=2,1,0),IF($X87&lt;30,1,0))</formula>
    </cfRule>
    <cfRule type="expression" priority="5087" dxfId="1">
      <formula>AND(IF($Q87=3,1,0),IF($X87&lt;30,1,0))</formula>
    </cfRule>
    <cfRule type="expression" priority="5088" dxfId="0">
      <formula>AND(IF($Q87=3,1,IF($Q87=4,1,0)),IF($F87&lt;=85,1,0))</formula>
    </cfRule>
  </conditionalFormatting>
  <conditionalFormatting sqref="X87">
    <cfRule type="expression" priority="5081" dxfId="3">
      <formula>AND(IF(OR($Q87=1,$Q87=2),1,0),IF($X87&lt;=20,1,0))</formula>
    </cfRule>
    <cfRule type="expression" priority="5082" dxfId="2">
      <formula>AND(IF($Q87=2,1,0),IF($X87&lt;30,1,0))</formula>
    </cfRule>
    <cfRule type="expression" priority="5083" dxfId="1">
      <formula>AND(IF($Q87=3,1,0),IF($X87&lt;30,1,0))</formula>
    </cfRule>
    <cfRule type="expression" priority="5084" dxfId="0">
      <formula>AND(IF($Q87=3,1,IF($Q87=4,1,0)),IF($F87&lt;=85,1,0))</formula>
    </cfRule>
  </conditionalFormatting>
  <conditionalFormatting sqref="AI87">
    <cfRule type="expression" priority="5077" dxfId="3">
      <formula>AND(IF(OR($Q87=1,$Q87=2),1,0),IF($X87&lt;=20,1,0))</formula>
    </cfRule>
    <cfRule type="expression" priority="5078" dxfId="2">
      <formula>AND(IF($Q87=2,1,0),IF($X87&lt;30,1,0))</formula>
    </cfRule>
    <cfRule type="expression" priority="5079" dxfId="1">
      <formula>AND(IF($Q87=3,1,0),IF($X87&lt;30,1,0))</formula>
    </cfRule>
    <cfRule type="expression" priority="5080" dxfId="0">
      <formula>AND(IF($Q87=3,1,IF($Q87=4,1,0)),IF($F87&lt;=85,1,0))</formula>
    </cfRule>
  </conditionalFormatting>
  <conditionalFormatting sqref="AV88">
    <cfRule type="expression" priority="5075" dxfId="23">
      <formula>AV88="X"</formula>
    </cfRule>
    <cfRule type="expression" priority="5076" dxfId="22">
      <formula>AV88="후보"</formula>
    </cfRule>
  </conditionalFormatting>
  <conditionalFormatting sqref="AC8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8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88">
    <cfRule type="expression" priority="5067" dxfId="3">
      <formula>AND(IF(OR($Q88=1,$Q88=2),1,0),IF($X88&lt;=20,1,0))</formula>
    </cfRule>
    <cfRule type="expression" priority="5068" dxfId="2">
      <formula>AND(IF($Q88=2,1,0),IF($X88&lt;30,1,0))</formula>
    </cfRule>
    <cfRule type="expression" priority="5069" dxfId="1">
      <formula>AND(IF($Q88=3,1,0),IF($X88&lt;30,1,0))</formula>
    </cfRule>
    <cfRule type="expression" priority="5070" dxfId="0">
      <formula>AND(IF($Q88=3,1,IF($Q88=4,1,0)),IF($F88&lt;=85,1,0))</formula>
    </cfRule>
  </conditionalFormatting>
  <conditionalFormatting sqref="X88">
    <cfRule type="expression" priority="5063" dxfId="3">
      <formula>AND(IF(OR($Q88=1,$Q88=2),1,0),IF($X88&lt;=20,1,0))</formula>
    </cfRule>
    <cfRule type="expression" priority="5064" dxfId="2">
      <formula>AND(IF($Q88=2,1,0),IF($X88&lt;30,1,0))</formula>
    </cfRule>
    <cfRule type="expression" priority="5065" dxfId="1">
      <formula>AND(IF($Q88=3,1,0),IF($X88&lt;30,1,0))</formula>
    </cfRule>
    <cfRule type="expression" priority="5066" dxfId="0">
      <formula>AND(IF($Q88=3,1,IF($Q88=4,1,0)),IF($F88&lt;=85,1,0))</formula>
    </cfRule>
  </conditionalFormatting>
  <conditionalFormatting sqref="AI88">
    <cfRule type="expression" priority="5059" dxfId="3">
      <formula>AND(IF(OR($Q88=1,$Q88=2),1,0),IF($X88&lt;=20,1,0))</formula>
    </cfRule>
    <cfRule type="expression" priority="5060" dxfId="2">
      <formula>AND(IF($Q88=2,1,0),IF($X88&lt;30,1,0))</formula>
    </cfRule>
    <cfRule type="expression" priority="5061" dxfId="1">
      <formula>AND(IF($Q88=3,1,0),IF($X88&lt;30,1,0))</formula>
    </cfRule>
    <cfRule type="expression" priority="5062" dxfId="0">
      <formula>AND(IF($Q88=3,1,IF($Q88=4,1,0)),IF($F88&lt;=85,1,0))</formula>
    </cfRule>
  </conditionalFormatting>
  <conditionalFormatting sqref="AV89">
    <cfRule type="expression" priority="5057" dxfId="23">
      <formula>AV89="X"</formula>
    </cfRule>
    <cfRule type="expression" priority="5058" dxfId="22">
      <formula>AV89="후보"</formula>
    </cfRule>
  </conditionalFormatting>
  <conditionalFormatting sqref="AC8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8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89">
    <cfRule type="expression" priority="5049" dxfId="3">
      <formula>AND(IF(OR($Q89=1,$Q89=2),1,0),IF($X89&lt;=20,1,0))</formula>
    </cfRule>
    <cfRule type="expression" priority="5050" dxfId="2">
      <formula>AND(IF($Q89=2,1,0),IF($X89&lt;30,1,0))</formula>
    </cfRule>
    <cfRule type="expression" priority="5051" dxfId="1">
      <formula>AND(IF($Q89=3,1,0),IF($X89&lt;30,1,0))</formula>
    </cfRule>
    <cfRule type="expression" priority="5052" dxfId="0">
      <formula>AND(IF($Q89=3,1,IF($Q89=4,1,0)),IF($F89&lt;=85,1,0))</formula>
    </cfRule>
  </conditionalFormatting>
  <conditionalFormatting sqref="X89">
    <cfRule type="expression" priority="5045" dxfId="3">
      <formula>AND(IF(OR($Q89=1,$Q89=2),1,0),IF($X89&lt;=20,1,0))</formula>
    </cfRule>
    <cfRule type="expression" priority="5046" dxfId="2">
      <formula>AND(IF($Q89=2,1,0),IF($X89&lt;30,1,0))</formula>
    </cfRule>
    <cfRule type="expression" priority="5047" dxfId="1">
      <formula>AND(IF($Q89=3,1,0),IF($X89&lt;30,1,0))</formula>
    </cfRule>
    <cfRule type="expression" priority="5048" dxfId="0">
      <formula>AND(IF($Q89=3,1,IF($Q89=4,1,0)),IF($F89&lt;=85,1,0))</formula>
    </cfRule>
  </conditionalFormatting>
  <conditionalFormatting sqref="AI89">
    <cfRule type="expression" priority="5041" dxfId="3">
      <formula>AND(IF(OR($Q89=1,$Q89=2),1,0),IF($X89&lt;=20,1,0))</formula>
    </cfRule>
    <cfRule type="expression" priority="5042" dxfId="2">
      <formula>AND(IF($Q89=2,1,0),IF($X89&lt;30,1,0))</formula>
    </cfRule>
    <cfRule type="expression" priority="5043" dxfId="1">
      <formula>AND(IF($Q89=3,1,0),IF($X89&lt;30,1,0))</formula>
    </cfRule>
    <cfRule type="expression" priority="5044" dxfId="0">
      <formula>AND(IF($Q89=3,1,IF($Q89=4,1,0)),IF($F89&lt;=85,1,0))</formula>
    </cfRule>
  </conditionalFormatting>
  <conditionalFormatting sqref="AV90">
    <cfRule type="expression" priority="5039" dxfId="23">
      <formula>AV90="X"</formula>
    </cfRule>
    <cfRule type="expression" priority="5040" dxfId="22">
      <formula>AV90="후보"</formula>
    </cfRule>
  </conditionalFormatting>
  <conditionalFormatting sqref="AC9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9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90">
    <cfRule type="expression" priority="5031" dxfId="3">
      <formula>AND(IF(OR($Q90=1,$Q90=2),1,0),IF($X90&lt;=20,1,0))</formula>
    </cfRule>
    <cfRule type="expression" priority="5032" dxfId="2">
      <formula>AND(IF($Q90=2,1,0),IF($X90&lt;30,1,0))</formula>
    </cfRule>
    <cfRule type="expression" priority="5033" dxfId="1">
      <formula>AND(IF($Q90=3,1,0),IF($X90&lt;30,1,0))</formula>
    </cfRule>
    <cfRule type="expression" priority="5034" dxfId="0">
      <formula>AND(IF($Q90=3,1,IF($Q90=4,1,0)),IF($F90&lt;=85,1,0))</formula>
    </cfRule>
  </conditionalFormatting>
  <conditionalFormatting sqref="X90">
    <cfRule type="expression" priority="5027" dxfId="3">
      <formula>AND(IF(OR($Q90=1,$Q90=2),1,0),IF($X90&lt;=20,1,0))</formula>
    </cfRule>
    <cfRule type="expression" priority="5028" dxfId="2">
      <formula>AND(IF($Q90=2,1,0),IF($X90&lt;30,1,0))</formula>
    </cfRule>
    <cfRule type="expression" priority="5029" dxfId="1">
      <formula>AND(IF($Q90=3,1,0),IF($X90&lt;30,1,0))</formula>
    </cfRule>
    <cfRule type="expression" priority="5030" dxfId="0">
      <formula>AND(IF($Q90=3,1,IF($Q90=4,1,0)),IF($F90&lt;=85,1,0))</formula>
    </cfRule>
  </conditionalFormatting>
  <conditionalFormatting sqref="AI90">
    <cfRule type="expression" priority="5023" dxfId="3">
      <formula>AND(IF(OR($Q90=1,$Q90=2),1,0),IF($X90&lt;=20,1,0))</formula>
    </cfRule>
    <cfRule type="expression" priority="5024" dxfId="2">
      <formula>AND(IF($Q90=2,1,0),IF($X90&lt;30,1,0))</formula>
    </cfRule>
    <cfRule type="expression" priority="5025" dxfId="1">
      <formula>AND(IF($Q90=3,1,0),IF($X90&lt;30,1,0))</formula>
    </cfRule>
    <cfRule type="expression" priority="5026" dxfId="0">
      <formula>AND(IF($Q90=3,1,IF($Q90=4,1,0)),IF($F90&lt;=85,1,0))</formula>
    </cfRule>
  </conditionalFormatting>
  <conditionalFormatting sqref="AV91">
    <cfRule type="expression" priority="5021" dxfId="23">
      <formula>AV91="X"</formula>
    </cfRule>
    <cfRule type="expression" priority="5022" dxfId="22">
      <formula>AV91="후보"</formula>
    </cfRule>
  </conditionalFormatting>
  <conditionalFormatting sqref="AC9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9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91">
    <cfRule type="expression" priority="5013" dxfId="3">
      <formula>AND(IF(OR($Q91=1,$Q91=2),1,0),IF($X91&lt;=20,1,0))</formula>
    </cfRule>
    <cfRule type="expression" priority="5014" dxfId="2">
      <formula>AND(IF($Q91=2,1,0),IF($X91&lt;30,1,0))</formula>
    </cfRule>
    <cfRule type="expression" priority="5015" dxfId="1">
      <formula>AND(IF($Q91=3,1,0),IF($X91&lt;30,1,0))</formula>
    </cfRule>
    <cfRule type="expression" priority="5016" dxfId="0">
      <formula>AND(IF($Q91=3,1,IF($Q91=4,1,0)),IF($F91&lt;=85,1,0))</formula>
    </cfRule>
  </conditionalFormatting>
  <conditionalFormatting sqref="X91">
    <cfRule type="expression" priority="5009" dxfId="3">
      <formula>AND(IF(OR($Q91=1,$Q91=2),1,0),IF($X91&lt;=20,1,0))</formula>
    </cfRule>
    <cfRule type="expression" priority="5010" dxfId="2">
      <formula>AND(IF($Q91=2,1,0),IF($X91&lt;30,1,0))</formula>
    </cfRule>
    <cfRule type="expression" priority="5011" dxfId="1">
      <formula>AND(IF($Q91=3,1,0),IF($X91&lt;30,1,0))</formula>
    </cfRule>
    <cfRule type="expression" priority="5012" dxfId="0">
      <formula>AND(IF($Q91=3,1,IF($Q91=4,1,0)),IF($F91&lt;=85,1,0))</formula>
    </cfRule>
  </conditionalFormatting>
  <conditionalFormatting sqref="AI91">
    <cfRule type="expression" priority="5005" dxfId="3">
      <formula>AND(IF(OR($Q91=1,$Q91=2),1,0),IF($X91&lt;=20,1,0))</formula>
    </cfRule>
    <cfRule type="expression" priority="5006" dxfId="2">
      <formula>AND(IF($Q91=2,1,0),IF($X91&lt;30,1,0))</formula>
    </cfRule>
    <cfRule type="expression" priority="5007" dxfId="1">
      <formula>AND(IF($Q91=3,1,0),IF($X91&lt;30,1,0))</formula>
    </cfRule>
    <cfRule type="expression" priority="5008" dxfId="0">
      <formula>AND(IF($Q91=3,1,IF($Q91=4,1,0)),IF($F91&lt;=85,1,0))</formula>
    </cfRule>
  </conditionalFormatting>
  <conditionalFormatting sqref="AV92">
    <cfRule type="expression" priority="5003" dxfId="23">
      <formula>AV92="X"</formula>
    </cfRule>
    <cfRule type="expression" priority="5004" dxfId="22">
      <formula>AV92="후보"</formula>
    </cfRule>
  </conditionalFormatting>
  <conditionalFormatting sqref="AC9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9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92">
    <cfRule type="expression" priority="4995" dxfId="3">
      <formula>AND(IF(OR($Q92=1,$Q92=2),1,0),IF($X92&lt;=20,1,0))</formula>
    </cfRule>
    <cfRule type="expression" priority="4996" dxfId="2">
      <formula>AND(IF($Q92=2,1,0),IF($X92&lt;30,1,0))</formula>
    </cfRule>
    <cfRule type="expression" priority="4997" dxfId="1">
      <formula>AND(IF($Q92=3,1,0),IF($X92&lt;30,1,0))</formula>
    </cfRule>
    <cfRule type="expression" priority="4998" dxfId="0">
      <formula>AND(IF($Q92=3,1,IF($Q92=4,1,0)),IF($F92&lt;=85,1,0))</formula>
    </cfRule>
  </conditionalFormatting>
  <conditionalFormatting sqref="X92">
    <cfRule type="expression" priority="4991" dxfId="3">
      <formula>AND(IF(OR($Q92=1,$Q92=2),1,0),IF($X92&lt;=20,1,0))</formula>
    </cfRule>
    <cfRule type="expression" priority="4992" dxfId="2">
      <formula>AND(IF($Q92=2,1,0),IF($X92&lt;30,1,0))</formula>
    </cfRule>
    <cfRule type="expression" priority="4993" dxfId="1">
      <formula>AND(IF($Q92=3,1,0),IF($X92&lt;30,1,0))</formula>
    </cfRule>
    <cfRule type="expression" priority="4994" dxfId="0">
      <formula>AND(IF($Q92=3,1,IF($Q92=4,1,0)),IF($F92&lt;=85,1,0))</formula>
    </cfRule>
  </conditionalFormatting>
  <conditionalFormatting sqref="AI92">
    <cfRule type="expression" priority="4987" dxfId="3">
      <formula>AND(IF(OR($Q92=1,$Q92=2),1,0),IF($X92&lt;=20,1,0))</formula>
    </cfRule>
    <cfRule type="expression" priority="4988" dxfId="2">
      <formula>AND(IF($Q92=2,1,0),IF($X92&lt;30,1,0))</formula>
    </cfRule>
    <cfRule type="expression" priority="4989" dxfId="1">
      <formula>AND(IF($Q92=3,1,0),IF($X92&lt;30,1,0))</formula>
    </cfRule>
    <cfRule type="expression" priority="4990" dxfId="0">
      <formula>AND(IF($Q92=3,1,IF($Q92=4,1,0)),IF($F92&lt;=85,1,0))</formula>
    </cfRule>
  </conditionalFormatting>
  <conditionalFormatting sqref="AV93">
    <cfRule type="expression" priority="4985" dxfId="23">
      <formula>AV93="X"</formula>
    </cfRule>
    <cfRule type="expression" priority="4986" dxfId="22">
      <formula>AV93="후보"</formula>
    </cfRule>
  </conditionalFormatting>
  <conditionalFormatting sqref="AC9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9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93">
    <cfRule type="expression" priority="4977" dxfId="3">
      <formula>AND(IF(OR($Q93=1,$Q93=2),1,0),IF($X93&lt;=20,1,0))</formula>
    </cfRule>
    <cfRule type="expression" priority="4978" dxfId="2">
      <formula>AND(IF($Q93=2,1,0),IF($X93&lt;30,1,0))</formula>
    </cfRule>
    <cfRule type="expression" priority="4979" dxfId="1">
      <formula>AND(IF($Q93=3,1,0),IF($X93&lt;30,1,0))</formula>
    </cfRule>
    <cfRule type="expression" priority="4980" dxfId="0">
      <formula>AND(IF($Q93=3,1,IF($Q93=4,1,0)),IF($F93&lt;=85,1,0))</formula>
    </cfRule>
  </conditionalFormatting>
  <conditionalFormatting sqref="X93">
    <cfRule type="expression" priority="4973" dxfId="3">
      <formula>AND(IF(OR($Q93=1,$Q93=2),1,0),IF($X93&lt;=20,1,0))</formula>
    </cfRule>
    <cfRule type="expression" priority="4974" dxfId="2">
      <formula>AND(IF($Q93=2,1,0),IF($X93&lt;30,1,0))</formula>
    </cfRule>
    <cfRule type="expression" priority="4975" dxfId="1">
      <formula>AND(IF($Q93=3,1,0),IF($X93&lt;30,1,0))</formula>
    </cfRule>
    <cfRule type="expression" priority="4976" dxfId="0">
      <formula>AND(IF($Q93=3,1,IF($Q93=4,1,0)),IF($F93&lt;=85,1,0))</formula>
    </cfRule>
  </conditionalFormatting>
  <conditionalFormatting sqref="AI93">
    <cfRule type="expression" priority="4969" dxfId="3">
      <formula>AND(IF(OR($Q93=1,$Q93=2),1,0),IF($X93&lt;=20,1,0))</formula>
    </cfRule>
    <cfRule type="expression" priority="4970" dxfId="2">
      <formula>AND(IF($Q93=2,1,0),IF($X93&lt;30,1,0))</formula>
    </cfRule>
    <cfRule type="expression" priority="4971" dxfId="1">
      <formula>AND(IF($Q93=3,1,0),IF($X93&lt;30,1,0))</formula>
    </cfRule>
    <cfRule type="expression" priority="4972" dxfId="0">
      <formula>AND(IF($Q93=3,1,IF($Q93=4,1,0)),IF($F93&lt;=85,1,0))</formula>
    </cfRule>
  </conditionalFormatting>
  <conditionalFormatting sqref="AV94">
    <cfRule type="expression" priority="4967" dxfId="23">
      <formula>AV94="X"</formula>
    </cfRule>
    <cfRule type="expression" priority="4968" dxfId="22">
      <formula>AV94="후보"</formula>
    </cfRule>
  </conditionalFormatting>
  <conditionalFormatting sqref="AC9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9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94">
    <cfRule type="expression" priority="4959" dxfId="3">
      <formula>AND(IF(OR($Q94=1,$Q94=2),1,0),IF($X94&lt;=20,1,0))</formula>
    </cfRule>
    <cfRule type="expression" priority="4960" dxfId="2">
      <formula>AND(IF($Q94=2,1,0),IF($X94&lt;30,1,0))</formula>
    </cfRule>
    <cfRule type="expression" priority="4961" dxfId="1">
      <formula>AND(IF($Q94=3,1,0),IF($X94&lt;30,1,0))</formula>
    </cfRule>
    <cfRule type="expression" priority="4962" dxfId="0">
      <formula>AND(IF($Q94=3,1,IF($Q94=4,1,0)),IF($F94&lt;=85,1,0))</formula>
    </cfRule>
  </conditionalFormatting>
  <conditionalFormatting sqref="X94">
    <cfRule type="expression" priority="4955" dxfId="3">
      <formula>AND(IF(OR($Q94=1,$Q94=2),1,0),IF($X94&lt;=20,1,0))</formula>
    </cfRule>
    <cfRule type="expression" priority="4956" dxfId="2">
      <formula>AND(IF($Q94=2,1,0),IF($X94&lt;30,1,0))</formula>
    </cfRule>
    <cfRule type="expression" priority="4957" dxfId="1">
      <formula>AND(IF($Q94=3,1,0),IF($X94&lt;30,1,0))</formula>
    </cfRule>
    <cfRule type="expression" priority="4958" dxfId="0">
      <formula>AND(IF($Q94=3,1,IF($Q94=4,1,0)),IF($F94&lt;=85,1,0))</formula>
    </cfRule>
  </conditionalFormatting>
  <conditionalFormatting sqref="AI94">
    <cfRule type="expression" priority="4951" dxfId="3">
      <formula>AND(IF(OR($Q94=1,$Q94=2),1,0),IF($X94&lt;=20,1,0))</formula>
    </cfRule>
    <cfRule type="expression" priority="4952" dxfId="2">
      <formula>AND(IF($Q94=2,1,0),IF($X94&lt;30,1,0))</formula>
    </cfRule>
    <cfRule type="expression" priority="4953" dxfId="1">
      <formula>AND(IF($Q94=3,1,0),IF($X94&lt;30,1,0))</formula>
    </cfRule>
    <cfRule type="expression" priority="4954" dxfId="0">
      <formula>AND(IF($Q94=3,1,IF($Q94=4,1,0)),IF($F94&lt;=85,1,0))</formula>
    </cfRule>
  </conditionalFormatting>
  <conditionalFormatting sqref="AV95">
    <cfRule type="expression" priority="4949" dxfId="23">
      <formula>AV95="X"</formula>
    </cfRule>
    <cfRule type="expression" priority="4950" dxfId="22">
      <formula>AV95="후보"</formula>
    </cfRule>
  </conditionalFormatting>
  <conditionalFormatting sqref="AC9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9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95">
    <cfRule type="expression" priority="4941" dxfId="3">
      <formula>AND(IF(OR($Q95=1,$Q95=2),1,0),IF($X95&lt;=20,1,0))</formula>
    </cfRule>
    <cfRule type="expression" priority="4942" dxfId="2">
      <formula>AND(IF($Q95=2,1,0),IF($X95&lt;30,1,0))</formula>
    </cfRule>
    <cfRule type="expression" priority="4943" dxfId="1">
      <formula>AND(IF($Q95=3,1,0),IF($X95&lt;30,1,0))</formula>
    </cfRule>
    <cfRule type="expression" priority="4944" dxfId="0">
      <formula>AND(IF($Q95=3,1,IF($Q95=4,1,0)),IF($F95&lt;=85,1,0))</formula>
    </cfRule>
  </conditionalFormatting>
  <conditionalFormatting sqref="X95">
    <cfRule type="expression" priority="4937" dxfId="3">
      <formula>AND(IF(OR($Q95=1,$Q95=2),1,0),IF($X95&lt;=20,1,0))</formula>
    </cfRule>
    <cfRule type="expression" priority="4938" dxfId="2">
      <formula>AND(IF($Q95=2,1,0),IF($X95&lt;30,1,0))</formula>
    </cfRule>
    <cfRule type="expression" priority="4939" dxfId="1">
      <formula>AND(IF($Q95=3,1,0),IF($X95&lt;30,1,0))</formula>
    </cfRule>
    <cfRule type="expression" priority="4940" dxfId="0">
      <formula>AND(IF($Q95=3,1,IF($Q95=4,1,0)),IF($F95&lt;=85,1,0))</formula>
    </cfRule>
  </conditionalFormatting>
  <conditionalFormatting sqref="AI95">
    <cfRule type="expression" priority="4933" dxfId="3">
      <formula>AND(IF(OR($Q95=1,$Q95=2),1,0),IF($X95&lt;=20,1,0))</formula>
    </cfRule>
    <cfRule type="expression" priority="4934" dxfId="2">
      <formula>AND(IF($Q95=2,1,0),IF($X95&lt;30,1,0))</formula>
    </cfRule>
    <cfRule type="expression" priority="4935" dxfId="1">
      <formula>AND(IF($Q95=3,1,0),IF($X95&lt;30,1,0))</formula>
    </cfRule>
    <cfRule type="expression" priority="4936" dxfId="0">
      <formula>AND(IF($Q95=3,1,IF($Q95=4,1,0)),IF($F95&lt;=85,1,0))</formula>
    </cfRule>
  </conditionalFormatting>
  <conditionalFormatting sqref="AV96">
    <cfRule type="expression" priority="4931" dxfId="23">
      <formula>AV96="X"</formula>
    </cfRule>
    <cfRule type="expression" priority="4932" dxfId="22">
      <formula>AV96="후보"</formula>
    </cfRule>
  </conditionalFormatting>
  <conditionalFormatting sqref="AC9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9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96">
    <cfRule type="expression" priority="4923" dxfId="3">
      <formula>AND(IF(OR($Q96=1,$Q96=2),1,0),IF($X96&lt;=20,1,0))</formula>
    </cfRule>
    <cfRule type="expression" priority="4924" dxfId="2">
      <formula>AND(IF($Q96=2,1,0),IF($X96&lt;30,1,0))</formula>
    </cfRule>
    <cfRule type="expression" priority="4925" dxfId="1">
      <formula>AND(IF($Q96=3,1,0),IF($X96&lt;30,1,0))</formula>
    </cfRule>
    <cfRule type="expression" priority="4926" dxfId="0">
      <formula>AND(IF($Q96=3,1,IF($Q96=4,1,0)),IF($F96&lt;=85,1,0))</formula>
    </cfRule>
  </conditionalFormatting>
  <conditionalFormatting sqref="X96">
    <cfRule type="expression" priority="4919" dxfId="3">
      <formula>AND(IF(OR($Q96=1,$Q96=2),1,0),IF($X96&lt;=20,1,0))</formula>
    </cfRule>
    <cfRule type="expression" priority="4920" dxfId="2">
      <formula>AND(IF($Q96=2,1,0),IF($X96&lt;30,1,0))</formula>
    </cfRule>
    <cfRule type="expression" priority="4921" dxfId="1">
      <formula>AND(IF($Q96=3,1,0),IF($X96&lt;30,1,0))</formula>
    </cfRule>
    <cfRule type="expression" priority="4922" dxfId="0">
      <formula>AND(IF($Q96=3,1,IF($Q96=4,1,0)),IF($F96&lt;=85,1,0))</formula>
    </cfRule>
  </conditionalFormatting>
  <conditionalFormatting sqref="AI96">
    <cfRule type="expression" priority="4915" dxfId="3">
      <formula>AND(IF(OR($Q96=1,$Q96=2),1,0),IF($X96&lt;=20,1,0))</formula>
    </cfRule>
    <cfRule type="expression" priority="4916" dxfId="2">
      <formula>AND(IF($Q96=2,1,0),IF($X96&lt;30,1,0))</formula>
    </cfRule>
    <cfRule type="expression" priority="4917" dxfId="1">
      <formula>AND(IF($Q96=3,1,0),IF($X96&lt;30,1,0))</formula>
    </cfRule>
    <cfRule type="expression" priority="4918" dxfId="0">
      <formula>AND(IF($Q96=3,1,IF($Q96=4,1,0)),IF($F96&lt;=85,1,0))</formula>
    </cfRule>
  </conditionalFormatting>
  <conditionalFormatting sqref="AV97">
    <cfRule type="expression" priority="4913" dxfId="23">
      <formula>AV97="X"</formula>
    </cfRule>
    <cfRule type="expression" priority="4914" dxfId="22">
      <formula>AV97="후보"</formula>
    </cfRule>
  </conditionalFormatting>
  <conditionalFormatting sqref="AC9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9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97">
    <cfRule type="expression" priority="4905" dxfId="3">
      <formula>AND(IF(OR($Q97=1,$Q97=2),1,0),IF($X97&lt;=20,1,0))</formula>
    </cfRule>
    <cfRule type="expression" priority="4906" dxfId="2">
      <formula>AND(IF($Q97=2,1,0),IF($X97&lt;30,1,0))</formula>
    </cfRule>
    <cfRule type="expression" priority="4907" dxfId="1">
      <formula>AND(IF($Q97=3,1,0),IF($X97&lt;30,1,0))</formula>
    </cfRule>
    <cfRule type="expression" priority="4908" dxfId="0">
      <formula>AND(IF($Q97=3,1,IF($Q97=4,1,0)),IF($F97&lt;=85,1,0))</formula>
    </cfRule>
  </conditionalFormatting>
  <conditionalFormatting sqref="X97">
    <cfRule type="expression" priority="4901" dxfId="3">
      <formula>AND(IF(OR($Q97=1,$Q97=2),1,0),IF($X97&lt;=20,1,0))</formula>
    </cfRule>
    <cfRule type="expression" priority="4902" dxfId="2">
      <formula>AND(IF($Q97=2,1,0),IF($X97&lt;30,1,0))</formula>
    </cfRule>
    <cfRule type="expression" priority="4903" dxfId="1">
      <formula>AND(IF($Q97=3,1,0),IF($X97&lt;30,1,0))</formula>
    </cfRule>
    <cfRule type="expression" priority="4904" dxfId="0">
      <formula>AND(IF($Q97=3,1,IF($Q97=4,1,0)),IF($F97&lt;=85,1,0))</formula>
    </cfRule>
  </conditionalFormatting>
  <conditionalFormatting sqref="AI97">
    <cfRule type="expression" priority="4897" dxfId="3">
      <formula>AND(IF(OR($Q97=1,$Q97=2),1,0),IF($X97&lt;=20,1,0))</formula>
    </cfRule>
    <cfRule type="expression" priority="4898" dxfId="2">
      <formula>AND(IF($Q97=2,1,0),IF($X97&lt;30,1,0))</formula>
    </cfRule>
    <cfRule type="expression" priority="4899" dxfId="1">
      <formula>AND(IF($Q97=3,1,0),IF($X97&lt;30,1,0))</formula>
    </cfRule>
    <cfRule type="expression" priority="4900" dxfId="0">
      <formula>AND(IF($Q97=3,1,IF($Q97=4,1,0)),IF($F97&lt;=85,1,0))</formula>
    </cfRule>
  </conditionalFormatting>
  <conditionalFormatting sqref="AV98">
    <cfRule type="expression" priority="4895" dxfId="23">
      <formula>AV98="X"</formula>
    </cfRule>
    <cfRule type="expression" priority="4896" dxfId="22">
      <formula>AV98="후보"</formula>
    </cfRule>
  </conditionalFormatting>
  <conditionalFormatting sqref="AC9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9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98">
    <cfRule type="expression" priority="4887" dxfId="3">
      <formula>AND(IF(OR($Q98=1,$Q98=2),1,0),IF($X98&lt;=20,1,0))</formula>
    </cfRule>
    <cfRule type="expression" priority="4888" dxfId="2">
      <formula>AND(IF($Q98=2,1,0),IF($X98&lt;30,1,0))</formula>
    </cfRule>
    <cfRule type="expression" priority="4889" dxfId="1">
      <formula>AND(IF($Q98=3,1,0),IF($X98&lt;30,1,0))</formula>
    </cfRule>
    <cfRule type="expression" priority="4890" dxfId="0">
      <formula>AND(IF($Q98=3,1,IF($Q98=4,1,0)),IF($F98&lt;=85,1,0))</formula>
    </cfRule>
  </conditionalFormatting>
  <conditionalFormatting sqref="X98">
    <cfRule type="expression" priority="4883" dxfId="3">
      <formula>AND(IF(OR($Q98=1,$Q98=2),1,0),IF($X98&lt;=20,1,0))</formula>
    </cfRule>
    <cfRule type="expression" priority="4884" dxfId="2">
      <formula>AND(IF($Q98=2,1,0),IF($X98&lt;30,1,0))</formula>
    </cfRule>
    <cfRule type="expression" priority="4885" dxfId="1">
      <formula>AND(IF($Q98=3,1,0),IF($X98&lt;30,1,0))</formula>
    </cfRule>
    <cfRule type="expression" priority="4886" dxfId="0">
      <formula>AND(IF($Q98=3,1,IF($Q98=4,1,0)),IF($F98&lt;=85,1,0))</formula>
    </cfRule>
  </conditionalFormatting>
  <conditionalFormatting sqref="AI98">
    <cfRule type="expression" priority="4879" dxfId="3">
      <formula>AND(IF(OR($Q98=1,$Q98=2),1,0),IF($X98&lt;=20,1,0))</formula>
    </cfRule>
    <cfRule type="expression" priority="4880" dxfId="2">
      <formula>AND(IF($Q98=2,1,0),IF($X98&lt;30,1,0))</formula>
    </cfRule>
    <cfRule type="expression" priority="4881" dxfId="1">
      <formula>AND(IF($Q98=3,1,0),IF($X98&lt;30,1,0))</formula>
    </cfRule>
    <cfRule type="expression" priority="4882" dxfId="0">
      <formula>AND(IF($Q98=3,1,IF($Q98=4,1,0)),IF($F98&lt;=85,1,0))</formula>
    </cfRule>
  </conditionalFormatting>
  <conditionalFormatting sqref="AV99">
    <cfRule type="expression" priority="4877" dxfId="23">
      <formula>AV99="X"</formula>
    </cfRule>
    <cfRule type="expression" priority="4878" dxfId="22">
      <formula>AV99="후보"</formula>
    </cfRule>
  </conditionalFormatting>
  <conditionalFormatting sqref="AC9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9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99">
    <cfRule type="expression" priority="4869" dxfId="3">
      <formula>AND(IF(OR($Q99=1,$Q99=2),1,0),IF($X99&lt;=20,1,0))</formula>
    </cfRule>
    <cfRule type="expression" priority="4870" dxfId="2">
      <formula>AND(IF($Q99=2,1,0),IF($X99&lt;30,1,0))</formula>
    </cfRule>
    <cfRule type="expression" priority="4871" dxfId="1">
      <formula>AND(IF($Q99=3,1,0),IF($X99&lt;30,1,0))</formula>
    </cfRule>
    <cfRule type="expression" priority="4872" dxfId="0">
      <formula>AND(IF($Q99=3,1,IF($Q99=4,1,0)),IF($F99&lt;=85,1,0))</formula>
    </cfRule>
  </conditionalFormatting>
  <conditionalFormatting sqref="X99">
    <cfRule type="expression" priority="4865" dxfId="3">
      <formula>AND(IF(OR($Q99=1,$Q99=2),1,0),IF($X99&lt;=20,1,0))</formula>
    </cfRule>
    <cfRule type="expression" priority="4866" dxfId="2">
      <formula>AND(IF($Q99=2,1,0),IF($X99&lt;30,1,0))</formula>
    </cfRule>
    <cfRule type="expression" priority="4867" dxfId="1">
      <formula>AND(IF($Q99=3,1,0),IF($X99&lt;30,1,0))</formula>
    </cfRule>
    <cfRule type="expression" priority="4868" dxfId="0">
      <formula>AND(IF($Q99=3,1,IF($Q99=4,1,0)),IF($F99&lt;=85,1,0))</formula>
    </cfRule>
  </conditionalFormatting>
  <conditionalFormatting sqref="AI99">
    <cfRule type="expression" priority="4861" dxfId="3">
      <formula>AND(IF(OR($Q99=1,$Q99=2),1,0),IF($X99&lt;=20,1,0))</formula>
    </cfRule>
    <cfRule type="expression" priority="4862" dxfId="2">
      <formula>AND(IF($Q99=2,1,0),IF($X99&lt;30,1,0))</formula>
    </cfRule>
    <cfRule type="expression" priority="4863" dxfId="1">
      <formula>AND(IF($Q99=3,1,0),IF($X99&lt;30,1,0))</formula>
    </cfRule>
    <cfRule type="expression" priority="4864" dxfId="0">
      <formula>AND(IF($Q99=3,1,IF($Q99=4,1,0)),IF($F99&lt;=85,1,0))</formula>
    </cfRule>
  </conditionalFormatting>
  <conditionalFormatting sqref="AV100">
    <cfRule type="expression" priority="4859" dxfId="23">
      <formula>AV100="X"</formula>
    </cfRule>
    <cfRule type="expression" priority="4860" dxfId="22">
      <formula>AV100="후보"</formula>
    </cfRule>
  </conditionalFormatting>
  <conditionalFormatting sqref="AC10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0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00">
    <cfRule type="expression" priority="4851" dxfId="3">
      <formula>AND(IF(OR($Q100=1,$Q100=2),1,0),IF($X100&lt;=20,1,0))</formula>
    </cfRule>
    <cfRule type="expression" priority="4852" dxfId="2">
      <formula>AND(IF($Q100=2,1,0),IF($X100&lt;30,1,0))</formula>
    </cfRule>
    <cfRule type="expression" priority="4853" dxfId="1">
      <formula>AND(IF($Q100=3,1,0),IF($X100&lt;30,1,0))</formula>
    </cfRule>
    <cfRule type="expression" priority="4854" dxfId="0">
      <formula>AND(IF($Q100=3,1,IF($Q100=4,1,0)),IF($F100&lt;=85,1,0))</formula>
    </cfRule>
  </conditionalFormatting>
  <conditionalFormatting sqref="X100">
    <cfRule type="expression" priority="4847" dxfId="3">
      <formula>AND(IF(OR($Q100=1,$Q100=2),1,0),IF($X100&lt;=20,1,0))</formula>
    </cfRule>
    <cfRule type="expression" priority="4848" dxfId="2">
      <formula>AND(IF($Q100=2,1,0),IF($X100&lt;30,1,0))</formula>
    </cfRule>
    <cfRule type="expression" priority="4849" dxfId="1">
      <formula>AND(IF($Q100=3,1,0),IF($X100&lt;30,1,0))</formula>
    </cfRule>
    <cfRule type="expression" priority="4850" dxfId="0">
      <formula>AND(IF($Q100=3,1,IF($Q100=4,1,0)),IF($F100&lt;=85,1,0))</formula>
    </cfRule>
  </conditionalFormatting>
  <conditionalFormatting sqref="AI100">
    <cfRule type="expression" priority="4843" dxfId="3">
      <formula>AND(IF(OR($Q100=1,$Q100=2),1,0),IF($X100&lt;=20,1,0))</formula>
    </cfRule>
    <cfRule type="expression" priority="4844" dxfId="2">
      <formula>AND(IF($Q100=2,1,0),IF($X100&lt;30,1,0))</formula>
    </cfRule>
    <cfRule type="expression" priority="4845" dxfId="1">
      <formula>AND(IF($Q100=3,1,0),IF($X100&lt;30,1,0))</formula>
    </cfRule>
    <cfRule type="expression" priority="4846" dxfId="0">
      <formula>AND(IF($Q100=3,1,IF($Q100=4,1,0)),IF($F100&lt;=85,1,0))</formula>
    </cfRule>
  </conditionalFormatting>
  <conditionalFormatting sqref="AV101">
    <cfRule type="expression" priority="4841" dxfId="23">
      <formula>AV101="X"</formula>
    </cfRule>
    <cfRule type="expression" priority="4842" dxfId="22">
      <formula>AV101="후보"</formula>
    </cfRule>
  </conditionalFormatting>
  <conditionalFormatting sqref="AC10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0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01">
    <cfRule type="expression" priority="4833" dxfId="3">
      <formula>AND(IF(OR($Q101=1,$Q101=2),1,0),IF($X101&lt;=20,1,0))</formula>
    </cfRule>
    <cfRule type="expression" priority="4834" dxfId="2">
      <formula>AND(IF($Q101=2,1,0),IF($X101&lt;30,1,0))</formula>
    </cfRule>
    <cfRule type="expression" priority="4835" dxfId="1">
      <formula>AND(IF($Q101=3,1,0),IF($X101&lt;30,1,0))</formula>
    </cfRule>
    <cfRule type="expression" priority="4836" dxfId="0">
      <formula>AND(IF($Q101=3,1,IF($Q101=4,1,0)),IF($F101&lt;=85,1,0))</formula>
    </cfRule>
  </conditionalFormatting>
  <conditionalFormatting sqref="X101">
    <cfRule type="expression" priority="4829" dxfId="3">
      <formula>AND(IF(OR($Q101=1,$Q101=2),1,0),IF($X101&lt;=20,1,0))</formula>
    </cfRule>
    <cfRule type="expression" priority="4830" dxfId="2">
      <formula>AND(IF($Q101=2,1,0),IF($X101&lt;30,1,0))</formula>
    </cfRule>
    <cfRule type="expression" priority="4831" dxfId="1">
      <formula>AND(IF($Q101=3,1,0),IF($X101&lt;30,1,0))</formula>
    </cfRule>
    <cfRule type="expression" priority="4832" dxfId="0">
      <formula>AND(IF($Q101=3,1,IF($Q101=4,1,0)),IF($F101&lt;=85,1,0))</formula>
    </cfRule>
  </conditionalFormatting>
  <conditionalFormatting sqref="AI101">
    <cfRule type="expression" priority="4825" dxfId="3">
      <formula>AND(IF(OR($Q101=1,$Q101=2),1,0),IF($X101&lt;=20,1,0))</formula>
    </cfRule>
    <cfRule type="expression" priority="4826" dxfId="2">
      <formula>AND(IF($Q101=2,1,0),IF($X101&lt;30,1,0))</formula>
    </cfRule>
    <cfRule type="expression" priority="4827" dxfId="1">
      <formula>AND(IF($Q101=3,1,0),IF($X101&lt;30,1,0))</formula>
    </cfRule>
    <cfRule type="expression" priority="4828" dxfId="0">
      <formula>AND(IF($Q101=3,1,IF($Q101=4,1,0)),IF($F101&lt;=85,1,0))</formula>
    </cfRule>
  </conditionalFormatting>
  <conditionalFormatting sqref="AV102">
    <cfRule type="expression" priority="4823" dxfId="23">
      <formula>AV102="X"</formula>
    </cfRule>
    <cfRule type="expression" priority="4824" dxfId="22">
      <formula>AV102="후보"</formula>
    </cfRule>
  </conditionalFormatting>
  <conditionalFormatting sqref="AC10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0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02">
    <cfRule type="expression" priority="4815" dxfId="3">
      <formula>AND(IF(OR($Q102=1,$Q102=2),1,0),IF($X102&lt;=20,1,0))</formula>
    </cfRule>
    <cfRule type="expression" priority="4816" dxfId="2">
      <formula>AND(IF($Q102=2,1,0),IF($X102&lt;30,1,0))</formula>
    </cfRule>
    <cfRule type="expression" priority="4817" dxfId="1">
      <formula>AND(IF($Q102=3,1,0),IF($X102&lt;30,1,0))</formula>
    </cfRule>
    <cfRule type="expression" priority="4818" dxfId="0">
      <formula>AND(IF($Q102=3,1,IF($Q102=4,1,0)),IF($F102&lt;=85,1,0))</formula>
    </cfRule>
  </conditionalFormatting>
  <conditionalFormatting sqref="X102">
    <cfRule type="expression" priority="4811" dxfId="3">
      <formula>AND(IF(OR($Q102=1,$Q102=2),1,0),IF($X102&lt;=20,1,0))</formula>
    </cfRule>
    <cfRule type="expression" priority="4812" dxfId="2">
      <formula>AND(IF($Q102=2,1,0),IF($X102&lt;30,1,0))</formula>
    </cfRule>
    <cfRule type="expression" priority="4813" dxfId="1">
      <formula>AND(IF($Q102=3,1,0),IF($X102&lt;30,1,0))</formula>
    </cfRule>
    <cfRule type="expression" priority="4814" dxfId="0">
      <formula>AND(IF($Q102=3,1,IF($Q102=4,1,0)),IF($F102&lt;=85,1,0))</formula>
    </cfRule>
  </conditionalFormatting>
  <conditionalFormatting sqref="AI102">
    <cfRule type="expression" priority="4807" dxfId="3">
      <formula>AND(IF(OR($Q102=1,$Q102=2),1,0),IF($X102&lt;=20,1,0))</formula>
    </cfRule>
    <cfRule type="expression" priority="4808" dxfId="2">
      <formula>AND(IF($Q102=2,1,0),IF($X102&lt;30,1,0))</formula>
    </cfRule>
    <cfRule type="expression" priority="4809" dxfId="1">
      <formula>AND(IF($Q102=3,1,0),IF($X102&lt;30,1,0))</formula>
    </cfRule>
    <cfRule type="expression" priority="4810" dxfId="0">
      <formula>AND(IF($Q102=3,1,IF($Q102=4,1,0)),IF($F102&lt;=85,1,0))</formula>
    </cfRule>
  </conditionalFormatting>
  <conditionalFormatting sqref="AV103">
    <cfRule type="expression" priority="4805" dxfId="23">
      <formula>AV103="X"</formula>
    </cfRule>
    <cfRule type="expression" priority="4806" dxfId="22">
      <formula>AV103="후보"</formula>
    </cfRule>
  </conditionalFormatting>
  <conditionalFormatting sqref="AC10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0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03">
    <cfRule type="expression" priority="4797" dxfId="3">
      <formula>AND(IF(OR($Q103=1,$Q103=2),1,0),IF($X103&lt;=20,1,0))</formula>
    </cfRule>
    <cfRule type="expression" priority="4798" dxfId="2">
      <formula>AND(IF($Q103=2,1,0),IF($X103&lt;30,1,0))</formula>
    </cfRule>
    <cfRule type="expression" priority="4799" dxfId="1">
      <formula>AND(IF($Q103=3,1,0),IF($X103&lt;30,1,0))</formula>
    </cfRule>
    <cfRule type="expression" priority="4800" dxfId="0">
      <formula>AND(IF($Q103=3,1,IF($Q103=4,1,0)),IF($F103&lt;=85,1,0))</formula>
    </cfRule>
  </conditionalFormatting>
  <conditionalFormatting sqref="X103">
    <cfRule type="expression" priority="4793" dxfId="3">
      <formula>AND(IF(OR($Q103=1,$Q103=2),1,0),IF($X103&lt;=20,1,0))</formula>
    </cfRule>
    <cfRule type="expression" priority="4794" dxfId="2">
      <formula>AND(IF($Q103=2,1,0),IF($X103&lt;30,1,0))</formula>
    </cfRule>
    <cfRule type="expression" priority="4795" dxfId="1">
      <formula>AND(IF($Q103=3,1,0),IF($X103&lt;30,1,0))</formula>
    </cfRule>
    <cfRule type="expression" priority="4796" dxfId="0">
      <formula>AND(IF($Q103=3,1,IF($Q103=4,1,0)),IF($F103&lt;=85,1,0))</formula>
    </cfRule>
  </conditionalFormatting>
  <conditionalFormatting sqref="AI103">
    <cfRule type="expression" priority="4789" dxfId="3">
      <formula>AND(IF(OR($Q103=1,$Q103=2),1,0),IF($X103&lt;=20,1,0))</formula>
    </cfRule>
    <cfRule type="expression" priority="4790" dxfId="2">
      <formula>AND(IF($Q103=2,1,0),IF($X103&lt;30,1,0))</formula>
    </cfRule>
    <cfRule type="expression" priority="4791" dxfId="1">
      <formula>AND(IF($Q103=3,1,0),IF($X103&lt;30,1,0))</formula>
    </cfRule>
    <cfRule type="expression" priority="4792" dxfId="0">
      <formula>AND(IF($Q103=3,1,IF($Q103=4,1,0)),IF($F103&lt;=85,1,0))</formula>
    </cfRule>
  </conditionalFormatting>
  <conditionalFormatting sqref="AV104">
    <cfRule type="expression" priority="4787" dxfId="23">
      <formula>AV104="X"</formula>
    </cfRule>
    <cfRule type="expression" priority="4788" dxfId="22">
      <formula>AV104="후보"</formula>
    </cfRule>
  </conditionalFormatting>
  <conditionalFormatting sqref="AC10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0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04">
    <cfRule type="expression" priority="4779" dxfId="3">
      <formula>AND(IF(OR($Q104=1,$Q104=2),1,0),IF($X104&lt;=20,1,0))</formula>
    </cfRule>
    <cfRule type="expression" priority="4780" dxfId="2">
      <formula>AND(IF($Q104=2,1,0),IF($X104&lt;30,1,0))</formula>
    </cfRule>
    <cfRule type="expression" priority="4781" dxfId="1">
      <formula>AND(IF($Q104=3,1,0),IF($X104&lt;30,1,0))</formula>
    </cfRule>
    <cfRule type="expression" priority="4782" dxfId="0">
      <formula>AND(IF($Q104=3,1,IF($Q104=4,1,0)),IF($F104&lt;=85,1,0))</formula>
    </cfRule>
  </conditionalFormatting>
  <conditionalFormatting sqref="X104">
    <cfRule type="expression" priority="4775" dxfId="3">
      <formula>AND(IF(OR($Q104=1,$Q104=2),1,0),IF($X104&lt;=20,1,0))</formula>
    </cfRule>
    <cfRule type="expression" priority="4776" dxfId="2">
      <formula>AND(IF($Q104=2,1,0),IF($X104&lt;30,1,0))</formula>
    </cfRule>
    <cfRule type="expression" priority="4777" dxfId="1">
      <formula>AND(IF($Q104=3,1,0),IF($X104&lt;30,1,0))</formula>
    </cfRule>
    <cfRule type="expression" priority="4778" dxfId="0">
      <formula>AND(IF($Q104=3,1,IF($Q104=4,1,0)),IF($F104&lt;=85,1,0))</formula>
    </cfRule>
  </conditionalFormatting>
  <conditionalFormatting sqref="AI104">
    <cfRule type="expression" priority="4771" dxfId="3">
      <formula>AND(IF(OR($Q104=1,$Q104=2),1,0),IF($X104&lt;=20,1,0))</formula>
    </cfRule>
    <cfRule type="expression" priority="4772" dxfId="2">
      <formula>AND(IF($Q104=2,1,0),IF($X104&lt;30,1,0))</formula>
    </cfRule>
    <cfRule type="expression" priority="4773" dxfId="1">
      <formula>AND(IF($Q104=3,1,0),IF($X104&lt;30,1,0))</formula>
    </cfRule>
    <cfRule type="expression" priority="4774" dxfId="0">
      <formula>AND(IF($Q104=3,1,IF($Q104=4,1,0)),IF($F104&lt;=85,1,0))</formula>
    </cfRule>
  </conditionalFormatting>
  <conditionalFormatting sqref="AV105">
    <cfRule type="expression" priority="4769" dxfId="23">
      <formula>AV105="X"</formula>
    </cfRule>
    <cfRule type="expression" priority="4770" dxfId="22">
      <formula>AV105="후보"</formula>
    </cfRule>
  </conditionalFormatting>
  <conditionalFormatting sqref="AC10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0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05">
    <cfRule type="expression" priority="4761" dxfId="3">
      <formula>AND(IF(OR($Q105=1,$Q105=2),1,0),IF($X105&lt;=20,1,0))</formula>
    </cfRule>
    <cfRule type="expression" priority="4762" dxfId="2">
      <formula>AND(IF($Q105=2,1,0),IF($X105&lt;30,1,0))</formula>
    </cfRule>
    <cfRule type="expression" priority="4763" dxfId="1">
      <formula>AND(IF($Q105=3,1,0),IF($X105&lt;30,1,0))</formula>
    </cfRule>
    <cfRule type="expression" priority="4764" dxfId="0">
      <formula>AND(IF($Q105=3,1,IF($Q105=4,1,0)),IF($F105&lt;=85,1,0))</formula>
    </cfRule>
  </conditionalFormatting>
  <conditionalFormatting sqref="X105">
    <cfRule type="expression" priority="4757" dxfId="3">
      <formula>AND(IF(OR($Q105=1,$Q105=2),1,0),IF($X105&lt;=20,1,0))</formula>
    </cfRule>
    <cfRule type="expression" priority="4758" dxfId="2">
      <formula>AND(IF($Q105=2,1,0),IF($X105&lt;30,1,0))</formula>
    </cfRule>
    <cfRule type="expression" priority="4759" dxfId="1">
      <formula>AND(IF($Q105=3,1,0),IF($X105&lt;30,1,0))</formula>
    </cfRule>
    <cfRule type="expression" priority="4760" dxfId="0">
      <formula>AND(IF($Q105=3,1,IF($Q105=4,1,0)),IF($F105&lt;=85,1,0))</formula>
    </cfRule>
  </conditionalFormatting>
  <conditionalFormatting sqref="AI105">
    <cfRule type="expression" priority="4753" dxfId="3">
      <formula>AND(IF(OR($Q105=1,$Q105=2),1,0),IF($X105&lt;=20,1,0))</formula>
    </cfRule>
    <cfRule type="expression" priority="4754" dxfId="2">
      <formula>AND(IF($Q105=2,1,0),IF($X105&lt;30,1,0))</formula>
    </cfRule>
    <cfRule type="expression" priority="4755" dxfId="1">
      <formula>AND(IF($Q105=3,1,0),IF($X105&lt;30,1,0))</formula>
    </cfRule>
    <cfRule type="expression" priority="4756" dxfId="0">
      <formula>AND(IF($Q105=3,1,IF($Q105=4,1,0)),IF($F105&lt;=85,1,0))</formula>
    </cfRule>
  </conditionalFormatting>
  <conditionalFormatting sqref="AV106">
    <cfRule type="expression" priority="4751" dxfId="23">
      <formula>AV106="X"</formula>
    </cfRule>
    <cfRule type="expression" priority="4752" dxfId="22">
      <formula>AV106="후보"</formula>
    </cfRule>
  </conditionalFormatting>
  <conditionalFormatting sqref="AC10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0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06">
    <cfRule type="expression" priority="4743" dxfId="3">
      <formula>AND(IF(OR($Q106=1,$Q106=2),1,0),IF($X106&lt;=20,1,0))</formula>
    </cfRule>
    <cfRule type="expression" priority="4744" dxfId="2">
      <formula>AND(IF($Q106=2,1,0),IF($X106&lt;30,1,0))</formula>
    </cfRule>
    <cfRule type="expression" priority="4745" dxfId="1">
      <formula>AND(IF($Q106=3,1,0),IF($X106&lt;30,1,0))</formula>
    </cfRule>
    <cfRule type="expression" priority="4746" dxfId="0">
      <formula>AND(IF($Q106=3,1,IF($Q106=4,1,0)),IF($F106&lt;=85,1,0))</formula>
    </cfRule>
  </conditionalFormatting>
  <conditionalFormatting sqref="X106">
    <cfRule type="expression" priority="4739" dxfId="3">
      <formula>AND(IF(OR($Q106=1,$Q106=2),1,0),IF($X106&lt;=20,1,0))</formula>
    </cfRule>
    <cfRule type="expression" priority="4740" dxfId="2">
      <formula>AND(IF($Q106=2,1,0),IF($X106&lt;30,1,0))</formula>
    </cfRule>
    <cfRule type="expression" priority="4741" dxfId="1">
      <formula>AND(IF($Q106=3,1,0),IF($X106&lt;30,1,0))</formula>
    </cfRule>
    <cfRule type="expression" priority="4742" dxfId="0">
      <formula>AND(IF($Q106=3,1,IF($Q106=4,1,0)),IF($F106&lt;=85,1,0))</formula>
    </cfRule>
  </conditionalFormatting>
  <conditionalFormatting sqref="AI106">
    <cfRule type="expression" priority="4735" dxfId="3">
      <formula>AND(IF(OR($Q106=1,$Q106=2),1,0),IF($X106&lt;=20,1,0))</formula>
    </cfRule>
    <cfRule type="expression" priority="4736" dxfId="2">
      <formula>AND(IF($Q106=2,1,0),IF($X106&lt;30,1,0))</formula>
    </cfRule>
    <cfRule type="expression" priority="4737" dxfId="1">
      <formula>AND(IF($Q106=3,1,0),IF($X106&lt;30,1,0))</formula>
    </cfRule>
    <cfRule type="expression" priority="4738" dxfId="0">
      <formula>AND(IF($Q106=3,1,IF($Q106=4,1,0)),IF($F106&lt;=85,1,0))</formula>
    </cfRule>
  </conditionalFormatting>
  <conditionalFormatting sqref="AV107">
    <cfRule type="expression" priority="4733" dxfId="23">
      <formula>AV107="X"</formula>
    </cfRule>
    <cfRule type="expression" priority="4734" dxfId="22">
      <formula>AV107="후보"</formula>
    </cfRule>
  </conditionalFormatting>
  <conditionalFormatting sqref="AC10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0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07">
    <cfRule type="expression" priority="4725" dxfId="3">
      <formula>AND(IF(OR($Q107=1,$Q107=2),1,0),IF($X107&lt;=20,1,0))</formula>
    </cfRule>
    <cfRule type="expression" priority="4726" dxfId="2">
      <formula>AND(IF($Q107=2,1,0),IF($X107&lt;30,1,0))</formula>
    </cfRule>
    <cfRule type="expression" priority="4727" dxfId="1">
      <formula>AND(IF($Q107=3,1,0),IF($X107&lt;30,1,0))</formula>
    </cfRule>
    <cfRule type="expression" priority="4728" dxfId="0">
      <formula>AND(IF($Q107=3,1,IF($Q107=4,1,0)),IF($F107&lt;=85,1,0))</formula>
    </cfRule>
  </conditionalFormatting>
  <conditionalFormatting sqref="X107">
    <cfRule type="expression" priority="4721" dxfId="3">
      <formula>AND(IF(OR($Q107=1,$Q107=2),1,0),IF($X107&lt;=20,1,0))</formula>
    </cfRule>
    <cfRule type="expression" priority="4722" dxfId="2">
      <formula>AND(IF($Q107=2,1,0),IF($X107&lt;30,1,0))</formula>
    </cfRule>
    <cfRule type="expression" priority="4723" dxfId="1">
      <formula>AND(IF($Q107=3,1,0),IF($X107&lt;30,1,0))</formula>
    </cfRule>
    <cfRule type="expression" priority="4724" dxfId="0">
      <formula>AND(IF($Q107=3,1,IF($Q107=4,1,0)),IF($F107&lt;=85,1,0))</formula>
    </cfRule>
  </conditionalFormatting>
  <conditionalFormatting sqref="AI107">
    <cfRule type="expression" priority="4717" dxfId="3">
      <formula>AND(IF(OR($Q107=1,$Q107=2),1,0),IF($X107&lt;=20,1,0))</formula>
    </cfRule>
    <cfRule type="expression" priority="4718" dxfId="2">
      <formula>AND(IF($Q107=2,1,0),IF($X107&lt;30,1,0))</formula>
    </cfRule>
    <cfRule type="expression" priority="4719" dxfId="1">
      <formula>AND(IF($Q107=3,1,0),IF($X107&lt;30,1,0))</formula>
    </cfRule>
    <cfRule type="expression" priority="4720" dxfId="0">
      <formula>AND(IF($Q107=3,1,IF($Q107=4,1,0)),IF($F107&lt;=85,1,0))</formula>
    </cfRule>
  </conditionalFormatting>
  <conditionalFormatting sqref="AV108">
    <cfRule type="expression" priority="4715" dxfId="23">
      <formula>AV108="X"</formula>
    </cfRule>
    <cfRule type="expression" priority="4716" dxfId="22">
      <formula>AV108="후보"</formula>
    </cfRule>
  </conditionalFormatting>
  <conditionalFormatting sqref="AC10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0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08">
    <cfRule type="expression" priority="4707" dxfId="3">
      <formula>AND(IF(OR($Q108=1,$Q108=2),1,0),IF($X108&lt;=20,1,0))</formula>
    </cfRule>
    <cfRule type="expression" priority="4708" dxfId="2">
      <formula>AND(IF($Q108=2,1,0),IF($X108&lt;30,1,0))</formula>
    </cfRule>
    <cfRule type="expression" priority="4709" dxfId="1">
      <formula>AND(IF($Q108=3,1,0),IF($X108&lt;30,1,0))</formula>
    </cfRule>
    <cfRule type="expression" priority="4710" dxfId="0">
      <formula>AND(IF($Q108=3,1,IF($Q108=4,1,0)),IF($F108&lt;=85,1,0))</formula>
    </cfRule>
  </conditionalFormatting>
  <conditionalFormatting sqref="X108">
    <cfRule type="expression" priority="4703" dxfId="3">
      <formula>AND(IF(OR($Q108=1,$Q108=2),1,0),IF($X108&lt;=20,1,0))</formula>
    </cfRule>
    <cfRule type="expression" priority="4704" dxfId="2">
      <formula>AND(IF($Q108=2,1,0),IF($X108&lt;30,1,0))</formula>
    </cfRule>
    <cfRule type="expression" priority="4705" dxfId="1">
      <formula>AND(IF($Q108=3,1,0),IF($X108&lt;30,1,0))</formula>
    </cfRule>
    <cfRule type="expression" priority="4706" dxfId="0">
      <formula>AND(IF($Q108=3,1,IF($Q108=4,1,0)),IF($F108&lt;=85,1,0))</formula>
    </cfRule>
  </conditionalFormatting>
  <conditionalFormatting sqref="AI108">
    <cfRule type="expression" priority="4699" dxfId="3">
      <formula>AND(IF(OR($Q108=1,$Q108=2),1,0),IF($X108&lt;=20,1,0))</formula>
    </cfRule>
    <cfRule type="expression" priority="4700" dxfId="2">
      <formula>AND(IF($Q108=2,1,0),IF($X108&lt;30,1,0))</formula>
    </cfRule>
    <cfRule type="expression" priority="4701" dxfId="1">
      <formula>AND(IF($Q108=3,1,0),IF($X108&lt;30,1,0))</formula>
    </cfRule>
    <cfRule type="expression" priority="4702" dxfId="0">
      <formula>AND(IF($Q108=3,1,IF($Q108=4,1,0)),IF($F108&lt;=85,1,0))</formula>
    </cfRule>
  </conditionalFormatting>
  <conditionalFormatting sqref="AV109">
    <cfRule type="expression" priority="4697" dxfId="23">
      <formula>AV109="X"</formula>
    </cfRule>
    <cfRule type="expression" priority="4698" dxfId="22">
      <formula>AV109="후보"</formula>
    </cfRule>
  </conditionalFormatting>
  <conditionalFormatting sqref="AC10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0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09">
    <cfRule type="expression" priority="4689" dxfId="3">
      <formula>AND(IF(OR($Q109=1,$Q109=2),1,0),IF($X109&lt;=20,1,0))</formula>
    </cfRule>
    <cfRule type="expression" priority="4690" dxfId="2">
      <formula>AND(IF($Q109=2,1,0),IF($X109&lt;30,1,0))</formula>
    </cfRule>
    <cfRule type="expression" priority="4691" dxfId="1">
      <formula>AND(IF($Q109=3,1,0),IF($X109&lt;30,1,0))</formula>
    </cfRule>
    <cfRule type="expression" priority="4692" dxfId="0">
      <formula>AND(IF($Q109=3,1,IF($Q109=4,1,0)),IF($F109&lt;=85,1,0))</formula>
    </cfRule>
  </conditionalFormatting>
  <conditionalFormatting sqref="X109">
    <cfRule type="expression" priority="4685" dxfId="3">
      <formula>AND(IF(OR($Q109=1,$Q109=2),1,0),IF($X109&lt;=20,1,0))</formula>
    </cfRule>
    <cfRule type="expression" priority="4686" dxfId="2">
      <formula>AND(IF($Q109=2,1,0),IF($X109&lt;30,1,0))</formula>
    </cfRule>
    <cfRule type="expression" priority="4687" dxfId="1">
      <formula>AND(IF($Q109=3,1,0),IF($X109&lt;30,1,0))</formula>
    </cfRule>
    <cfRule type="expression" priority="4688" dxfId="0">
      <formula>AND(IF($Q109=3,1,IF($Q109=4,1,0)),IF($F109&lt;=85,1,0))</formula>
    </cfRule>
  </conditionalFormatting>
  <conditionalFormatting sqref="AI109">
    <cfRule type="expression" priority="4681" dxfId="3">
      <formula>AND(IF(OR($Q109=1,$Q109=2),1,0),IF($X109&lt;=20,1,0))</formula>
    </cfRule>
    <cfRule type="expression" priority="4682" dxfId="2">
      <formula>AND(IF($Q109=2,1,0),IF($X109&lt;30,1,0))</formula>
    </cfRule>
    <cfRule type="expression" priority="4683" dxfId="1">
      <formula>AND(IF($Q109=3,1,0),IF($X109&lt;30,1,0))</formula>
    </cfRule>
    <cfRule type="expression" priority="4684" dxfId="0">
      <formula>AND(IF($Q109=3,1,IF($Q109=4,1,0)),IF($F109&lt;=85,1,0))</formula>
    </cfRule>
  </conditionalFormatting>
  <conditionalFormatting sqref="AV110">
    <cfRule type="expression" priority="4679" dxfId="23">
      <formula>AV110="X"</formula>
    </cfRule>
    <cfRule type="expression" priority="4680" dxfId="22">
      <formula>AV110="후보"</formula>
    </cfRule>
  </conditionalFormatting>
  <conditionalFormatting sqref="AC11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10">
    <cfRule type="expression" priority="4671" dxfId="3">
      <formula>AND(IF(OR($Q110=1,$Q110=2),1,0),IF($X110&lt;=20,1,0))</formula>
    </cfRule>
    <cfRule type="expression" priority="4672" dxfId="2">
      <formula>AND(IF($Q110=2,1,0),IF($X110&lt;30,1,0))</formula>
    </cfRule>
    <cfRule type="expression" priority="4673" dxfId="1">
      <formula>AND(IF($Q110=3,1,0),IF($X110&lt;30,1,0))</formula>
    </cfRule>
    <cfRule type="expression" priority="4674" dxfId="0">
      <formula>AND(IF($Q110=3,1,IF($Q110=4,1,0)),IF($F110&lt;=85,1,0))</formula>
    </cfRule>
  </conditionalFormatting>
  <conditionalFormatting sqref="X110">
    <cfRule type="expression" priority="4667" dxfId="3">
      <formula>AND(IF(OR($Q110=1,$Q110=2),1,0),IF($X110&lt;=20,1,0))</formula>
    </cfRule>
    <cfRule type="expression" priority="4668" dxfId="2">
      <formula>AND(IF($Q110=2,1,0),IF($X110&lt;30,1,0))</formula>
    </cfRule>
    <cfRule type="expression" priority="4669" dxfId="1">
      <formula>AND(IF($Q110=3,1,0),IF($X110&lt;30,1,0))</formula>
    </cfRule>
    <cfRule type="expression" priority="4670" dxfId="0">
      <formula>AND(IF($Q110=3,1,IF($Q110=4,1,0)),IF($F110&lt;=85,1,0))</formula>
    </cfRule>
  </conditionalFormatting>
  <conditionalFormatting sqref="AI110">
    <cfRule type="expression" priority="4663" dxfId="3">
      <formula>AND(IF(OR($Q110=1,$Q110=2),1,0),IF($X110&lt;=20,1,0))</formula>
    </cfRule>
    <cfRule type="expression" priority="4664" dxfId="2">
      <formula>AND(IF($Q110=2,1,0),IF($X110&lt;30,1,0))</formula>
    </cfRule>
    <cfRule type="expression" priority="4665" dxfId="1">
      <formula>AND(IF($Q110=3,1,0),IF($X110&lt;30,1,0))</formula>
    </cfRule>
    <cfRule type="expression" priority="4666" dxfId="0">
      <formula>AND(IF($Q110=3,1,IF($Q110=4,1,0)),IF($F110&lt;=85,1,0))</formula>
    </cfRule>
  </conditionalFormatting>
  <conditionalFormatting sqref="AV111">
    <cfRule type="expression" priority="4661" dxfId="23">
      <formula>AV111="X"</formula>
    </cfRule>
    <cfRule type="expression" priority="4662" dxfId="22">
      <formula>AV111="후보"</formula>
    </cfRule>
  </conditionalFormatting>
  <conditionalFormatting sqref="AC11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11">
    <cfRule type="expression" priority="4653" dxfId="3">
      <formula>AND(IF(OR($Q111=1,$Q111=2),1,0),IF($X111&lt;=20,1,0))</formula>
    </cfRule>
    <cfRule type="expression" priority="4654" dxfId="2">
      <formula>AND(IF($Q111=2,1,0),IF($X111&lt;30,1,0))</formula>
    </cfRule>
    <cfRule type="expression" priority="4655" dxfId="1">
      <formula>AND(IF($Q111=3,1,0),IF($X111&lt;30,1,0))</formula>
    </cfRule>
    <cfRule type="expression" priority="4656" dxfId="0">
      <formula>AND(IF($Q111=3,1,IF($Q111=4,1,0)),IF($F111&lt;=85,1,0))</formula>
    </cfRule>
  </conditionalFormatting>
  <conditionalFormatting sqref="X111">
    <cfRule type="expression" priority="4649" dxfId="3">
      <formula>AND(IF(OR($Q111=1,$Q111=2),1,0),IF($X111&lt;=20,1,0))</formula>
    </cfRule>
    <cfRule type="expression" priority="4650" dxfId="2">
      <formula>AND(IF($Q111=2,1,0),IF($X111&lt;30,1,0))</formula>
    </cfRule>
    <cfRule type="expression" priority="4651" dxfId="1">
      <formula>AND(IF($Q111=3,1,0),IF($X111&lt;30,1,0))</formula>
    </cfRule>
    <cfRule type="expression" priority="4652" dxfId="0">
      <formula>AND(IF($Q111=3,1,IF($Q111=4,1,0)),IF($F111&lt;=85,1,0))</formula>
    </cfRule>
  </conditionalFormatting>
  <conditionalFormatting sqref="AI111">
    <cfRule type="expression" priority="4645" dxfId="3">
      <formula>AND(IF(OR($Q111=1,$Q111=2),1,0),IF($X111&lt;=20,1,0))</formula>
    </cfRule>
    <cfRule type="expression" priority="4646" dxfId="2">
      <formula>AND(IF($Q111=2,1,0),IF($X111&lt;30,1,0))</formula>
    </cfRule>
    <cfRule type="expression" priority="4647" dxfId="1">
      <formula>AND(IF($Q111=3,1,0),IF($X111&lt;30,1,0))</formula>
    </cfRule>
    <cfRule type="expression" priority="4648" dxfId="0">
      <formula>AND(IF($Q111=3,1,IF($Q111=4,1,0)),IF($F111&lt;=85,1,0))</formula>
    </cfRule>
  </conditionalFormatting>
  <conditionalFormatting sqref="AV112">
    <cfRule type="expression" priority="4643" dxfId="23">
      <formula>AV112="X"</formula>
    </cfRule>
    <cfRule type="expression" priority="4644" dxfId="22">
      <formula>AV112="후보"</formula>
    </cfRule>
  </conditionalFormatting>
  <conditionalFormatting sqref="AC11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12">
    <cfRule type="expression" priority="4635" dxfId="3">
      <formula>AND(IF(OR($Q112=1,$Q112=2),1,0),IF($X112&lt;=20,1,0))</formula>
    </cfRule>
    <cfRule type="expression" priority="4636" dxfId="2">
      <formula>AND(IF($Q112=2,1,0),IF($X112&lt;30,1,0))</formula>
    </cfRule>
    <cfRule type="expression" priority="4637" dxfId="1">
      <formula>AND(IF($Q112=3,1,0),IF($X112&lt;30,1,0))</formula>
    </cfRule>
    <cfRule type="expression" priority="4638" dxfId="0">
      <formula>AND(IF($Q112=3,1,IF($Q112=4,1,0)),IF($F112&lt;=85,1,0))</formula>
    </cfRule>
  </conditionalFormatting>
  <conditionalFormatting sqref="X112">
    <cfRule type="expression" priority="4631" dxfId="3">
      <formula>AND(IF(OR($Q112=1,$Q112=2),1,0),IF($X112&lt;=20,1,0))</formula>
    </cfRule>
    <cfRule type="expression" priority="4632" dxfId="2">
      <formula>AND(IF($Q112=2,1,0),IF($X112&lt;30,1,0))</formula>
    </cfRule>
    <cfRule type="expression" priority="4633" dxfId="1">
      <formula>AND(IF($Q112=3,1,0),IF($X112&lt;30,1,0))</formula>
    </cfRule>
    <cfRule type="expression" priority="4634" dxfId="0">
      <formula>AND(IF($Q112=3,1,IF($Q112=4,1,0)),IF($F112&lt;=85,1,0))</formula>
    </cfRule>
  </conditionalFormatting>
  <conditionalFormatting sqref="AI112">
    <cfRule type="expression" priority="4627" dxfId="3">
      <formula>AND(IF(OR($Q112=1,$Q112=2),1,0),IF($X112&lt;=20,1,0))</formula>
    </cfRule>
    <cfRule type="expression" priority="4628" dxfId="2">
      <formula>AND(IF($Q112=2,1,0),IF($X112&lt;30,1,0))</formula>
    </cfRule>
    <cfRule type="expression" priority="4629" dxfId="1">
      <formula>AND(IF($Q112=3,1,0),IF($X112&lt;30,1,0))</formula>
    </cfRule>
    <cfRule type="expression" priority="4630" dxfId="0">
      <formula>AND(IF($Q112=3,1,IF($Q112=4,1,0)),IF($F112&lt;=85,1,0))</formula>
    </cfRule>
  </conditionalFormatting>
  <conditionalFormatting sqref="AV113">
    <cfRule type="expression" priority="4625" dxfId="23">
      <formula>AV113="X"</formula>
    </cfRule>
    <cfRule type="expression" priority="4626" dxfId="22">
      <formula>AV113="후보"</formula>
    </cfRule>
  </conditionalFormatting>
  <conditionalFormatting sqref="AC11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1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13">
    <cfRule type="expression" priority="4617" dxfId="3">
      <formula>AND(IF(OR($Q113=1,$Q113=2),1,0),IF($X113&lt;=20,1,0))</formula>
    </cfRule>
    <cfRule type="expression" priority="4618" dxfId="2">
      <formula>AND(IF($Q113=2,1,0),IF($X113&lt;30,1,0))</formula>
    </cfRule>
    <cfRule type="expression" priority="4619" dxfId="1">
      <formula>AND(IF($Q113=3,1,0),IF($X113&lt;30,1,0))</formula>
    </cfRule>
    <cfRule type="expression" priority="4620" dxfId="0">
      <formula>AND(IF($Q113=3,1,IF($Q113=4,1,0)),IF($F113&lt;=85,1,0))</formula>
    </cfRule>
  </conditionalFormatting>
  <conditionalFormatting sqref="X113">
    <cfRule type="expression" priority="4613" dxfId="3">
      <formula>AND(IF(OR($Q113=1,$Q113=2),1,0),IF($X113&lt;=20,1,0))</formula>
    </cfRule>
    <cfRule type="expression" priority="4614" dxfId="2">
      <formula>AND(IF($Q113=2,1,0),IF($X113&lt;30,1,0))</formula>
    </cfRule>
    <cfRule type="expression" priority="4615" dxfId="1">
      <formula>AND(IF($Q113=3,1,0),IF($X113&lt;30,1,0))</formula>
    </cfRule>
    <cfRule type="expression" priority="4616" dxfId="0">
      <formula>AND(IF($Q113=3,1,IF($Q113=4,1,0)),IF($F113&lt;=85,1,0))</formula>
    </cfRule>
  </conditionalFormatting>
  <conditionalFormatting sqref="AI113">
    <cfRule type="expression" priority="4609" dxfId="3">
      <formula>AND(IF(OR($Q113=1,$Q113=2),1,0),IF($X113&lt;=20,1,0))</formula>
    </cfRule>
    <cfRule type="expression" priority="4610" dxfId="2">
      <formula>AND(IF($Q113=2,1,0),IF($X113&lt;30,1,0))</formula>
    </cfRule>
    <cfRule type="expression" priority="4611" dxfId="1">
      <formula>AND(IF($Q113=3,1,0),IF($X113&lt;30,1,0))</formula>
    </cfRule>
    <cfRule type="expression" priority="4612" dxfId="0">
      <formula>AND(IF($Q113=3,1,IF($Q113=4,1,0)),IF($F113&lt;=85,1,0))</formula>
    </cfRule>
  </conditionalFormatting>
  <conditionalFormatting sqref="AV114">
    <cfRule type="expression" priority="4607" dxfId="23">
      <formula>AV114="X"</formula>
    </cfRule>
    <cfRule type="expression" priority="4608" dxfId="22">
      <formula>AV114="후보"</formula>
    </cfRule>
  </conditionalFormatting>
  <conditionalFormatting sqref="AC11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1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14">
    <cfRule type="expression" priority="4599" dxfId="3">
      <formula>AND(IF(OR($Q114=1,$Q114=2),1,0),IF($X114&lt;=20,1,0))</formula>
    </cfRule>
    <cfRule type="expression" priority="4600" dxfId="2">
      <formula>AND(IF($Q114=2,1,0),IF($X114&lt;30,1,0))</formula>
    </cfRule>
    <cfRule type="expression" priority="4601" dxfId="1">
      <formula>AND(IF($Q114=3,1,0),IF($X114&lt;30,1,0))</formula>
    </cfRule>
    <cfRule type="expression" priority="4602" dxfId="0">
      <formula>AND(IF($Q114=3,1,IF($Q114=4,1,0)),IF($F114&lt;=85,1,0))</formula>
    </cfRule>
  </conditionalFormatting>
  <conditionalFormatting sqref="X114">
    <cfRule type="expression" priority="4595" dxfId="3">
      <formula>AND(IF(OR($Q114=1,$Q114=2),1,0),IF($X114&lt;=20,1,0))</formula>
    </cfRule>
    <cfRule type="expression" priority="4596" dxfId="2">
      <formula>AND(IF($Q114=2,1,0),IF($X114&lt;30,1,0))</formula>
    </cfRule>
    <cfRule type="expression" priority="4597" dxfId="1">
      <formula>AND(IF($Q114=3,1,0),IF($X114&lt;30,1,0))</formula>
    </cfRule>
    <cfRule type="expression" priority="4598" dxfId="0">
      <formula>AND(IF($Q114=3,1,IF($Q114=4,1,0)),IF($F114&lt;=85,1,0))</formula>
    </cfRule>
  </conditionalFormatting>
  <conditionalFormatting sqref="AI114">
    <cfRule type="expression" priority="4591" dxfId="3">
      <formula>AND(IF(OR($Q114=1,$Q114=2),1,0),IF($X114&lt;=20,1,0))</formula>
    </cfRule>
    <cfRule type="expression" priority="4592" dxfId="2">
      <formula>AND(IF($Q114=2,1,0),IF($X114&lt;30,1,0))</formula>
    </cfRule>
    <cfRule type="expression" priority="4593" dxfId="1">
      <formula>AND(IF($Q114=3,1,0),IF($X114&lt;30,1,0))</formula>
    </cfRule>
    <cfRule type="expression" priority="4594" dxfId="0">
      <formula>AND(IF($Q114=3,1,IF($Q114=4,1,0)),IF($F114&lt;=85,1,0))</formula>
    </cfRule>
  </conditionalFormatting>
  <conditionalFormatting sqref="AV115">
    <cfRule type="expression" priority="4589" dxfId="23">
      <formula>AV115="X"</formula>
    </cfRule>
    <cfRule type="expression" priority="4590" dxfId="22">
      <formula>AV115="후보"</formula>
    </cfRule>
  </conditionalFormatting>
  <conditionalFormatting sqref="AC11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1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15">
    <cfRule type="expression" priority="4581" dxfId="3">
      <formula>AND(IF(OR($Q115=1,$Q115=2),1,0),IF($X115&lt;=20,1,0))</formula>
    </cfRule>
    <cfRule type="expression" priority="4582" dxfId="2">
      <formula>AND(IF($Q115=2,1,0),IF($X115&lt;30,1,0))</formula>
    </cfRule>
    <cfRule type="expression" priority="4583" dxfId="1">
      <formula>AND(IF($Q115=3,1,0),IF($X115&lt;30,1,0))</formula>
    </cfRule>
    <cfRule type="expression" priority="4584" dxfId="0">
      <formula>AND(IF($Q115=3,1,IF($Q115=4,1,0)),IF($F115&lt;=85,1,0))</formula>
    </cfRule>
  </conditionalFormatting>
  <conditionalFormatting sqref="X115">
    <cfRule type="expression" priority="4577" dxfId="3">
      <formula>AND(IF(OR($Q115=1,$Q115=2),1,0),IF($X115&lt;=20,1,0))</formula>
    </cfRule>
    <cfRule type="expression" priority="4578" dxfId="2">
      <formula>AND(IF($Q115=2,1,0),IF($X115&lt;30,1,0))</formula>
    </cfRule>
    <cfRule type="expression" priority="4579" dxfId="1">
      <formula>AND(IF($Q115=3,1,0),IF($X115&lt;30,1,0))</formula>
    </cfRule>
    <cfRule type="expression" priority="4580" dxfId="0">
      <formula>AND(IF($Q115=3,1,IF($Q115=4,1,0)),IF($F115&lt;=85,1,0))</formula>
    </cfRule>
  </conditionalFormatting>
  <conditionalFormatting sqref="AI115">
    <cfRule type="expression" priority="4573" dxfId="3">
      <formula>AND(IF(OR($Q115=1,$Q115=2),1,0),IF($X115&lt;=20,1,0))</formula>
    </cfRule>
    <cfRule type="expression" priority="4574" dxfId="2">
      <formula>AND(IF($Q115=2,1,0),IF($X115&lt;30,1,0))</formula>
    </cfRule>
    <cfRule type="expression" priority="4575" dxfId="1">
      <formula>AND(IF($Q115=3,1,0),IF($X115&lt;30,1,0))</formula>
    </cfRule>
    <cfRule type="expression" priority="4576" dxfId="0">
      <formula>AND(IF($Q115=3,1,IF($Q115=4,1,0)),IF($F115&lt;=85,1,0))</formula>
    </cfRule>
  </conditionalFormatting>
  <conditionalFormatting sqref="AV116">
    <cfRule type="expression" priority="4571" dxfId="23">
      <formula>AV116="X"</formula>
    </cfRule>
    <cfRule type="expression" priority="4572" dxfId="22">
      <formula>AV116="후보"</formula>
    </cfRule>
  </conditionalFormatting>
  <conditionalFormatting sqref="AC11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1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16">
    <cfRule type="expression" priority="4563" dxfId="3">
      <formula>AND(IF(OR($Q116=1,$Q116=2),1,0),IF($X116&lt;=20,1,0))</formula>
    </cfRule>
    <cfRule type="expression" priority="4564" dxfId="2">
      <formula>AND(IF($Q116=2,1,0),IF($X116&lt;30,1,0))</formula>
    </cfRule>
    <cfRule type="expression" priority="4565" dxfId="1">
      <formula>AND(IF($Q116=3,1,0),IF($X116&lt;30,1,0))</formula>
    </cfRule>
    <cfRule type="expression" priority="4566" dxfId="0">
      <formula>AND(IF($Q116=3,1,IF($Q116=4,1,0)),IF($F116&lt;=85,1,0))</formula>
    </cfRule>
  </conditionalFormatting>
  <conditionalFormatting sqref="X116">
    <cfRule type="expression" priority="4559" dxfId="3">
      <formula>AND(IF(OR($Q116=1,$Q116=2),1,0),IF($X116&lt;=20,1,0))</formula>
    </cfRule>
    <cfRule type="expression" priority="4560" dxfId="2">
      <formula>AND(IF($Q116=2,1,0),IF($X116&lt;30,1,0))</formula>
    </cfRule>
    <cfRule type="expression" priority="4561" dxfId="1">
      <formula>AND(IF($Q116=3,1,0),IF($X116&lt;30,1,0))</formula>
    </cfRule>
    <cfRule type="expression" priority="4562" dxfId="0">
      <formula>AND(IF($Q116=3,1,IF($Q116=4,1,0)),IF($F116&lt;=85,1,0))</formula>
    </cfRule>
  </conditionalFormatting>
  <conditionalFormatting sqref="AI116">
    <cfRule type="expression" priority="4555" dxfId="3">
      <formula>AND(IF(OR($Q116=1,$Q116=2),1,0),IF($X116&lt;=20,1,0))</formula>
    </cfRule>
    <cfRule type="expression" priority="4556" dxfId="2">
      <formula>AND(IF($Q116=2,1,0),IF($X116&lt;30,1,0))</formula>
    </cfRule>
    <cfRule type="expression" priority="4557" dxfId="1">
      <formula>AND(IF($Q116=3,1,0),IF($X116&lt;30,1,0))</formula>
    </cfRule>
    <cfRule type="expression" priority="4558" dxfId="0">
      <formula>AND(IF($Q116=3,1,IF($Q116=4,1,0)),IF($F116&lt;=85,1,0))</formula>
    </cfRule>
  </conditionalFormatting>
  <conditionalFormatting sqref="AV117">
    <cfRule type="expression" priority="4553" dxfId="23">
      <formula>AV117="X"</formula>
    </cfRule>
    <cfRule type="expression" priority="4554" dxfId="22">
      <formula>AV117="후보"</formula>
    </cfRule>
  </conditionalFormatting>
  <conditionalFormatting sqref="AC11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1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17">
    <cfRule type="expression" priority="4545" dxfId="3">
      <formula>AND(IF(OR($Q117=1,$Q117=2),1,0),IF($X117&lt;=20,1,0))</formula>
    </cfRule>
    <cfRule type="expression" priority="4546" dxfId="2">
      <formula>AND(IF($Q117=2,1,0),IF($X117&lt;30,1,0))</formula>
    </cfRule>
    <cfRule type="expression" priority="4547" dxfId="1">
      <formula>AND(IF($Q117=3,1,0),IF($X117&lt;30,1,0))</formula>
    </cfRule>
    <cfRule type="expression" priority="4548" dxfId="0">
      <formula>AND(IF($Q117=3,1,IF($Q117=4,1,0)),IF($F117&lt;=85,1,0))</formula>
    </cfRule>
  </conditionalFormatting>
  <conditionalFormatting sqref="X117">
    <cfRule type="expression" priority="4541" dxfId="3">
      <formula>AND(IF(OR($Q117=1,$Q117=2),1,0),IF($X117&lt;=20,1,0))</formula>
    </cfRule>
    <cfRule type="expression" priority="4542" dxfId="2">
      <formula>AND(IF($Q117=2,1,0),IF($X117&lt;30,1,0))</formula>
    </cfRule>
    <cfRule type="expression" priority="4543" dxfId="1">
      <formula>AND(IF($Q117=3,1,0),IF($X117&lt;30,1,0))</formula>
    </cfRule>
    <cfRule type="expression" priority="4544" dxfId="0">
      <formula>AND(IF($Q117=3,1,IF($Q117=4,1,0)),IF($F117&lt;=85,1,0))</formula>
    </cfRule>
  </conditionalFormatting>
  <conditionalFormatting sqref="AI117">
    <cfRule type="expression" priority="4537" dxfId="3">
      <formula>AND(IF(OR($Q117=1,$Q117=2),1,0),IF($X117&lt;=20,1,0))</formula>
    </cfRule>
    <cfRule type="expression" priority="4538" dxfId="2">
      <formula>AND(IF($Q117=2,1,0),IF($X117&lt;30,1,0))</formula>
    </cfRule>
    <cfRule type="expression" priority="4539" dxfId="1">
      <formula>AND(IF($Q117=3,1,0),IF($X117&lt;30,1,0))</formula>
    </cfRule>
    <cfRule type="expression" priority="4540" dxfId="0">
      <formula>AND(IF($Q117=3,1,IF($Q117=4,1,0)),IF($F117&lt;=85,1,0))</formula>
    </cfRule>
  </conditionalFormatting>
  <conditionalFormatting sqref="AV118">
    <cfRule type="expression" priority="4535" dxfId="23">
      <formula>AV118="X"</formula>
    </cfRule>
    <cfRule type="expression" priority="4536" dxfId="22">
      <formula>AV118="후보"</formula>
    </cfRule>
  </conditionalFormatting>
  <conditionalFormatting sqref="AC11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1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18">
    <cfRule type="expression" priority="4527" dxfId="3">
      <formula>AND(IF(OR($Q118=1,$Q118=2),1,0),IF($X118&lt;=20,1,0))</formula>
    </cfRule>
    <cfRule type="expression" priority="4528" dxfId="2">
      <formula>AND(IF($Q118=2,1,0),IF($X118&lt;30,1,0))</formula>
    </cfRule>
    <cfRule type="expression" priority="4529" dxfId="1">
      <formula>AND(IF($Q118=3,1,0),IF($X118&lt;30,1,0))</formula>
    </cfRule>
    <cfRule type="expression" priority="4530" dxfId="0">
      <formula>AND(IF($Q118=3,1,IF($Q118=4,1,0)),IF($F118&lt;=85,1,0))</formula>
    </cfRule>
  </conditionalFormatting>
  <conditionalFormatting sqref="X118">
    <cfRule type="expression" priority="4523" dxfId="3">
      <formula>AND(IF(OR($Q118=1,$Q118=2),1,0),IF($X118&lt;=20,1,0))</formula>
    </cfRule>
    <cfRule type="expression" priority="4524" dxfId="2">
      <formula>AND(IF($Q118=2,1,0),IF($X118&lt;30,1,0))</formula>
    </cfRule>
    <cfRule type="expression" priority="4525" dxfId="1">
      <formula>AND(IF($Q118=3,1,0),IF($X118&lt;30,1,0))</formula>
    </cfRule>
    <cfRule type="expression" priority="4526" dxfId="0">
      <formula>AND(IF($Q118=3,1,IF($Q118=4,1,0)),IF($F118&lt;=85,1,0))</formula>
    </cfRule>
  </conditionalFormatting>
  <conditionalFormatting sqref="AI118">
    <cfRule type="expression" priority="4519" dxfId="3">
      <formula>AND(IF(OR($Q118=1,$Q118=2),1,0),IF($X118&lt;=20,1,0))</formula>
    </cfRule>
    <cfRule type="expression" priority="4520" dxfId="2">
      <formula>AND(IF($Q118=2,1,0),IF($X118&lt;30,1,0))</formula>
    </cfRule>
    <cfRule type="expression" priority="4521" dxfId="1">
      <formula>AND(IF($Q118=3,1,0),IF($X118&lt;30,1,0))</formula>
    </cfRule>
    <cfRule type="expression" priority="4522" dxfId="0">
      <formula>AND(IF($Q118=3,1,IF($Q118=4,1,0)),IF($F118&lt;=85,1,0))</formula>
    </cfRule>
  </conditionalFormatting>
  <conditionalFormatting sqref="AV119">
    <cfRule type="expression" priority="4517" dxfId="23">
      <formula>AV119="X"</formula>
    </cfRule>
    <cfRule type="expression" priority="4518" dxfId="22">
      <formula>AV119="후보"</formula>
    </cfRule>
  </conditionalFormatting>
  <conditionalFormatting sqref="AC11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1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19">
    <cfRule type="expression" priority="4509" dxfId="3">
      <formula>AND(IF(OR($Q119=1,$Q119=2),1,0),IF($X119&lt;=20,1,0))</formula>
    </cfRule>
    <cfRule type="expression" priority="4510" dxfId="2">
      <formula>AND(IF($Q119=2,1,0),IF($X119&lt;30,1,0))</formula>
    </cfRule>
    <cfRule type="expression" priority="4511" dxfId="1">
      <formula>AND(IF($Q119=3,1,0),IF($X119&lt;30,1,0))</formula>
    </cfRule>
    <cfRule type="expression" priority="4512" dxfId="0">
      <formula>AND(IF($Q119=3,1,IF($Q119=4,1,0)),IF($F119&lt;=85,1,0))</formula>
    </cfRule>
  </conditionalFormatting>
  <conditionalFormatting sqref="X119">
    <cfRule type="expression" priority="4505" dxfId="3">
      <formula>AND(IF(OR($Q119=1,$Q119=2),1,0),IF($X119&lt;=20,1,0))</formula>
    </cfRule>
    <cfRule type="expression" priority="4506" dxfId="2">
      <formula>AND(IF($Q119=2,1,0),IF($X119&lt;30,1,0))</formula>
    </cfRule>
    <cfRule type="expression" priority="4507" dxfId="1">
      <formula>AND(IF($Q119=3,1,0),IF($X119&lt;30,1,0))</formula>
    </cfRule>
    <cfRule type="expression" priority="4508" dxfId="0">
      <formula>AND(IF($Q119=3,1,IF($Q119=4,1,0)),IF($F119&lt;=85,1,0))</formula>
    </cfRule>
  </conditionalFormatting>
  <conditionalFormatting sqref="AI119">
    <cfRule type="expression" priority="4501" dxfId="3">
      <formula>AND(IF(OR($Q119=1,$Q119=2),1,0),IF($X119&lt;=20,1,0))</formula>
    </cfRule>
    <cfRule type="expression" priority="4502" dxfId="2">
      <formula>AND(IF($Q119=2,1,0),IF($X119&lt;30,1,0))</formula>
    </cfRule>
    <cfRule type="expression" priority="4503" dxfId="1">
      <formula>AND(IF($Q119=3,1,0),IF($X119&lt;30,1,0))</formula>
    </cfRule>
    <cfRule type="expression" priority="4504" dxfId="0">
      <formula>AND(IF($Q119=3,1,IF($Q119=4,1,0)),IF($F119&lt;=85,1,0))</formula>
    </cfRule>
  </conditionalFormatting>
  <conditionalFormatting sqref="AV120">
    <cfRule type="expression" priority="4499" dxfId="23">
      <formula>AV120="X"</formula>
    </cfRule>
    <cfRule type="expression" priority="4500" dxfId="22">
      <formula>AV120="후보"</formula>
    </cfRule>
  </conditionalFormatting>
  <conditionalFormatting sqref="AC12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2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20">
    <cfRule type="expression" priority="4491" dxfId="3">
      <formula>AND(IF(OR($Q120=1,$Q120=2),1,0),IF($X120&lt;=20,1,0))</formula>
    </cfRule>
    <cfRule type="expression" priority="4492" dxfId="2">
      <formula>AND(IF($Q120=2,1,0),IF($X120&lt;30,1,0))</formula>
    </cfRule>
    <cfRule type="expression" priority="4493" dxfId="1">
      <formula>AND(IF($Q120=3,1,0),IF($X120&lt;30,1,0))</formula>
    </cfRule>
    <cfRule type="expression" priority="4494" dxfId="0">
      <formula>AND(IF($Q120=3,1,IF($Q120=4,1,0)),IF($F120&lt;=85,1,0))</formula>
    </cfRule>
  </conditionalFormatting>
  <conditionalFormatting sqref="X120">
    <cfRule type="expression" priority="4487" dxfId="3">
      <formula>AND(IF(OR($Q120=1,$Q120=2),1,0),IF($X120&lt;=20,1,0))</formula>
    </cfRule>
    <cfRule type="expression" priority="4488" dxfId="2">
      <formula>AND(IF($Q120=2,1,0),IF($X120&lt;30,1,0))</formula>
    </cfRule>
    <cfRule type="expression" priority="4489" dxfId="1">
      <formula>AND(IF($Q120=3,1,0),IF($X120&lt;30,1,0))</formula>
    </cfRule>
    <cfRule type="expression" priority="4490" dxfId="0">
      <formula>AND(IF($Q120=3,1,IF($Q120=4,1,0)),IF($F120&lt;=85,1,0))</formula>
    </cfRule>
  </conditionalFormatting>
  <conditionalFormatting sqref="AI120">
    <cfRule type="expression" priority="4483" dxfId="3">
      <formula>AND(IF(OR($Q120=1,$Q120=2),1,0),IF($X120&lt;=20,1,0))</formula>
    </cfRule>
    <cfRule type="expression" priority="4484" dxfId="2">
      <formula>AND(IF($Q120=2,1,0),IF($X120&lt;30,1,0))</formula>
    </cfRule>
    <cfRule type="expression" priority="4485" dxfId="1">
      <formula>AND(IF($Q120=3,1,0),IF($X120&lt;30,1,0))</formula>
    </cfRule>
    <cfRule type="expression" priority="4486" dxfId="0">
      <formula>AND(IF($Q120=3,1,IF($Q120=4,1,0)),IF($F120&lt;=85,1,0))</formula>
    </cfRule>
  </conditionalFormatting>
  <conditionalFormatting sqref="AV121">
    <cfRule type="expression" priority="4481" dxfId="23">
      <formula>AV121="X"</formula>
    </cfRule>
    <cfRule type="expression" priority="4482" dxfId="22">
      <formula>AV121="후보"</formula>
    </cfRule>
  </conditionalFormatting>
  <conditionalFormatting sqref="AC12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2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21">
    <cfRule type="expression" priority="4473" dxfId="3">
      <formula>AND(IF(OR($Q121=1,$Q121=2),1,0),IF($X121&lt;=20,1,0))</formula>
    </cfRule>
    <cfRule type="expression" priority="4474" dxfId="2">
      <formula>AND(IF($Q121=2,1,0),IF($X121&lt;30,1,0))</formula>
    </cfRule>
    <cfRule type="expression" priority="4475" dxfId="1">
      <formula>AND(IF($Q121=3,1,0),IF($X121&lt;30,1,0))</formula>
    </cfRule>
    <cfRule type="expression" priority="4476" dxfId="0">
      <formula>AND(IF($Q121=3,1,IF($Q121=4,1,0)),IF($F121&lt;=85,1,0))</formula>
    </cfRule>
  </conditionalFormatting>
  <conditionalFormatting sqref="X121">
    <cfRule type="expression" priority="4469" dxfId="3">
      <formula>AND(IF(OR($Q121=1,$Q121=2),1,0),IF($X121&lt;=20,1,0))</formula>
    </cfRule>
    <cfRule type="expression" priority="4470" dxfId="2">
      <formula>AND(IF($Q121=2,1,0),IF($X121&lt;30,1,0))</formula>
    </cfRule>
    <cfRule type="expression" priority="4471" dxfId="1">
      <formula>AND(IF($Q121=3,1,0),IF($X121&lt;30,1,0))</formula>
    </cfRule>
    <cfRule type="expression" priority="4472" dxfId="0">
      <formula>AND(IF($Q121=3,1,IF($Q121=4,1,0)),IF($F121&lt;=85,1,0))</formula>
    </cfRule>
  </conditionalFormatting>
  <conditionalFormatting sqref="AI121">
    <cfRule type="expression" priority="4465" dxfId="3">
      <formula>AND(IF(OR($Q121=1,$Q121=2),1,0),IF($X121&lt;=20,1,0))</formula>
    </cfRule>
    <cfRule type="expression" priority="4466" dxfId="2">
      <formula>AND(IF($Q121=2,1,0),IF($X121&lt;30,1,0))</formula>
    </cfRule>
    <cfRule type="expression" priority="4467" dxfId="1">
      <formula>AND(IF($Q121=3,1,0),IF($X121&lt;30,1,0))</formula>
    </cfRule>
    <cfRule type="expression" priority="4468" dxfId="0">
      <formula>AND(IF($Q121=3,1,IF($Q121=4,1,0)),IF($F121&lt;=85,1,0))</formula>
    </cfRule>
  </conditionalFormatting>
  <conditionalFormatting sqref="AV122">
    <cfRule type="expression" priority="4463" dxfId="23">
      <formula>AV122="X"</formula>
    </cfRule>
    <cfRule type="expression" priority="4464" dxfId="22">
      <formula>AV122="후보"</formula>
    </cfRule>
  </conditionalFormatting>
  <conditionalFormatting sqref="AC12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2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22">
    <cfRule type="expression" priority="4455" dxfId="3">
      <formula>AND(IF(OR($Q122=1,$Q122=2),1,0),IF($X122&lt;=20,1,0))</formula>
    </cfRule>
    <cfRule type="expression" priority="4456" dxfId="2">
      <formula>AND(IF($Q122=2,1,0),IF($X122&lt;30,1,0))</formula>
    </cfRule>
    <cfRule type="expression" priority="4457" dxfId="1">
      <formula>AND(IF($Q122=3,1,0),IF($X122&lt;30,1,0))</formula>
    </cfRule>
    <cfRule type="expression" priority="4458" dxfId="0">
      <formula>AND(IF($Q122=3,1,IF($Q122=4,1,0)),IF($F122&lt;=85,1,0))</formula>
    </cfRule>
  </conditionalFormatting>
  <conditionalFormatting sqref="X122">
    <cfRule type="expression" priority="4451" dxfId="3">
      <formula>AND(IF(OR($Q122=1,$Q122=2),1,0),IF($X122&lt;=20,1,0))</formula>
    </cfRule>
    <cfRule type="expression" priority="4452" dxfId="2">
      <formula>AND(IF($Q122=2,1,0),IF($X122&lt;30,1,0))</formula>
    </cfRule>
    <cfRule type="expression" priority="4453" dxfId="1">
      <formula>AND(IF($Q122=3,1,0),IF($X122&lt;30,1,0))</formula>
    </cfRule>
    <cfRule type="expression" priority="4454" dxfId="0">
      <formula>AND(IF($Q122=3,1,IF($Q122=4,1,0)),IF($F122&lt;=85,1,0))</formula>
    </cfRule>
  </conditionalFormatting>
  <conditionalFormatting sqref="AI122">
    <cfRule type="expression" priority="4447" dxfId="3">
      <formula>AND(IF(OR($Q122=1,$Q122=2),1,0),IF($X122&lt;=20,1,0))</formula>
    </cfRule>
    <cfRule type="expression" priority="4448" dxfId="2">
      <formula>AND(IF($Q122=2,1,0),IF($X122&lt;30,1,0))</formula>
    </cfRule>
    <cfRule type="expression" priority="4449" dxfId="1">
      <formula>AND(IF($Q122=3,1,0),IF($X122&lt;30,1,0))</formula>
    </cfRule>
    <cfRule type="expression" priority="4450" dxfId="0">
      <formula>AND(IF($Q122=3,1,IF($Q122=4,1,0)),IF($F122&lt;=85,1,0))</formula>
    </cfRule>
  </conditionalFormatting>
  <conditionalFormatting sqref="AV123">
    <cfRule type="expression" priority="4445" dxfId="23">
      <formula>AV123="X"</formula>
    </cfRule>
    <cfRule type="expression" priority="4446" dxfId="22">
      <formula>AV123="후보"</formula>
    </cfRule>
  </conditionalFormatting>
  <conditionalFormatting sqref="AC12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2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23">
    <cfRule type="expression" priority="4437" dxfId="3">
      <formula>AND(IF(OR($Q123=1,$Q123=2),1,0),IF($X123&lt;=20,1,0))</formula>
    </cfRule>
    <cfRule type="expression" priority="4438" dxfId="2">
      <formula>AND(IF($Q123=2,1,0),IF($X123&lt;30,1,0))</formula>
    </cfRule>
    <cfRule type="expression" priority="4439" dxfId="1">
      <formula>AND(IF($Q123=3,1,0),IF($X123&lt;30,1,0))</formula>
    </cfRule>
    <cfRule type="expression" priority="4440" dxfId="0">
      <formula>AND(IF($Q123=3,1,IF($Q123=4,1,0)),IF($F123&lt;=85,1,0))</formula>
    </cfRule>
  </conditionalFormatting>
  <conditionalFormatting sqref="X123">
    <cfRule type="expression" priority="4433" dxfId="3">
      <formula>AND(IF(OR($Q123=1,$Q123=2),1,0),IF($X123&lt;=20,1,0))</formula>
    </cfRule>
    <cfRule type="expression" priority="4434" dxfId="2">
      <formula>AND(IF($Q123=2,1,0),IF($X123&lt;30,1,0))</formula>
    </cfRule>
    <cfRule type="expression" priority="4435" dxfId="1">
      <formula>AND(IF($Q123=3,1,0),IF($X123&lt;30,1,0))</formula>
    </cfRule>
    <cfRule type="expression" priority="4436" dxfId="0">
      <formula>AND(IF($Q123=3,1,IF($Q123=4,1,0)),IF($F123&lt;=85,1,0))</formula>
    </cfRule>
  </conditionalFormatting>
  <conditionalFormatting sqref="AI123">
    <cfRule type="expression" priority="4429" dxfId="3">
      <formula>AND(IF(OR($Q123=1,$Q123=2),1,0),IF($X123&lt;=20,1,0))</formula>
    </cfRule>
    <cfRule type="expression" priority="4430" dxfId="2">
      <formula>AND(IF($Q123=2,1,0),IF($X123&lt;30,1,0))</formula>
    </cfRule>
    <cfRule type="expression" priority="4431" dxfId="1">
      <formula>AND(IF($Q123=3,1,0),IF($X123&lt;30,1,0))</formula>
    </cfRule>
    <cfRule type="expression" priority="4432" dxfId="0">
      <formula>AND(IF($Q123=3,1,IF($Q123=4,1,0)),IF($F123&lt;=85,1,0))</formula>
    </cfRule>
  </conditionalFormatting>
  <conditionalFormatting sqref="AV124">
    <cfRule type="expression" priority="4427" dxfId="23">
      <formula>AV124="X"</formula>
    </cfRule>
    <cfRule type="expression" priority="4428" dxfId="22">
      <formula>AV124="후보"</formula>
    </cfRule>
  </conditionalFormatting>
  <conditionalFormatting sqref="AC12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2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24">
    <cfRule type="expression" priority="4419" dxfId="3">
      <formula>AND(IF(OR($Q124=1,$Q124=2),1,0),IF($X124&lt;=20,1,0))</formula>
    </cfRule>
    <cfRule type="expression" priority="4420" dxfId="2">
      <formula>AND(IF($Q124=2,1,0),IF($X124&lt;30,1,0))</formula>
    </cfRule>
    <cfRule type="expression" priority="4421" dxfId="1">
      <formula>AND(IF($Q124=3,1,0),IF($X124&lt;30,1,0))</formula>
    </cfRule>
    <cfRule type="expression" priority="4422" dxfId="0">
      <formula>AND(IF($Q124=3,1,IF($Q124=4,1,0)),IF($F124&lt;=85,1,0))</formula>
    </cfRule>
  </conditionalFormatting>
  <conditionalFormatting sqref="X124">
    <cfRule type="expression" priority="4415" dxfId="3">
      <formula>AND(IF(OR($Q124=1,$Q124=2),1,0),IF($X124&lt;=20,1,0))</formula>
    </cfRule>
    <cfRule type="expression" priority="4416" dxfId="2">
      <formula>AND(IF($Q124=2,1,0),IF($X124&lt;30,1,0))</formula>
    </cfRule>
    <cfRule type="expression" priority="4417" dxfId="1">
      <formula>AND(IF($Q124=3,1,0),IF($X124&lt;30,1,0))</formula>
    </cfRule>
    <cfRule type="expression" priority="4418" dxfId="0">
      <formula>AND(IF($Q124=3,1,IF($Q124=4,1,0)),IF($F124&lt;=85,1,0))</formula>
    </cfRule>
  </conditionalFormatting>
  <conditionalFormatting sqref="AI124">
    <cfRule type="expression" priority="4411" dxfId="3">
      <formula>AND(IF(OR($Q124=1,$Q124=2),1,0),IF($X124&lt;=20,1,0))</formula>
    </cfRule>
    <cfRule type="expression" priority="4412" dxfId="2">
      <formula>AND(IF($Q124=2,1,0),IF($X124&lt;30,1,0))</formula>
    </cfRule>
    <cfRule type="expression" priority="4413" dxfId="1">
      <formula>AND(IF($Q124=3,1,0),IF($X124&lt;30,1,0))</formula>
    </cfRule>
    <cfRule type="expression" priority="4414" dxfId="0">
      <formula>AND(IF($Q124=3,1,IF($Q124=4,1,0)),IF($F124&lt;=85,1,0))</formula>
    </cfRule>
  </conditionalFormatting>
  <conditionalFormatting sqref="AV125">
    <cfRule type="expression" priority="4409" dxfId="23">
      <formula>AV125="X"</formula>
    </cfRule>
    <cfRule type="expression" priority="4410" dxfId="22">
      <formula>AV125="후보"</formula>
    </cfRule>
  </conditionalFormatting>
  <conditionalFormatting sqref="AC12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2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25">
    <cfRule type="expression" priority="4401" dxfId="3">
      <formula>AND(IF(OR($Q125=1,$Q125=2),1,0),IF($X125&lt;=20,1,0))</formula>
    </cfRule>
    <cfRule type="expression" priority="4402" dxfId="2">
      <formula>AND(IF($Q125=2,1,0),IF($X125&lt;30,1,0))</formula>
    </cfRule>
    <cfRule type="expression" priority="4403" dxfId="1">
      <formula>AND(IF($Q125=3,1,0),IF($X125&lt;30,1,0))</formula>
    </cfRule>
    <cfRule type="expression" priority="4404" dxfId="0">
      <formula>AND(IF($Q125=3,1,IF($Q125=4,1,0)),IF($F125&lt;=85,1,0))</formula>
    </cfRule>
  </conditionalFormatting>
  <conditionalFormatting sqref="X125">
    <cfRule type="expression" priority="4397" dxfId="3">
      <formula>AND(IF(OR($Q125=1,$Q125=2),1,0),IF($X125&lt;=20,1,0))</formula>
    </cfRule>
    <cfRule type="expression" priority="4398" dxfId="2">
      <formula>AND(IF($Q125=2,1,0),IF($X125&lt;30,1,0))</formula>
    </cfRule>
    <cfRule type="expression" priority="4399" dxfId="1">
      <formula>AND(IF($Q125=3,1,0),IF($X125&lt;30,1,0))</formula>
    </cfRule>
    <cfRule type="expression" priority="4400" dxfId="0">
      <formula>AND(IF($Q125=3,1,IF($Q125=4,1,0)),IF($F125&lt;=85,1,0))</formula>
    </cfRule>
  </conditionalFormatting>
  <conditionalFormatting sqref="AI125">
    <cfRule type="expression" priority="4393" dxfId="3">
      <formula>AND(IF(OR($Q125=1,$Q125=2),1,0),IF($X125&lt;=20,1,0))</formula>
    </cfRule>
    <cfRule type="expression" priority="4394" dxfId="2">
      <formula>AND(IF($Q125=2,1,0),IF($X125&lt;30,1,0))</formula>
    </cfRule>
    <cfRule type="expression" priority="4395" dxfId="1">
      <formula>AND(IF($Q125=3,1,0),IF($X125&lt;30,1,0))</formula>
    </cfRule>
    <cfRule type="expression" priority="4396" dxfId="0">
      <formula>AND(IF($Q125=3,1,IF($Q125=4,1,0)),IF($F125&lt;=85,1,0))</formula>
    </cfRule>
  </conditionalFormatting>
  <conditionalFormatting sqref="AV126">
    <cfRule type="expression" priority="4391" dxfId="23">
      <formula>AV126="X"</formula>
    </cfRule>
    <cfRule type="expression" priority="4392" dxfId="22">
      <formula>AV126="후보"</formula>
    </cfRule>
  </conditionalFormatting>
  <conditionalFormatting sqref="AC12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2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26">
    <cfRule type="expression" priority="4383" dxfId="3">
      <formula>AND(IF(OR($Q126=1,$Q126=2),1,0),IF($X126&lt;=20,1,0))</formula>
    </cfRule>
    <cfRule type="expression" priority="4384" dxfId="2">
      <formula>AND(IF($Q126=2,1,0),IF($X126&lt;30,1,0))</formula>
    </cfRule>
    <cfRule type="expression" priority="4385" dxfId="1">
      <formula>AND(IF($Q126=3,1,0),IF($X126&lt;30,1,0))</formula>
    </cfRule>
    <cfRule type="expression" priority="4386" dxfId="0">
      <formula>AND(IF($Q126=3,1,IF($Q126=4,1,0)),IF($F126&lt;=85,1,0))</formula>
    </cfRule>
  </conditionalFormatting>
  <conditionalFormatting sqref="X126">
    <cfRule type="expression" priority="4379" dxfId="3">
      <formula>AND(IF(OR($Q126=1,$Q126=2),1,0),IF($X126&lt;=20,1,0))</formula>
    </cfRule>
    <cfRule type="expression" priority="4380" dxfId="2">
      <formula>AND(IF($Q126=2,1,0),IF($X126&lt;30,1,0))</formula>
    </cfRule>
    <cfRule type="expression" priority="4381" dxfId="1">
      <formula>AND(IF($Q126=3,1,0),IF($X126&lt;30,1,0))</formula>
    </cfRule>
    <cfRule type="expression" priority="4382" dxfId="0">
      <formula>AND(IF($Q126=3,1,IF($Q126=4,1,0)),IF($F126&lt;=85,1,0))</formula>
    </cfRule>
  </conditionalFormatting>
  <conditionalFormatting sqref="AI126">
    <cfRule type="expression" priority="4375" dxfId="3">
      <formula>AND(IF(OR($Q126=1,$Q126=2),1,0),IF($X126&lt;=20,1,0))</formula>
    </cfRule>
    <cfRule type="expression" priority="4376" dxfId="2">
      <formula>AND(IF($Q126=2,1,0),IF($X126&lt;30,1,0))</formula>
    </cfRule>
    <cfRule type="expression" priority="4377" dxfId="1">
      <formula>AND(IF($Q126=3,1,0),IF($X126&lt;30,1,0))</formula>
    </cfRule>
    <cfRule type="expression" priority="4378" dxfId="0">
      <formula>AND(IF($Q126=3,1,IF($Q126=4,1,0)),IF($F126&lt;=85,1,0))</formula>
    </cfRule>
  </conditionalFormatting>
  <conditionalFormatting sqref="AV127">
    <cfRule type="expression" priority="4373" dxfId="23">
      <formula>AV127="X"</formula>
    </cfRule>
    <cfRule type="expression" priority="4374" dxfId="22">
      <formula>AV127="후보"</formula>
    </cfRule>
  </conditionalFormatting>
  <conditionalFormatting sqref="AC12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2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27">
    <cfRule type="expression" priority="4365" dxfId="3">
      <formula>AND(IF(OR($Q127=1,$Q127=2),1,0),IF($X127&lt;=20,1,0))</formula>
    </cfRule>
    <cfRule type="expression" priority="4366" dxfId="2">
      <formula>AND(IF($Q127=2,1,0),IF($X127&lt;30,1,0))</formula>
    </cfRule>
    <cfRule type="expression" priority="4367" dxfId="1">
      <formula>AND(IF($Q127=3,1,0),IF($X127&lt;30,1,0))</formula>
    </cfRule>
    <cfRule type="expression" priority="4368" dxfId="0">
      <formula>AND(IF($Q127=3,1,IF($Q127=4,1,0)),IF($F127&lt;=85,1,0))</formula>
    </cfRule>
  </conditionalFormatting>
  <conditionalFormatting sqref="X127">
    <cfRule type="expression" priority="4361" dxfId="3">
      <formula>AND(IF(OR($Q127=1,$Q127=2),1,0),IF($X127&lt;=20,1,0))</formula>
    </cfRule>
    <cfRule type="expression" priority="4362" dxfId="2">
      <formula>AND(IF($Q127=2,1,0),IF($X127&lt;30,1,0))</formula>
    </cfRule>
    <cfRule type="expression" priority="4363" dxfId="1">
      <formula>AND(IF($Q127=3,1,0),IF($X127&lt;30,1,0))</formula>
    </cfRule>
    <cfRule type="expression" priority="4364" dxfId="0">
      <formula>AND(IF($Q127=3,1,IF($Q127=4,1,0)),IF($F127&lt;=85,1,0))</formula>
    </cfRule>
  </conditionalFormatting>
  <conditionalFormatting sqref="AI127">
    <cfRule type="expression" priority="4357" dxfId="3">
      <formula>AND(IF(OR($Q127=1,$Q127=2),1,0),IF($X127&lt;=20,1,0))</formula>
    </cfRule>
    <cfRule type="expression" priority="4358" dxfId="2">
      <formula>AND(IF($Q127=2,1,0),IF($X127&lt;30,1,0))</formula>
    </cfRule>
    <cfRule type="expression" priority="4359" dxfId="1">
      <formula>AND(IF($Q127=3,1,0),IF($X127&lt;30,1,0))</formula>
    </cfRule>
    <cfRule type="expression" priority="4360" dxfId="0">
      <formula>AND(IF($Q127=3,1,IF($Q127=4,1,0)),IF($F127&lt;=85,1,0))</formula>
    </cfRule>
  </conditionalFormatting>
  <conditionalFormatting sqref="AV128">
    <cfRule type="expression" priority="4355" dxfId="23">
      <formula>AV128="X"</formula>
    </cfRule>
    <cfRule type="expression" priority="4356" dxfId="22">
      <formula>AV128="후보"</formula>
    </cfRule>
  </conditionalFormatting>
  <conditionalFormatting sqref="AC12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2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28">
    <cfRule type="expression" priority="4347" dxfId="3">
      <formula>AND(IF(OR($Q128=1,$Q128=2),1,0),IF($X128&lt;=20,1,0))</formula>
    </cfRule>
    <cfRule type="expression" priority="4348" dxfId="2">
      <formula>AND(IF($Q128=2,1,0),IF($X128&lt;30,1,0))</formula>
    </cfRule>
    <cfRule type="expression" priority="4349" dxfId="1">
      <formula>AND(IF($Q128=3,1,0),IF($X128&lt;30,1,0))</formula>
    </cfRule>
    <cfRule type="expression" priority="4350" dxfId="0">
      <formula>AND(IF($Q128=3,1,IF($Q128=4,1,0)),IF($F128&lt;=85,1,0))</formula>
    </cfRule>
  </conditionalFormatting>
  <conditionalFormatting sqref="X128">
    <cfRule type="expression" priority="4343" dxfId="3">
      <formula>AND(IF(OR($Q128=1,$Q128=2),1,0),IF($X128&lt;=20,1,0))</formula>
    </cfRule>
    <cfRule type="expression" priority="4344" dxfId="2">
      <formula>AND(IF($Q128=2,1,0),IF($X128&lt;30,1,0))</formula>
    </cfRule>
    <cfRule type="expression" priority="4345" dxfId="1">
      <formula>AND(IF($Q128=3,1,0),IF($X128&lt;30,1,0))</formula>
    </cfRule>
    <cfRule type="expression" priority="4346" dxfId="0">
      <formula>AND(IF($Q128=3,1,IF($Q128=4,1,0)),IF($F128&lt;=85,1,0))</formula>
    </cfRule>
  </conditionalFormatting>
  <conditionalFormatting sqref="AI128">
    <cfRule type="expression" priority="4339" dxfId="3">
      <formula>AND(IF(OR($Q128=1,$Q128=2),1,0),IF($X128&lt;=20,1,0))</formula>
    </cfRule>
    <cfRule type="expression" priority="4340" dxfId="2">
      <formula>AND(IF($Q128=2,1,0),IF($X128&lt;30,1,0))</formula>
    </cfRule>
    <cfRule type="expression" priority="4341" dxfId="1">
      <formula>AND(IF($Q128=3,1,0),IF($X128&lt;30,1,0))</formula>
    </cfRule>
    <cfRule type="expression" priority="4342" dxfId="0">
      <formula>AND(IF($Q128=3,1,IF($Q128=4,1,0)),IF($F128&lt;=85,1,0))</formula>
    </cfRule>
  </conditionalFormatting>
  <conditionalFormatting sqref="AV129">
    <cfRule type="expression" priority="4337" dxfId="23">
      <formula>AV129="X"</formula>
    </cfRule>
    <cfRule type="expression" priority="4338" dxfId="22">
      <formula>AV129="후보"</formula>
    </cfRule>
  </conditionalFormatting>
  <conditionalFormatting sqref="AC12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2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29">
    <cfRule type="expression" priority="4329" dxfId="3">
      <formula>AND(IF(OR($Q129=1,$Q129=2),1,0),IF($X129&lt;=20,1,0))</formula>
    </cfRule>
    <cfRule type="expression" priority="4330" dxfId="2">
      <formula>AND(IF($Q129=2,1,0),IF($X129&lt;30,1,0))</formula>
    </cfRule>
    <cfRule type="expression" priority="4331" dxfId="1">
      <formula>AND(IF($Q129=3,1,0),IF($X129&lt;30,1,0))</formula>
    </cfRule>
    <cfRule type="expression" priority="4332" dxfId="0">
      <formula>AND(IF($Q129=3,1,IF($Q129=4,1,0)),IF($F129&lt;=85,1,0))</formula>
    </cfRule>
  </conditionalFormatting>
  <conditionalFormatting sqref="X129">
    <cfRule type="expression" priority="4325" dxfId="3">
      <formula>AND(IF(OR($Q129=1,$Q129=2),1,0),IF($X129&lt;=20,1,0))</formula>
    </cfRule>
    <cfRule type="expression" priority="4326" dxfId="2">
      <formula>AND(IF($Q129=2,1,0),IF($X129&lt;30,1,0))</formula>
    </cfRule>
    <cfRule type="expression" priority="4327" dxfId="1">
      <formula>AND(IF($Q129=3,1,0),IF($X129&lt;30,1,0))</formula>
    </cfRule>
    <cfRule type="expression" priority="4328" dxfId="0">
      <formula>AND(IF($Q129=3,1,IF($Q129=4,1,0)),IF($F129&lt;=85,1,0))</formula>
    </cfRule>
  </conditionalFormatting>
  <conditionalFormatting sqref="AI129">
    <cfRule type="expression" priority="4321" dxfId="3">
      <formula>AND(IF(OR($Q129=1,$Q129=2),1,0),IF($X129&lt;=20,1,0))</formula>
    </cfRule>
    <cfRule type="expression" priority="4322" dxfId="2">
      <formula>AND(IF($Q129=2,1,0),IF($X129&lt;30,1,0))</formula>
    </cfRule>
    <cfRule type="expression" priority="4323" dxfId="1">
      <formula>AND(IF($Q129=3,1,0),IF($X129&lt;30,1,0))</formula>
    </cfRule>
    <cfRule type="expression" priority="4324" dxfId="0">
      <formula>AND(IF($Q129=3,1,IF($Q129=4,1,0)),IF($F129&lt;=85,1,0))</formula>
    </cfRule>
  </conditionalFormatting>
  <conditionalFormatting sqref="AV130">
    <cfRule type="expression" priority="4319" dxfId="23">
      <formula>AV130="X"</formula>
    </cfRule>
    <cfRule type="expression" priority="4320" dxfId="22">
      <formula>AV130="후보"</formula>
    </cfRule>
  </conditionalFormatting>
  <conditionalFormatting sqref="AC13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3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30">
    <cfRule type="expression" priority="4311" dxfId="3">
      <formula>AND(IF(OR($Q130=1,$Q130=2),1,0),IF($X130&lt;=20,1,0))</formula>
    </cfRule>
    <cfRule type="expression" priority="4312" dxfId="2">
      <formula>AND(IF($Q130=2,1,0),IF($X130&lt;30,1,0))</formula>
    </cfRule>
    <cfRule type="expression" priority="4313" dxfId="1">
      <formula>AND(IF($Q130=3,1,0),IF($X130&lt;30,1,0))</formula>
    </cfRule>
    <cfRule type="expression" priority="4314" dxfId="0">
      <formula>AND(IF($Q130=3,1,IF($Q130=4,1,0)),IF($F130&lt;=85,1,0))</formula>
    </cfRule>
  </conditionalFormatting>
  <conditionalFormatting sqref="X130">
    <cfRule type="expression" priority="4307" dxfId="3">
      <formula>AND(IF(OR($Q130=1,$Q130=2),1,0),IF($X130&lt;=20,1,0))</formula>
    </cfRule>
    <cfRule type="expression" priority="4308" dxfId="2">
      <formula>AND(IF($Q130=2,1,0),IF($X130&lt;30,1,0))</formula>
    </cfRule>
    <cfRule type="expression" priority="4309" dxfId="1">
      <formula>AND(IF($Q130=3,1,0),IF($X130&lt;30,1,0))</formula>
    </cfRule>
    <cfRule type="expression" priority="4310" dxfId="0">
      <formula>AND(IF($Q130=3,1,IF($Q130=4,1,0)),IF($F130&lt;=85,1,0))</formula>
    </cfRule>
  </conditionalFormatting>
  <conditionalFormatting sqref="AI130">
    <cfRule type="expression" priority="4303" dxfId="3">
      <formula>AND(IF(OR($Q130=1,$Q130=2),1,0),IF($X130&lt;=20,1,0))</formula>
    </cfRule>
    <cfRule type="expression" priority="4304" dxfId="2">
      <formula>AND(IF($Q130=2,1,0),IF($X130&lt;30,1,0))</formula>
    </cfRule>
    <cfRule type="expression" priority="4305" dxfId="1">
      <formula>AND(IF($Q130=3,1,0),IF($X130&lt;30,1,0))</formula>
    </cfRule>
    <cfRule type="expression" priority="4306" dxfId="0">
      <formula>AND(IF($Q130=3,1,IF($Q130=4,1,0)),IF($F130&lt;=85,1,0))</formula>
    </cfRule>
  </conditionalFormatting>
  <conditionalFormatting sqref="AV131">
    <cfRule type="expression" priority="4301" dxfId="23">
      <formula>AV131="X"</formula>
    </cfRule>
    <cfRule type="expression" priority="4302" dxfId="22">
      <formula>AV131="후보"</formula>
    </cfRule>
  </conditionalFormatting>
  <conditionalFormatting sqref="AC13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3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31">
    <cfRule type="expression" priority="4293" dxfId="3">
      <formula>AND(IF(OR($Q131=1,$Q131=2),1,0),IF($X131&lt;=20,1,0))</formula>
    </cfRule>
    <cfRule type="expression" priority="4294" dxfId="2">
      <formula>AND(IF($Q131=2,1,0),IF($X131&lt;30,1,0))</formula>
    </cfRule>
    <cfRule type="expression" priority="4295" dxfId="1">
      <formula>AND(IF($Q131=3,1,0),IF($X131&lt;30,1,0))</formula>
    </cfRule>
    <cfRule type="expression" priority="4296" dxfId="0">
      <formula>AND(IF($Q131=3,1,IF($Q131=4,1,0)),IF($F131&lt;=85,1,0))</formula>
    </cfRule>
  </conditionalFormatting>
  <conditionalFormatting sqref="X131">
    <cfRule type="expression" priority="4289" dxfId="3">
      <formula>AND(IF(OR($Q131=1,$Q131=2),1,0),IF($X131&lt;=20,1,0))</formula>
    </cfRule>
    <cfRule type="expression" priority="4290" dxfId="2">
      <formula>AND(IF($Q131=2,1,0),IF($X131&lt;30,1,0))</formula>
    </cfRule>
    <cfRule type="expression" priority="4291" dxfId="1">
      <formula>AND(IF($Q131=3,1,0),IF($X131&lt;30,1,0))</formula>
    </cfRule>
    <cfRule type="expression" priority="4292" dxfId="0">
      <formula>AND(IF($Q131=3,1,IF($Q131=4,1,0)),IF($F131&lt;=85,1,0))</formula>
    </cfRule>
  </conditionalFormatting>
  <conditionalFormatting sqref="AI131">
    <cfRule type="expression" priority="4285" dxfId="3">
      <formula>AND(IF(OR($Q131=1,$Q131=2),1,0),IF($X131&lt;=20,1,0))</formula>
    </cfRule>
    <cfRule type="expression" priority="4286" dxfId="2">
      <formula>AND(IF($Q131=2,1,0),IF($X131&lt;30,1,0))</formula>
    </cfRule>
    <cfRule type="expression" priority="4287" dxfId="1">
      <formula>AND(IF($Q131=3,1,0),IF($X131&lt;30,1,0))</formula>
    </cfRule>
    <cfRule type="expression" priority="4288" dxfId="0">
      <formula>AND(IF($Q131=3,1,IF($Q131=4,1,0)),IF($F131&lt;=85,1,0))</formula>
    </cfRule>
  </conditionalFormatting>
  <conditionalFormatting sqref="AV132">
    <cfRule type="expression" priority="4283" dxfId="23">
      <formula>AV132="X"</formula>
    </cfRule>
    <cfRule type="expression" priority="4284" dxfId="22">
      <formula>AV132="후보"</formula>
    </cfRule>
  </conditionalFormatting>
  <conditionalFormatting sqref="AC13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3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32">
    <cfRule type="expression" priority="4275" dxfId="3">
      <formula>AND(IF(OR($Q132=1,$Q132=2),1,0),IF($X132&lt;=20,1,0))</formula>
    </cfRule>
    <cfRule type="expression" priority="4276" dxfId="2">
      <formula>AND(IF($Q132=2,1,0),IF($X132&lt;30,1,0))</formula>
    </cfRule>
    <cfRule type="expression" priority="4277" dxfId="1">
      <formula>AND(IF($Q132=3,1,0),IF($X132&lt;30,1,0))</formula>
    </cfRule>
    <cfRule type="expression" priority="4278" dxfId="0">
      <formula>AND(IF($Q132=3,1,IF($Q132=4,1,0)),IF($F132&lt;=85,1,0))</formula>
    </cfRule>
  </conditionalFormatting>
  <conditionalFormatting sqref="X132">
    <cfRule type="expression" priority="4271" dxfId="3">
      <formula>AND(IF(OR($Q132=1,$Q132=2),1,0),IF($X132&lt;=20,1,0))</formula>
    </cfRule>
    <cfRule type="expression" priority="4272" dxfId="2">
      <formula>AND(IF($Q132=2,1,0),IF($X132&lt;30,1,0))</formula>
    </cfRule>
    <cfRule type="expression" priority="4273" dxfId="1">
      <formula>AND(IF($Q132=3,1,0),IF($X132&lt;30,1,0))</formula>
    </cfRule>
    <cfRule type="expression" priority="4274" dxfId="0">
      <formula>AND(IF($Q132=3,1,IF($Q132=4,1,0)),IF($F132&lt;=85,1,0))</formula>
    </cfRule>
  </conditionalFormatting>
  <conditionalFormatting sqref="AI132">
    <cfRule type="expression" priority="4267" dxfId="3">
      <formula>AND(IF(OR($Q132=1,$Q132=2),1,0),IF($X132&lt;=20,1,0))</formula>
    </cfRule>
    <cfRule type="expression" priority="4268" dxfId="2">
      <formula>AND(IF($Q132=2,1,0),IF($X132&lt;30,1,0))</formula>
    </cfRule>
    <cfRule type="expression" priority="4269" dxfId="1">
      <formula>AND(IF($Q132=3,1,0),IF($X132&lt;30,1,0))</formula>
    </cfRule>
    <cfRule type="expression" priority="4270" dxfId="0">
      <formula>AND(IF($Q132=3,1,IF($Q132=4,1,0)),IF($F132&lt;=85,1,0))</formula>
    </cfRule>
  </conditionalFormatting>
  <conditionalFormatting sqref="AV133">
    <cfRule type="expression" priority="4265" dxfId="23">
      <formula>AV133="X"</formula>
    </cfRule>
    <cfRule type="expression" priority="4266" dxfId="22">
      <formula>AV133="후보"</formula>
    </cfRule>
  </conditionalFormatting>
  <conditionalFormatting sqref="AC13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3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33">
    <cfRule type="expression" priority="4257" dxfId="3">
      <formula>AND(IF(OR($Q133=1,$Q133=2),1,0),IF($X133&lt;=20,1,0))</formula>
    </cfRule>
    <cfRule type="expression" priority="4258" dxfId="2">
      <formula>AND(IF($Q133=2,1,0),IF($X133&lt;30,1,0))</formula>
    </cfRule>
    <cfRule type="expression" priority="4259" dxfId="1">
      <formula>AND(IF($Q133=3,1,0),IF($X133&lt;30,1,0))</formula>
    </cfRule>
    <cfRule type="expression" priority="4260" dxfId="0">
      <formula>AND(IF($Q133=3,1,IF($Q133=4,1,0)),IF($F133&lt;=85,1,0))</formula>
    </cfRule>
  </conditionalFormatting>
  <conditionalFormatting sqref="X133">
    <cfRule type="expression" priority="4253" dxfId="3">
      <formula>AND(IF(OR($Q133=1,$Q133=2),1,0),IF($X133&lt;=20,1,0))</formula>
    </cfRule>
    <cfRule type="expression" priority="4254" dxfId="2">
      <formula>AND(IF($Q133=2,1,0),IF($X133&lt;30,1,0))</formula>
    </cfRule>
    <cfRule type="expression" priority="4255" dxfId="1">
      <formula>AND(IF($Q133=3,1,0),IF($X133&lt;30,1,0))</formula>
    </cfRule>
    <cfRule type="expression" priority="4256" dxfId="0">
      <formula>AND(IF($Q133=3,1,IF($Q133=4,1,0)),IF($F133&lt;=85,1,0))</formula>
    </cfRule>
  </conditionalFormatting>
  <conditionalFormatting sqref="AI133">
    <cfRule type="expression" priority="4249" dxfId="3">
      <formula>AND(IF(OR($Q133=1,$Q133=2),1,0),IF($X133&lt;=20,1,0))</formula>
    </cfRule>
    <cfRule type="expression" priority="4250" dxfId="2">
      <formula>AND(IF($Q133=2,1,0),IF($X133&lt;30,1,0))</formula>
    </cfRule>
    <cfRule type="expression" priority="4251" dxfId="1">
      <formula>AND(IF($Q133=3,1,0),IF($X133&lt;30,1,0))</formula>
    </cfRule>
    <cfRule type="expression" priority="4252" dxfId="0">
      <formula>AND(IF($Q133=3,1,IF($Q133=4,1,0)),IF($F133&lt;=85,1,0))</formula>
    </cfRule>
  </conditionalFormatting>
  <conditionalFormatting sqref="AV134">
    <cfRule type="expression" priority="4247" dxfId="23">
      <formula>AV134="X"</formula>
    </cfRule>
    <cfRule type="expression" priority="4248" dxfId="22">
      <formula>AV134="후보"</formula>
    </cfRule>
  </conditionalFormatting>
  <conditionalFormatting sqref="AC13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3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34">
    <cfRule type="expression" priority="4239" dxfId="3">
      <formula>AND(IF(OR($Q134=1,$Q134=2),1,0),IF($X134&lt;=20,1,0))</formula>
    </cfRule>
    <cfRule type="expression" priority="4240" dxfId="2">
      <formula>AND(IF($Q134=2,1,0),IF($X134&lt;30,1,0))</formula>
    </cfRule>
    <cfRule type="expression" priority="4241" dxfId="1">
      <formula>AND(IF($Q134=3,1,0),IF($X134&lt;30,1,0))</formula>
    </cfRule>
    <cfRule type="expression" priority="4242" dxfId="0">
      <formula>AND(IF($Q134=3,1,IF($Q134=4,1,0)),IF($F134&lt;=85,1,0))</formula>
    </cfRule>
  </conditionalFormatting>
  <conditionalFormatting sqref="X134">
    <cfRule type="expression" priority="4235" dxfId="3">
      <formula>AND(IF(OR($Q134=1,$Q134=2),1,0),IF($X134&lt;=20,1,0))</formula>
    </cfRule>
    <cfRule type="expression" priority="4236" dxfId="2">
      <formula>AND(IF($Q134=2,1,0),IF($X134&lt;30,1,0))</formula>
    </cfRule>
    <cfRule type="expression" priority="4237" dxfId="1">
      <formula>AND(IF($Q134=3,1,0),IF($X134&lt;30,1,0))</formula>
    </cfRule>
    <cfRule type="expression" priority="4238" dxfId="0">
      <formula>AND(IF($Q134=3,1,IF($Q134=4,1,0)),IF($F134&lt;=85,1,0))</formula>
    </cfRule>
  </conditionalFormatting>
  <conditionalFormatting sqref="AI134">
    <cfRule type="expression" priority="4231" dxfId="3">
      <formula>AND(IF(OR($Q134=1,$Q134=2),1,0),IF($X134&lt;=20,1,0))</formula>
    </cfRule>
    <cfRule type="expression" priority="4232" dxfId="2">
      <formula>AND(IF($Q134=2,1,0),IF($X134&lt;30,1,0))</formula>
    </cfRule>
    <cfRule type="expression" priority="4233" dxfId="1">
      <formula>AND(IF($Q134=3,1,0),IF($X134&lt;30,1,0))</formula>
    </cfRule>
    <cfRule type="expression" priority="4234" dxfId="0">
      <formula>AND(IF($Q134=3,1,IF($Q134=4,1,0)),IF($F134&lt;=85,1,0))</formula>
    </cfRule>
  </conditionalFormatting>
  <conditionalFormatting sqref="AV135">
    <cfRule type="expression" priority="4229" dxfId="23">
      <formula>AV135="X"</formula>
    </cfRule>
    <cfRule type="expression" priority="4230" dxfId="22">
      <formula>AV135="후보"</formula>
    </cfRule>
  </conditionalFormatting>
  <conditionalFormatting sqref="AC13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3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35">
    <cfRule type="expression" priority="4221" dxfId="3">
      <formula>AND(IF(OR($Q135=1,$Q135=2),1,0),IF($X135&lt;=20,1,0))</formula>
    </cfRule>
    <cfRule type="expression" priority="4222" dxfId="2">
      <formula>AND(IF($Q135=2,1,0),IF($X135&lt;30,1,0))</formula>
    </cfRule>
    <cfRule type="expression" priority="4223" dxfId="1">
      <formula>AND(IF($Q135=3,1,0),IF($X135&lt;30,1,0))</formula>
    </cfRule>
    <cfRule type="expression" priority="4224" dxfId="0">
      <formula>AND(IF($Q135=3,1,IF($Q135=4,1,0)),IF($F135&lt;=85,1,0))</formula>
    </cfRule>
  </conditionalFormatting>
  <conditionalFormatting sqref="X135">
    <cfRule type="expression" priority="4217" dxfId="3">
      <formula>AND(IF(OR($Q135=1,$Q135=2),1,0),IF($X135&lt;=20,1,0))</formula>
    </cfRule>
    <cfRule type="expression" priority="4218" dxfId="2">
      <formula>AND(IF($Q135=2,1,0),IF($X135&lt;30,1,0))</formula>
    </cfRule>
    <cfRule type="expression" priority="4219" dxfId="1">
      <formula>AND(IF($Q135=3,1,0),IF($X135&lt;30,1,0))</formula>
    </cfRule>
    <cfRule type="expression" priority="4220" dxfId="0">
      <formula>AND(IF($Q135=3,1,IF($Q135=4,1,0)),IF($F135&lt;=85,1,0))</formula>
    </cfRule>
  </conditionalFormatting>
  <conditionalFormatting sqref="AI135">
    <cfRule type="expression" priority="4213" dxfId="3">
      <formula>AND(IF(OR($Q135=1,$Q135=2),1,0),IF($X135&lt;=20,1,0))</formula>
    </cfRule>
    <cfRule type="expression" priority="4214" dxfId="2">
      <formula>AND(IF($Q135=2,1,0),IF($X135&lt;30,1,0))</formula>
    </cfRule>
    <cfRule type="expression" priority="4215" dxfId="1">
      <formula>AND(IF($Q135=3,1,0),IF($X135&lt;30,1,0))</formula>
    </cfRule>
    <cfRule type="expression" priority="4216" dxfId="0">
      <formula>AND(IF($Q135=3,1,IF($Q135=4,1,0)),IF($F135&lt;=85,1,0))</formula>
    </cfRule>
  </conditionalFormatting>
  <conditionalFormatting sqref="AV136">
    <cfRule type="expression" priority="4211" dxfId="23">
      <formula>AV136="X"</formula>
    </cfRule>
    <cfRule type="expression" priority="4212" dxfId="22">
      <formula>AV136="후보"</formula>
    </cfRule>
  </conditionalFormatting>
  <conditionalFormatting sqref="AC13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3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36">
    <cfRule type="expression" priority="4203" dxfId="3">
      <formula>AND(IF(OR($Q136=1,$Q136=2),1,0),IF($X136&lt;=20,1,0))</formula>
    </cfRule>
    <cfRule type="expression" priority="4204" dxfId="2">
      <formula>AND(IF($Q136=2,1,0),IF($X136&lt;30,1,0))</formula>
    </cfRule>
    <cfRule type="expression" priority="4205" dxfId="1">
      <formula>AND(IF($Q136=3,1,0),IF($X136&lt;30,1,0))</formula>
    </cfRule>
    <cfRule type="expression" priority="4206" dxfId="0">
      <formula>AND(IF($Q136=3,1,IF($Q136=4,1,0)),IF($F136&lt;=85,1,0))</formula>
    </cfRule>
  </conditionalFormatting>
  <conditionalFormatting sqref="X136">
    <cfRule type="expression" priority="4199" dxfId="3">
      <formula>AND(IF(OR($Q136=1,$Q136=2),1,0),IF($X136&lt;=20,1,0))</formula>
    </cfRule>
    <cfRule type="expression" priority="4200" dxfId="2">
      <formula>AND(IF($Q136=2,1,0),IF($X136&lt;30,1,0))</formula>
    </cfRule>
    <cfRule type="expression" priority="4201" dxfId="1">
      <formula>AND(IF($Q136=3,1,0),IF($X136&lt;30,1,0))</formula>
    </cfRule>
    <cfRule type="expression" priority="4202" dxfId="0">
      <formula>AND(IF($Q136=3,1,IF($Q136=4,1,0)),IF($F136&lt;=85,1,0))</formula>
    </cfRule>
  </conditionalFormatting>
  <conditionalFormatting sqref="AI136">
    <cfRule type="expression" priority="4195" dxfId="3">
      <formula>AND(IF(OR($Q136=1,$Q136=2),1,0),IF($X136&lt;=20,1,0))</formula>
    </cfRule>
    <cfRule type="expression" priority="4196" dxfId="2">
      <formula>AND(IF($Q136=2,1,0),IF($X136&lt;30,1,0))</formula>
    </cfRule>
    <cfRule type="expression" priority="4197" dxfId="1">
      <formula>AND(IF($Q136=3,1,0),IF($X136&lt;30,1,0))</formula>
    </cfRule>
    <cfRule type="expression" priority="4198" dxfId="0">
      <formula>AND(IF($Q136=3,1,IF($Q136=4,1,0)),IF($F136&lt;=85,1,0))</formula>
    </cfRule>
  </conditionalFormatting>
  <conditionalFormatting sqref="AV137">
    <cfRule type="expression" priority="4193" dxfId="23">
      <formula>AV137="X"</formula>
    </cfRule>
    <cfRule type="expression" priority="4194" dxfId="22">
      <formula>AV137="후보"</formula>
    </cfRule>
  </conditionalFormatting>
  <conditionalFormatting sqref="AC13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3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37">
    <cfRule type="expression" priority="4185" dxfId="3">
      <formula>AND(IF(OR($Q137=1,$Q137=2),1,0),IF($X137&lt;=20,1,0))</formula>
    </cfRule>
    <cfRule type="expression" priority="4186" dxfId="2">
      <formula>AND(IF($Q137=2,1,0),IF($X137&lt;30,1,0))</formula>
    </cfRule>
    <cfRule type="expression" priority="4187" dxfId="1">
      <formula>AND(IF($Q137=3,1,0),IF($X137&lt;30,1,0))</formula>
    </cfRule>
    <cfRule type="expression" priority="4188" dxfId="0">
      <formula>AND(IF($Q137=3,1,IF($Q137=4,1,0)),IF($F137&lt;=85,1,0))</formula>
    </cfRule>
  </conditionalFormatting>
  <conditionalFormatting sqref="X137">
    <cfRule type="expression" priority="4181" dxfId="3">
      <formula>AND(IF(OR($Q137=1,$Q137=2),1,0),IF($X137&lt;=20,1,0))</formula>
    </cfRule>
    <cfRule type="expression" priority="4182" dxfId="2">
      <formula>AND(IF($Q137=2,1,0),IF($X137&lt;30,1,0))</formula>
    </cfRule>
    <cfRule type="expression" priority="4183" dxfId="1">
      <formula>AND(IF($Q137=3,1,0),IF($X137&lt;30,1,0))</formula>
    </cfRule>
    <cfRule type="expression" priority="4184" dxfId="0">
      <formula>AND(IF($Q137=3,1,IF($Q137=4,1,0)),IF($F137&lt;=85,1,0))</formula>
    </cfRule>
  </conditionalFormatting>
  <conditionalFormatting sqref="AI137">
    <cfRule type="expression" priority="4177" dxfId="3">
      <formula>AND(IF(OR($Q137=1,$Q137=2),1,0),IF($X137&lt;=20,1,0))</formula>
    </cfRule>
    <cfRule type="expression" priority="4178" dxfId="2">
      <formula>AND(IF($Q137=2,1,0),IF($X137&lt;30,1,0))</formula>
    </cfRule>
    <cfRule type="expression" priority="4179" dxfId="1">
      <formula>AND(IF($Q137=3,1,0),IF($X137&lt;30,1,0))</formula>
    </cfRule>
    <cfRule type="expression" priority="4180" dxfId="0">
      <formula>AND(IF($Q137=3,1,IF($Q137=4,1,0)),IF($F137&lt;=85,1,0))</formula>
    </cfRule>
  </conditionalFormatting>
  <conditionalFormatting sqref="AV138">
    <cfRule type="expression" priority="4175" dxfId="23">
      <formula>AV138="X"</formula>
    </cfRule>
    <cfRule type="expression" priority="4176" dxfId="22">
      <formula>AV138="후보"</formula>
    </cfRule>
  </conditionalFormatting>
  <conditionalFormatting sqref="AC13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3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38">
    <cfRule type="expression" priority="4167" dxfId="3">
      <formula>AND(IF(OR($Q138=1,$Q138=2),1,0),IF($X138&lt;=20,1,0))</formula>
    </cfRule>
    <cfRule type="expression" priority="4168" dxfId="2">
      <formula>AND(IF($Q138=2,1,0),IF($X138&lt;30,1,0))</formula>
    </cfRule>
    <cfRule type="expression" priority="4169" dxfId="1">
      <formula>AND(IF($Q138=3,1,0),IF($X138&lt;30,1,0))</formula>
    </cfRule>
    <cfRule type="expression" priority="4170" dxfId="0">
      <formula>AND(IF($Q138=3,1,IF($Q138=4,1,0)),IF($F138&lt;=85,1,0))</formula>
    </cfRule>
  </conditionalFormatting>
  <conditionalFormatting sqref="X138">
    <cfRule type="expression" priority="4163" dxfId="3">
      <formula>AND(IF(OR($Q138=1,$Q138=2),1,0),IF($X138&lt;=20,1,0))</formula>
    </cfRule>
    <cfRule type="expression" priority="4164" dxfId="2">
      <formula>AND(IF($Q138=2,1,0),IF($X138&lt;30,1,0))</formula>
    </cfRule>
    <cfRule type="expression" priority="4165" dxfId="1">
      <formula>AND(IF($Q138=3,1,0),IF($X138&lt;30,1,0))</formula>
    </cfRule>
    <cfRule type="expression" priority="4166" dxfId="0">
      <formula>AND(IF($Q138=3,1,IF($Q138=4,1,0)),IF($F138&lt;=85,1,0))</formula>
    </cfRule>
  </conditionalFormatting>
  <conditionalFormatting sqref="AI138">
    <cfRule type="expression" priority="4159" dxfId="3">
      <formula>AND(IF(OR($Q138=1,$Q138=2),1,0),IF($X138&lt;=20,1,0))</formula>
    </cfRule>
    <cfRule type="expression" priority="4160" dxfId="2">
      <formula>AND(IF($Q138=2,1,0),IF($X138&lt;30,1,0))</formula>
    </cfRule>
    <cfRule type="expression" priority="4161" dxfId="1">
      <formula>AND(IF($Q138=3,1,0),IF($X138&lt;30,1,0))</formula>
    </cfRule>
    <cfRule type="expression" priority="4162" dxfId="0">
      <formula>AND(IF($Q138=3,1,IF($Q138=4,1,0)),IF($F138&lt;=85,1,0))</formula>
    </cfRule>
  </conditionalFormatting>
  <conditionalFormatting sqref="AV139">
    <cfRule type="expression" priority="4157" dxfId="23">
      <formula>AV139="X"</formula>
    </cfRule>
    <cfRule type="expression" priority="4158" dxfId="22">
      <formula>AV139="후보"</formula>
    </cfRule>
  </conditionalFormatting>
  <conditionalFormatting sqref="AC13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9">
    <cfRule type="expression" priority="4149" dxfId="3">
      <formula>AND(IF(OR($Q139=1,$Q139=2),1,0),IF($X139&lt;=20,1,0))</formula>
    </cfRule>
    <cfRule type="expression" priority="4150" dxfId="2">
      <formula>AND(IF($Q139=2,1,0),IF($X139&lt;30,1,0))</formula>
    </cfRule>
    <cfRule type="expression" priority="4151" dxfId="1">
      <formula>AND(IF($Q139=3,1,0),IF($X139&lt;30,1,0))</formula>
    </cfRule>
    <cfRule type="expression" priority="4152" dxfId="0">
      <formula>AND(IF($Q139=3,1,IF($Q139=4,1,0)),IF($F139&lt;=85,1,0))</formula>
    </cfRule>
  </conditionalFormatting>
  <conditionalFormatting sqref="X139">
    <cfRule type="expression" priority="4145" dxfId="3">
      <formula>AND(IF(OR($Q139=1,$Q139=2),1,0),IF($X139&lt;=20,1,0))</formula>
    </cfRule>
    <cfRule type="expression" priority="4146" dxfId="2">
      <formula>AND(IF($Q139=2,1,0),IF($X139&lt;30,1,0))</formula>
    </cfRule>
    <cfRule type="expression" priority="4147" dxfId="1">
      <formula>AND(IF($Q139=3,1,0),IF($X139&lt;30,1,0))</formula>
    </cfRule>
    <cfRule type="expression" priority="4148" dxfId="0">
      <formula>AND(IF($Q139=3,1,IF($Q139=4,1,0)),IF($F139&lt;=85,1,0))</formula>
    </cfRule>
  </conditionalFormatting>
  <conditionalFormatting sqref="AI139">
    <cfRule type="expression" priority="4141" dxfId="3">
      <formula>AND(IF(OR($Q139=1,$Q139=2),1,0),IF($X139&lt;=20,1,0))</formula>
    </cfRule>
    <cfRule type="expression" priority="4142" dxfId="2">
      <formula>AND(IF($Q139=2,1,0),IF($X139&lt;30,1,0))</formula>
    </cfRule>
    <cfRule type="expression" priority="4143" dxfId="1">
      <formula>AND(IF($Q139=3,1,0),IF($X139&lt;30,1,0))</formula>
    </cfRule>
    <cfRule type="expression" priority="4144" dxfId="0">
      <formula>AND(IF($Q139=3,1,IF($Q139=4,1,0)),IF($F139&lt;=85,1,0))</formula>
    </cfRule>
  </conditionalFormatting>
  <conditionalFormatting sqref="AV140">
    <cfRule type="expression" priority="4139" dxfId="23">
      <formula>AV140="X"</formula>
    </cfRule>
    <cfRule type="expression" priority="4140" dxfId="22">
      <formula>AV140="후보"</formula>
    </cfRule>
  </conditionalFormatting>
  <conditionalFormatting sqref="AC14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0">
    <cfRule type="expression" priority="4131" dxfId="3">
      <formula>AND(IF(OR($Q140=1,$Q140=2),1,0),IF($X140&lt;=20,1,0))</formula>
    </cfRule>
    <cfRule type="expression" priority="4132" dxfId="2">
      <formula>AND(IF($Q140=2,1,0),IF($X140&lt;30,1,0))</formula>
    </cfRule>
    <cfRule type="expression" priority="4133" dxfId="1">
      <formula>AND(IF($Q140=3,1,0),IF($X140&lt;30,1,0))</formula>
    </cfRule>
    <cfRule type="expression" priority="4134" dxfId="0">
      <formula>AND(IF($Q140=3,1,IF($Q140=4,1,0)),IF($F140&lt;=85,1,0))</formula>
    </cfRule>
  </conditionalFormatting>
  <conditionalFormatting sqref="X140">
    <cfRule type="expression" priority="4127" dxfId="3">
      <formula>AND(IF(OR($Q140=1,$Q140=2),1,0),IF($X140&lt;=20,1,0))</formula>
    </cfRule>
    <cfRule type="expression" priority="4128" dxfId="2">
      <formula>AND(IF($Q140=2,1,0),IF($X140&lt;30,1,0))</formula>
    </cfRule>
    <cfRule type="expression" priority="4129" dxfId="1">
      <formula>AND(IF($Q140=3,1,0),IF($X140&lt;30,1,0))</formula>
    </cfRule>
    <cfRule type="expression" priority="4130" dxfId="0">
      <formula>AND(IF($Q140=3,1,IF($Q140=4,1,0)),IF($F140&lt;=85,1,0))</formula>
    </cfRule>
  </conditionalFormatting>
  <conditionalFormatting sqref="AI140">
    <cfRule type="expression" priority="4123" dxfId="3">
      <formula>AND(IF(OR($Q140=1,$Q140=2),1,0),IF($X140&lt;=20,1,0))</formula>
    </cfRule>
    <cfRule type="expression" priority="4124" dxfId="2">
      <formula>AND(IF($Q140=2,1,0),IF($X140&lt;30,1,0))</formula>
    </cfRule>
    <cfRule type="expression" priority="4125" dxfId="1">
      <formula>AND(IF($Q140=3,1,0),IF($X140&lt;30,1,0))</formula>
    </cfRule>
    <cfRule type="expression" priority="4126" dxfId="0">
      <formula>AND(IF($Q140=3,1,IF($Q140=4,1,0)),IF($F140&lt;=85,1,0))</formula>
    </cfRule>
  </conditionalFormatting>
  <conditionalFormatting sqref="AV141">
    <cfRule type="expression" priority="4121" dxfId="23">
      <formula>AV141="X"</formula>
    </cfRule>
    <cfRule type="expression" priority="4122" dxfId="22">
      <formula>AV141="후보"</formula>
    </cfRule>
  </conditionalFormatting>
  <conditionalFormatting sqref="AC14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4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41">
    <cfRule type="expression" priority="4113" dxfId="3">
      <formula>AND(IF(OR($Q141=1,$Q141=2),1,0),IF($X141&lt;=20,1,0))</formula>
    </cfRule>
    <cfRule type="expression" priority="4114" dxfId="2">
      <formula>AND(IF($Q141=2,1,0),IF($X141&lt;30,1,0))</formula>
    </cfRule>
    <cfRule type="expression" priority="4115" dxfId="1">
      <formula>AND(IF($Q141=3,1,0),IF($X141&lt;30,1,0))</formula>
    </cfRule>
    <cfRule type="expression" priority="4116" dxfId="0">
      <formula>AND(IF($Q141=3,1,IF($Q141=4,1,0)),IF($F141&lt;=85,1,0))</formula>
    </cfRule>
  </conditionalFormatting>
  <conditionalFormatting sqref="X141">
    <cfRule type="expression" priority="4109" dxfId="3">
      <formula>AND(IF(OR($Q141=1,$Q141=2),1,0),IF($X141&lt;=20,1,0))</formula>
    </cfRule>
    <cfRule type="expression" priority="4110" dxfId="2">
      <formula>AND(IF($Q141=2,1,0),IF($X141&lt;30,1,0))</formula>
    </cfRule>
    <cfRule type="expression" priority="4111" dxfId="1">
      <formula>AND(IF($Q141=3,1,0),IF($X141&lt;30,1,0))</formula>
    </cfRule>
    <cfRule type="expression" priority="4112" dxfId="0">
      <formula>AND(IF($Q141=3,1,IF($Q141=4,1,0)),IF($F141&lt;=85,1,0))</formula>
    </cfRule>
  </conditionalFormatting>
  <conditionalFormatting sqref="AI141">
    <cfRule type="expression" priority="4105" dxfId="3">
      <formula>AND(IF(OR($Q141=1,$Q141=2),1,0),IF($X141&lt;=20,1,0))</formula>
    </cfRule>
    <cfRule type="expression" priority="4106" dxfId="2">
      <formula>AND(IF($Q141=2,1,0),IF($X141&lt;30,1,0))</formula>
    </cfRule>
    <cfRule type="expression" priority="4107" dxfId="1">
      <formula>AND(IF($Q141=3,1,0),IF($X141&lt;30,1,0))</formula>
    </cfRule>
    <cfRule type="expression" priority="4108" dxfId="0">
      <formula>AND(IF($Q141=3,1,IF($Q141=4,1,0)),IF($F141&lt;=85,1,0))</formula>
    </cfRule>
  </conditionalFormatting>
  <conditionalFormatting sqref="AV142">
    <cfRule type="expression" priority="4103" dxfId="23">
      <formula>AV142="X"</formula>
    </cfRule>
    <cfRule type="expression" priority="4104" dxfId="22">
      <formula>AV142="후보"</formula>
    </cfRule>
  </conditionalFormatting>
  <conditionalFormatting sqref="AC14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4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42">
    <cfRule type="expression" priority="4095" dxfId="3">
      <formula>AND(IF(OR($Q142=1,$Q142=2),1,0),IF($X142&lt;=20,1,0))</formula>
    </cfRule>
    <cfRule type="expression" priority="4096" dxfId="2">
      <formula>AND(IF($Q142=2,1,0),IF($X142&lt;30,1,0))</formula>
    </cfRule>
    <cfRule type="expression" priority="4097" dxfId="1">
      <formula>AND(IF($Q142=3,1,0),IF($X142&lt;30,1,0))</formula>
    </cfRule>
    <cfRule type="expression" priority="4098" dxfId="0">
      <formula>AND(IF($Q142=3,1,IF($Q142=4,1,0)),IF($F142&lt;=85,1,0))</formula>
    </cfRule>
  </conditionalFormatting>
  <conditionalFormatting sqref="X142">
    <cfRule type="expression" priority="4091" dxfId="3">
      <formula>AND(IF(OR($Q142=1,$Q142=2),1,0),IF($X142&lt;=20,1,0))</formula>
    </cfRule>
    <cfRule type="expression" priority="4092" dxfId="2">
      <formula>AND(IF($Q142=2,1,0),IF($X142&lt;30,1,0))</formula>
    </cfRule>
    <cfRule type="expression" priority="4093" dxfId="1">
      <formula>AND(IF($Q142=3,1,0),IF($X142&lt;30,1,0))</formula>
    </cfRule>
    <cfRule type="expression" priority="4094" dxfId="0">
      <formula>AND(IF($Q142=3,1,IF($Q142=4,1,0)),IF($F142&lt;=85,1,0))</formula>
    </cfRule>
  </conditionalFormatting>
  <conditionalFormatting sqref="AI142">
    <cfRule type="expression" priority="4087" dxfId="3">
      <formula>AND(IF(OR($Q142=1,$Q142=2),1,0),IF($X142&lt;=20,1,0))</formula>
    </cfRule>
    <cfRule type="expression" priority="4088" dxfId="2">
      <formula>AND(IF($Q142=2,1,0),IF($X142&lt;30,1,0))</formula>
    </cfRule>
    <cfRule type="expression" priority="4089" dxfId="1">
      <formula>AND(IF($Q142=3,1,0),IF($X142&lt;30,1,0))</formula>
    </cfRule>
    <cfRule type="expression" priority="4090" dxfId="0">
      <formula>AND(IF($Q142=3,1,IF($Q142=4,1,0)),IF($F142&lt;=85,1,0))</formula>
    </cfRule>
  </conditionalFormatting>
  <conditionalFormatting sqref="AV143">
    <cfRule type="expression" priority="4085" dxfId="23">
      <formula>AV143="X"</formula>
    </cfRule>
    <cfRule type="expression" priority="4086" dxfId="22">
      <formula>AV143="후보"</formula>
    </cfRule>
  </conditionalFormatting>
  <conditionalFormatting sqref="AC14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4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43">
    <cfRule type="expression" priority="4077" dxfId="3">
      <formula>AND(IF(OR($Q143=1,$Q143=2),1,0),IF($X143&lt;=20,1,0))</formula>
    </cfRule>
    <cfRule type="expression" priority="4078" dxfId="2">
      <formula>AND(IF($Q143=2,1,0),IF($X143&lt;30,1,0))</formula>
    </cfRule>
    <cfRule type="expression" priority="4079" dxfId="1">
      <formula>AND(IF($Q143=3,1,0),IF($X143&lt;30,1,0))</formula>
    </cfRule>
    <cfRule type="expression" priority="4080" dxfId="0">
      <formula>AND(IF($Q143=3,1,IF($Q143=4,1,0)),IF($F143&lt;=85,1,0))</formula>
    </cfRule>
  </conditionalFormatting>
  <conditionalFormatting sqref="X143">
    <cfRule type="expression" priority="4073" dxfId="3">
      <formula>AND(IF(OR($Q143=1,$Q143=2),1,0),IF($X143&lt;=20,1,0))</formula>
    </cfRule>
    <cfRule type="expression" priority="4074" dxfId="2">
      <formula>AND(IF($Q143=2,1,0),IF($X143&lt;30,1,0))</formula>
    </cfRule>
    <cfRule type="expression" priority="4075" dxfId="1">
      <formula>AND(IF($Q143=3,1,0),IF($X143&lt;30,1,0))</formula>
    </cfRule>
    <cfRule type="expression" priority="4076" dxfId="0">
      <formula>AND(IF($Q143=3,1,IF($Q143=4,1,0)),IF($F143&lt;=85,1,0))</formula>
    </cfRule>
  </conditionalFormatting>
  <conditionalFormatting sqref="AI143">
    <cfRule type="expression" priority="4069" dxfId="3">
      <formula>AND(IF(OR($Q143=1,$Q143=2),1,0),IF($X143&lt;=20,1,0))</formula>
    </cfRule>
    <cfRule type="expression" priority="4070" dxfId="2">
      <formula>AND(IF($Q143=2,1,0),IF($X143&lt;30,1,0))</formula>
    </cfRule>
    <cfRule type="expression" priority="4071" dxfId="1">
      <formula>AND(IF($Q143=3,1,0),IF($X143&lt;30,1,0))</formula>
    </cfRule>
    <cfRule type="expression" priority="4072" dxfId="0">
      <formula>AND(IF($Q143=3,1,IF($Q143=4,1,0)),IF($F143&lt;=85,1,0))</formula>
    </cfRule>
  </conditionalFormatting>
  <conditionalFormatting sqref="AV144">
    <cfRule type="expression" priority="4067" dxfId="23">
      <formula>AV144="X"</formula>
    </cfRule>
    <cfRule type="expression" priority="4068" dxfId="22">
      <formula>AV144="후보"</formula>
    </cfRule>
  </conditionalFormatting>
  <conditionalFormatting sqref="AC14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4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44">
    <cfRule type="expression" priority="4059" dxfId="3">
      <formula>AND(IF(OR($Q144=1,$Q144=2),1,0),IF($X144&lt;=20,1,0))</formula>
    </cfRule>
    <cfRule type="expression" priority="4060" dxfId="2">
      <formula>AND(IF($Q144=2,1,0),IF($X144&lt;30,1,0))</formula>
    </cfRule>
    <cfRule type="expression" priority="4061" dxfId="1">
      <formula>AND(IF($Q144=3,1,0),IF($X144&lt;30,1,0))</formula>
    </cfRule>
    <cfRule type="expression" priority="4062" dxfId="0">
      <formula>AND(IF($Q144=3,1,IF($Q144=4,1,0)),IF($F144&lt;=85,1,0))</formula>
    </cfRule>
  </conditionalFormatting>
  <conditionalFormatting sqref="X144">
    <cfRule type="expression" priority="4055" dxfId="3">
      <formula>AND(IF(OR($Q144=1,$Q144=2),1,0),IF($X144&lt;=20,1,0))</formula>
    </cfRule>
    <cfRule type="expression" priority="4056" dxfId="2">
      <formula>AND(IF($Q144=2,1,0),IF($X144&lt;30,1,0))</formula>
    </cfRule>
    <cfRule type="expression" priority="4057" dxfId="1">
      <formula>AND(IF($Q144=3,1,0),IF($X144&lt;30,1,0))</formula>
    </cfRule>
    <cfRule type="expression" priority="4058" dxfId="0">
      <formula>AND(IF($Q144=3,1,IF($Q144=4,1,0)),IF($F144&lt;=85,1,0))</formula>
    </cfRule>
  </conditionalFormatting>
  <conditionalFormatting sqref="AI144">
    <cfRule type="expression" priority="4051" dxfId="3">
      <formula>AND(IF(OR($Q144=1,$Q144=2),1,0),IF($X144&lt;=20,1,0))</formula>
    </cfRule>
    <cfRule type="expression" priority="4052" dxfId="2">
      <formula>AND(IF($Q144=2,1,0),IF($X144&lt;30,1,0))</formula>
    </cfRule>
    <cfRule type="expression" priority="4053" dxfId="1">
      <formula>AND(IF($Q144=3,1,0),IF($X144&lt;30,1,0))</formula>
    </cfRule>
    <cfRule type="expression" priority="4054" dxfId="0">
      <formula>AND(IF($Q144=3,1,IF($Q144=4,1,0)),IF($F144&lt;=85,1,0))</formula>
    </cfRule>
  </conditionalFormatting>
  <conditionalFormatting sqref="AV145">
    <cfRule type="expression" priority="4049" dxfId="23">
      <formula>AV145="X"</formula>
    </cfRule>
    <cfRule type="expression" priority="4050" dxfId="22">
      <formula>AV145="후보"</formula>
    </cfRule>
  </conditionalFormatting>
  <conditionalFormatting sqref="AC14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4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45">
    <cfRule type="expression" priority="4041" dxfId="3">
      <formula>AND(IF(OR($Q145=1,$Q145=2),1,0),IF($X145&lt;=20,1,0))</formula>
    </cfRule>
    <cfRule type="expression" priority="4042" dxfId="2">
      <formula>AND(IF($Q145=2,1,0),IF($X145&lt;30,1,0))</formula>
    </cfRule>
    <cfRule type="expression" priority="4043" dxfId="1">
      <formula>AND(IF($Q145=3,1,0),IF($X145&lt;30,1,0))</formula>
    </cfRule>
    <cfRule type="expression" priority="4044" dxfId="0">
      <formula>AND(IF($Q145=3,1,IF($Q145=4,1,0)),IF($F145&lt;=85,1,0))</formula>
    </cfRule>
  </conditionalFormatting>
  <conditionalFormatting sqref="X145">
    <cfRule type="expression" priority="4037" dxfId="3">
      <formula>AND(IF(OR($Q145=1,$Q145=2),1,0),IF($X145&lt;=20,1,0))</formula>
    </cfRule>
    <cfRule type="expression" priority="4038" dxfId="2">
      <formula>AND(IF($Q145=2,1,0),IF($X145&lt;30,1,0))</formula>
    </cfRule>
    <cfRule type="expression" priority="4039" dxfId="1">
      <formula>AND(IF($Q145=3,1,0),IF($X145&lt;30,1,0))</formula>
    </cfRule>
    <cfRule type="expression" priority="4040" dxfId="0">
      <formula>AND(IF($Q145=3,1,IF($Q145=4,1,0)),IF($F145&lt;=85,1,0))</formula>
    </cfRule>
  </conditionalFormatting>
  <conditionalFormatting sqref="AI145">
    <cfRule type="expression" priority="4033" dxfId="3">
      <formula>AND(IF(OR($Q145=1,$Q145=2),1,0),IF($X145&lt;=20,1,0))</formula>
    </cfRule>
    <cfRule type="expression" priority="4034" dxfId="2">
      <formula>AND(IF($Q145=2,1,0),IF($X145&lt;30,1,0))</formula>
    </cfRule>
    <cfRule type="expression" priority="4035" dxfId="1">
      <formula>AND(IF($Q145=3,1,0),IF($X145&lt;30,1,0))</formula>
    </cfRule>
    <cfRule type="expression" priority="4036" dxfId="0">
      <formula>AND(IF($Q145=3,1,IF($Q145=4,1,0)),IF($F145&lt;=85,1,0))</formula>
    </cfRule>
  </conditionalFormatting>
  <conditionalFormatting sqref="AV146">
    <cfRule type="expression" priority="4031" dxfId="23">
      <formula>AV146="X"</formula>
    </cfRule>
    <cfRule type="expression" priority="4032" dxfId="22">
      <formula>AV146="후보"</formula>
    </cfRule>
  </conditionalFormatting>
  <conditionalFormatting sqref="AC14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4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46">
    <cfRule type="expression" priority="4023" dxfId="3">
      <formula>AND(IF(OR($Q146=1,$Q146=2),1,0),IF($X146&lt;=20,1,0))</formula>
    </cfRule>
    <cfRule type="expression" priority="4024" dxfId="2">
      <formula>AND(IF($Q146=2,1,0),IF($X146&lt;30,1,0))</formula>
    </cfRule>
    <cfRule type="expression" priority="4025" dxfId="1">
      <formula>AND(IF($Q146=3,1,0),IF($X146&lt;30,1,0))</formula>
    </cfRule>
    <cfRule type="expression" priority="4026" dxfId="0">
      <formula>AND(IF($Q146=3,1,IF($Q146=4,1,0)),IF($F146&lt;=85,1,0))</formula>
    </cfRule>
  </conditionalFormatting>
  <conditionalFormatting sqref="X146">
    <cfRule type="expression" priority="4019" dxfId="3">
      <formula>AND(IF(OR($Q146=1,$Q146=2),1,0),IF($X146&lt;=20,1,0))</formula>
    </cfRule>
    <cfRule type="expression" priority="4020" dxfId="2">
      <formula>AND(IF($Q146=2,1,0),IF($X146&lt;30,1,0))</formula>
    </cfRule>
    <cfRule type="expression" priority="4021" dxfId="1">
      <formula>AND(IF($Q146=3,1,0),IF($X146&lt;30,1,0))</formula>
    </cfRule>
    <cfRule type="expression" priority="4022" dxfId="0">
      <formula>AND(IF($Q146=3,1,IF($Q146=4,1,0)),IF($F146&lt;=85,1,0))</formula>
    </cfRule>
  </conditionalFormatting>
  <conditionalFormatting sqref="AI146">
    <cfRule type="expression" priority="4015" dxfId="3">
      <formula>AND(IF(OR($Q146=1,$Q146=2),1,0),IF($X146&lt;=20,1,0))</formula>
    </cfRule>
    <cfRule type="expression" priority="4016" dxfId="2">
      <formula>AND(IF($Q146=2,1,0),IF($X146&lt;30,1,0))</formula>
    </cfRule>
    <cfRule type="expression" priority="4017" dxfId="1">
      <formula>AND(IF($Q146=3,1,0),IF($X146&lt;30,1,0))</formula>
    </cfRule>
    <cfRule type="expression" priority="4018" dxfId="0">
      <formula>AND(IF($Q146=3,1,IF($Q146=4,1,0)),IF($F146&lt;=85,1,0))</formula>
    </cfRule>
  </conditionalFormatting>
  <conditionalFormatting sqref="AV147">
    <cfRule type="expression" priority="4013" dxfId="23">
      <formula>AV147="X"</formula>
    </cfRule>
    <cfRule type="expression" priority="4014" dxfId="22">
      <formula>AV147="후보"</formula>
    </cfRule>
  </conditionalFormatting>
  <conditionalFormatting sqref="AC14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7">
    <cfRule type="expression" priority="4005" dxfId="3">
      <formula>AND(IF(OR($Q147=1,$Q147=2),1,0),IF($X147&lt;=20,1,0))</formula>
    </cfRule>
    <cfRule type="expression" priority="4006" dxfId="2">
      <formula>AND(IF($Q147=2,1,0),IF($X147&lt;30,1,0))</formula>
    </cfRule>
    <cfRule type="expression" priority="4007" dxfId="1">
      <formula>AND(IF($Q147=3,1,0),IF($X147&lt;30,1,0))</formula>
    </cfRule>
    <cfRule type="expression" priority="4008" dxfId="0">
      <formula>AND(IF($Q147=3,1,IF($Q147=4,1,0)),IF($F147&lt;=85,1,0))</formula>
    </cfRule>
  </conditionalFormatting>
  <conditionalFormatting sqref="X147">
    <cfRule type="expression" priority="4001" dxfId="3">
      <formula>AND(IF(OR($Q147=1,$Q147=2),1,0),IF($X147&lt;=20,1,0))</formula>
    </cfRule>
    <cfRule type="expression" priority="4002" dxfId="2">
      <formula>AND(IF($Q147=2,1,0),IF($X147&lt;30,1,0))</formula>
    </cfRule>
    <cfRule type="expression" priority="4003" dxfId="1">
      <formula>AND(IF($Q147=3,1,0),IF($X147&lt;30,1,0))</formula>
    </cfRule>
    <cfRule type="expression" priority="4004" dxfId="0">
      <formula>AND(IF($Q147=3,1,IF($Q147=4,1,0)),IF($F147&lt;=85,1,0))</formula>
    </cfRule>
  </conditionalFormatting>
  <conditionalFormatting sqref="AI147">
    <cfRule type="expression" priority="3997" dxfId="3">
      <formula>AND(IF(OR($Q147=1,$Q147=2),1,0),IF($X147&lt;=20,1,0))</formula>
    </cfRule>
    <cfRule type="expression" priority="3998" dxfId="2">
      <formula>AND(IF($Q147=2,1,0),IF($X147&lt;30,1,0))</formula>
    </cfRule>
    <cfRule type="expression" priority="3999" dxfId="1">
      <formula>AND(IF($Q147=3,1,0),IF($X147&lt;30,1,0))</formula>
    </cfRule>
    <cfRule type="expression" priority="4000" dxfId="0">
      <formula>AND(IF($Q147=3,1,IF($Q147=4,1,0)),IF($F147&lt;=85,1,0))</formula>
    </cfRule>
  </conditionalFormatting>
  <conditionalFormatting sqref="AV148">
    <cfRule type="expression" priority="3995" dxfId="23">
      <formula>AV148="X"</formula>
    </cfRule>
    <cfRule type="expression" priority="3996" dxfId="22">
      <formula>AV148="후보"</formula>
    </cfRule>
  </conditionalFormatting>
  <conditionalFormatting sqref="AC14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4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48">
    <cfRule type="expression" priority="3987" dxfId="3">
      <formula>AND(IF(OR($Q148=1,$Q148=2),1,0),IF($X148&lt;=20,1,0))</formula>
    </cfRule>
    <cfRule type="expression" priority="3988" dxfId="2">
      <formula>AND(IF($Q148=2,1,0),IF($X148&lt;30,1,0))</formula>
    </cfRule>
    <cfRule type="expression" priority="3989" dxfId="1">
      <formula>AND(IF($Q148=3,1,0),IF($X148&lt;30,1,0))</formula>
    </cfRule>
    <cfRule type="expression" priority="3990" dxfId="0">
      <formula>AND(IF($Q148=3,1,IF($Q148=4,1,0)),IF($F148&lt;=85,1,0))</formula>
    </cfRule>
  </conditionalFormatting>
  <conditionalFormatting sqref="X148">
    <cfRule type="expression" priority="3983" dxfId="3">
      <formula>AND(IF(OR($Q148=1,$Q148=2),1,0),IF($X148&lt;=20,1,0))</formula>
    </cfRule>
    <cfRule type="expression" priority="3984" dxfId="2">
      <formula>AND(IF($Q148=2,1,0),IF($X148&lt;30,1,0))</formula>
    </cfRule>
    <cfRule type="expression" priority="3985" dxfId="1">
      <formula>AND(IF($Q148=3,1,0),IF($X148&lt;30,1,0))</formula>
    </cfRule>
    <cfRule type="expression" priority="3986" dxfId="0">
      <formula>AND(IF($Q148=3,1,IF($Q148=4,1,0)),IF($F148&lt;=85,1,0))</formula>
    </cfRule>
  </conditionalFormatting>
  <conditionalFormatting sqref="AI148">
    <cfRule type="expression" priority="3979" dxfId="3">
      <formula>AND(IF(OR($Q148=1,$Q148=2),1,0),IF($X148&lt;=20,1,0))</formula>
    </cfRule>
    <cfRule type="expression" priority="3980" dxfId="2">
      <formula>AND(IF($Q148=2,1,0),IF($X148&lt;30,1,0))</formula>
    </cfRule>
    <cfRule type="expression" priority="3981" dxfId="1">
      <formula>AND(IF($Q148=3,1,0),IF($X148&lt;30,1,0))</formula>
    </cfRule>
    <cfRule type="expression" priority="3982" dxfId="0">
      <formula>AND(IF($Q148=3,1,IF($Q148=4,1,0)),IF($F148&lt;=85,1,0))</formula>
    </cfRule>
  </conditionalFormatting>
  <conditionalFormatting sqref="AV149">
    <cfRule type="expression" priority="3977" dxfId="23">
      <formula>AV149="X"</formula>
    </cfRule>
    <cfRule type="expression" priority="3978" dxfId="22">
      <formula>AV149="후보"</formula>
    </cfRule>
  </conditionalFormatting>
  <conditionalFormatting sqref="AC14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4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49">
    <cfRule type="expression" priority="3969" dxfId="3">
      <formula>AND(IF(OR($Q149=1,$Q149=2),1,0),IF($X149&lt;=20,1,0))</formula>
    </cfRule>
    <cfRule type="expression" priority="3970" dxfId="2">
      <formula>AND(IF($Q149=2,1,0),IF($X149&lt;30,1,0))</formula>
    </cfRule>
    <cfRule type="expression" priority="3971" dxfId="1">
      <formula>AND(IF($Q149=3,1,0),IF($X149&lt;30,1,0))</formula>
    </cfRule>
    <cfRule type="expression" priority="3972" dxfId="0">
      <formula>AND(IF($Q149=3,1,IF($Q149=4,1,0)),IF($F149&lt;=85,1,0))</formula>
    </cfRule>
  </conditionalFormatting>
  <conditionalFormatting sqref="X149">
    <cfRule type="expression" priority="3965" dxfId="3">
      <formula>AND(IF(OR($Q149=1,$Q149=2),1,0),IF($X149&lt;=20,1,0))</formula>
    </cfRule>
    <cfRule type="expression" priority="3966" dxfId="2">
      <formula>AND(IF($Q149=2,1,0),IF($X149&lt;30,1,0))</formula>
    </cfRule>
    <cfRule type="expression" priority="3967" dxfId="1">
      <formula>AND(IF($Q149=3,1,0),IF($X149&lt;30,1,0))</formula>
    </cfRule>
    <cfRule type="expression" priority="3968" dxfId="0">
      <formula>AND(IF($Q149=3,1,IF($Q149=4,1,0)),IF($F149&lt;=85,1,0))</formula>
    </cfRule>
  </conditionalFormatting>
  <conditionalFormatting sqref="AI149">
    <cfRule type="expression" priority="3961" dxfId="3">
      <formula>AND(IF(OR($Q149=1,$Q149=2),1,0),IF($X149&lt;=20,1,0))</formula>
    </cfRule>
    <cfRule type="expression" priority="3962" dxfId="2">
      <formula>AND(IF($Q149=2,1,0),IF($X149&lt;30,1,0))</formula>
    </cfRule>
    <cfRule type="expression" priority="3963" dxfId="1">
      <formula>AND(IF($Q149=3,1,0),IF($X149&lt;30,1,0))</formula>
    </cfRule>
    <cfRule type="expression" priority="3964" dxfId="0">
      <formula>AND(IF($Q149=3,1,IF($Q149=4,1,0)),IF($F149&lt;=85,1,0))</formula>
    </cfRule>
  </conditionalFormatting>
  <conditionalFormatting sqref="AV150">
    <cfRule type="expression" priority="3959" dxfId="23">
      <formula>AV150="X"</formula>
    </cfRule>
    <cfRule type="expression" priority="3960" dxfId="22">
      <formula>AV150="후보"</formula>
    </cfRule>
  </conditionalFormatting>
  <conditionalFormatting sqref="AC15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5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50">
    <cfRule type="expression" priority="3951" dxfId="3">
      <formula>AND(IF(OR($Q150=1,$Q150=2),1,0),IF($X150&lt;=20,1,0))</formula>
    </cfRule>
    <cfRule type="expression" priority="3952" dxfId="2">
      <formula>AND(IF($Q150=2,1,0),IF($X150&lt;30,1,0))</formula>
    </cfRule>
    <cfRule type="expression" priority="3953" dxfId="1">
      <formula>AND(IF($Q150=3,1,0),IF($X150&lt;30,1,0))</formula>
    </cfRule>
    <cfRule type="expression" priority="3954" dxfId="0">
      <formula>AND(IF($Q150=3,1,IF($Q150=4,1,0)),IF($F150&lt;=85,1,0))</formula>
    </cfRule>
  </conditionalFormatting>
  <conditionalFormatting sqref="X150">
    <cfRule type="expression" priority="3947" dxfId="3">
      <formula>AND(IF(OR($Q150=1,$Q150=2),1,0),IF($X150&lt;=20,1,0))</formula>
    </cfRule>
    <cfRule type="expression" priority="3948" dxfId="2">
      <formula>AND(IF($Q150=2,1,0),IF($X150&lt;30,1,0))</formula>
    </cfRule>
    <cfRule type="expression" priority="3949" dxfId="1">
      <formula>AND(IF($Q150=3,1,0),IF($X150&lt;30,1,0))</formula>
    </cfRule>
    <cfRule type="expression" priority="3950" dxfId="0">
      <formula>AND(IF($Q150=3,1,IF($Q150=4,1,0)),IF($F150&lt;=85,1,0))</formula>
    </cfRule>
  </conditionalFormatting>
  <conditionalFormatting sqref="AI150">
    <cfRule type="expression" priority="3943" dxfId="3">
      <formula>AND(IF(OR($Q150=1,$Q150=2),1,0),IF($X150&lt;=20,1,0))</formula>
    </cfRule>
    <cfRule type="expression" priority="3944" dxfId="2">
      <formula>AND(IF($Q150=2,1,0),IF($X150&lt;30,1,0))</formula>
    </cfRule>
    <cfRule type="expression" priority="3945" dxfId="1">
      <formula>AND(IF($Q150=3,1,0),IF($X150&lt;30,1,0))</formula>
    </cfRule>
    <cfRule type="expression" priority="3946" dxfId="0">
      <formula>AND(IF($Q150=3,1,IF($Q150=4,1,0)),IF($F150&lt;=85,1,0))</formula>
    </cfRule>
  </conditionalFormatting>
  <conditionalFormatting sqref="AV151">
    <cfRule type="expression" priority="3941" dxfId="23">
      <formula>AV151="X"</formula>
    </cfRule>
    <cfRule type="expression" priority="3942" dxfId="22">
      <formula>AV151="후보"</formula>
    </cfRule>
  </conditionalFormatting>
  <conditionalFormatting sqref="AC15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5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51">
    <cfRule type="expression" priority="3933" dxfId="3">
      <formula>AND(IF(OR($Q151=1,$Q151=2),1,0),IF($X151&lt;=20,1,0))</formula>
    </cfRule>
    <cfRule type="expression" priority="3934" dxfId="2">
      <formula>AND(IF($Q151=2,1,0),IF($X151&lt;30,1,0))</formula>
    </cfRule>
    <cfRule type="expression" priority="3935" dxfId="1">
      <formula>AND(IF($Q151=3,1,0),IF($X151&lt;30,1,0))</formula>
    </cfRule>
    <cfRule type="expression" priority="3936" dxfId="0">
      <formula>AND(IF($Q151=3,1,IF($Q151=4,1,0)),IF($F151&lt;=85,1,0))</formula>
    </cfRule>
  </conditionalFormatting>
  <conditionalFormatting sqref="X151">
    <cfRule type="expression" priority="3929" dxfId="3">
      <formula>AND(IF(OR($Q151=1,$Q151=2),1,0),IF($X151&lt;=20,1,0))</formula>
    </cfRule>
    <cfRule type="expression" priority="3930" dxfId="2">
      <formula>AND(IF($Q151=2,1,0),IF($X151&lt;30,1,0))</formula>
    </cfRule>
    <cfRule type="expression" priority="3931" dxfId="1">
      <formula>AND(IF($Q151=3,1,0),IF($X151&lt;30,1,0))</formula>
    </cfRule>
    <cfRule type="expression" priority="3932" dxfId="0">
      <formula>AND(IF($Q151=3,1,IF($Q151=4,1,0)),IF($F151&lt;=85,1,0))</formula>
    </cfRule>
  </conditionalFormatting>
  <conditionalFormatting sqref="AI151">
    <cfRule type="expression" priority="3925" dxfId="3">
      <formula>AND(IF(OR($Q151=1,$Q151=2),1,0),IF($X151&lt;=20,1,0))</formula>
    </cfRule>
    <cfRule type="expression" priority="3926" dxfId="2">
      <formula>AND(IF($Q151=2,1,0),IF($X151&lt;30,1,0))</formula>
    </cfRule>
    <cfRule type="expression" priority="3927" dxfId="1">
      <formula>AND(IF($Q151=3,1,0),IF($X151&lt;30,1,0))</formula>
    </cfRule>
    <cfRule type="expression" priority="3928" dxfId="0">
      <formula>AND(IF($Q151=3,1,IF($Q151=4,1,0)),IF($F151&lt;=85,1,0))</formula>
    </cfRule>
  </conditionalFormatting>
  <conditionalFormatting sqref="AV152">
    <cfRule type="expression" priority="3923" dxfId="23">
      <formula>AV152="X"</formula>
    </cfRule>
    <cfRule type="expression" priority="3924" dxfId="22">
      <formula>AV152="후보"</formula>
    </cfRule>
  </conditionalFormatting>
  <conditionalFormatting sqref="AC15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5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52">
    <cfRule type="expression" priority="3915" dxfId="3">
      <formula>AND(IF(OR($Q152=1,$Q152=2),1,0),IF($X152&lt;=20,1,0))</formula>
    </cfRule>
    <cfRule type="expression" priority="3916" dxfId="2">
      <formula>AND(IF($Q152=2,1,0),IF($X152&lt;30,1,0))</formula>
    </cfRule>
    <cfRule type="expression" priority="3917" dxfId="1">
      <formula>AND(IF($Q152=3,1,0),IF($X152&lt;30,1,0))</formula>
    </cfRule>
    <cfRule type="expression" priority="3918" dxfId="0">
      <formula>AND(IF($Q152=3,1,IF($Q152=4,1,0)),IF($F152&lt;=85,1,0))</formula>
    </cfRule>
  </conditionalFormatting>
  <conditionalFormatting sqref="X152">
    <cfRule type="expression" priority="3911" dxfId="3">
      <formula>AND(IF(OR($Q152=1,$Q152=2),1,0),IF($X152&lt;=20,1,0))</formula>
    </cfRule>
    <cfRule type="expression" priority="3912" dxfId="2">
      <formula>AND(IF($Q152=2,1,0),IF($X152&lt;30,1,0))</formula>
    </cfRule>
    <cfRule type="expression" priority="3913" dxfId="1">
      <formula>AND(IF($Q152=3,1,0),IF($X152&lt;30,1,0))</formula>
    </cfRule>
    <cfRule type="expression" priority="3914" dxfId="0">
      <formula>AND(IF($Q152=3,1,IF($Q152=4,1,0)),IF($F152&lt;=85,1,0))</formula>
    </cfRule>
  </conditionalFormatting>
  <conditionalFormatting sqref="AI152">
    <cfRule type="expression" priority="3907" dxfId="3">
      <formula>AND(IF(OR($Q152=1,$Q152=2),1,0),IF($X152&lt;=20,1,0))</formula>
    </cfRule>
    <cfRule type="expression" priority="3908" dxfId="2">
      <formula>AND(IF($Q152=2,1,0),IF($X152&lt;30,1,0))</formula>
    </cfRule>
    <cfRule type="expression" priority="3909" dxfId="1">
      <formula>AND(IF($Q152=3,1,0),IF($X152&lt;30,1,0))</formula>
    </cfRule>
    <cfRule type="expression" priority="3910" dxfId="0">
      <formula>AND(IF($Q152=3,1,IF($Q152=4,1,0)),IF($F152&lt;=85,1,0))</formula>
    </cfRule>
  </conditionalFormatting>
  <conditionalFormatting sqref="AV153">
    <cfRule type="expression" priority="3905" dxfId="23">
      <formula>AV153="X"</formula>
    </cfRule>
    <cfRule type="expression" priority="3906" dxfId="22">
      <formula>AV153="후보"</formula>
    </cfRule>
  </conditionalFormatting>
  <conditionalFormatting sqref="AC15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5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53">
    <cfRule type="expression" priority="3897" dxfId="3">
      <formula>AND(IF(OR($Q153=1,$Q153=2),1,0),IF($X153&lt;=20,1,0))</formula>
    </cfRule>
    <cfRule type="expression" priority="3898" dxfId="2">
      <formula>AND(IF($Q153=2,1,0),IF($X153&lt;30,1,0))</formula>
    </cfRule>
    <cfRule type="expression" priority="3899" dxfId="1">
      <formula>AND(IF($Q153=3,1,0),IF($X153&lt;30,1,0))</formula>
    </cfRule>
    <cfRule type="expression" priority="3900" dxfId="0">
      <formula>AND(IF($Q153=3,1,IF($Q153=4,1,0)),IF($F153&lt;=85,1,0))</formula>
    </cfRule>
  </conditionalFormatting>
  <conditionalFormatting sqref="X153">
    <cfRule type="expression" priority="3893" dxfId="3">
      <formula>AND(IF(OR($Q153=1,$Q153=2),1,0),IF($X153&lt;=20,1,0))</formula>
    </cfRule>
    <cfRule type="expression" priority="3894" dxfId="2">
      <formula>AND(IF($Q153=2,1,0),IF($X153&lt;30,1,0))</formula>
    </cfRule>
    <cfRule type="expression" priority="3895" dxfId="1">
      <formula>AND(IF($Q153=3,1,0),IF($X153&lt;30,1,0))</formula>
    </cfRule>
    <cfRule type="expression" priority="3896" dxfId="0">
      <formula>AND(IF($Q153=3,1,IF($Q153=4,1,0)),IF($F153&lt;=85,1,0))</formula>
    </cfRule>
  </conditionalFormatting>
  <conditionalFormatting sqref="AI153">
    <cfRule type="expression" priority="3889" dxfId="3">
      <formula>AND(IF(OR($Q153=1,$Q153=2),1,0),IF($X153&lt;=20,1,0))</formula>
    </cfRule>
    <cfRule type="expression" priority="3890" dxfId="2">
      <formula>AND(IF($Q153=2,1,0),IF($X153&lt;30,1,0))</formula>
    </cfRule>
    <cfRule type="expression" priority="3891" dxfId="1">
      <formula>AND(IF($Q153=3,1,0),IF($X153&lt;30,1,0))</formula>
    </cfRule>
    <cfRule type="expression" priority="3892" dxfId="0">
      <formula>AND(IF($Q153=3,1,IF($Q153=4,1,0)),IF($F153&lt;=85,1,0))</formula>
    </cfRule>
  </conditionalFormatting>
  <conditionalFormatting sqref="AV154">
    <cfRule type="expression" priority="3887" dxfId="23">
      <formula>AV154="X"</formula>
    </cfRule>
    <cfRule type="expression" priority="3888" dxfId="22">
      <formula>AV154="후보"</formula>
    </cfRule>
  </conditionalFormatting>
  <conditionalFormatting sqref="AC15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5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54">
    <cfRule type="expression" priority="3879" dxfId="3">
      <formula>AND(IF(OR($Q154=1,$Q154=2),1,0),IF($X154&lt;=20,1,0))</formula>
    </cfRule>
    <cfRule type="expression" priority="3880" dxfId="2">
      <formula>AND(IF($Q154=2,1,0),IF($X154&lt;30,1,0))</formula>
    </cfRule>
    <cfRule type="expression" priority="3881" dxfId="1">
      <formula>AND(IF($Q154=3,1,0),IF($X154&lt;30,1,0))</formula>
    </cfRule>
    <cfRule type="expression" priority="3882" dxfId="0">
      <formula>AND(IF($Q154=3,1,IF($Q154=4,1,0)),IF($F154&lt;=85,1,0))</formula>
    </cfRule>
  </conditionalFormatting>
  <conditionalFormatting sqref="X154">
    <cfRule type="expression" priority="3875" dxfId="3">
      <formula>AND(IF(OR($Q154=1,$Q154=2),1,0),IF($X154&lt;=20,1,0))</formula>
    </cfRule>
    <cfRule type="expression" priority="3876" dxfId="2">
      <formula>AND(IF($Q154=2,1,0),IF($X154&lt;30,1,0))</formula>
    </cfRule>
    <cfRule type="expression" priority="3877" dxfId="1">
      <formula>AND(IF($Q154=3,1,0),IF($X154&lt;30,1,0))</formula>
    </cfRule>
    <cfRule type="expression" priority="3878" dxfId="0">
      <formula>AND(IF($Q154=3,1,IF($Q154=4,1,0)),IF($F154&lt;=85,1,0))</formula>
    </cfRule>
  </conditionalFormatting>
  <conditionalFormatting sqref="AI154">
    <cfRule type="expression" priority="3871" dxfId="3">
      <formula>AND(IF(OR($Q154=1,$Q154=2),1,0),IF($X154&lt;=20,1,0))</formula>
    </cfRule>
    <cfRule type="expression" priority="3872" dxfId="2">
      <formula>AND(IF($Q154=2,1,0),IF($X154&lt;30,1,0))</formula>
    </cfRule>
    <cfRule type="expression" priority="3873" dxfId="1">
      <formula>AND(IF($Q154=3,1,0),IF($X154&lt;30,1,0))</formula>
    </cfRule>
    <cfRule type="expression" priority="3874" dxfId="0">
      <formula>AND(IF($Q154=3,1,IF($Q154=4,1,0)),IF($F154&lt;=85,1,0))</formula>
    </cfRule>
  </conditionalFormatting>
  <conditionalFormatting sqref="AV155">
    <cfRule type="expression" priority="3869" dxfId="23">
      <formula>AV155="X"</formula>
    </cfRule>
    <cfRule type="expression" priority="3870" dxfId="22">
      <formula>AV155="후보"</formula>
    </cfRule>
  </conditionalFormatting>
  <conditionalFormatting sqref="AC15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5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55">
    <cfRule type="expression" priority="3861" dxfId="3">
      <formula>AND(IF(OR($Q155=1,$Q155=2),1,0),IF($X155&lt;=20,1,0))</formula>
    </cfRule>
    <cfRule type="expression" priority="3862" dxfId="2">
      <formula>AND(IF($Q155=2,1,0),IF($X155&lt;30,1,0))</formula>
    </cfRule>
    <cfRule type="expression" priority="3863" dxfId="1">
      <formula>AND(IF($Q155=3,1,0),IF($X155&lt;30,1,0))</formula>
    </cfRule>
    <cfRule type="expression" priority="3864" dxfId="0">
      <formula>AND(IF($Q155=3,1,IF($Q155=4,1,0)),IF($F155&lt;=85,1,0))</formula>
    </cfRule>
  </conditionalFormatting>
  <conditionalFormatting sqref="X155">
    <cfRule type="expression" priority="3857" dxfId="3">
      <formula>AND(IF(OR($Q155=1,$Q155=2),1,0),IF($X155&lt;=20,1,0))</formula>
    </cfRule>
    <cfRule type="expression" priority="3858" dxfId="2">
      <formula>AND(IF($Q155=2,1,0),IF($X155&lt;30,1,0))</formula>
    </cfRule>
    <cfRule type="expression" priority="3859" dxfId="1">
      <formula>AND(IF($Q155=3,1,0),IF($X155&lt;30,1,0))</formula>
    </cfRule>
    <cfRule type="expression" priority="3860" dxfId="0">
      <formula>AND(IF($Q155=3,1,IF($Q155=4,1,0)),IF($F155&lt;=85,1,0))</formula>
    </cfRule>
  </conditionalFormatting>
  <conditionalFormatting sqref="AI155">
    <cfRule type="expression" priority="3853" dxfId="3">
      <formula>AND(IF(OR($Q155=1,$Q155=2),1,0),IF($X155&lt;=20,1,0))</formula>
    </cfRule>
    <cfRule type="expression" priority="3854" dxfId="2">
      <formula>AND(IF($Q155=2,1,0),IF($X155&lt;30,1,0))</formula>
    </cfRule>
    <cfRule type="expression" priority="3855" dxfId="1">
      <formula>AND(IF($Q155=3,1,0),IF($X155&lt;30,1,0))</formula>
    </cfRule>
    <cfRule type="expression" priority="3856" dxfId="0">
      <formula>AND(IF($Q155=3,1,IF($Q155=4,1,0)),IF($F155&lt;=85,1,0))</formula>
    </cfRule>
  </conditionalFormatting>
  <conditionalFormatting sqref="AV156">
    <cfRule type="expression" priority="3851" dxfId="23">
      <formula>AV156="X"</formula>
    </cfRule>
    <cfRule type="expression" priority="3852" dxfId="22">
      <formula>AV156="후보"</formula>
    </cfRule>
  </conditionalFormatting>
  <conditionalFormatting sqref="AC15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5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56">
    <cfRule type="expression" priority="3843" dxfId="3">
      <formula>AND(IF(OR($Q156=1,$Q156=2),1,0),IF($X156&lt;=20,1,0))</formula>
    </cfRule>
    <cfRule type="expression" priority="3844" dxfId="2">
      <formula>AND(IF($Q156=2,1,0),IF($X156&lt;30,1,0))</formula>
    </cfRule>
    <cfRule type="expression" priority="3845" dxfId="1">
      <formula>AND(IF($Q156=3,1,0),IF($X156&lt;30,1,0))</formula>
    </cfRule>
    <cfRule type="expression" priority="3846" dxfId="0">
      <formula>AND(IF($Q156=3,1,IF($Q156=4,1,0)),IF($F156&lt;=85,1,0))</formula>
    </cfRule>
  </conditionalFormatting>
  <conditionalFormatting sqref="X156">
    <cfRule type="expression" priority="3839" dxfId="3">
      <formula>AND(IF(OR($Q156=1,$Q156=2),1,0),IF($X156&lt;=20,1,0))</formula>
    </cfRule>
    <cfRule type="expression" priority="3840" dxfId="2">
      <formula>AND(IF($Q156=2,1,0),IF($X156&lt;30,1,0))</formula>
    </cfRule>
    <cfRule type="expression" priority="3841" dxfId="1">
      <formula>AND(IF($Q156=3,1,0),IF($X156&lt;30,1,0))</formula>
    </cfRule>
    <cfRule type="expression" priority="3842" dxfId="0">
      <formula>AND(IF($Q156=3,1,IF($Q156=4,1,0)),IF($F156&lt;=85,1,0))</formula>
    </cfRule>
  </conditionalFormatting>
  <conditionalFormatting sqref="AI156">
    <cfRule type="expression" priority="3835" dxfId="3">
      <formula>AND(IF(OR($Q156=1,$Q156=2),1,0),IF($X156&lt;=20,1,0))</formula>
    </cfRule>
    <cfRule type="expression" priority="3836" dxfId="2">
      <formula>AND(IF($Q156=2,1,0),IF($X156&lt;30,1,0))</formula>
    </cfRule>
    <cfRule type="expression" priority="3837" dxfId="1">
      <formula>AND(IF($Q156=3,1,0),IF($X156&lt;30,1,0))</formula>
    </cfRule>
    <cfRule type="expression" priority="3838" dxfId="0">
      <formula>AND(IF($Q156=3,1,IF($Q156=4,1,0)),IF($F156&lt;=85,1,0))</formula>
    </cfRule>
  </conditionalFormatting>
  <conditionalFormatting sqref="AV157">
    <cfRule type="expression" priority="3833" dxfId="23">
      <formula>AV157="X"</formula>
    </cfRule>
    <cfRule type="expression" priority="3834" dxfId="22">
      <formula>AV157="후보"</formula>
    </cfRule>
  </conditionalFormatting>
  <conditionalFormatting sqref="AC15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5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57">
    <cfRule type="expression" priority="3825" dxfId="3">
      <formula>AND(IF(OR($Q157=1,$Q157=2),1,0),IF($X157&lt;=20,1,0))</formula>
    </cfRule>
    <cfRule type="expression" priority="3826" dxfId="2">
      <formula>AND(IF($Q157=2,1,0),IF($X157&lt;30,1,0))</formula>
    </cfRule>
    <cfRule type="expression" priority="3827" dxfId="1">
      <formula>AND(IF($Q157=3,1,0),IF($X157&lt;30,1,0))</formula>
    </cfRule>
    <cfRule type="expression" priority="3828" dxfId="0">
      <formula>AND(IF($Q157=3,1,IF($Q157=4,1,0)),IF($F157&lt;=85,1,0))</formula>
    </cfRule>
  </conditionalFormatting>
  <conditionalFormatting sqref="X157">
    <cfRule type="expression" priority="3821" dxfId="3">
      <formula>AND(IF(OR($Q157=1,$Q157=2),1,0),IF($X157&lt;=20,1,0))</formula>
    </cfRule>
    <cfRule type="expression" priority="3822" dxfId="2">
      <formula>AND(IF($Q157=2,1,0),IF($X157&lt;30,1,0))</formula>
    </cfRule>
    <cfRule type="expression" priority="3823" dxfId="1">
      <formula>AND(IF($Q157=3,1,0),IF($X157&lt;30,1,0))</formula>
    </cfRule>
    <cfRule type="expression" priority="3824" dxfId="0">
      <formula>AND(IF($Q157=3,1,IF($Q157=4,1,0)),IF($F157&lt;=85,1,0))</formula>
    </cfRule>
  </conditionalFormatting>
  <conditionalFormatting sqref="AI157">
    <cfRule type="expression" priority="3817" dxfId="3">
      <formula>AND(IF(OR($Q157=1,$Q157=2),1,0),IF($X157&lt;=20,1,0))</formula>
    </cfRule>
    <cfRule type="expression" priority="3818" dxfId="2">
      <formula>AND(IF($Q157=2,1,0),IF($X157&lt;30,1,0))</formula>
    </cfRule>
    <cfRule type="expression" priority="3819" dxfId="1">
      <formula>AND(IF($Q157=3,1,0),IF($X157&lt;30,1,0))</formula>
    </cfRule>
    <cfRule type="expression" priority="3820" dxfId="0">
      <formula>AND(IF($Q157=3,1,IF($Q157=4,1,0)),IF($F157&lt;=85,1,0))</formula>
    </cfRule>
  </conditionalFormatting>
  <conditionalFormatting sqref="AV158">
    <cfRule type="expression" priority="3815" dxfId="23">
      <formula>AV158="X"</formula>
    </cfRule>
    <cfRule type="expression" priority="3816" dxfId="22">
      <formula>AV158="후보"</formula>
    </cfRule>
  </conditionalFormatting>
  <conditionalFormatting sqref="AC15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5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58">
    <cfRule type="expression" priority="3807" dxfId="3">
      <formula>AND(IF(OR($Q158=1,$Q158=2),1,0),IF($X158&lt;=20,1,0))</formula>
    </cfRule>
    <cfRule type="expression" priority="3808" dxfId="2">
      <formula>AND(IF($Q158=2,1,0),IF($X158&lt;30,1,0))</formula>
    </cfRule>
    <cfRule type="expression" priority="3809" dxfId="1">
      <formula>AND(IF($Q158=3,1,0),IF($X158&lt;30,1,0))</formula>
    </cfRule>
    <cfRule type="expression" priority="3810" dxfId="0">
      <formula>AND(IF($Q158=3,1,IF($Q158=4,1,0)),IF($F158&lt;=85,1,0))</formula>
    </cfRule>
  </conditionalFormatting>
  <conditionalFormatting sqref="X158">
    <cfRule type="expression" priority="3803" dxfId="3">
      <formula>AND(IF(OR($Q158=1,$Q158=2),1,0),IF($X158&lt;=20,1,0))</formula>
    </cfRule>
    <cfRule type="expression" priority="3804" dxfId="2">
      <formula>AND(IF($Q158=2,1,0),IF($X158&lt;30,1,0))</formula>
    </cfRule>
    <cfRule type="expression" priority="3805" dxfId="1">
      <formula>AND(IF($Q158=3,1,0),IF($X158&lt;30,1,0))</formula>
    </cfRule>
    <cfRule type="expression" priority="3806" dxfId="0">
      <formula>AND(IF($Q158=3,1,IF($Q158=4,1,0)),IF($F158&lt;=85,1,0))</formula>
    </cfRule>
  </conditionalFormatting>
  <conditionalFormatting sqref="AI158">
    <cfRule type="expression" priority="3799" dxfId="3">
      <formula>AND(IF(OR($Q158=1,$Q158=2),1,0),IF($X158&lt;=20,1,0))</formula>
    </cfRule>
    <cfRule type="expression" priority="3800" dxfId="2">
      <formula>AND(IF($Q158=2,1,0),IF($X158&lt;30,1,0))</formula>
    </cfRule>
    <cfRule type="expression" priority="3801" dxfId="1">
      <formula>AND(IF($Q158=3,1,0),IF($X158&lt;30,1,0))</formula>
    </cfRule>
    <cfRule type="expression" priority="3802" dxfId="0">
      <formula>AND(IF($Q158=3,1,IF($Q158=4,1,0)),IF($F158&lt;=85,1,0))</formula>
    </cfRule>
  </conditionalFormatting>
  <conditionalFormatting sqref="AV159">
    <cfRule type="expression" priority="3797" dxfId="23">
      <formula>AV159="X"</formula>
    </cfRule>
    <cfRule type="expression" priority="3798" dxfId="22">
      <formula>AV159="후보"</formula>
    </cfRule>
  </conditionalFormatting>
  <conditionalFormatting sqref="AC15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5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59">
    <cfRule type="expression" priority="3789" dxfId="3">
      <formula>AND(IF(OR($Q159=1,$Q159=2),1,0),IF($X159&lt;=20,1,0))</formula>
    </cfRule>
    <cfRule type="expression" priority="3790" dxfId="2">
      <formula>AND(IF($Q159=2,1,0),IF($X159&lt;30,1,0))</formula>
    </cfRule>
    <cfRule type="expression" priority="3791" dxfId="1">
      <formula>AND(IF($Q159=3,1,0),IF($X159&lt;30,1,0))</formula>
    </cfRule>
    <cfRule type="expression" priority="3792" dxfId="0">
      <formula>AND(IF($Q159=3,1,IF($Q159=4,1,0)),IF($F159&lt;=85,1,0))</formula>
    </cfRule>
  </conditionalFormatting>
  <conditionalFormatting sqref="X159">
    <cfRule type="expression" priority="3785" dxfId="3">
      <formula>AND(IF(OR($Q159=1,$Q159=2),1,0),IF($X159&lt;=20,1,0))</formula>
    </cfRule>
    <cfRule type="expression" priority="3786" dxfId="2">
      <formula>AND(IF($Q159=2,1,0),IF($X159&lt;30,1,0))</formula>
    </cfRule>
    <cfRule type="expression" priority="3787" dxfId="1">
      <formula>AND(IF($Q159=3,1,0),IF($X159&lt;30,1,0))</formula>
    </cfRule>
    <cfRule type="expression" priority="3788" dxfId="0">
      <formula>AND(IF($Q159=3,1,IF($Q159=4,1,0)),IF($F159&lt;=85,1,0))</formula>
    </cfRule>
  </conditionalFormatting>
  <conditionalFormatting sqref="AI159">
    <cfRule type="expression" priority="3781" dxfId="3">
      <formula>AND(IF(OR($Q159=1,$Q159=2),1,0),IF($X159&lt;=20,1,0))</formula>
    </cfRule>
    <cfRule type="expression" priority="3782" dxfId="2">
      <formula>AND(IF($Q159=2,1,0),IF($X159&lt;30,1,0))</formula>
    </cfRule>
    <cfRule type="expression" priority="3783" dxfId="1">
      <formula>AND(IF($Q159=3,1,0),IF($X159&lt;30,1,0))</formula>
    </cfRule>
    <cfRule type="expression" priority="3784" dxfId="0">
      <formula>AND(IF($Q159=3,1,IF($Q159=4,1,0)),IF($F159&lt;=85,1,0))</formula>
    </cfRule>
  </conditionalFormatting>
  <conditionalFormatting sqref="AV160">
    <cfRule type="expression" priority="3779" dxfId="23">
      <formula>AV160="X"</formula>
    </cfRule>
    <cfRule type="expression" priority="3780" dxfId="22">
      <formula>AV160="후보"</formula>
    </cfRule>
  </conditionalFormatting>
  <conditionalFormatting sqref="AC16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6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60">
    <cfRule type="expression" priority="3771" dxfId="3">
      <formula>AND(IF(OR($Q160=1,$Q160=2),1,0),IF($X160&lt;=20,1,0))</formula>
    </cfRule>
    <cfRule type="expression" priority="3772" dxfId="2">
      <formula>AND(IF($Q160=2,1,0),IF($X160&lt;30,1,0))</formula>
    </cfRule>
    <cfRule type="expression" priority="3773" dxfId="1">
      <formula>AND(IF($Q160=3,1,0),IF($X160&lt;30,1,0))</formula>
    </cfRule>
    <cfRule type="expression" priority="3774" dxfId="0">
      <formula>AND(IF($Q160=3,1,IF($Q160=4,1,0)),IF($F160&lt;=85,1,0))</formula>
    </cfRule>
  </conditionalFormatting>
  <conditionalFormatting sqref="X160">
    <cfRule type="expression" priority="3767" dxfId="3">
      <formula>AND(IF(OR($Q160=1,$Q160=2),1,0),IF($X160&lt;=20,1,0))</formula>
    </cfRule>
    <cfRule type="expression" priority="3768" dxfId="2">
      <formula>AND(IF($Q160=2,1,0),IF($X160&lt;30,1,0))</formula>
    </cfRule>
    <cfRule type="expression" priority="3769" dxfId="1">
      <formula>AND(IF($Q160=3,1,0),IF($X160&lt;30,1,0))</formula>
    </cfRule>
    <cfRule type="expression" priority="3770" dxfId="0">
      <formula>AND(IF($Q160=3,1,IF($Q160=4,1,0)),IF($F160&lt;=85,1,0))</formula>
    </cfRule>
  </conditionalFormatting>
  <conditionalFormatting sqref="AI160">
    <cfRule type="expression" priority="3763" dxfId="3">
      <formula>AND(IF(OR($Q160=1,$Q160=2),1,0),IF($X160&lt;=20,1,0))</formula>
    </cfRule>
    <cfRule type="expression" priority="3764" dxfId="2">
      <formula>AND(IF($Q160=2,1,0),IF($X160&lt;30,1,0))</formula>
    </cfRule>
    <cfRule type="expression" priority="3765" dxfId="1">
      <formula>AND(IF($Q160=3,1,0),IF($X160&lt;30,1,0))</formula>
    </cfRule>
    <cfRule type="expression" priority="3766" dxfId="0">
      <formula>AND(IF($Q160=3,1,IF($Q160=4,1,0)),IF($F160&lt;=85,1,0))</formula>
    </cfRule>
  </conditionalFormatting>
  <conditionalFormatting sqref="AV161">
    <cfRule type="expression" priority="3761" dxfId="23">
      <formula>AV161="X"</formula>
    </cfRule>
    <cfRule type="expression" priority="3762" dxfId="22">
      <formula>AV161="후보"</formula>
    </cfRule>
  </conditionalFormatting>
  <conditionalFormatting sqref="AC16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6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61">
    <cfRule type="expression" priority="3753" dxfId="3">
      <formula>AND(IF(OR($Q161=1,$Q161=2),1,0),IF($X161&lt;=20,1,0))</formula>
    </cfRule>
    <cfRule type="expression" priority="3754" dxfId="2">
      <formula>AND(IF($Q161=2,1,0),IF($X161&lt;30,1,0))</formula>
    </cfRule>
    <cfRule type="expression" priority="3755" dxfId="1">
      <formula>AND(IF($Q161=3,1,0),IF($X161&lt;30,1,0))</formula>
    </cfRule>
    <cfRule type="expression" priority="3756" dxfId="0">
      <formula>AND(IF($Q161=3,1,IF($Q161=4,1,0)),IF($F161&lt;=85,1,0))</formula>
    </cfRule>
  </conditionalFormatting>
  <conditionalFormatting sqref="X161">
    <cfRule type="expression" priority="3749" dxfId="3">
      <formula>AND(IF(OR($Q161=1,$Q161=2),1,0),IF($X161&lt;=20,1,0))</formula>
    </cfRule>
    <cfRule type="expression" priority="3750" dxfId="2">
      <formula>AND(IF($Q161=2,1,0),IF($X161&lt;30,1,0))</formula>
    </cfRule>
    <cfRule type="expression" priority="3751" dxfId="1">
      <formula>AND(IF($Q161=3,1,0),IF($X161&lt;30,1,0))</formula>
    </cfRule>
    <cfRule type="expression" priority="3752" dxfId="0">
      <formula>AND(IF($Q161=3,1,IF($Q161=4,1,0)),IF($F161&lt;=85,1,0))</formula>
    </cfRule>
  </conditionalFormatting>
  <conditionalFormatting sqref="AI161">
    <cfRule type="expression" priority="3745" dxfId="3">
      <formula>AND(IF(OR($Q161=1,$Q161=2),1,0),IF($X161&lt;=20,1,0))</formula>
    </cfRule>
    <cfRule type="expression" priority="3746" dxfId="2">
      <formula>AND(IF($Q161=2,1,0),IF($X161&lt;30,1,0))</formula>
    </cfRule>
    <cfRule type="expression" priority="3747" dxfId="1">
      <formula>AND(IF($Q161=3,1,0),IF($X161&lt;30,1,0))</formula>
    </cfRule>
    <cfRule type="expression" priority="3748" dxfId="0">
      <formula>AND(IF($Q161=3,1,IF($Q161=4,1,0)),IF($F161&lt;=85,1,0))</formula>
    </cfRule>
  </conditionalFormatting>
  <conditionalFormatting sqref="AV162">
    <cfRule type="expression" priority="3743" dxfId="23">
      <formula>AV162="X"</formula>
    </cfRule>
    <cfRule type="expression" priority="3744" dxfId="22">
      <formula>AV162="후보"</formula>
    </cfRule>
  </conditionalFormatting>
  <conditionalFormatting sqref="AC16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6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62">
    <cfRule type="expression" priority="3735" dxfId="3">
      <formula>AND(IF(OR($Q162=1,$Q162=2),1,0),IF($X162&lt;=20,1,0))</formula>
    </cfRule>
    <cfRule type="expression" priority="3736" dxfId="2">
      <formula>AND(IF($Q162=2,1,0),IF($X162&lt;30,1,0))</formula>
    </cfRule>
    <cfRule type="expression" priority="3737" dxfId="1">
      <formula>AND(IF($Q162=3,1,0),IF($X162&lt;30,1,0))</formula>
    </cfRule>
    <cfRule type="expression" priority="3738" dxfId="0">
      <formula>AND(IF($Q162=3,1,IF($Q162=4,1,0)),IF($F162&lt;=85,1,0))</formula>
    </cfRule>
  </conditionalFormatting>
  <conditionalFormatting sqref="X162">
    <cfRule type="expression" priority="3731" dxfId="3">
      <formula>AND(IF(OR($Q162=1,$Q162=2),1,0),IF($X162&lt;=20,1,0))</formula>
    </cfRule>
    <cfRule type="expression" priority="3732" dxfId="2">
      <formula>AND(IF($Q162=2,1,0),IF($X162&lt;30,1,0))</formula>
    </cfRule>
    <cfRule type="expression" priority="3733" dxfId="1">
      <formula>AND(IF($Q162=3,1,0),IF($X162&lt;30,1,0))</formula>
    </cfRule>
    <cfRule type="expression" priority="3734" dxfId="0">
      <formula>AND(IF($Q162=3,1,IF($Q162=4,1,0)),IF($F162&lt;=85,1,0))</formula>
    </cfRule>
  </conditionalFormatting>
  <conditionalFormatting sqref="AI162">
    <cfRule type="expression" priority="3727" dxfId="3">
      <formula>AND(IF(OR($Q162=1,$Q162=2),1,0),IF($X162&lt;=20,1,0))</formula>
    </cfRule>
    <cfRule type="expression" priority="3728" dxfId="2">
      <formula>AND(IF($Q162=2,1,0),IF($X162&lt;30,1,0))</formula>
    </cfRule>
    <cfRule type="expression" priority="3729" dxfId="1">
      <formula>AND(IF($Q162=3,1,0),IF($X162&lt;30,1,0))</formula>
    </cfRule>
    <cfRule type="expression" priority="3730" dxfId="0">
      <formula>AND(IF($Q162=3,1,IF($Q162=4,1,0)),IF($F162&lt;=85,1,0))</formula>
    </cfRule>
  </conditionalFormatting>
  <conditionalFormatting sqref="AV163">
    <cfRule type="expression" priority="3725" dxfId="23">
      <formula>AV163="X"</formula>
    </cfRule>
    <cfRule type="expression" priority="3726" dxfId="22">
      <formula>AV163="후보"</formula>
    </cfRule>
  </conditionalFormatting>
  <conditionalFormatting sqref="AC16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6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63">
    <cfRule type="expression" priority="3717" dxfId="3">
      <formula>AND(IF(OR($Q163=1,$Q163=2),1,0),IF($X163&lt;=20,1,0))</formula>
    </cfRule>
    <cfRule type="expression" priority="3718" dxfId="2">
      <formula>AND(IF($Q163=2,1,0),IF($X163&lt;30,1,0))</formula>
    </cfRule>
    <cfRule type="expression" priority="3719" dxfId="1">
      <formula>AND(IF($Q163=3,1,0),IF($X163&lt;30,1,0))</formula>
    </cfRule>
    <cfRule type="expression" priority="3720" dxfId="0">
      <formula>AND(IF($Q163=3,1,IF($Q163=4,1,0)),IF($F163&lt;=85,1,0))</formula>
    </cfRule>
  </conditionalFormatting>
  <conditionalFormatting sqref="X163">
    <cfRule type="expression" priority="3713" dxfId="3">
      <formula>AND(IF(OR($Q163=1,$Q163=2),1,0),IF($X163&lt;=20,1,0))</formula>
    </cfRule>
    <cfRule type="expression" priority="3714" dxfId="2">
      <formula>AND(IF($Q163=2,1,0),IF($X163&lt;30,1,0))</formula>
    </cfRule>
    <cfRule type="expression" priority="3715" dxfId="1">
      <formula>AND(IF($Q163=3,1,0),IF($X163&lt;30,1,0))</formula>
    </cfRule>
    <cfRule type="expression" priority="3716" dxfId="0">
      <formula>AND(IF($Q163=3,1,IF($Q163=4,1,0)),IF($F163&lt;=85,1,0))</formula>
    </cfRule>
  </conditionalFormatting>
  <conditionalFormatting sqref="AI163">
    <cfRule type="expression" priority="3709" dxfId="3">
      <formula>AND(IF(OR($Q163=1,$Q163=2),1,0),IF($X163&lt;=20,1,0))</formula>
    </cfRule>
    <cfRule type="expression" priority="3710" dxfId="2">
      <formula>AND(IF($Q163=2,1,0),IF($X163&lt;30,1,0))</formula>
    </cfRule>
    <cfRule type="expression" priority="3711" dxfId="1">
      <formula>AND(IF($Q163=3,1,0),IF($X163&lt;30,1,0))</formula>
    </cfRule>
    <cfRule type="expression" priority="3712" dxfId="0">
      <formula>AND(IF($Q163=3,1,IF($Q163=4,1,0)),IF($F163&lt;=85,1,0))</formula>
    </cfRule>
  </conditionalFormatting>
  <conditionalFormatting sqref="AV164">
    <cfRule type="expression" priority="3707" dxfId="23">
      <formula>AV164="X"</formula>
    </cfRule>
    <cfRule type="expression" priority="3708" dxfId="22">
      <formula>AV164="후보"</formula>
    </cfRule>
  </conditionalFormatting>
  <conditionalFormatting sqref="AC16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4">
    <cfRule type="expression" priority="3699" dxfId="3">
      <formula>AND(IF(OR($Q164=1,$Q164=2),1,0),IF($X164&lt;=20,1,0))</formula>
    </cfRule>
    <cfRule type="expression" priority="3700" dxfId="2">
      <formula>AND(IF($Q164=2,1,0),IF($X164&lt;30,1,0))</formula>
    </cfRule>
    <cfRule type="expression" priority="3701" dxfId="1">
      <formula>AND(IF($Q164=3,1,0),IF($X164&lt;30,1,0))</formula>
    </cfRule>
    <cfRule type="expression" priority="3702" dxfId="0">
      <formula>AND(IF($Q164=3,1,IF($Q164=4,1,0)),IF($F164&lt;=85,1,0))</formula>
    </cfRule>
  </conditionalFormatting>
  <conditionalFormatting sqref="X164">
    <cfRule type="expression" priority="3695" dxfId="3">
      <formula>AND(IF(OR($Q164=1,$Q164=2),1,0),IF($X164&lt;=20,1,0))</formula>
    </cfRule>
    <cfRule type="expression" priority="3696" dxfId="2">
      <formula>AND(IF($Q164=2,1,0),IF($X164&lt;30,1,0))</formula>
    </cfRule>
    <cfRule type="expression" priority="3697" dxfId="1">
      <formula>AND(IF($Q164=3,1,0),IF($X164&lt;30,1,0))</formula>
    </cfRule>
    <cfRule type="expression" priority="3698" dxfId="0">
      <formula>AND(IF($Q164=3,1,IF($Q164=4,1,0)),IF($F164&lt;=85,1,0))</formula>
    </cfRule>
  </conditionalFormatting>
  <conditionalFormatting sqref="AI164">
    <cfRule type="expression" priority="3691" dxfId="3">
      <formula>AND(IF(OR($Q164=1,$Q164=2),1,0),IF($X164&lt;=20,1,0))</formula>
    </cfRule>
    <cfRule type="expression" priority="3692" dxfId="2">
      <formula>AND(IF($Q164=2,1,0),IF($X164&lt;30,1,0))</formula>
    </cfRule>
    <cfRule type="expression" priority="3693" dxfId="1">
      <formula>AND(IF($Q164=3,1,0),IF($X164&lt;30,1,0))</formula>
    </cfRule>
    <cfRule type="expression" priority="3694" dxfId="0">
      <formula>AND(IF($Q164=3,1,IF($Q164=4,1,0)),IF($F164&lt;=85,1,0))</formula>
    </cfRule>
  </conditionalFormatting>
  <conditionalFormatting sqref="AV165">
    <cfRule type="expression" priority="3689" dxfId="23">
      <formula>AV165="X"</formula>
    </cfRule>
    <cfRule type="expression" priority="3690" dxfId="22">
      <formula>AV165="후보"</formula>
    </cfRule>
  </conditionalFormatting>
  <conditionalFormatting sqref="AC16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6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65">
    <cfRule type="expression" priority="3681" dxfId="3">
      <formula>AND(IF(OR($Q165=1,$Q165=2),1,0),IF($X165&lt;=20,1,0))</formula>
    </cfRule>
    <cfRule type="expression" priority="3682" dxfId="2">
      <formula>AND(IF($Q165=2,1,0),IF($X165&lt;30,1,0))</formula>
    </cfRule>
    <cfRule type="expression" priority="3683" dxfId="1">
      <formula>AND(IF($Q165=3,1,0),IF($X165&lt;30,1,0))</formula>
    </cfRule>
    <cfRule type="expression" priority="3684" dxfId="0">
      <formula>AND(IF($Q165=3,1,IF($Q165=4,1,0)),IF($F165&lt;=85,1,0))</formula>
    </cfRule>
  </conditionalFormatting>
  <conditionalFormatting sqref="X165">
    <cfRule type="expression" priority="3677" dxfId="3">
      <formula>AND(IF(OR($Q165=1,$Q165=2),1,0),IF($X165&lt;=20,1,0))</formula>
    </cfRule>
    <cfRule type="expression" priority="3678" dxfId="2">
      <formula>AND(IF($Q165=2,1,0),IF($X165&lt;30,1,0))</formula>
    </cfRule>
    <cfRule type="expression" priority="3679" dxfId="1">
      <formula>AND(IF($Q165=3,1,0),IF($X165&lt;30,1,0))</formula>
    </cfRule>
    <cfRule type="expression" priority="3680" dxfId="0">
      <formula>AND(IF($Q165=3,1,IF($Q165=4,1,0)),IF($F165&lt;=85,1,0))</formula>
    </cfRule>
  </conditionalFormatting>
  <conditionalFormatting sqref="AI165">
    <cfRule type="expression" priority="3673" dxfId="3">
      <formula>AND(IF(OR($Q165=1,$Q165=2),1,0),IF($X165&lt;=20,1,0))</formula>
    </cfRule>
    <cfRule type="expression" priority="3674" dxfId="2">
      <formula>AND(IF($Q165=2,1,0),IF($X165&lt;30,1,0))</formula>
    </cfRule>
    <cfRule type="expression" priority="3675" dxfId="1">
      <formula>AND(IF($Q165=3,1,0),IF($X165&lt;30,1,0))</formula>
    </cfRule>
    <cfRule type="expression" priority="3676" dxfId="0">
      <formula>AND(IF($Q165=3,1,IF($Q165=4,1,0)),IF($F165&lt;=85,1,0))</formula>
    </cfRule>
  </conditionalFormatting>
  <conditionalFormatting sqref="AV166">
    <cfRule type="expression" priority="3671" dxfId="23">
      <formula>AV166="X"</formula>
    </cfRule>
    <cfRule type="expression" priority="3672" dxfId="22">
      <formula>AV166="후보"</formula>
    </cfRule>
  </conditionalFormatting>
  <conditionalFormatting sqref="AC16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6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66">
    <cfRule type="expression" priority="3663" dxfId="3">
      <formula>AND(IF(OR($Q166=1,$Q166=2),1,0),IF($X166&lt;=20,1,0))</formula>
    </cfRule>
    <cfRule type="expression" priority="3664" dxfId="2">
      <formula>AND(IF($Q166=2,1,0),IF($X166&lt;30,1,0))</formula>
    </cfRule>
    <cfRule type="expression" priority="3665" dxfId="1">
      <formula>AND(IF($Q166=3,1,0),IF($X166&lt;30,1,0))</formula>
    </cfRule>
    <cfRule type="expression" priority="3666" dxfId="0">
      <formula>AND(IF($Q166=3,1,IF($Q166=4,1,0)),IF($F166&lt;=85,1,0))</formula>
    </cfRule>
  </conditionalFormatting>
  <conditionalFormatting sqref="X166">
    <cfRule type="expression" priority="3659" dxfId="3">
      <formula>AND(IF(OR($Q166=1,$Q166=2),1,0),IF($X166&lt;=20,1,0))</formula>
    </cfRule>
    <cfRule type="expression" priority="3660" dxfId="2">
      <formula>AND(IF($Q166=2,1,0),IF($X166&lt;30,1,0))</formula>
    </cfRule>
    <cfRule type="expression" priority="3661" dxfId="1">
      <formula>AND(IF($Q166=3,1,0),IF($X166&lt;30,1,0))</formula>
    </cfRule>
    <cfRule type="expression" priority="3662" dxfId="0">
      <formula>AND(IF($Q166=3,1,IF($Q166=4,1,0)),IF($F166&lt;=85,1,0))</formula>
    </cfRule>
  </conditionalFormatting>
  <conditionalFormatting sqref="AI166">
    <cfRule type="expression" priority="3655" dxfId="3">
      <formula>AND(IF(OR($Q166=1,$Q166=2),1,0),IF($X166&lt;=20,1,0))</formula>
    </cfRule>
    <cfRule type="expression" priority="3656" dxfId="2">
      <formula>AND(IF($Q166=2,1,0),IF($X166&lt;30,1,0))</formula>
    </cfRule>
    <cfRule type="expression" priority="3657" dxfId="1">
      <formula>AND(IF($Q166=3,1,0),IF($X166&lt;30,1,0))</formula>
    </cfRule>
    <cfRule type="expression" priority="3658" dxfId="0">
      <formula>AND(IF($Q166=3,1,IF($Q166=4,1,0)),IF($F166&lt;=85,1,0))</formula>
    </cfRule>
  </conditionalFormatting>
  <conditionalFormatting sqref="AV167">
    <cfRule type="expression" priority="3653" dxfId="23">
      <formula>AV167="X"</formula>
    </cfRule>
    <cfRule type="expression" priority="3654" dxfId="22">
      <formula>AV167="후보"</formula>
    </cfRule>
  </conditionalFormatting>
  <conditionalFormatting sqref="AC16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6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67">
    <cfRule type="expression" priority="3645" dxfId="3">
      <formula>AND(IF(OR($Q167=1,$Q167=2),1,0),IF($X167&lt;=20,1,0))</formula>
    </cfRule>
    <cfRule type="expression" priority="3646" dxfId="2">
      <formula>AND(IF($Q167=2,1,0),IF($X167&lt;30,1,0))</formula>
    </cfRule>
    <cfRule type="expression" priority="3647" dxfId="1">
      <formula>AND(IF($Q167=3,1,0),IF($X167&lt;30,1,0))</formula>
    </cfRule>
    <cfRule type="expression" priority="3648" dxfId="0">
      <formula>AND(IF($Q167=3,1,IF($Q167=4,1,0)),IF($F167&lt;=85,1,0))</formula>
    </cfRule>
  </conditionalFormatting>
  <conditionalFormatting sqref="X167">
    <cfRule type="expression" priority="3641" dxfId="3">
      <formula>AND(IF(OR($Q167=1,$Q167=2),1,0),IF($X167&lt;=20,1,0))</formula>
    </cfRule>
    <cfRule type="expression" priority="3642" dxfId="2">
      <formula>AND(IF($Q167=2,1,0),IF($X167&lt;30,1,0))</formula>
    </cfRule>
    <cfRule type="expression" priority="3643" dxfId="1">
      <formula>AND(IF($Q167=3,1,0),IF($X167&lt;30,1,0))</formula>
    </cfRule>
    <cfRule type="expression" priority="3644" dxfId="0">
      <formula>AND(IF($Q167=3,1,IF($Q167=4,1,0)),IF($F167&lt;=85,1,0))</formula>
    </cfRule>
  </conditionalFormatting>
  <conditionalFormatting sqref="AI167">
    <cfRule type="expression" priority="3637" dxfId="3">
      <formula>AND(IF(OR($Q167=1,$Q167=2),1,0),IF($X167&lt;=20,1,0))</formula>
    </cfRule>
    <cfRule type="expression" priority="3638" dxfId="2">
      <formula>AND(IF($Q167=2,1,0),IF($X167&lt;30,1,0))</formula>
    </cfRule>
    <cfRule type="expression" priority="3639" dxfId="1">
      <formula>AND(IF($Q167=3,1,0),IF($X167&lt;30,1,0))</formula>
    </cfRule>
    <cfRule type="expression" priority="3640" dxfId="0">
      <formula>AND(IF($Q167=3,1,IF($Q167=4,1,0)),IF($F167&lt;=85,1,0))</formula>
    </cfRule>
  </conditionalFormatting>
  <conditionalFormatting sqref="AV168">
    <cfRule type="expression" priority="3635" dxfId="23">
      <formula>AV168="X"</formula>
    </cfRule>
    <cfRule type="expression" priority="3636" dxfId="22">
      <formula>AV168="후보"</formula>
    </cfRule>
  </conditionalFormatting>
  <conditionalFormatting sqref="AC16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6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68">
    <cfRule type="expression" priority="3627" dxfId="3">
      <formula>AND(IF(OR($Q168=1,$Q168=2),1,0),IF($X168&lt;=20,1,0))</formula>
    </cfRule>
    <cfRule type="expression" priority="3628" dxfId="2">
      <formula>AND(IF($Q168=2,1,0),IF($X168&lt;30,1,0))</formula>
    </cfRule>
    <cfRule type="expression" priority="3629" dxfId="1">
      <formula>AND(IF($Q168=3,1,0),IF($X168&lt;30,1,0))</formula>
    </cfRule>
    <cfRule type="expression" priority="3630" dxfId="0">
      <formula>AND(IF($Q168=3,1,IF($Q168=4,1,0)),IF($F168&lt;=85,1,0))</formula>
    </cfRule>
  </conditionalFormatting>
  <conditionalFormatting sqref="X168">
    <cfRule type="expression" priority="3623" dxfId="3">
      <formula>AND(IF(OR($Q168=1,$Q168=2),1,0),IF($X168&lt;=20,1,0))</formula>
    </cfRule>
    <cfRule type="expression" priority="3624" dxfId="2">
      <formula>AND(IF($Q168=2,1,0),IF($X168&lt;30,1,0))</formula>
    </cfRule>
    <cfRule type="expression" priority="3625" dxfId="1">
      <formula>AND(IF($Q168=3,1,0),IF($X168&lt;30,1,0))</formula>
    </cfRule>
    <cfRule type="expression" priority="3626" dxfId="0">
      <formula>AND(IF($Q168=3,1,IF($Q168=4,1,0)),IF($F168&lt;=85,1,0))</formula>
    </cfRule>
  </conditionalFormatting>
  <conditionalFormatting sqref="AI168">
    <cfRule type="expression" priority="3619" dxfId="3">
      <formula>AND(IF(OR($Q168=1,$Q168=2),1,0),IF($X168&lt;=20,1,0))</formula>
    </cfRule>
    <cfRule type="expression" priority="3620" dxfId="2">
      <formula>AND(IF($Q168=2,1,0),IF($X168&lt;30,1,0))</formula>
    </cfRule>
    <cfRule type="expression" priority="3621" dxfId="1">
      <formula>AND(IF($Q168=3,1,0),IF($X168&lt;30,1,0))</formula>
    </cfRule>
    <cfRule type="expression" priority="3622" dxfId="0">
      <formula>AND(IF($Q168=3,1,IF($Q168=4,1,0)),IF($F168&lt;=85,1,0))</formula>
    </cfRule>
  </conditionalFormatting>
  <conditionalFormatting sqref="AV169">
    <cfRule type="expression" priority="3617" dxfId="23">
      <formula>AV169="X"</formula>
    </cfRule>
    <cfRule type="expression" priority="3618" dxfId="22">
      <formula>AV169="후보"</formula>
    </cfRule>
  </conditionalFormatting>
  <conditionalFormatting sqref="AC16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6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69">
    <cfRule type="expression" priority="3609" dxfId="3">
      <formula>AND(IF(OR($Q169=1,$Q169=2),1,0),IF($X169&lt;=20,1,0))</formula>
    </cfRule>
    <cfRule type="expression" priority="3610" dxfId="2">
      <formula>AND(IF($Q169=2,1,0),IF($X169&lt;30,1,0))</formula>
    </cfRule>
    <cfRule type="expression" priority="3611" dxfId="1">
      <formula>AND(IF($Q169=3,1,0),IF($X169&lt;30,1,0))</formula>
    </cfRule>
    <cfRule type="expression" priority="3612" dxfId="0">
      <formula>AND(IF($Q169=3,1,IF($Q169=4,1,0)),IF($F169&lt;=85,1,0))</formula>
    </cfRule>
  </conditionalFormatting>
  <conditionalFormatting sqref="X169">
    <cfRule type="expression" priority="3605" dxfId="3">
      <formula>AND(IF(OR($Q169=1,$Q169=2),1,0),IF($X169&lt;=20,1,0))</formula>
    </cfRule>
    <cfRule type="expression" priority="3606" dxfId="2">
      <formula>AND(IF($Q169=2,1,0),IF($X169&lt;30,1,0))</formula>
    </cfRule>
    <cfRule type="expression" priority="3607" dxfId="1">
      <formula>AND(IF($Q169=3,1,0),IF($X169&lt;30,1,0))</formula>
    </cfRule>
    <cfRule type="expression" priority="3608" dxfId="0">
      <formula>AND(IF($Q169=3,1,IF($Q169=4,1,0)),IF($F169&lt;=85,1,0))</formula>
    </cfRule>
  </conditionalFormatting>
  <conditionalFormatting sqref="AI169">
    <cfRule type="expression" priority="3601" dxfId="3">
      <formula>AND(IF(OR($Q169=1,$Q169=2),1,0),IF($X169&lt;=20,1,0))</formula>
    </cfRule>
    <cfRule type="expression" priority="3602" dxfId="2">
      <formula>AND(IF($Q169=2,1,0),IF($X169&lt;30,1,0))</formula>
    </cfRule>
    <cfRule type="expression" priority="3603" dxfId="1">
      <formula>AND(IF($Q169=3,1,0),IF($X169&lt;30,1,0))</formula>
    </cfRule>
    <cfRule type="expression" priority="3604" dxfId="0">
      <formula>AND(IF($Q169=3,1,IF($Q169=4,1,0)),IF($F169&lt;=85,1,0))</formula>
    </cfRule>
  </conditionalFormatting>
  <conditionalFormatting sqref="AV170">
    <cfRule type="expression" priority="3599" dxfId="23">
      <formula>AV170="X"</formula>
    </cfRule>
    <cfRule type="expression" priority="3600" dxfId="22">
      <formula>AV170="후보"</formula>
    </cfRule>
  </conditionalFormatting>
  <conditionalFormatting sqref="AC17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7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70">
    <cfRule type="expression" priority="3591" dxfId="3">
      <formula>AND(IF(OR($Q170=1,$Q170=2),1,0),IF($X170&lt;=20,1,0))</formula>
    </cfRule>
    <cfRule type="expression" priority="3592" dxfId="2">
      <formula>AND(IF($Q170=2,1,0),IF($X170&lt;30,1,0))</formula>
    </cfRule>
    <cfRule type="expression" priority="3593" dxfId="1">
      <formula>AND(IF($Q170=3,1,0),IF($X170&lt;30,1,0))</formula>
    </cfRule>
    <cfRule type="expression" priority="3594" dxfId="0">
      <formula>AND(IF($Q170=3,1,IF($Q170=4,1,0)),IF($F170&lt;=85,1,0))</formula>
    </cfRule>
  </conditionalFormatting>
  <conditionalFormatting sqref="X170">
    <cfRule type="expression" priority="3587" dxfId="3">
      <formula>AND(IF(OR($Q170=1,$Q170=2),1,0),IF($X170&lt;=20,1,0))</formula>
    </cfRule>
    <cfRule type="expression" priority="3588" dxfId="2">
      <formula>AND(IF($Q170=2,1,0),IF($X170&lt;30,1,0))</formula>
    </cfRule>
    <cfRule type="expression" priority="3589" dxfId="1">
      <formula>AND(IF($Q170=3,1,0),IF($X170&lt;30,1,0))</formula>
    </cfRule>
    <cfRule type="expression" priority="3590" dxfId="0">
      <formula>AND(IF($Q170=3,1,IF($Q170=4,1,0)),IF($F170&lt;=85,1,0))</formula>
    </cfRule>
  </conditionalFormatting>
  <conditionalFormatting sqref="AI170">
    <cfRule type="expression" priority="3583" dxfId="3">
      <formula>AND(IF(OR($Q170=1,$Q170=2),1,0),IF($X170&lt;=20,1,0))</formula>
    </cfRule>
    <cfRule type="expression" priority="3584" dxfId="2">
      <formula>AND(IF($Q170=2,1,0),IF($X170&lt;30,1,0))</formula>
    </cfRule>
    <cfRule type="expression" priority="3585" dxfId="1">
      <formula>AND(IF($Q170=3,1,0),IF($X170&lt;30,1,0))</formula>
    </cfRule>
    <cfRule type="expression" priority="3586" dxfId="0">
      <formula>AND(IF($Q170=3,1,IF($Q170=4,1,0)),IF($F170&lt;=85,1,0))</formula>
    </cfRule>
  </conditionalFormatting>
  <conditionalFormatting sqref="AV171">
    <cfRule type="expression" priority="3581" dxfId="23">
      <formula>AV171="X"</formula>
    </cfRule>
    <cfRule type="expression" priority="3582" dxfId="22">
      <formula>AV171="후보"</formula>
    </cfRule>
  </conditionalFormatting>
  <conditionalFormatting sqref="AC17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7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71">
    <cfRule type="expression" priority="3573" dxfId="3">
      <formula>AND(IF(OR($Q171=1,$Q171=2),1,0),IF($X171&lt;=20,1,0))</formula>
    </cfRule>
    <cfRule type="expression" priority="3574" dxfId="2">
      <formula>AND(IF($Q171=2,1,0),IF($X171&lt;30,1,0))</formula>
    </cfRule>
    <cfRule type="expression" priority="3575" dxfId="1">
      <formula>AND(IF($Q171=3,1,0),IF($X171&lt;30,1,0))</formula>
    </cfRule>
    <cfRule type="expression" priority="3576" dxfId="0">
      <formula>AND(IF($Q171=3,1,IF($Q171=4,1,0)),IF($F171&lt;=85,1,0))</formula>
    </cfRule>
  </conditionalFormatting>
  <conditionalFormatting sqref="X171">
    <cfRule type="expression" priority="3569" dxfId="3">
      <formula>AND(IF(OR($Q171=1,$Q171=2),1,0),IF($X171&lt;=20,1,0))</formula>
    </cfRule>
    <cfRule type="expression" priority="3570" dxfId="2">
      <formula>AND(IF($Q171=2,1,0),IF($X171&lt;30,1,0))</formula>
    </cfRule>
    <cfRule type="expression" priority="3571" dxfId="1">
      <formula>AND(IF($Q171=3,1,0),IF($X171&lt;30,1,0))</formula>
    </cfRule>
    <cfRule type="expression" priority="3572" dxfId="0">
      <formula>AND(IF($Q171=3,1,IF($Q171=4,1,0)),IF($F171&lt;=85,1,0))</formula>
    </cfRule>
  </conditionalFormatting>
  <conditionalFormatting sqref="AI171">
    <cfRule type="expression" priority="3565" dxfId="3">
      <formula>AND(IF(OR($Q171=1,$Q171=2),1,0),IF($X171&lt;=20,1,0))</formula>
    </cfRule>
    <cfRule type="expression" priority="3566" dxfId="2">
      <formula>AND(IF($Q171=2,1,0),IF($X171&lt;30,1,0))</formula>
    </cfRule>
    <cfRule type="expression" priority="3567" dxfId="1">
      <formula>AND(IF($Q171=3,1,0),IF($X171&lt;30,1,0))</formula>
    </cfRule>
    <cfRule type="expression" priority="3568" dxfId="0">
      <formula>AND(IF($Q171=3,1,IF($Q171=4,1,0)),IF($F171&lt;=85,1,0))</formula>
    </cfRule>
  </conditionalFormatting>
  <conditionalFormatting sqref="AV172">
    <cfRule type="expression" priority="3563" dxfId="23">
      <formula>AV172="X"</formula>
    </cfRule>
    <cfRule type="expression" priority="3564" dxfId="22">
      <formula>AV172="후보"</formula>
    </cfRule>
  </conditionalFormatting>
  <conditionalFormatting sqref="AC17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7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72">
    <cfRule type="expression" priority="3555" dxfId="3">
      <formula>AND(IF(OR($Q172=1,$Q172=2),1,0),IF($X172&lt;=20,1,0))</formula>
    </cfRule>
    <cfRule type="expression" priority="3556" dxfId="2">
      <formula>AND(IF($Q172=2,1,0),IF($X172&lt;30,1,0))</formula>
    </cfRule>
    <cfRule type="expression" priority="3557" dxfId="1">
      <formula>AND(IF($Q172=3,1,0),IF($X172&lt;30,1,0))</formula>
    </cfRule>
    <cfRule type="expression" priority="3558" dxfId="0">
      <formula>AND(IF($Q172=3,1,IF($Q172=4,1,0)),IF($F172&lt;=85,1,0))</formula>
    </cfRule>
  </conditionalFormatting>
  <conditionalFormatting sqref="X172">
    <cfRule type="expression" priority="3551" dxfId="3">
      <formula>AND(IF(OR($Q172=1,$Q172=2),1,0),IF($X172&lt;=20,1,0))</formula>
    </cfRule>
    <cfRule type="expression" priority="3552" dxfId="2">
      <formula>AND(IF($Q172=2,1,0),IF($X172&lt;30,1,0))</formula>
    </cfRule>
    <cfRule type="expression" priority="3553" dxfId="1">
      <formula>AND(IF($Q172=3,1,0),IF($X172&lt;30,1,0))</formula>
    </cfRule>
    <cfRule type="expression" priority="3554" dxfId="0">
      <formula>AND(IF($Q172=3,1,IF($Q172=4,1,0)),IF($F172&lt;=85,1,0))</formula>
    </cfRule>
  </conditionalFormatting>
  <conditionalFormatting sqref="AI172">
    <cfRule type="expression" priority="3547" dxfId="3">
      <formula>AND(IF(OR($Q172=1,$Q172=2),1,0),IF($X172&lt;=20,1,0))</formula>
    </cfRule>
    <cfRule type="expression" priority="3548" dxfId="2">
      <formula>AND(IF($Q172=2,1,0),IF($X172&lt;30,1,0))</formula>
    </cfRule>
    <cfRule type="expression" priority="3549" dxfId="1">
      <formula>AND(IF($Q172=3,1,0),IF($X172&lt;30,1,0))</formula>
    </cfRule>
    <cfRule type="expression" priority="3550" dxfId="0">
      <formula>AND(IF($Q172=3,1,IF($Q172=4,1,0)),IF($F172&lt;=85,1,0))</formula>
    </cfRule>
  </conditionalFormatting>
  <conditionalFormatting sqref="AV173">
    <cfRule type="expression" priority="3545" dxfId="23">
      <formula>AV173="X"</formula>
    </cfRule>
    <cfRule type="expression" priority="3546" dxfId="22">
      <formula>AV173="후보"</formula>
    </cfRule>
  </conditionalFormatting>
  <conditionalFormatting sqref="AC17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7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73">
    <cfRule type="expression" priority="3537" dxfId="3">
      <formula>AND(IF(OR($Q173=1,$Q173=2),1,0),IF($X173&lt;=20,1,0))</formula>
    </cfRule>
    <cfRule type="expression" priority="3538" dxfId="2">
      <formula>AND(IF($Q173=2,1,0),IF($X173&lt;30,1,0))</formula>
    </cfRule>
    <cfRule type="expression" priority="3539" dxfId="1">
      <formula>AND(IF($Q173=3,1,0),IF($X173&lt;30,1,0))</formula>
    </cfRule>
    <cfRule type="expression" priority="3540" dxfId="0">
      <formula>AND(IF($Q173=3,1,IF($Q173=4,1,0)),IF($F173&lt;=85,1,0))</formula>
    </cfRule>
  </conditionalFormatting>
  <conditionalFormatting sqref="X173">
    <cfRule type="expression" priority="3533" dxfId="3">
      <formula>AND(IF(OR($Q173=1,$Q173=2),1,0),IF($X173&lt;=20,1,0))</formula>
    </cfRule>
    <cfRule type="expression" priority="3534" dxfId="2">
      <formula>AND(IF($Q173=2,1,0),IF($X173&lt;30,1,0))</formula>
    </cfRule>
    <cfRule type="expression" priority="3535" dxfId="1">
      <formula>AND(IF($Q173=3,1,0),IF($X173&lt;30,1,0))</formula>
    </cfRule>
    <cfRule type="expression" priority="3536" dxfId="0">
      <formula>AND(IF($Q173=3,1,IF($Q173=4,1,0)),IF($F173&lt;=85,1,0))</formula>
    </cfRule>
  </conditionalFormatting>
  <conditionalFormatting sqref="AI173">
    <cfRule type="expression" priority="3529" dxfId="3">
      <formula>AND(IF(OR($Q173=1,$Q173=2),1,0),IF($X173&lt;=20,1,0))</formula>
    </cfRule>
    <cfRule type="expression" priority="3530" dxfId="2">
      <formula>AND(IF($Q173=2,1,0),IF($X173&lt;30,1,0))</formula>
    </cfRule>
    <cfRule type="expression" priority="3531" dxfId="1">
      <formula>AND(IF($Q173=3,1,0),IF($X173&lt;30,1,0))</formula>
    </cfRule>
    <cfRule type="expression" priority="3532" dxfId="0">
      <formula>AND(IF($Q173=3,1,IF($Q173=4,1,0)),IF($F173&lt;=85,1,0))</formula>
    </cfRule>
  </conditionalFormatting>
  <conditionalFormatting sqref="AV174">
    <cfRule type="expression" priority="3527" dxfId="23">
      <formula>AV174="X"</formula>
    </cfRule>
    <cfRule type="expression" priority="3528" dxfId="22">
      <formula>AV174="후보"</formula>
    </cfRule>
  </conditionalFormatting>
  <conditionalFormatting sqref="AC17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7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74">
    <cfRule type="expression" priority="3519" dxfId="3">
      <formula>AND(IF(OR($Q174=1,$Q174=2),1,0),IF($X174&lt;=20,1,0))</formula>
    </cfRule>
    <cfRule type="expression" priority="3520" dxfId="2">
      <formula>AND(IF($Q174=2,1,0),IF($X174&lt;30,1,0))</formula>
    </cfRule>
    <cfRule type="expression" priority="3521" dxfId="1">
      <formula>AND(IF($Q174=3,1,0),IF($X174&lt;30,1,0))</formula>
    </cfRule>
    <cfRule type="expression" priority="3522" dxfId="0">
      <formula>AND(IF($Q174=3,1,IF($Q174=4,1,0)),IF($F174&lt;=85,1,0))</formula>
    </cfRule>
  </conditionalFormatting>
  <conditionalFormatting sqref="X174">
    <cfRule type="expression" priority="3515" dxfId="3">
      <formula>AND(IF(OR($Q174=1,$Q174=2),1,0),IF($X174&lt;=20,1,0))</formula>
    </cfRule>
    <cfRule type="expression" priority="3516" dxfId="2">
      <formula>AND(IF($Q174=2,1,0),IF($X174&lt;30,1,0))</formula>
    </cfRule>
    <cfRule type="expression" priority="3517" dxfId="1">
      <formula>AND(IF($Q174=3,1,0),IF($X174&lt;30,1,0))</formula>
    </cfRule>
    <cfRule type="expression" priority="3518" dxfId="0">
      <formula>AND(IF($Q174=3,1,IF($Q174=4,1,0)),IF($F174&lt;=85,1,0))</formula>
    </cfRule>
  </conditionalFormatting>
  <conditionalFormatting sqref="AI174">
    <cfRule type="expression" priority="3511" dxfId="3">
      <formula>AND(IF(OR($Q174=1,$Q174=2),1,0),IF($X174&lt;=20,1,0))</formula>
    </cfRule>
    <cfRule type="expression" priority="3512" dxfId="2">
      <formula>AND(IF($Q174=2,1,0),IF($X174&lt;30,1,0))</formula>
    </cfRule>
    <cfRule type="expression" priority="3513" dxfId="1">
      <formula>AND(IF($Q174=3,1,0),IF($X174&lt;30,1,0))</formula>
    </cfRule>
    <cfRule type="expression" priority="3514" dxfId="0">
      <formula>AND(IF($Q174=3,1,IF($Q174=4,1,0)),IF($F174&lt;=85,1,0))</formula>
    </cfRule>
  </conditionalFormatting>
  <conditionalFormatting sqref="AV175">
    <cfRule type="expression" priority="3509" dxfId="23">
      <formula>AV175="X"</formula>
    </cfRule>
    <cfRule type="expression" priority="3510" dxfId="22">
      <formula>AV175="후보"</formula>
    </cfRule>
  </conditionalFormatting>
  <conditionalFormatting sqref="AC17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7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75">
    <cfRule type="expression" priority="3501" dxfId="3">
      <formula>AND(IF(OR($Q175=1,$Q175=2),1,0),IF($X175&lt;=20,1,0))</formula>
    </cfRule>
    <cfRule type="expression" priority="3502" dxfId="2">
      <formula>AND(IF($Q175=2,1,0),IF($X175&lt;30,1,0))</formula>
    </cfRule>
    <cfRule type="expression" priority="3503" dxfId="1">
      <formula>AND(IF($Q175=3,1,0),IF($X175&lt;30,1,0))</formula>
    </cfRule>
    <cfRule type="expression" priority="3504" dxfId="0">
      <formula>AND(IF($Q175=3,1,IF($Q175=4,1,0)),IF($F175&lt;=85,1,0))</formula>
    </cfRule>
  </conditionalFormatting>
  <conditionalFormatting sqref="X175">
    <cfRule type="expression" priority="3497" dxfId="3">
      <formula>AND(IF(OR($Q175=1,$Q175=2),1,0),IF($X175&lt;=20,1,0))</formula>
    </cfRule>
    <cfRule type="expression" priority="3498" dxfId="2">
      <formula>AND(IF($Q175=2,1,0),IF($X175&lt;30,1,0))</formula>
    </cfRule>
    <cfRule type="expression" priority="3499" dxfId="1">
      <formula>AND(IF($Q175=3,1,0),IF($X175&lt;30,1,0))</formula>
    </cfRule>
    <cfRule type="expression" priority="3500" dxfId="0">
      <formula>AND(IF($Q175=3,1,IF($Q175=4,1,0)),IF($F175&lt;=85,1,0))</formula>
    </cfRule>
  </conditionalFormatting>
  <conditionalFormatting sqref="AI175">
    <cfRule type="expression" priority="3493" dxfId="3">
      <formula>AND(IF(OR($Q175=1,$Q175=2),1,0),IF($X175&lt;=20,1,0))</formula>
    </cfRule>
    <cfRule type="expression" priority="3494" dxfId="2">
      <formula>AND(IF($Q175=2,1,0),IF($X175&lt;30,1,0))</formula>
    </cfRule>
    <cfRule type="expression" priority="3495" dxfId="1">
      <formula>AND(IF($Q175=3,1,0),IF($X175&lt;30,1,0))</formula>
    </cfRule>
    <cfRule type="expression" priority="3496" dxfId="0">
      <formula>AND(IF($Q175=3,1,IF($Q175=4,1,0)),IF($F175&lt;=85,1,0))</formula>
    </cfRule>
  </conditionalFormatting>
  <conditionalFormatting sqref="AV176">
    <cfRule type="expression" priority="3491" dxfId="23">
      <formula>AV176="X"</formula>
    </cfRule>
    <cfRule type="expression" priority="3492" dxfId="22">
      <formula>AV176="후보"</formula>
    </cfRule>
  </conditionalFormatting>
  <conditionalFormatting sqref="AC17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7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76">
    <cfRule type="expression" priority="3483" dxfId="3">
      <formula>AND(IF(OR($Q176=1,$Q176=2),1,0),IF($X176&lt;=20,1,0))</formula>
    </cfRule>
    <cfRule type="expression" priority="3484" dxfId="2">
      <formula>AND(IF($Q176=2,1,0),IF($X176&lt;30,1,0))</formula>
    </cfRule>
    <cfRule type="expression" priority="3485" dxfId="1">
      <formula>AND(IF($Q176=3,1,0),IF($X176&lt;30,1,0))</formula>
    </cfRule>
    <cfRule type="expression" priority="3486" dxfId="0">
      <formula>AND(IF($Q176=3,1,IF($Q176=4,1,0)),IF($F176&lt;=85,1,0))</formula>
    </cfRule>
  </conditionalFormatting>
  <conditionalFormatting sqref="X176">
    <cfRule type="expression" priority="3479" dxfId="3">
      <formula>AND(IF(OR($Q176=1,$Q176=2),1,0),IF($X176&lt;=20,1,0))</formula>
    </cfRule>
    <cfRule type="expression" priority="3480" dxfId="2">
      <formula>AND(IF($Q176=2,1,0),IF($X176&lt;30,1,0))</formula>
    </cfRule>
    <cfRule type="expression" priority="3481" dxfId="1">
      <formula>AND(IF($Q176=3,1,0),IF($X176&lt;30,1,0))</formula>
    </cfRule>
    <cfRule type="expression" priority="3482" dxfId="0">
      <formula>AND(IF($Q176=3,1,IF($Q176=4,1,0)),IF($F176&lt;=85,1,0))</formula>
    </cfRule>
  </conditionalFormatting>
  <conditionalFormatting sqref="AI176">
    <cfRule type="expression" priority="3475" dxfId="3">
      <formula>AND(IF(OR($Q176=1,$Q176=2),1,0),IF($X176&lt;=20,1,0))</formula>
    </cfRule>
    <cfRule type="expression" priority="3476" dxfId="2">
      <formula>AND(IF($Q176=2,1,0),IF($X176&lt;30,1,0))</formula>
    </cfRule>
    <cfRule type="expression" priority="3477" dxfId="1">
      <formula>AND(IF($Q176=3,1,0),IF($X176&lt;30,1,0))</formula>
    </cfRule>
    <cfRule type="expression" priority="3478" dxfId="0">
      <formula>AND(IF($Q176=3,1,IF($Q176=4,1,0)),IF($F176&lt;=85,1,0))</formula>
    </cfRule>
  </conditionalFormatting>
  <conditionalFormatting sqref="AV177">
    <cfRule type="expression" priority="3473" dxfId="23">
      <formula>AV177="X"</formula>
    </cfRule>
    <cfRule type="expression" priority="3474" dxfId="22">
      <formula>AV177="후보"</formula>
    </cfRule>
  </conditionalFormatting>
  <conditionalFormatting sqref="AC17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7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77">
    <cfRule type="expression" priority="3465" dxfId="3">
      <formula>AND(IF(OR($Q177=1,$Q177=2),1,0),IF($X177&lt;=20,1,0))</formula>
    </cfRule>
    <cfRule type="expression" priority="3466" dxfId="2">
      <formula>AND(IF($Q177=2,1,0),IF($X177&lt;30,1,0))</formula>
    </cfRule>
    <cfRule type="expression" priority="3467" dxfId="1">
      <formula>AND(IF($Q177=3,1,0),IF($X177&lt;30,1,0))</formula>
    </cfRule>
    <cfRule type="expression" priority="3468" dxfId="0">
      <formula>AND(IF($Q177=3,1,IF($Q177=4,1,0)),IF($F177&lt;=85,1,0))</formula>
    </cfRule>
  </conditionalFormatting>
  <conditionalFormatting sqref="X177">
    <cfRule type="expression" priority="3461" dxfId="3">
      <formula>AND(IF(OR($Q177=1,$Q177=2),1,0),IF($X177&lt;=20,1,0))</formula>
    </cfRule>
    <cfRule type="expression" priority="3462" dxfId="2">
      <formula>AND(IF($Q177=2,1,0),IF($X177&lt;30,1,0))</formula>
    </cfRule>
    <cfRule type="expression" priority="3463" dxfId="1">
      <formula>AND(IF($Q177=3,1,0),IF($X177&lt;30,1,0))</formula>
    </cfRule>
    <cfRule type="expression" priority="3464" dxfId="0">
      <formula>AND(IF($Q177=3,1,IF($Q177=4,1,0)),IF($F177&lt;=85,1,0))</formula>
    </cfRule>
  </conditionalFormatting>
  <conditionalFormatting sqref="AI177">
    <cfRule type="expression" priority="3457" dxfId="3">
      <formula>AND(IF(OR($Q177=1,$Q177=2),1,0),IF($X177&lt;=20,1,0))</formula>
    </cfRule>
    <cfRule type="expression" priority="3458" dxfId="2">
      <formula>AND(IF($Q177=2,1,0),IF($X177&lt;30,1,0))</formula>
    </cfRule>
    <cfRule type="expression" priority="3459" dxfId="1">
      <formula>AND(IF($Q177=3,1,0),IF($X177&lt;30,1,0))</formula>
    </cfRule>
    <cfRule type="expression" priority="3460" dxfId="0">
      <formula>AND(IF($Q177=3,1,IF($Q177=4,1,0)),IF($F177&lt;=85,1,0))</formula>
    </cfRule>
  </conditionalFormatting>
  <conditionalFormatting sqref="AV178">
    <cfRule type="expression" priority="3455" dxfId="23">
      <formula>AV178="X"</formula>
    </cfRule>
    <cfRule type="expression" priority="3456" dxfId="22">
      <formula>AV178="후보"</formula>
    </cfRule>
  </conditionalFormatting>
  <conditionalFormatting sqref="AC17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7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78">
    <cfRule type="expression" priority="3447" dxfId="3">
      <formula>AND(IF(OR($Q178=1,$Q178=2),1,0),IF($X178&lt;=20,1,0))</formula>
    </cfRule>
    <cfRule type="expression" priority="3448" dxfId="2">
      <formula>AND(IF($Q178=2,1,0),IF($X178&lt;30,1,0))</formula>
    </cfRule>
    <cfRule type="expression" priority="3449" dxfId="1">
      <formula>AND(IF($Q178=3,1,0),IF($X178&lt;30,1,0))</formula>
    </cfRule>
    <cfRule type="expression" priority="3450" dxfId="0">
      <formula>AND(IF($Q178=3,1,IF($Q178=4,1,0)),IF($F178&lt;=85,1,0))</formula>
    </cfRule>
  </conditionalFormatting>
  <conditionalFormatting sqref="X178">
    <cfRule type="expression" priority="3443" dxfId="3">
      <formula>AND(IF(OR($Q178=1,$Q178=2),1,0),IF($X178&lt;=20,1,0))</formula>
    </cfRule>
    <cfRule type="expression" priority="3444" dxfId="2">
      <formula>AND(IF($Q178=2,1,0),IF($X178&lt;30,1,0))</formula>
    </cfRule>
    <cfRule type="expression" priority="3445" dxfId="1">
      <formula>AND(IF($Q178=3,1,0),IF($X178&lt;30,1,0))</formula>
    </cfRule>
    <cfRule type="expression" priority="3446" dxfId="0">
      <formula>AND(IF($Q178=3,1,IF($Q178=4,1,0)),IF($F178&lt;=85,1,0))</formula>
    </cfRule>
  </conditionalFormatting>
  <conditionalFormatting sqref="AI178">
    <cfRule type="expression" priority="3439" dxfId="3">
      <formula>AND(IF(OR($Q178=1,$Q178=2),1,0),IF($X178&lt;=20,1,0))</formula>
    </cfRule>
    <cfRule type="expression" priority="3440" dxfId="2">
      <formula>AND(IF($Q178=2,1,0),IF($X178&lt;30,1,0))</formula>
    </cfRule>
    <cfRule type="expression" priority="3441" dxfId="1">
      <formula>AND(IF($Q178=3,1,0),IF($X178&lt;30,1,0))</formula>
    </cfRule>
    <cfRule type="expression" priority="3442" dxfId="0">
      <formula>AND(IF($Q178=3,1,IF($Q178=4,1,0)),IF($F178&lt;=85,1,0))</formula>
    </cfRule>
  </conditionalFormatting>
  <conditionalFormatting sqref="AV179">
    <cfRule type="expression" priority="3437" dxfId="23">
      <formula>AV179="X"</formula>
    </cfRule>
    <cfRule type="expression" priority="3438" dxfId="22">
      <formula>AV179="후보"</formula>
    </cfRule>
  </conditionalFormatting>
  <conditionalFormatting sqref="AC17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7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79">
    <cfRule type="expression" priority="3429" dxfId="3">
      <formula>AND(IF(OR($Q179=1,$Q179=2),1,0),IF($X179&lt;=20,1,0))</formula>
    </cfRule>
    <cfRule type="expression" priority="3430" dxfId="2">
      <formula>AND(IF($Q179=2,1,0),IF($X179&lt;30,1,0))</formula>
    </cfRule>
    <cfRule type="expression" priority="3431" dxfId="1">
      <formula>AND(IF($Q179=3,1,0),IF($X179&lt;30,1,0))</formula>
    </cfRule>
    <cfRule type="expression" priority="3432" dxfId="0">
      <formula>AND(IF($Q179=3,1,IF($Q179=4,1,0)),IF($F179&lt;=85,1,0))</formula>
    </cfRule>
  </conditionalFormatting>
  <conditionalFormatting sqref="X179">
    <cfRule type="expression" priority="3425" dxfId="3">
      <formula>AND(IF(OR($Q179=1,$Q179=2),1,0),IF($X179&lt;=20,1,0))</formula>
    </cfRule>
    <cfRule type="expression" priority="3426" dxfId="2">
      <formula>AND(IF($Q179=2,1,0),IF($X179&lt;30,1,0))</formula>
    </cfRule>
    <cfRule type="expression" priority="3427" dxfId="1">
      <formula>AND(IF($Q179=3,1,0),IF($X179&lt;30,1,0))</formula>
    </cfRule>
    <cfRule type="expression" priority="3428" dxfId="0">
      <formula>AND(IF($Q179=3,1,IF($Q179=4,1,0)),IF($F179&lt;=85,1,0))</formula>
    </cfRule>
  </conditionalFormatting>
  <conditionalFormatting sqref="AI179">
    <cfRule type="expression" priority="3421" dxfId="3">
      <formula>AND(IF(OR($Q179=1,$Q179=2),1,0),IF($X179&lt;=20,1,0))</formula>
    </cfRule>
    <cfRule type="expression" priority="3422" dxfId="2">
      <formula>AND(IF($Q179=2,1,0),IF($X179&lt;30,1,0))</formula>
    </cfRule>
    <cfRule type="expression" priority="3423" dxfId="1">
      <formula>AND(IF($Q179=3,1,0),IF($X179&lt;30,1,0))</formula>
    </cfRule>
    <cfRule type="expression" priority="3424" dxfId="0">
      <formula>AND(IF($Q179=3,1,IF($Q179=4,1,0)),IF($F179&lt;=85,1,0))</formula>
    </cfRule>
  </conditionalFormatting>
  <conditionalFormatting sqref="AV180">
    <cfRule type="expression" priority="3419" dxfId="23">
      <formula>AV180="X"</formula>
    </cfRule>
    <cfRule type="expression" priority="3420" dxfId="22">
      <formula>AV180="후보"</formula>
    </cfRule>
  </conditionalFormatting>
  <conditionalFormatting sqref="AC18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8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80">
    <cfRule type="expression" priority="3411" dxfId="3">
      <formula>AND(IF(OR($Q180=1,$Q180=2),1,0),IF($X180&lt;=20,1,0))</formula>
    </cfRule>
    <cfRule type="expression" priority="3412" dxfId="2">
      <formula>AND(IF($Q180=2,1,0),IF($X180&lt;30,1,0))</formula>
    </cfRule>
    <cfRule type="expression" priority="3413" dxfId="1">
      <formula>AND(IF($Q180=3,1,0),IF($X180&lt;30,1,0))</formula>
    </cfRule>
    <cfRule type="expression" priority="3414" dxfId="0">
      <formula>AND(IF($Q180=3,1,IF($Q180=4,1,0)),IF($F180&lt;=85,1,0))</formula>
    </cfRule>
  </conditionalFormatting>
  <conditionalFormatting sqref="X180">
    <cfRule type="expression" priority="3407" dxfId="3">
      <formula>AND(IF(OR($Q180=1,$Q180=2),1,0),IF($X180&lt;=20,1,0))</formula>
    </cfRule>
    <cfRule type="expression" priority="3408" dxfId="2">
      <formula>AND(IF($Q180=2,1,0),IF($X180&lt;30,1,0))</formula>
    </cfRule>
    <cfRule type="expression" priority="3409" dxfId="1">
      <formula>AND(IF($Q180=3,1,0),IF($X180&lt;30,1,0))</formula>
    </cfRule>
    <cfRule type="expression" priority="3410" dxfId="0">
      <formula>AND(IF($Q180=3,1,IF($Q180=4,1,0)),IF($F180&lt;=85,1,0))</formula>
    </cfRule>
  </conditionalFormatting>
  <conditionalFormatting sqref="AI180">
    <cfRule type="expression" priority="3403" dxfId="3">
      <formula>AND(IF(OR($Q180=1,$Q180=2),1,0),IF($X180&lt;=20,1,0))</formula>
    </cfRule>
    <cfRule type="expression" priority="3404" dxfId="2">
      <formula>AND(IF($Q180=2,1,0),IF($X180&lt;30,1,0))</formula>
    </cfRule>
    <cfRule type="expression" priority="3405" dxfId="1">
      <formula>AND(IF($Q180=3,1,0),IF($X180&lt;30,1,0))</formula>
    </cfRule>
    <cfRule type="expression" priority="3406" dxfId="0">
      <formula>AND(IF($Q180=3,1,IF($Q180=4,1,0)),IF($F180&lt;=85,1,0))</formula>
    </cfRule>
  </conditionalFormatting>
  <conditionalFormatting sqref="AV181">
    <cfRule type="expression" priority="3401" dxfId="23">
      <formula>AV181="X"</formula>
    </cfRule>
    <cfRule type="expression" priority="3402" dxfId="22">
      <formula>AV181="후보"</formula>
    </cfRule>
  </conditionalFormatting>
  <conditionalFormatting sqref="AC18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8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81">
    <cfRule type="expression" priority="3393" dxfId="3">
      <formula>AND(IF(OR($Q181=1,$Q181=2),1,0),IF($X181&lt;=20,1,0))</formula>
    </cfRule>
    <cfRule type="expression" priority="3394" dxfId="2">
      <formula>AND(IF($Q181=2,1,0),IF($X181&lt;30,1,0))</formula>
    </cfRule>
    <cfRule type="expression" priority="3395" dxfId="1">
      <formula>AND(IF($Q181=3,1,0),IF($X181&lt;30,1,0))</formula>
    </cfRule>
    <cfRule type="expression" priority="3396" dxfId="0">
      <formula>AND(IF($Q181=3,1,IF($Q181=4,1,0)),IF($F181&lt;=85,1,0))</formula>
    </cfRule>
  </conditionalFormatting>
  <conditionalFormatting sqref="X181">
    <cfRule type="expression" priority="3389" dxfId="3">
      <formula>AND(IF(OR($Q181=1,$Q181=2),1,0),IF($X181&lt;=20,1,0))</formula>
    </cfRule>
    <cfRule type="expression" priority="3390" dxfId="2">
      <formula>AND(IF($Q181=2,1,0),IF($X181&lt;30,1,0))</formula>
    </cfRule>
    <cfRule type="expression" priority="3391" dxfId="1">
      <formula>AND(IF($Q181=3,1,0),IF($X181&lt;30,1,0))</formula>
    </cfRule>
    <cfRule type="expression" priority="3392" dxfId="0">
      <formula>AND(IF($Q181=3,1,IF($Q181=4,1,0)),IF($F181&lt;=85,1,0))</formula>
    </cfRule>
  </conditionalFormatting>
  <conditionalFormatting sqref="AI181">
    <cfRule type="expression" priority="3385" dxfId="3">
      <formula>AND(IF(OR($Q181=1,$Q181=2),1,0),IF($X181&lt;=20,1,0))</formula>
    </cfRule>
    <cfRule type="expression" priority="3386" dxfId="2">
      <formula>AND(IF($Q181=2,1,0),IF($X181&lt;30,1,0))</formula>
    </cfRule>
    <cfRule type="expression" priority="3387" dxfId="1">
      <formula>AND(IF($Q181=3,1,0),IF($X181&lt;30,1,0))</formula>
    </cfRule>
    <cfRule type="expression" priority="3388" dxfId="0">
      <formula>AND(IF($Q181=3,1,IF($Q181=4,1,0)),IF($F181&lt;=85,1,0))</formula>
    </cfRule>
  </conditionalFormatting>
  <conditionalFormatting sqref="AV182">
    <cfRule type="expression" priority="3383" dxfId="23">
      <formula>AV182="X"</formula>
    </cfRule>
    <cfRule type="expression" priority="3384" dxfId="22">
      <formula>AV182="후보"</formula>
    </cfRule>
  </conditionalFormatting>
  <conditionalFormatting sqref="AC18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8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82">
    <cfRule type="expression" priority="3375" dxfId="3">
      <formula>AND(IF(OR($Q182=1,$Q182=2),1,0),IF($X182&lt;=20,1,0))</formula>
    </cfRule>
    <cfRule type="expression" priority="3376" dxfId="2">
      <formula>AND(IF($Q182=2,1,0),IF($X182&lt;30,1,0))</formula>
    </cfRule>
    <cfRule type="expression" priority="3377" dxfId="1">
      <formula>AND(IF($Q182=3,1,0),IF($X182&lt;30,1,0))</formula>
    </cfRule>
    <cfRule type="expression" priority="3378" dxfId="0">
      <formula>AND(IF($Q182=3,1,IF($Q182=4,1,0)),IF($F182&lt;=85,1,0))</formula>
    </cfRule>
  </conditionalFormatting>
  <conditionalFormatting sqref="X182">
    <cfRule type="expression" priority="3371" dxfId="3">
      <formula>AND(IF(OR($Q182=1,$Q182=2),1,0),IF($X182&lt;=20,1,0))</formula>
    </cfRule>
    <cfRule type="expression" priority="3372" dxfId="2">
      <formula>AND(IF($Q182=2,1,0),IF($X182&lt;30,1,0))</formula>
    </cfRule>
    <cfRule type="expression" priority="3373" dxfId="1">
      <formula>AND(IF($Q182=3,1,0),IF($X182&lt;30,1,0))</formula>
    </cfRule>
    <cfRule type="expression" priority="3374" dxfId="0">
      <formula>AND(IF($Q182=3,1,IF($Q182=4,1,0)),IF($F182&lt;=85,1,0))</formula>
    </cfRule>
  </conditionalFormatting>
  <conditionalFormatting sqref="AI182">
    <cfRule type="expression" priority="3367" dxfId="3">
      <formula>AND(IF(OR($Q182=1,$Q182=2),1,0),IF($X182&lt;=20,1,0))</formula>
    </cfRule>
    <cfRule type="expression" priority="3368" dxfId="2">
      <formula>AND(IF($Q182=2,1,0),IF($X182&lt;30,1,0))</formula>
    </cfRule>
    <cfRule type="expression" priority="3369" dxfId="1">
      <formula>AND(IF($Q182=3,1,0),IF($X182&lt;30,1,0))</formula>
    </cfRule>
    <cfRule type="expression" priority="3370" dxfId="0">
      <formula>AND(IF($Q182=3,1,IF($Q182=4,1,0)),IF($F182&lt;=85,1,0))</formula>
    </cfRule>
  </conditionalFormatting>
  <conditionalFormatting sqref="AV183">
    <cfRule type="expression" priority="3365" dxfId="23">
      <formula>AV183="X"</formula>
    </cfRule>
    <cfRule type="expression" priority="3366" dxfId="22">
      <formula>AV183="후보"</formula>
    </cfRule>
  </conditionalFormatting>
  <conditionalFormatting sqref="AC18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8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83">
    <cfRule type="expression" priority="3357" dxfId="3">
      <formula>AND(IF(OR($Q183=1,$Q183=2),1,0),IF($X183&lt;=20,1,0))</formula>
    </cfRule>
    <cfRule type="expression" priority="3358" dxfId="2">
      <formula>AND(IF($Q183=2,1,0),IF($X183&lt;30,1,0))</formula>
    </cfRule>
    <cfRule type="expression" priority="3359" dxfId="1">
      <formula>AND(IF($Q183=3,1,0),IF($X183&lt;30,1,0))</formula>
    </cfRule>
    <cfRule type="expression" priority="3360" dxfId="0">
      <formula>AND(IF($Q183=3,1,IF($Q183=4,1,0)),IF($F183&lt;=85,1,0))</formula>
    </cfRule>
  </conditionalFormatting>
  <conditionalFormatting sqref="X183">
    <cfRule type="expression" priority="3353" dxfId="3">
      <formula>AND(IF(OR($Q183=1,$Q183=2),1,0),IF($X183&lt;=20,1,0))</formula>
    </cfRule>
    <cfRule type="expression" priority="3354" dxfId="2">
      <formula>AND(IF($Q183=2,1,0),IF($X183&lt;30,1,0))</formula>
    </cfRule>
    <cfRule type="expression" priority="3355" dxfId="1">
      <formula>AND(IF($Q183=3,1,0),IF($X183&lt;30,1,0))</formula>
    </cfRule>
    <cfRule type="expression" priority="3356" dxfId="0">
      <formula>AND(IF($Q183=3,1,IF($Q183=4,1,0)),IF($F183&lt;=85,1,0))</formula>
    </cfRule>
  </conditionalFormatting>
  <conditionalFormatting sqref="AI183">
    <cfRule type="expression" priority="3349" dxfId="3">
      <formula>AND(IF(OR($Q183=1,$Q183=2),1,0),IF($X183&lt;=20,1,0))</formula>
    </cfRule>
    <cfRule type="expression" priority="3350" dxfId="2">
      <formula>AND(IF($Q183=2,1,0),IF($X183&lt;30,1,0))</formula>
    </cfRule>
    <cfRule type="expression" priority="3351" dxfId="1">
      <formula>AND(IF($Q183=3,1,0),IF($X183&lt;30,1,0))</formula>
    </cfRule>
    <cfRule type="expression" priority="3352" dxfId="0">
      <formula>AND(IF($Q183=3,1,IF($Q183=4,1,0)),IF($F183&lt;=85,1,0))</formula>
    </cfRule>
  </conditionalFormatting>
  <conditionalFormatting sqref="AV184">
    <cfRule type="expression" priority="3347" dxfId="23">
      <formula>AV184="X"</formula>
    </cfRule>
    <cfRule type="expression" priority="3348" dxfId="22">
      <formula>AV184="후보"</formula>
    </cfRule>
  </conditionalFormatting>
  <conditionalFormatting sqref="AC18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8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84">
    <cfRule type="expression" priority="3339" dxfId="3">
      <formula>AND(IF(OR($Q184=1,$Q184=2),1,0),IF($X184&lt;=20,1,0))</formula>
    </cfRule>
    <cfRule type="expression" priority="3340" dxfId="2">
      <formula>AND(IF($Q184=2,1,0),IF($X184&lt;30,1,0))</formula>
    </cfRule>
    <cfRule type="expression" priority="3341" dxfId="1">
      <formula>AND(IF($Q184=3,1,0),IF($X184&lt;30,1,0))</formula>
    </cfRule>
    <cfRule type="expression" priority="3342" dxfId="0">
      <formula>AND(IF($Q184=3,1,IF($Q184=4,1,0)),IF($F184&lt;=85,1,0))</formula>
    </cfRule>
  </conditionalFormatting>
  <conditionalFormatting sqref="X184">
    <cfRule type="expression" priority="3335" dxfId="3">
      <formula>AND(IF(OR($Q184=1,$Q184=2),1,0),IF($X184&lt;=20,1,0))</formula>
    </cfRule>
    <cfRule type="expression" priority="3336" dxfId="2">
      <formula>AND(IF($Q184=2,1,0),IF($X184&lt;30,1,0))</formula>
    </cfRule>
    <cfRule type="expression" priority="3337" dxfId="1">
      <formula>AND(IF($Q184=3,1,0),IF($X184&lt;30,1,0))</formula>
    </cfRule>
    <cfRule type="expression" priority="3338" dxfId="0">
      <formula>AND(IF($Q184=3,1,IF($Q184=4,1,0)),IF($F184&lt;=85,1,0))</formula>
    </cfRule>
  </conditionalFormatting>
  <conditionalFormatting sqref="AI184">
    <cfRule type="expression" priority="3331" dxfId="3">
      <formula>AND(IF(OR($Q184=1,$Q184=2),1,0),IF($X184&lt;=20,1,0))</formula>
    </cfRule>
    <cfRule type="expression" priority="3332" dxfId="2">
      <formula>AND(IF($Q184=2,1,0),IF($X184&lt;30,1,0))</formula>
    </cfRule>
    <cfRule type="expression" priority="3333" dxfId="1">
      <formula>AND(IF($Q184=3,1,0),IF($X184&lt;30,1,0))</formula>
    </cfRule>
    <cfRule type="expression" priority="3334" dxfId="0">
      <formula>AND(IF($Q184=3,1,IF($Q184=4,1,0)),IF($F184&lt;=85,1,0))</formula>
    </cfRule>
  </conditionalFormatting>
  <conditionalFormatting sqref="AV185">
    <cfRule type="expression" priority="3329" dxfId="23">
      <formula>AV185="X"</formula>
    </cfRule>
    <cfRule type="expression" priority="3330" dxfId="22">
      <formula>AV185="후보"</formula>
    </cfRule>
  </conditionalFormatting>
  <conditionalFormatting sqref="AC18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8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85">
    <cfRule type="expression" priority="3321" dxfId="3">
      <formula>AND(IF(OR($Q185=1,$Q185=2),1,0),IF($X185&lt;=20,1,0))</formula>
    </cfRule>
    <cfRule type="expression" priority="3322" dxfId="2">
      <formula>AND(IF($Q185=2,1,0),IF($X185&lt;30,1,0))</formula>
    </cfRule>
    <cfRule type="expression" priority="3323" dxfId="1">
      <formula>AND(IF($Q185=3,1,0),IF($X185&lt;30,1,0))</formula>
    </cfRule>
    <cfRule type="expression" priority="3324" dxfId="0">
      <formula>AND(IF($Q185=3,1,IF($Q185=4,1,0)),IF($F185&lt;=85,1,0))</formula>
    </cfRule>
  </conditionalFormatting>
  <conditionalFormatting sqref="X185">
    <cfRule type="expression" priority="3317" dxfId="3">
      <formula>AND(IF(OR($Q185=1,$Q185=2),1,0),IF($X185&lt;=20,1,0))</formula>
    </cfRule>
    <cfRule type="expression" priority="3318" dxfId="2">
      <formula>AND(IF($Q185=2,1,0),IF($X185&lt;30,1,0))</formula>
    </cfRule>
    <cfRule type="expression" priority="3319" dxfId="1">
      <formula>AND(IF($Q185=3,1,0),IF($X185&lt;30,1,0))</formula>
    </cfRule>
    <cfRule type="expression" priority="3320" dxfId="0">
      <formula>AND(IF($Q185=3,1,IF($Q185=4,1,0)),IF($F185&lt;=85,1,0))</formula>
    </cfRule>
  </conditionalFormatting>
  <conditionalFormatting sqref="AI185">
    <cfRule type="expression" priority="3313" dxfId="3">
      <formula>AND(IF(OR($Q185=1,$Q185=2),1,0),IF($X185&lt;=20,1,0))</formula>
    </cfRule>
    <cfRule type="expression" priority="3314" dxfId="2">
      <formula>AND(IF($Q185=2,1,0),IF($X185&lt;30,1,0))</formula>
    </cfRule>
    <cfRule type="expression" priority="3315" dxfId="1">
      <formula>AND(IF($Q185=3,1,0),IF($X185&lt;30,1,0))</formula>
    </cfRule>
    <cfRule type="expression" priority="3316" dxfId="0">
      <formula>AND(IF($Q185=3,1,IF($Q185=4,1,0)),IF($F185&lt;=85,1,0))</formula>
    </cfRule>
  </conditionalFormatting>
  <conditionalFormatting sqref="AV186">
    <cfRule type="expression" priority="3311" dxfId="23">
      <formula>AV186="X"</formula>
    </cfRule>
    <cfRule type="expression" priority="3312" dxfId="22">
      <formula>AV186="후보"</formula>
    </cfRule>
  </conditionalFormatting>
  <conditionalFormatting sqref="AC18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8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86">
    <cfRule type="expression" priority="3303" dxfId="3">
      <formula>AND(IF(OR($Q186=1,$Q186=2),1,0),IF($X186&lt;=20,1,0))</formula>
    </cfRule>
    <cfRule type="expression" priority="3304" dxfId="2">
      <formula>AND(IF($Q186=2,1,0),IF($X186&lt;30,1,0))</formula>
    </cfRule>
    <cfRule type="expression" priority="3305" dxfId="1">
      <formula>AND(IF($Q186=3,1,0),IF($X186&lt;30,1,0))</formula>
    </cfRule>
    <cfRule type="expression" priority="3306" dxfId="0">
      <formula>AND(IF($Q186=3,1,IF($Q186=4,1,0)),IF($F186&lt;=85,1,0))</formula>
    </cfRule>
  </conditionalFormatting>
  <conditionalFormatting sqref="X186">
    <cfRule type="expression" priority="3299" dxfId="3">
      <formula>AND(IF(OR($Q186=1,$Q186=2),1,0),IF($X186&lt;=20,1,0))</formula>
    </cfRule>
    <cfRule type="expression" priority="3300" dxfId="2">
      <formula>AND(IF($Q186=2,1,0),IF($X186&lt;30,1,0))</formula>
    </cfRule>
    <cfRule type="expression" priority="3301" dxfId="1">
      <formula>AND(IF($Q186=3,1,0),IF($X186&lt;30,1,0))</formula>
    </cfRule>
    <cfRule type="expression" priority="3302" dxfId="0">
      <formula>AND(IF($Q186=3,1,IF($Q186=4,1,0)),IF($F186&lt;=85,1,0))</formula>
    </cfRule>
  </conditionalFormatting>
  <conditionalFormatting sqref="AI186">
    <cfRule type="expression" priority="3295" dxfId="3">
      <formula>AND(IF(OR($Q186=1,$Q186=2),1,0),IF($X186&lt;=20,1,0))</formula>
    </cfRule>
    <cfRule type="expression" priority="3296" dxfId="2">
      <formula>AND(IF($Q186=2,1,0),IF($X186&lt;30,1,0))</formula>
    </cfRule>
    <cfRule type="expression" priority="3297" dxfId="1">
      <formula>AND(IF($Q186=3,1,0),IF($X186&lt;30,1,0))</formula>
    </cfRule>
    <cfRule type="expression" priority="3298" dxfId="0">
      <formula>AND(IF($Q186=3,1,IF($Q186=4,1,0)),IF($F186&lt;=85,1,0))</formula>
    </cfRule>
  </conditionalFormatting>
  <conditionalFormatting sqref="AV187">
    <cfRule type="expression" priority="3293" dxfId="23">
      <formula>AV187="X"</formula>
    </cfRule>
    <cfRule type="expression" priority="3294" dxfId="22">
      <formula>AV187="후보"</formula>
    </cfRule>
  </conditionalFormatting>
  <conditionalFormatting sqref="AC18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8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87">
    <cfRule type="expression" priority="3285" dxfId="3">
      <formula>AND(IF(OR($Q187=1,$Q187=2),1,0),IF($X187&lt;=20,1,0))</formula>
    </cfRule>
    <cfRule type="expression" priority="3286" dxfId="2">
      <formula>AND(IF($Q187=2,1,0),IF($X187&lt;30,1,0))</formula>
    </cfRule>
    <cfRule type="expression" priority="3287" dxfId="1">
      <formula>AND(IF($Q187=3,1,0),IF($X187&lt;30,1,0))</formula>
    </cfRule>
    <cfRule type="expression" priority="3288" dxfId="0">
      <formula>AND(IF($Q187=3,1,IF($Q187=4,1,0)),IF($F187&lt;=85,1,0))</formula>
    </cfRule>
  </conditionalFormatting>
  <conditionalFormatting sqref="X187">
    <cfRule type="expression" priority="3281" dxfId="3">
      <formula>AND(IF(OR($Q187=1,$Q187=2),1,0),IF($X187&lt;=20,1,0))</formula>
    </cfRule>
    <cfRule type="expression" priority="3282" dxfId="2">
      <formula>AND(IF($Q187=2,1,0),IF($X187&lt;30,1,0))</formula>
    </cfRule>
    <cfRule type="expression" priority="3283" dxfId="1">
      <formula>AND(IF($Q187=3,1,0),IF($X187&lt;30,1,0))</formula>
    </cfRule>
    <cfRule type="expression" priority="3284" dxfId="0">
      <formula>AND(IF($Q187=3,1,IF($Q187=4,1,0)),IF($F187&lt;=85,1,0))</formula>
    </cfRule>
  </conditionalFormatting>
  <conditionalFormatting sqref="AI187">
    <cfRule type="expression" priority="3277" dxfId="3">
      <formula>AND(IF(OR($Q187=1,$Q187=2),1,0),IF($X187&lt;=20,1,0))</formula>
    </cfRule>
    <cfRule type="expression" priority="3278" dxfId="2">
      <formula>AND(IF($Q187=2,1,0),IF($X187&lt;30,1,0))</formula>
    </cfRule>
    <cfRule type="expression" priority="3279" dxfId="1">
      <formula>AND(IF($Q187=3,1,0),IF($X187&lt;30,1,0))</formula>
    </cfRule>
    <cfRule type="expression" priority="3280" dxfId="0">
      <formula>AND(IF($Q187=3,1,IF($Q187=4,1,0)),IF($F187&lt;=85,1,0))</formula>
    </cfRule>
  </conditionalFormatting>
  <conditionalFormatting sqref="AV188">
    <cfRule type="expression" priority="3275" dxfId="23">
      <formula>AV188="X"</formula>
    </cfRule>
    <cfRule type="expression" priority="3276" dxfId="22">
      <formula>AV188="후보"</formula>
    </cfRule>
  </conditionalFormatting>
  <conditionalFormatting sqref="AC18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8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88">
    <cfRule type="expression" priority="3267" dxfId="3">
      <formula>AND(IF(OR($Q188=1,$Q188=2),1,0),IF($X188&lt;=20,1,0))</formula>
    </cfRule>
    <cfRule type="expression" priority="3268" dxfId="2">
      <formula>AND(IF($Q188=2,1,0),IF($X188&lt;30,1,0))</formula>
    </cfRule>
    <cfRule type="expression" priority="3269" dxfId="1">
      <formula>AND(IF($Q188=3,1,0),IF($X188&lt;30,1,0))</formula>
    </cfRule>
    <cfRule type="expression" priority="3270" dxfId="0">
      <formula>AND(IF($Q188=3,1,IF($Q188=4,1,0)),IF($F188&lt;=85,1,0))</formula>
    </cfRule>
  </conditionalFormatting>
  <conditionalFormatting sqref="X188">
    <cfRule type="expression" priority="3263" dxfId="3">
      <formula>AND(IF(OR($Q188=1,$Q188=2),1,0),IF($X188&lt;=20,1,0))</formula>
    </cfRule>
    <cfRule type="expression" priority="3264" dxfId="2">
      <formula>AND(IF($Q188=2,1,0),IF($X188&lt;30,1,0))</formula>
    </cfRule>
    <cfRule type="expression" priority="3265" dxfId="1">
      <formula>AND(IF($Q188=3,1,0),IF($X188&lt;30,1,0))</formula>
    </cfRule>
    <cfRule type="expression" priority="3266" dxfId="0">
      <formula>AND(IF($Q188=3,1,IF($Q188=4,1,0)),IF($F188&lt;=85,1,0))</formula>
    </cfRule>
  </conditionalFormatting>
  <conditionalFormatting sqref="AI188">
    <cfRule type="expression" priority="3259" dxfId="3">
      <formula>AND(IF(OR($Q188=1,$Q188=2),1,0),IF($X188&lt;=20,1,0))</formula>
    </cfRule>
    <cfRule type="expression" priority="3260" dxfId="2">
      <formula>AND(IF($Q188=2,1,0),IF($X188&lt;30,1,0))</formula>
    </cfRule>
    <cfRule type="expression" priority="3261" dxfId="1">
      <formula>AND(IF($Q188=3,1,0),IF($X188&lt;30,1,0))</formula>
    </cfRule>
    <cfRule type="expression" priority="3262" dxfId="0">
      <formula>AND(IF($Q188=3,1,IF($Q188=4,1,0)),IF($F188&lt;=85,1,0))</formula>
    </cfRule>
  </conditionalFormatting>
  <conditionalFormatting sqref="AV189">
    <cfRule type="expression" priority="3257" dxfId="23">
      <formula>AV189="X"</formula>
    </cfRule>
    <cfRule type="expression" priority="3258" dxfId="22">
      <formula>AV189="후보"</formula>
    </cfRule>
  </conditionalFormatting>
  <conditionalFormatting sqref="AC18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8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89">
    <cfRule type="expression" priority="3249" dxfId="3">
      <formula>AND(IF(OR($Q189=1,$Q189=2),1,0),IF($X189&lt;=20,1,0))</formula>
    </cfRule>
    <cfRule type="expression" priority="3250" dxfId="2">
      <formula>AND(IF($Q189=2,1,0),IF($X189&lt;30,1,0))</formula>
    </cfRule>
    <cfRule type="expression" priority="3251" dxfId="1">
      <formula>AND(IF($Q189=3,1,0),IF($X189&lt;30,1,0))</formula>
    </cfRule>
    <cfRule type="expression" priority="3252" dxfId="0">
      <formula>AND(IF($Q189=3,1,IF($Q189=4,1,0)),IF($F189&lt;=85,1,0))</formula>
    </cfRule>
  </conditionalFormatting>
  <conditionalFormatting sqref="X189">
    <cfRule type="expression" priority="3245" dxfId="3">
      <formula>AND(IF(OR($Q189=1,$Q189=2),1,0),IF($X189&lt;=20,1,0))</formula>
    </cfRule>
    <cfRule type="expression" priority="3246" dxfId="2">
      <formula>AND(IF($Q189=2,1,0),IF($X189&lt;30,1,0))</formula>
    </cfRule>
    <cfRule type="expression" priority="3247" dxfId="1">
      <formula>AND(IF($Q189=3,1,0),IF($X189&lt;30,1,0))</formula>
    </cfRule>
    <cfRule type="expression" priority="3248" dxfId="0">
      <formula>AND(IF($Q189=3,1,IF($Q189=4,1,0)),IF($F189&lt;=85,1,0))</formula>
    </cfRule>
  </conditionalFormatting>
  <conditionalFormatting sqref="AI189">
    <cfRule type="expression" priority="3241" dxfId="3">
      <formula>AND(IF(OR($Q189=1,$Q189=2),1,0),IF($X189&lt;=20,1,0))</formula>
    </cfRule>
    <cfRule type="expression" priority="3242" dxfId="2">
      <formula>AND(IF($Q189=2,1,0),IF($X189&lt;30,1,0))</formula>
    </cfRule>
    <cfRule type="expression" priority="3243" dxfId="1">
      <formula>AND(IF($Q189=3,1,0),IF($X189&lt;30,1,0))</formula>
    </cfRule>
    <cfRule type="expression" priority="3244" dxfId="0">
      <formula>AND(IF($Q189=3,1,IF($Q189=4,1,0)),IF($F189&lt;=85,1,0))</formula>
    </cfRule>
  </conditionalFormatting>
  <conditionalFormatting sqref="AV190">
    <cfRule type="expression" priority="3239" dxfId="23">
      <formula>AV190="X"</formula>
    </cfRule>
    <cfRule type="expression" priority="3240" dxfId="22">
      <formula>AV190="후보"</formula>
    </cfRule>
  </conditionalFormatting>
  <conditionalFormatting sqref="AC19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9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90">
    <cfRule type="expression" priority="3231" dxfId="3">
      <formula>AND(IF(OR($Q190=1,$Q190=2),1,0),IF($X190&lt;=20,1,0))</formula>
    </cfRule>
    <cfRule type="expression" priority="3232" dxfId="2">
      <formula>AND(IF($Q190=2,1,0),IF($X190&lt;30,1,0))</formula>
    </cfRule>
    <cfRule type="expression" priority="3233" dxfId="1">
      <formula>AND(IF($Q190=3,1,0),IF($X190&lt;30,1,0))</formula>
    </cfRule>
    <cfRule type="expression" priority="3234" dxfId="0">
      <formula>AND(IF($Q190=3,1,IF($Q190=4,1,0)),IF($F190&lt;=85,1,0))</formula>
    </cfRule>
  </conditionalFormatting>
  <conditionalFormatting sqref="X190">
    <cfRule type="expression" priority="3227" dxfId="3">
      <formula>AND(IF(OR($Q190=1,$Q190=2),1,0),IF($X190&lt;=20,1,0))</formula>
    </cfRule>
    <cfRule type="expression" priority="3228" dxfId="2">
      <formula>AND(IF($Q190=2,1,0),IF($X190&lt;30,1,0))</formula>
    </cfRule>
    <cfRule type="expression" priority="3229" dxfId="1">
      <formula>AND(IF($Q190=3,1,0),IF($X190&lt;30,1,0))</formula>
    </cfRule>
    <cfRule type="expression" priority="3230" dxfId="0">
      <formula>AND(IF($Q190=3,1,IF($Q190=4,1,0)),IF($F190&lt;=85,1,0))</formula>
    </cfRule>
  </conditionalFormatting>
  <conditionalFormatting sqref="AI190">
    <cfRule type="expression" priority="3223" dxfId="3">
      <formula>AND(IF(OR($Q190=1,$Q190=2),1,0),IF($X190&lt;=20,1,0))</formula>
    </cfRule>
    <cfRule type="expression" priority="3224" dxfId="2">
      <formula>AND(IF($Q190=2,1,0),IF($X190&lt;30,1,0))</formula>
    </cfRule>
    <cfRule type="expression" priority="3225" dxfId="1">
      <formula>AND(IF($Q190=3,1,0),IF($X190&lt;30,1,0))</formula>
    </cfRule>
    <cfRule type="expression" priority="3226" dxfId="0">
      <formula>AND(IF($Q190=3,1,IF($Q190=4,1,0)),IF($F190&lt;=85,1,0))</formula>
    </cfRule>
  </conditionalFormatting>
  <conditionalFormatting sqref="AV191">
    <cfRule type="expression" priority="3221" dxfId="23">
      <formula>AV191="X"</formula>
    </cfRule>
    <cfRule type="expression" priority="3222" dxfId="22">
      <formula>AV191="후보"</formula>
    </cfRule>
  </conditionalFormatting>
  <conditionalFormatting sqref="AC19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9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91">
    <cfRule type="expression" priority="3213" dxfId="3">
      <formula>AND(IF(OR($Q191=1,$Q191=2),1,0),IF($X191&lt;=20,1,0))</formula>
    </cfRule>
    <cfRule type="expression" priority="3214" dxfId="2">
      <formula>AND(IF($Q191=2,1,0),IF($X191&lt;30,1,0))</formula>
    </cfRule>
    <cfRule type="expression" priority="3215" dxfId="1">
      <formula>AND(IF($Q191=3,1,0),IF($X191&lt;30,1,0))</formula>
    </cfRule>
    <cfRule type="expression" priority="3216" dxfId="0">
      <formula>AND(IF($Q191=3,1,IF($Q191=4,1,0)),IF($F191&lt;=85,1,0))</formula>
    </cfRule>
  </conditionalFormatting>
  <conditionalFormatting sqref="X191">
    <cfRule type="expression" priority="3209" dxfId="3">
      <formula>AND(IF(OR($Q191=1,$Q191=2),1,0),IF($X191&lt;=20,1,0))</formula>
    </cfRule>
    <cfRule type="expression" priority="3210" dxfId="2">
      <formula>AND(IF($Q191=2,1,0),IF($X191&lt;30,1,0))</formula>
    </cfRule>
    <cfRule type="expression" priority="3211" dxfId="1">
      <formula>AND(IF($Q191=3,1,0),IF($X191&lt;30,1,0))</formula>
    </cfRule>
    <cfRule type="expression" priority="3212" dxfId="0">
      <formula>AND(IF($Q191=3,1,IF($Q191=4,1,0)),IF($F191&lt;=85,1,0))</formula>
    </cfRule>
  </conditionalFormatting>
  <conditionalFormatting sqref="AI191">
    <cfRule type="expression" priority="3205" dxfId="3">
      <formula>AND(IF(OR($Q191=1,$Q191=2),1,0),IF($X191&lt;=20,1,0))</formula>
    </cfRule>
    <cfRule type="expression" priority="3206" dxfId="2">
      <formula>AND(IF($Q191=2,1,0),IF($X191&lt;30,1,0))</formula>
    </cfRule>
    <cfRule type="expression" priority="3207" dxfId="1">
      <formula>AND(IF($Q191=3,1,0),IF($X191&lt;30,1,0))</formula>
    </cfRule>
    <cfRule type="expression" priority="3208" dxfId="0">
      <formula>AND(IF($Q191=3,1,IF($Q191=4,1,0)),IF($F191&lt;=85,1,0))</formula>
    </cfRule>
  </conditionalFormatting>
  <conditionalFormatting sqref="AV192">
    <cfRule type="expression" priority="3203" dxfId="23">
      <formula>AV192="X"</formula>
    </cfRule>
    <cfRule type="expression" priority="3204" dxfId="22">
      <formula>AV192="후보"</formula>
    </cfRule>
  </conditionalFormatting>
  <conditionalFormatting sqref="AC19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9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92">
    <cfRule type="expression" priority="3195" dxfId="3">
      <formula>AND(IF(OR($Q192=1,$Q192=2),1,0),IF($X192&lt;=20,1,0))</formula>
    </cfRule>
    <cfRule type="expression" priority="3196" dxfId="2">
      <formula>AND(IF($Q192=2,1,0),IF($X192&lt;30,1,0))</formula>
    </cfRule>
    <cfRule type="expression" priority="3197" dxfId="1">
      <formula>AND(IF($Q192=3,1,0),IF($X192&lt;30,1,0))</formula>
    </cfRule>
    <cfRule type="expression" priority="3198" dxfId="0">
      <formula>AND(IF($Q192=3,1,IF($Q192=4,1,0)),IF($F192&lt;=85,1,0))</formula>
    </cfRule>
  </conditionalFormatting>
  <conditionalFormatting sqref="X192">
    <cfRule type="expression" priority="3191" dxfId="3">
      <formula>AND(IF(OR($Q192=1,$Q192=2),1,0),IF($X192&lt;=20,1,0))</formula>
    </cfRule>
    <cfRule type="expression" priority="3192" dxfId="2">
      <formula>AND(IF($Q192=2,1,0),IF($X192&lt;30,1,0))</formula>
    </cfRule>
    <cfRule type="expression" priority="3193" dxfId="1">
      <formula>AND(IF($Q192=3,1,0),IF($X192&lt;30,1,0))</formula>
    </cfRule>
    <cfRule type="expression" priority="3194" dxfId="0">
      <formula>AND(IF($Q192=3,1,IF($Q192=4,1,0)),IF($F192&lt;=85,1,0))</formula>
    </cfRule>
  </conditionalFormatting>
  <conditionalFormatting sqref="AI192">
    <cfRule type="expression" priority="3187" dxfId="3">
      <formula>AND(IF(OR($Q192=1,$Q192=2),1,0),IF($X192&lt;=20,1,0))</formula>
    </cfRule>
    <cfRule type="expression" priority="3188" dxfId="2">
      <formula>AND(IF($Q192=2,1,0),IF($X192&lt;30,1,0))</formula>
    </cfRule>
    <cfRule type="expression" priority="3189" dxfId="1">
      <formula>AND(IF($Q192=3,1,0),IF($X192&lt;30,1,0))</formula>
    </cfRule>
    <cfRule type="expression" priority="3190" dxfId="0">
      <formula>AND(IF($Q192=3,1,IF($Q192=4,1,0)),IF($F192&lt;=85,1,0))</formula>
    </cfRule>
  </conditionalFormatting>
  <conditionalFormatting sqref="AV193">
    <cfRule type="expression" priority="3185" dxfId="23">
      <formula>AV193="X"</formula>
    </cfRule>
    <cfRule type="expression" priority="3186" dxfId="22">
      <formula>AV193="후보"</formula>
    </cfRule>
  </conditionalFormatting>
  <conditionalFormatting sqref="AC19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9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93">
    <cfRule type="expression" priority="3177" dxfId="3">
      <formula>AND(IF(OR($Q193=1,$Q193=2),1,0),IF($X193&lt;=20,1,0))</formula>
    </cfRule>
    <cfRule type="expression" priority="3178" dxfId="2">
      <formula>AND(IF($Q193=2,1,0),IF($X193&lt;30,1,0))</formula>
    </cfRule>
    <cfRule type="expression" priority="3179" dxfId="1">
      <formula>AND(IF($Q193=3,1,0),IF($X193&lt;30,1,0))</formula>
    </cfRule>
    <cfRule type="expression" priority="3180" dxfId="0">
      <formula>AND(IF($Q193=3,1,IF($Q193=4,1,0)),IF($F193&lt;=85,1,0))</formula>
    </cfRule>
  </conditionalFormatting>
  <conditionalFormatting sqref="X193">
    <cfRule type="expression" priority="3173" dxfId="3">
      <formula>AND(IF(OR($Q193=1,$Q193=2),1,0),IF($X193&lt;=20,1,0))</formula>
    </cfRule>
    <cfRule type="expression" priority="3174" dxfId="2">
      <formula>AND(IF($Q193=2,1,0),IF($X193&lt;30,1,0))</formula>
    </cfRule>
    <cfRule type="expression" priority="3175" dxfId="1">
      <formula>AND(IF($Q193=3,1,0),IF($X193&lt;30,1,0))</formula>
    </cfRule>
    <cfRule type="expression" priority="3176" dxfId="0">
      <formula>AND(IF($Q193=3,1,IF($Q193=4,1,0)),IF($F193&lt;=85,1,0))</formula>
    </cfRule>
  </conditionalFormatting>
  <conditionalFormatting sqref="AI193">
    <cfRule type="expression" priority="3169" dxfId="3">
      <formula>AND(IF(OR($Q193=1,$Q193=2),1,0),IF($X193&lt;=20,1,0))</formula>
    </cfRule>
    <cfRule type="expression" priority="3170" dxfId="2">
      <formula>AND(IF($Q193=2,1,0),IF($X193&lt;30,1,0))</formula>
    </cfRule>
    <cfRule type="expression" priority="3171" dxfId="1">
      <formula>AND(IF($Q193=3,1,0),IF($X193&lt;30,1,0))</formula>
    </cfRule>
    <cfRule type="expression" priority="3172" dxfId="0">
      <formula>AND(IF($Q193=3,1,IF($Q193=4,1,0)),IF($F193&lt;=85,1,0))</formula>
    </cfRule>
  </conditionalFormatting>
  <conditionalFormatting sqref="AV194">
    <cfRule type="expression" priority="3167" dxfId="23">
      <formula>AV194="X"</formula>
    </cfRule>
    <cfRule type="expression" priority="3168" dxfId="22">
      <formula>AV194="후보"</formula>
    </cfRule>
  </conditionalFormatting>
  <conditionalFormatting sqref="AC19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9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94">
    <cfRule type="expression" priority="3159" dxfId="3">
      <formula>AND(IF(OR($Q194=1,$Q194=2),1,0),IF($X194&lt;=20,1,0))</formula>
    </cfRule>
    <cfRule type="expression" priority="3160" dxfId="2">
      <formula>AND(IF($Q194=2,1,0),IF($X194&lt;30,1,0))</formula>
    </cfRule>
    <cfRule type="expression" priority="3161" dxfId="1">
      <formula>AND(IF($Q194=3,1,0),IF($X194&lt;30,1,0))</formula>
    </cfRule>
    <cfRule type="expression" priority="3162" dxfId="0">
      <formula>AND(IF($Q194=3,1,IF($Q194=4,1,0)),IF($F194&lt;=85,1,0))</formula>
    </cfRule>
  </conditionalFormatting>
  <conditionalFormatting sqref="X194">
    <cfRule type="expression" priority="3155" dxfId="3">
      <formula>AND(IF(OR($Q194=1,$Q194=2),1,0),IF($X194&lt;=20,1,0))</formula>
    </cfRule>
    <cfRule type="expression" priority="3156" dxfId="2">
      <formula>AND(IF($Q194=2,1,0),IF($X194&lt;30,1,0))</formula>
    </cfRule>
    <cfRule type="expression" priority="3157" dxfId="1">
      <formula>AND(IF($Q194=3,1,0),IF($X194&lt;30,1,0))</formula>
    </cfRule>
    <cfRule type="expression" priority="3158" dxfId="0">
      <formula>AND(IF($Q194=3,1,IF($Q194=4,1,0)),IF($F194&lt;=85,1,0))</formula>
    </cfRule>
  </conditionalFormatting>
  <conditionalFormatting sqref="AI194">
    <cfRule type="expression" priority="3151" dxfId="3">
      <formula>AND(IF(OR($Q194=1,$Q194=2),1,0),IF($X194&lt;=20,1,0))</formula>
    </cfRule>
    <cfRule type="expression" priority="3152" dxfId="2">
      <formula>AND(IF($Q194=2,1,0),IF($X194&lt;30,1,0))</formula>
    </cfRule>
    <cfRule type="expression" priority="3153" dxfId="1">
      <formula>AND(IF($Q194=3,1,0),IF($X194&lt;30,1,0))</formula>
    </cfRule>
    <cfRule type="expression" priority="3154" dxfId="0">
      <formula>AND(IF($Q194=3,1,IF($Q194=4,1,0)),IF($F194&lt;=85,1,0))</formula>
    </cfRule>
  </conditionalFormatting>
  <conditionalFormatting sqref="AV195">
    <cfRule type="expression" priority="3149" dxfId="23">
      <formula>AV195="X"</formula>
    </cfRule>
    <cfRule type="expression" priority="3150" dxfId="22">
      <formula>AV195="후보"</formula>
    </cfRule>
  </conditionalFormatting>
  <conditionalFormatting sqref="AC19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9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95">
    <cfRule type="expression" priority="3141" dxfId="3">
      <formula>AND(IF(OR($Q195=1,$Q195=2),1,0),IF($X195&lt;=20,1,0))</formula>
    </cfRule>
    <cfRule type="expression" priority="3142" dxfId="2">
      <formula>AND(IF($Q195=2,1,0),IF($X195&lt;30,1,0))</formula>
    </cfRule>
    <cfRule type="expression" priority="3143" dxfId="1">
      <formula>AND(IF($Q195=3,1,0),IF($X195&lt;30,1,0))</formula>
    </cfRule>
    <cfRule type="expression" priority="3144" dxfId="0">
      <formula>AND(IF($Q195=3,1,IF($Q195=4,1,0)),IF($F195&lt;=85,1,0))</formula>
    </cfRule>
  </conditionalFormatting>
  <conditionalFormatting sqref="X195">
    <cfRule type="expression" priority="3137" dxfId="3">
      <formula>AND(IF(OR($Q195=1,$Q195=2),1,0),IF($X195&lt;=20,1,0))</formula>
    </cfRule>
    <cfRule type="expression" priority="3138" dxfId="2">
      <formula>AND(IF($Q195=2,1,0),IF($X195&lt;30,1,0))</formula>
    </cfRule>
    <cfRule type="expression" priority="3139" dxfId="1">
      <formula>AND(IF($Q195=3,1,0),IF($X195&lt;30,1,0))</formula>
    </cfRule>
    <cfRule type="expression" priority="3140" dxfId="0">
      <formula>AND(IF($Q195=3,1,IF($Q195=4,1,0)),IF($F195&lt;=85,1,0))</formula>
    </cfRule>
  </conditionalFormatting>
  <conditionalFormatting sqref="AI195">
    <cfRule type="expression" priority="3133" dxfId="3">
      <formula>AND(IF(OR($Q195=1,$Q195=2),1,0),IF($X195&lt;=20,1,0))</formula>
    </cfRule>
    <cfRule type="expression" priority="3134" dxfId="2">
      <formula>AND(IF($Q195=2,1,0),IF($X195&lt;30,1,0))</formula>
    </cfRule>
    <cfRule type="expression" priority="3135" dxfId="1">
      <formula>AND(IF($Q195=3,1,0),IF($X195&lt;30,1,0))</formula>
    </cfRule>
    <cfRule type="expression" priority="3136" dxfId="0">
      <formula>AND(IF($Q195=3,1,IF($Q195=4,1,0)),IF($F195&lt;=85,1,0))</formula>
    </cfRule>
  </conditionalFormatting>
  <conditionalFormatting sqref="AV196">
    <cfRule type="expression" priority="3131" dxfId="23">
      <formula>AV196="X"</formula>
    </cfRule>
    <cfRule type="expression" priority="3132" dxfId="22">
      <formula>AV196="후보"</formula>
    </cfRule>
  </conditionalFormatting>
  <conditionalFormatting sqref="AC19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9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96">
    <cfRule type="expression" priority="3123" dxfId="3">
      <formula>AND(IF(OR($Q196=1,$Q196=2),1,0),IF($X196&lt;=20,1,0))</formula>
    </cfRule>
    <cfRule type="expression" priority="3124" dxfId="2">
      <formula>AND(IF($Q196=2,1,0),IF($X196&lt;30,1,0))</formula>
    </cfRule>
    <cfRule type="expression" priority="3125" dxfId="1">
      <formula>AND(IF($Q196=3,1,0),IF($X196&lt;30,1,0))</formula>
    </cfRule>
    <cfRule type="expression" priority="3126" dxfId="0">
      <formula>AND(IF($Q196=3,1,IF($Q196=4,1,0)),IF($F196&lt;=85,1,0))</formula>
    </cfRule>
  </conditionalFormatting>
  <conditionalFormatting sqref="X196">
    <cfRule type="expression" priority="3119" dxfId="3">
      <formula>AND(IF(OR($Q196=1,$Q196=2),1,0),IF($X196&lt;=20,1,0))</formula>
    </cfRule>
    <cfRule type="expression" priority="3120" dxfId="2">
      <formula>AND(IF($Q196=2,1,0),IF($X196&lt;30,1,0))</formula>
    </cfRule>
    <cfRule type="expression" priority="3121" dxfId="1">
      <formula>AND(IF($Q196=3,1,0),IF($X196&lt;30,1,0))</formula>
    </cfRule>
    <cfRule type="expression" priority="3122" dxfId="0">
      <formula>AND(IF($Q196=3,1,IF($Q196=4,1,0)),IF($F196&lt;=85,1,0))</formula>
    </cfRule>
  </conditionalFormatting>
  <conditionalFormatting sqref="AI196">
    <cfRule type="expression" priority="3115" dxfId="3">
      <formula>AND(IF(OR($Q196=1,$Q196=2),1,0),IF($X196&lt;=20,1,0))</formula>
    </cfRule>
    <cfRule type="expression" priority="3116" dxfId="2">
      <formula>AND(IF($Q196=2,1,0),IF($X196&lt;30,1,0))</formula>
    </cfRule>
    <cfRule type="expression" priority="3117" dxfId="1">
      <formula>AND(IF($Q196=3,1,0),IF($X196&lt;30,1,0))</formula>
    </cfRule>
    <cfRule type="expression" priority="3118" dxfId="0">
      <formula>AND(IF($Q196=3,1,IF($Q196=4,1,0)),IF($F196&lt;=85,1,0))</formula>
    </cfRule>
  </conditionalFormatting>
  <conditionalFormatting sqref="AV197">
    <cfRule type="expression" priority="3113" dxfId="23">
      <formula>AV197="X"</formula>
    </cfRule>
    <cfRule type="expression" priority="3114" dxfId="22">
      <formula>AV197="후보"</formula>
    </cfRule>
  </conditionalFormatting>
  <conditionalFormatting sqref="AC19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9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97">
    <cfRule type="expression" priority="3105" dxfId="3">
      <formula>AND(IF(OR($Q197=1,$Q197=2),1,0),IF($X197&lt;=20,1,0))</formula>
    </cfRule>
    <cfRule type="expression" priority="3106" dxfId="2">
      <formula>AND(IF($Q197=2,1,0),IF($X197&lt;30,1,0))</formula>
    </cfRule>
    <cfRule type="expression" priority="3107" dxfId="1">
      <formula>AND(IF($Q197=3,1,0),IF($X197&lt;30,1,0))</formula>
    </cfRule>
    <cfRule type="expression" priority="3108" dxfId="0">
      <formula>AND(IF($Q197=3,1,IF($Q197=4,1,0)),IF($F197&lt;=85,1,0))</formula>
    </cfRule>
  </conditionalFormatting>
  <conditionalFormatting sqref="X197">
    <cfRule type="expression" priority="3101" dxfId="3">
      <formula>AND(IF(OR($Q197=1,$Q197=2),1,0),IF($X197&lt;=20,1,0))</formula>
    </cfRule>
    <cfRule type="expression" priority="3102" dxfId="2">
      <formula>AND(IF($Q197=2,1,0),IF($X197&lt;30,1,0))</formula>
    </cfRule>
    <cfRule type="expression" priority="3103" dxfId="1">
      <formula>AND(IF($Q197=3,1,0),IF($X197&lt;30,1,0))</formula>
    </cfRule>
    <cfRule type="expression" priority="3104" dxfId="0">
      <formula>AND(IF($Q197=3,1,IF($Q197=4,1,0)),IF($F197&lt;=85,1,0))</formula>
    </cfRule>
  </conditionalFormatting>
  <conditionalFormatting sqref="AI197">
    <cfRule type="expression" priority="3097" dxfId="3">
      <formula>AND(IF(OR($Q197=1,$Q197=2),1,0),IF($X197&lt;=20,1,0))</formula>
    </cfRule>
    <cfRule type="expression" priority="3098" dxfId="2">
      <formula>AND(IF($Q197=2,1,0),IF($X197&lt;30,1,0))</formula>
    </cfRule>
    <cfRule type="expression" priority="3099" dxfId="1">
      <formula>AND(IF($Q197=3,1,0),IF($X197&lt;30,1,0))</formula>
    </cfRule>
    <cfRule type="expression" priority="3100" dxfId="0">
      <formula>AND(IF($Q197=3,1,IF($Q197=4,1,0)),IF($F197&lt;=85,1,0))</formula>
    </cfRule>
  </conditionalFormatting>
  <conditionalFormatting sqref="AV198">
    <cfRule type="expression" priority="3095" dxfId="23">
      <formula>AV198="X"</formula>
    </cfRule>
    <cfRule type="expression" priority="3096" dxfId="22">
      <formula>AV198="후보"</formula>
    </cfRule>
  </conditionalFormatting>
  <conditionalFormatting sqref="AC19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8">
    <cfRule type="expression" priority="3087" dxfId="3">
      <formula>AND(IF(OR($Q198=1,$Q198=2),1,0),IF($X198&lt;=20,1,0))</formula>
    </cfRule>
    <cfRule type="expression" priority="3088" dxfId="2">
      <formula>AND(IF($Q198=2,1,0),IF($X198&lt;30,1,0))</formula>
    </cfRule>
    <cfRule type="expression" priority="3089" dxfId="1">
      <formula>AND(IF($Q198=3,1,0),IF($X198&lt;30,1,0))</formula>
    </cfRule>
    <cfRule type="expression" priority="3090" dxfId="0">
      <formula>AND(IF($Q198=3,1,IF($Q198=4,1,0)),IF($F198&lt;=85,1,0))</formula>
    </cfRule>
  </conditionalFormatting>
  <conditionalFormatting sqref="X198">
    <cfRule type="expression" priority="3083" dxfId="3">
      <formula>AND(IF(OR($Q198=1,$Q198=2),1,0),IF($X198&lt;=20,1,0))</formula>
    </cfRule>
    <cfRule type="expression" priority="3084" dxfId="2">
      <formula>AND(IF($Q198=2,1,0),IF($X198&lt;30,1,0))</formula>
    </cfRule>
    <cfRule type="expression" priority="3085" dxfId="1">
      <formula>AND(IF($Q198=3,1,0),IF($X198&lt;30,1,0))</formula>
    </cfRule>
    <cfRule type="expression" priority="3086" dxfId="0">
      <formula>AND(IF($Q198=3,1,IF($Q198=4,1,0)),IF($F198&lt;=85,1,0))</formula>
    </cfRule>
  </conditionalFormatting>
  <conditionalFormatting sqref="AI198">
    <cfRule type="expression" priority="3079" dxfId="3">
      <formula>AND(IF(OR($Q198=1,$Q198=2),1,0),IF($X198&lt;=20,1,0))</formula>
    </cfRule>
    <cfRule type="expression" priority="3080" dxfId="2">
      <formula>AND(IF($Q198=2,1,0),IF($X198&lt;30,1,0))</formula>
    </cfRule>
    <cfRule type="expression" priority="3081" dxfId="1">
      <formula>AND(IF($Q198=3,1,0),IF($X198&lt;30,1,0))</formula>
    </cfRule>
    <cfRule type="expression" priority="3082" dxfId="0">
      <formula>AND(IF($Q198=3,1,IF($Q198=4,1,0)),IF($F198&lt;=85,1,0))</formula>
    </cfRule>
  </conditionalFormatting>
  <conditionalFormatting sqref="AV199">
    <cfRule type="expression" priority="3077" dxfId="23">
      <formula>AV199="X"</formula>
    </cfRule>
    <cfRule type="expression" priority="3078" dxfId="22">
      <formula>AV199="후보"</formula>
    </cfRule>
  </conditionalFormatting>
  <conditionalFormatting sqref="AC19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9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99">
    <cfRule type="expression" priority="3069" dxfId="3">
      <formula>AND(IF(OR($Q199=1,$Q199=2),1,0),IF($X199&lt;=20,1,0))</formula>
    </cfRule>
    <cfRule type="expression" priority="3070" dxfId="2">
      <formula>AND(IF($Q199=2,1,0),IF($X199&lt;30,1,0))</formula>
    </cfRule>
    <cfRule type="expression" priority="3071" dxfId="1">
      <formula>AND(IF($Q199=3,1,0),IF($X199&lt;30,1,0))</formula>
    </cfRule>
    <cfRule type="expression" priority="3072" dxfId="0">
      <formula>AND(IF($Q199=3,1,IF($Q199=4,1,0)),IF($F199&lt;=85,1,0))</formula>
    </cfRule>
  </conditionalFormatting>
  <conditionalFormatting sqref="X199">
    <cfRule type="expression" priority="3065" dxfId="3">
      <formula>AND(IF(OR($Q199=1,$Q199=2),1,0),IF($X199&lt;=20,1,0))</formula>
    </cfRule>
    <cfRule type="expression" priority="3066" dxfId="2">
      <formula>AND(IF($Q199=2,1,0),IF($X199&lt;30,1,0))</formula>
    </cfRule>
    <cfRule type="expression" priority="3067" dxfId="1">
      <formula>AND(IF($Q199=3,1,0),IF($X199&lt;30,1,0))</formula>
    </cfRule>
    <cfRule type="expression" priority="3068" dxfId="0">
      <formula>AND(IF($Q199=3,1,IF($Q199=4,1,0)),IF($F199&lt;=85,1,0))</formula>
    </cfRule>
  </conditionalFormatting>
  <conditionalFormatting sqref="AI199">
    <cfRule type="expression" priority="3061" dxfId="3">
      <formula>AND(IF(OR($Q199=1,$Q199=2),1,0),IF($X199&lt;=20,1,0))</formula>
    </cfRule>
    <cfRule type="expression" priority="3062" dxfId="2">
      <formula>AND(IF($Q199=2,1,0),IF($X199&lt;30,1,0))</formula>
    </cfRule>
    <cfRule type="expression" priority="3063" dxfId="1">
      <formula>AND(IF($Q199=3,1,0),IF($X199&lt;30,1,0))</formula>
    </cfRule>
    <cfRule type="expression" priority="3064" dxfId="0">
      <formula>AND(IF($Q199=3,1,IF($Q199=4,1,0)),IF($F199&lt;=85,1,0))</formula>
    </cfRule>
  </conditionalFormatting>
  <conditionalFormatting sqref="AV200">
    <cfRule type="expression" priority="3059" dxfId="23">
      <formula>AV200="X"</formula>
    </cfRule>
    <cfRule type="expression" priority="3060" dxfId="22">
      <formula>AV200="후보"</formula>
    </cfRule>
  </conditionalFormatting>
  <conditionalFormatting sqref="AC20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0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00">
    <cfRule type="expression" priority="3051" dxfId="3">
      <formula>AND(IF(OR($Q200=1,$Q200=2),1,0),IF($X200&lt;=20,1,0))</formula>
    </cfRule>
    <cfRule type="expression" priority="3052" dxfId="2">
      <formula>AND(IF($Q200=2,1,0),IF($X200&lt;30,1,0))</formula>
    </cfRule>
    <cfRule type="expression" priority="3053" dxfId="1">
      <formula>AND(IF($Q200=3,1,0),IF($X200&lt;30,1,0))</formula>
    </cfRule>
    <cfRule type="expression" priority="3054" dxfId="0">
      <formula>AND(IF($Q200=3,1,IF($Q200=4,1,0)),IF($F200&lt;=85,1,0))</formula>
    </cfRule>
  </conditionalFormatting>
  <conditionalFormatting sqref="X200">
    <cfRule type="expression" priority="3047" dxfId="3">
      <formula>AND(IF(OR($Q200=1,$Q200=2),1,0),IF($X200&lt;=20,1,0))</formula>
    </cfRule>
    <cfRule type="expression" priority="3048" dxfId="2">
      <formula>AND(IF($Q200=2,1,0),IF($X200&lt;30,1,0))</formula>
    </cfRule>
    <cfRule type="expression" priority="3049" dxfId="1">
      <formula>AND(IF($Q200=3,1,0),IF($X200&lt;30,1,0))</formula>
    </cfRule>
    <cfRule type="expression" priority="3050" dxfId="0">
      <formula>AND(IF($Q200=3,1,IF($Q200=4,1,0)),IF($F200&lt;=85,1,0))</formula>
    </cfRule>
  </conditionalFormatting>
  <conditionalFormatting sqref="AI200">
    <cfRule type="expression" priority="3043" dxfId="3">
      <formula>AND(IF(OR($Q200=1,$Q200=2),1,0),IF($X200&lt;=20,1,0))</formula>
    </cfRule>
    <cfRule type="expression" priority="3044" dxfId="2">
      <formula>AND(IF($Q200=2,1,0),IF($X200&lt;30,1,0))</formula>
    </cfRule>
    <cfRule type="expression" priority="3045" dxfId="1">
      <formula>AND(IF($Q200=3,1,0),IF($X200&lt;30,1,0))</formula>
    </cfRule>
    <cfRule type="expression" priority="3046" dxfId="0">
      <formula>AND(IF($Q200=3,1,IF($Q200=4,1,0)),IF($F200&lt;=85,1,0))</formula>
    </cfRule>
  </conditionalFormatting>
  <conditionalFormatting sqref="AV201">
    <cfRule type="expression" priority="3041" dxfId="23">
      <formula>AV201="X"</formula>
    </cfRule>
    <cfRule type="expression" priority="3042" dxfId="22">
      <formula>AV201="후보"</formula>
    </cfRule>
  </conditionalFormatting>
  <conditionalFormatting sqref="AC20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01">
    <cfRule type="expression" priority="3033" dxfId="3">
      <formula>AND(IF(OR($Q201=1,$Q201=2),1,0),IF($X201&lt;=20,1,0))</formula>
    </cfRule>
    <cfRule type="expression" priority="3034" dxfId="2">
      <formula>AND(IF($Q201=2,1,0),IF($X201&lt;30,1,0))</formula>
    </cfRule>
    <cfRule type="expression" priority="3035" dxfId="1">
      <formula>AND(IF($Q201=3,1,0),IF($X201&lt;30,1,0))</formula>
    </cfRule>
    <cfRule type="expression" priority="3036" dxfId="0">
      <formula>AND(IF($Q201=3,1,IF($Q201=4,1,0)),IF($F201&lt;=85,1,0))</formula>
    </cfRule>
  </conditionalFormatting>
  <conditionalFormatting sqref="X201">
    <cfRule type="expression" priority="3029" dxfId="3">
      <formula>AND(IF(OR($Q201=1,$Q201=2),1,0),IF($X201&lt;=20,1,0))</formula>
    </cfRule>
    <cfRule type="expression" priority="3030" dxfId="2">
      <formula>AND(IF($Q201=2,1,0),IF($X201&lt;30,1,0))</formula>
    </cfRule>
    <cfRule type="expression" priority="3031" dxfId="1">
      <formula>AND(IF($Q201=3,1,0),IF($X201&lt;30,1,0))</formula>
    </cfRule>
    <cfRule type="expression" priority="3032" dxfId="0">
      <formula>AND(IF($Q201=3,1,IF($Q201=4,1,0)),IF($F201&lt;=85,1,0))</formula>
    </cfRule>
  </conditionalFormatting>
  <conditionalFormatting sqref="AI201">
    <cfRule type="expression" priority="3025" dxfId="3">
      <formula>AND(IF(OR($Q201=1,$Q201=2),1,0),IF($X201&lt;=20,1,0))</formula>
    </cfRule>
    <cfRule type="expression" priority="3026" dxfId="2">
      <formula>AND(IF($Q201=2,1,0),IF($X201&lt;30,1,0))</formula>
    </cfRule>
    <cfRule type="expression" priority="3027" dxfId="1">
      <formula>AND(IF($Q201=3,1,0),IF($X201&lt;30,1,0))</formula>
    </cfRule>
    <cfRule type="expression" priority="3028" dxfId="0">
      <formula>AND(IF($Q201=3,1,IF($Q201=4,1,0)),IF($F201&lt;=85,1,0))</formula>
    </cfRule>
  </conditionalFormatting>
  <conditionalFormatting sqref="AV202">
    <cfRule type="expression" priority="3023" dxfId="23">
      <formula>AV202="X"</formula>
    </cfRule>
    <cfRule type="expression" priority="3024" dxfId="22">
      <formula>AV202="후보"</formula>
    </cfRule>
  </conditionalFormatting>
  <conditionalFormatting sqref="AC20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02">
    <cfRule type="expression" priority="3015" dxfId="3">
      <formula>AND(IF(OR($Q202=1,$Q202=2),1,0),IF($X202&lt;=20,1,0))</formula>
    </cfRule>
    <cfRule type="expression" priority="3016" dxfId="2">
      <formula>AND(IF($Q202=2,1,0),IF($X202&lt;30,1,0))</formula>
    </cfRule>
    <cfRule type="expression" priority="3017" dxfId="1">
      <formula>AND(IF($Q202=3,1,0),IF($X202&lt;30,1,0))</formula>
    </cfRule>
    <cfRule type="expression" priority="3018" dxfId="0">
      <formula>AND(IF($Q202=3,1,IF($Q202=4,1,0)),IF($F202&lt;=85,1,0))</formula>
    </cfRule>
  </conditionalFormatting>
  <conditionalFormatting sqref="X202">
    <cfRule type="expression" priority="3011" dxfId="3">
      <formula>AND(IF(OR($Q202=1,$Q202=2),1,0),IF($X202&lt;=20,1,0))</formula>
    </cfRule>
    <cfRule type="expression" priority="3012" dxfId="2">
      <formula>AND(IF($Q202=2,1,0),IF($X202&lt;30,1,0))</formula>
    </cfRule>
    <cfRule type="expression" priority="3013" dxfId="1">
      <formula>AND(IF($Q202=3,1,0),IF($X202&lt;30,1,0))</formula>
    </cfRule>
    <cfRule type="expression" priority="3014" dxfId="0">
      <formula>AND(IF($Q202=3,1,IF($Q202=4,1,0)),IF($F202&lt;=85,1,0))</formula>
    </cfRule>
  </conditionalFormatting>
  <conditionalFormatting sqref="AI202">
    <cfRule type="expression" priority="3007" dxfId="3">
      <formula>AND(IF(OR($Q202=1,$Q202=2),1,0),IF($X202&lt;=20,1,0))</formula>
    </cfRule>
    <cfRule type="expression" priority="3008" dxfId="2">
      <formula>AND(IF($Q202=2,1,0),IF($X202&lt;30,1,0))</formula>
    </cfRule>
    <cfRule type="expression" priority="3009" dxfId="1">
      <formula>AND(IF($Q202=3,1,0),IF($X202&lt;30,1,0))</formula>
    </cfRule>
    <cfRule type="expression" priority="3010" dxfId="0">
      <formula>AND(IF($Q202=3,1,IF($Q202=4,1,0)),IF($F202&lt;=85,1,0))</formula>
    </cfRule>
  </conditionalFormatting>
  <conditionalFormatting sqref="AV203">
    <cfRule type="expression" priority="3005" dxfId="23">
      <formula>AV203="X"</formula>
    </cfRule>
    <cfRule type="expression" priority="3006" dxfId="22">
      <formula>AV203="후보"</formula>
    </cfRule>
  </conditionalFormatting>
  <conditionalFormatting sqref="AC20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03">
    <cfRule type="expression" priority="2997" dxfId="3">
      <formula>AND(IF(OR($Q203=1,$Q203=2),1,0),IF($X203&lt;=20,1,0))</formula>
    </cfRule>
    <cfRule type="expression" priority="2998" dxfId="2">
      <formula>AND(IF($Q203=2,1,0),IF($X203&lt;30,1,0))</formula>
    </cfRule>
    <cfRule type="expression" priority="2999" dxfId="1">
      <formula>AND(IF($Q203=3,1,0),IF($X203&lt;30,1,0))</formula>
    </cfRule>
    <cfRule type="expression" priority="3000" dxfId="0">
      <formula>AND(IF($Q203=3,1,IF($Q203=4,1,0)),IF($F203&lt;=85,1,0))</formula>
    </cfRule>
  </conditionalFormatting>
  <conditionalFormatting sqref="X203">
    <cfRule type="expression" priority="2993" dxfId="3">
      <formula>AND(IF(OR($Q203=1,$Q203=2),1,0),IF($X203&lt;=20,1,0))</formula>
    </cfRule>
    <cfRule type="expression" priority="2994" dxfId="2">
      <formula>AND(IF($Q203=2,1,0),IF($X203&lt;30,1,0))</formula>
    </cfRule>
    <cfRule type="expression" priority="2995" dxfId="1">
      <formula>AND(IF($Q203=3,1,0),IF($X203&lt;30,1,0))</formula>
    </cfRule>
    <cfRule type="expression" priority="2996" dxfId="0">
      <formula>AND(IF($Q203=3,1,IF($Q203=4,1,0)),IF($F203&lt;=85,1,0))</formula>
    </cfRule>
  </conditionalFormatting>
  <conditionalFormatting sqref="AI203">
    <cfRule type="expression" priority="2989" dxfId="3">
      <formula>AND(IF(OR($Q203=1,$Q203=2),1,0),IF($X203&lt;=20,1,0))</formula>
    </cfRule>
    <cfRule type="expression" priority="2990" dxfId="2">
      <formula>AND(IF($Q203=2,1,0),IF($X203&lt;30,1,0))</formula>
    </cfRule>
    <cfRule type="expression" priority="2991" dxfId="1">
      <formula>AND(IF($Q203=3,1,0),IF($X203&lt;30,1,0))</formula>
    </cfRule>
    <cfRule type="expression" priority="2992" dxfId="0">
      <formula>AND(IF($Q203=3,1,IF($Q203=4,1,0)),IF($F203&lt;=85,1,0))</formula>
    </cfRule>
  </conditionalFormatting>
  <conditionalFormatting sqref="AV204">
    <cfRule type="expression" priority="2987" dxfId="23">
      <formula>AV204="X"</formula>
    </cfRule>
    <cfRule type="expression" priority="2988" dxfId="22">
      <formula>AV204="후보"</formula>
    </cfRule>
  </conditionalFormatting>
  <conditionalFormatting sqref="AC20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04">
    <cfRule type="expression" priority="2979" dxfId="3">
      <formula>AND(IF(OR($Q204=1,$Q204=2),1,0),IF($X204&lt;=20,1,0))</formula>
    </cfRule>
    <cfRule type="expression" priority="2980" dxfId="2">
      <formula>AND(IF($Q204=2,1,0),IF($X204&lt;30,1,0))</formula>
    </cfRule>
    <cfRule type="expression" priority="2981" dxfId="1">
      <formula>AND(IF($Q204=3,1,0),IF($X204&lt;30,1,0))</formula>
    </cfRule>
    <cfRule type="expression" priority="2982" dxfId="0">
      <formula>AND(IF($Q204=3,1,IF($Q204=4,1,0)),IF($F204&lt;=85,1,0))</formula>
    </cfRule>
  </conditionalFormatting>
  <conditionalFormatting sqref="X204">
    <cfRule type="expression" priority="2975" dxfId="3">
      <formula>AND(IF(OR($Q204=1,$Q204=2),1,0),IF($X204&lt;=20,1,0))</formula>
    </cfRule>
    <cfRule type="expression" priority="2976" dxfId="2">
      <formula>AND(IF($Q204=2,1,0),IF($X204&lt;30,1,0))</formula>
    </cfRule>
    <cfRule type="expression" priority="2977" dxfId="1">
      <formula>AND(IF($Q204=3,1,0),IF($X204&lt;30,1,0))</formula>
    </cfRule>
    <cfRule type="expression" priority="2978" dxfId="0">
      <formula>AND(IF($Q204=3,1,IF($Q204=4,1,0)),IF($F204&lt;=85,1,0))</formula>
    </cfRule>
  </conditionalFormatting>
  <conditionalFormatting sqref="AI204">
    <cfRule type="expression" priority="2971" dxfId="3">
      <formula>AND(IF(OR($Q204=1,$Q204=2),1,0),IF($X204&lt;=20,1,0))</formula>
    </cfRule>
    <cfRule type="expression" priority="2972" dxfId="2">
      <formula>AND(IF($Q204=2,1,0),IF($X204&lt;30,1,0))</formula>
    </cfRule>
    <cfRule type="expression" priority="2973" dxfId="1">
      <formula>AND(IF($Q204=3,1,0),IF($X204&lt;30,1,0))</formula>
    </cfRule>
    <cfRule type="expression" priority="2974" dxfId="0">
      <formula>AND(IF($Q204=3,1,IF($Q204=4,1,0)),IF($F204&lt;=85,1,0))</formula>
    </cfRule>
  </conditionalFormatting>
  <conditionalFormatting sqref="AV205">
    <cfRule type="expression" priority="2969" dxfId="23">
      <formula>AV205="X"</formula>
    </cfRule>
    <cfRule type="expression" priority="2970" dxfId="22">
      <formula>AV205="후보"</formula>
    </cfRule>
  </conditionalFormatting>
  <conditionalFormatting sqref="AC20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0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05">
    <cfRule type="expression" priority="2961" dxfId="3">
      <formula>AND(IF(OR($Q205=1,$Q205=2),1,0),IF($X205&lt;=20,1,0))</formula>
    </cfRule>
    <cfRule type="expression" priority="2962" dxfId="2">
      <formula>AND(IF($Q205=2,1,0),IF($X205&lt;30,1,0))</formula>
    </cfRule>
    <cfRule type="expression" priority="2963" dxfId="1">
      <formula>AND(IF($Q205=3,1,0),IF($X205&lt;30,1,0))</formula>
    </cfRule>
    <cfRule type="expression" priority="2964" dxfId="0">
      <formula>AND(IF($Q205=3,1,IF($Q205=4,1,0)),IF($F205&lt;=85,1,0))</formula>
    </cfRule>
  </conditionalFormatting>
  <conditionalFormatting sqref="X205">
    <cfRule type="expression" priority="2957" dxfId="3">
      <formula>AND(IF(OR($Q205=1,$Q205=2),1,0),IF($X205&lt;=20,1,0))</formula>
    </cfRule>
    <cfRule type="expression" priority="2958" dxfId="2">
      <formula>AND(IF($Q205=2,1,0),IF($X205&lt;30,1,0))</formula>
    </cfRule>
    <cfRule type="expression" priority="2959" dxfId="1">
      <formula>AND(IF($Q205=3,1,0),IF($X205&lt;30,1,0))</formula>
    </cfRule>
    <cfRule type="expression" priority="2960" dxfId="0">
      <formula>AND(IF($Q205=3,1,IF($Q205=4,1,0)),IF($F205&lt;=85,1,0))</formula>
    </cfRule>
  </conditionalFormatting>
  <conditionalFormatting sqref="AI205">
    <cfRule type="expression" priority="2953" dxfId="3">
      <formula>AND(IF(OR($Q205=1,$Q205=2),1,0),IF($X205&lt;=20,1,0))</formula>
    </cfRule>
    <cfRule type="expression" priority="2954" dxfId="2">
      <formula>AND(IF($Q205=2,1,0),IF($X205&lt;30,1,0))</formula>
    </cfRule>
    <cfRule type="expression" priority="2955" dxfId="1">
      <formula>AND(IF($Q205=3,1,0),IF($X205&lt;30,1,0))</formula>
    </cfRule>
    <cfRule type="expression" priority="2956" dxfId="0">
      <formula>AND(IF($Q205=3,1,IF($Q205=4,1,0)),IF($F205&lt;=85,1,0))</formula>
    </cfRule>
  </conditionalFormatting>
  <conditionalFormatting sqref="AV206">
    <cfRule type="expression" priority="2951" dxfId="23">
      <formula>AV206="X"</formula>
    </cfRule>
    <cfRule type="expression" priority="2952" dxfId="22">
      <formula>AV206="후보"</formula>
    </cfRule>
  </conditionalFormatting>
  <conditionalFormatting sqref="AC20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0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06">
    <cfRule type="expression" priority="2943" dxfId="3">
      <formula>AND(IF(OR($Q206=1,$Q206=2),1,0),IF($X206&lt;=20,1,0))</formula>
    </cfRule>
    <cfRule type="expression" priority="2944" dxfId="2">
      <formula>AND(IF($Q206=2,1,0),IF($X206&lt;30,1,0))</formula>
    </cfRule>
    <cfRule type="expression" priority="2945" dxfId="1">
      <formula>AND(IF($Q206=3,1,0),IF($X206&lt;30,1,0))</formula>
    </cfRule>
    <cfRule type="expression" priority="2946" dxfId="0">
      <formula>AND(IF($Q206=3,1,IF($Q206=4,1,0)),IF($F206&lt;=85,1,0))</formula>
    </cfRule>
  </conditionalFormatting>
  <conditionalFormatting sqref="X206">
    <cfRule type="expression" priority="2939" dxfId="3">
      <formula>AND(IF(OR($Q206=1,$Q206=2),1,0),IF($X206&lt;=20,1,0))</formula>
    </cfRule>
    <cfRule type="expression" priority="2940" dxfId="2">
      <formula>AND(IF($Q206=2,1,0),IF($X206&lt;30,1,0))</formula>
    </cfRule>
    <cfRule type="expression" priority="2941" dxfId="1">
      <formula>AND(IF($Q206=3,1,0),IF($X206&lt;30,1,0))</formula>
    </cfRule>
    <cfRule type="expression" priority="2942" dxfId="0">
      <formula>AND(IF($Q206=3,1,IF($Q206=4,1,0)),IF($F206&lt;=85,1,0))</formula>
    </cfRule>
  </conditionalFormatting>
  <conditionalFormatting sqref="AI206">
    <cfRule type="expression" priority="2935" dxfId="3">
      <formula>AND(IF(OR($Q206=1,$Q206=2),1,0),IF($X206&lt;=20,1,0))</formula>
    </cfRule>
    <cfRule type="expression" priority="2936" dxfId="2">
      <formula>AND(IF($Q206=2,1,0),IF($X206&lt;30,1,0))</formula>
    </cfRule>
    <cfRule type="expression" priority="2937" dxfId="1">
      <formula>AND(IF($Q206=3,1,0),IF($X206&lt;30,1,0))</formula>
    </cfRule>
    <cfRule type="expression" priority="2938" dxfId="0">
      <formula>AND(IF($Q206=3,1,IF($Q206=4,1,0)),IF($F206&lt;=85,1,0))</formula>
    </cfRule>
  </conditionalFormatting>
  <conditionalFormatting sqref="AV207">
    <cfRule type="expression" priority="2933" dxfId="23">
      <formula>AV207="X"</formula>
    </cfRule>
    <cfRule type="expression" priority="2934" dxfId="22">
      <formula>AV207="후보"</formula>
    </cfRule>
  </conditionalFormatting>
  <conditionalFormatting sqref="AC20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07">
    <cfRule type="expression" priority="2925" dxfId="3">
      <formula>AND(IF(OR($Q207=1,$Q207=2),1,0),IF($X207&lt;=20,1,0))</formula>
    </cfRule>
    <cfRule type="expression" priority="2926" dxfId="2">
      <formula>AND(IF($Q207=2,1,0),IF($X207&lt;30,1,0))</formula>
    </cfRule>
    <cfRule type="expression" priority="2927" dxfId="1">
      <formula>AND(IF($Q207=3,1,0),IF($X207&lt;30,1,0))</formula>
    </cfRule>
    <cfRule type="expression" priority="2928" dxfId="0">
      <formula>AND(IF($Q207=3,1,IF($Q207=4,1,0)),IF($F207&lt;=85,1,0))</formula>
    </cfRule>
  </conditionalFormatting>
  <conditionalFormatting sqref="X207">
    <cfRule type="expression" priority="2921" dxfId="3">
      <formula>AND(IF(OR($Q207=1,$Q207=2),1,0),IF($X207&lt;=20,1,0))</formula>
    </cfRule>
    <cfRule type="expression" priority="2922" dxfId="2">
      <formula>AND(IF($Q207=2,1,0),IF($X207&lt;30,1,0))</formula>
    </cfRule>
    <cfRule type="expression" priority="2923" dxfId="1">
      <formula>AND(IF($Q207=3,1,0),IF($X207&lt;30,1,0))</formula>
    </cfRule>
    <cfRule type="expression" priority="2924" dxfId="0">
      <formula>AND(IF($Q207=3,1,IF($Q207=4,1,0)),IF($F207&lt;=85,1,0))</formula>
    </cfRule>
  </conditionalFormatting>
  <conditionalFormatting sqref="AI207">
    <cfRule type="expression" priority="2917" dxfId="3">
      <formula>AND(IF(OR($Q207=1,$Q207=2),1,0),IF($X207&lt;=20,1,0))</formula>
    </cfRule>
    <cfRule type="expression" priority="2918" dxfId="2">
      <formula>AND(IF($Q207=2,1,0),IF($X207&lt;30,1,0))</formula>
    </cfRule>
    <cfRule type="expression" priority="2919" dxfId="1">
      <formula>AND(IF($Q207=3,1,0),IF($X207&lt;30,1,0))</formula>
    </cfRule>
    <cfRule type="expression" priority="2920" dxfId="0">
      <formula>AND(IF($Q207=3,1,IF($Q207=4,1,0)),IF($F207&lt;=85,1,0))</formula>
    </cfRule>
  </conditionalFormatting>
  <conditionalFormatting sqref="AV208">
    <cfRule type="expression" priority="2915" dxfId="23">
      <formula>AV208="X"</formula>
    </cfRule>
    <cfRule type="expression" priority="2916" dxfId="22">
      <formula>AV208="후보"</formula>
    </cfRule>
  </conditionalFormatting>
  <conditionalFormatting sqref="AC20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08">
    <cfRule type="expression" priority="2907" dxfId="3">
      <formula>AND(IF(OR($Q208=1,$Q208=2),1,0),IF($X208&lt;=20,1,0))</formula>
    </cfRule>
    <cfRule type="expression" priority="2908" dxfId="2">
      <formula>AND(IF($Q208=2,1,0),IF($X208&lt;30,1,0))</formula>
    </cfRule>
    <cfRule type="expression" priority="2909" dxfId="1">
      <formula>AND(IF($Q208=3,1,0),IF($X208&lt;30,1,0))</formula>
    </cfRule>
    <cfRule type="expression" priority="2910" dxfId="0">
      <formula>AND(IF($Q208=3,1,IF($Q208=4,1,0)),IF($F208&lt;=85,1,0))</formula>
    </cfRule>
  </conditionalFormatting>
  <conditionalFormatting sqref="X208">
    <cfRule type="expression" priority="2903" dxfId="3">
      <formula>AND(IF(OR($Q208=1,$Q208=2),1,0),IF($X208&lt;=20,1,0))</formula>
    </cfRule>
    <cfRule type="expression" priority="2904" dxfId="2">
      <formula>AND(IF($Q208=2,1,0),IF($X208&lt;30,1,0))</formula>
    </cfRule>
    <cfRule type="expression" priority="2905" dxfId="1">
      <formula>AND(IF($Q208=3,1,0),IF($X208&lt;30,1,0))</formula>
    </cfRule>
    <cfRule type="expression" priority="2906" dxfId="0">
      <formula>AND(IF($Q208=3,1,IF($Q208=4,1,0)),IF($F208&lt;=85,1,0))</formula>
    </cfRule>
  </conditionalFormatting>
  <conditionalFormatting sqref="AI208">
    <cfRule type="expression" priority="2899" dxfId="3">
      <formula>AND(IF(OR($Q208=1,$Q208=2),1,0),IF($X208&lt;=20,1,0))</formula>
    </cfRule>
    <cfRule type="expression" priority="2900" dxfId="2">
      <formula>AND(IF($Q208=2,1,0),IF($X208&lt;30,1,0))</formula>
    </cfRule>
    <cfRule type="expression" priority="2901" dxfId="1">
      <formula>AND(IF($Q208=3,1,0),IF($X208&lt;30,1,0))</formula>
    </cfRule>
    <cfRule type="expression" priority="2902" dxfId="0">
      <formula>AND(IF($Q208=3,1,IF($Q208=4,1,0)),IF($F208&lt;=85,1,0))</formula>
    </cfRule>
  </conditionalFormatting>
  <conditionalFormatting sqref="AV209">
    <cfRule type="expression" priority="2897" dxfId="23">
      <formula>AV209="X"</formula>
    </cfRule>
    <cfRule type="expression" priority="2898" dxfId="22">
      <formula>AV209="후보"</formula>
    </cfRule>
  </conditionalFormatting>
  <conditionalFormatting sqref="AC20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09">
    <cfRule type="expression" priority="2889" dxfId="3">
      <formula>AND(IF(OR($Q209=1,$Q209=2),1,0),IF($X209&lt;=20,1,0))</formula>
    </cfRule>
    <cfRule type="expression" priority="2890" dxfId="2">
      <formula>AND(IF($Q209=2,1,0),IF($X209&lt;30,1,0))</formula>
    </cfRule>
    <cfRule type="expression" priority="2891" dxfId="1">
      <formula>AND(IF($Q209=3,1,0),IF($X209&lt;30,1,0))</formula>
    </cfRule>
    <cfRule type="expression" priority="2892" dxfId="0">
      <formula>AND(IF($Q209=3,1,IF($Q209=4,1,0)),IF($F209&lt;=85,1,0))</formula>
    </cfRule>
  </conditionalFormatting>
  <conditionalFormatting sqref="X209">
    <cfRule type="expression" priority="2885" dxfId="3">
      <formula>AND(IF(OR($Q209=1,$Q209=2),1,0),IF($X209&lt;=20,1,0))</formula>
    </cfRule>
    <cfRule type="expression" priority="2886" dxfId="2">
      <formula>AND(IF($Q209=2,1,0),IF($X209&lt;30,1,0))</formula>
    </cfRule>
    <cfRule type="expression" priority="2887" dxfId="1">
      <formula>AND(IF($Q209=3,1,0),IF($X209&lt;30,1,0))</formula>
    </cfRule>
    <cfRule type="expression" priority="2888" dxfId="0">
      <formula>AND(IF($Q209=3,1,IF($Q209=4,1,0)),IF($F209&lt;=85,1,0))</formula>
    </cfRule>
  </conditionalFormatting>
  <conditionalFormatting sqref="AI209">
    <cfRule type="expression" priority="2881" dxfId="3">
      <formula>AND(IF(OR($Q209=1,$Q209=2),1,0),IF($X209&lt;=20,1,0))</formula>
    </cfRule>
    <cfRule type="expression" priority="2882" dxfId="2">
      <formula>AND(IF($Q209=2,1,0),IF($X209&lt;30,1,0))</formula>
    </cfRule>
    <cfRule type="expression" priority="2883" dxfId="1">
      <formula>AND(IF($Q209=3,1,0),IF($X209&lt;30,1,0))</formula>
    </cfRule>
    <cfRule type="expression" priority="2884" dxfId="0">
      <formula>AND(IF($Q209=3,1,IF($Q209=4,1,0)),IF($F209&lt;=85,1,0))</formula>
    </cfRule>
  </conditionalFormatting>
  <conditionalFormatting sqref="AV210">
    <cfRule type="expression" priority="2879" dxfId="23">
      <formula>AV210="X"</formula>
    </cfRule>
    <cfRule type="expression" priority="2880" dxfId="22">
      <formula>AV210="후보"</formula>
    </cfRule>
  </conditionalFormatting>
  <conditionalFormatting sqref="AC21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10">
    <cfRule type="expression" priority="2871" dxfId="3">
      <formula>AND(IF(OR($Q210=1,$Q210=2),1,0),IF($X210&lt;=20,1,0))</formula>
    </cfRule>
    <cfRule type="expression" priority="2872" dxfId="2">
      <formula>AND(IF($Q210=2,1,0),IF($X210&lt;30,1,0))</formula>
    </cfRule>
    <cfRule type="expression" priority="2873" dxfId="1">
      <formula>AND(IF($Q210=3,1,0),IF($X210&lt;30,1,0))</formula>
    </cfRule>
    <cfRule type="expression" priority="2874" dxfId="0">
      <formula>AND(IF($Q210=3,1,IF($Q210=4,1,0)),IF($F210&lt;=85,1,0))</formula>
    </cfRule>
  </conditionalFormatting>
  <conditionalFormatting sqref="X210">
    <cfRule type="expression" priority="2867" dxfId="3">
      <formula>AND(IF(OR($Q210=1,$Q210=2),1,0),IF($X210&lt;=20,1,0))</formula>
    </cfRule>
    <cfRule type="expression" priority="2868" dxfId="2">
      <formula>AND(IF($Q210=2,1,0),IF($X210&lt;30,1,0))</formula>
    </cfRule>
    <cfRule type="expression" priority="2869" dxfId="1">
      <formula>AND(IF($Q210=3,1,0),IF($X210&lt;30,1,0))</formula>
    </cfRule>
    <cfRule type="expression" priority="2870" dxfId="0">
      <formula>AND(IF($Q210=3,1,IF($Q210=4,1,0)),IF($F210&lt;=85,1,0))</formula>
    </cfRule>
  </conditionalFormatting>
  <conditionalFormatting sqref="AI210">
    <cfRule type="expression" priority="2863" dxfId="3">
      <formula>AND(IF(OR($Q210=1,$Q210=2),1,0),IF($X210&lt;=20,1,0))</formula>
    </cfRule>
    <cfRule type="expression" priority="2864" dxfId="2">
      <formula>AND(IF($Q210=2,1,0),IF($X210&lt;30,1,0))</formula>
    </cfRule>
    <cfRule type="expression" priority="2865" dxfId="1">
      <formula>AND(IF($Q210=3,1,0),IF($X210&lt;30,1,0))</formula>
    </cfRule>
    <cfRule type="expression" priority="2866" dxfId="0">
      <formula>AND(IF($Q210=3,1,IF($Q210=4,1,0)),IF($F210&lt;=85,1,0))</formula>
    </cfRule>
  </conditionalFormatting>
  <conditionalFormatting sqref="AV211">
    <cfRule type="expression" priority="2861" dxfId="23">
      <formula>AV211="X"</formula>
    </cfRule>
    <cfRule type="expression" priority="2862" dxfId="22">
      <formula>AV211="후보"</formula>
    </cfRule>
  </conditionalFormatting>
  <conditionalFormatting sqref="AC21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11">
    <cfRule type="expression" priority="2853" dxfId="3">
      <formula>AND(IF(OR($Q211=1,$Q211=2),1,0),IF($X211&lt;=20,1,0))</formula>
    </cfRule>
    <cfRule type="expression" priority="2854" dxfId="2">
      <formula>AND(IF($Q211=2,1,0),IF($X211&lt;30,1,0))</formula>
    </cfRule>
    <cfRule type="expression" priority="2855" dxfId="1">
      <formula>AND(IF($Q211=3,1,0),IF($X211&lt;30,1,0))</formula>
    </cfRule>
    <cfRule type="expression" priority="2856" dxfId="0">
      <formula>AND(IF($Q211=3,1,IF($Q211=4,1,0)),IF($F211&lt;=85,1,0))</formula>
    </cfRule>
  </conditionalFormatting>
  <conditionalFormatting sqref="X211">
    <cfRule type="expression" priority="2849" dxfId="3">
      <formula>AND(IF(OR($Q211=1,$Q211=2),1,0),IF($X211&lt;=20,1,0))</formula>
    </cfRule>
    <cfRule type="expression" priority="2850" dxfId="2">
      <formula>AND(IF($Q211=2,1,0),IF($X211&lt;30,1,0))</formula>
    </cfRule>
    <cfRule type="expression" priority="2851" dxfId="1">
      <formula>AND(IF($Q211=3,1,0),IF($X211&lt;30,1,0))</formula>
    </cfRule>
    <cfRule type="expression" priority="2852" dxfId="0">
      <formula>AND(IF($Q211=3,1,IF($Q211=4,1,0)),IF($F211&lt;=85,1,0))</formula>
    </cfRule>
  </conditionalFormatting>
  <conditionalFormatting sqref="AI211">
    <cfRule type="expression" priority="2845" dxfId="3">
      <formula>AND(IF(OR($Q211=1,$Q211=2),1,0),IF($X211&lt;=20,1,0))</formula>
    </cfRule>
    <cfRule type="expression" priority="2846" dxfId="2">
      <formula>AND(IF($Q211=2,1,0),IF($X211&lt;30,1,0))</formula>
    </cfRule>
    <cfRule type="expression" priority="2847" dxfId="1">
      <formula>AND(IF($Q211=3,1,0),IF($X211&lt;30,1,0))</formula>
    </cfRule>
    <cfRule type="expression" priority="2848" dxfId="0">
      <formula>AND(IF($Q211=3,1,IF($Q211=4,1,0)),IF($F211&lt;=85,1,0))</formula>
    </cfRule>
  </conditionalFormatting>
  <conditionalFormatting sqref="AV212">
    <cfRule type="expression" priority="2843" dxfId="23">
      <formula>AV212="X"</formula>
    </cfRule>
    <cfRule type="expression" priority="2844" dxfId="22">
      <formula>AV212="후보"</formula>
    </cfRule>
  </conditionalFormatting>
  <conditionalFormatting sqref="AC21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1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12">
    <cfRule type="expression" priority="2835" dxfId="3">
      <formula>AND(IF(OR($Q212=1,$Q212=2),1,0),IF($X212&lt;=20,1,0))</formula>
    </cfRule>
    <cfRule type="expression" priority="2836" dxfId="2">
      <formula>AND(IF($Q212=2,1,0),IF($X212&lt;30,1,0))</formula>
    </cfRule>
    <cfRule type="expression" priority="2837" dxfId="1">
      <formula>AND(IF($Q212=3,1,0),IF($X212&lt;30,1,0))</formula>
    </cfRule>
    <cfRule type="expression" priority="2838" dxfId="0">
      <formula>AND(IF($Q212=3,1,IF($Q212=4,1,0)),IF($F212&lt;=85,1,0))</formula>
    </cfRule>
  </conditionalFormatting>
  <conditionalFormatting sqref="X212">
    <cfRule type="expression" priority="2831" dxfId="3">
      <formula>AND(IF(OR($Q212=1,$Q212=2),1,0),IF($X212&lt;=20,1,0))</formula>
    </cfRule>
    <cfRule type="expression" priority="2832" dxfId="2">
      <formula>AND(IF($Q212=2,1,0),IF($X212&lt;30,1,0))</formula>
    </cfRule>
    <cfRule type="expression" priority="2833" dxfId="1">
      <formula>AND(IF($Q212=3,1,0),IF($X212&lt;30,1,0))</formula>
    </cfRule>
    <cfRule type="expression" priority="2834" dxfId="0">
      <formula>AND(IF($Q212=3,1,IF($Q212=4,1,0)),IF($F212&lt;=85,1,0))</formula>
    </cfRule>
  </conditionalFormatting>
  <conditionalFormatting sqref="AI212">
    <cfRule type="expression" priority="2827" dxfId="3">
      <formula>AND(IF(OR($Q212=1,$Q212=2),1,0),IF($X212&lt;=20,1,0))</formula>
    </cfRule>
    <cfRule type="expression" priority="2828" dxfId="2">
      <formula>AND(IF($Q212=2,1,0),IF($X212&lt;30,1,0))</formula>
    </cfRule>
    <cfRule type="expression" priority="2829" dxfId="1">
      <formula>AND(IF($Q212=3,1,0),IF($X212&lt;30,1,0))</formula>
    </cfRule>
    <cfRule type="expression" priority="2830" dxfId="0">
      <formula>AND(IF($Q212=3,1,IF($Q212=4,1,0)),IF($F212&lt;=85,1,0))</formula>
    </cfRule>
  </conditionalFormatting>
  <conditionalFormatting sqref="AV213">
    <cfRule type="expression" priority="2825" dxfId="23">
      <formula>AV213="X"</formula>
    </cfRule>
    <cfRule type="expression" priority="2826" dxfId="22">
      <formula>AV213="후보"</formula>
    </cfRule>
  </conditionalFormatting>
  <conditionalFormatting sqref="AC21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1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13">
    <cfRule type="expression" priority="2817" dxfId="3">
      <formula>AND(IF(OR($Q213=1,$Q213=2),1,0),IF($X213&lt;=20,1,0))</formula>
    </cfRule>
    <cfRule type="expression" priority="2818" dxfId="2">
      <formula>AND(IF($Q213=2,1,0),IF($X213&lt;30,1,0))</formula>
    </cfRule>
    <cfRule type="expression" priority="2819" dxfId="1">
      <formula>AND(IF($Q213=3,1,0),IF($X213&lt;30,1,0))</formula>
    </cfRule>
    <cfRule type="expression" priority="2820" dxfId="0">
      <formula>AND(IF($Q213=3,1,IF($Q213=4,1,0)),IF($F213&lt;=85,1,0))</formula>
    </cfRule>
  </conditionalFormatting>
  <conditionalFormatting sqref="X213">
    <cfRule type="expression" priority="2813" dxfId="3">
      <formula>AND(IF(OR($Q213=1,$Q213=2),1,0),IF($X213&lt;=20,1,0))</formula>
    </cfRule>
    <cfRule type="expression" priority="2814" dxfId="2">
      <formula>AND(IF($Q213=2,1,0),IF($X213&lt;30,1,0))</formula>
    </cfRule>
    <cfRule type="expression" priority="2815" dxfId="1">
      <formula>AND(IF($Q213=3,1,0),IF($X213&lt;30,1,0))</formula>
    </cfRule>
    <cfRule type="expression" priority="2816" dxfId="0">
      <formula>AND(IF($Q213=3,1,IF($Q213=4,1,0)),IF($F213&lt;=85,1,0))</formula>
    </cfRule>
  </conditionalFormatting>
  <conditionalFormatting sqref="AI213">
    <cfRule type="expression" priority="2809" dxfId="3">
      <formula>AND(IF(OR($Q213=1,$Q213=2),1,0),IF($X213&lt;=20,1,0))</formula>
    </cfRule>
    <cfRule type="expression" priority="2810" dxfId="2">
      <formula>AND(IF($Q213=2,1,0),IF($X213&lt;30,1,0))</formula>
    </cfRule>
    <cfRule type="expression" priority="2811" dxfId="1">
      <formula>AND(IF($Q213=3,1,0),IF($X213&lt;30,1,0))</formula>
    </cfRule>
    <cfRule type="expression" priority="2812" dxfId="0">
      <formula>AND(IF($Q213=3,1,IF($Q213=4,1,0)),IF($F213&lt;=85,1,0))</formula>
    </cfRule>
  </conditionalFormatting>
  <conditionalFormatting sqref="AV214">
    <cfRule type="expression" priority="2807" dxfId="23">
      <formula>AV214="X"</formula>
    </cfRule>
    <cfRule type="expression" priority="2808" dxfId="22">
      <formula>AV214="후보"</formula>
    </cfRule>
  </conditionalFormatting>
  <conditionalFormatting sqref="AC21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1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14">
    <cfRule type="expression" priority="2799" dxfId="3">
      <formula>AND(IF(OR($Q214=1,$Q214=2),1,0),IF($X214&lt;=20,1,0))</formula>
    </cfRule>
    <cfRule type="expression" priority="2800" dxfId="2">
      <formula>AND(IF($Q214=2,1,0),IF($X214&lt;30,1,0))</formula>
    </cfRule>
    <cfRule type="expression" priority="2801" dxfId="1">
      <formula>AND(IF($Q214=3,1,0),IF($X214&lt;30,1,0))</formula>
    </cfRule>
    <cfRule type="expression" priority="2802" dxfId="0">
      <formula>AND(IF($Q214=3,1,IF($Q214=4,1,0)),IF($F214&lt;=85,1,0))</formula>
    </cfRule>
  </conditionalFormatting>
  <conditionalFormatting sqref="X214">
    <cfRule type="expression" priority="2795" dxfId="3">
      <formula>AND(IF(OR($Q214=1,$Q214=2),1,0),IF($X214&lt;=20,1,0))</formula>
    </cfRule>
    <cfRule type="expression" priority="2796" dxfId="2">
      <formula>AND(IF($Q214=2,1,0),IF($X214&lt;30,1,0))</formula>
    </cfRule>
    <cfRule type="expression" priority="2797" dxfId="1">
      <formula>AND(IF($Q214=3,1,0),IF($X214&lt;30,1,0))</formula>
    </cfRule>
    <cfRule type="expression" priority="2798" dxfId="0">
      <formula>AND(IF($Q214=3,1,IF($Q214=4,1,0)),IF($F214&lt;=85,1,0))</formula>
    </cfRule>
  </conditionalFormatting>
  <conditionalFormatting sqref="AI214">
    <cfRule type="expression" priority="2791" dxfId="3">
      <formula>AND(IF(OR($Q214=1,$Q214=2),1,0),IF($X214&lt;=20,1,0))</formula>
    </cfRule>
    <cfRule type="expression" priority="2792" dxfId="2">
      <formula>AND(IF($Q214=2,1,0),IF($X214&lt;30,1,0))</formula>
    </cfRule>
    <cfRule type="expression" priority="2793" dxfId="1">
      <formula>AND(IF($Q214=3,1,0),IF($X214&lt;30,1,0))</formula>
    </cfRule>
    <cfRule type="expression" priority="2794" dxfId="0">
      <formula>AND(IF($Q214=3,1,IF($Q214=4,1,0)),IF($F214&lt;=85,1,0))</formula>
    </cfRule>
  </conditionalFormatting>
  <conditionalFormatting sqref="AV215">
    <cfRule type="expression" priority="2789" dxfId="23">
      <formula>AV215="X"</formula>
    </cfRule>
    <cfRule type="expression" priority="2790" dxfId="22">
      <formula>AV215="후보"</formula>
    </cfRule>
  </conditionalFormatting>
  <conditionalFormatting sqref="AC21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1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15">
    <cfRule type="expression" priority="2781" dxfId="3">
      <formula>AND(IF(OR($Q215=1,$Q215=2),1,0),IF($X215&lt;=20,1,0))</formula>
    </cfRule>
    <cfRule type="expression" priority="2782" dxfId="2">
      <formula>AND(IF($Q215=2,1,0),IF($X215&lt;30,1,0))</formula>
    </cfRule>
    <cfRule type="expression" priority="2783" dxfId="1">
      <formula>AND(IF($Q215=3,1,0),IF($X215&lt;30,1,0))</formula>
    </cfRule>
    <cfRule type="expression" priority="2784" dxfId="0">
      <formula>AND(IF($Q215=3,1,IF($Q215=4,1,0)),IF($F215&lt;=85,1,0))</formula>
    </cfRule>
  </conditionalFormatting>
  <conditionalFormatting sqref="X215">
    <cfRule type="expression" priority="2777" dxfId="3">
      <formula>AND(IF(OR($Q215=1,$Q215=2),1,0),IF($X215&lt;=20,1,0))</formula>
    </cfRule>
    <cfRule type="expression" priority="2778" dxfId="2">
      <formula>AND(IF($Q215=2,1,0),IF($X215&lt;30,1,0))</formula>
    </cfRule>
    <cfRule type="expression" priority="2779" dxfId="1">
      <formula>AND(IF($Q215=3,1,0),IF($X215&lt;30,1,0))</formula>
    </cfRule>
    <cfRule type="expression" priority="2780" dxfId="0">
      <formula>AND(IF($Q215=3,1,IF($Q215=4,1,0)),IF($F215&lt;=85,1,0))</formula>
    </cfRule>
  </conditionalFormatting>
  <conditionalFormatting sqref="AI215">
    <cfRule type="expression" priority="2773" dxfId="3">
      <formula>AND(IF(OR($Q215=1,$Q215=2),1,0),IF($X215&lt;=20,1,0))</formula>
    </cfRule>
    <cfRule type="expression" priority="2774" dxfId="2">
      <formula>AND(IF($Q215=2,1,0),IF($X215&lt;30,1,0))</formula>
    </cfRule>
    <cfRule type="expression" priority="2775" dxfId="1">
      <formula>AND(IF($Q215=3,1,0),IF($X215&lt;30,1,0))</formula>
    </cfRule>
    <cfRule type="expression" priority="2776" dxfId="0">
      <formula>AND(IF($Q215=3,1,IF($Q215=4,1,0)),IF($F215&lt;=85,1,0))</formula>
    </cfRule>
  </conditionalFormatting>
  <conditionalFormatting sqref="AV216">
    <cfRule type="expression" priority="2771" dxfId="23">
      <formula>AV216="X"</formula>
    </cfRule>
    <cfRule type="expression" priority="2772" dxfId="22">
      <formula>AV216="후보"</formula>
    </cfRule>
  </conditionalFormatting>
  <conditionalFormatting sqref="AC21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1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16">
    <cfRule type="expression" priority="2763" dxfId="3">
      <formula>AND(IF(OR($Q216=1,$Q216=2),1,0),IF($X216&lt;=20,1,0))</formula>
    </cfRule>
    <cfRule type="expression" priority="2764" dxfId="2">
      <formula>AND(IF($Q216=2,1,0),IF($X216&lt;30,1,0))</formula>
    </cfRule>
    <cfRule type="expression" priority="2765" dxfId="1">
      <formula>AND(IF($Q216=3,1,0),IF($X216&lt;30,1,0))</formula>
    </cfRule>
    <cfRule type="expression" priority="2766" dxfId="0">
      <formula>AND(IF($Q216=3,1,IF($Q216=4,1,0)),IF($F216&lt;=85,1,0))</formula>
    </cfRule>
  </conditionalFormatting>
  <conditionalFormatting sqref="X216">
    <cfRule type="expression" priority="2759" dxfId="3">
      <formula>AND(IF(OR($Q216=1,$Q216=2),1,0),IF($X216&lt;=20,1,0))</formula>
    </cfRule>
    <cfRule type="expression" priority="2760" dxfId="2">
      <formula>AND(IF($Q216=2,1,0),IF($X216&lt;30,1,0))</formula>
    </cfRule>
    <cfRule type="expression" priority="2761" dxfId="1">
      <formula>AND(IF($Q216=3,1,0),IF($X216&lt;30,1,0))</formula>
    </cfRule>
    <cfRule type="expression" priority="2762" dxfId="0">
      <formula>AND(IF($Q216=3,1,IF($Q216=4,1,0)),IF($F216&lt;=85,1,0))</formula>
    </cfRule>
  </conditionalFormatting>
  <conditionalFormatting sqref="AI216">
    <cfRule type="expression" priority="2755" dxfId="3">
      <formula>AND(IF(OR($Q216=1,$Q216=2),1,0),IF($X216&lt;=20,1,0))</formula>
    </cfRule>
    <cfRule type="expression" priority="2756" dxfId="2">
      <formula>AND(IF($Q216=2,1,0),IF($X216&lt;30,1,0))</formula>
    </cfRule>
    <cfRule type="expression" priority="2757" dxfId="1">
      <formula>AND(IF($Q216=3,1,0),IF($X216&lt;30,1,0))</formula>
    </cfRule>
    <cfRule type="expression" priority="2758" dxfId="0">
      <formula>AND(IF($Q216=3,1,IF($Q216=4,1,0)),IF($F216&lt;=85,1,0))</formula>
    </cfRule>
  </conditionalFormatting>
  <conditionalFormatting sqref="AV217">
    <cfRule type="expression" priority="2753" dxfId="23">
      <formula>AV217="X"</formula>
    </cfRule>
    <cfRule type="expression" priority="2754" dxfId="22">
      <formula>AV217="후보"</formula>
    </cfRule>
  </conditionalFormatting>
  <conditionalFormatting sqref="AC21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1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17">
    <cfRule type="expression" priority="2745" dxfId="3">
      <formula>AND(IF(OR($Q217=1,$Q217=2),1,0),IF($X217&lt;=20,1,0))</formula>
    </cfRule>
    <cfRule type="expression" priority="2746" dxfId="2">
      <formula>AND(IF($Q217=2,1,0),IF($X217&lt;30,1,0))</formula>
    </cfRule>
    <cfRule type="expression" priority="2747" dxfId="1">
      <formula>AND(IF($Q217=3,1,0),IF($X217&lt;30,1,0))</formula>
    </cfRule>
    <cfRule type="expression" priority="2748" dxfId="0">
      <formula>AND(IF($Q217=3,1,IF($Q217=4,1,0)),IF($F217&lt;=85,1,0))</formula>
    </cfRule>
  </conditionalFormatting>
  <conditionalFormatting sqref="X217">
    <cfRule type="expression" priority="2741" dxfId="3">
      <formula>AND(IF(OR($Q217=1,$Q217=2),1,0),IF($X217&lt;=20,1,0))</formula>
    </cfRule>
    <cfRule type="expression" priority="2742" dxfId="2">
      <formula>AND(IF($Q217=2,1,0),IF($X217&lt;30,1,0))</formula>
    </cfRule>
    <cfRule type="expression" priority="2743" dxfId="1">
      <formula>AND(IF($Q217=3,1,0),IF($X217&lt;30,1,0))</formula>
    </cfRule>
    <cfRule type="expression" priority="2744" dxfId="0">
      <formula>AND(IF($Q217=3,1,IF($Q217=4,1,0)),IF($F217&lt;=85,1,0))</formula>
    </cfRule>
  </conditionalFormatting>
  <conditionalFormatting sqref="AI217">
    <cfRule type="expression" priority="2737" dxfId="3">
      <formula>AND(IF(OR($Q217=1,$Q217=2),1,0),IF($X217&lt;=20,1,0))</formula>
    </cfRule>
    <cfRule type="expression" priority="2738" dxfId="2">
      <formula>AND(IF($Q217=2,1,0),IF($X217&lt;30,1,0))</formula>
    </cfRule>
    <cfRule type="expression" priority="2739" dxfId="1">
      <formula>AND(IF($Q217=3,1,0),IF($X217&lt;30,1,0))</formula>
    </cfRule>
    <cfRule type="expression" priority="2740" dxfId="0">
      <formula>AND(IF($Q217=3,1,IF($Q217=4,1,0)),IF($F217&lt;=85,1,0))</formula>
    </cfRule>
  </conditionalFormatting>
  <conditionalFormatting sqref="AV218">
    <cfRule type="expression" priority="2735" dxfId="23">
      <formula>AV218="X"</formula>
    </cfRule>
    <cfRule type="expression" priority="2736" dxfId="22">
      <formula>AV218="후보"</formula>
    </cfRule>
  </conditionalFormatting>
  <conditionalFormatting sqref="AC21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1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18">
    <cfRule type="expression" priority="2727" dxfId="3">
      <formula>AND(IF(OR($Q218=1,$Q218=2),1,0),IF($X218&lt;=20,1,0))</formula>
    </cfRule>
    <cfRule type="expression" priority="2728" dxfId="2">
      <formula>AND(IF($Q218=2,1,0),IF($X218&lt;30,1,0))</formula>
    </cfRule>
    <cfRule type="expression" priority="2729" dxfId="1">
      <formula>AND(IF($Q218=3,1,0),IF($X218&lt;30,1,0))</formula>
    </cfRule>
    <cfRule type="expression" priority="2730" dxfId="0">
      <formula>AND(IF($Q218=3,1,IF($Q218=4,1,0)),IF($F218&lt;=85,1,0))</formula>
    </cfRule>
  </conditionalFormatting>
  <conditionalFormatting sqref="X218">
    <cfRule type="expression" priority="2723" dxfId="3">
      <formula>AND(IF(OR($Q218=1,$Q218=2),1,0),IF($X218&lt;=20,1,0))</formula>
    </cfRule>
    <cfRule type="expression" priority="2724" dxfId="2">
      <formula>AND(IF($Q218=2,1,0),IF($X218&lt;30,1,0))</formula>
    </cfRule>
    <cfRule type="expression" priority="2725" dxfId="1">
      <formula>AND(IF($Q218=3,1,0),IF($X218&lt;30,1,0))</formula>
    </cfRule>
    <cfRule type="expression" priority="2726" dxfId="0">
      <formula>AND(IF($Q218=3,1,IF($Q218=4,1,0)),IF($F218&lt;=85,1,0))</formula>
    </cfRule>
  </conditionalFormatting>
  <conditionalFormatting sqref="AI218">
    <cfRule type="expression" priority="2719" dxfId="3">
      <formula>AND(IF(OR($Q218=1,$Q218=2),1,0),IF($X218&lt;=20,1,0))</formula>
    </cfRule>
    <cfRule type="expression" priority="2720" dxfId="2">
      <formula>AND(IF($Q218=2,1,0),IF($X218&lt;30,1,0))</formula>
    </cfRule>
    <cfRule type="expression" priority="2721" dxfId="1">
      <formula>AND(IF($Q218=3,1,0),IF($X218&lt;30,1,0))</formula>
    </cfRule>
    <cfRule type="expression" priority="2722" dxfId="0">
      <formula>AND(IF($Q218=3,1,IF($Q218=4,1,0)),IF($F218&lt;=85,1,0))</formula>
    </cfRule>
  </conditionalFormatting>
  <conditionalFormatting sqref="AV219">
    <cfRule type="expression" priority="2717" dxfId="23">
      <formula>AV219="X"</formula>
    </cfRule>
    <cfRule type="expression" priority="2718" dxfId="22">
      <formula>AV219="후보"</formula>
    </cfRule>
  </conditionalFormatting>
  <conditionalFormatting sqref="AC21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1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19">
    <cfRule type="expression" priority="2709" dxfId="3">
      <formula>AND(IF(OR($Q219=1,$Q219=2),1,0),IF($X219&lt;=20,1,0))</formula>
    </cfRule>
    <cfRule type="expression" priority="2710" dxfId="2">
      <formula>AND(IF($Q219=2,1,0),IF($X219&lt;30,1,0))</formula>
    </cfRule>
    <cfRule type="expression" priority="2711" dxfId="1">
      <formula>AND(IF($Q219=3,1,0),IF($X219&lt;30,1,0))</formula>
    </cfRule>
    <cfRule type="expression" priority="2712" dxfId="0">
      <formula>AND(IF($Q219=3,1,IF($Q219=4,1,0)),IF($F219&lt;=85,1,0))</formula>
    </cfRule>
  </conditionalFormatting>
  <conditionalFormatting sqref="X219">
    <cfRule type="expression" priority="2705" dxfId="3">
      <formula>AND(IF(OR($Q219=1,$Q219=2),1,0),IF($X219&lt;=20,1,0))</formula>
    </cfRule>
    <cfRule type="expression" priority="2706" dxfId="2">
      <formula>AND(IF($Q219=2,1,0),IF($X219&lt;30,1,0))</formula>
    </cfRule>
    <cfRule type="expression" priority="2707" dxfId="1">
      <formula>AND(IF($Q219=3,1,0),IF($X219&lt;30,1,0))</formula>
    </cfRule>
    <cfRule type="expression" priority="2708" dxfId="0">
      <formula>AND(IF($Q219=3,1,IF($Q219=4,1,0)),IF($F219&lt;=85,1,0))</formula>
    </cfRule>
  </conditionalFormatting>
  <conditionalFormatting sqref="AI219">
    <cfRule type="expression" priority="2701" dxfId="3">
      <formula>AND(IF(OR($Q219=1,$Q219=2),1,0),IF($X219&lt;=20,1,0))</formula>
    </cfRule>
    <cfRule type="expression" priority="2702" dxfId="2">
      <formula>AND(IF($Q219=2,1,0),IF($X219&lt;30,1,0))</formula>
    </cfRule>
    <cfRule type="expression" priority="2703" dxfId="1">
      <formula>AND(IF($Q219=3,1,0),IF($X219&lt;30,1,0))</formula>
    </cfRule>
    <cfRule type="expression" priority="2704" dxfId="0">
      <formula>AND(IF($Q219=3,1,IF($Q219=4,1,0)),IF($F219&lt;=85,1,0))</formula>
    </cfRule>
  </conditionalFormatting>
  <conditionalFormatting sqref="AV220">
    <cfRule type="expression" priority="2699" dxfId="23">
      <formula>AV220="X"</formula>
    </cfRule>
    <cfRule type="expression" priority="2700" dxfId="22">
      <formula>AV220="후보"</formula>
    </cfRule>
  </conditionalFormatting>
  <conditionalFormatting sqref="AC22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2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20">
    <cfRule type="expression" priority="2691" dxfId="3">
      <formula>AND(IF(OR($Q220=1,$Q220=2),1,0),IF($X220&lt;=20,1,0))</formula>
    </cfRule>
    <cfRule type="expression" priority="2692" dxfId="2">
      <formula>AND(IF($Q220=2,1,0),IF($X220&lt;30,1,0))</formula>
    </cfRule>
    <cfRule type="expression" priority="2693" dxfId="1">
      <formula>AND(IF($Q220=3,1,0),IF($X220&lt;30,1,0))</formula>
    </cfRule>
    <cfRule type="expression" priority="2694" dxfId="0">
      <formula>AND(IF($Q220=3,1,IF($Q220=4,1,0)),IF($F220&lt;=85,1,0))</formula>
    </cfRule>
  </conditionalFormatting>
  <conditionalFormatting sqref="X220">
    <cfRule type="expression" priority="2687" dxfId="3">
      <formula>AND(IF(OR($Q220=1,$Q220=2),1,0),IF($X220&lt;=20,1,0))</formula>
    </cfRule>
    <cfRule type="expression" priority="2688" dxfId="2">
      <formula>AND(IF($Q220=2,1,0),IF($X220&lt;30,1,0))</formula>
    </cfRule>
    <cfRule type="expression" priority="2689" dxfId="1">
      <formula>AND(IF($Q220=3,1,0),IF($X220&lt;30,1,0))</formula>
    </cfRule>
    <cfRule type="expression" priority="2690" dxfId="0">
      <formula>AND(IF($Q220=3,1,IF($Q220=4,1,0)),IF($F220&lt;=85,1,0))</formula>
    </cfRule>
  </conditionalFormatting>
  <conditionalFormatting sqref="AI220">
    <cfRule type="expression" priority="2683" dxfId="3">
      <formula>AND(IF(OR($Q220=1,$Q220=2),1,0),IF($X220&lt;=20,1,0))</formula>
    </cfRule>
    <cfRule type="expression" priority="2684" dxfId="2">
      <formula>AND(IF($Q220=2,1,0),IF($X220&lt;30,1,0))</formula>
    </cfRule>
    <cfRule type="expression" priority="2685" dxfId="1">
      <formula>AND(IF($Q220=3,1,0),IF($X220&lt;30,1,0))</formula>
    </cfRule>
    <cfRule type="expression" priority="2686" dxfId="0">
      <formula>AND(IF($Q220=3,1,IF($Q220=4,1,0)),IF($F220&lt;=85,1,0))</formula>
    </cfRule>
  </conditionalFormatting>
  <conditionalFormatting sqref="AV221">
    <cfRule type="expression" priority="2681" dxfId="23">
      <formula>AV221="X"</formula>
    </cfRule>
    <cfRule type="expression" priority="2682" dxfId="22">
      <formula>AV221="후보"</formula>
    </cfRule>
  </conditionalFormatting>
  <conditionalFormatting sqref="AC22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2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21">
    <cfRule type="expression" priority="2673" dxfId="3">
      <formula>AND(IF(OR($Q221=1,$Q221=2),1,0),IF($X221&lt;=20,1,0))</formula>
    </cfRule>
    <cfRule type="expression" priority="2674" dxfId="2">
      <formula>AND(IF($Q221=2,1,0),IF($X221&lt;30,1,0))</formula>
    </cfRule>
    <cfRule type="expression" priority="2675" dxfId="1">
      <formula>AND(IF($Q221=3,1,0),IF($X221&lt;30,1,0))</formula>
    </cfRule>
    <cfRule type="expression" priority="2676" dxfId="0">
      <formula>AND(IF($Q221=3,1,IF($Q221=4,1,0)),IF($F221&lt;=85,1,0))</formula>
    </cfRule>
  </conditionalFormatting>
  <conditionalFormatting sqref="X221">
    <cfRule type="expression" priority="2669" dxfId="3">
      <formula>AND(IF(OR($Q221=1,$Q221=2),1,0),IF($X221&lt;=20,1,0))</formula>
    </cfRule>
    <cfRule type="expression" priority="2670" dxfId="2">
      <formula>AND(IF($Q221=2,1,0),IF($X221&lt;30,1,0))</formula>
    </cfRule>
    <cfRule type="expression" priority="2671" dxfId="1">
      <formula>AND(IF($Q221=3,1,0),IF($X221&lt;30,1,0))</formula>
    </cfRule>
    <cfRule type="expression" priority="2672" dxfId="0">
      <formula>AND(IF($Q221=3,1,IF($Q221=4,1,0)),IF($F221&lt;=85,1,0))</formula>
    </cfRule>
  </conditionalFormatting>
  <conditionalFormatting sqref="AI221">
    <cfRule type="expression" priority="2665" dxfId="3">
      <formula>AND(IF(OR($Q221=1,$Q221=2),1,0),IF($X221&lt;=20,1,0))</formula>
    </cfRule>
    <cfRule type="expression" priority="2666" dxfId="2">
      <formula>AND(IF($Q221=2,1,0),IF($X221&lt;30,1,0))</formula>
    </cfRule>
    <cfRule type="expression" priority="2667" dxfId="1">
      <formula>AND(IF($Q221=3,1,0),IF($X221&lt;30,1,0))</formula>
    </cfRule>
    <cfRule type="expression" priority="2668" dxfId="0">
      <formula>AND(IF($Q221=3,1,IF($Q221=4,1,0)),IF($F221&lt;=85,1,0))</formula>
    </cfRule>
  </conditionalFormatting>
  <conditionalFormatting sqref="AV222">
    <cfRule type="expression" priority="2663" dxfId="23">
      <formula>AV222="X"</formula>
    </cfRule>
    <cfRule type="expression" priority="2664" dxfId="22">
      <formula>AV222="후보"</formula>
    </cfRule>
  </conditionalFormatting>
  <conditionalFormatting sqref="AC22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2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22">
    <cfRule type="expression" priority="2655" dxfId="3">
      <formula>AND(IF(OR($Q222=1,$Q222=2),1,0),IF($X222&lt;=20,1,0))</formula>
    </cfRule>
    <cfRule type="expression" priority="2656" dxfId="2">
      <formula>AND(IF($Q222=2,1,0),IF($X222&lt;30,1,0))</formula>
    </cfRule>
    <cfRule type="expression" priority="2657" dxfId="1">
      <formula>AND(IF($Q222=3,1,0),IF($X222&lt;30,1,0))</formula>
    </cfRule>
    <cfRule type="expression" priority="2658" dxfId="0">
      <formula>AND(IF($Q222=3,1,IF($Q222=4,1,0)),IF($F222&lt;=85,1,0))</formula>
    </cfRule>
  </conditionalFormatting>
  <conditionalFormatting sqref="X222">
    <cfRule type="expression" priority="2651" dxfId="3">
      <formula>AND(IF(OR($Q222=1,$Q222=2),1,0),IF($X222&lt;=20,1,0))</formula>
    </cfRule>
    <cfRule type="expression" priority="2652" dxfId="2">
      <formula>AND(IF($Q222=2,1,0),IF($X222&lt;30,1,0))</formula>
    </cfRule>
    <cfRule type="expression" priority="2653" dxfId="1">
      <formula>AND(IF($Q222=3,1,0),IF($X222&lt;30,1,0))</formula>
    </cfRule>
    <cfRule type="expression" priority="2654" dxfId="0">
      <formula>AND(IF($Q222=3,1,IF($Q222=4,1,0)),IF($F222&lt;=85,1,0))</formula>
    </cfRule>
  </conditionalFormatting>
  <conditionalFormatting sqref="AI222">
    <cfRule type="expression" priority="2647" dxfId="3">
      <formula>AND(IF(OR($Q222=1,$Q222=2),1,0),IF($X222&lt;=20,1,0))</formula>
    </cfRule>
    <cfRule type="expression" priority="2648" dxfId="2">
      <formula>AND(IF($Q222=2,1,0),IF($X222&lt;30,1,0))</formula>
    </cfRule>
    <cfRule type="expression" priority="2649" dxfId="1">
      <formula>AND(IF($Q222=3,1,0),IF($X222&lt;30,1,0))</formula>
    </cfRule>
    <cfRule type="expression" priority="2650" dxfId="0">
      <formula>AND(IF($Q222=3,1,IF($Q222=4,1,0)),IF($F222&lt;=85,1,0))</formula>
    </cfRule>
  </conditionalFormatting>
  <conditionalFormatting sqref="AV223">
    <cfRule type="expression" priority="2645" dxfId="23">
      <formula>AV223="X"</formula>
    </cfRule>
    <cfRule type="expression" priority="2646" dxfId="22">
      <formula>AV223="후보"</formula>
    </cfRule>
  </conditionalFormatting>
  <conditionalFormatting sqref="AC22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2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23">
    <cfRule type="expression" priority="2637" dxfId="3">
      <formula>AND(IF(OR($Q223=1,$Q223=2),1,0),IF($X223&lt;=20,1,0))</formula>
    </cfRule>
    <cfRule type="expression" priority="2638" dxfId="2">
      <formula>AND(IF($Q223=2,1,0),IF($X223&lt;30,1,0))</formula>
    </cfRule>
    <cfRule type="expression" priority="2639" dxfId="1">
      <formula>AND(IF($Q223=3,1,0),IF($X223&lt;30,1,0))</formula>
    </cfRule>
    <cfRule type="expression" priority="2640" dxfId="0">
      <formula>AND(IF($Q223=3,1,IF($Q223=4,1,0)),IF($F223&lt;=85,1,0))</formula>
    </cfRule>
  </conditionalFormatting>
  <conditionalFormatting sqref="X223">
    <cfRule type="expression" priority="2633" dxfId="3">
      <formula>AND(IF(OR($Q223=1,$Q223=2),1,0),IF($X223&lt;=20,1,0))</formula>
    </cfRule>
    <cfRule type="expression" priority="2634" dxfId="2">
      <formula>AND(IF($Q223=2,1,0),IF($X223&lt;30,1,0))</formula>
    </cfRule>
    <cfRule type="expression" priority="2635" dxfId="1">
      <formula>AND(IF($Q223=3,1,0),IF($X223&lt;30,1,0))</formula>
    </cfRule>
    <cfRule type="expression" priority="2636" dxfId="0">
      <formula>AND(IF($Q223=3,1,IF($Q223=4,1,0)),IF($F223&lt;=85,1,0))</formula>
    </cfRule>
  </conditionalFormatting>
  <conditionalFormatting sqref="AI223">
    <cfRule type="expression" priority="2629" dxfId="3">
      <formula>AND(IF(OR($Q223=1,$Q223=2),1,0),IF($X223&lt;=20,1,0))</formula>
    </cfRule>
    <cfRule type="expression" priority="2630" dxfId="2">
      <formula>AND(IF($Q223=2,1,0),IF($X223&lt;30,1,0))</formula>
    </cfRule>
    <cfRule type="expression" priority="2631" dxfId="1">
      <formula>AND(IF($Q223=3,1,0),IF($X223&lt;30,1,0))</formula>
    </cfRule>
    <cfRule type="expression" priority="2632" dxfId="0">
      <formula>AND(IF($Q223=3,1,IF($Q223=4,1,0)),IF($F223&lt;=85,1,0))</formula>
    </cfRule>
  </conditionalFormatting>
  <conditionalFormatting sqref="AV224">
    <cfRule type="expression" priority="2627" dxfId="23">
      <formula>AV224="X"</formula>
    </cfRule>
    <cfRule type="expression" priority="2628" dxfId="22">
      <formula>AV224="후보"</formula>
    </cfRule>
  </conditionalFormatting>
  <conditionalFormatting sqref="AC22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2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24">
    <cfRule type="expression" priority="2619" dxfId="3">
      <formula>AND(IF(OR($Q224=1,$Q224=2),1,0),IF($X224&lt;=20,1,0))</formula>
    </cfRule>
    <cfRule type="expression" priority="2620" dxfId="2">
      <formula>AND(IF($Q224=2,1,0),IF($X224&lt;30,1,0))</formula>
    </cfRule>
    <cfRule type="expression" priority="2621" dxfId="1">
      <formula>AND(IF($Q224=3,1,0),IF($X224&lt;30,1,0))</formula>
    </cfRule>
    <cfRule type="expression" priority="2622" dxfId="0">
      <formula>AND(IF($Q224=3,1,IF($Q224=4,1,0)),IF($F224&lt;=85,1,0))</formula>
    </cfRule>
  </conditionalFormatting>
  <conditionalFormatting sqref="X224">
    <cfRule type="expression" priority="2615" dxfId="3">
      <formula>AND(IF(OR($Q224=1,$Q224=2),1,0),IF($X224&lt;=20,1,0))</formula>
    </cfRule>
    <cfRule type="expression" priority="2616" dxfId="2">
      <formula>AND(IF($Q224=2,1,0),IF($X224&lt;30,1,0))</formula>
    </cfRule>
    <cfRule type="expression" priority="2617" dxfId="1">
      <formula>AND(IF($Q224=3,1,0),IF($X224&lt;30,1,0))</formula>
    </cfRule>
    <cfRule type="expression" priority="2618" dxfId="0">
      <formula>AND(IF($Q224=3,1,IF($Q224=4,1,0)),IF($F224&lt;=85,1,0))</formula>
    </cfRule>
  </conditionalFormatting>
  <conditionalFormatting sqref="AI224">
    <cfRule type="expression" priority="2611" dxfId="3">
      <formula>AND(IF(OR($Q224=1,$Q224=2),1,0),IF($X224&lt;=20,1,0))</formula>
    </cfRule>
    <cfRule type="expression" priority="2612" dxfId="2">
      <formula>AND(IF($Q224=2,1,0),IF($X224&lt;30,1,0))</formula>
    </cfRule>
    <cfRule type="expression" priority="2613" dxfId="1">
      <formula>AND(IF($Q224=3,1,0),IF($X224&lt;30,1,0))</formula>
    </cfRule>
    <cfRule type="expression" priority="2614" dxfId="0">
      <formula>AND(IF($Q224=3,1,IF($Q224=4,1,0)),IF($F224&lt;=85,1,0))</formula>
    </cfRule>
  </conditionalFormatting>
  <conditionalFormatting sqref="AV225">
    <cfRule type="expression" priority="2609" dxfId="23">
      <formula>AV225="X"</formula>
    </cfRule>
    <cfRule type="expression" priority="2610" dxfId="22">
      <formula>AV225="후보"</formula>
    </cfRule>
  </conditionalFormatting>
  <conditionalFormatting sqref="AC22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2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25">
    <cfRule type="expression" priority="2601" dxfId="3">
      <formula>AND(IF(OR($Q225=1,$Q225=2),1,0),IF($X225&lt;=20,1,0))</formula>
    </cfRule>
    <cfRule type="expression" priority="2602" dxfId="2">
      <formula>AND(IF($Q225=2,1,0),IF($X225&lt;30,1,0))</formula>
    </cfRule>
    <cfRule type="expression" priority="2603" dxfId="1">
      <formula>AND(IF($Q225=3,1,0),IF($X225&lt;30,1,0))</formula>
    </cfRule>
    <cfRule type="expression" priority="2604" dxfId="0">
      <formula>AND(IF($Q225=3,1,IF($Q225=4,1,0)),IF($F225&lt;=85,1,0))</formula>
    </cfRule>
  </conditionalFormatting>
  <conditionalFormatting sqref="X225">
    <cfRule type="expression" priority="2597" dxfId="3">
      <formula>AND(IF(OR($Q225=1,$Q225=2),1,0),IF($X225&lt;=20,1,0))</formula>
    </cfRule>
    <cfRule type="expression" priority="2598" dxfId="2">
      <formula>AND(IF($Q225=2,1,0),IF($X225&lt;30,1,0))</formula>
    </cfRule>
    <cfRule type="expression" priority="2599" dxfId="1">
      <formula>AND(IF($Q225=3,1,0),IF($X225&lt;30,1,0))</formula>
    </cfRule>
    <cfRule type="expression" priority="2600" dxfId="0">
      <formula>AND(IF($Q225=3,1,IF($Q225=4,1,0)),IF($F225&lt;=85,1,0))</formula>
    </cfRule>
  </conditionalFormatting>
  <conditionalFormatting sqref="AI225">
    <cfRule type="expression" priority="2593" dxfId="3">
      <formula>AND(IF(OR($Q225=1,$Q225=2),1,0),IF($X225&lt;=20,1,0))</formula>
    </cfRule>
    <cfRule type="expression" priority="2594" dxfId="2">
      <formula>AND(IF($Q225=2,1,0),IF($X225&lt;30,1,0))</formula>
    </cfRule>
    <cfRule type="expression" priority="2595" dxfId="1">
      <formula>AND(IF($Q225=3,1,0),IF($X225&lt;30,1,0))</formula>
    </cfRule>
    <cfRule type="expression" priority="2596" dxfId="0">
      <formula>AND(IF($Q225=3,1,IF($Q225=4,1,0)),IF($F225&lt;=85,1,0))</formula>
    </cfRule>
  </conditionalFormatting>
  <conditionalFormatting sqref="AV226">
    <cfRule type="expression" priority="2591" dxfId="23">
      <formula>AV226="X"</formula>
    </cfRule>
    <cfRule type="expression" priority="2592" dxfId="22">
      <formula>AV226="후보"</formula>
    </cfRule>
  </conditionalFormatting>
  <conditionalFormatting sqref="AC22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2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26">
    <cfRule type="expression" priority="2583" dxfId="3">
      <formula>AND(IF(OR($Q226=1,$Q226=2),1,0),IF($X226&lt;=20,1,0))</formula>
    </cfRule>
    <cfRule type="expression" priority="2584" dxfId="2">
      <formula>AND(IF($Q226=2,1,0),IF($X226&lt;30,1,0))</formula>
    </cfRule>
    <cfRule type="expression" priority="2585" dxfId="1">
      <formula>AND(IF($Q226=3,1,0),IF($X226&lt;30,1,0))</formula>
    </cfRule>
    <cfRule type="expression" priority="2586" dxfId="0">
      <formula>AND(IF($Q226=3,1,IF($Q226=4,1,0)),IF($F226&lt;=85,1,0))</formula>
    </cfRule>
  </conditionalFormatting>
  <conditionalFormatting sqref="X226">
    <cfRule type="expression" priority="2579" dxfId="3">
      <formula>AND(IF(OR($Q226=1,$Q226=2),1,0),IF($X226&lt;=20,1,0))</formula>
    </cfRule>
    <cfRule type="expression" priority="2580" dxfId="2">
      <formula>AND(IF($Q226=2,1,0),IF($X226&lt;30,1,0))</formula>
    </cfRule>
    <cfRule type="expression" priority="2581" dxfId="1">
      <formula>AND(IF($Q226=3,1,0),IF($X226&lt;30,1,0))</formula>
    </cfRule>
    <cfRule type="expression" priority="2582" dxfId="0">
      <formula>AND(IF($Q226=3,1,IF($Q226=4,1,0)),IF($F226&lt;=85,1,0))</formula>
    </cfRule>
  </conditionalFormatting>
  <conditionalFormatting sqref="AI226">
    <cfRule type="expression" priority="2575" dxfId="3">
      <formula>AND(IF(OR($Q226=1,$Q226=2),1,0),IF($X226&lt;=20,1,0))</formula>
    </cfRule>
    <cfRule type="expression" priority="2576" dxfId="2">
      <formula>AND(IF($Q226=2,1,0),IF($X226&lt;30,1,0))</formula>
    </cfRule>
    <cfRule type="expression" priority="2577" dxfId="1">
      <formula>AND(IF($Q226=3,1,0),IF($X226&lt;30,1,0))</formula>
    </cfRule>
    <cfRule type="expression" priority="2578" dxfId="0">
      <formula>AND(IF($Q226=3,1,IF($Q226=4,1,0)),IF($F226&lt;=85,1,0))</formula>
    </cfRule>
  </conditionalFormatting>
  <conditionalFormatting sqref="AV227">
    <cfRule type="expression" priority="2573" dxfId="23">
      <formula>AV227="X"</formula>
    </cfRule>
    <cfRule type="expression" priority="2574" dxfId="22">
      <formula>AV227="후보"</formula>
    </cfRule>
  </conditionalFormatting>
  <conditionalFormatting sqref="AC22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2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27">
    <cfRule type="expression" priority="2565" dxfId="3">
      <formula>AND(IF(OR($Q227=1,$Q227=2),1,0),IF($X227&lt;=20,1,0))</formula>
    </cfRule>
    <cfRule type="expression" priority="2566" dxfId="2">
      <formula>AND(IF($Q227=2,1,0),IF($X227&lt;30,1,0))</formula>
    </cfRule>
    <cfRule type="expression" priority="2567" dxfId="1">
      <formula>AND(IF($Q227=3,1,0),IF($X227&lt;30,1,0))</formula>
    </cfRule>
    <cfRule type="expression" priority="2568" dxfId="0">
      <formula>AND(IF($Q227=3,1,IF($Q227=4,1,0)),IF($F227&lt;=85,1,0))</formula>
    </cfRule>
  </conditionalFormatting>
  <conditionalFormatting sqref="X227">
    <cfRule type="expression" priority="2561" dxfId="3">
      <formula>AND(IF(OR($Q227=1,$Q227=2),1,0),IF($X227&lt;=20,1,0))</formula>
    </cfRule>
    <cfRule type="expression" priority="2562" dxfId="2">
      <formula>AND(IF($Q227=2,1,0),IF($X227&lt;30,1,0))</formula>
    </cfRule>
    <cfRule type="expression" priority="2563" dxfId="1">
      <formula>AND(IF($Q227=3,1,0),IF($X227&lt;30,1,0))</formula>
    </cfRule>
    <cfRule type="expression" priority="2564" dxfId="0">
      <formula>AND(IF($Q227=3,1,IF($Q227=4,1,0)),IF($F227&lt;=85,1,0))</formula>
    </cfRule>
  </conditionalFormatting>
  <conditionalFormatting sqref="AI227">
    <cfRule type="expression" priority="2557" dxfId="3">
      <formula>AND(IF(OR($Q227=1,$Q227=2),1,0),IF($X227&lt;=20,1,0))</formula>
    </cfRule>
    <cfRule type="expression" priority="2558" dxfId="2">
      <formula>AND(IF($Q227=2,1,0),IF($X227&lt;30,1,0))</formula>
    </cfRule>
    <cfRule type="expression" priority="2559" dxfId="1">
      <formula>AND(IF($Q227=3,1,0),IF($X227&lt;30,1,0))</formula>
    </cfRule>
    <cfRule type="expression" priority="2560" dxfId="0">
      <formula>AND(IF($Q227=3,1,IF($Q227=4,1,0)),IF($F227&lt;=85,1,0))</formula>
    </cfRule>
  </conditionalFormatting>
  <conditionalFormatting sqref="AV228">
    <cfRule type="expression" priority="2555" dxfId="23">
      <formula>AV228="X"</formula>
    </cfRule>
    <cfRule type="expression" priority="2556" dxfId="22">
      <formula>AV228="후보"</formula>
    </cfRule>
  </conditionalFormatting>
  <conditionalFormatting sqref="AC22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2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28">
    <cfRule type="expression" priority="2547" dxfId="3">
      <formula>AND(IF(OR($Q228=1,$Q228=2),1,0),IF($X228&lt;=20,1,0))</formula>
    </cfRule>
    <cfRule type="expression" priority="2548" dxfId="2">
      <formula>AND(IF($Q228=2,1,0),IF($X228&lt;30,1,0))</formula>
    </cfRule>
    <cfRule type="expression" priority="2549" dxfId="1">
      <formula>AND(IF($Q228=3,1,0),IF($X228&lt;30,1,0))</formula>
    </cfRule>
    <cfRule type="expression" priority="2550" dxfId="0">
      <formula>AND(IF($Q228=3,1,IF($Q228=4,1,0)),IF($F228&lt;=85,1,0))</formula>
    </cfRule>
  </conditionalFormatting>
  <conditionalFormatting sqref="X228">
    <cfRule type="expression" priority="2543" dxfId="3">
      <formula>AND(IF(OR($Q228=1,$Q228=2),1,0),IF($X228&lt;=20,1,0))</formula>
    </cfRule>
    <cfRule type="expression" priority="2544" dxfId="2">
      <formula>AND(IF($Q228=2,1,0),IF($X228&lt;30,1,0))</formula>
    </cfRule>
    <cfRule type="expression" priority="2545" dxfId="1">
      <formula>AND(IF($Q228=3,1,0),IF($X228&lt;30,1,0))</formula>
    </cfRule>
    <cfRule type="expression" priority="2546" dxfId="0">
      <formula>AND(IF($Q228=3,1,IF($Q228=4,1,0)),IF($F228&lt;=85,1,0))</formula>
    </cfRule>
  </conditionalFormatting>
  <conditionalFormatting sqref="AI228">
    <cfRule type="expression" priority="2539" dxfId="3">
      <formula>AND(IF(OR($Q228=1,$Q228=2),1,0),IF($X228&lt;=20,1,0))</formula>
    </cfRule>
    <cfRule type="expression" priority="2540" dxfId="2">
      <formula>AND(IF($Q228=2,1,0),IF($X228&lt;30,1,0))</formula>
    </cfRule>
    <cfRule type="expression" priority="2541" dxfId="1">
      <formula>AND(IF($Q228=3,1,0),IF($X228&lt;30,1,0))</formula>
    </cfRule>
    <cfRule type="expression" priority="2542" dxfId="0">
      <formula>AND(IF($Q228=3,1,IF($Q228=4,1,0)),IF($F228&lt;=85,1,0))</formula>
    </cfRule>
  </conditionalFormatting>
  <conditionalFormatting sqref="AV229">
    <cfRule type="expression" priority="2537" dxfId="23">
      <formula>AV229="X"</formula>
    </cfRule>
    <cfRule type="expression" priority="2538" dxfId="22">
      <formula>AV229="후보"</formula>
    </cfRule>
  </conditionalFormatting>
  <conditionalFormatting sqref="AC22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2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29">
    <cfRule type="expression" priority="2529" dxfId="3">
      <formula>AND(IF(OR($Q229=1,$Q229=2),1,0),IF($X229&lt;=20,1,0))</formula>
    </cfRule>
    <cfRule type="expression" priority="2530" dxfId="2">
      <formula>AND(IF($Q229=2,1,0),IF($X229&lt;30,1,0))</formula>
    </cfRule>
    <cfRule type="expression" priority="2531" dxfId="1">
      <formula>AND(IF($Q229=3,1,0),IF($X229&lt;30,1,0))</formula>
    </cfRule>
    <cfRule type="expression" priority="2532" dxfId="0">
      <formula>AND(IF($Q229=3,1,IF($Q229=4,1,0)),IF($F229&lt;=85,1,0))</formula>
    </cfRule>
  </conditionalFormatting>
  <conditionalFormatting sqref="X229">
    <cfRule type="expression" priority="2525" dxfId="3">
      <formula>AND(IF(OR($Q229=1,$Q229=2),1,0),IF($X229&lt;=20,1,0))</formula>
    </cfRule>
    <cfRule type="expression" priority="2526" dxfId="2">
      <formula>AND(IF($Q229=2,1,0),IF($X229&lt;30,1,0))</formula>
    </cfRule>
    <cfRule type="expression" priority="2527" dxfId="1">
      <formula>AND(IF($Q229=3,1,0),IF($X229&lt;30,1,0))</formula>
    </cfRule>
    <cfRule type="expression" priority="2528" dxfId="0">
      <formula>AND(IF($Q229=3,1,IF($Q229=4,1,0)),IF($F229&lt;=85,1,0))</formula>
    </cfRule>
  </conditionalFormatting>
  <conditionalFormatting sqref="AI229">
    <cfRule type="expression" priority="2521" dxfId="3">
      <formula>AND(IF(OR($Q229=1,$Q229=2),1,0),IF($X229&lt;=20,1,0))</formula>
    </cfRule>
    <cfRule type="expression" priority="2522" dxfId="2">
      <formula>AND(IF($Q229=2,1,0),IF($X229&lt;30,1,0))</formula>
    </cfRule>
    <cfRule type="expression" priority="2523" dxfId="1">
      <formula>AND(IF($Q229=3,1,0),IF($X229&lt;30,1,0))</formula>
    </cfRule>
    <cfRule type="expression" priority="2524" dxfId="0">
      <formula>AND(IF($Q229=3,1,IF($Q229=4,1,0)),IF($F229&lt;=85,1,0))</formula>
    </cfRule>
  </conditionalFormatting>
  <conditionalFormatting sqref="AV230">
    <cfRule type="expression" priority="2519" dxfId="23">
      <formula>AV230="X"</formula>
    </cfRule>
    <cfRule type="expression" priority="2520" dxfId="22">
      <formula>AV230="후보"</formula>
    </cfRule>
  </conditionalFormatting>
  <conditionalFormatting sqref="AC23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3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30">
    <cfRule type="expression" priority="2511" dxfId="3">
      <formula>AND(IF(OR($Q230=1,$Q230=2),1,0),IF($X230&lt;=20,1,0))</formula>
    </cfRule>
    <cfRule type="expression" priority="2512" dxfId="2">
      <formula>AND(IF($Q230=2,1,0),IF($X230&lt;30,1,0))</formula>
    </cfRule>
    <cfRule type="expression" priority="2513" dxfId="1">
      <formula>AND(IF($Q230=3,1,0),IF($X230&lt;30,1,0))</formula>
    </cfRule>
    <cfRule type="expression" priority="2514" dxfId="0">
      <formula>AND(IF($Q230=3,1,IF($Q230=4,1,0)),IF($F230&lt;=85,1,0))</formula>
    </cfRule>
  </conditionalFormatting>
  <conditionalFormatting sqref="X230">
    <cfRule type="expression" priority="2507" dxfId="3">
      <formula>AND(IF(OR($Q230=1,$Q230=2),1,0),IF($X230&lt;=20,1,0))</formula>
    </cfRule>
    <cfRule type="expression" priority="2508" dxfId="2">
      <formula>AND(IF($Q230=2,1,0),IF($X230&lt;30,1,0))</formula>
    </cfRule>
    <cfRule type="expression" priority="2509" dxfId="1">
      <formula>AND(IF($Q230=3,1,0),IF($X230&lt;30,1,0))</formula>
    </cfRule>
    <cfRule type="expression" priority="2510" dxfId="0">
      <formula>AND(IF($Q230=3,1,IF($Q230=4,1,0)),IF($F230&lt;=85,1,0))</formula>
    </cfRule>
  </conditionalFormatting>
  <conditionalFormatting sqref="AI230">
    <cfRule type="expression" priority="2503" dxfId="3">
      <formula>AND(IF(OR($Q230=1,$Q230=2),1,0),IF($X230&lt;=20,1,0))</formula>
    </cfRule>
    <cfRule type="expression" priority="2504" dxfId="2">
      <formula>AND(IF($Q230=2,1,0),IF($X230&lt;30,1,0))</formula>
    </cfRule>
    <cfRule type="expression" priority="2505" dxfId="1">
      <formula>AND(IF($Q230=3,1,0),IF($X230&lt;30,1,0))</formula>
    </cfRule>
    <cfRule type="expression" priority="2506" dxfId="0">
      <formula>AND(IF($Q230=3,1,IF($Q230=4,1,0)),IF($F230&lt;=85,1,0))</formula>
    </cfRule>
  </conditionalFormatting>
  <conditionalFormatting sqref="AV231">
    <cfRule type="expression" priority="2501" dxfId="23">
      <formula>AV231="X"</formula>
    </cfRule>
    <cfRule type="expression" priority="2502" dxfId="22">
      <formula>AV231="후보"</formula>
    </cfRule>
  </conditionalFormatting>
  <conditionalFormatting sqref="AC23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3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31">
    <cfRule type="expression" priority="2493" dxfId="3">
      <formula>AND(IF(OR($Q231=1,$Q231=2),1,0),IF($X231&lt;=20,1,0))</formula>
    </cfRule>
    <cfRule type="expression" priority="2494" dxfId="2">
      <formula>AND(IF($Q231=2,1,0),IF($X231&lt;30,1,0))</formula>
    </cfRule>
    <cfRule type="expression" priority="2495" dxfId="1">
      <formula>AND(IF($Q231=3,1,0),IF($X231&lt;30,1,0))</formula>
    </cfRule>
    <cfRule type="expression" priority="2496" dxfId="0">
      <formula>AND(IF($Q231=3,1,IF($Q231=4,1,0)),IF($F231&lt;=85,1,0))</formula>
    </cfRule>
  </conditionalFormatting>
  <conditionalFormatting sqref="X231">
    <cfRule type="expression" priority="2489" dxfId="3">
      <formula>AND(IF(OR($Q231=1,$Q231=2),1,0),IF($X231&lt;=20,1,0))</formula>
    </cfRule>
    <cfRule type="expression" priority="2490" dxfId="2">
      <formula>AND(IF($Q231=2,1,0),IF($X231&lt;30,1,0))</formula>
    </cfRule>
    <cfRule type="expression" priority="2491" dxfId="1">
      <formula>AND(IF($Q231=3,1,0),IF($X231&lt;30,1,0))</formula>
    </cfRule>
    <cfRule type="expression" priority="2492" dxfId="0">
      <formula>AND(IF($Q231=3,1,IF($Q231=4,1,0)),IF($F231&lt;=85,1,0))</formula>
    </cfRule>
  </conditionalFormatting>
  <conditionalFormatting sqref="AI231">
    <cfRule type="expression" priority="2485" dxfId="3">
      <formula>AND(IF(OR($Q231=1,$Q231=2),1,0),IF($X231&lt;=20,1,0))</formula>
    </cfRule>
    <cfRule type="expression" priority="2486" dxfId="2">
      <formula>AND(IF($Q231=2,1,0),IF($X231&lt;30,1,0))</formula>
    </cfRule>
    <cfRule type="expression" priority="2487" dxfId="1">
      <formula>AND(IF($Q231=3,1,0),IF($X231&lt;30,1,0))</formula>
    </cfRule>
    <cfRule type="expression" priority="2488" dxfId="0">
      <formula>AND(IF($Q231=3,1,IF($Q231=4,1,0)),IF($F231&lt;=85,1,0))</formula>
    </cfRule>
  </conditionalFormatting>
  <conditionalFormatting sqref="AV232">
    <cfRule type="expression" priority="2483" dxfId="23">
      <formula>AV232="X"</formula>
    </cfRule>
    <cfRule type="expression" priority="2484" dxfId="22">
      <formula>AV232="후보"</formula>
    </cfRule>
  </conditionalFormatting>
  <conditionalFormatting sqref="AC23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3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32">
    <cfRule type="expression" priority="2475" dxfId="3">
      <formula>AND(IF(OR($Q232=1,$Q232=2),1,0),IF($X232&lt;=20,1,0))</formula>
    </cfRule>
    <cfRule type="expression" priority="2476" dxfId="2">
      <formula>AND(IF($Q232=2,1,0),IF($X232&lt;30,1,0))</formula>
    </cfRule>
    <cfRule type="expression" priority="2477" dxfId="1">
      <formula>AND(IF($Q232=3,1,0),IF($X232&lt;30,1,0))</formula>
    </cfRule>
    <cfRule type="expression" priority="2478" dxfId="0">
      <formula>AND(IF($Q232=3,1,IF($Q232=4,1,0)),IF($F232&lt;=85,1,0))</formula>
    </cfRule>
  </conditionalFormatting>
  <conditionalFormatting sqref="X232">
    <cfRule type="expression" priority="2471" dxfId="3">
      <formula>AND(IF(OR($Q232=1,$Q232=2),1,0),IF($X232&lt;=20,1,0))</formula>
    </cfRule>
    <cfRule type="expression" priority="2472" dxfId="2">
      <formula>AND(IF($Q232=2,1,0),IF($X232&lt;30,1,0))</formula>
    </cfRule>
    <cfRule type="expression" priority="2473" dxfId="1">
      <formula>AND(IF($Q232=3,1,0),IF($X232&lt;30,1,0))</formula>
    </cfRule>
    <cfRule type="expression" priority="2474" dxfId="0">
      <formula>AND(IF($Q232=3,1,IF($Q232=4,1,0)),IF($F232&lt;=85,1,0))</formula>
    </cfRule>
  </conditionalFormatting>
  <conditionalFormatting sqref="AI232">
    <cfRule type="expression" priority="2467" dxfId="3">
      <formula>AND(IF(OR($Q232=1,$Q232=2),1,0),IF($X232&lt;=20,1,0))</formula>
    </cfRule>
    <cfRule type="expression" priority="2468" dxfId="2">
      <formula>AND(IF($Q232=2,1,0),IF($X232&lt;30,1,0))</formula>
    </cfRule>
    <cfRule type="expression" priority="2469" dxfId="1">
      <formula>AND(IF($Q232=3,1,0),IF($X232&lt;30,1,0))</formula>
    </cfRule>
    <cfRule type="expression" priority="2470" dxfId="0">
      <formula>AND(IF($Q232=3,1,IF($Q232=4,1,0)),IF($F232&lt;=85,1,0))</formula>
    </cfRule>
  </conditionalFormatting>
  <conditionalFormatting sqref="AV233">
    <cfRule type="expression" priority="2465" dxfId="23">
      <formula>AV233="X"</formula>
    </cfRule>
    <cfRule type="expression" priority="2466" dxfId="22">
      <formula>AV233="후보"</formula>
    </cfRule>
  </conditionalFormatting>
  <conditionalFormatting sqref="AC23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3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33">
    <cfRule type="expression" priority="2457" dxfId="3">
      <formula>AND(IF(OR($Q233=1,$Q233=2),1,0),IF($X233&lt;=20,1,0))</formula>
    </cfRule>
    <cfRule type="expression" priority="2458" dxfId="2">
      <formula>AND(IF($Q233=2,1,0),IF($X233&lt;30,1,0))</formula>
    </cfRule>
    <cfRule type="expression" priority="2459" dxfId="1">
      <formula>AND(IF($Q233=3,1,0),IF($X233&lt;30,1,0))</formula>
    </cfRule>
    <cfRule type="expression" priority="2460" dxfId="0">
      <formula>AND(IF($Q233=3,1,IF($Q233=4,1,0)),IF($F233&lt;=85,1,0))</formula>
    </cfRule>
  </conditionalFormatting>
  <conditionalFormatting sqref="X233">
    <cfRule type="expression" priority="2453" dxfId="3">
      <formula>AND(IF(OR($Q233=1,$Q233=2),1,0),IF($X233&lt;=20,1,0))</formula>
    </cfRule>
    <cfRule type="expression" priority="2454" dxfId="2">
      <formula>AND(IF($Q233=2,1,0),IF($X233&lt;30,1,0))</formula>
    </cfRule>
    <cfRule type="expression" priority="2455" dxfId="1">
      <formula>AND(IF($Q233=3,1,0),IF($X233&lt;30,1,0))</formula>
    </cfRule>
    <cfRule type="expression" priority="2456" dxfId="0">
      <formula>AND(IF($Q233=3,1,IF($Q233=4,1,0)),IF($F233&lt;=85,1,0))</formula>
    </cfRule>
  </conditionalFormatting>
  <conditionalFormatting sqref="AI233">
    <cfRule type="expression" priority="2449" dxfId="3">
      <formula>AND(IF(OR($Q233=1,$Q233=2),1,0),IF($X233&lt;=20,1,0))</formula>
    </cfRule>
    <cfRule type="expression" priority="2450" dxfId="2">
      <formula>AND(IF($Q233=2,1,0),IF($X233&lt;30,1,0))</formula>
    </cfRule>
    <cfRule type="expression" priority="2451" dxfId="1">
      <formula>AND(IF($Q233=3,1,0),IF($X233&lt;30,1,0))</formula>
    </cfRule>
    <cfRule type="expression" priority="2452" dxfId="0">
      <formula>AND(IF($Q233=3,1,IF($Q233=4,1,0)),IF($F233&lt;=85,1,0))</formula>
    </cfRule>
  </conditionalFormatting>
  <conditionalFormatting sqref="AV234">
    <cfRule type="expression" priority="2447" dxfId="23">
      <formula>AV234="X"</formula>
    </cfRule>
    <cfRule type="expression" priority="2448" dxfId="22">
      <formula>AV234="후보"</formula>
    </cfRule>
  </conditionalFormatting>
  <conditionalFormatting sqref="AC23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3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34">
    <cfRule type="expression" priority="2439" dxfId="3">
      <formula>AND(IF(OR($Q234=1,$Q234=2),1,0),IF($X234&lt;=20,1,0))</formula>
    </cfRule>
    <cfRule type="expression" priority="2440" dxfId="2">
      <formula>AND(IF($Q234=2,1,0),IF($X234&lt;30,1,0))</formula>
    </cfRule>
    <cfRule type="expression" priority="2441" dxfId="1">
      <formula>AND(IF($Q234=3,1,0),IF($X234&lt;30,1,0))</formula>
    </cfRule>
    <cfRule type="expression" priority="2442" dxfId="0">
      <formula>AND(IF($Q234=3,1,IF($Q234=4,1,0)),IF($F234&lt;=85,1,0))</formula>
    </cfRule>
  </conditionalFormatting>
  <conditionalFormatting sqref="X234">
    <cfRule type="expression" priority="2435" dxfId="3">
      <formula>AND(IF(OR($Q234=1,$Q234=2),1,0),IF($X234&lt;=20,1,0))</formula>
    </cfRule>
    <cfRule type="expression" priority="2436" dxfId="2">
      <formula>AND(IF($Q234=2,1,0),IF($X234&lt;30,1,0))</formula>
    </cfRule>
    <cfRule type="expression" priority="2437" dxfId="1">
      <formula>AND(IF($Q234=3,1,0),IF($X234&lt;30,1,0))</formula>
    </cfRule>
    <cfRule type="expression" priority="2438" dxfId="0">
      <formula>AND(IF($Q234=3,1,IF($Q234=4,1,0)),IF($F234&lt;=85,1,0))</formula>
    </cfRule>
  </conditionalFormatting>
  <conditionalFormatting sqref="AI234">
    <cfRule type="expression" priority="2431" dxfId="3">
      <formula>AND(IF(OR($Q234=1,$Q234=2),1,0),IF($X234&lt;=20,1,0))</formula>
    </cfRule>
    <cfRule type="expression" priority="2432" dxfId="2">
      <formula>AND(IF($Q234=2,1,0),IF($X234&lt;30,1,0))</formula>
    </cfRule>
    <cfRule type="expression" priority="2433" dxfId="1">
      <formula>AND(IF($Q234=3,1,0),IF($X234&lt;30,1,0))</formula>
    </cfRule>
    <cfRule type="expression" priority="2434" dxfId="0">
      <formula>AND(IF($Q234=3,1,IF($Q234=4,1,0)),IF($F234&lt;=85,1,0))</formula>
    </cfRule>
  </conditionalFormatting>
  <conditionalFormatting sqref="AV235">
    <cfRule type="expression" priority="2429" dxfId="23">
      <formula>AV235="X"</formula>
    </cfRule>
    <cfRule type="expression" priority="2430" dxfId="22">
      <formula>AV235="후보"</formula>
    </cfRule>
  </conditionalFormatting>
  <conditionalFormatting sqref="AC23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3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35">
    <cfRule type="expression" priority="2421" dxfId="3">
      <formula>AND(IF(OR($Q235=1,$Q235=2),1,0),IF($X235&lt;=20,1,0))</formula>
    </cfRule>
    <cfRule type="expression" priority="2422" dxfId="2">
      <formula>AND(IF($Q235=2,1,0),IF($X235&lt;30,1,0))</formula>
    </cfRule>
    <cfRule type="expression" priority="2423" dxfId="1">
      <formula>AND(IF($Q235=3,1,0),IF($X235&lt;30,1,0))</formula>
    </cfRule>
    <cfRule type="expression" priority="2424" dxfId="0">
      <formula>AND(IF($Q235=3,1,IF($Q235=4,1,0)),IF($F235&lt;=85,1,0))</formula>
    </cfRule>
  </conditionalFormatting>
  <conditionalFormatting sqref="X235">
    <cfRule type="expression" priority="2417" dxfId="3">
      <formula>AND(IF(OR($Q235=1,$Q235=2),1,0),IF($X235&lt;=20,1,0))</formula>
    </cfRule>
    <cfRule type="expression" priority="2418" dxfId="2">
      <formula>AND(IF($Q235=2,1,0),IF($X235&lt;30,1,0))</formula>
    </cfRule>
    <cfRule type="expression" priority="2419" dxfId="1">
      <formula>AND(IF($Q235=3,1,0),IF($X235&lt;30,1,0))</formula>
    </cfRule>
    <cfRule type="expression" priority="2420" dxfId="0">
      <formula>AND(IF($Q235=3,1,IF($Q235=4,1,0)),IF($F235&lt;=85,1,0))</formula>
    </cfRule>
  </conditionalFormatting>
  <conditionalFormatting sqref="AI235">
    <cfRule type="expression" priority="2413" dxfId="3">
      <formula>AND(IF(OR($Q235=1,$Q235=2),1,0),IF($X235&lt;=20,1,0))</formula>
    </cfRule>
    <cfRule type="expression" priority="2414" dxfId="2">
      <formula>AND(IF($Q235=2,1,0),IF($X235&lt;30,1,0))</formula>
    </cfRule>
    <cfRule type="expression" priority="2415" dxfId="1">
      <formula>AND(IF($Q235=3,1,0),IF($X235&lt;30,1,0))</formula>
    </cfRule>
    <cfRule type="expression" priority="2416" dxfId="0">
      <formula>AND(IF($Q235=3,1,IF($Q235=4,1,0)),IF($F235&lt;=85,1,0))</formula>
    </cfRule>
  </conditionalFormatting>
  <conditionalFormatting sqref="AV236">
    <cfRule type="expression" priority="2411" dxfId="23">
      <formula>AV236="X"</formula>
    </cfRule>
    <cfRule type="expression" priority="2412" dxfId="22">
      <formula>AV236="후보"</formula>
    </cfRule>
  </conditionalFormatting>
  <conditionalFormatting sqref="AC23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36">
    <cfRule type="expression" priority="2403" dxfId="3">
      <formula>AND(IF(OR($Q236=1,$Q236=2),1,0),IF($X236&lt;=20,1,0))</formula>
    </cfRule>
    <cfRule type="expression" priority="2404" dxfId="2">
      <formula>AND(IF($Q236=2,1,0),IF($X236&lt;30,1,0))</formula>
    </cfRule>
    <cfRule type="expression" priority="2405" dxfId="1">
      <formula>AND(IF($Q236=3,1,0),IF($X236&lt;30,1,0))</formula>
    </cfRule>
    <cfRule type="expression" priority="2406" dxfId="0">
      <formula>AND(IF($Q236=3,1,IF($Q236=4,1,0)),IF($F236&lt;=85,1,0))</formula>
    </cfRule>
  </conditionalFormatting>
  <conditionalFormatting sqref="X236">
    <cfRule type="expression" priority="2399" dxfId="3">
      <formula>AND(IF(OR($Q236=1,$Q236=2),1,0),IF($X236&lt;=20,1,0))</formula>
    </cfRule>
    <cfRule type="expression" priority="2400" dxfId="2">
      <formula>AND(IF($Q236=2,1,0),IF($X236&lt;30,1,0))</formula>
    </cfRule>
    <cfRule type="expression" priority="2401" dxfId="1">
      <formula>AND(IF($Q236=3,1,0),IF($X236&lt;30,1,0))</formula>
    </cfRule>
    <cfRule type="expression" priority="2402" dxfId="0">
      <formula>AND(IF($Q236=3,1,IF($Q236=4,1,0)),IF($F236&lt;=85,1,0))</formula>
    </cfRule>
  </conditionalFormatting>
  <conditionalFormatting sqref="AI236">
    <cfRule type="expression" priority="2395" dxfId="3">
      <formula>AND(IF(OR($Q236=1,$Q236=2),1,0),IF($X236&lt;=20,1,0))</formula>
    </cfRule>
    <cfRule type="expression" priority="2396" dxfId="2">
      <formula>AND(IF($Q236=2,1,0),IF($X236&lt;30,1,0))</formula>
    </cfRule>
    <cfRule type="expression" priority="2397" dxfId="1">
      <formula>AND(IF($Q236=3,1,0),IF($X236&lt;30,1,0))</formula>
    </cfRule>
    <cfRule type="expression" priority="2398" dxfId="0">
      <formula>AND(IF($Q236=3,1,IF($Q236=4,1,0)),IF($F236&lt;=85,1,0))</formula>
    </cfRule>
  </conditionalFormatting>
  <conditionalFormatting sqref="AV237">
    <cfRule type="expression" priority="2393" dxfId="23">
      <formula>AV237="X"</formula>
    </cfRule>
    <cfRule type="expression" priority="2394" dxfId="22">
      <formula>AV237="후보"</formula>
    </cfRule>
  </conditionalFormatting>
  <conditionalFormatting sqref="AC23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37">
    <cfRule type="expression" priority="2385" dxfId="3">
      <formula>AND(IF(OR($Q237=1,$Q237=2),1,0),IF($X237&lt;=20,1,0))</formula>
    </cfRule>
    <cfRule type="expression" priority="2386" dxfId="2">
      <formula>AND(IF($Q237=2,1,0),IF($X237&lt;30,1,0))</formula>
    </cfRule>
    <cfRule type="expression" priority="2387" dxfId="1">
      <formula>AND(IF($Q237=3,1,0),IF($X237&lt;30,1,0))</formula>
    </cfRule>
    <cfRule type="expression" priority="2388" dxfId="0">
      <formula>AND(IF($Q237=3,1,IF($Q237=4,1,0)),IF($F237&lt;=85,1,0))</formula>
    </cfRule>
  </conditionalFormatting>
  <conditionalFormatting sqref="X237">
    <cfRule type="expression" priority="2381" dxfId="3">
      <formula>AND(IF(OR($Q237=1,$Q237=2),1,0),IF($X237&lt;=20,1,0))</formula>
    </cfRule>
    <cfRule type="expression" priority="2382" dxfId="2">
      <formula>AND(IF($Q237=2,1,0),IF($X237&lt;30,1,0))</formula>
    </cfRule>
    <cfRule type="expression" priority="2383" dxfId="1">
      <formula>AND(IF($Q237=3,1,0),IF($X237&lt;30,1,0))</formula>
    </cfRule>
    <cfRule type="expression" priority="2384" dxfId="0">
      <formula>AND(IF($Q237=3,1,IF($Q237=4,1,0)),IF($F237&lt;=85,1,0))</formula>
    </cfRule>
  </conditionalFormatting>
  <conditionalFormatting sqref="AI237">
    <cfRule type="expression" priority="2377" dxfId="3">
      <formula>AND(IF(OR($Q237=1,$Q237=2),1,0),IF($X237&lt;=20,1,0))</formula>
    </cfRule>
    <cfRule type="expression" priority="2378" dxfId="2">
      <formula>AND(IF($Q237=2,1,0),IF($X237&lt;30,1,0))</formula>
    </cfRule>
    <cfRule type="expression" priority="2379" dxfId="1">
      <formula>AND(IF($Q237=3,1,0),IF($X237&lt;30,1,0))</formula>
    </cfRule>
    <cfRule type="expression" priority="2380" dxfId="0">
      <formula>AND(IF($Q237=3,1,IF($Q237=4,1,0)),IF($F237&lt;=85,1,0))</formula>
    </cfRule>
  </conditionalFormatting>
  <conditionalFormatting sqref="AV238">
    <cfRule type="expression" priority="2375" dxfId="23">
      <formula>AV238="X"</formula>
    </cfRule>
    <cfRule type="expression" priority="2376" dxfId="22">
      <formula>AV238="후보"</formula>
    </cfRule>
  </conditionalFormatting>
  <conditionalFormatting sqref="AC23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38">
    <cfRule type="expression" priority="2367" dxfId="3">
      <formula>AND(IF(OR($Q238=1,$Q238=2),1,0),IF($X238&lt;=20,1,0))</formula>
    </cfRule>
    <cfRule type="expression" priority="2368" dxfId="2">
      <formula>AND(IF($Q238=2,1,0),IF($X238&lt;30,1,0))</formula>
    </cfRule>
    <cfRule type="expression" priority="2369" dxfId="1">
      <formula>AND(IF($Q238=3,1,0),IF($X238&lt;30,1,0))</formula>
    </cfRule>
    <cfRule type="expression" priority="2370" dxfId="0">
      <formula>AND(IF($Q238=3,1,IF($Q238=4,1,0)),IF($F238&lt;=85,1,0))</formula>
    </cfRule>
  </conditionalFormatting>
  <conditionalFormatting sqref="X238">
    <cfRule type="expression" priority="2363" dxfId="3">
      <formula>AND(IF(OR($Q238=1,$Q238=2),1,0),IF($X238&lt;=20,1,0))</formula>
    </cfRule>
    <cfRule type="expression" priority="2364" dxfId="2">
      <formula>AND(IF($Q238=2,1,0),IF($X238&lt;30,1,0))</formula>
    </cfRule>
    <cfRule type="expression" priority="2365" dxfId="1">
      <formula>AND(IF($Q238=3,1,0),IF($X238&lt;30,1,0))</formula>
    </cfRule>
    <cfRule type="expression" priority="2366" dxfId="0">
      <formula>AND(IF($Q238=3,1,IF($Q238=4,1,0)),IF($F238&lt;=85,1,0))</formula>
    </cfRule>
  </conditionalFormatting>
  <conditionalFormatting sqref="AI238">
    <cfRule type="expression" priority="2359" dxfId="3">
      <formula>AND(IF(OR($Q238=1,$Q238=2),1,0),IF($X238&lt;=20,1,0))</formula>
    </cfRule>
    <cfRule type="expression" priority="2360" dxfId="2">
      <formula>AND(IF($Q238=2,1,0),IF($X238&lt;30,1,0))</formula>
    </cfRule>
    <cfRule type="expression" priority="2361" dxfId="1">
      <formula>AND(IF($Q238=3,1,0),IF($X238&lt;30,1,0))</formula>
    </cfRule>
    <cfRule type="expression" priority="2362" dxfId="0">
      <formula>AND(IF($Q238=3,1,IF($Q238=4,1,0)),IF($F238&lt;=85,1,0))</formula>
    </cfRule>
  </conditionalFormatting>
  <conditionalFormatting sqref="AV239">
    <cfRule type="expression" priority="2357" dxfId="23">
      <formula>AV239="X"</formula>
    </cfRule>
    <cfRule type="expression" priority="2358" dxfId="22">
      <formula>AV239="후보"</formula>
    </cfRule>
  </conditionalFormatting>
  <conditionalFormatting sqref="AC23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39">
    <cfRule type="expression" priority="2349" dxfId="3">
      <formula>AND(IF(OR($Q239=1,$Q239=2),1,0),IF($X239&lt;=20,1,0))</formula>
    </cfRule>
    <cfRule type="expression" priority="2350" dxfId="2">
      <formula>AND(IF($Q239=2,1,0),IF($X239&lt;30,1,0))</formula>
    </cfRule>
    <cfRule type="expression" priority="2351" dxfId="1">
      <formula>AND(IF($Q239=3,1,0),IF($X239&lt;30,1,0))</formula>
    </cfRule>
    <cfRule type="expression" priority="2352" dxfId="0">
      <formula>AND(IF($Q239=3,1,IF($Q239=4,1,0)),IF($F239&lt;=85,1,0))</formula>
    </cfRule>
  </conditionalFormatting>
  <conditionalFormatting sqref="X239">
    <cfRule type="expression" priority="2345" dxfId="3">
      <formula>AND(IF(OR($Q239=1,$Q239=2),1,0),IF($X239&lt;=20,1,0))</formula>
    </cfRule>
    <cfRule type="expression" priority="2346" dxfId="2">
      <formula>AND(IF($Q239=2,1,0),IF($X239&lt;30,1,0))</formula>
    </cfRule>
    <cfRule type="expression" priority="2347" dxfId="1">
      <formula>AND(IF($Q239=3,1,0),IF($X239&lt;30,1,0))</formula>
    </cfRule>
    <cfRule type="expression" priority="2348" dxfId="0">
      <formula>AND(IF($Q239=3,1,IF($Q239=4,1,0)),IF($F239&lt;=85,1,0))</formula>
    </cfRule>
  </conditionalFormatting>
  <conditionalFormatting sqref="AI239">
    <cfRule type="expression" priority="2341" dxfId="3">
      <formula>AND(IF(OR($Q239=1,$Q239=2),1,0),IF($X239&lt;=20,1,0))</formula>
    </cfRule>
    <cfRule type="expression" priority="2342" dxfId="2">
      <formula>AND(IF($Q239=2,1,0),IF($X239&lt;30,1,0))</formula>
    </cfRule>
    <cfRule type="expression" priority="2343" dxfId="1">
      <formula>AND(IF($Q239=3,1,0),IF($X239&lt;30,1,0))</formula>
    </cfRule>
    <cfRule type="expression" priority="2344" dxfId="0">
      <formula>AND(IF($Q239=3,1,IF($Q239=4,1,0)),IF($F239&lt;=85,1,0))</formula>
    </cfRule>
  </conditionalFormatting>
  <conditionalFormatting sqref="AV240">
    <cfRule type="expression" priority="2339" dxfId="23">
      <formula>AV240="X"</formula>
    </cfRule>
    <cfRule type="expression" priority="2340" dxfId="22">
      <formula>AV240="후보"</formula>
    </cfRule>
  </conditionalFormatting>
  <conditionalFormatting sqref="AC24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40">
    <cfRule type="expression" priority="2331" dxfId="3">
      <formula>AND(IF(OR($Q240=1,$Q240=2),1,0),IF($X240&lt;=20,1,0))</formula>
    </cfRule>
    <cfRule type="expression" priority="2332" dxfId="2">
      <formula>AND(IF($Q240=2,1,0),IF($X240&lt;30,1,0))</formula>
    </cfRule>
    <cfRule type="expression" priority="2333" dxfId="1">
      <formula>AND(IF($Q240=3,1,0),IF($X240&lt;30,1,0))</formula>
    </cfRule>
    <cfRule type="expression" priority="2334" dxfId="0">
      <formula>AND(IF($Q240=3,1,IF($Q240=4,1,0)),IF($F240&lt;=85,1,0))</formula>
    </cfRule>
  </conditionalFormatting>
  <conditionalFormatting sqref="X240">
    <cfRule type="expression" priority="2327" dxfId="3">
      <formula>AND(IF(OR($Q240=1,$Q240=2),1,0),IF($X240&lt;=20,1,0))</formula>
    </cfRule>
    <cfRule type="expression" priority="2328" dxfId="2">
      <formula>AND(IF($Q240=2,1,0),IF($X240&lt;30,1,0))</formula>
    </cfRule>
    <cfRule type="expression" priority="2329" dxfId="1">
      <formula>AND(IF($Q240=3,1,0),IF($X240&lt;30,1,0))</formula>
    </cfRule>
    <cfRule type="expression" priority="2330" dxfId="0">
      <formula>AND(IF($Q240=3,1,IF($Q240=4,1,0)),IF($F240&lt;=85,1,0))</formula>
    </cfRule>
  </conditionalFormatting>
  <conditionalFormatting sqref="AI240">
    <cfRule type="expression" priority="2323" dxfId="3">
      <formula>AND(IF(OR($Q240=1,$Q240=2),1,0),IF($X240&lt;=20,1,0))</formula>
    </cfRule>
    <cfRule type="expression" priority="2324" dxfId="2">
      <formula>AND(IF($Q240=2,1,0),IF($X240&lt;30,1,0))</formula>
    </cfRule>
    <cfRule type="expression" priority="2325" dxfId="1">
      <formula>AND(IF($Q240=3,1,0),IF($X240&lt;30,1,0))</formula>
    </cfRule>
    <cfRule type="expression" priority="2326" dxfId="0">
      <formula>AND(IF($Q240=3,1,IF($Q240=4,1,0)),IF($F240&lt;=85,1,0))</formula>
    </cfRule>
  </conditionalFormatting>
  <conditionalFormatting sqref="AV241">
    <cfRule type="expression" priority="2321" dxfId="23">
      <formula>AV241="X"</formula>
    </cfRule>
    <cfRule type="expression" priority="2322" dxfId="22">
      <formula>AV241="후보"</formula>
    </cfRule>
  </conditionalFormatting>
  <conditionalFormatting sqref="AC24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4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41">
    <cfRule type="expression" priority="2313" dxfId="3">
      <formula>AND(IF(OR($Q241=1,$Q241=2),1,0),IF($X241&lt;=20,1,0))</formula>
    </cfRule>
    <cfRule type="expression" priority="2314" dxfId="2">
      <formula>AND(IF($Q241=2,1,0),IF($X241&lt;30,1,0))</formula>
    </cfRule>
    <cfRule type="expression" priority="2315" dxfId="1">
      <formula>AND(IF($Q241=3,1,0),IF($X241&lt;30,1,0))</formula>
    </cfRule>
    <cfRule type="expression" priority="2316" dxfId="0">
      <formula>AND(IF($Q241=3,1,IF($Q241=4,1,0)),IF($F241&lt;=85,1,0))</formula>
    </cfRule>
  </conditionalFormatting>
  <conditionalFormatting sqref="X241">
    <cfRule type="expression" priority="2309" dxfId="3">
      <formula>AND(IF(OR($Q241=1,$Q241=2),1,0),IF($X241&lt;=20,1,0))</formula>
    </cfRule>
    <cfRule type="expression" priority="2310" dxfId="2">
      <formula>AND(IF($Q241=2,1,0),IF($X241&lt;30,1,0))</formula>
    </cfRule>
    <cfRule type="expression" priority="2311" dxfId="1">
      <formula>AND(IF($Q241=3,1,0),IF($X241&lt;30,1,0))</formula>
    </cfRule>
    <cfRule type="expression" priority="2312" dxfId="0">
      <formula>AND(IF($Q241=3,1,IF($Q241=4,1,0)),IF($F241&lt;=85,1,0))</formula>
    </cfRule>
  </conditionalFormatting>
  <conditionalFormatting sqref="AI241">
    <cfRule type="expression" priority="2305" dxfId="3">
      <formula>AND(IF(OR($Q241=1,$Q241=2),1,0),IF($X241&lt;=20,1,0))</formula>
    </cfRule>
    <cfRule type="expression" priority="2306" dxfId="2">
      <formula>AND(IF($Q241=2,1,0),IF($X241&lt;30,1,0))</formula>
    </cfRule>
    <cfRule type="expression" priority="2307" dxfId="1">
      <formula>AND(IF($Q241=3,1,0),IF($X241&lt;30,1,0))</formula>
    </cfRule>
    <cfRule type="expression" priority="2308" dxfId="0">
      <formula>AND(IF($Q241=3,1,IF($Q241=4,1,0)),IF($F241&lt;=85,1,0))</formula>
    </cfRule>
  </conditionalFormatting>
  <conditionalFormatting sqref="AV242">
    <cfRule type="expression" priority="2303" dxfId="23">
      <formula>AV242="X"</formula>
    </cfRule>
    <cfRule type="expression" priority="2304" dxfId="22">
      <formula>AV242="후보"</formula>
    </cfRule>
  </conditionalFormatting>
  <conditionalFormatting sqref="AC24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4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42">
    <cfRule type="expression" priority="2295" dxfId="3">
      <formula>AND(IF(OR($Q242=1,$Q242=2),1,0),IF($X242&lt;=20,1,0))</formula>
    </cfRule>
    <cfRule type="expression" priority="2296" dxfId="2">
      <formula>AND(IF($Q242=2,1,0),IF($X242&lt;30,1,0))</formula>
    </cfRule>
    <cfRule type="expression" priority="2297" dxfId="1">
      <formula>AND(IF($Q242=3,1,0),IF($X242&lt;30,1,0))</formula>
    </cfRule>
    <cfRule type="expression" priority="2298" dxfId="0">
      <formula>AND(IF($Q242=3,1,IF($Q242=4,1,0)),IF($F242&lt;=85,1,0))</formula>
    </cfRule>
  </conditionalFormatting>
  <conditionalFormatting sqref="X242">
    <cfRule type="expression" priority="2291" dxfId="3">
      <formula>AND(IF(OR($Q242=1,$Q242=2),1,0),IF($X242&lt;=20,1,0))</formula>
    </cfRule>
    <cfRule type="expression" priority="2292" dxfId="2">
      <formula>AND(IF($Q242=2,1,0),IF($X242&lt;30,1,0))</formula>
    </cfRule>
    <cfRule type="expression" priority="2293" dxfId="1">
      <formula>AND(IF($Q242=3,1,0),IF($X242&lt;30,1,0))</formula>
    </cfRule>
    <cfRule type="expression" priority="2294" dxfId="0">
      <formula>AND(IF($Q242=3,1,IF($Q242=4,1,0)),IF($F242&lt;=85,1,0))</formula>
    </cfRule>
  </conditionalFormatting>
  <conditionalFormatting sqref="AI242">
    <cfRule type="expression" priority="2287" dxfId="3">
      <formula>AND(IF(OR($Q242=1,$Q242=2),1,0),IF($X242&lt;=20,1,0))</formula>
    </cfRule>
    <cfRule type="expression" priority="2288" dxfId="2">
      <formula>AND(IF($Q242=2,1,0),IF($X242&lt;30,1,0))</formula>
    </cfRule>
    <cfRule type="expression" priority="2289" dxfId="1">
      <formula>AND(IF($Q242=3,1,0),IF($X242&lt;30,1,0))</formula>
    </cfRule>
    <cfRule type="expression" priority="2290" dxfId="0">
      <formula>AND(IF($Q242=3,1,IF($Q242=4,1,0)),IF($F242&lt;=85,1,0))</formula>
    </cfRule>
  </conditionalFormatting>
  <conditionalFormatting sqref="AV243">
    <cfRule type="expression" priority="2285" dxfId="23">
      <formula>AV243="X"</formula>
    </cfRule>
    <cfRule type="expression" priority="2286" dxfId="22">
      <formula>AV243="후보"</formula>
    </cfRule>
  </conditionalFormatting>
  <conditionalFormatting sqref="AC24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4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43">
    <cfRule type="expression" priority="2277" dxfId="3">
      <formula>AND(IF(OR($Q243=1,$Q243=2),1,0),IF($X243&lt;=20,1,0))</formula>
    </cfRule>
    <cfRule type="expression" priority="2278" dxfId="2">
      <formula>AND(IF($Q243=2,1,0),IF($X243&lt;30,1,0))</formula>
    </cfRule>
    <cfRule type="expression" priority="2279" dxfId="1">
      <formula>AND(IF($Q243=3,1,0),IF($X243&lt;30,1,0))</formula>
    </cfRule>
    <cfRule type="expression" priority="2280" dxfId="0">
      <formula>AND(IF($Q243=3,1,IF($Q243=4,1,0)),IF($F243&lt;=85,1,0))</formula>
    </cfRule>
  </conditionalFormatting>
  <conditionalFormatting sqref="X243">
    <cfRule type="expression" priority="2273" dxfId="3">
      <formula>AND(IF(OR($Q243=1,$Q243=2),1,0),IF($X243&lt;=20,1,0))</formula>
    </cfRule>
    <cfRule type="expression" priority="2274" dxfId="2">
      <formula>AND(IF($Q243=2,1,0),IF($X243&lt;30,1,0))</formula>
    </cfRule>
    <cfRule type="expression" priority="2275" dxfId="1">
      <formula>AND(IF($Q243=3,1,0),IF($X243&lt;30,1,0))</formula>
    </cfRule>
    <cfRule type="expression" priority="2276" dxfId="0">
      <formula>AND(IF($Q243=3,1,IF($Q243=4,1,0)),IF($F243&lt;=85,1,0))</formula>
    </cfRule>
  </conditionalFormatting>
  <conditionalFormatting sqref="AI243">
    <cfRule type="expression" priority="2269" dxfId="3">
      <formula>AND(IF(OR($Q243=1,$Q243=2),1,0),IF($X243&lt;=20,1,0))</formula>
    </cfRule>
    <cfRule type="expression" priority="2270" dxfId="2">
      <formula>AND(IF($Q243=2,1,0),IF($X243&lt;30,1,0))</formula>
    </cfRule>
    <cfRule type="expression" priority="2271" dxfId="1">
      <formula>AND(IF($Q243=3,1,0),IF($X243&lt;30,1,0))</formula>
    </cfRule>
    <cfRule type="expression" priority="2272" dxfId="0">
      <formula>AND(IF($Q243=3,1,IF($Q243=4,1,0)),IF($F243&lt;=85,1,0))</formula>
    </cfRule>
  </conditionalFormatting>
  <conditionalFormatting sqref="AV244">
    <cfRule type="expression" priority="2267" dxfId="23">
      <formula>AV244="X"</formula>
    </cfRule>
    <cfRule type="expression" priority="2268" dxfId="22">
      <formula>AV244="후보"</formula>
    </cfRule>
  </conditionalFormatting>
  <conditionalFormatting sqref="AC24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4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44">
    <cfRule type="expression" priority="2259" dxfId="3">
      <formula>AND(IF(OR($Q244=1,$Q244=2),1,0),IF($X244&lt;=20,1,0))</formula>
    </cfRule>
    <cfRule type="expression" priority="2260" dxfId="2">
      <formula>AND(IF($Q244=2,1,0),IF($X244&lt;30,1,0))</formula>
    </cfRule>
    <cfRule type="expression" priority="2261" dxfId="1">
      <formula>AND(IF($Q244=3,1,0),IF($X244&lt;30,1,0))</formula>
    </cfRule>
    <cfRule type="expression" priority="2262" dxfId="0">
      <formula>AND(IF($Q244=3,1,IF($Q244=4,1,0)),IF($F244&lt;=85,1,0))</formula>
    </cfRule>
  </conditionalFormatting>
  <conditionalFormatting sqref="X244">
    <cfRule type="expression" priority="2255" dxfId="3">
      <formula>AND(IF(OR($Q244=1,$Q244=2),1,0),IF($X244&lt;=20,1,0))</formula>
    </cfRule>
    <cfRule type="expression" priority="2256" dxfId="2">
      <formula>AND(IF($Q244=2,1,0),IF($X244&lt;30,1,0))</formula>
    </cfRule>
    <cfRule type="expression" priority="2257" dxfId="1">
      <formula>AND(IF($Q244=3,1,0),IF($X244&lt;30,1,0))</formula>
    </cfRule>
    <cfRule type="expression" priority="2258" dxfId="0">
      <formula>AND(IF($Q244=3,1,IF($Q244=4,1,0)),IF($F244&lt;=85,1,0))</formula>
    </cfRule>
  </conditionalFormatting>
  <conditionalFormatting sqref="AI244">
    <cfRule type="expression" priority="2251" dxfId="3">
      <formula>AND(IF(OR($Q244=1,$Q244=2),1,0),IF($X244&lt;=20,1,0))</formula>
    </cfRule>
    <cfRule type="expression" priority="2252" dxfId="2">
      <formula>AND(IF($Q244=2,1,0),IF($X244&lt;30,1,0))</formula>
    </cfRule>
    <cfRule type="expression" priority="2253" dxfId="1">
      <formula>AND(IF($Q244=3,1,0),IF($X244&lt;30,1,0))</formula>
    </cfRule>
    <cfRule type="expression" priority="2254" dxfId="0">
      <formula>AND(IF($Q244=3,1,IF($Q244=4,1,0)),IF($F244&lt;=85,1,0))</formula>
    </cfRule>
  </conditionalFormatting>
  <conditionalFormatting sqref="AV245">
    <cfRule type="expression" priority="2249" dxfId="23">
      <formula>AV245="X"</formula>
    </cfRule>
    <cfRule type="expression" priority="2250" dxfId="22">
      <formula>AV245="후보"</formula>
    </cfRule>
  </conditionalFormatting>
  <conditionalFormatting sqref="AC24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5">
    <cfRule type="expression" priority="2241" dxfId="3">
      <formula>AND(IF(OR($Q245=1,$Q245=2),1,0),IF($X245&lt;=20,1,0))</formula>
    </cfRule>
    <cfRule type="expression" priority="2242" dxfId="2">
      <formula>AND(IF($Q245=2,1,0),IF($X245&lt;30,1,0))</formula>
    </cfRule>
    <cfRule type="expression" priority="2243" dxfId="1">
      <formula>AND(IF($Q245=3,1,0),IF($X245&lt;30,1,0))</formula>
    </cfRule>
    <cfRule type="expression" priority="2244" dxfId="0">
      <formula>AND(IF($Q245=3,1,IF($Q245=4,1,0)),IF($F245&lt;=85,1,0))</formula>
    </cfRule>
  </conditionalFormatting>
  <conditionalFormatting sqref="X245">
    <cfRule type="expression" priority="2237" dxfId="3">
      <formula>AND(IF(OR($Q245=1,$Q245=2),1,0),IF($X245&lt;=20,1,0))</formula>
    </cfRule>
    <cfRule type="expression" priority="2238" dxfId="2">
      <formula>AND(IF($Q245=2,1,0),IF($X245&lt;30,1,0))</formula>
    </cfRule>
    <cfRule type="expression" priority="2239" dxfId="1">
      <formula>AND(IF($Q245=3,1,0),IF($X245&lt;30,1,0))</formula>
    </cfRule>
    <cfRule type="expression" priority="2240" dxfId="0">
      <formula>AND(IF($Q245=3,1,IF($Q245=4,1,0)),IF($F245&lt;=85,1,0))</formula>
    </cfRule>
  </conditionalFormatting>
  <conditionalFormatting sqref="AI245">
    <cfRule type="expression" priority="2233" dxfId="3">
      <formula>AND(IF(OR($Q245=1,$Q245=2),1,0),IF($X245&lt;=20,1,0))</formula>
    </cfRule>
    <cfRule type="expression" priority="2234" dxfId="2">
      <formula>AND(IF($Q245=2,1,0),IF($X245&lt;30,1,0))</formula>
    </cfRule>
    <cfRule type="expression" priority="2235" dxfId="1">
      <formula>AND(IF($Q245=3,1,0),IF($X245&lt;30,1,0))</formula>
    </cfRule>
    <cfRule type="expression" priority="2236" dxfId="0">
      <formula>AND(IF($Q245=3,1,IF($Q245=4,1,0)),IF($F245&lt;=85,1,0))</formula>
    </cfRule>
  </conditionalFormatting>
  <conditionalFormatting sqref="AV246">
    <cfRule type="expression" priority="2231" dxfId="23">
      <formula>AV246="X"</formula>
    </cfRule>
    <cfRule type="expression" priority="2232" dxfId="22">
      <formula>AV246="후보"</formula>
    </cfRule>
  </conditionalFormatting>
  <conditionalFormatting sqref="AC24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4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46">
    <cfRule type="expression" priority="2223" dxfId="3">
      <formula>AND(IF(OR($Q246=1,$Q246=2),1,0),IF($X246&lt;=20,1,0))</formula>
    </cfRule>
    <cfRule type="expression" priority="2224" dxfId="2">
      <formula>AND(IF($Q246=2,1,0),IF($X246&lt;30,1,0))</formula>
    </cfRule>
    <cfRule type="expression" priority="2225" dxfId="1">
      <formula>AND(IF($Q246=3,1,0),IF($X246&lt;30,1,0))</formula>
    </cfRule>
    <cfRule type="expression" priority="2226" dxfId="0">
      <formula>AND(IF($Q246=3,1,IF($Q246=4,1,0)),IF($F246&lt;=85,1,0))</formula>
    </cfRule>
  </conditionalFormatting>
  <conditionalFormatting sqref="X246">
    <cfRule type="expression" priority="2219" dxfId="3">
      <formula>AND(IF(OR($Q246=1,$Q246=2),1,0),IF($X246&lt;=20,1,0))</formula>
    </cfRule>
    <cfRule type="expression" priority="2220" dxfId="2">
      <formula>AND(IF($Q246=2,1,0),IF($X246&lt;30,1,0))</formula>
    </cfRule>
    <cfRule type="expression" priority="2221" dxfId="1">
      <formula>AND(IF($Q246=3,1,0),IF($X246&lt;30,1,0))</formula>
    </cfRule>
    <cfRule type="expression" priority="2222" dxfId="0">
      <formula>AND(IF($Q246=3,1,IF($Q246=4,1,0)),IF($F246&lt;=85,1,0))</formula>
    </cfRule>
  </conditionalFormatting>
  <conditionalFormatting sqref="AI246">
    <cfRule type="expression" priority="2215" dxfId="3">
      <formula>AND(IF(OR($Q246=1,$Q246=2),1,0),IF($X246&lt;=20,1,0))</formula>
    </cfRule>
    <cfRule type="expression" priority="2216" dxfId="2">
      <formula>AND(IF($Q246=2,1,0),IF($X246&lt;30,1,0))</formula>
    </cfRule>
    <cfRule type="expression" priority="2217" dxfId="1">
      <formula>AND(IF($Q246=3,1,0),IF($X246&lt;30,1,0))</formula>
    </cfRule>
    <cfRule type="expression" priority="2218" dxfId="0">
      <formula>AND(IF($Q246=3,1,IF($Q246=4,1,0)),IF($F246&lt;=85,1,0))</formula>
    </cfRule>
  </conditionalFormatting>
  <conditionalFormatting sqref="AV247">
    <cfRule type="expression" priority="2213" dxfId="23">
      <formula>AV247="X"</formula>
    </cfRule>
    <cfRule type="expression" priority="2214" dxfId="22">
      <formula>AV247="후보"</formula>
    </cfRule>
  </conditionalFormatting>
  <conditionalFormatting sqref="AC24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4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47">
    <cfRule type="expression" priority="2205" dxfId="3">
      <formula>AND(IF(OR($Q247=1,$Q247=2),1,0),IF($X247&lt;=20,1,0))</formula>
    </cfRule>
    <cfRule type="expression" priority="2206" dxfId="2">
      <formula>AND(IF($Q247=2,1,0),IF($X247&lt;30,1,0))</formula>
    </cfRule>
    <cfRule type="expression" priority="2207" dxfId="1">
      <formula>AND(IF($Q247=3,1,0),IF($X247&lt;30,1,0))</formula>
    </cfRule>
    <cfRule type="expression" priority="2208" dxfId="0">
      <formula>AND(IF($Q247=3,1,IF($Q247=4,1,0)),IF($F247&lt;=85,1,0))</formula>
    </cfRule>
  </conditionalFormatting>
  <conditionalFormatting sqref="X247">
    <cfRule type="expression" priority="2201" dxfId="3">
      <formula>AND(IF(OR($Q247=1,$Q247=2),1,0),IF($X247&lt;=20,1,0))</formula>
    </cfRule>
    <cfRule type="expression" priority="2202" dxfId="2">
      <formula>AND(IF($Q247=2,1,0),IF($X247&lt;30,1,0))</formula>
    </cfRule>
    <cfRule type="expression" priority="2203" dxfId="1">
      <formula>AND(IF($Q247=3,1,0),IF($X247&lt;30,1,0))</formula>
    </cfRule>
    <cfRule type="expression" priority="2204" dxfId="0">
      <formula>AND(IF($Q247=3,1,IF($Q247=4,1,0)),IF($F247&lt;=85,1,0))</formula>
    </cfRule>
  </conditionalFormatting>
  <conditionalFormatting sqref="AI247">
    <cfRule type="expression" priority="2197" dxfId="3">
      <formula>AND(IF(OR($Q247=1,$Q247=2),1,0),IF($X247&lt;=20,1,0))</formula>
    </cfRule>
    <cfRule type="expression" priority="2198" dxfId="2">
      <formula>AND(IF($Q247=2,1,0),IF($X247&lt;30,1,0))</formula>
    </cfRule>
    <cfRule type="expression" priority="2199" dxfId="1">
      <formula>AND(IF($Q247=3,1,0),IF($X247&lt;30,1,0))</formula>
    </cfRule>
    <cfRule type="expression" priority="2200" dxfId="0">
      <formula>AND(IF($Q247=3,1,IF($Q247=4,1,0)),IF($F247&lt;=85,1,0))</formula>
    </cfRule>
  </conditionalFormatting>
  <conditionalFormatting sqref="AV248">
    <cfRule type="expression" priority="2195" dxfId="23">
      <formula>AV248="X"</formula>
    </cfRule>
    <cfRule type="expression" priority="2196" dxfId="22">
      <formula>AV248="후보"</formula>
    </cfRule>
  </conditionalFormatting>
  <conditionalFormatting sqref="AC24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4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48">
    <cfRule type="expression" priority="2187" dxfId="3">
      <formula>AND(IF(OR($Q248=1,$Q248=2),1,0),IF($X248&lt;=20,1,0))</formula>
    </cfRule>
    <cfRule type="expression" priority="2188" dxfId="2">
      <formula>AND(IF($Q248=2,1,0),IF($X248&lt;30,1,0))</formula>
    </cfRule>
    <cfRule type="expression" priority="2189" dxfId="1">
      <formula>AND(IF($Q248=3,1,0),IF($X248&lt;30,1,0))</formula>
    </cfRule>
    <cfRule type="expression" priority="2190" dxfId="0">
      <formula>AND(IF($Q248=3,1,IF($Q248=4,1,0)),IF($F248&lt;=85,1,0))</formula>
    </cfRule>
  </conditionalFormatting>
  <conditionalFormatting sqref="X248">
    <cfRule type="expression" priority="2183" dxfId="3">
      <formula>AND(IF(OR($Q248=1,$Q248=2),1,0),IF($X248&lt;=20,1,0))</formula>
    </cfRule>
    <cfRule type="expression" priority="2184" dxfId="2">
      <formula>AND(IF($Q248=2,1,0),IF($X248&lt;30,1,0))</formula>
    </cfRule>
    <cfRule type="expression" priority="2185" dxfId="1">
      <formula>AND(IF($Q248=3,1,0),IF($X248&lt;30,1,0))</formula>
    </cfRule>
    <cfRule type="expression" priority="2186" dxfId="0">
      <formula>AND(IF($Q248=3,1,IF($Q248=4,1,0)),IF($F248&lt;=85,1,0))</formula>
    </cfRule>
  </conditionalFormatting>
  <conditionalFormatting sqref="AI248">
    <cfRule type="expression" priority="2179" dxfId="3">
      <formula>AND(IF(OR($Q248=1,$Q248=2),1,0),IF($X248&lt;=20,1,0))</formula>
    </cfRule>
    <cfRule type="expression" priority="2180" dxfId="2">
      <formula>AND(IF($Q248=2,1,0),IF($X248&lt;30,1,0))</formula>
    </cfRule>
    <cfRule type="expression" priority="2181" dxfId="1">
      <formula>AND(IF($Q248=3,1,0),IF($X248&lt;30,1,0))</formula>
    </cfRule>
    <cfRule type="expression" priority="2182" dxfId="0">
      <formula>AND(IF($Q248=3,1,IF($Q248=4,1,0)),IF($F248&lt;=85,1,0))</formula>
    </cfRule>
  </conditionalFormatting>
  <conditionalFormatting sqref="AV249">
    <cfRule type="expression" priority="2177" dxfId="23">
      <formula>AV249="X"</formula>
    </cfRule>
    <cfRule type="expression" priority="2178" dxfId="22">
      <formula>AV249="후보"</formula>
    </cfRule>
  </conditionalFormatting>
  <conditionalFormatting sqref="AC24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4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49">
    <cfRule type="expression" priority="2169" dxfId="3">
      <formula>AND(IF(OR($Q249=1,$Q249=2),1,0),IF($X249&lt;=20,1,0))</formula>
    </cfRule>
    <cfRule type="expression" priority="2170" dxfId="2">
      <formula>AND(IF($Q249=2,1,0),IF($X249&lt;30,1,0))</formula>
    </cfRule>
    <cfRule type="expression" priority="2171" dxfId="1">
      <formula>AND(IF($Q249=3,1,0),IF($X249&lt;30,1,0))</formula>
    </cfRule>
    <cfRule type="expression" priority="2172" dxfId="0">
      <formula>AND(IF($Q249=3,1,IF($Q249=4,1,0)),IF($F249&lt;=85,1,0))</formula>
    </cfRule>
  </conditionalFormatting>
  <conditionalFormatting sqref="X249">
    <cfRule type="expression" priority="2165" dxfId="3">
      <formula>AND(IF(OR($Q249=1,$Q249=2),1,0),IF($X249&lt;=20,1,0))</formula>
    </cfRule>
    <cfRule type="expression" priority="2166" dxfId="2">
      <formula>AND(IF($Q249=2,1,0),IF($X249&lt;30,1,0))</formula>
    </cfRule>
    <cfRule type="expression" priority="2167" dxfId="1">
      <formula>AND(IF($Q249=3,1,0),IF($X249&lt;30,1,0))</formula>
    </cfRule>
    <cfRule type="expression" priority="2168" dxfId="0">
      <formula>AND(IF($Q249=3,1,IF($Q249=4,1,0)),IF($F249&lt;=85,1,0))</formula>
    </cfRule>
  </conditionalFormatting>
  <conditionalFormatting sqref="AI249">
    <cfRule type="expression" priority="2161" dxfId="3">
      <formula>AND(IF(OR($Q249=1,$Q249=2),1,0),IF($X249&lt;=20,1,0))</formula>
    </cfRule>
    <cfRule type="expression" priority="2162" dxfId="2">
      <formula>AND(IF($Q249=2,1,0),IF($X249&lt;30,1,0))</formula>
    </cfRule>
    <cfRule type="expression" priority="2163" dxfId="1">
      <formula>AND(IF($Q249=3,1,0),IF($X249&lt;30,1,0))</formula>
    </cfRule>
    <cfRule type="expression" priority="2164" dxfId="0">
      <formula>AND(IF($Q249=3,1,IF($Q249=4,1,0)),IF($F249&lt;=85,1,0))</formula>
    </cfRule>
  </conditionalFormatting>
  <conditionalFormatting sqref="AV250">
    <cfRule type="expression" priority="2159" dxfId="23">
      <formula>AV250="X"</formula>
    </cfRule>
    <cfRule type="expression" priority="2160" dxfId="22">
      <formula>AV250="후보"</formula>
    </cfRule>
  </conditionalFormatting>
  <conditionalFormatting sqref="AC25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5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50">
    <cfRule type="expression" priority="2151" dxfId="3">
      <formula>AND(IF(OR($Q250=1,$Q250=2),1,0),IF($X250&lt;=20,1,0))</formula>
    </cfRule>
    <cfRule type="expression" priority="2152" dxfId="2">
      <formula>AND(IF($Q250=2,1,0),IF($X250&lt;30,1,0))</formula>
    </cfRule>
    <cfRule type="expression" priority="2153" dxfId="1">
      <formula>AND(IF($Q250=3,1,0),IF($X250&lt;30,1,0))</formula>
    </cfRule>
    <cfRule type="expression" priority="2154" dxfId="0">
      <formula>AND(IF($Q250=3,1,IF($Q250=4,1,0)),IF($F250&lt;=85,1,0))</formula>
    </cfRule>
  </conditionalFormatting>
  <conditionalFormatting sqref="X250">
    <cfRule type="expression" priority="2147" dxfId="3">
      <formula>AND(IF(OR($Q250=1,$Q250=2),1,0),IF($X250&lt;=20,1,0))</formula>
    </cfRule>
    <cfRule type="expression" priority="2148" dxfId="2">
      <formula>AND(IF($Q250=2,1,0),IF($X250&lt;30,1,0))</formula>
    </cfRule>
    <cfRule type="expression" priority="2149" dxfId="1">
      <formula>AND(IF($Q250=3,1,0),IF($X250&lt;30,1,0))</formula>
    </cfRule>
    <cfRule type="expression" priority="2150" dxfId="0">
      <formula>AND(IF($Q250=3,1,IF($Q250=4,1,0)),IF($F250&lt;=85,1,0))</formula>
    </cfRule>
  </conditionalFormatting>
  <conditionalFormatting sqref="AI250">
    <cfRule type="expression" priority="2143" dxfId="3">
      <formula>AND(IF(OR($Q250=1,$Q250=2),1,0),IF($X250&lt;=20,1,0))</formula>
    </cfRule>
    <cfRule type="expression" priority="2144" dxfId="2">
      <formula>AND(IF($Q250=2,1,0),IF($X250&lt;30,1,0))</formula>
    </cfRule>
    <cfRule type="expression" priority="2145" dxfId="1">
      <formula>AND(IF($Q250=3,1,0),IF($X250&lt;30,1,0))</formula>
    </cfRule>
    <cfRule type="expression" priority="2146" dxfId="0">
      <formula>AND(IF($Q250=3,1,IF($Q250=4,1,0)),IF($F250&lt;=85,1,0))</formula>
    </cfRule>
  </conditionalFormatting>
  <conditionalFormatting sqref="AV251">
    <cfRule type="expression" priority="2141" dxfId="23">
      <formula>AV251="X"</formula>
    </cfRule>
    <cfRule type="expression" priority="2142" dxfId="22">
      <formula>AV251="후보"</formula>
    </cfRule>
  </conditionalFormatting>
  <conditionalFormatting sqref="AC25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5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51">
    <cfRule type="expression" priority="2133" dxfId="3">
      <formula>AND(IF(OR($Q251=1,$Q251=2),1,0),IF($X251&lt;=20,1,0))</formula>
    </cfRule>
    <cfRule type="expression" priority="2134" dxfId="2">
      <formula>AND(IF($Q251=2,1,0),IF($X251&lt;30,1,0))</formula>
    </cfRule>
    <cfRule type="expression" priority="2135" dxfId="1">
      <formula>AND(IF($Q251=3,1,0),IF($X251&lt;30,1,0))</formula>
    </cfRule>
    <cfRule type="expression" priority="2136" dxfId="0">
      <formula>AND(IF($Q251=3,1,IF($Q251=4,1,0)),IF($F251&lt;=85,1,0))</formula>
    </cfRule>
  </conditionalFormatting>
  <conditionalFormatting sqref="X251">
    <cfRule type="expression" priority="2129" dxfId="3">
      <formula>AND(IF(OR($Q251=1,$Q251=2),1,0),IF($X251&lt;=20,1,0))</formula>
    </cfRule>
    <cfRule type="expression" priority="2130" dxfId="2">
      <formula>AND(IF($Q251=2,1,0),IF($X251&lt;30,1,0))</formula>
    </cfRule>
    <cfRule type="expression" priority="2131" dxfId="1">
      <formula>AND(IF($Q251=3,1,0),IF($X251&lt;30,1,0))</formula>
    </cfRule>
    <cfRule type="expression" priority="2132" dxfId="0">
      <formula>AND(IF($Q251=3,1,IF($Q251=4,1,0)),IF($F251&lt;=85,1,0))</formula>
    </cfRule>
  </conditionalFormatting>
  <conditionalFormatting sqref="AI251">
    <cfRule type="expression" priority="2125" dxfId="3">
      <formula>AND(IF(OR($Q251=1,$Q251=2),1,0),IF($X251&lt;=20,1,0))</formula>
    </cfRule>
    <cfRule type="expression" priority="2126" dxfId="2">
      <formula>AND(IF($Q251=2,1,0),IF($X251&lt;30,1,0))</formula>
    </cfRule>
    <cfRule type="expression" priority="2127" dxfId="1">
      <formula>AND(IF($Q251=3,1,0),IF($X251&lt;30,1,0))</formula>
    </cfRule>
    <cfRule type="expression" priority="2128" dxfId="0">
      <formula>AND(IF($Q251=3,1,IF($Q251=4,1,0)),IF($F251&lt;=85,1,0))</formula>
    </cfRule>
  </conditionalFormatting>
  <conditionalFormatting sqref="AV252">
    <cfRule type="expression" priority="2123" dxfId="23">
      <formula>AV252="X"</formula>
    </cfRule>
    <cfRule type="expression" priority="2124" dxfId="22">
      <formula>AV252="후보"</formula>
    </cfRule>
  </conditionalFormatting>
  <conditionalFormatting sqref="AC25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5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52">
    <cfRule type="expression" priority="2115" dxfId="3">
      <formula>AND(IF(OR($Q252=1,$Q252=2),1,0),IF($X252&lt;=20,1,0))</formula>
    </cfRule>
    <cfRule type="expression" priority="2116" dxfId="2">
      <formula>AND(IF($Q252=2,1,0),IF($X252&lt;30,1,0))</formula>
    </cfRule>
    <cfRule type="expression" priority="2117" dxfId="1">
      <formula>AND(IF($Q252=3,1,0),IF($X252&lt;30,1,0))</formula>
    </cfRule>
    <cfRule type="expression" priority="2118" dxfId="0">
      <formula>AND(IF($Q252=3,1,IF($Q252=4,1,0)),IF($F252&lt;=85,1,0))</formula>
    </cfRule>
  </conditionalFormatting>
  <conditionalFormatting sqref="X252">
    <cfRule type="expression" priority="2111" dxfId="3">
      <formula>AND(IF(OR($Q252=1,$Q252=2),1,0),IF($X252&lt;=20,1,0))</formula>
    </cfRule>
    <cfRule type="expression" priority="2112" dxfId="2">
      <formula>AND(IF($Q252=2,1,0),IF($X252&lt;30,1,0))</formula>
    </cfRule>
    <cfRule type="expression" priority="2113" dxfId="1">
      <formula>AND(IF($Q252=3,1,0),IF($X252&lt;30,1,0))</formula>
    </cfRule>
    <cfRule type="expression" priority="2114" dxfId="0">
      <formula>AND(IF($Q252=3,1,IF($Q252=4,1,0)),IF($F252&lt;=85,1,0))</formula>
    </cfRule>
  </conditionalFormatting>
  <conditionalFormatting sqref="AI252">
    <cfRule type="expression" priority="2107" dxfId="3">
      <formula>AND(IF(OR($Q252=1,$Q252=2),1,0),IF($X252&lt;=20,1,0))</formula>
    </cfRule>
    <cfRule type="expression" priority="2108" dxfId="2">
      <formula>AND(IF($Q252=2,1,0),IF($X252&lt;30,1,0))</formula>
    </cfRule>
    <cfRule type="expression" priority="2109" dxfId="1">
      <formula>AND(IF($Q252=3,1,0),IF($X252&lt;30,1,0))</formula>
    </cfRule>
    <cfRule type="expression" priority="2110" dxfId="0">
      <formula>AND(IF($Q252=3,1,IF($Q252=4,1,0)),IF($F252&lt;=85,1,0))</formula>
    </cfRule>
  </conditionalFormatting>
  <conditionalFormatting sqref="AV253">
    <cfRule type="expression" priority="2105" dxfId="23">
      <formula>AV253="X"</formula>
    </cfRule>
    <cfRule type="expression" priority="2106" dxfId="22">
      <formula>AV253="후보"</formula>
    </cfRule>
  </conditionalFormatting>
  <conditionalFormatting sqref="AC25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5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53">
    <cfRule type="expression" priority="2097" dxfId="3">
      <formula>AND(IF(OR($Q253=1,$Q253=2),1,0),IF($X253&lt;=20,1,0))</formula>
    </cfRule>
    <cfRule type="expression" priority="2098" dxfId="2">
      <formula>AND(IF($Q253=2,1,0),IF($X253&lt;30,1,0))</formula>
    </cfRule>
    <cfRule type="expression" priority="2099" dxfId="1">
      <formula>AND(IF($Q253=3,1,0),IF($X253&lt;30,1,0))</formula>
    </cfRule>
    <cfRule type="expression" priority="2100" dxfId="0">
      <formula>AND(IF($Q253=3,1,IF($Q253=4,1,0)),IF($F253&lt;=85,1,0))</formula>
    </cfRule>
  </conditionalFormatting>
  <conditionalFormatting sqref="X253">
    <cfRule type="expression" priority="2093" dxfId="3">
      <formula>AND(IF(OR($Q253=1,$Q253=2),1,0),IF($X253&lt;=20,1,0))</formula>
    </cfRule>
    <cfRule type="expression" priority="2094" dxfId="2">
      <formula>AND(IF($Q253=2,1,0),IF($X253&lt;30,1,0))</formula>
    </cfRule>
    <cfRule type="expression" priority="2095" dxfId="1">
      <formula>AND(IF($Q253=3,1,0),IF($X253&lt;30,1,0))</formula>
    </cfRule>
    <cfRule type="expression" priority="2096" dxfId="0">
      <formula>AND(IF($Q253=3,1,IF($Q253=4,1,0)),IF($F253&lt;=85,1,0))</formula>
    </cfRule>
  </conditionalFormatting>
  <conditionalFormatting sqref="AI253">
    <cfRule type="expression" priority="2089" dxfId="3">
      <formula>AND(IF(OR($Q253=1,$Q253=2),1,0),IF($X253&lt;=20,1,0))</formula>
    </cfRule>
    <cfRule type="expression" priority="2090" dxfId="2">
      <formula>AND(IF($Q253=2,1,0),IF($X253&lt;30,1,0))</formula>
    </cfRule>
    <cfRule type="expression" priority="2091" dxfId="1">
      <formula>AND(IF($Q253=3,1,0),IF($X253&lt;30,1,0))</formula>
    </cfRule>
    <cfRule type="expression" priority="2092" dxfId="0">
      <formula>AND(IF($Q253=3,1,IF($Q253=4,1,0)),IF($F253&lt;=85,1,0))</formula>
    </cfRule>
  </conditionalFormatting>
  <conditionalFormatting sqref="AV254">
    <cfRule type="expression" priority="2087" dxfId="23">
      <formula>AV254="X"</formula>
    </cfRule>
    <cfRule type="expression" priority="2088" dxfId="22">
      <formula>AV254="후보"</formula>
    </cfRule>
  </conditionalFormatting>
  <conditionalFormatting sqref="AC25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5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54">
    <cfRule type="expression" priority="2079" dxfId="3">
      <formula>AND(IF(OR($Q254=1,$Q254=2),1,0),IF($X254&lt;=20,1,0))</formula>
    </cfRule>
    <cfRule type="expression" priority="2080" dxfId="2">
      <formula>AND(IF($Q254=2,1,0),IF($X254&lt;30,1,0))</formula>
    </cfRule>
    <cfRule type="expression" priority="2081" dxfId="1">
      <formula>AND(IF($Q254=3,1,0),IF($X254&lt;30,1,0))</formula>
    </cfRule>
    <cfRule type="expression" priority="2082" dxfId="0">
      <formula>AND(IF($Q254=3,1,IF($Q254=4,1,0)),IF($F254&lt;=85,1,0))</formula>
    </cfRule>
  </conditionalFormatting>
  <conditionalFormatting sqref="X254">
    <cfRule type="expression" priority="2075" dxfId="3">
      <formula>AND(IF(OR($Q254=1,$Q254=2),1,0),IF($X254&lt;=20,1,0))</formula>
    </cfRule>
    <cfRule type="expression" priority="2076" dxfId="2">
      <formula>AND(IF($Q254=2,1,0),IF($X254&lt;30,1,0))</formula>
    </cfRule>
    <cfRule type="expression" priority="2077" dxfId="1">
      <formula>AND(IF($Q254=3,1,0),IF($X254&lt;30,1,0))</formula>
    </cfRule>
    <cfRule type="expression" priority="2078" dxfId="0">
      <formula>AND(IF($Q254=3,1,IF($Q254=4,1,0)),IF($F254&lt;=85,1,0))</formula>
    </cfRule>
  </conditionalFormatting>
  <conditionalFormatting sqref="AI254">
    <cfRule type="expression" priority="2071" dxfId="3">
      <formula>AND(IF(OR($Q254=1,$Q254=2),1,0),IF($X254&lt;=20,1,0))</formula>
    </cfRule>
    <cfRule type="expression" priority="2072" dxfId="2">
      <formula>AND(IF($Q254=2,1,0),IF($X254&lt;30,1,0))</formula>
    </cfRule>
    <cfRule type="expression" priority="2073" dxfId="1">
      <formula>AND(IF($Q254=3,1,0),IF($X254&lt;30,1,0))</formula>
    </cfRule>
    <cfRule type="expression" priority="2074" dxfId="0">
      <formula>AND(IF($Q254=3,1,IF($Q254=4,1,0)),IF($F254&lt;=85,1,0))</formula>
    </cfRule>
  </conditionalFormatting>
  <conditionalFormatting sqref="AV255">
    <cfRule type="expression" priority="2069" dxfId="23">
      <formula>AV255="X"</formula>
    </cfRule>
    <cfRule type="expression" priority="2070" dxfId="22">
      <formula>AV255="후보"</formula>
    </cfRule>
  </conditionalFormatting>
  <conditionalFormatting sqref="AC25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5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55">
    <cfRule type="expression" priority="2061" dxfId="3">
      <formula>AND(IF(OR($Q255=1,$Q255=2),1,0),IF($X255&lt;=20,1,0))</formula>
    </cfRule>
    <cfRule type="expression" priority="2062" dxfId="2">
      <formula>AND(IF($Q255=2,1,0),IF($X255&lt;30,1,0))</formula>
    </cfRule>
    <cfRule type="expression" priority="2063" dxfId="1">
      <formula>AND(IF($Q255=3,1,0),IF($X255&lt;30,1,0))</formula>
    </cfRule>
    <cfRule type="expression" priority="2064" dxfId="0">
      <formula>AND(IF($Q255=3,1,IF($Q255=4,1,0)),IF($F255&lt;=85,1,0))</formula>
    </cfRule>
  </conditionalFormatting>
  <conditionalFormatting sqref="X255">
    <cfRule type="expression" priority="2057" dxfId="3">
      <formula>AND(IF(OR($Q255=1,$Q255=2),1,0),IF($X255&lt;=20,1,0))</formula>
    </cfRule>
    <cfRule type="expression" priority="2058" dxfId="2">
      <formula>AND(IF($Q255=2,1,0),IF($X255&lt;30,1,0))</formula>
    </cfRule>
    <cfRule type="expression" priority="2059" dxfId="1">
      <formula>AND(IF($Q255=3,1,0),IF($X255&lt;30,1,0))</formula>
    </cfRule>
    <cfRule type="expression" priority="2060" dxfId="0">
      <formula>AND(IF($Q255=3,1,IF($Q255=4,1,0)),IF($F255&lt;=85,1,0))</formula>
    </cfRule>
  </conditionalFormatting>
  <conditionalFormatting sqref="AI255">
    <cfRule type="expression" priority="2053" dxfId="3">
      <formula>AND(IF(OR($Q255=1,$Q255=2),1,0),IF($X255&lt;=20,1,0))</formula>
    </cfRule>
    <cfRule type="expression" priority="2054" dxfId="2">
      <formula>AND(IF($Q255=2,1,0),IF($X255&lt;30,1,0))</formula>
    </cfRule>
    <cfRule type="expression" priority="2055" dxfId="1">
      <formula>AND(IF($Q255=3,1,0),IF($X255&lt;30,1,0))</formula>
    </cfRule>
    <cfRule type="expression" priority="2056" dxfId="0">
      <formula>AND(IF($Q255=3,1,IF($Q255=4,1,0)),IF($F255&lt;=85,1,0))</formula>
    </cfRule>
  </conditionalFormatting>
  <conditionalFormatting sqref="AV256">
    <cfRule type="expression" priority="2051" dxfId="23">
      <formula>AV256="X"</formula>
    </cfRule>
    <cfRule type="expression" priority="2052" dxfId="22">
      <formula>AV256="후보"</formula>
    </cfRule>
  </conditionalFormatting>
  <conditionalFormatting sqref="AC25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5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56">
    <cfRule type="expression" priority="2043" dxfId="3">
      <formula>AND(IF(OR($Q256=1,$Q256=2),1,0),IF($X256&lt;=20,1,0))</formula>
    </cfRule>
    <cfRule type="expression" priority="2044" dxfId="2">
      <formula>AND(IF($Q256=2,1,0),IF($X256&lt;30,1,0))</formula>
    </cfRule>
    <cfRule type="expression" priority="2045" dxfId="1">
      <formula>AND(IF($Q256=3,1,0),IF($X256&lt;30,1,0))</formula>
    </cfRule>
    <cfRule type="expression" priority="2046" dxfId="0">
      <formula>AND(IF($Q256=3,1,IF($Q256=4,1,0)),IF($F256&lt;=85,1,0))</formula>
    </cfRule>
  </conditionalFormatting>
  <conditionalFormatting sqref="X256">
    <cfRule type="expression" priority="2039" dxfId="3">
      <formula>AND(IF(OR($Q256=1,$Q256=2),1,0),IF($X256&lt;=20,1,0))</formula>
    </cfRule>
    <cfRule type="expression" priority="2040" dxfId="2">
      <formula>AND(IF($Q256=2,1,0),IF($X256&lt;30,1,0))</formula>
    </cfRule>
    <cfRule type="expression" priority="2041" dxfId="1">
      <formula>AND(IF($Q256=3,1,0),IF($X256&lt;30,1,0))</formula>
    </cfRule>
    <cfRule type="expression" priority="2042" dxfId="0">
      <formula>AND(IF($Q256=3,1,IF($Q256=4,1,0)),IF($F256&lt;=85,1,0))</formula>
    </cfRule>
  </conditionalFormatting>
  <conditionalFormatting sqref="AI256">
    <cfRule type="expression" priority="2035" dxfId="3">
      <formula>AND(IF(OR($Q256=1,$Q256=2),1,0),IF($X256&lt;=20,1,0))</formula>
    </cfRule>
    <cfRule type="expression" priority="2036" dxfId="2">
      <formula>AND(IF($Q256=2,1,0),IF($X256&lt;30,1,0))</formula>
    </cfRule>
    <cfRule type="expression" priority="2037" dxfId="1">
      <formula>AND(IF($Q256=3,1,0),IF($X256&lt;30,1,0))</formula>
    </cfRule>
    <cfRule type="expression" priority="2038" dxfId="0">
      <formula>AND(IF($Q256=3,1,IF($Q256=4,1,0)),IF($F256&lt;=85,1,0))</formula>
    </cfRule>
  </conditionalFormatting>
  <conditionalFormatting sqref="AV257">
    <cfRule type="expression" priority="2033" dxfId="23">
      <formula>AV257="X"</formula>
    </cfRule>
    <cfRule type="expression" priority="2034" dxfId="22">
      <formula>AV257="후보"</formula>
    </cfRule>
  </conditionalFormatting>
  <conditionalFormatting sqref="AC25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5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57">
    <cfRule type="expression" priority="2025" dxfId="3">
      <formula>AND(IF(OR($Q257=1,$Q257=2),1,0),IF($X257&lt;=20,1,0))</formula>
    </cfRule>
    <cfRule type="expression" priority="2026" dxfId="2">
      <formula>AND(IF($Q257=2,1,0),IF($X257&lt;30,1,0))</formula>
    </cfRule>
    <cfRule type="expression" priority="2027" dxfId="1">
      <formula>AND(IF($Q257=3,1,0),IF($X257&lt;30,1,0))</formula>
    </cfRule>
    <cfRule type="expression" priority="2028" dxfId="0">
      <formula>AND(IF($Q257=3,1,IF($Q257=4,1,0)),IF($F257&lt;=85,1,0))</formula>
    </cfRule>
  </conditionalFormatting>
  <conditionalFormatting sqref="X257">
    <cfRule type="expression" priority="2021" dxfId="3">
      <formula>AND(IF(OR($Q257=1,$Q257=2),1,0),IF($X257&lt;=20,1,0))</formula>
    </cfRule>
    <cfRule type="expression" priority="2022" dxfId="2">
      <formula>AND(IF($Q257=2,1,0),IF($X257&lt;30,1,0))</formula>
    </cfRule>
    <cfRule type="expression" priority="2023" dxfId="1">
      <formula>AND(IF($Q257=3,1,0),IF($X257&lt;30,1,0))</formula>
    </cfRule>
    <cfRule type="expression" priority="2024" dxfId="0">
      <formula>AND(IF($Q257=3,1,IF($Q257=4,1,0)),IF($F257&lt;=85,1,0))</formula>
    </cfRule>
  </conditionalFormatting>
  <conditionalFormatting sqref="AI257">
    <cfRule type="expression" priority="2017" dxfId="3">
      <formula>AND(IF(OR($Q257=1,$Q257=2),1,0),IF($X257&lt;=20,1,0))</formula>
    </cfRule>
    <cfRule type="expression" priority="2018" dxfId="2">
      <formula>AND(IF($Q257=2,1,0),IF($X257&lt;30,1,0))</formula>
    </cfRule>
    <cfRule type="expression" priority="2019" dxfId="1">
      <formula>AND(IF($Q257=3,1,0),IF($X257&lt;30,1,0))</formula>
    </cfRule>
    <cfRule type="expression" priority="2020" dxfId="0">
      <formula>AND(IF($Q257=3,1,IF($Q257=4,1,0)),IF($F257&lt;=85,1,0))</formula>
    </cfRule>
  </conditionalFormatting>
  <conditionalFormatting sqref="AV258">
    <cfRule type="expression" priority="2015" dxfId="23">
      <formula>AV258="X"</formula>
    </cfRule>
    <cfRule type="expression" priority="2016" dxfId="22">
      <formula>AV258="후보"</formula>
    </cfRule>
  </conditionalFormatting>
  <conditionalFormatting sqref="AC25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8">
    <cfRule type="expression" priority="2007" dxfId="3">
      <formula>AND(IF(OR($Q258=1,$Q258=2),1,0),IF($X258&lt;=20,1,0))</formula>
    </cfRule>
    <cfRule type="expression" priority="2008" dxfId="2">
      <formula>AND(IF($Q258=2,1,0),IF($X258&lt;30,1,0))</formula>
    </cfRule>
    <cfRule type="expression" priority="2009" dxfId="1">
      <formula>AND(IF($Q258=3,1,0),IF($X258&lt;30,1,0))</formula>
    </cfRule>
    <cfRule type="expression" priority="2010" dxfId="0">
      <formula>AND(IF($Q258=3,1,IF($Q258=4,1,0)),IF($F258&lt;=85,1,0))</formula>
    </cfRule>
  </conditionalFormatting>
  <conditionalFormatting sqref="X258">
    <cfRule type="expression" priority="2003" dxfId="3">
      <formula>AND(IF(OR($Q258=1,$Q258=2),1,0),IF($X258&lt;=20,1,0))</formula>
    </cfRule>
    <cfRule type="expression" priority="2004" dxfId="2">
      <formula>AND(IF($Q258=2,1,0),IF($X258&lt;30,1,0))</formula>
    </cfRule>
    <cfRule type="expression" priority="2005" dxfId="1">
      <formula>AND(IF($Q258=3,1,0),IF($X258&lt;30,1,0))</formula>
    </cfRule>
    <cfRule type="expression" priority="2006" dxfId="0">
      <formula>AND(IF($Q258=3,1,IF($Q258=4,1,0)),IF($F258&lt;=85,1,0))</formula>
    </cfRule>
  </conditionalFormatting>
  <conditionalFormatting sqref="AI258">
    <cfRule type="expression" priority="1999" dxfId="3">
      <formula>AND(IF(OR($Q258=1,$Q258=2),1,0),IF($X258&lt;=20,1,0))</formula>
    </cfRule>
    <cfRule type="expression" priority="2000" dxfId="2">
      <formula>AND(IF($Q258=2,1,0),IF($X258&lt;30,1,0))</formula>
    </cfRule>
    <cfRule type="expression" priority="2001" dxfId="1">
      <formula>AND(IF($Q258=3,1,0),IF($X258&lt;30,1,0))</formula>
    </cfRule>
    <cfRule type="expression" priority="2002" dxfId="0">
      <formula>AND(IF($Q258=3,1,IF($Q258=4,1,0)),IF($F258&lt;=85,1,0))</formula>
    </cfRule>
  </conditionalFormatting>
  <conditionalFormatting sqref="AV259">
    <cfRule type="expression" priority="1997" dxfId="23">
      <formula>AV259="X"</formula>
    </cfRule>
    <cfRule type="expression" priority="1998" dxfId="22">
      <formula>AV259="후보"</formula>
    </cfRule>
  </conditionalFormatting>
  <conditionalFormatting sqref="AC25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5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59">
    <cfRule type="expression" priority="1989" dxfId="3">
      <formula>AND(IF(OR($Q259=1,$Q259=2),1,0),IF($X259&lt;=20,1,0))</formula>
    </cfRule>
    <cfRule type="expression" priority="1990" dxfId="2">
      <formula>AND(IF($Q259=2,1,0),IF($X259&lt;30,1,0))</formula>
    </cfRule>
    <cfRule type="expression" priority="1991" dxfId="1">
      <formula>AND(IF($Q259=3,1,0),IF($X259&lt;30,1,0))</formula>
    </cfRule>
    <cfRule type="expression" priority="1992" dxfId="0">
      <formula>AND(IF($Q259=3,1,IF($Q259=4,1,0)),IF($F259&lt;=85,1,0))</formula>
    </cfRule>
  </conditionalFormatting>
  <conditionalFormatting sqref="X259">
    <cfRule type="expression" priority="1985" dxfId="3">
      <formula>AND(IF(OR($Q259=1,$Q259=2),1,0),IF($X259&lt;=20,1,0))</formula>
    </cfRule>
    <cfRule type="expression" priority="1986" dxfId="2">
      <formula>AND(IF($Q259=2,1,0),IF($X259&lt;30,1,0))</formula>
    </cfRule>
    <cfRule type="expression" priority="1987" dxfId="1">
      <formula>AND(IF($Q259=3,1,0),IF($X259&lt;30,1,0))</formula>
    </cfRule>
    <cfRule type="expression" priority="1988" dxfId="0">
      <formula>AND(IF($Q259=3,1,IF($Q259=4,1,0)),IF($F259&lt;=85,1,0))</formula>
    </cfRule>
  </conditionalFormatting>
  <conditionalFormatting sqref="AI259">
    <cfRule type="expression" priority="1981" dxfId="3">
      <formula>AND(IF(OR($Q259=1,$Q259=2),1,0),IF($X259&lt;=20,1,0))</formula>
    </cfRule>
    <cfRule type="expression" priority="1982" dxfId="2">
      <formula>AND(IF($Q259=2,1,0),IF($X259&lt;30,1,0))</formula>
    </cfRule>
    <cfRule type="expression" priority="1983" dxfId="1">
      <formula>AND(IF($Q259=3,1,0),IF($X259&lt;30,1,0))</formula>
    </cfRule>
    <cfRule type="expression" priority="1984" dxfId="0">
      <formula>AND(IF($Q259=3,1,IF($Q259=4,1,0)),IF($F259&lt;=85,1,0))</formula>
    </cfRule>
  </conditionalFormatting>
  <conditionalFormatting sqref="AV260">
    <cfRule type="expression" priority="1979" dxfId="23">
      <formula>AV260="X"</formula>
    </cfRule>
    <cfRule type="expression" priority="1980" dxfId="22">
      <formula>AV260="후보"</formula>
    </cfRule>
  </conditionalFormatting>
  <conditionalFormatting sqref="AC26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6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60">
    <cfRule type="expression" priority="1971" dxfId="3">
      <formula>AND(IF(OR($Q260=1,$Q260=2),1,0),IF($X260&lt;=20,1,0))</formula>
    </cfRule>
    <cfRule type="expression" priority="1972" dxfId="2">
      <formula>AND(IF($Q260=2,1,0),IF($X260&lt;30,1,0))</formula>
    </cfRule>
    <cfRule type="expression" priority="1973" dxfId="1">
      <formula>AND(IF($Q260=3,1,0),IF($X260&lt;30,1,0))</formula>
    </cfRule>
    <cfRule type="expression" priority="1974" dxfId="0">
      <formula>AND(IF($Q260=3,1,IF($Q260=4,1,0)),IF($F260&lt;=85,1,0))</formula>
    </cfRule>
  </conditionalFormatting>
  <conditionalFormatting sqref="X260">
    <cfRule type="expression" priority="1967" dxfId="3">
      <formula>AND(IF(OR($Q260=1,$Q260=2),1,0),IF($X260&lt;=20,1,0))</formula>
    </cfRule>
    <cfRule type="expression" priority="1968" dxfId="2">
      <formula>AND(IF($Q260=2,1,0),IF($X260&lt;30,1,0))</formula>
    </cfRule>
    <cfRule type="expression" priority="1969" dxfId="1">
      <formula>AND(IF($Q260=3,1,0),IF($X260&lt;30,1,0))</formula>
    </cfRule>
    <cfRule type="expression" priority="1970" dxfId="0">
      <formula>AND(IF($Q260=3,1,IF($Q260=4,1,0)),IF($F260&lt;=85,1,0))</formula>
    </cfRule>
  </conditionalFormatting>
  <conditionalFormatting sqref="AI260">
    <cfRule type="expression" priority="1963" dxfId="3">
      <formula>AND(IF(OR($Q260=1,$Q260=2),1,0),IF($X260&lt;=20,1,0))</formula>
    </cfRule>
    <cfRule type="expression" priority="1964" dxfId="2">
      <formula>AND(IF($Q260=2,1,0),IF($X260&lt;30,1,0))</formula>
    </cfRule>
    <cfRule type="expression" priority="1965" dxfId="1">
      <formula>AND(IF($Q260=3,1,0),IF($X260&lt;30,1,0))</formula>
    </cfRule>
    <cfRule type="expression" priority="1966" dxfId="0">
      <formula>AND(IF($Q260=3,1,IF($Q260=4,1,0)),IF($F260&lt;=85,1,0))</formula>
    </cfRule>
  </conditionalFormatting>
  <conditionalFormatting sqref="AV261">
    <cfRule type="expression" priority="1961" dxfId="23">
      <formula>AV261="X"</formula>
    </cfRule>
    <cfRule type="expression" priority="1962" dxfId="22">
      <formula>AV261="후보"</formula>
    </cfRule>
  </conditionalFormatting>
  <conditionalFormatting sqref="AC26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6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61">
    <cfRule type="expression" priority="1953" dxfId="3">
      <formula>AND(IF(OR($Q261=1,$Q261=2),1,0),IF($X261&lt;=20,1,0))</formula>
    </cfRule>
    <cfRule type="expression" priority="1954" dxfId="2">
      <formula>AND(IF($Q261=2,1,0),IF($X261&lt;30,1,0))</formula>
    </cfRule>
    <cfRule type="expression" priority="1955" dxfId="1">
      <formula>AND(IF($Q261=3,1,0),IF($X261&lt;30,1,0))</formula>
    </cfRule>
    <cfRule type="expression" priority="1956" dxfId="0">
      <formula>AND(IF($Q261=3,1,IF($Q261=4,1,0)),IF($F261&lt;=85,1,0))</formula>
    </cfRule>
  </conditionalFormatting>
  <conditionalFormatting sqref="X261">
    <cfRule type="expression" priority="1949" dxfId="3">
      <formula>AND(IF(OR($Q261=1,$Q261=2),1,0),IF($X261&lt;=20,1,0))</formula>
    </cfRule>
    <cfRule type="expression" priority="1950" dxfId="2">
      <formula>AND(IF($Q261=2,1,0),IF($X261&lt;30,1,0))</formula>
    </cfRule>
    <cfRule type="expression" priority="1951" dxfId="1">
      <formula>AND(IF($Q261=3,1,0),IF($X261&lt;30,1,0))</formula>
    </cfRule>
    <cfRule type="expression" priority="1952" dxfId="0">
      <formula>AND(IF($Q261=3,1,IF($Q261=4,1,0)),IF($F261&lt;=85,1,0))</formula>
    </cfRule>
  </conditionalFormatting>
  <conditionalFormatting sqref="AI261">
    <cfRule type="expression" priority="1945" dxfId="3">
      <formula>AND(IF(OR($Q261=1,$Q261=2),1,0),IF($X261&lt;=20,1,0))</formula>
    </cfRule>
    <cfRule type="expression" priority="1946" dxfId="2">
      <formula>AND(IF($Q261=2,1,0),IF($X261&lt;30,1,0))</formula>
    </cfRule>
    <cfRule type="expression" priority="1947" dxfId="1">
      <formula>AND(IF($Q261=3,1,0),IF($X261&lt;30,1,0))</formula>
    </cfRule>
    <cfRule type="expression" priority="1948" dxfId="0">
      <formula>AND(IF($Q261=3,1,IF($Q261=4,1,0)),IF($F261&lt;=85,1,0))</formula>
    </cfRule>
  </conditionalFormatting>
  <conditionalFormatting sqref="AV262">
    <cfRule type="expression" priority="1943" dxfId="23">
      <formula>AV262="X"</formula>
    </cfRule>
    <cfRule type="expression" priority="1944" dxfId="22">
      <formula>AV262="후보"</formula>
    </cfRule>
  </conditionalFormatting>
  <conditionalFormatting sqref="AC26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6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62">
    <cfRule type="expression" priority="1935" dxfId="3">
      <formula>AND(IF(OR($Q262=1,$Q262=2),1,0),IF($X262&lt;=20,1,0))</formula>
    </cfRule>
    <cfRule type="expression" priority="1936" dxfId="2">
      <formula>AND(IF($Q262=2,1,0),IF($X262&lt;30,1,0))</formula>
    </cfRule>
    <cfRule type="expression" priority="1937" dxfId="1">
      <formula>AND(IF($Q262=3,1,0),IF($X262&lt;30,1,0))</formula>
    </cfRule>
    <cfRule type="expression" priority="1938" dxfId="0">
      <formula>AND(IF($Q262=3,1,IF($Q262=4,1,0)),IF($F262&lt;=85,1,0))</formula>
    </cfRule>
  </conditionalFormatting>
  <conditionalFormatting sqref="X262">
    <cfRule type="expression" priority="1931" dxfId="3">
      <formula>AND(IF(OR($Q262=1,$Q262=2),1,0),IF($X262&lt;=20,1,0))</formula>
    </cfRule>
    <cfRule type="expression" priority="1932" dxfId="2">
      <formula>AND(IF($Q262=2,1,0),IF($X262&lt;30,1,0))</formula>
    </cfRule>
    <cfRule type="expression" priority="1933" dxfId="1">
      <formula>AND(IF($Q262=3,1,0),IF($X262&lt;30,1,0))</formula>
    </cfRule>
    <cfRule type="expression" priority="1934" dxfId="0">
      <formula>AND(IF($Q262=3,1,IF($Q262=4,1,0)),IF($F262&lt;=85,1,0))</formula>
    </cfRule>
  </conditionalFormatting>
  <conditionalFormatting sqref="AI262">
    <cfRule type="expression" priority="1927" dxfId="3">
      <formula>AND(IF(OR($Q262=1,$Q262=2),1,0),IF($X262&lt;=20,1,0))</formula>
    </cfRule>
    <cfRule type="expression" priority="1928" dxfId="2">
      <formula>AND(IF($Q262=2,1,0),IF($X262&lt;30,1,0))</formula>
    </cfRule>
    <cfRule type="expression" priority="1929" dxfId="1">
      <formula>AND(IF($Q262=3,1,0),IF($X262&lt;30,1,0))</formula>
    </cfRule>
    <cfRule type="expression" priority="1930" dxfId="0">
      <formula>AND(IF($Q262=3,1,IF($Q262=4,1,0)),IF($F262&lt;=85,1,0))</formula>
    </cfRule>
  </conditionalFormatting>
  <conditionalFormatting sqref="AV263">
    <cfRule type="expression" priority="1925" dxfId="23">
      <formula>AV263="X"</formula>
    </cfRule>
    <cfRule type="expression" priority="1926" dxfId="22">
      <formula>AV263="후보"</formula>
    </cfRule>
  </conditionalFormatting>
  <conditionalFormatting sqref="AC26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6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63">
    <cfRule type="expression" priority="1917" dxfId="3">
      <formula>AND(IF(OR($Q263=1,$Q263=2),1,0),IF($X263&lt;=20,1,0))</formula>
    </cfRule>
    <cfRule type="expression" priority="1918" dxfId="2">
      <formula>AND(IF($Q263=2,1,0),IF($X263&lt;30,1,0))</formula>
    </cfRule>
    <cfRule type="expression" priority="1919" dxfId="1">
      <formula>AND(IF($Q263=3,1,0),IF($X263&lt;30,1,0))</formula>
    </cfRule>
    <cfRule type="expression" priority="1920" dxfId="0">
      <formula>AND(IF($Q263=3,1,IF($Q263=4,1,0)),IF($F263&lt;=85,1,0))</formula>
    </cfRule>
  </conditionalFormatting>
  <conditionalFormatting sqref="X263">
    <cfRule type="expression" priority="1913" dxfId="3">
      <formula>AND(IF(OR($Q263=1,$Q263=2),1,0),IF($X263&lt;=20,1,0))</formula>
    </cfRule>
    <cfRule type="expression" priority="1914" dxfId="2">
      <formula>AND(IF($Q263=2,1,0),IF($X263&lt;30,1,0))</formula>
    </cfRule>
    <cfRule type="expression" priority="1915" dxfId="1">
      <formula>AND(IF($Q263=3,1,0),IF($X263&lt;30,1,0))</formula>
    </cfRule>
    <cfRule type="expression" priority="1916" dxfId="0">
      <formula>AND(IF($Q263=3,1,IF($Q263=4,1,0)),IF($F263&lt;=85,1,0))</formula>
    </cfRule>
  </conditionalFormatting>
  <conditionalFormatting sqref="AI263">
    <cfRule type="expression" priority="1909" dxfId="3">
      <formula>AND(IF(OR($Q263=1,$Q263=2),1,0),IF($X263&lt;=20,1,0))</formula>
    </cfRule>
    <cfRule type="expression" priority="1910" dxfId="2">
      <formula>AND(IF($Q263=2,1,0),IF($X263&lt;30,1,0))</formula>
    </cfRule>
    <cfRule type="expression" priority="1911" dxfId="1">
      <formula>AND(IF($Q263=3,1,0),IF($X263&lt;30,1,0))</formula>
    </cfRule>
    <cfRule type="expression" priority="1912" dxfId="0">
      <formula>AND(IF($Q263=3,1,IF($Q263=4,1,0)),IF($F263&lt;=85,1,0))</formula>
    </cfRule>
  </conditionalFormatting>
  <conditionalFormatting sqref="AV264">
    <cfRule type="expression" priority="1907" dxfId="23">
      <formula>AV264="X"</formula>
    </cfRule>
    <cfRule type="expression" priority="1908" dxfId="22">
      <formula>AV264="후보"</formula>
    </cfRule>
  </conditionalFormatting>
  <conditionalFormatting sqref="AC26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6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64">
    <cfRule type="expression" priority="1899" dxfId="3">
      <formula>AND(IF(OR($Q264=1,$Q264=2),1,0),IF($X264&lt;=20,1,0))</formula>
    </cfRule>
    <cfRule type="expression" priority="1900" dxfId="2">
      <formula>AND(IF($Q264=2,1,0),IF($X264&lt;30,1,0))</formula>
    </cfRule>
    <cfRule type="expression" priority="1901" dxfId="1">
      <formula>AND(IF($Q264=3,1,0),IF($X264&lt;30,1,0))</formula>
    </cfRule>
    <cfRule type="expression" priority="1902" dxfId="0">
      <formula>AND(IF($Q264=3,1,IF($Q264=4,1,0)),IF($F264&lt;=85,1,0))</formula>
    </cfRule>
  </conditionalFormatting>
  <conditionalFormatting sqref="X264">
    <cfRule type="expression" priority="1895" dxfId="3">
      <formula>AND(IF(OR($Q264=1,$Q264=2),1,0),IF($X264&lt;=20,1,0))</formula>
    </cfRule>
    <cfRule type="expression" priority="1896" dxfId="2">
      <formula>AND(IF($Q264=2,1,0),IF($X264&lt;30,1,0))</formula>
    </cfRule>
    <cfRule type="expression" priority="1897" dxfId="1">
      <formula>AND(IF($Q264=3,1,0),IF($X264&lt;30,1,0))</formula>
    </cfRule>
    <cfRule type="expression" priority="1898" dxfId="0">
      <formula>AND(IF($Q264=3,1,IF($Q264=4,1,0)),IF($F264&lt;=85,1,0))</formula>
    </cfRule>
  </conditionalFormatting>
  <conditionalFormatting sqref="AI264">
    <cfRule type="expression" priority="1891" dxfId="3">
      <formula>AND(IF(OR($Q264=1,$Q264=2),1,0),IF($X264&lt;=20,1,0))</formula>
    </cfRule>
    <cfRule type="expression" priority="1892" dxfId="2">
      <formula>AND(IF($Q264=2,1,0),IF($X264&lt;30,1,0))</formula>
    </cfRule>
    <cfRule type="expression" priority="1893" dxfId="1">
      <formula>AND(IF($Q264=3,1,0),IF($X264&lt;30,1,0))</formula>
    </cfRule>
    <cfRule type="expression" priority="1894" dxfId="0">
      <formula>AND(IF($Q264=3,1,IF($Q264=4,1,0)),IF($F264&lt;=85,1,0))</formula>
    </cfRule>
  </conditionalFormatting>
  <conditionalFormatting sqref="AV265">
    <cfRule type="expression" priority="1889" dxfId="23">
      <formula>AV265="X"</formula>
    </cfRule>
    <cfRule type="expression" priority="1890" dxfId="22">
      <formula>AV265="후보"</formula>
    </cfRule>
  </conditionalFormatting>
  <conditionalFormatting sqref="AC26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6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65">
    <cfRule type="expression" priority="1881" dxfId="3">
      <formula>AND(IF(OR($Q265=1,$Q265=2),1,0),IF($X265&lt;=20,1,0))</formula>
    </cfRule>
    <cfRule type="expression" priority="1882" dxfId="2">
      <formula>AND(IF($Q265=2,1,0),IF($X265&lt;30,1,0))</formula>
    </cfRule>
    <cfRule type="expression" priority="1883" dxfId="1">
      <formula>AND(IF($Q265=3,1,0),IF($X265&lt;30,1,0))</formula>
    </cfRule>
    <cfRule type="expression" priority="1884" dxfId="0">
      <formula>AND(IF($Q265=3,1,IF($Q265=4,1,0)),IF($F265&lt;=85,1,0))</formula>
    </cfRule>
  </conditionalFormatting>
  <conditionalFormatting sqref="X265">
    <cfRule type="expression" priority="1877" dxfId="3">
      <formula>AND(IF(OR($Q265=1,$Q265=2),1,0),IF($X265&lt;=20,1,0))</formula>
    </cfRule>
    <cfRule type="expression" priority="1878" dxfId="2">
      <formula>AND(IF($Q265=2,1,0),IF($X265&lt;30,1,0))</formula>
    </cfRule>
    <cfRule type="expression" priority="1879" dxfId="1">
      <formula>AND(IF($Q265=3,1,0),IF($X265&lt;30,1,0))</formula>
    </cfRule>
    <cfRule type="expression" priority="1880" dxfId="0">
      <formula>AND(IF($Q265=3,1,IF($Q265=4,1,0)),IF($F265&lt;=85,1,0))</formula>
    </cfRule>
  </conditionalFormatting>
  <conditionalFormatting sqref="AI265">
    <cfRule type="expression" priority="1873" dxfId="3">
      <formula>AND(IF(OR($Q265=1,$Q265=2),1,0),IF($X265&lt;=20,1,0))</formula>
    </cfRule>
    <cfRule type="expression" priority="1874" dxfId="2">
      <formula>AND(IF($Q265=2,1,0),IF($X265&lt;30,1,0))</formula>
    </cfRule>
    <cfRule type="expression" priority="1875" dxfId="1">
      <formula>AND(IF($Q265=3,1,0),IF($X265&lt;30,1,0))</formula>
    </cfRule>
    <cfRule type="expression" priority="1876" dxfId="0">
      <formula>AND(IF($Q265=3,1,IF($Q265=4,1,0)),IF($F265&lt;=85,1,0))</formula>
    </cfRule>
  </conditionalFormatting>
  <conditionalFormatting sqref="AV266">
    <cfRule type="expression" priority="1871" dxfId="23">
      <formula>AV266="X"</formula>
    </cfRule>
    <cfRule type="expression" priority="1872" dxfId="22">
      <formula>AV266="후보"</formula>
    </cfRule>
  </conditionalFormatting>
  <conditionalFormatting sqref="AC26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6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66">
    <cfRule type="expression" priority="1863" dxfId="3">
      <formula>AND(IF(OR($Q266=1,$Q266=2),1,0),IF($X266&lt;=20,1,0))</formula>
    </cfRule>
    <cfRule type="expression" priority="1864" dxfId="2">
      <formula>AND(IF($Q266=2,1,0),IF($X266&lt;30,1,0))</formula>
    </cfRule>
    <cfRule type="expression" priority="1865" dxfId="1">
      <formula>AND(IF($Q266=3,1,0),IF($X266&lt;30,1,0))</formula>
    </cfRule>
    <cfRule type="expression" priority="1866" dxfId="0">
      <formula>AND(IF($Q266=3,1,IF($Q266=4,1,0)),IF($F266&lt;=85,1,0))</formula>
    </cfRule>
  </conditionalFormatting>
  <conditionalFormatting sqref="X266">
    <cfRule type="expression" priority="1859" dxfId="3">
      <formula>AND(IF(OR($Q266=1,$Q266=2),1,0),IF($X266&lt;=20,1,0))</formula>
    </cfRule>
    <cfRule type="expression" priority="1860" dxfId="2">
      <formula>AND(IF($Q266=2,1,0),IF($X266&lt;30,1,0))</formula>
    </cfRule>
    <cfRule type="expression" priority="1861" dxfId="1">
      <formula>AND(IF($Q266=3,1,0),IF($X266&lt;30,1,0))</formula>
    </cfRule>
    <cfRule type="expression" priority="1862" dxfId="0">
      <formula>AND(IF($Q266=3,1,IF($Q266=4,1,0)),IF($F266&lt;=85,1,0))</formula>
    </cfRule>
  </conditionalFormatting>
  <conditionalFormatting sqref="AI266">
    <cfRule type="expression" priority="1855" dxfId="3">
      <formula>AND(IF(OR($Q266=1,$Q266=2),1,0),IF($X266&lt;=20,1,0))</formula>
    </cfRule>
    <cfRule type="expression" priority="1856" dxfId="2">
      <formula>AND(IF($Q266=2,1,0),IF($X266&lt;30,1,0))</formula>
    </cfRule>
    <cfRule type="expression" priority="1857" dxfId="1">
      <formula>AND(IF($Q266=3,1,0),IF($X266&lt;30,1,0))</formula>
    </cfRule>
    <cfRule type="expression" priority="1858" dxfId="0">
      <formula>AND(IF($Q266=3,1,IF($Q266=4,1,0)),IF($F266&lt;=85,1,0))</formula>
    </cfRule>
  </conditionalFormatting>
  <conditionalFormatting sqref="AV267">
    <cfRule type="expression" priority="1853" dxfId="23">
      <formula>AV267="X"</formula>
    </cfRule>
    <cfRule type="expression" priority="1854" dxfId="22">
      <formula>AV267="후보"</formula>
    </cfRule>
  </conditionalFormatting>
  <conditionalFormatting sqref="AC26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6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67">
    <cfRule type="expression" priority="1845" dxfId="3">
      <formula>AND(IF(OR($Q267=1,$Q267=2),1,0),IF($X267&lt;=20,1,0))</formula>
    </cfRule>
    <cfRule type="expression" priority="1846" dxfId="2">
      <formula>AND(IF($Q267=2,1,0),IF($X267&lt;30,1,0))</formula>
    </cfRule>
    <cfRule type="expression" priority="1847" dxfId="1">
      <formula>AND(IF($Q267=3,1,0),IF($X267&lt;30,1,0))</formula>
    </cfRule>
    <cfRule type="expression" priority="1848" dxfId="0">
      <formula>AND(IF($Q267=3,1,IF($Q267=4,1,0)),IF($F267&lt;=85,1,0))</formula>
    </cfRule>
  </conditionalFormatting>
  <conditionalFormatting sqref="X267">
    <cfRule type="expression" priority="1841" dxfId="3">
      <formula>AND(IF(OR($Q267=1,$Q267=2),1,0),IF($X267&lt;=20,1,0))</formula>
    </cfRule>
    <cfRule type="expression" priority="1842" dxfId="2">
      <formula>AND(IF($Q267=2,1,0),IF($X267&lt;30,1,0))</formula>
    </cfRule>
    <cfRule type="expression" priority="1843" dxfId="1">
      <formula>AND(IF($Q267=3,1,0),IF($X267&lt;30,1,0))</formula>
    </cfRule>
    <cfRule type="expression" priority="1844" dxfId="0">
      <formula>AND(IF($Q267=3,1,IF($Q267=4,1,0)),IF($F267&lt;=85,1,0))</formula>
    </cfRule>
  </conditionalFormatting>
  <conditionalFormatting sqref="AI267">
    <cfRule type="expression" priority="1837" dxfId="3">
      <formula>AND(IF(OR($Q267=1,$Q267=2),1,0),IF($X267&lt;=20,1,0))</formula>
    </cfRule>
    <cfRule type="expression" priority="1838" dxfId="2">
      <formula>AND(IF($Q267=2,1,0),IF($X267&lt;30,1,0))</formula>
    </cfRule>
    <cfRule type="expression" priority="1839" dxfId="1">
      <formula>AND(IF($Q267=3,1,0),IF($X267&lt;30,1,0))</formula>
    </cfRule>
    <cfRule type="expression" priority="1840" dxfId="0">
      <formula>AND(IF($Q267=3,1,IF($Q267=4,1,0)),IF($F267&lt;=85,1,0))</formula>
    </cfRule>
  </conditionalFormatting>
  <conditionalFormatting sqref="AV268">
    <cfRule type="expression" priority="1835" dxfId="23">
      <formula>AV268="X"</formula>
    </cfRule>
    <cfRule type="expression" priority="1836" dxfId="22">
      <formula>AV268="후보"</formula>
    </cfRule>
  </conditionalFormatting>
  <conditionalFormatting sqref="AC26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6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68">
    <cfRule type="expression" priority="1827" dxfId="3">
      <formula>AND(IF(OR($Q268=1,$Q268=2),1,0),IF($X268&lt;=20,1,0))</formula>
    </cfRule>
    <cfRule type="expression" priority="1828" dxfId="2">
      <formula>AND(IF($Q268=2,1,0),IF($X268&lt;30,1,0))</formula>
    </cfRule>
    <cfRule type="expression" priority="1829" dxfId="1">
      <formula>AND(IF($Q268=3,1,0),IF($X268&lt;30,1,0))</formula>
    </cfRule>
    <cfRule type="expression" priority="1830" dxfId="0">
      <formula>AND(IF($Q268=3,1,IF($Q268=4,1,0)),IF($F268&lt;=85,1,0))</formula>
    </cfRule>
  </conditionalFormatting>
  <conditionalFormatting sqref="X268">
    <cfRule type="expression" priority="1823" dxfId="3">
      <formula>AND(IF(OR($Q268=1,$Q268=2),1,0),IF($X268&lt;=20,1,0))</formula>
    </cfRule>
    <cfRule type="expression" priority="1824" dxfId="2">
      <formula>AND(IF($Q268=2,1,0),IF($X268&lt;30,1,0))</formula>
    </cfRule>
    <cfRule type="expression" priority="1825" dxfId="1">
      <formula>AND(IF($Q268=3,1,0),IF($X268&lt;30,1,0))</formula>
    </cfRule>
    <cfRule type="expression" priority="1826" dxfId="0">
      <formula>AND(IF($Q268=3,1,IF($Q268=4,1,0)),IF($F268&lt;=85,1,0))</formula>
    </cfRule>
  </conditionalFormatting>
  <conditionalFormatting sqref="AI268">
    <cfRule type="expression" priority="1819" dxfId="3">
      <formula>AND(IF(OR($Q268=1,$Q268=2),1,0),IF($X268&lt;=20,1,0))</formula>
    </cfRule>
    <cfRule type="expression" priority="1820" dxfId="2">
      <formula>AND(IF($Q268=2,1,0),IF($X268&lt;30,1,0))</formula>
    </cfRule>
    <cfRule type="expression" priority="1821" dxfId="1">
      <formula>AND(IF($Q268=3,1,0),IF($X268&lt;30,1,0))</formula>
    </cfRule>
    <cfRule type="expression" priority="1822" dxfId="0">
      <formula>AND(IF($Q268=3,1,IF($Q268=4,1,0)),IF($F268&lt;=85,1,0))</formula>
    </cfRule>
  </conditionalFormatting>
  <conditionalFormatting sqref="AV269">
    <cfRule type="expression" priority="1817" dxfId="23">
      <formula>AV269="X"</formula>
    </cfRule>
    <cfRule type="expression" priority="1818" dxfId="22">
      <formula>AV269="후보"</formula>
    </cfRule>
  </conditionalFormatting>
  <conditionalFormatting sqref="AC26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6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69">
    <cfRule type="expression" priority="1809" dxfId="3">
      <formula>AND(IF(OR($Q269=1,$Q269=2),1,0),IF($X269&lt;=20,1,0))</formula>
    </cfRule>
    <cfRule type="expression" priority="1810" dxfId="2">
      <formula>AND(IF($Q269=2,1,0),IF($X269&lt;30,1,0))</formula>
    </cfRule>
    <cfRule type="expression" priority="1811" dxfId="1">
      <formula>AND(IF($Q269=3,1,0),IF($X269&lt;30,1,0))</formula>
    </cfRule>
    <cfRule type="expression" priority="1812" dxfId="0">
      <formula>AND(IF($Q269=3,1,IF($Q269=4,1,0)),IF($F269&lt;=85,1,0))</formula>
    </cfRule>
  </conditionalFormatting>
  <conditionalFormatting sqref="X269">
    <cfRule type="expression" priority="1805" dxfId="3">
      <formula>AND(IF(OR($Q269=1,$Q269=2),1,0),IF($X269&lt;=20,1,0))</formula>
    </cfRule>
    <cfRule type="expression" priority="1806" dxfId="2">
      <formula>AND(IF($Q269=2,1,0),IF($X269&lt;30,1,0))</formula>
    </cfRule>
    <cfRule type="expression" priority="1807" dxfId="1">
      <formula>AND(IF($Q269=3,1,0),IF($X269&lt;30,1,0))</formula>
    </cfRule>
    <cfRule type="expression" priority="1808" dxfId="0">
      <formula>AND(IF($Q269=3,1,IF($Q269=4,1,0)),IF($F269&lt;=85,1,0))</formula>
    </cfRule>
  </conditionalFormatting>
  <conditionalFormatting sqref="AI269">
    <cfRule type="expression" priority="1801" dxfId="3">
      <formula>AND(IF(OR($Q269=1,$Q269=2),1,0),IF($X269&lt;=20,1,0))</formula>
    </cfRule>
    <cfRule type="expression" priority="1802" dxfId="2">
      <formula>AND(IF($Q269=2,1,0),IF($X269&lt;30,1,0))</formula>
    </cfRule>
    <cfRule type="expression" priority="1803" dxfId="1">
      <formula>AND(IF($Q269=3,1,0),IF($X269&lt;30,1,0))</formula>
    </cfRule>
    <cfRule type="expression" priority="1804" dxfId="0">
      <formula>AND(IF($Q269=3,1,IF($Q269=4,1,0)),IF($F269&lt;=85,1,0))</formula>
    </cfRule>
  </conditionalFormatting>
  <conditionalFormatting sqref="AV270">
    <cfRule type="expression" priority="1799" dxfId="23">
      <formula>AV270="X"</formula>
    </cfRule>
    <cfRule type="expression" priority="1800" dxfId="22">
      <formula>AV270="후보"</formula>
    </cfRule>
  </conditionalFormatting>
  <conditionalFormatting sqref="AC27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7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70">
    <cfRule type="expression" priority="1791" dxfId="3">
      <formula>AND(IF(OR($Q270=1,$Q270=2),1,0),IF($X270&lt;=20,1,0))</formula>
    </cfRule>
    <cfRule type="expression" priority="1792" dxfId="2">
      <formula>AND(IF($Q270=2,1,0),IF($X270&lt;30,1,0))</formula>
    </cfRule>
    <cfRule type="expression" priority="1793" dxfId="1">
      <formula>AND(IF($Q270=3,1,0),IF($X270&lt;30,1,0))</formula>
    </cfRule>
    <cfRule type="expression" priority="1794" dxfId="0">
      <formula>AND(IF($Q270=3,1,IF($Q270=4,1,0)),IF($F270&lt;=85,1,0))</formula>
    </cfRule>
  </conditionalFormatting>
  <conditionalFormatting sqref="X270">
    <cfRule type="expression" priority="1787" dxfId="3">
      <formula>AND(IF(OR($Q270=1,$Q270=2),1,0),IF($X270&lt;=20,1,0))</formula>
    </cfRule>
    <cfRule type="expression" priority="1788" dxfId="2">
      <formula>AND(IF($Q270=2,1,0),IF($X270&lt;30,1,0))</formula>
    </cfRule>
    <cfRule type="expression" priority="1789" dxfId="1">
      <formula>AND(IF($Q270=3,1,0),IF($X270&lt;30,1,0))</formula>
    </cfRule>
    <cfRule type="expression" priority="1790" dxfId="0">
      <formula>AND(IF($Q270=3,1,IF($Q270=4,1,0)),IF($F270&lt;=85,1,0))</formula>
    </cfRule>
  </conditionalFormatting>
  <conditionalFormatting sqref="AI270">
    <cfRule type="expression" priority="1783" dxfId="3">
      <formula>AND(IF(OR($Q270=1,$Q270=2),1,0),IF($X270&lt;=20,1,0))</formula>
    </cfRule>
    <cfRule type="expression" priority="1784" dxfId="2">
      <formula>AND(IF($Q270=2,1,0),IF($X270&lt;30,1,0))</formula>
    </cfRule>
    <cfRule type="expression" priority="1785" dxfId="1">
      <formula>AND(IF($Q270=3,1,0),IF($X270&lt;30,1,0))</formula>
    </cfRule>
    <cfRule type="expression" priority="1786" dxfId="0">
      <formula>AND(IF($Q270=3,1,IF($Q270=4,1,0)),IF($F270&lt;=85,1,0))</formula>
    </cfRule>
  </conditionalFormatting>
  <conditionalFormatting sqref="AV271">
    <cfRule type="expression" priority="1781" dxfId="23">
      <formula>AV271="X"</formula>
    </cfRule>
    <cfRule type="expression" priority="1782" dxfId="22">
      <formula>AV271="후보"</formula>
    </cfRule>
  </conditionalFormatting>
  <conditionalFormatting sqref="AC27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7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71">
    <cfRule type="expression" priority="1773" dxfId="3">
      <formula>AND(IF(OR($Q271=1,$Q271=2),1,0),IF($X271&lt;=20,1,0))</formula>
    </cfRule>
    <cfRule type="expression" priority="1774" dxfId="2">
      <formula>AND(IF($Q271=2,1,0),IF($X271&lt;30,1,0))</formula>
    </cfRule>
    <cfRule type="expression" priority="1775" dxfId="1">
      <formula>AND(IF($Q271=3,1,0),IF($X271&lt;30,1,0))</formula>
    </cfRule>
    <cfRule type="expression" priority="1776" dxfId="0">
      <formula>AND(IF($Q271=3,1,IF($Q271=4,1,0)),IF($F271&lt;=85,1,0))</formula>
    </cfRule>
  </conditionalFormatting>
  <conditionalFormatting sqref="X271">
    <cfRule type="expression" priority="1769" dxfId="3">
      <formula>AND(IF(OR($Q271=1,$Q271=2),1,0),IF($X271&lt;=20,1,0))</formula>
    </cfRule>
    <cfRule type="expression" priority="1770" dxfId="2">
      <formula>AND(IF($Q271=2,1,0),IF($X271&lt;30,1,0))</formula>
    </cfRule>
    <cfRule type="expression" priority="1771" dxfId="1">
      <formula>AND(IF($Q271=3,1,0),IF($X271&lt;30,1,0))</formula>
    </cfRule>
    <cfRule type="expression" priority="1772" dxfId="0">
      <formula>AND(IF($Q271=3,1,IF($Q271=4,1,0)),IF($F271&lt;=85,1,0))</formula>
    </cfRule>
  </conditionalFormatting>
  <conditionalFormatting sqref="AI271">
    <cfRule type="expression" priority="1765" dxfId="3">
      <formula>AND(IF(OR($Q271=1,$Q271=2),1,0),IF($X271&lt;=20,1,0))</formula>
    </cfRule>
    <cfRule type="expression" priority="1766" dxfId="2">
      <formula>AND(IF($Q271=2,1,0),IF($X271&lt;30,1,0))</formula>
    </cfRule>
    <cfRule type="expression" priority="1767" dxfId="1">
      <formula>AND(IF($Q271=3,1,0),IF($X271&lt;30,1,0))</formula>
    </cfRule>
    <cfRule type="expression" priority="1768" dxfId="0">
      <formula>AND(IF($Q271=3,1,IF($Q271=4,1,0)),IF($F271&lt;=85,1,0))</formula>
    </cfRule>
  </conditionalFormatting>
  <conditionalFormatting sqref="AV272">
    <cfRule type="expression" priority="1763" dxfId="23">
      <formula>AV272="X"</formula>
    </cfRule>
    <cfRule type="expression" priority="1764" dxfId="22">
      <formula>AV272="후보"</formula>
    </cfRule>
  </conditionalFormatting>
  <conditionalFormatting sqref="AC27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7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72">
    <cfRule type="expression" priority="1755" dxfId="3">
      <formula>AND(IF(OR($Q272=1,$Q272=2),1,0),IF($X272&lt;=20,1,0))</formula>
    </cfRule>
    <cfRule type="expression" priority="1756" dxfId="2">
      <formula>AND(IF($Q272=2,1,0),IF($X272&lt;30,1,0))</formula>
    </cfRule>
    <cfRule type="expression" priority="1757" dxfId="1">
      <formula>AND(IF($Q272=3,1,0),IF($X272&lt;30,1,0))</formula>
    </cfRule>
    <cfRule type="expression" priority="1758" dxfId="0">
      <formula>AND(IF($Q272=3,1,IF($Q272=4,1,0)),IF($F272&lt;=85,1,0))</formula>
    </cfRule>
  </conditionalFormatting>
  <conditionalFormatting sqref="X272">
    <cfRule type="expression" priority="1751" dxfId="3">
      <formula>AND(IF(OR($Q272=1,$Q272=2),1,0),IF($X272&lt;=20,1,0))</formula>
    </cfRule>
    <cfRule type="expression" priority="1752" dxfId="2">
      <formula>AND(IF($Q272=2,1,0),IF($X272&lt;30,1,0))</formula>
    </cfRule>
    <cfRule type="expression" priority="1753" dxfId="1">
      <formula>AND(IF($Q272=3,1,0),IF($X272&lt;30,1,0))</formula>
    </cfRule>
    <cfRule type="expression" priority="1754" dxfId="0">
      <formula>AND(IF($Q272=3,1,IF($Q272=4,1,0)),IF($F272&lt;=85,1,0))</formula>
    </cfRule>
  </conditionalFormatting>
  <conditionalFormatting sqref="AI272">
    <cfRule type="expression" priority="1747" dxfId="3">
      <formula>AND(IF(OR($Q272=1,$Q272=2),1,0),IF($X272&lt;=20,1,0))</formula>
    </cfRule>
    <cfRule type="expression" priority="1748" dxfId="2">
      <formula>AND(IF($Q272=2,1,0),IF($X272&lt;30,1,0))</formula>
    </cfRule>
    <cfRule type="expression" priority="1749" dxfId="1">
      <formula>AND(IF($Q272=3,1,0),IF($X272&lt;30,1,0))</formula>
    </cfRule>
    <cfRule type="expression" priority="1750" dxfId="0">
      <formula>AND(IF($Q272=3,1,IF($Q272=4,1,0)),IF($F272&lt;=85,1,0))</formula>
    </cfRule>
  </conditionalFormatting>
  <conditionalFormatting sqref="AV273">
    <cfRule type="expression" priority="1745" dxfId="23">
      <formula>AV273="X"</formula>
    </cfRule>
    <cfRule type="expression" priority="1746" dxfId="22">
      <formula>AV273="후보"</formula>
    </cfRule>
  </conditionalFormatting>
  <conditionalFormatting sqref="AC27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7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73">
    <cfRule type="expression" priority="1737" dxfId="3">
      <formula>AND(IF(OR($Q273=1,$Q273=2),1,0),IF($X273&lt;=20,1,0))</formula>
    </cfRule>
    <cfRule type="expression" priority="1738" dxfId="2">
      <formula>AND(IF($Q273=2,1,0),IF($X273&lt;30,1,0))</formula>
    </cfRule>
    <cfRule type="expression" priority="1739" dxfId="1">
      <formula>AND(IF($Q273=3,1,0),IF($X273&lt;30,1,0))</formula>
    </cfRule>
    <cfRule type="expression" priority="1740" dxfId="0">
      <formula>AND(IF($Q273=3,1,IF($Q273=4,1,0)),IF($F273&lt;=85,1,0))</formula>
    </cfRule>
  </conditionalFormatting>
  <conditionalFormatting sqref="X273">
    <cfRule type="expression" priority="1733" dxfId="3">
      <formula>AND(IF(OR($Q273=1,$Q273=2),1,0),IF($X273&lt;=20,1,0))</formula>
    </cfRule>
    <cfRule type="expression" priority="1734" dxfId="2">
      <formula>AND(IF($Q273=2,1,0),IF($X273&lt;30,1,0))</formula>
    </cfRule>
    <cfRule type="expression" priority="1735" dxfId="1">
      <formula>AND(IF($Q273=3,1,0),IF($X273&lt;30,1,0))</formula>
    </cfRule>
    <cfRule type="expression" priority="1736" dxfId="0">
      <formula>AND(IF($Q273=3,1,IF($Q273=4,1,0)),IF($F273&lt;=85,1,0))</formula>
    </cfRule>
  </conditionalFormatting>
  <conditionalFormatting sqref="AI273">
    <cfRule type="expression" priority="1729" dxfId="3">
      <formula>AND(IF(OR($Q273=1,$Q273=2),1,0),IF($X273&lt;=20,1,0))</formula>
    </cfRule>
    <cfRule type="expression" priority="1730" dxfId="2">
      <formula>AND(IF($Q273=2,1,0),IF($X273&lt;30,1,0))</formula>
    </cfRule>
    <cfRule type="expression" priority="1731" dxfId="1">
      <formula>AND(IF($Q273=3,1,0),IF($X273&lt;30,1,0))</formula>
    </cfRule>
    <cfRule type="expression" priority="1732" dxfId="0">
      <formula>AND(IF($Q273=3,1,IF($Q273=4,1,0)),IF($F273&lt;=85,1,0))</formula>
    </cfRule>
  </conditionalFormatting>
  <conditionalFormatting sqref="AV274">
    <cfRule type="expression" priority="1727" dxfId="23">
      <formula>AV274="X"</formula>
    </cfRule>
    <cfRule type="expression" priority="1728" dxfId="22">
      <formula>AV274="후보"</formula>
    </cfRule>
  </conditionalFormatting>
  <conditionalFormatting sqref="AC27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7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74">
    <cfRule type="expression" priority="1719" dxfId="3">
      <formula>AND(IF(OR($Q274=1,$Q274=2),1,0),IF($X274&lt;=20,1,0))</formula>
    </cfRule>
    <cfRule type="expression" priority="1720" dxfId="2">
      <formula>AND(IF($Q274=2,1,0),IF($X274&lt;30,1,0))</formula>
    </cfRule>
    <cfRule type="expression" priority="1721" dxfId="1">
      <formula>AND(IF($Q274=3,1,0),IF($X274&lt;30,1,0))</formula>
    </cfRule>
    <cfRule type="expression" priority="1722" dxfId="0">
      <formula>AND(IF($Q274=3,1,IF($Q274=4,1,0)),IF($F274&lt;=85,1,0))</formula>
    </cfRule>
  </conditionalFormatting>
  <conditionalFormatting sqref="X274">
    <cfRule type="expression" priority="1715" dxfId="3">
      <formula>AND(IF(OR($Q274=1,$Q274=2),1,0),IF($X274&lt;=20,1,0))</formula>
    </cfRule>
    <cfRule type="expression" priority="1716" dxfId="2">
      <formula>AND(IF($Q274=2,1,0),IF($X274&lt;30,1,0))</formula>
    </cfRule>
    <cfRule type="expression" priority="1717" dxfId="1">
      <formula>AND(IF($Q274=3,1,0),IF($X274&lt;30,1,0))</formula>
    </cfRule>
    <cfRule type="expression" priority="1718" dxfId="0">
      <formula>AND(IF($Q274=3,1,IF($Q274=4,1,0)),IF($F274&lt;=85,1,0))</formula>
    </cfRule>
  </conditionalFormatting>
  <conditionalFormatting sqref="AI274">
    <cfRule type="expression" priority="1711" dxfId="3">
      <formula>AND(IF(OR($Q274=1,$Q274=2),1,0),IF($X274&lt;=20,1,0))</formula>
    </cfRule>
    <cfRule type="expression" priority="1712" dxfId="2">
      <formula>AND(IF($Q274=2,1,0),IF($X274&lt;30,1,0))</formula>
    </cfRule>
    <cfRule type="expression" priority="1713" dxfId="1">
      <formula>AND(IF($Q274=3,1,0),IF($X274&lt;30,1,0))</formula>
    </cfRule>
    <cfRule type="expression" priority="1714" dxfId="0">
      <formula>AND(IF($Q274=3,1,IF($Q274=4,1,0)),IF($F274&lt;=85,1,0))</formula>
    </cfRule>
  </conditionalFormatting>
  <conditionalFormatting sqref="AV275">
    <cfRule type="expression" priority="1709" dxfId="23">
      <formula>AV275="X"</formula>
    </cfRule>
    <cfRule type="expression" priority="1710" dxfId="22">
      <formula>AV275="후보"</formula>
    </cfRule>
  </conditionalFormatting>
  <conditionalFormatting sqref="AC27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7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75">
    <cfRule type="expression" priority="1701" dxfId="3">
      <formula>AND(IF(OR($Q275=1,$Q275=2),1,0),IF($X275&lt;=20,1,0))</formula>
    </cfRule>
    <cfRule type="expression" priority="1702" dxfId="2">
      <formula>AND(IF($Q275=2,1,0),IF($X275&lt;30,1,0))</formula>
    </cfRule>
    <cfRule type="expression" priority="1703" dxfId="1">
      <formula>AND(IF($Q275=3,1,0),IF($X275&lt;30,1,0))</formula>
    </cfRule>
    <cfRule type="expression" priority="1704" dxfId="0">
      <formula>AND(IF($Q275=3,1,IF($Q275=4,1,0)),IF($F275&lt;=85,1,0))</formula>
    </cfRule>
  </conditionalFormatting>
  <conditionalFormatting sqref="X275">
    <cfRule type="expression" priority="1697" dxfId="3">
      <formula>AND(IF(OR($Q275=1,$Q275=2),1,0),IF($X275&lt;=20,1,0))</formula>
    </cfRule>
    <cfRule type="expression" priority="1698" dxfId="2">
      <formula>AND(IF($Q275=2,1,0),IF($X275&lt;30,1,0))</formula>
    </cfRule>
    <cfRule type="expression" priority="1699" dxfId="1">
      <formula>AND(IF($Q275=3,1,0),IF($X275&lt;30,1,0))</formula>
    </cfRule>
    <cfRule type="expression" priority="1700" dxfId="0">
      <formula>AND(IF($Q275=3,1,IF($Q275=4,1,0)),IF($F275&lt;=85,1,0))</formula>
    </cfRule>
  </conditionalFormatting>
  <conditionalFormatting sqref="AI275">
    <cfRule type="expression" priority="1693" dxfId="3">
      <formula>AND(IF(OR($Q275=1,$Q275=2),1,0),IF($X275&lt;=20,1,0))</formula>
    </cfRule>
    <cfRule type="expression" priority="1694" dxfId="2">
      <formula>AND(IF($Q275=2,1,0),IF($X275&lt;30,1,0))</formula>
    </cfRule>
    <cfRule type="expression" priority="1695" dxfId="1">
      <formula>AND(IF($Q275=3,1,0),IF($X275&lt;30,1,0))</formula>
    </cfRule>
    <cfRule type="expression" priority="1696" dxfId="0">
      <formula>AND(IF($Q275=3,1,IF($Q275=4,1,0)),IF($F275&lt;=85,1,0))</formula>
    </cfRule>
  </conditionalFormatting>
  <conditionalFormatting sqref="AV276">
    <cfRule type="expression" priority="1691" dxfId="23">
      <formula>AV276="X"</formula>
    </cfRule>
    <cfRule type="expression" priority="1692" dxfId="22">
      <formula>AV276="후보"</formula>
    </cfRule>
  </conditionalFormatting>
  <conditionalFormatting sqref="AC27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76">
    <cfRule type="expression" priority="1683" dxfId="3">
      <formula>AND(IF(OR($Q276=1,$Q276=2),1,0),IF($X276&lt;=20,1,0))</formula>
    </cfRule>
    <cfRule type="expression" priority="1684" dxfId="2">
      <formula>AND(IF($Q276=2,1,0),IF($X276&lt;30,1,0))</formula>
    </cfRule>
    <cfRule type="expression" priority="1685" dxfId="1">
      <formula>AND(IF($Q276=3,1,0),IF($X276&lt;30,1,0))</formula>
    </cfRule>
    <cfRule type="expression" priority="1686" dxfId="0">
      <formula>AND(IF($Q276=3,1,IF($Q276=4,1,0)),IF($F276&lt;=85,1,0))</formula>
    </cfRule>
  </conditionalFormatting>
  <conditionalFormatting sqref="X276">
    <cfRule type="expression" priority="1679" dxfId="3">
      <formula>AND(IF(OR($Q276=1,$Q276=2),1,0),IF($X276&lt;=20,1,0))</formula>
    </cfRule>
    <cfRule type="expression" priority="1680" dxfId="2">
      <formula>AND(IF($Q276=2,1,0),IF($X276&lt;30,1,0))</formula>
    </cfRule>
    <cfRule type="expression" priority="1681" dxfId="1">
      <formula>AND(IF($Q276=3,1,0),IF($X276&lt;30,1,0))</formula>
    </cfRule>
    <cfRule type="expression" priority="1682" dxfId="0">
      <formula>AND(IF($Q276=3,1,IF($Q276=4,1,0)),IF($F276&lt;=85,1,0))</formula>
    </cfRule>
  </conditionalFormatting>
  <conditionalFormatting sqref="AI276">
    <cfRule type="expression" priority="1675" dxfId="3">
      <formula>AND(IF(OR($Q276=1,$Q276=2),1,0),IF($X276&lt;=20,1,0))</formula>
    </cfRule>
    <cfRule type="expression" priority="1676" dxfId="2">
      <formula>AND(IF($Q276=2,1,0),IF($X276&lt;30,1,0))</formula>
    </cfRule>
    <cfRule type="expression" priority="1677" dxfId="1">
      <formula>AND(IF($Q276=3,1,0),IF($X276&lt;30,1,0))</formula>
    </cfRule>
    <cfRule type="expression" priority="1678" dxfId="0">
      <formula>AND(IF($Q276=3,1,IF($Q276=4,1,0)),IF($F276&lt;=85,1,0))</formula>
    </cfRule>
  </conditionalFormatting>
  <conditionalFormatting sqref="AV277">
    <cfRule type="expression" priority="1673" dxfId="23">
      <formula>AV277="X"</formula>
    </cfRule>
    <cfRule type="expression" priority="1674" dxfId="22">
      <formula>AV277="후보"</formula>
    </cfRule>
  </conditionalFormatting>
  <conditionalFormatting sqref="AC27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77">
    <cfRule type="expression" priority="1665" dxfId="3">
      <formula>AND(IF(OR($Q277=1,$Q277=2),1,0),IF($X277&lt;=20,1,0))</formula>
    </cfRule>
    <cfRule type="expression" priority="1666" dxfId="2">
      <formula>AND(IF($Q277=2,1,0),IF($X277&lt;30,1,0))</formula>
    </cfRule>
    <cfRule type="expression" priority="1667" dxfId="1">
      <formula>AND(IF($Q277=3,1,0),IF($X277&lt;30,1,0))</formula>
    </cfRule>
    <cfRule type="expression" priority="1668" dxfId="0">
      <formula>AND(IF($Q277=3,1,IF($Q277=4,1,0)),IF($F277&lt;=85,1,0))</formula>
    </cfRule>
  </conditionalFormatting>
  <conditionalFormatting sqref="X277">
    <cfRule type="expression" priority="1661" dxfId="3">
      <formula>AND(IF(OR($Q277=1,$Q277=2),1,0),IF($X277&lt;=20,1,0))</formula>
    </cfRule>
    <cfRule type="expression" priority="1662" dxfId="2">
      <formula>AND(IF($Q277=2,1,0),IF($X277&lt;30,1,0))</formula>
    </cfRule>
    <cfRule type="expression" priority="1663" dxfId="1">
      <formula>AND(IF($Q277=3,1,0),IF($X277&lt;30,1,0))</formula>
    </cfRule>
    <cfRule type="expression" priority="1664" dxfId="0">
      <formula>AND(IF($Q277=3,1,IF($Q277=4,1,0)),IF($F277&lt;=85,1,0))</formula>
    </cfRule>
  </conditionalFormatting>
  <conditionalFormatting sqref="AI277">
    <cfRule type="expression" priority="1657" dxfId="3">
      <formula>AND(IF(OR($Q277=1,$Q277=2),1,0),IF($X277&lt;=20,1,0))</formula>
    </cfRule>
    <cfRule type="expression" priority="1658" dxfId="2">
      <formula>AND(IF($Q277=2,1,0),IF($X277&lt;30,1,0))</formula>
    </cfRule>
    <cfRule type="expression" priority="1659" dxfId="1">
      <formula>AND(IF($Q277=3,1,0),IF($X277&lt;30,1,0))</formula>
    </cfRule>
    <cfRule type="expression" priority="1660" dxfId="0">
      <formula>AND(IF($Q277=3,1,IF($Q277=4,1,0)),IF($F277&lt;=85,1,0))</formula>
    </cfRule>
  </conditionalFormatting>
  <conditionalFormatting sqref="AV278">
    <cfRule type="expression" priority="1655" dxfId="23">
      <formula>AV278="X"</formula>
    </cfRule>
    <cfRule type="expression" priority="1656" dxfId="22">
      <formula>AV278="후보"</formula>
    </cfRule>
  </conditionalFormatting>
  <conditionalFormatting sqref="AC27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78">
    <cfRule type="expression" priority="1647" dxfId="3">
      <formula>AND(IF(OR($Q278=1,$Q278=2),1,0),IF($X278&lt;=20,1,0))</formula>
    </cfRule>
    <cfRule type="expression" priority="1648" dxfId="2">
      <formula>AND(IF($Q278=2,1,0),IF($X278&lt;30,1,0))</formula>
    </cfRule>
    <cfRule type="expression" priority="1649" dxfId="1">
      <formula>AND(IF($Q278=3,1,0),IF($X278&lt;30,1,0))</formula>
    </cfRule>
    <cfRule type="expression" priority="1650" dxfId="0">
      <formula>AND(IF($Q278=3,1,IF($Q278=4,1,0)),IF($F278&lt;=85,1,0))</formula>
    </cfRule>
  </conditionalFormatting>
  <conditionalFormatting sqref="X278">
    <cfRule type="expression" priority="1643" dxfId="3">
      <formula>AND(IF(OR($Q278=1,$Q278=2),1,0),IF($X278&lt;=20,1,0))</formula>
    </cfRule>
    <cfRule type="expression" priority="1644" dxfId="2">
      <formula>AND(IF($Q278=2,1,0),IF($X278&lt;30,1,0))</formula>
    </cfRule>
    <cfRule type="expression" priority="1645" dxfId="1">
      <formula>AND(IF($Q278=3,1,0),IF($X278&lt;30,1,0))</formula>
    </cfRule>
    <cfRule type="expression" priority="1646" dxfId="0">
      <formula>AND(IF($Q278=3,1,IF($Q278=4,1,0)),IF($F278&lt;=85,1,0))</formula>
    </cfRule>
  </conditionalFormatting>
  <conditionalFormatting sqref="AI278">
    <cfRule type="expression" priority="1639" dxfId="3">
      <formula>AND(IF(OR($Q278=1,$Q278=2),1,0),IF($X278&lt;=20,1,0))</formula>
    </cfRule>
    <cfRule type="expression" priority="1640" dxfId="2">
      <formula>AND(IF($Q278=2,1,0),IF($X278&lt;30,1,0))</formula>
    </cfRule>
    <cfRule type="expression" priority="1641" dxfId="1">
      <formula>AND(IF($Q278=3,1,0),IF($X278&lt;30,1,0))</formula>
    </cfRule>
    <cfRule type="expression" priority="1642" dxfId="0">
      <formula>AND(IF($Q278=3,1,IF($Q278=4,1,0)),IF($F278&lt;=85,1,0))</formula>
    </cfRule>
  </conditionalFormatting>
  <conditionalFormatting sqref="AV279">
    <cfRule type="expression" priority="1637" dxfId="23">
      <formula>AV279="X"</formula>
    </cfRule>
    <cfRule type="expression" priority="1638" dxfId="22">
      <formula>AV279="후보"</formula>
    </cfRule>
  </conditionalFormatting>
  <conditionalFormatting sqref="AC27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79">
    <cfRule type="expression" priority="1629" dxfId="3">
      <formula>AND(IF(OR($Q279=1,$Q279=2),1,0),IF($X279&lt;=20,1,0))</formula>
    </cfRule>
    <cfRule type="expression" priority="1630" dxfId="2">
      <formula>AND(IF($Q279=2,1,0),IF($X279&lt;30,1,0))</formula>
    </cfRule>
    <cfRule type="expression" priority="1631" dxfId="1">
      <formula>AND(IF($Q279=3,1,0),IF($X279&lt;30,1,0))</formula>
    </cfRule>
    <cfRule type="expression" priority="1632" dxfId="0">
      <formula>AND(IF($Q279=3,1,IF($Q279=4,1,0)),IF($F279&lt;=85,1,0))</formula>
    </cfRule>
  </conditionalFormatting>
  <conditionalFormatting sqref="X279">
    <cfRule type="expression" priority="1625" dxfId="3">
      <formula>AND(IF(OR($Q279=1,$Q279=2),1,0),IF($X279&lt;=20,1,0))</formula>
    </cfRule>
    <cfRule type="expression" priority="1626" dxfId="2">
      <formula>AND(IF($Q279=2,1,0),IF($X279&lt;30,1,0))</formula>
    </cfRule>
    <cfRule type="expression" priority="1627" dxfId="1">
      <formula>AND(IF($Q279=3,1,0),IF($X279&lt;30,1,0))</formula>
    </cfRule>
    <cfRule type="expression" priority="1628" dxfId="0">
      <formula>AND(IF($Q279=3,1,IF($Q279=4,1,0)),IF($F279&lt;=85,1,0))</formula>
    </cfRule>
  </conditionalFormatting>
  <conditionalFormatting sqref="AI279">
    <cfRule type="expression" priority="1621" dxfId="3">
      <formula>AND(IF(OR($Q279=1,$Q279=2),1,0),IF($X279&lt;=20,1,0))</formula>
    </cfRule>
    <cfRule type="expression" priority="1622" dxfId="2">
      <formula>AND(IF($Q279=2,1,0),IF($X279&lt;30,1,0))</formula>
    </cfRule>
    <cfRule type="expression" priority="1623" dxfId="1">
      <formula>AND(IF($Q279=3,1,0),IF($X279&lt;30,1,0))</formula>
    </cfRule>
    <cfRule type="expression" priority="1624" dxfId="0">
      <formula>AND(IF($Q279=3,1,IF($Q279=4,1,0)),IF($F279&lt;=85,1,0))</formula>
    </cfRule>
  </conditionalFormatting>
  <conditionalFormatting sqref="AV280">
    <cfRule type="expression" priority="1619" dxfId="23">
      <formula>AV280="X"</formula>
    </cfRule>
    <cfRule type="expression" priority="1620" dxfId="22">
      <formula>AV280="후보"</formula>
    </cfRule>
  </conditionalFormatting>
  <conditionalFormatting sqref="AC28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0">
    <cfRule type="expression" priority="1611" dxfId="3">
      <formula>AND(IF(OR($Q280=1,$Q280=2),1,0),IF($X280&lt;=20,1,0))</formula>
    </cfRule>
    <cfRule type="expression" priority="1612" dxfId="2">
      <formula>AND(IF($Q280=2,1,0),IF($X280&lt;30,1,0))</formula>
    </cfRule>
    <cfRule type="expression" priority="1613" dxfId="1">
      <formula>AND(IF($Q280=3,1,0),IF($X280&lt;30,1,0))</formula>
    </cfRule>
    <cfRule type="expression" priority="1614" dxfId="0">
      <formula>AND(IF($Q280=3,1,IF($Q280=4,1,0)),IF($F280&lt;=85,1,0))</formula>
    </cfRule>
  </conditionalFormatting>
  <conditionalFormatting sqref="X280">
    <cfRule type="expression" priority="1607" dxfId="3">
      <formula>AND(IF(OR($Q280=1,$Q280=2),1,0),IF($X280&lt;=20,1,0))</formula>
    </cfRule>
    <cfRule type="expression" priority="1608" dxfId="2">
      <formula>AND(IF($Q280=2,1,0),IF($X280&lt;30,1,0))</formula>
    </cfRule>
    <cfRule type="expression" priority="1609" dxfId="1">
      <formula>AND(IF($Q280=3,1,0),IF($X280&lt;30,1,0))</formula>
    </cfRule>
    <cfRule type="expression" priority="1610" dxfId="0">
      <formula>AND(IF($Q280=3,1,IF($Q280=4,1,0)),IF($F280&lt;=85,1,0))</formula>
    </cfRule>
  </conditionalFormatting>
  <conditionalFormatting sqref="AI280">
    <cfRule type="expression" priority="1603" dxfId="3">
      <formula>AND(IF(OR($Q280=1,$Q280=2),1,0),IF($X280&lt;=20,1,0))</formula>
    </cfRule>
    <cfRule type="expression" priority="1604" dxfId="2">
      <formula>AND(IF($Q280=2,1,0),IF($X280&lt;30,1,0))</formula>
    </cfRule>
    <cfRule type="expression" priority="1605" dxfId="1">
      <formula>AND(IF($Q280=3,1,0),IF($X280&lt;30,1,0))</formula>
    </cfRule>
    <cfRule type="expression" priority="1606" dxfId="0">
      <formula>AND(IF($Q280=3,1,IF($Q280=4,1,0)),IF($F280&lt;=85,1,0))</formula>
    </cfRule>
  </conditionalFormatting>
  <conditionalFormatting sqref="AV281">
    <cfRule type="expression" priority="1601" dxfId="23">
      <formula>AV281="X"</formula>
    </cfRule>
    <cfRule type="expression" priority="1602" dxfId="22">
      <formula>AV281="후보"</formula>
    </cfRule>
  </conditionalFormatting>
  <conditionalFormatting sqref="AC28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81">
    <cfRule type="expression" priority="1593" dxfId="3">
      <formula>AND(IF(OR($Q281=1,$Q281=2),1,0),IF($X281&lt;=20,1,0))</formula>
    </cfRule>
    <cfRule type="expression" priority="1594" dxfId="2">
      <formula>AND(IF($Q281=2,1,0),IF($X281&lt;30,1,0))</formula>
    </cfRule>
    <cfRule type="expression" priority="1595" dxfId="1">
      <formula>AND(IF($Q281=3,1,0),IF($X281&lt;30,1,0))</formula>
    </cfRule>
    <cfRule type="expression" priority="1596" dxfId="0">
      <formula>AND(IF($Q281=3,1,IF($Q281=4,1,0)),IF($F281&lt;=85,1,0))</formula>
    </cfRule>
  </conditionalFormatting>
  <conditionalFormatting sqref="X281">
    <cfRule type="expression" priority="1589" dxfId="3">
      <formula>AND(IF(OR($Q281=1,$Q281=2),1,0),IF($X281&lt;=20,1,0))</formula>
    </cfRule>
    <cfRule type="expression" priority="1590" dxfId="2">
      <formula>AND(IF($Q281=2,1,0),IF($X281&lt;30,1,0))</formula>
    </cfRule>
    <cfRule type="expression" priority="1591" dxfId="1">
      <formula>AND(IF($Q281=3,1,0),IF($X281&lt;30,1,0))</formula>
    </cfRule>
    <cfRule type="expression" priority="1592" dxfId="0">
      <formula>AND(IF($Q281=3,1,IF($Q281=4,1,0)),IF($F281&lt;=85,1,0))</formula>
    </cfRule>
  </conditionalFormatting>
  <conditionalFormatting sqref="AI281">
    <cfRule type="expression" priority="1585" dxfId="3">
      <formula>AND(IF(OR($Q281=1,$Q281=2),1,0),IF($X281&lt;=20,1,0))</formula>
    </cfRule>
    <cfRule type="expression" priority="1586" dxfId="2">
      <formula>AND(IF($Q281=2,1,0),IF($X281&lt;30,1,0))</formula>
    </cfRule>
    <cfRule type="expression" priority="1587" dxfId="1">
      <formula>AND(IF($Q281=3,1,0),IF($X281&lt;30,1,0))</formula>
    </cfRule>
    <cfRule type="expression" priority="1588" dxfId="0">
      <formula>AND(IF($Q281=3,1,IF($Q281=4,1,0)),IF($F281&lt;=85,1,0))</formula>
    </cfRule>
  </conditionalFormatting>
  <conditionalFormatting sqref="AV282">
    <cfRule type="expression" priority="1583" dxfId="23">
      <formula>AV282="X"</formula>
    </cfRule>
    <cfRule type="expression" priority="1584" dxfId="22">
      <formula>AV282="후보"</formula>
    </cfRule>
  </conditionalFormatting>
  <conditionalFormatting sqref="AC28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82">
    <cfRule type="expression" priority="1575" dxfId="3">
      <formula>AND(IF(OR($Q282=1,$Q282=2),1,0),IF($X282&lt;=20,1,0))</formula>
    </cfRule>
    <cfRule type="expression" priority="1576" dxfId="2">
      <formula>AND(IF($Q282=2,1,0),IF($X282&lt;30,1,0))</formula>
    </cfRule>
    <cfRule type="expression" priority="1577" dxfId="1">
      <formula>AND(IF($Q282=3,1,0),IF($X282&lt;30,1,0))</formula>
    </cfRule>
    <cfRule type="expression" priority="1578" dxfId="0">
      <formula>AND(IF($Q282=3,1,IF($Q282=4,1,0)),IF($F282&lt;=85,1,0))</formula>
    </cfRule>
  </conditionalFormatting>
  <conditionalFormatting sqref="X282">
    <cfRule type="expression" priority="1571" dxfId="3">
      <formula>AND(IF(OR($Q282=1,$Q282=2),1,0),IF($X282&lt;=20,1,0))</formula>
    </cfRule>
    <cfRule type="expression" priority="1572" dxfId="2">
      <formula>AND(IF($Q282=2,1,0),IF($X282&lt;30,1,0))</formula>
    </cfRule>
    <cfRule type="expression" priority="1573" dxfId="1">
      <formula>AND(IF($Q282=3,1,0),IF($X282&lt;30,1,0))</formula>
    </cfRule>
    <cfRule type="expression" priority="1574" dxfId="0">
      <formula>AND(IF($Q282=3,1,IF($Q282=4,1,0)),IF($F282&lt;=85,1,0))</formula>
    </cfRule>
  </conditionalFormatting>
  <conditionalFormatting sqref="AI282">
    <cfRule type="expression" priority="1567" dxfId="3">
      <formula>AND(IF(OR($Q282=1,$Q282=2),1,0),IF($X282&lt;=20,1,0))</formula>
    </cfRule>
    <cfRule type="expression" priority="1568" dxfId="2">
      <formula>AND(IF($Q282=2,1,0),IF($X282&lt;30,1,0))</formula>
    </cfRule>
    <cfRule type="expression" priority="1569" dxfId="1">
      <formula>AND(IF($Q282=3,1,0),IF($X282&lt;30,1,0))</formula>
    </cfRule>
    <cfRule type="expression" priority="1570" dxfId="0">
      <formula>AND(IF($Q282=3,1,IF($Q282=4,1,0)),IF($F282&lt;=85,1,0))</formula>
    </cfRule>
  </conditionalFormatting>
  <conditionalFormatting sqref="AV283">
    <cfRule type="expression" priority="1565" dxfId="23">
      <formula>AV283="X"</formula>
    </cfRule>
    <cfRule type="expression" priority="1566" dxfId="22">
      <formula>AV283="후보"</formula>
    </cfRule>
  </conditionalFormatting>
  <conditionalFormatting sqref="AC28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83">
    <cfRule type="expression" priority="1557" dxfId="3">
      <formula>AND(IF(OR($Q283=1,$Q283=2),1,0),IF($X283&lt;=20,1,0))</formula>
    </cfRule>
    <cfRule type="expression" priority="1558" dxfId="2">
      <formula>AND(IF($Q283=2,1,0),IF($X283&lt;30,1,0))</formula>
    </cfRule>
    <cfRule type="expression" priority="1559" dxfId="1">
      <formula>AND(IF($Q283=3,1,0),IF($X283&lt;30,1,0))</formula>
    </cfRule>
    <cfRule type="expression" priority="1560" dxfId="0">
      <formula>AND(IF($Q283=3,1,IF($Q283=4,1,0)),IF($F283&lt;=85,1,0))</formula>
    </cfRule>
  </conditionalFormatting>
  <conditionalFormatting sqref="X283">
    <cfRule type="expression" priority="1553" dxfId="3">
      <formula>AND(IF(OR($Q283=1,$Q283=2),1,0),IF($X283&lt;=20,1,0))</formula>
    </cfRule>
    <cfRule type="expression" priority="1554" dxfId="2">
      <formula>AND(IF($Q283=2,1,0),IF($X283&lt;30,1,0))</formula>
    </cfRule>
    <cfRule type="expression" priority="1555" dxfId="1">
      <formula>AND(IF($Q283=3,1,0),IF($X283&lt;30,1,0))</formula>
    </cfRule>
    <cfRule type="expression" priority="1556" dxfId="0">
      <formula>AND(IF($Q283=3,1,IF($Q283=4,1,0)),IF($F283&lt;=85,1,0))</formula>
    </cfRule>
  </conditionalFormatting>
  <conditionalFormatting sqref="AI283">
    <cfRule type="expression" priority="1549" dxfId="3">
      <formula>AND(IF(OR($Q283=1,$Q283=2),1,0),IF($X283&lt;=20,1,0))</formula>
    </cfRule>
    <cfRule type="expression" priority="1550" dxfId="2">
      <formula>AND(IF($Q283=2,1,0),IF($X283&lt;30,1,0))</formula>
    </cfRule>
    <cfRule type="expression" priority="1551" dxfId="1">
      <formula>AND(IF($Q283=3,1,0),IF($X283&lt;30,1,0))</formula>
    </cfRule>
    <cfRule type="expression" priority="1552" dxfId="0">
      <formula>AND(IF($Q283=3,1,IF($Q283=4,1,0)),IF($F283&lt;=85,1,0))</formula>
    </cfRule>
  </conditionalFormatting>
  <conditionalFormatting sqref="AV284">
    <cfRule type="expression" priority="1547" dxfId="23">
      <formula>AV284="X"</formula>
    </cfRule>
    <cfRule type="expression" priority="1548" dxfId="22">
      <formula>AV284="후보"</formula>
    </cfRule>
  </conditionalFormatting>
  <conditionalFormatting sqref="AC28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84">
    <cfRule type="expression" priority="1539" dxfId="3">
      <formula>AND(IF(OR($Q284=1,$Q284=2),1,0),IF($X284&lt;=20,1,0))</formula>
    </cfRule>
    <cfRule type="expression" priority="1540" dxfId="2">
      <formula>AND(IF($Q284=2,1,0),IF($X284&lt;30,1,0))</formula>
    </cfRule>
    <cfRule type="expression" priority="1541" dxfId="1">
      <formula>AND(IF($Q284=3,1,0),IF($X284&lt;30,1,0))</formula>
    </cfRule>
    <cfRule type="expression" priority="1542" dxfId="0">
      <formula>AND(IF($Q284=3,1,IF($Q284=4,1,0)),IF($F284&lt;=85,1,0))</formula>
    </cfRule>
  </conditionalFormatting>
  <conditionalFormatting sqref="X284">
    <cfRule type="expression" priority="1535" dxfId="3">
      <formula>AND(IF(OR($Q284=1,$Q284=2),1,0),IF($X284&lt;=20,1,0))</formula>
    </cfRule>
    <cfRule type="expression" priority="1536" dxfId="2">
      <formula>AND(IF($Q284=2,1,0),IF($X284&lt;30,1,0))</formula>
    </cfRule>
    <cfRule type="expression" priority="1537" dxfId="1">
      <formula>AND(IF($Q284=3,1,0),IF($X284&lt;30,1,0))</formula>
    </cfRule>
    <cfRule type="expression" priority="1538" dxfId="0">
      <formula>AND(IF($Q284=3,1,IF($Q284=4,1,0)),IF($F284&lt;=85,1,0))</formula>
    </cfRule>
  </conditionalFormatting>
  <conditionalFormatting sqref="AI284">
    <cfRule type="expression" priority="1531" dxfId="3">
      <formula>AND(IF(OR($Q284=1,$Q284=2),1,0),IF($X284&lt;=20,1,0))</formula>
    </cfRule>
    <cfRule type="expression" priority="1532" dxfId="2">
      <formula>AND(IF($Q284=2,1,0),IF($X284&lt;30,1,0))</formula>
    </cfRule>
    <cfRule type="expression" priority="1533" dxfId="1">
      <formula>AND(IF($Q284=3,1,0),IF($X284&lt;30,1,0))</formula>
    </cfRule>
    <cfRule type="expression" priority="1534" dxfId="0">
      <formula>AND(IF($Q284=3,1,IF($Q284=4,1,0)),IF($F284&lt;=85,1,0))</formula>
    </cfRule>
  </conditionalFormatting>
  <conditionalFormatting sqref="AV285">
    <cfRule type="expression" priority="1529" dxfId="23">
      <formula>AV285="X"</formula>
    </cfRule>
    <cfRule type="expression" priority="1530" dxfId="22">
      <formula>AV285="후보"</formula>
    </cfRule>
  </conditionalFormatting>
  <conditionalFormatting sqref="AC28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85">
    <cfRule type="expression" priority="1521" dxfId="3">
      <formula>AND(IF(OR($Q285=1,$Q285=2),1,0),IF($X285&lt;=20,1,0))</formula>
    </cfRule>
    <cfRule type="expression" priority="1522" dxfId="2">
      <formula>AND(IF($Q285=2,1,0),IF($X285&lt;30,1,0))</formula>
    </cfRule>
    <cfRule type="expression" priority="1523" dxfId="1">
      <formula>AND(IF($Q285=3,1,0),IF($X285&lt;30,1,0))</formula>
    </cfRule>
    <cfRule type="expression" priority="1524" dxfId="0">
      <formula>AND(IF($Q285=3,1,IF($Q285=4,1,0)),IF($F285&lt;=85,1,0))</formula>
    </cfRule>
  </conditionalFormatting>
  <conditionalFormatting sqref="X285">
    <cfRule type="expression" priority="1517" dxfId="3">
      <formula>AND(IF(OR($Q285=1,$Q285=2),1,0),IF($X285&lt;=20,1,0))</formula>
    </cfRule>
    <cfRule type="expression" priority="1518" dxfId="2">
      <formula>AND(IF($Q285=2,1,0),IF($X285&lt;30,1,0))</formula>
    </cfRule>
    <cfRule type="expression" priority="1519" dxfId="1">
      <formula>AND(IF($Q285=3,1,0),IF($X285&lt;30,1,0))</formula>
    </cfRule>
    <cfRule type="expression" priority="1520" dxfId="0">
      <formula>AND(IF($Q285=3,1,IF($Q285=4,1,0)),IF($F285&lt;=85,1,0))</formula>
    </cfRule>
  </conditionalFormatting>
  <conditionalFormatting sqref="AI285">
    <cfRule type="expression" priority="1513" dxfId="3">
      <formula>AND(IF(OR($Q285=1,$Q285=2),1,0),IF($X285&lt;=20,1,0))</formula>
    </cfRule>
    <cfRule type="expression" priority="1514" dxfId="2">
      <formula>AND(IF($Q285=2,1,0),IF($X285&lt;30,1,0))</formula>
    </cfRule>
    <cfRule type="expression" priority="1515" dxfId="1">
      <formula>AND(IF($Q285=3,1,0),IF($X285&lt;30,1,0))</formula>
    </cfRule>
    <cfRule type="expression" priority="1516" dxfId="0">
      <formula>AND(IF($Q285=3,1,IF($Q285=4,1,0)),IF($F285&lt;=85,1,0))</formula>
    </cfRule>
  </conditionalFormatting>
  <conditionalFormatting sqref="AV286">
    <cfRule type="expression" priority="1511" dxfId="23">
      <formula>AV286="X"</formula>
    </cfRule>
    <cfRule type="expression" priority="1512" dxfId="22">
      <formula>AV286="후보"</formula>
    </cfRule>
  </conditionalFormatting>
  <conditionalFormatting sqref="AC28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86">
    <cfRule type="expression" priority="1503" dxfId="3">
      <formula>AND(IF(OR($Q286=1,$Q286=2),1,0),IF($X286&lt;=20,1,0))</formula>
    </cfRule>
    <cfRule type="expression" priority="1504" dxfId="2">
      <formula>AND(IF($Q286=2,1,0),IF($X286&lt;30,1,0))</formula>
    </cfRule>
    <cfRule type="expression" priority="1505" dxfId="1">
      <formula>AND(IF($Q286=3,1,0),IF($X286&lt;30,1,0))</formula>
    </cfRule>
    <cfRule type="expression" priority="1506" dxfId="0">
      <formula>AND(IF($Q286=3,1,IF($Q286=4,1,0)),IF($F286&lt;=85,1,0))</formula>
    </cfRule>
  </conditionalFormatting>
  <conditionalFormatting sqref="X286">
    <cfRule type="expression" priority="1499" dxfId="3">
      <formula>AND(IF(OR($Q286=1,$Q286=2),1,0),IF($X286&lt;=20,1,0))</formula>
    </cfRule>
    <cfRule type="expression" priority="1500" dxfId="2">
      <formula>AND(IF($Q286=2,1,0),IF($X286&lt;30,1,0))</formula>
    </cfRule>
    <cfRule type="expression" priority="1501" dxfId="1">
      <formula>AND(IF($Q286=3,1,0),IF($X286&lt;30,1,0))</formula>
    </cfRule>
    <cfRule type="expression" priority="1502" dxfId="0">
      <formula>AND(IF($Q286=3,1,IF($Q286=4,1,0)),IF($F286&lt;=85,1,0))</formula>
    </cfRule>
  </conditionalFormatting>
  <conditionalFormatting sqref="AI286">
    <cfRule type="expression" priority="1495" dxfId="3">
      <formula>AND(IF(OR($Q286=1,$Q286=2),1,0),IF($X286&lt;=20,1,0))</formula>
    </cfRule>
    <cfRule type="expression" priority="1496" dxfId="2">
      <formula>AND(IF($Q286=2,1,0),IF($X286&lt;30,1,0))</formula>
    </cfRule>
    <cfRule type="expression" priority="1497" dxfId="1">
      <formula>AND(IF($Q286=3,1,0),IF($X286&lt;30,1,0))</formula>
    </cfRule>
    <cfRule type="expression" priority="1498" dxfId="0">
      <formula>AND(IF($Q286=3,1,IF($Q286=4,1,0)),IF($F286&lt;=85,1,0))</formula>
    </cfRule>
  </conditionalFormatting>
  <conditionalFormatting sqref="AV287">
    <cfRule type="expression" priority="1493" dxfId="23">
      <formula>AV287="X"</formula>
    </cfRule>
    <cfRule type="expression" priority="1494" dxfId="22">
      <formula>AV287="후보"</formula>
    </cfRule>
  </conditionalFormatting>
  <conditionalFormatting sqref="AC28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87">
    <cfRule type="expression" priority="1485" dxfId="3">
      <formula>AND(IF(OR($Q287=1,$Q287=2),1,0),IF($X287&lt;=20,1,0))</formula>
    </cfRule>
    <cfRule type="expression" priority="1486" dxfId="2">
      <formula>AND(IF($Q287=2,1,0),IF($X287&lt;30,1,0))</formula>
    </cfRule>
    <cfRule type="expression" priority="1487" dxfId="1">
      <formula>AND(IF($Q287=3,1,0),IF($X287&lt;30,1,0))</formula>
    </cfRule>
    <cfRule type="expression" priority="1488" dxfId="0">
      <formula>AND(IF($Q287=3,1,IF($Q287=4,1,0)),IF($F287&lt;=85,1,0))</formula>
    </cfRule>
  </conditionalFormatting>
  <conditionalFormatting sqref="X287">
    <cfRule type="expression" priority="1481" dxfId="3">
      <formula>AND(IF(OR($Q287=1,$Q287=2),1,0),IF($X287&lt;=20,1,0))</formula>
    </cfRule>
    <cfRule type="expression" priority="1482" dxfId="2">
      <formula>AND(IF($Q287=2,1,0),IF($X287&lt;30,1,0))</formula>
    </cfRule>
    <cfRule type="expression" priority="1483" dxfId="1">
      <formula>AND(IF($Q287=3,1,0),IF($X287&lt;30,1,0))</formula>
    </cfRule>
    <cfRule type="expression" priority="1484" dxfId="0">
      <formula>AND(IF($Q287=3,1,IF($Q287=4,1,0)),IF($F287&lt;=85,1,0))</formula>
    </cfRule>
  </conditionalFormatting>
  <conditionalFormatting sqref="AI287">
    <cfRule type="expression" priority="1477" dxfId="3">
      <formula>AND(IF(OR($Q287=1,$Q287=2),1,0),IF($X287&lt;=20,1,0))</formula>
    </cfRule>
    <cfRule type="expression" priority="1478" dxfId="2">
      <formula>AND(IF($Q287=2,1,0),IF($X287&lt;30,1,0))</formula>
    </cfRule>
    <cfRule type="expression" priority="1479" dxfId="1">
      <formula>AND(IF($Q287=3,1,0),IF($X287&lt;30,1,0))</formula>
    </cfRule>
    <cfRule type="expression" priority="1480" dxfId="0">
      <formula>AND(IF($Q287=3,1,IF($Q287=4,1,0)),IF($F287&lt;=85,1,0))</formula>
    </cfRule>
  </conditionalFormatting>
  <conditionalFormatting sqref="AV288">
    <cfRule type="expression" priority="1475" dxfId="23">
      <formula>AV288="X"</formula>
    </cfRule>
    <cfRule type="expression" priority="1476" dxfId="22">
      <formula>AV288="후보"</formula>
    </cfRule>
  </conditionalFormatting>
  <conditionalFormatting sqref="AC28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8">
    <cfRule type="expression" priority="1467" dxfId="3">
      <formula>AND(IF(OR($Q288=1,$Q288=2),1,0),IF($X288&lt;=20,1,0))</formula>
    </cfRule>
    <cfRule type="expression" priority="1468" dxfId="2">
      <formula>AND(IF($Q288=2,1,0),IF($X288&lt;30,1,0))</formula>
    </cfRule>
    <cfRule type="expression" priority="1469" dxfId="1">
      <formula>AND(IF($Q288=3,1,0),IF($X288&lt;30,1,0))</formula>
    </cfRule>
    <cfRule type="expression" priority="1470" dxfId="0">
      <formula>AND(IF($Q288=3,1,IF($Q288=4,1,0)),IF($F288&lt;=85,1,0))</formula>
    </cfRule>
  </conditionalFormatting>
  <conditionalFormatting sqref="X288">
    <cfRule type="expression" priority="1463" dxfId="3">
      <formula>AND(IF(OR($Q288=1,$Q288=2),1,0),IF($X288&lt;=20,1,0))</formula>
    </cfRule>
    <cfRule type="expression" priority="1464" dxfId="2">
      <formula>AND(IF($Q288=2,1,0),IF($X288&lt;30,1,0))</formula>
    </cfRule>
    <cfRule type="expression" priority="1465" dxfId="1">
      <formula>AND(IF($Q288=3,1,0),IF($X288&lt;30,1,0))</formula>
    </cfRule>
    <cfRule type="expression" priority="1466" dxfId="0">
      <formula>AND(IF($Q288=3,1,IF($Q288=4,1,0)),IF($F288&lt;=85,1,0))</formula>
    </cfRule>
  </conditionalFormatting>
  <conditionalFormatting sqref="AI288">
    <cfRule type="expression" priority="1459" dxfId="3">
      <formula>AND(IF(OR($Q288=1,$Q288=2),1,0),IF($X288&lt;=20,1,0))</formula>
    </cfRule>
    <cfRule type="expression" priority="1460" dxfId="2">
      <formula>AND(IF($Q288=2,1,0),IF($X288&lt;30,1,0))</formula>
    </cfRule>
    <cfRule type="expression" priority="1461" dxfId="1">
      <formula>AND(IF($Q288=3,1,0),IF($X288&lt;30,1,0))</formula>
    </cfRule>
    <cfRule type="expression" priority="1462" dxfId="0">
      <formula>AND(IF($Q288=3,1,IF($Q288=4,1,0)),IF($F288&lt;=85,1,0))</formula>
    </cfRule>
  </conditionalFormatting>
  <conditionalFormatting sqref="AV289">
    <cfRule type="expression" priority="1457" dxfId="23">
      <formula>AV289="X"</formula>
    </cfRule>
    <cfRule type="expression" priority="1458" dxfId="22">
      <formula>AV289="후보"</formula>
    </cfRule>
  </conditionalFormatting>
  <conditionalFormatting sqref="AC28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89">
    <cfRule type="expression" priority="1449" dxfId="3">
      <formula>AND(IF(OR($Q289=1,$Q289=2),1,0),IF($X289&lt;=20,1,0))</formula>
    </cfRule>
    <cfRule type="expression" priority="1450" dxfId="2">
      <formula>AND(IF($Q289=2,1,0),IF($X289&lt;30,1,0))</formula>
    </cfRule>
    <cfRule type="expression" priority="1451" dxfId="1">
      <formula>AND(IF($Q289=3,1,0),IF($X289&lt;30,1,0))</formula>
    </cfRule>
    <cfRule type="expression" priority="1452" dxfId="0">
      <formula>AND(IF($Q289=3,1,IF($Q289=4,1,0)),IF($F289&lt;=85,1,0))</formula>
    </cfRule>
  </conditionalFormatting>
  <conditionalFormatting sqref="X289">
    <cfRule type="expression" priority="1445" dxfId="3">
      <formula>AND(IF(OR($Q289=1,$Q289=2),1,0),IF($X289&lt;=20,1,0))</formula>
    </cfRule>
    <cfRule type="expression" priority="1446" dxfId="2">
      <formula>AND(IF($Q289=2,1,0),IF($X289&lt;30,1,0))</formula>
    </cfRule>
    <cfRule type="expression" priority="1447" dxfId="1">
      <formula>AND(IF($Q289=3,1,0),IF($X289&lt;30,1,0))</formula>
    </cfRule>
    <cfRule type="expression" priority="1448" dxfId="0">
      <formula>AND(IF($Q289=3,1,IF($Q289=4,1,0)),IF($F289&lt;=85,1,0))</formula>
    </cfRule>
  </conditionalFormatting>
  <conditionalFormatting sqref="AI289">
    <cfRule type="expression" priority="1441" dxfId="3">
      <formula>AND(IF(OR($Q289=1,$Q289=2),1,0),IF($X289&lt;=20,1,0))</formula>
    </cfRule>
    <cfRule type="expression" priority="1442" dxfId="2">
      <formula>AND(IF($Q289=2,1,0),IF($X289&lt;30,1,0))</formula>
    </cfRule>
    <cfRule type="expression" priority="1443" dxfId="1">
      <formula>AND(IF($Q289=3,1,0),IF($X289&lt;30,1,0))</formula>
    </cfRule>
    <cfRule type="expression" priority="1444" dxfId="0">
      <formula>AND(IF($Q289=3,1,IF($Q289=4,1,0)),IF($F289&lt;=85,1,0))</formula>
    </cfRule>
  </conditionalFormatting>
  <conditionalFormatting sqref="AV290">
    <cfRule type="expression" priority="1439" dxfId="23">
      <formula>AV290="X"</formula>
    </cfRule>
    <cfRule type="expression" priority="1440" dxfId="22">
      <formula>AV290="후보"</formula>
    </cfRule>
  </conditionalFormatting>
  <conditionalFormatting sqref="AC29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90">
    <cfRule type="expression" priority="1431" dxfId="3">
      <formula>AND(IF(OR($Q290=1,$Q290=2),1,0),IF($X290&lt;=20,1,0))</formula>
    </cfRule>
    <cfRule type="expression" priority="1432" dxfId="2">
      <formula>AND(IF($Q290=2,1,0),IF($X290&lt;30,1,0))</formula>
    </cfRule>
    <cfRule type="expression" priority="1433" dxfId="1">
      <formula>AND(IF($Q290=3,1,0),IF($X290&lt;30,1,0))</formula>
    </cfRule>
    <cfRule type="expression" priority="1434" dxfId="0">
      <formula>AND(IF($Q290=3,1,IF($Q290=4,1,0)),IF($F290&lt;=85,1,0))</formula>
    </cfRule>
  </conditionalFormatting>
  <conditionalFormatting sqref="X290">
    <cfRule type="expression" priority="1427" dxfId="3">
      <formula>AND(IF(OR($Q290=1,$Q290=2),1,0),IF($X290&lt;=20,1,0))</formula>
    </cfRule>
    <cfRule type="expression" priority="1428" dxfId="2">
      <formula>AND(IF($Q290=2,1,0),IF($X290&lt;30,1,0))</formula>
    </cfRule>
    <cfRule type="expression" priority="1429" dxfId="1">
      <formula>AND(IF($Q290=3,1,0),IF($X290&lt;30,1,0))</formula>
    </cfRule>
    <cfRule type="expression" priority="1430" dxfId="0">
      <formula>AND(IF($Q290=3,1,IF($Q290=4,1,0)),IF($F290&lt;=85,1,0))</formula>
    </cfRule>
  </conditionalFormatting>
  <conditionalFormatting sqref="AI290">
    <cfRule type="expression" priority="1423" dxfId="3">
      <formula>AND(IF(OR($Q290=1,$Q290=2),1,0),IF($X290&lt;=20,1,0))</formula>
    </cfRule>
    <cfRule type="expression" priority="1424" dxfId="2">
      <formula>AND(IF($Q290=2,1,0),IF($X290&lt;30,1,0))</formula>
    </cfRule>
    <cfRule type="expression" priority="1425" dxfId="1">
      <formula>AND(IF($Q290=3,1,0),IF($X290&lt;30,1,0))</formula>
    </cfRule>
    <cfRule type="expression" priority="1426" dxfId="0">
      <formula>AND(IF($Q290=3,1,IF($Q290=4,1,0)),IF($F290&lt;=85,1,0))</formula>
    </cfRule>
  </conditionalFormatting>
  <conditionalFormatting sqref="AV291">
    <cfRule type="expression" priority="1421" dxfId="23">
      <formula>AV291="X"</formula>
    </cfRule>
    <cfRule type="expression" priority="1422" dxfId="22">
      <formula>AV291="후보"</formula>
    </cfRule>
  </conditionalFormatting>
  <conditionalFormatting sqref="AC29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91">
    <cfRule type="expression" priority="1413" dxfId="3">
      <formula>AND(IF(OR($Q291=1,$Q291=2),1,0),IF($X291&lt;=20,1,0))</formula>
    </cfRule>
    <cfRule type="expression" priority="1414" dxfId="2">
      <formula>AND(IF($Q291=2,1,0),IF($X291&lt;30,1,0))</formula>
    </cfRule>
    <cfRule type="expression" priority="1415" dxfId="1">
      <formula>AND(IF($Q291=3,1,0),IF($X291&lt;30,1,0))</formula>
    </cfRule>
    <cfRule type="expression" priority="1416" dxfId="0">
      <formula>AND(IF($Q291=3,1,IF($Q291=4,1,0)),IF($F291&lt;=85,1,0))</formula>
    </cfRule>
  </conditionalFormatting>
  <conditionalFormatting sqref="X291">
    <cfRule type="expression" priority="1409" dxfId="3">
      <formula>AND(IF(OR($Q291=1,$Q291=2),1,0),IF($X291&lt;=20,1,0))</formula>
    </cfRule>
    <cfRule type="expression" priority="1410" dxfId="2">
      <formula>AND(IF($Q291=2,1,0),IF($X291&lt;30,1,0))</formula>
    </cfRule>
    <cfRule type="expression" priority="1411" dxfId="1">
      <formula>AND(IF($Q291=3,1,0),IF($X291&lt;30,1,0))</formula>
    </cfRule>
    <cfRule type="expression" priority="1412" dxfId="0">
      <formula>AND(IF($Q291=3,1,IF($Q291=4,1,0)),IF($F291&lt;=85,1,0))</formula>
    </cfRule>
  </conditionalFormatting>
  <conditionalFormatting sqref="AI291">
    <cfRule type="expression" priority="1405" dxfId="3">
      <formula>AND(IF(OR($Q291=1,$Q291=2),1,0),IF($X291&lt;=20,1,0))</formula>
    </cfRule>
    <cfRule type="expression" priority="1406" dxfId="2">
      <formula>AND(IF($Q291=2,1,0),IF($X291&lt;30,1,0))</formula>
    </cfRule>
    <cfRule type="expression" priority="1407" dxfId="1">
      <formula>AND(IF($Q291=3,1,0),IF($X291&lt;30,1,0))</formula>
    </cfRule>
    <cfRule type="expression" priority="1408" dxfId="0">
      <formula>AND(IF($Q291=3,1,IF($Q291=4,1,0)),IF($F291&lt;=85,1,0))</formula>
    </cfRule>
  </conditionalFormatting>
  <conditionalFormatting sqref="AV292">
    <cfRule type="expression" priority="1403" dxfId="23">
      <formula>AV292="X"</formula>
    </cfRule>
    <cfRule type="expression" priority="1404" dxfId="22">
      <formula>AV292="후보"</formula>
    </cfRule>
  </conditionalFormatting>
  <conditionalFormatting sqref="AC29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92">
    <cfRule type="expression" priority="1395" dxfId="3">
      <formula>AND(IF(OR($Q292=1,$Q292=2),1,0),IF($X292&lt;=20,1,0))</formula>
    </cfRule>
    <cfRule type="expression" priority="1396" dxfId="2">
      <formula>AND(IF($Q292=2,1,0),IF($X292&lt;30,1,0))</formula>
    </cfRule>
    <cfRule type="expression" priority="1397" dxfId="1">
      <formula>AND(IF($Q292=3,1,0),IF($X292&lt;30,1,0))</formula>
    </cfRule>
    <cfRule type="expression" priority="1398" dxfId="0">
      <formula>AND(IF($Q292=3,1,IF($Q292=4,1,0)),IF($F292&lt;=85,1,0))</formula>
    </cfRule>
  </conditionalFormatting>
  <conditionalFormatting sqref="X292">
    <cfRule type="expression" priority="1391" dxfId="3">
      <formula>AND(IF(OR($Q292=1,$Q292=2),1,0),IF($X292&lt;=20,1,0))</formula>
    </cfRule>
    <cfRule type="expression" priority="1392" dxfId="2">
      <formula>AND(IF($Q292=2,1,0),IF($X292&lt;30,1,0))</formula>
    </cfRule>
    <cfRule type="expression" priority="1393" dxfId="1">
      <formula>AND(IF($Q292=3,1,0),IF($X292&lt;30,1,0))</formula>
    </cfRule>
    <cfRule type="expression" priority="1394" dxfId="0">
      <formula>AND(IF($Q292=3,1,IF($Q292=4,1,0)),IF($F292&lt;=85,1,0))</formula>
    </cfRule>
  </conditionalFormatting>
  <conditionalFormatting sqref="AI292">
    <cfRule type="expression" priority="1387" dxfId="3">
      <formula>AND(IF(OR($Q292=1,$Q292=2),1,0),IF($X292&lt;=20,1,0))</formula>
    </cfRule>
    <cfRule type="expression" priority="1388" dxfId="2">
      <formula>AND(IF($Q292=2,1,0),IF($X292&lt;30,1,0))</formula>
    </cfRule>
    <cfRule type="expression" priority="1389" dxfId="1">
      <formula>AND(IF($Q292=3,1,0),IF($X292&lt;30,1,0))</formula>
    </cfRule>
    <cfRule type="expression" priority="1390" dxfId="0">
      <formula>AND(IF($Q292=3,1,IF($Q292=4,1,0)),IF($F292&lt;=85,1,0))</formula>
    </cfRule>
  </conditionalFormatting>
  <conditionalFormatting sqref="AV293">
    <cfRule type="expression" priority="1385" dxfId="23">
      <formula>AV293="X"</formula>
    </cfRule>
    <cfRule type="expression" priority="1386" dxfId="22">
      <formula>AV293="후보"</formula>
    </cfRule>
  </conditionalFormatting>
  <conditionalFormatting sqref="AC29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93">
    <cfRule type="expression" priority="1377" dxfId="3">
      <formula>AND(IF(OR($Q293=1,$Q293=2),1,0),IF($X293&lt;=20,1,0))</formula>
    </cfRule>
    <cfRule type="expression" priority="1378" dxfId="2">
      <formula>AND(IF($Q293=2,1,0),IF($X293&lt;30,1,0))</formula>
    </cfRule>
    <cfRule type="expression" priority="1379" dxfId="1">
      <formula>AND(IF($Q293=3,1,0),IF($X293&lt;30,1,0))</formula>
    </cfRule>
    <cfRule type="expression" priority="1380" dxfId="0">
      <formula>AND(IF($Q293=3,1,IF($Q293=4,1,0)),IF($F293&lt;=85,1,0))</formula>
    </cfRule>
  </conditionalFormatting>
  <conditionalFormatting sqref="X293">
    <cfRule type="expression" priority="1373" dxfId="3">
      <formula>AND(IF(OR($Q293=1,$Q293=2),1,0),IF($X293&lt;=20,1,0))</formula>
    </cfRule>
    <cfRule type="expression" priority="1374" dxfId="2">
      <formula>AND(IF($Q293=2,1,0),IF($X293&lt;30,1,0))</formula>
    </cfRule>
    <cfRule type="expression" priority="1375" dxfId="1">
      <formula>AND(IF($Q293=3,1,0),IF($X293&lt;30,1,0))</formula>
    </cfRule>
    <cfRule type="expression" priority="1376" dxfId="0">
      <formula>AND(IF($Q293=3,1,IF($Q293=4,1,0)),IF($F293&lt;=85,1,0))</formula>
    </cfRule>
  </conditionalFormatting>
  <conditionalFormatting sqref="AI293">
    <cfRule type="expression" priority="1369" dxfId="3">
      <formula>AND(IF(OR($Q293=1,$Q293=2),1,0),IF($X293&lt;=20,1,0))</formula>
    </cfRule>
    <cfRule type="expression" priority="1370" dxfId="2">
      <formula>AND(IF($Q293=2,1,0),IF($X293&lt;30,1,0))</formula>
    </cfRule>
    <cfRule type="expression" priority="1371" dxfId="1">
      <formula>AND(IF($Q293=3,1,0),IF($X293&lt;30,1,0))</formula>
    </cfRule>
    <cfRule type="expression" priority="1372" dxfId="0">
      <formula>AND(IF($Q293=3,1,IF($Q293=4,1,0)),IF($F293&lt;=85,1,0))</formula>
    </cfRule>
  </conditionalFormatting>
  <conditionalFormatting sqref="AV294">
    <cfRule type="expression" priority="1367" dxfId="23">
      <formula>AV294="X"</formula>
    </cfRule>
    <cfRule type="expression" priority="1368" dxfId="22">
      <formula>AV294="후보"</formula>
    </cfRule>
  </conditionalFormatting>
  <conditionalFormatting sqref="AC29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94">
    <cfRule type="expression" priority="1359" dxfId="3">
      <formula>AND(IF(OR($Q294=1,$Q294=2),1,0),IF($X294&lt;=20,1,0))</formula>
    </cfRule>
    <cfRule type="expression" priority="1360" dxfId="2">
      <formula>AND(IF($Q294=2,1,0),IF($X294&lt;30,1,0))</formula>
    </cfRule>
    <cfRule type="expression" priority="1361" dxfId="1">
      <formula>AND(IF($Q294=3,1,0),IF($X294&lt;30,1,0))</formula>
    </cfRule>
    <cfRule type="expression" priority="1362" dxfId="0">
      <formula>AND(IF($Q294=3,1,IF($Q294=4,1,0)),IF($F294&lt;=85,1,0))</formula>
    </cfRule>
  </conditionalFormatting>
  <conditionalFormatting sqref="X294">
    <cfRule type="expression" priority="1355" dxfId="3">
      <formula>AND(IF(OR($Q294=1,$Q294=2),1,0),IF($X294&lt;=20,1,0))</formula>
    </cfRule>
    <cfRule type="expression" priority="1356" dxfId="2">
      <formula>AND(IF($Q294=2,1,0),IF($X294&lt;30,1,0))</formula>
    </cfRule>
    <cfRule type="expression" priority="1357" dxfId="1">
      <formula>AND(IF($Q294=3,1,0),IF($X294&lt;30,1,0))</formula>
    </cfRule>
    <cfRule type="expression" priority="1358" dxfId="0">
      <formula>AND(IF($Q294=3,1,IF($Q294=4,1,0)),IF($F294&lt;=85,1,0))</formula>
    </cfRule>
  </conditionalFormatting>
  <conditionalFormatting sqref="AI294">
    <cfRule type="expression" priority="1351" dxfId="3">
      <formula>AND(IF(OR($Q294=1,$Q294=2),1,0),IF($X294&lt;=20,1,0))</formula>
    </cfRule>
    <cfRule type="expression" priority="1352" dxfId="2">
      <formula>AND(IF($Q294=2,1,0),IF($X294&lt;30,1,0))</formula>
    </cfRule>
    <cfRule type="expression" priority="1353" dxfId="1">
      <formula>AND(IF($Q294=3,1,0),IF($X294&lt;30,1,0))</formula>
    </cfRule>
    <cfRule type="expression" priority="1354" dxfId="0">
      <formula>AND(IF($Q294=3,1,IF($Q294=4,1,0)),IF($F294&lt;=85,1,0))</formula>
    </cfRule>
  </conditionalFormatting>
  <conditionalFormatting sqref="AV295">
    <cfRule type="expression" priority="1349" dxfId="23">
      <formula>AV295="X"</formula>
    </cfRule>
    <cfRule type="expression" priority="1350" dxfId="22">
      <formula>AV295="후보"</formula>
    </cfRule>
  </conditionalFormatting>
  <conditionalFormatting sqref="AC29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95">
    <cfRule type="expression" priority="1341" dxfId="3">
      <formula>AND(IF(OR($Q295=1,$Q295=2),1,0),IF($X295&lt;=20,1,0))</formula>
    </cfRule>
    <cfRule type="expression" priority="1342" dxfId="2">
      <formula>AND(IF($Q295=2,1,0),IF($X295&lt;30,1,0))</formula>
    </cfRule>
    <cfRule type="expression" priority="1343" dxfId="1">
      <formula>AND(IF($Q295=3,1,0),IF($X295&lt;30,1,0))</formula>
    </cfRule>
    <cfRule type="expression" priority="1344" dxfId="0">
      <formula>AND(IF($Q295=3,1,IF($Q295=4,1,0)),IF($F295&lt;=85,1,0))</formula>
    </cfRule>
  </conditionalFormatting>
  <conditionalFormatting sqref="X295">
    <cfRule type="expression" priority="1337" dxfId="3">
      <formula>AND(IF(OR($Q295=1,$Q295=2),1,0),IF($X295&lt;=20,1,0))</formula>
    </cfRule>
    <cfRule type="expression" priority="1338" dxfId="2">
      <formula>AND(IF($Q295=2,1,0),IF($X295&lt;30,1,0))</formula>
    </cfRule>
    <cfRule type="expression" priority="1339" dxfId="1">
      <formula>AND(IF($Q295=3,1,0),IF($X295&lt;30,1,0))</formula>
    </cfRule>
    <cfRule type="expression" priority="1340" dxfId="0">
      <formula>AND(IF($Q295=3,1,IF($Q295=4,1,0)),IF($F295&lt;=85,1,0))</formula>
    </cfRule>
  </conditionalFormatting>
  <conditionalFormatting sqref="AI295">
    <cfRule type="expression" priority="1333" dxfId="3">
      <formula>AND(IF(OR($Q295=1,$Q295=2),1,0),IF($X295&lt;=20,1,0))</formula>
    </cfRule>
    <cfRule type="expression" priority="1334" dxfId="2">
      <formula>AND(IF($Q295=2,1,0),IF($X295&lt;30,1,0))</formula>
    </cfRule>
    <cfRule type="expression" priority="1335" dxfId="1">
      <formula>AND(IF($Q295=3,1,0),IF($X295&lt;30,1,0))</formula>
    </cfRule>
    <cfRule type="expression" priority="1336" dxfId="0">
      <formula>AND(IF($Q295=3,1,IF($Q295=4,1,0)),IF($F295&lt;=85,1,0))</formula>
    </cfRule>
  </conditionalFormatting>
  <conditionalFormatting sqref="AV296">
    <cfRule type="expression" priority="1331" dxfId="23">
      <formula>AV296="X"</formula>
    </cfRule>
    <cfRule type="expression" priority="1332" dxfId="22">
      <formula>AV296="후보"</formula>
    </cfRule>
  </conditionalFormatting>
  <conditionalFormatting sqref="AC29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96">
    <cfRule type="expression" priority="1323" dxfId="3">
      <formula>AND(IF(OR($Q296=1,$Q296=2),1,0),IF($X296&lt;=20,1,0))</formula>
    </cfRule>
    <cfRule type="expression" priority="1324" dxfId="2">
      <formula>AND(IF($Q296=2,1,0),IF($X296&lt;30,1,0))</formula>
    </cfRule>
    <cfRule type="expression" priority="1325" dxfId="1">
      <formula>AND(IF($Q296=3,1,0),IF($X296&lt;30,1,0))</formula>
    </cfRule>
    <cfRule type="expression" priority="1326" dxfId="0">
      <formula>AND(IF($Q296=3,1,IF($Q296=4,1,0)),IF($F296&lt;=85,1,0))</formula>
    </cfRule>
  </conditionalFormatting>
  <conditionalFormatting sqref="X296">
    <cfRule type="expression" priority="1319" dxfId="3">
      <formula>AND(IF(OR($Q296=1,$Q296=2),1,0),IF($X296&lt;=20,1,0))</formula>
    </cfRule>
    <cfRule type="expression" priority="1320" dxfId="2">
      <formula>AND(IF($Q296=2,1,0),IF($X296&lt;30,1,0))</formula>
    </cfRule>
    <cfRule type="expression" priority="1321" dxfId="1">
      <formula>AND(IF($Q296=3,1,0),IF($X296&lt;30,1,0))</formula>
    </cfRule>
    <cfRule type="expression" priority="1322" dxfId="0">
      <formula>AND(IF($Q296=3,1,IF($Q296=4,1,0)),IF($F296&lt;=85,1,0))</formula>
    </cfRule>
  </conditionalFormatting>
  <conditionalFormatting sqref="AI296">
    <cfRule type="expression" priority="1315" dxfId="3">
      <formula>AND(IF(OR($Q296=1,$Q296=2),1,0),IF($X296&lt;=20,1,0))</formula>
    </cfRule>
    <cfRule type="expression" priority="1316" dxfId="2">
      <formula>AND(IF($Q296=2,1,0),IF($X296&lt;30,1,0))</formula>
    </cfRule>
    <cfRule type="expression" priority="1317" dxfId="1">
      <formula>AND(IF($Q296=3,1,0),IF($X296&lt;30,1,0))</formula>
    </cfRule>
    <cfRule type="expression" priority="1318" dxfId="0">
      <formula>AND(IF($Q296=3,1,IF($Q296=4,1,0)),IF($F296&lt;=85,1,0))</formula>
    </cfRule>
  </conditionalFormatting>
  <conditionalFormatting sqref="AV297">
    <cfRule type="expression" priority="1313" dxfId="23">
      <formula>AV297="X"</formula>
    </cfRule>
    <cfRule type="expression" priority="1314" dxfId="22">
      <formula>AV297="후보"</formula>
    </cfRule>
  </conditionalFormatting>
  <conditionalFormatting sqref="AC29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97">
    <cfRule type="expression" priority="1305" dxfId="3">
      <formula>AND(IF(OR($Q297=1,$Q297=2),1,0),IF($X297&lt;=20,1,0))</formula>
    </cfRule>
    <cfRule type="expression" priority="1306" dxfId="2">
      <formula>AND(IF($Q297=2,1,0),IF($X297&lt;30,1,0))</formula>
    </cfRule>
    <cfRule type="expression" priority="1307" dxfId="1">
      <formula>AND(IF($Q297=3,1,0),IF($X297&lt;30,1,0))</formula>
    </cfRule>
    <cfRule type="expression" priority="1308" dxfId="0">
      <formula>AND(IF($Q297=3,1,IF($Q297=4,1,0)),IF($F297&lt;=85,1,0))</formula>
    </cfRule>
  </conditionalFormatting>
  <conditionalFormatting sqref="X297">
    <cfRule type="expression" priority="1301" dxfId="3">
      <formula>AND(IF(OR($Q297=1,$Q297=2),1,0),IF($X297&lt;=20,1,0))</formula>
    </cfRule>
    <cfRule type="expression" priority="1302" dxfId="2">
      <formula>AND(IF($Q297=2,1,0),IF($X297&lt;30,1,0))</formula>
    </cfRule>
    <cfRule type="expression" priority="1303" dxfId="1">
      <formula>AND(IF($Q297=3,1,0),IF($X297&lt;30,1,0))</formula>
    </cfRule>
    <cfRule type="expression" priority="1304" dxfId="0">
      <formula>AND(IF($Q297=3,1,IF($Q297=4,1,0)),IF($F297&lt;=85,1,0))</formula>
    </cfRule>
  </conditionalFormatting>
  <conditionalFormatting sqref="AI297">
    <cfRule type="expression" priority="1297" dxfId="3">
      <formula>AND(IF(OR($Q297=1,$Q297=2),1,0),IF($X297&lt;=20,1,0))</formula>
    </cfRule>
    <cfRule type="expression" priority="1298" dxfId="2">
      <formula>AND(IF($Q297=2,1,0),IF($X297&lt;30,1,0))</formula>
    </cfRule>
    <cfRule type="expression" priority="1299" dxfId="1">
      <formula>AND(IF($Q297=3,1,0),IF($X297&lt;30,1,0))</formula>
    </cfRule>
    <cfRule type="expression" priority="1300" dxfId="0">
      <formula>AND(IF($Q297=3,1,IF($Q297=4,1,0)),IF($F297&lt;=85,1,0))</formula>
    </cfRule>
  </conditionalFormatting>
  <conditionalFormatting sqref="AV298">
    <cfRule type="expression" priority="1295" dxfId="23">
      <formula>AV298="X"</formula>
    </cfRule>
    <cfRule type="expression" priority="1296" dxfId="22">
      <formula>AV298="후보"</formula>
    </cfRule>
  </conditionalFormatting>
  <conditionalFormatting sqref="AC29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98">
    <cfRule type="expression" priority="1287" dxfId="3">
      <formula>AND(IF(OR($Q298=1,$Q298=2),1,0),IF($X298&lt;=20,1,0))</formula>
    </cfRule>
    <cfRule type="expression" priority="1288" dxfId="2">
      <formula>AND(IF($Q298=2,1,0),IF($X298&lt;30,1,0))</formula>
    </cfRule>
    <cfRule type="expression" priority="1289" dxfId="1">
      <formula>AND(IF($Q298=3,1,0),IF($X298&lt;30,1,0))</formula>
    </cfRule>
    <cfRule type="expression" priority="1290" dxfId="0">
      <formula>AND(IF($Q298=3,1,IF($Q298=4,1,0)),IF($F298&lt;=85,1,0))</formula>
    </cfRule>
  </conditionalFormatting>
  <conditionalFormatting sqref="X298">
    <cfRule type="expression" priority="1283" dxfId="3">
      <formula>AND(IF(OR($Q298=1,$Q298=2),1,0),IF($X298&lt;=20,1,0))</formula>
    </cfRule>
    <cfRule type="expression" priority="1284" dxfId="2">
      <formula>AND(IF($Q298=2,1,0),IF($X298&lt;30,1,0))</formula>
    </cfRule>
    <cfRule type="expression" priority="1285" dxfId="1">
      <formula>AND(IF($Q298=3,1,0),IF($X298&lt;30,1,0))</formula>
    </cfRule>
    <cfRule type="expression" priority="1286" dxfId="0">
      <formula>AND(IF($Q298=3,1,IF($Q298=4,1,0)),IF($F298&lt;=85,1,0))</formula>
    </cfRule>
  </conditionalFormatting>
  <conditionalFormatting sqref="AI298">
    <cfRule type="expression" priority="1279" dxfId="3">
      <formula>AND(IF(OR($Q298=1,$Q298=2),1,0),IF($X298&lt;=20,1,0))</formula>
    </cfRule>
    <cfRule type="expression" priority="1280" dxfId="2">
      <formula>AND(IF($Q298=2,1,0),IF($X298&lt;30,1,0))</formula>
    </cfRule>
    <cfRule type="expression" priority="1281" dxfId="1">
      <formula>AND(IF($Q298=3,1,0),IF($X298&lt;30,1,0))</formula>
    </cfRule>
    <cfRule type="expression" priority="1282" dxfId="0">
      <formula>AND(IF($Q298=3,1,IF($Q298=4,1,0)),IF($F298&lt;=85,1,0))</formula>
    </cfRule>
  </conditionalFormatting>
  <conditionalFormatting sqref="AV299">
    <cfRule type="expression" priority="1277" dxfId="23">
      <formula>AV299="X"</formula>
    </cfRule>
    <cfRule type="expression" priority="1278" dxfId="22">
      <formula>AV299="후보"</formula>
    </cfRule>
  </conditionalFormatting>
  <conditionalFormatting sqref="AC29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99">
    <cfRule type="expression" priority="1269" dxfId="3">
      <formula>AND(IF(OR($Q299=1,$Q299=2),1,0),IF($X299&lt;=20,1,0))</formula>
    </cfRule>
    <cfRule type="expression" priority="1270" dxfId="2">
      <formula>AND(IF($Q299=2,1,0),IF($X299&lt;30,1,0))</formula>
    </cfRule>
    <cfRule type="expression" priority="1271" dxfId="1">
      <formula>AND(IF($Q299=3,1,0),IF($X299&lt;30,1,0))</formula>
    </cfRule>
    <cfRule type="expression" priority="1272" dxfId="0">
      <formula>AND(IF($Q299=3,1,IF($Q299=4,1,0)),IF($F299&lt;=85,1,0))</formula>
    </cfRule>
  </conditionalFormatting>
  <conditionalFormatting sqref="X299">
    <cfRule type="expression" priority="1265" dxfId="3">
      <formula>AND(IF(OR($Q299=1,$Q299=2),1,0),IF($X299&lt;=20,1,0))</formula>
    </cfRule>
    <cfRule type="expression" priority="1266" dxfId="2">
      <formula>AND(IF($Q299=2,1,0),IF($X299&lt;30,1,0))</formula>
    </cfRule>
    <cfRule type="expression" priority="1267" dxfId="1">
      <formula>AND(IF($Q299=3,1,0),IF($X299&lt;30,1,0))</formula>
    </cfRule>
    <cfRule type="expression" priority="1268" dxfId="0">
      <formula>AND(IF($Q299=3,1,IF($Q299=4,1,0)),IF($F299&lt;=85,1,0))</formula>
    </cfRule>
  </conditionalFormatting>
  <conditionalFormatting sqref="AI299">
    <cfRule type="expression" priority="1261" dxfId="3">
      <formula>AND(IF(OR($Q299=1,$Q299=2),1,0),IF($X299&lt;=20,1,0))</formula>
    </cfRule>
    <cfRule type="expression" priority="1262" dxfId="2">
      <formula>AND(IF($Q299=2,1,0),IF($X299&lt;30,1,0))</formula>
    </cfRule>
    <cfRule type="expression" priority="1263" dxfId="1">
      <formula>AND(IF($Q299=3,1,0),IF($X299&lt;30,1,0))</formula>
    </cfRule>
    <cfRule type="expression" priority="1264" dxfId="0">
      <formula>AND(IF($Q299=3,1,IF($Q299=4,1,0)),IF($F299&lt;=85,1,0))</formula>
    </cfRule>
  </conditionalFormatting>
  <conditionalFormatting sqref="AV300">
    <cfRule type="expression" priority="1259" dxfId="23">
      <formula>AV300="X"</formula>
    </cfRule>
    <cfRule type="expression" priority="1260" dxfId="22">
      <formula>AV300="후보"</formula>
    </cfRule>
  </conditionalFormatting>
  <conditionalFormatting sqref="AC30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00">
    <cfRule type="expression" priority="1251" dxfId="3">
      <formula>AND(IF(OR($Q300=1,$Q300=2),1,0),IF($X300&lt;=20,1,0))</formula>
    </cfRule>
    <cfRule type="expression" priority="1252" dxfId="2">
      <formula>AND(IF($Q300=2,1,0),IF($X300&lt;30,1,0))</formula>
    </cfRule>
    <cfRule type="expression" priority="1253" dxfId="1">
      <formula>AND(IF($Q300=3,1,0),IF($X300&lt;30,1,0))</formula>
    </cfRule>
    <cfRule type="expression" priority="1254" dxfId="0">
      <formula>AND(IF($Q300=3,1,IF($Q300=4,1,0)),IF($F300&lt;=85,1,0))</formula>
    </cfRule>
  </conditionalFormatting>
  <conditionalFormatting sqref="X300">
    <cfRule type="expression" priority="1247" dxfId="3">
      <formula>AND(IF(OR($Q300=1,$Q300=2),1,0),IF($X300&lt;=20,1,0))</formula>
    </cfRule>
    <cfRule type="expression" priority="1248" dxfId="2">
      <formula>AND(IF($Q300=2,1,0),IF($X300&lt;30,1,0))</formula>
    </cfRule>
    <cfRule type="expression" priority="1249" dxfId="1">
      <formula>AND(IF($Q300=3,1,0),IF($X300&lt;30,1,0))</formula>
    </cfRule>
    <cfRule type="expression" priority="1250" dxfId="0">
      <formula>AND(IF($Q300=3,1,IF($Q300=4,1,0)),IF($F300&lt;=85,1,0))</formula>
    </cfRule>
  </conditionalFormatting>
  <conditionalFormatting sqref="AI300">
    <cfRule type="expression" priority="1243" dxfId="3">
      <formula>AND(IF(OR($Q300=1,$Q300=2),1,0),IF($X300&lt;=20,1,0))</formula>
    </cfRule>
    <cfRule type="expression" priority="1244" dxfId="2">
      <formula>AND(IF($Q300=2,1,0),IF($X300&lt;30,1,0))</formula>
    </cfRule>
    <cfRule type="expression" priority="1245" dxfId="1">
      <formula>AND(IF($Q300=3,1,0),IF($X300&lt;30,1,0))</formula>
    </cfRule>
    <cfRule type="expression" priority="1246" dxfId="0">
      <formula>AND(IF($Q300=3,1,IF($Q300=4,1,0)),IF($F300&lt;=85,1,0))</formula>
    </cfRule>
  </conditionalFormatting>
  <conditionalFormatting sqref="AV301">
    <cfRule type="expression" priority="1241" dxfId="23">
      <formula>AV301="X"</formula>
    </cfRule>
    <cfRule type="expression" priority="1242" dxfId="22">
      <formula>AV301="후보"</formula>
    </cfRule>
  </conditionalFormatting>
  <conditionalFormatting sqref="AC30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01">
    <cfRule type="expression" priority="1233" dxfId="3">
      <formula>AND(IF(OR($Q301=1,$Q301=2),1,0),IF($X301&lt;=20,1,0))</formula>
    </cfRule>
    <cfRule type="expression" priority="1234" dxfId="2">
      <formula>AND(IF($Q301=2,1,0),IF($X301&lt;30,1,0))</formula>
    </cfRule>
    <cfRule type="expression" priority="1235" dxfId="1">
      <formula>AND(IF($Q301=3,1,0),IF($X301&lt;30,1,0))</formula>
    </cfRule>
    <cfRule type="expression" priority="1236" dxfId="0">
      <formula>AND(IF($Q301=3,1,IF($Q301=4,1,0)),IF($F301&lt;=85,1,0))</formula>
    </cfRule>
  </conditionalFormatting>
  <conditionalFormatting sqref="X301">
    <cfRule type="expression" priority="1229" dxfId="3">
      <formula>AND(IF(OR($Q301=1,$Q301=2),1,0),IF($X301&lt;=20,1,0))</formula>
    </cfRule>
    <cfRule type="expression" priority="1230" dxfId="2">
      <formula>AND(IF($Q301=2,1,0),IF($X301&lt;30,1,0))</formula>
    </cfRule>
    <cfRule type="expression" priority="1231" dxfId="1">
      <formula>AND(IF($Q301=3,1,0),IF($X301&lt;30,1,0))</formula>
    </cfRule>
    <cfRule type="expression" priority="1232" dxfId="0">
      <formula>AND(IF($Q301=3,1,IF($Q301=4,1,0)),IF($F301&lt;=85,1,0))</formula>
    </cfRule>
  </conditionalFormatting>
  <conditionalFormatting sqref="AI301">
    <cfRule type="expression" priority="1225" dxfId="3">
      <formula>AND(IF(OR($Q301=1,$Q301=2),1,0),IF($X301&lt;=20,1,0))</formula>
    </cfRule>
    <cfRule type="expression" priority="1226" dxfId="2">
      <formula>AND(IF($Q301=2,1,0),IF($X301&lt;30,1,0))</formula>
    </cfRule>
    <cfRule type="expression" priority="1227" dxfId="1">
      <formula>AND(IF($Q301=3,1,0),IF($X301&lt;30,1,0))</formula>
    </cfRule>
    <cfRule type="expression" priority="1228" dxfId="0">
      <formula>AND(IF($Q301=3,1,IF($Q301=4,1,0)),IF($F301&lt;=85,1,0))</formula>
    </cfRule>
  </conditionalFormatting>
  <conditionalFormatting sqref="AV302">
    <cfRule type="expression" priority="1223" dxfId="23">
      <formula>AV302="X"</formula>
    </cfRule>
    <cfRule type="expression" priority="1224" dxfId="22">
      <formula>AV302="후보"</formula>
    </cfRule>
  </conditionalFormatting>
  <conditionalFormatting sqref="AC30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02">
    <cfRule type="expression" priority="1215" dxfId="3">
      <formula>AND(IF(OR($Q302=1,$Q302=2),1,0),IF($X302&lt;=20,1,0))</formula>
    </cfRule>
    <cfRule type="expression" priority="1216" dxfId="2">
      <formula>AND(IF($Q302=2,1,0),IF($X302&lt;30,1,0))</formula>
    </cfRule>
    <cfRule type="expression" priority="1217" dxfId="1">
      <formula>AND(IF($Q302=3,1,0),IF($X302&lt;30,1,0))</formula>
    </cfRule>
    <cfRule type="expression" priority="1218" dxfId="0">
      <formula>AND(IF($Q302=3,1,IF($Q302=4,1,0)),IF($F302&lt;=85,1,0))</formula>
    </cfRule>
  </conditionalFormatting>
  <conditionalFormatting sqref="X302">
    <cfRule type="expression" priority="1211" dxfId="3">
      <formula>AND(IF(OR($Q302=1,$Q302=2),1,0),IF($X302&lt;=20,1,0))</formula>
    </cfRule>
    <cfRule type="expression" priority="1212" dxfId="2">
      <formula>AND(IF($Q302=2,1,0),IF($X302&lt;30,1,0))</formula>
    </cfRule>
    <cfRule type="expression" priority="1213" dxfId="1">
      <formula>AND(IF($Q302=3,1,0),IF($X302&lt;30,1,0))</formula>
    </cfRule>
    <cfRule type="expression" priority="1214" dxfId="0">
      <formula>AND(IF($Q302=3,1,IF($Q302=4,1,0)),IF($F302&lt;=85,1,0))</formula>
    </cfRule>
  </conditionalFormatting>
  <conditionalFormatting sqref="AI302">
    <cfRule type="expression" priority="1207" dxfId="3">
      <formula>AND(IF(OR($Q302=1,$Q302=2),1,0),IF($X302&lt;=20,1,0))</formula>
    </cfRule>
    <cfRule type="expression" priority="1208" dxfId="2">
      <formula>AND(IF($Q302=2,1,0),IF($X302&lt;30,1,0))</formula>
    </cfRule>
    <cfRule type="expression" priority="1209" dxfId="1">
      <formula>AND(IF($Q302=3,1,0),IF($X302&lt;30,1,0))</formula>
    </cfRule>
    <cfRule type="expression" priority="1210" dxfId="0">
      <formula>AND(IF($Q302=3,1,IF($Q302=4,1,0)),IF($F302&lt;=85,1,0))</formula>
    </cfRule>
  </conditionalFormatting>
  <conditionalFormatting sqref="AV303">
    <cfRule type="expression" priority="1205" dxfId="23">
      <formula>AV303="X"</formula>
    </cfRule>
    <cfRule type="expression" priority="1206" dxfId="22">
      <formula>AV303="후보"</formula>
    </cfRule>
  </conditionalFormatting>
  <conditionalFormatting sqref="AC30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0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03">
    <cfRule type="expression" priority="1197" dxfId="3">
      <formula>AND(IF(OR($Q303=1,$Q303=2),1,0),IF($X303&lt;=20,1,0))</formula>
    </cfRule>
    <cfRule type="expression" priority="1198" dxfId="2">
      <formula>AND(IF($Q303=2,1,0),IF($X303&lt;30,1,0))</formula>
    </cfRule>
    <cfRule type="expression" priority="1199" dxfId="1">
      <formula>AND(IF($Q303=3,1,0),IF($X303&lt;30,1,0))</formula>
    </cfRule>
    <cfRule type="expression" priority="1200" dxfId="0">
      <formula>AND(IF($Q303=3,1,IF($Q303=4,1,0)),IF($F303&lt;=85,1,0))</formula>
    </cfRule>
  </conditionalFormatting>
  <conditionalFormatting sqref="X303">
    <cfRule type="expression" priority="1193" dxfId="3">
      <formula>AND(IF(OR($Q303=1,$Q303=2),1,0),IF($X303&lt;=20,1,0))</formula>
    </cfRule>
    <cfRule type="expression" priority="1194" dxfId="2">
      <formula>AND(IF($Q303=2,1,0),IF($X303&lt;30,1,0))</formula>
    </cfRule>
    <cfRule type="expression" priority="1195" dxfId="1">
      <formula>AND(IF($Q303=3,1,0),IF($X303&lt;30,1,0))</formula>
    </cfRule>
    <cfRule type="expression" priority="1196" dxfId="0">
      <formula>AND(IF($Q303=3,1,IF($Q303=4,1,0)),IF($F303&lt;=85,1,0))</formula>
    </cfRule>
  </conditionalFormatting>
  <conditionalFormatting sqref="AI303">
    <cfRule type="expression" priority="1189" dxfId="3">
      <formula>AND(IF(OR($Q303=1,$Q303=2),1,0),IF($X303&lt;=20,1,0))</formula>
    </cfRule>
    <cfRule type="expression" priority="1190" dxfId="2">
      <formula>AND(IF($Q303=2,1,0),IF($X303&lt;30,1,0))</formula>
    </cfRule>
    <cfRule type="expression" priority="1191" dxfId="1">
      <formula>AND(IF($Q303=3,1,0),IF($X303&lt;30,1,0))</formula>
    </cfRule>
    <cfRule type="expression" priority="1192" dxfId="0">
      <formula>AND(IF($Q303=3,1,IF($Q303=4,1,0)),IF($F303&lt;=85,1,0))</formula>
    </cfRule>
  </conditionalFormatting>
  <conditionalFormatting sqref="AV304">
    <cfRule type="expression" priority="1187" dxfId="23">
      <formula>AV304="X"</formula>
    </cfRule>
    <cfRule type="expression" priority="1188" dxfId="22">
      <formula>AV304="후보"</formula>
    </cfRule>
  </conditionalFormatting>
  <conditionalFormatting sqref="AC30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0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04">
    <cfRule type="expression" priority="1179" dxfId="3">
      <formula>AND(IF(OR($Q304=1,$Q304=2),1,0),IF($X304&lt;=20,1,0))</formula>
    </cfRule>
    <cfRule type="expression" priority="1180" dxfId="2">
      <formula>AND(IF($Q304=2,1,0),IF($X304&lt;30,1,0))</formula>
    </cfRule>
    <cfRule type="expression" priority="1181" dxfId="1">
      <formula>AND(IF($Q304=3,1,0),IF($X304&lt;30,1,0))</formula>
    </cfRule>
    <cfRule type="expression" priority="1182" dxfId="0">
      <formula>AND(IF($Q304=3,1,IF($Q304=4,1,0)),IF($F304&lt;=85,1,0))</formula>
    </cfRule>
  </conditionalFormatting>
  <conditionalFormatting sqref="X304">
    <cfRule type="expression" priority="1175" dxfId="3">
      <formula>AND(IF(OR($Q304=1,$Q304=2),1,0),IF($X304&lt;=20,1,0))</formula>
    </cfRule>
    <cfRule type="expression" priority="1176" dxfId="2">
      <formula>AND(IF($Q304=2,1,0),IF($X304&lt;30,1,0))</formula>
    </cfRule>
    <cfRule type="expression" priority="1177" dxfId="1">
      <formula>AND(IF($Q304=3,1,0),IF($X304&lt;30,1,0))</formula>
    </cfRule>
    <cfRule type="expression" priority="1178" dxfId="0">
      <formula>AND(IF($Q304=3,1,IF($Q304=4,1,0)),IF($F304&lt;=85,1,0))</formula>
    </cfRule>
  </conditionalFormatting>
  <conditionalFormatting sqref="AI304">
    <cfRule type="expression" priority="1171" dxfId="3">
      <formula>AND(IF(OR($Q304=1,$Q304=2),1,0),IF($X304&lt;=20,1,0))</formula>
    </cfRule>
    <cfRule type="expression" priority="1172" dxfId="2">
      <formula>AND(IF($Q304=2,1,0),IF($X304&lt;30,1,0))</formula>
    </cfRule>
    <cfRule type="expression" priority="1173" dxfId="1">
      <formula>AND(IF($Q304=3,1,0),IF($X304&lt;30,1,0))</formula>
    </cfRule>
    <cfRule type="expression" priority="1174" dxfId="0">
      <formula>AND(IF($Q304=3,1,IF($Q304=4,1,0)),IF($F304&lt;=85,1,0))</formula>
    </cfRule>
  </conditionalFormatting>
  <conditionalFormatting sqref="AV305">
    <cfRule type="expression" priority="1169" dxfId="23">
      <formula>AV305="X"</formula>
    </cfRule>
    <cfRule type="expression" priority="1170" dxfId="22">
      <formula>AV305="후보"</formula>
    </cfRule>
  </conditionalFormatting>
  <conditionalFormatting sqref="AC30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0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05">
    <cfRule type="expression" priority="1161" dxfId="3">
      <formula>AND(IF(OR($Q305=1,$Q305=2),1,0),IF($X305&lt;=20,1,0))</formula>
    </cfRule>
    <cfRule type="expression" priority="1162" dxfId="2">
      <formula>AND(IF($Q305=2,1,0),IF($X305&lt;30,1,0))</formula>
    </cfRule>
    <cfRule type="expression" priority="1163" dxfId="1">
      <formula>AND(IF($Q305=3,1,0),IF($X305&lt;30,1,0))</formula>
    </cfRule>
    <cfRule type="expression" priority="1164" dxfId="0">
      <formula>AND(IF($Q305=3,1,IF($Q305=4,1,0)),IF($F305&lt;=85,1,0))</formula>
    </cfRule>
  </conditionalFormatting>
  <conditionalFormatting sqref="X305">
    <cfRule type="expression" priority="1157" dxfId="3">
      <formula>AND(IF(OR($Q305=1,$Q305=2),1,0),IF($X305&lt;=20,1,0))</formula>
    </cfRule>
    <cfRule type="expression" priority="1158" dxfId="2">
      <formula>AND(IF($Q305=2,1,0),IF($X305&lt;30,1,0))</formula>
    </cfRule>
    <cfRule type="expression" priority="1159" dxfId="1">
      <formula>AND(IF($Q305=3,1,0),IF($X305&lt;30,1,0))</formula>
    </cfRule>
    <cfRule type="expression" priority="1160" dxfId="0">
      <formula>AND(IF($Q305=3,1,IF($Q305=4,1,0)),IF($F305&lt;=85,1,0))</formula>
    </cfRule>
  </conditionalFormatting>
  <conditionalFormatting sqref="AI305">
    <cfRule type="expression" priority="1153" dxfId="3">
      <formula>AND(IF(OR($Q305=1,$Q305=2),1,0),IF($X305&lt;=20,1,0))</formula>
    </cfRule>
    <cfRule type="expression" priority="1154" dxfId="2">
      <formula>AND(IF($Q305=2,1,0),IF($X305&lt;30,1,0))</formula>
    </cfRule>
    <cfRule type="expression" priority="1155" dxfId="1">
      <formula>AND(IF($Q305=3,1,0),IF($X305&lt;30,1,0))</formula>
    </cfRule>
    <cfRule type="expression" priority="1156" dxfId="0">
      <formula>AND(IF($Q305=3,1,IF($Q305=4,1,0)),IF($F305&lt;=85,1,0))</formula>
    </cfRule>
  </conditionalFormatting>
  <conditionalFormatting sqref="AV306">
    <cfRule type="expression" priority="1151" dxfId="23">
      <formula>AV306="X"</formula>
    </cfRule>
    <cfRule type="expression" priority="1152" dxfId="22">
      <formula>AV306="후보"</formula>
    </cfRule>
  </conditionalFormatting>
  <conditionalFormatting sqref="AC30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0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06">
    <cfRule type="expression" priority="1143" dxfId="3">
      <formula>AND(IF(OR($Q306=1,$Q306=2),1,0),IF($X306&lt;=20,1,0))</formula>
    </cfRule>
    <cfRule type="expression" priority="1144" dxfId="2">
      <formula>AND(IF($Q306=2,1,0),IF($X306&lt;30,1,0))</formula>
    </cfRule>
    <cfRule type="expression" priority="1145" dxfId="1">
      <formula>AND(IF($Q306=3,1,0),IF($X306&lt;30,1,0))</formula>
    </cfRule>
    <cfRule type="expression" priority="1146" dxfId="0">
      <formula>AND(IF($Q306=3,1,IF($Q306=4,1,0)),IF($F306&lt;=85,1,0))</formula>
    </cfRule>
  </conditionalFormatting>
  <conditionalFormatting sqref="X306">
    <cfRule type="expression" priority="1139" dxfId="3">
      <formula>AND(IF(OR($Q306=1,$Q306=2),1,0),IF($X306&lt;=20,1,0))</formula>
    </cfRule>
    <cfRule type="expression" priority="1140" dxfId="2">
      <formula>AND(IF($Q306=2,1,0),IF($X306&lt;30,1,0))</formula>
    </cfRule>
    <cfRule type="expression" priority="1141" dxfId="1">
      <formula>AND(IF($Q306=3,1,0),IF($X306&lt;30,1,0))</formula>
    </cfRule>
    <cfRule type="expression" priority="1142" dxfId="0">
      <formula>AND(IF($Q306=3,1,IF($Q306=4,1,0)),IF($F306&lt;=85,1,0))</formula>
    </cfRule>
  </conditionalFormatting>
  <conditionalFormatting sqref="AI306">
    <cfRule type="expression" priority="1135" dxfId="3">
      <formula>AND(IF(OR($Q306=1,$Q306=2),1,0),IF($X306&lt;=20,1,0))</formula>
    </cfRule>
    <cfRule type="expression" priority="1136" dxfId="2">
      <formula>AND(IF($Q306=2,1,0),IF($X306&lt;30,1,0))</formula>
    </cfRule>
    <cfRule type="expression" priority="1137" dxfId="1">
      <formula>AND(IF($Q306=3,1,0),IF($X306&lt;30,1,0))</formula>
    </cfRule>
    <cfRule type="expression" priority="1138" dxfId="0">
      <formula>AND(IF($Q306=3,1,IF($Q306=4,1,0)),IF($F306&lt;=85,1,0))</formula>
    </cfRule>
  </conditionalFormatting>
  <conditionalFormatting sqref="AV307">
    <cfRule type="expression" priority="1133" dxfId="23">
      <formula>AV307="X"</formula>
    </cfRule>
    <cfRule type="expression" priority="1134" dxfId="22">
      <formula>AV307="후보"</formula>
    </cfRule>
  </conditionalFormatting>
  <conditionalFormatting sqref="AC30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0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07">
    <cfRule type="expression" priority="1125" dxfId="3">
      <formula>AND(IF(OR($Q307=1,$Q307=2),1,0),IF($X307&lt;=20,1,0))</formula>
    </cfRule>
    <cfRule type="expression" priority="1126" dxfId="2">
      <formula>AND(IF($Q307=2,1,0),IF($X307&lt;30,1,0))</formula>
    </cfRule>
    <cfRule type="expression" priority="1127" dxfId="1">
      <formula>AND(IF($Q307=3,1,0),IF($X307&lt;30,1,0))</formula>
    </cfRule>
    <cfRule type="expression" priority="1128" dxfId="0">
      <formula>AND(IF($Q307=3,1,IF($Q307=4,1,0)),IF($F307&lt;=85,1,0))</formula>
    </cfRule>
  </conditionalFormatting>
  <conditionalFormatting sqref="X307">
    <cfRule type="expression" priority="1121" dxfId="3">
      <formula>AND(IF(OR($Q307=1,$Q307=2),1,0),IF($X307&lt;=20,1,0))</formula>
    </cfRule>
    <cfRule type="expression" priority="1122" dxfId="2">
      <formula>AND(IF($Q307=2,1,0),IF($X307&lt;30,1,0))</formula>
    </cfRule>
    <cfRule type="expression" priority="1123" dxfId="1">
      <formula>AND(IF($Q307=3,1,0),IF($X307&lt;30,1,0))</formula>
    </cfRule>
    <cfRule type="expression" priority="1124" dxfId="0">
      <formula>AND(IF($Q307=3,1,IF($Q307=4,1,0)),IF($F307&lt;=85,1,0))</formula>
    </cfRule>
  </conditionalFormatting>
  <conditionalFormatting sqref="AI307">
    <cfRule type="expression" priority="1117" dxfId="3">
      <formula>AND(IF(OR($Q307=1,$Q307=2),1,0),IF($X307&lt;=20,1,0))</formula>
    </cfRule>
    <cfRule type="expression" priority="1118" dxfId="2">
      <formula>AND(IF($Q307=2,1,0),IF($X307&lt;30,1,0))</formula>
    </cfRule>
    <cfRule type="expression" priority="1119" dxfId="1">
      <formula>AND(IF($Q307=3,1,0),IF($X307&lt;30,1,0))</formula>
    </cfRule>
    <cfRule type="expression" priority="1120" dxfId="0">
      <formula>AND(IF($Q307=3,1,IF($Q307=4,1,0)),IF($F307&lt;=85,1,0))</formula>
    </cfRule>
  </conditionalFormatting>
  <conditionalFormatting sqref="AV308">
    <cfRule type="expression" priority="1115" dxfId="23">
      <formula>AV308="X"</formula>
    </cfRule>
    <cfRule type="expression" priority="1116" dxfId="22">
      <formula>AV308="후보"</formula>
    </cfRule>
  </conditionalFormatting>
  <conditionalFormatting sqref="AC30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0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08">
    <cfRule type="expression" priority="1107" dxfId="3">
      <formula>AND(IF(OR($Q308=1,$Q308=2),1,0),IF($X308&lt;=20,1,0))</formula>
    </cfRule>
    <cfRule type="expression" priority="1108" dxfId="2">
      <formula>AND(IF($Q308=2,1,0),IF($X308&lt;30,1,0))</formula>
    </cfRule>
    <cfRule type="expression" priority="1109" dxfId="1">
      <formula>AND(IF($Q308=3,1,0),IF($X308&lt;30,1,0))</formula>
    </cfRule>
    <cfRule type="expression" priority="1110" dxfId="0">
      <formula>AND(IF($Q308=3,1,IF($Q308=4,1,0)),IF($F308&lt;=85,1,0))</formula>
    </cfRule>
  </conditionalFormatting>
  <conditionalFormatting sqref="X308">
    <cfRule type="expression" priority="1103" dxfId="3">
      <formula>AND(IF(OR($Q308=1,$Q308=2),1,0),IF($X308&lt;=20,1,0))</formula>
    </cfRule>
    <cfRule type="expression" priority="1104" dxfId="2">
      <formula>AND(IF($Q308=2,1,0),IF($X308&lt;30,1,0))</formula>
    </cfRule>
    <cfRule type="expression" priority="1105" dxfId="1">
      <formula>AND(IF($Q308=3,1,0),IF($X308&lt;30,1,0))</formula>
    </cfRule>
    <cfRule type="expression" priority="1106" dxfId="0">
      <formula>AND(IF($Q308=3,1,IF($Q308=4,1,0)),IF($F308&lt;=85,1,0))</formula>
    </cfRule>
  </conditionalFormatting>
  <conditionalFormatting sqref="AI308">
    <cfRule type="expression" priority="1099" dxfId="3">
      <formula>AND(IF(OR($Q308=1,$Q308=2),1,0),IF($X308&lt;=20,1,0))</formula>
    </cfRule>
    <cfRule type="expression" priority="1100" dxfId="2">
      <formula>AND(IF($Q308=2,1,0),IF($X308&lt;30,1,0))</formula>
    </cfRule>
    <cfRule type="expression" priority="1101" dxfId="1">
      <formula>AND(IF($Q308=3,1,0),IF($X308&lt;30,1,0))</formula>
    </cfRule>
    <cfRule type="expression" priority="1102" dxfId="0">
      <formula>AND(IF($Q308=3,1,IF($Q308=4,1,0)),IF($F308&lt;=85,1,0))</formula>
    </cfRule>
  </conditionalFormatting>
  <conditionalFormatting sqref="AV309">
    <cfRule type="expression" priority="1097" dxfId="23">
      <formula>AV309="X"</formula>
    </cfRule>
    <cfRule type="expression" priority="1098" dxfId="22">
      <formula>AV309="후보"</formula>
    </cfRule>
  </conditionalFormatting>
  <conditionalFormatting sqref="AC30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0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09">
    <cfRule type="expression" priority="1089" dxfId="3">
      <formula>AND(IF(OR($Q309=1,$Q309=2),1,0),IF($X309&lt;=20,1,0))</formula>
    </cfRule>
    <cfRule type="expression" priority="1090" dxfId="2">
      <formula>AND(IF($Q309=2,1,0),IF($X309&lt;30,1,0))</formula>
    </cfRule>
    <cfRule type="expression" priority="1091" dxfId="1">
      <formula>AND(IF($Q309=3,1,0),IF($X309&lt;30,1,0))</formula>
    </cfRule>
    <cfRule type="expression" priority="1092" dxfId="0">
      <formula>AND(IF($Q309=3,1,IF($Q309=4,1,0)),IF($F309&lt;=85,1,0))</formula>
    </cfRule>
  </conditionalFormatting>
  <conditionalFormatting sqref="X309">
    <cfRule type="expression" priority="1085" dxfId="3">
      <formula>AND(IF(OR($Q309=1,$Q309=2),1,0),IF($X309&lt;=20,1,0))</formula>
    </cfRule>
    <cfRule type="expression" priority="1086" dxfId="2">
      <formula>AND(IF($Q309=2,1,0),IF($X309&lt;30,1,0))</formula>
    </cfRule>
    <cfRule type="expression" priority="1087" dxfId="1">
      <formula>AND(IF($Q309=3,1,0),IF($X309&lt;30,1,0))</formula>
    </cfRule>
    <cfRule type="expression" priority="1088" dxfId="0">
      <formula>AND(IF($Q309=3,1,IF($Q309=4,1,0)),IF($F309&lt;=85,1,0))</formula>
    </cfRule>
  </conditionalFormatting>
  <conditionalFormatting sqref="AI309">
    <cfRule type="expression" priority="1081" dxfId="3">
      <formula>AND(IF(OR($Q309=1,$Q309=2),1,0),IF($X309&lt;=20,1,0))</formula>
    </cfRule>
    <cfRule type="expression" priority="1082" dxfId="2">
      <formula>AND(IF($Q309=2,1,0),IF($X309&lt;30,1,0))</formula>
    </cfRule>
    <cfRule type="expression" priority="1083" dxfId="1">
      <formula>AND(IF($Q309=3,1,0),IF($X309&lt;30,1,0))</formula>
    </cfRule>
    <cfRule type="expression" priority="1084" dxfId="0">
      <formula>AND(IF($Q309=3,1,IF($Q309=4,1,0)),IF($F309&lt;=85,1,0))</formula>
    </cfRule>
  </conditionalFormatting>
  <conditionalFormatting sqref="AV310">
    <cfRule type="expression" priority="1079" dxfId="23">
      <formula>AV310="X"</formula>
    </cfRule>
    <cfRule type="expression" priority="1080" dxfId="22">
      <formula>AV310="후보"</formula>
    </cfRule>
  </conditionalFormatting>
  <conditionalFormatting sqref="AC3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10">
    <cfRule type="expression" priority="1071" dxfId="3">
      <formula>AND(IF(OR($Q310=1,$Q310=2),1,0),IF($X310&lt;=20,1,0))</formula>
    </cfRule>
    <cfRule type="expression" priority="1072" dxfId="2">
      <formula>AND(IF($Q310=2,1,0),IF($X310&lt;30,1,0))</formula>
    </cfRule>
    <cfRule type="expression" priority="1073" dxfId="1">
      <formula>AND(IF($Q310=3,1,0),IF($X310&lt;30,1,0))</formula>
    </cfRule>
    <cfRule type="expression" priority="1074" dxfId="0">
      <formula>AND(IF($Q310=3,1,IF($Q310=4,1,0)),IF($F310&lt;=85,1,0))</formula>
    </cfRule>
  </conditionalFormatting>
  <conditionalFormatting sqref="X310">
    <cfRule type="expression" priority="1067" dxfId="3">
      <formula>AND(IF(OR($Q310=1,$Q310=2),1,0),IF($X310&lt;=20,1,0))</formula>
    </cfRule>
    <cfRule type="expression" priority="1068" dxfId="2">
      <formula>AND(IF($Q310=2,1,0),IF($X310&lt;30,1,0))</formula>
    </cfRule>
    <cfRule type="expression" priority="1069" dxfId="1">
      <formula>AND(IF($Q310=3,1,0),IF($X310&lt;30,1,0))</formula>
    </cfRule>
    <cfRule type="expression" priority="1070" dxfId="0">
      <formula>AND(IF($Q310=3,1,IF($Q310=4,1,0)),IF($F310&lt;=85,1,0))</formula>
    </cfRule>
  </conditionalFormatting>
  <conditionalFormatting sqref="AI310">
    <cfRule type="expression" priority="1063" dxfId="3">
      <formula>AND(IF(OR($Q310=1,$Q310=2),1,0),IF($X310&lt;=20,1,0))</formula>
    </cfRule>
    <cfRule type="expression" priority="1064" dxfId="2">
      <formula>AND(IF($Q310=2,1,0),IF($X310&lt;30,1,0))</formula>
    </cfRule>
    <cfRule type="expression" priority="1065" dxfId="1">
      <formula>AND(IF($Q310=3,1,0),IF($X310&lt;30,1,0))</formula>
    </cfRule>
    <cfRule type="expression" priority="1066" dxfId="0">
      <formula>AND(IF($Q310=3,1,IF($Q310=4,1,0)),IF($F310&lt;=85,1,0))</formula>
    </cfRule>
  </conditionalFormatting>
  <conditionalFormatting sqref="AV311">
    <cfRule type="expression" priority="1061" dxfId="23">
      <formula>AV311="X"</formula>
    </cfRule>
    <cfRule type="expression" priority="1062" dxfId="22">
      <formula>AV311="후보"</formula>
    </cfRule>
  </conditionalFormatting>
  <conditionalFormatting sqref="AC31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1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11">
    <cfRule type="expression" priority="1053" dxfId="3">
      <formula>AND(IF(OR($Q311=1,$Q311=2),1,0),IF($X311&lt;=20,1,0))</formula>
    </cfRule>
    <cfRule type="expression" priority="1054" dxfId="2">
      <formula>AND(IF($Q311=2,1,0),IF($X311&lt;30,1,0))</formula>
    </cfRule>
    <cfRule type="expression" priority="1055" dxfId="1">
      <formula>AND(IF($Q311=3,1,0),IF($X311&lt;30,1,0))</formula>
    </cfRule>
    <cfRule type="expression" priority="1056" dxfId="0">
      <formula>AND(IF($Q311=3,1,IF($Q311=4,1,0)),IF($F311&lt;=85,1,0))</formula>
    </cfRule>
  </conditionalFormatting>
  <conditionalFormatting sqref="X311">
    <cfRule type="expression" priority="1049" dxfId="3">
      <formula>AND(IF(OR($Q311=1,$Q311=2),1,0),IF($X311&lt;=20,1,0))</formula>
    </cfRule>
    <cfRule type="expression" priority="1050" dxfId="2">
      <formula>AND(IF($Q311=2,1,0),IF($X311&lt;30,1,0))</formula>
    </cfRule>
    <cfRule type="expression" priority="1051" dxfId="1">
      <formula>AND(IF($Q311=3,1,0),IF($X311&lt;30,1,0))</formula>
    </cfRule>
    <cfRule type="expression" priority="1052" dxfId="0">
      <formula>AND(IF($Q311=3,1,IF($Q311=4,1,0)),IF($F311&lt;=85,1,0))</formula>
    </cfRule>
  </conditionalFormatting>
  <conditionalFormatting sqref="AI311">
    <cfRule type="expression" priority="1045" dxfId="3">
      <formula>AND(IF(OR($Q311=1,$Q311=2),1,0),IF($X311&lt;=20,1,0))</formula>
    </cfRule>
    <cfRule type="expression" priority="1046" dxfId="2">
      <formula>AND(IF($Q311=2,1,0),IF($X311&lt;30,1,0))</formula>
    </cfRule>
    <cfRule type="expression" priority="1047" dxfId="1">
      <formula>AND(IF($Q311=3,1,0),IF($X311&lt;30,1,0))</formula>
    </cfRule>
    <cfRule type="expression" priority="1048" dxfId="0">
      <formula>AND(IF($Q311=3,1,IF($Q311=4,1,0)),IF($F311&lt;=85,1,0))</formula>
    </cfRule>
  </conditionalFormatting>
  <conditionalFormatting sqref="AV312">
    <cfRule type="expression" priority="1043" dxfId="23">
      <formula>AV312="X"</formula>
    </cfRule>
    <cfRule type="expression" priority="1044" dxfId="22">
      <formula>AV312="후보"</formula>
    </cfRule>
  </conditionalFormatting>
  <conditionalFormatting sqref="AC31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1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12">
    <cfRule type="expression" priority="1035" dxfId="3">
      <formula>AND(IF(OR($Q312=1,$Q312=2),1,0),IF($X312&lt;=20,1,0))</formula>
    </cfRule>
    <cfRule type="expression" priority="1036" dxfId="2">
      <formula>AND(IF($Q312=2,1,0),IF($X312&lt;30,1,0))</formula>
    </cfRule>
    <cfRule type="expression" priority="1037" dxfId="1">
      <formula>AND(IF($Q312=3,1,0),IF($X312&lt;30,1,0))</formula>
    </cfRule>
    <cfRule type="expression" priority="1038" dxfId="0">
      <formula>AND(IF($Q312=3,1,IF($Q312=4,1,0)),IF($F312&lt;=85,1,0))</formula>
    </cfRule>
  </conditionalFormatting>
  <conditionalFormatting sqref="X312">
    <cfRule type="expression" priority="1031" dxfId="3">
      <formula>AND(IF(OR($Q312=1,$Q312=2),1,0),IF($X312&lt;=20,1,0))</formula>
    </cfRule>
    <cfRule type="expression" priority="1032" dxfId="2">
      <formula>AND(IF($Q312=2,1,0),IF($X312&lt;30,1,0))</formula>
    </cfRule>
    <cfRule type="expression" priority="1033" dxfId="1">
      <formula>AND(IF($Q312=3,1,0),IF($X312&lt;30,1,0))</formula>
    </cfRule>
    <cfRule type="expression" priority="1034" dxfId="0">
      <formula>AND(IF($Q312=3,1,IF($Q312=4,1,0)),IF($F312&lt;=85,1,0))</formula>
    </cfRule>
  </conditionalFormatting>
  <conditionalFormatting sqref="AI312">
    <cfRule type="expression" priority="1027" dxfId="3">
      <formula>AND(IF(OR($Q312=1,$Q312=2),1,0),IF($X312&lt;=20,1,0))</formula>
    </cfRule>
    <cfRule type="expression" priority="1028" dxfId="2">
      <formula>AND(IF($Q312=2,1,0),IF($X312&lt;30,1,0))</formula>
    </cfRule>
    <cfRule type="expression" priority="1029" dxfId="1">
      <formula>AND(IF($Q312=3,1,0),IF($X312&lt;30,1,0))</formula>
    </cfRule>
    <cfRule type="expression" priority="1030" dxfId="0">
      <formula>AND(IF($Q312=3,1,IF($Q312=4,1,0)),IF($F312&lt;=85,1,0))</formula>
    </cfRule>
  </conditionalFormatting>
  <conditionalFormatting sqref="AV313">
    <cfRule type="expression" priority="1025" dxfId="23">
      <formula>AV313="X"</formula>
    </cfRule>
    <cfRule type="expression" priority="1026" dxfId="22">
      <formula>AV313="후보"</formula>
    </cfRule>
  </conditionalFormatting>
  <conditionalFormatting sqref="AC31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1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13">
    <cfRule type="expression" priority="1017" dxfId="3">
      <formula>AND(IF(OR($Q313=1,$Q313=2),1,0),IF($X313&lt;=20,1,0))</formula>
    </cfRule>
    <cfRule type="expression" priority="1018" dxfId="2">
      <formula>AND(IF($Q313=2,1,0),IF($X313&lt;30,1,0))</formula>
    </cfRule>
    <cfRule type="expression" priority="1019" dxfId="1">
      <formula>AND(IF($Q313=3,1,0),IF($X313&lt;30,1,0))</formula>
    </cfRule>
    <cfRule type="expression" priority="1020" dxfId="0">
      <formula>AND(IF($Q313=3,1,IF($Q313=4,1,0)),IF($F313&lt;=85,1,0))</formula>
    </cfRule>
  </conditionalFormatting>
  <conditionalFormatting sqref="X313">
    <cfRule type="expression" priority="1013" dxfId="3">
      <formula>AND(IF(OR($Q313=1,$Q313=2),1,0),IF($X313&lt;=20,1,0))</formula>
    </cfRule>
    <cfRule type="expression" priority="1014" dxfId="2">
      <formula>AND(IF($Q313=2,1,0),IF($X313&lt;30,1,0))</formula>
    </cfRule>
    <cfRule type="expression" priority="1015" dxfId="1">
      <formula>AND(IF($Q313=3,1,0),IF($X313&lt;30,1,0))</formula>
    </cfRule>
    <cfRule type="expression" priority="1016" dxfId="0">
      <formula>AND(IF($Q313=3,1,IF($Q313=4,1,0)),IF($F313&lt;=85,1,0))</formula>
    </cfRule>
  </conditionalFormatting>
  <conditionalFormatting sqref="AI313">
    <cfRule type="expression" priority="1009" dxfId="3">
      <formula>AND(IF(OR($Q313=1,$Q313=2),1,0),IF($X313&lt;=20,1,0))</formula>
    </cfRule>
    <cfRule type="expression" priority="1010" dxfId="2">
      <formula>AND(IF($Q313=2,1,0),IF($X313&lt;30,1,0))</formula>
    </cfRule>
    <cfRule type="expression" priority="1011" dxfId="1">
      <formula>AND(IF($Q313=3,1,0),IF($X313&lt;30,1,0))</formula>
    </cfRule>
    <cfRule type="expression" priority="1012" dxfId="0">
      <formula>AND(IF($Q313=3,1,IF($Q313=4,1,0)),IF($F313&lt;=85,1,0))</formula>
    </cfRule>
  </conditionalFormatting>
  <conditionalFormatting sqref="AV314">
    <cfRule type="expression" priority="1007" dxfId="23">
      <formula>AV314="X"</formula>
    </cfRule>
    <cfRule type="expression" priority="1008" dxfId="22">
      <formula>AV314="후보"</formula>
    </cfRule>
  </conditionalFormatting>
  <conditionalFormatting sqref="AC31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4">
    <cfRule type="expression" priority="999" dxfId="3">
      <formula>AND(IF(OR($Q314=1,$Q314=2),1,0),IF($X314&lt;=20,1,0))</formula>
    </cfRule>
    <cfRule type="expression" priority="1000" dxfId="2">
      <formula>AND(IF($Q314=2,1,0),IF($X314&lt;30,1,0))</formula>
    </cfRule>
    <cfRule type="expression" priority="1001" dxfId="1">
      <formula>AND(IF($Q314=3,1,0),IF($X314&lt;30,1,0))</formula>
    </cfRule>
    <cfRule type="expression" priority="1002" dxfId="0">
      <formula>AND(IF($Q314=3,1,IF($Q314=4,1,0)),IF($F314&lt;=85,1,0))</formula>
    </cfRule>
  </conditionalFormatting>
  <conditionalFormatting sqref="X314">
    <cfRule type="expression" priority="995" dxfId="3">
      <formula>AND(IF(OR($Q314=1,$Q314=2),1,0),IF($X314&lt;=20,1,0))</formula>
    </cfRule>
    <cfRule type="expression" priority="996" dxfId="2">
      <formula>AND(IF($Q314=2,1,0),IF($X314&lt;30,1,0))</formula>
    </cfRule>
    <cfRule type="expression" priority="997" dxfId="1">
      <formula>AND(IF($Q314=3,1,0),IF($X314&lt;30,1,0))</formula>
    </cfRule>
    <cfRule type="expression" priority="998" dxfId="0">
      <formula>AND(IF($Q314=3,1,IF($Q314=4,1,0)),IF($F314&lt;=85,1,0))</formula>
    </cfRule>
  </conditionalFormatting>
  <conditionalFormatting sqref="AI314">
    <cfRule type="expression" priority="991" dxfId="3">
      <formula>AND(IF(OR($Q314=1,$Q314=2),1,0),IF($X314&lt;=20,1,0))</formula>
    </cfRule>
    <cfRule type="expression" priority="992" dxfId="2">
      <formula>AND(IF($Q314=2,1,0),IF($X314&lt;30,1,0))</formula>
    </cfRule>
    <cfRule type="expression" priority="993" dxfId="1">
      <formula>AND(IF($Q314=3,1,0),IF($X314&lt;30,1,0))</formula>
    </cfRule>
    <cfRule type="expression" priority="994" dxfId="0">
      <formula>AND(IF($Q314=3,1,IF($Q314=4,1,0)),IF($F314&lt;=85,1,0))</formula>
    </cfRule>
  </conditionalFormatting>
  <conditionalFormatting sqref="AV315">
    <cfRule type="expression" priority="989" dxfId="23">
      <formula>AV315="X"</formula>
    </cfRule>
    <cfRule type="expression" priority="990" dxfId="22">
      <formula>AV315="후보"</formula>
    </cfRule>
  </conditionalFormatting>
  <conditionalFormatting sqref="AC31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1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15">
    <cfRule type="expression" priority="981" dxfId="3">
      <formula>AND(IF(OR($Q315=1,$Q315=2),1,0),IF($X315&lt;=20,1,0))</formula>
    </cfRule>
    <cfRule type="expression" priority="982" dxfId="2">
      <formula>AND(IF($Q315=2,1,0),IF($X315&lt;30,1,0))</formula>
    </cfRule>
    <cfRule type="expression" priority="983" dxfId="1">
      <formula>AND(IF($Q315=3,1,0),IF($X315&lt;30,1,0))</formula>
    </cfRule>
    <cfRule type="expression" priority="984" dxfId="0">
      <formula>AND(IF($Q315=3,1,IF($Q315=4,1,0)),IF($F315&lt;=85,1,0))</formula>
    </cfRule>
  </conditionalFormatting>
  <conditionalFormatting sqref="X315">
    <cfRule type="expression" priority="977" dxfId="3">
      <formula>AND(IF(OR($Q315=1,$Q315=2),1,0),IF($X315&lt;=20,1,0))</formula>
    </cfRule>
    <cfRule type="expression" priority="978" dxfId="2">
      <formula>AND(IF($Q315=2,1,0),IF($X315&lt;30,1,0))</formula>
    </cfRule>
    <cfRule type="expression" priority="979" dxfId="1">
      <formula>AND(IF($Q315=3,1,0),IF($X315&lt;30,1,0))</formula>
    </cfRule>
    <cfRule type="expression" priority="980" dxfId="0">
      <formula>AND(IF($Q315=3,1,IF($Q315=4,1,0)),IF($F315&lt;=85,1,0))</formula>
    </cfRule>
  </conditionalFormatting>
  <conditionalFormatting sqref="AI315">
    <cfRule type="expression" priority="973" dxfId="3">
      <formula>AND(IF(OR($Q315=1,$Q315=2),1,0),IF($X315&lt;=20,1,0))</formula>
    </cfRule>
    <cfRule type="expression" priority="974" dxfId="2">
      <formula>AND(IF($Q315=2,1,0),IF($X315&lt;30,1,0))</formula>
    </cfRule>
    <cfRule type="expression" priority="975" dxfId="1">
      <formula>AND(IF($Q315=3,1,0),IF($X315&lt;30,1,0))</formula>
    </cfRule>
    <cfRule type="expression" priority="976" dxfId="0">
      <formula>AND(IF($Q315=3,1,IF($Q315=4,1,0)),IF($F315&lt;=85,1,0))</formula>
    </cfRule>
  </conditionalFormatting>
  <conditionalFormatting sqref="AV316">
    <cfRule type="expression" priority="971" dxfId="23">
      <formula>AV316="X"</formula>
    </cfRule>
    <cfRule type="expression" priority="972" dxfId="22">
      <formula>AV316="후보"</formula>
    </cfRule>
  </conditionalFormatting>
  <conditionalFormatting sqref="AC31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1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16">
    <cfRule type="expression" priority="963" dxfId="3">
      <formula>AND(IF(OR($Q316=1,$Q316=2),1,0),IF($X316&lt;=20,1,0))</formula>
    </cfRule>
    <cfRule type="expression" priority="964" dxfId="2">
      <formula>AND(IF($Q316=2,1,0),IF($X316&lt;30,1,0))</formula>
    </cfRule>
    <cfRule type="expression" priority="965" dxfId="1">
      <formula>AND(IF($Q316=3,1,0),IF($X316&lt;30,1,0))</formula>
    </cfRule>
    <cfRule type="expression" priority="966" dxfId="0">
      <formula>AND(IF($Q316=3,1,IF($Q316=4,1,0)),IF($F316&lt;=85,1,0))</formula>
    </cfRule>
  </conditionalFormatting>
  <conditionalFormatting sqref="X316">
    <cfRule type="expression" priority="959" dxfId="3">
      <formula>AND(IF(OR($Q316=1,$Q316=2),1,0),IF($X316&lt;=20,1,0))</formula>
    </cfRule>
    <cfRule type="expression" priority="960" dxfId="2">
      <formula>AND(IF($Q316=2,1,0),IF($X316&lt;30,1,0))</formula>
    </cfRule>
    <cfRule type="expression" priority="961" dxfId="1">
      <formula>AND(IF($Q316=3,1,0),IF($X316&lt;30,1,0))</formula>
    </cfRule>
    <cfRule type="expression" priority="962" dxfId="0">
      <formula>AND(IF($Q316=3,1,IF($Q316=4,1,0)),IF($F316&lt;=85,1,0))</formula>
    </cfRule>
  </conditionalFormatting>
  <conditionalFormatting sqref="AI316">
    <cfRule type="expression" priority="955" dxfId="3">
      <formula>AND(IF(OR($Q316=1,$Q316=2),1,0),IF($X316&lt;=20,1,0))</formula>
    </cfRule>
    <cfRule type="expression" priority="956" dxfId="2">
      <formula>AND(IF($Q316=2,1,0),IF($X316&lt;30,1,0))</formula>
    </cfRule>
    <cfRule type="expression" priority="957" dxfId="1">
      <formula>AND(IF($Q316=3,1,0),IF($X316&lt;30,1,0))</formula>
    </cfRule>
    <cfRule type="expression" priority="958" dxfId="0">
      <formula>AND(IF($Q316=3,1,IF($Q316=4,1,0)),IF($F316&lt;=85,1,0))</formula>
    </cfRule>
  </conditionalFormatting>
  <conditionalFormatting sqref="AV317">
    <cfRule type="expression" priority="953" dxfId="23">
      <formula>AV317="X"</formula>
    </cfRule>
    <cfRule type="expression" priority="954" dxfId="22">
      <formula>AV317="후보"</formula>
    </cfRule>
  </conditionalFormatting>
  <conditionalFormatting sqref="AC31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1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17">
    <cfRule type="expression" priority="945" dxfId="3">
      <formula>AND(IF(OR($Q317=1,$Q317=2),1,0),IF($X317&lt;=20,1,0))</formula>
    </cfRule>
    <cfRule type="expression" priority="946" dxfId="2">
      <formula>AND(IF($Q317=2,1,0),IF($X317&lt;30,1,0))</formula>
    </cfRule>
    <cfRule type="expression" priority="947" dxfId="1">
      <formula>AND(IF($Q317=3,1,0),IF($X317&lt;30,1,0))</formula>
    </cfRule>
    <cfRule type="expression" priority="948" dxfId="0">
      <formula>AND(IF($Q317=3,1,IF($Q317=4,1,0)),IF($F317&lt;=85,1,0))</formula>
    </cfRule>
  </conditionalFormatting>
  <conditionalFormatting sqref="X317">
    <cfRule type="expression" priority="941" dxfId="3">
      <formula>AND(IF(OR($Q317=1,$Q317=2),1,0),IF($X317&lt;=20,1,0))</formula>
    </cfRule>
    <cfRule type="expression" priority="942" dxfId="2">
      <formula>AND(IF($Q317=2,1,0),IF($X317&lt;30,1,0))</formula>
    </cfRule>
    <cfRule type="expression" priority="943" dxfId="1">
      <formula>AND(IF($Q317=3,1,0),IF($X317&lt;30,1,0))</formula>
    </cfRule>
    <cfRule type="expression" priority="944" dxfId="0">
      <formula>AND(IF($Q317=3,1,IF($Q317=4,1,0)),IF($F317&lt;=85,1,0))</formula>
    </cfRule>
  </conditionalFormatting>
  <conditionalFormatting sqref="AI317">
    <cfRule type="expression" priority="937" dxfId="3">
      <formula>AND(IF(OR($Q317=1,$Q317=2),1,0),IF($X317&lt;=20,1,0))</formula>
    </cfRule>
    <cfRule type="expression" priority="938" dxfId="2">
      <formula>AND(IF($Q317=2,1,0),IF($X317&lt;30,1,0))</formula>
    </cfRule>
    <cfRule type="expression" priority="939" dxfId="1">
      <formula>AND(IF($Q317=3,1,0),IF($X317&lt;30,1,0))</formula>
    </cfRule>
    <cfRule type="expression" priority="940" dxfId="0">
      <formula>AND(IF($Q317=3,1,IF($Q317=4,1,0)),IF($F317&lt;=85,1,0))</formula>
    </cfRule>
  </conditionalFormatting>
  <conditionalFormatting sqref="AV318">
    <cfRule type="expression" priority="935" dxfId="23">
      <formula>AV318="X"</formula>
    </cfRule>
    <cfRule type="expression" priority="936" dxfId="22">
      <formula>AV318="후보"</formula>
    </cfRule>
  </conditionalFormatting>
  <conditionalFormatting sqref="AC31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1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18">
    <cfRule type="expression" priority="927" dxfId="3">
      <formula>AND(IF(OR($Q318=1,$Q318=2),1,0),IF($X318&lt;=20,1,0))</formula>
    </cfRule>
    <cfRule type="expression" priority="928" dxfId="2">
      <formula>AND(IF($Q318=2,1,0),IF($X318&lt;30,1,0))</formula>
    </cfRule>
    <cfRule type="expression" priority="929" dxfId="1">
      <formula>AND(IF($Q318=3,1,0),IF($X318&lt;30,1,0))</formula>
    </cfRule>
    <cfRule type="expression" priority="930" dxfId="0">
      <formula>AND(IF($Q318=3,1,IF($Q318=4,1,0)),IF($F318&lt;=85,1,0))</formula>
    </cfRule>
  </conditionalFormatting>
  <conditionalFormatting sqref="X318">
    <cfRule type="expression" priority="923" dxfId="3">
      <formula>AND(IF(OR($Q318=1,$Q318=2),1,0),IF($X318&lt;=20,1,0))</formula>
    </cfRule>
    <cfRule type="expression" priority="924" dxfId="2">
      <formula>AND(IF($Q318=2,1,0),IF($X318&lt;30,1,0))</formula>
    </cfRule>
    <cfRule type="expression" priority="925" dxfId="1">
      <formula>AND(IF($Q318=3,1,0),IF($X318&lt;30,1,0))</formula>
    </cfRule>
    <cfRule type="expression" priority="926" dxfId="0">
      <formula>AND(IF($Q318=3,1,IF($Q318=4,1,0)),IF($F318&lt;=85,1,0))</formula>
    </cfRule>
  </conditionalFormatting>
  <conditionalFormatting sqref="AI318">
    <cfRule type="expression" priority="919" dxfId="3">
      <formula>AND(IF(OR($Q318=1,$Q318=2),1,0),IF($X318&lt;=20,1,0))</formula>
    </cfRule>
    <cfRule type="expression" priority="920" dxfId="2">
      <formula>AND(IF($Q318=2,1,0),IF($X318&lt;30,1,0))</formula>
    </cfRule>
    <cfRule type="expression" priority="921" dxfId="1">
      <formula>AND(IF($Q318=3,1,0),IF($X318&lt;30,1,0))</formula>
    </cfRule>
    <cfRule type="expression" priority="922" dxfId="0">
      <formula>AND(IF($Q318=3,1,IF($Q318=4,1,0)),IF($F318&lt;=85,1,0))</formula>
    </cfRule>
  </conditionalFormatting>
  <conditionalFormatting sqref="AV319">
    <cfRule type="expression" priority="917" dxfId="23">
      <formula>AV319="X"</formula>
    </cfRule>
    <cfRule type="expression" priority="918" dxfId="22">
      <formula>AV319="후보"</formula>
    </cfRule>
  </conditionalFormatting>
  <conditionalFormatting sqref="AC31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1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19">
    <cfRule type="expression" priority="909" dxfId="3">
      <formula>AND(IF(OR($Q319=1,$Q319=2),1,0),IF($X319&lt;=20,1,0))</formula>
    </cfRule>
    <cfRule type="expression" priority="910" dxfId="2">
      <formula>AND(IF($Q319=2,1,0),IF($X319&lt;30,1,0))</formula>
    </cfRule>
    <cfRule type="expression" priority="911" dxfId="1">
      <formula>AND(IF($Q319=3,1,0),IF($X319&lt;30,1,0))</formula>
    </cfRule>
    <cfRule type="expression" priority="912" dxfId="0">
      <formula>AND(IF($Q319=3,1,IF($Q319=4,1,0)),IF($F319&lt;=85,1,0))</formula>
    </cfRule>
  </conditionalFormatting>
  <conditionalFormatting sqref="X319">
    <cfRule type="expression" priority="905" dxfId="3">
      <formula>AND(IF(OR($Q319=1,$Q319=2),1,0),IF($X319&lt;=20,1,0))</formula>
    </cfRule>
    <cfRule type="expression" priority="906" dxfId="2">
      <formula>AND(IF($Q319=2,1,0),IF($X319&lt;30,1,0))</formula>
    </cfRule>
    <cfRule type="expression" priority="907" dxfId="1">
      <formula>AND(IF($Q319=3,1,0),IF($X319&lt;30,1,0))</formula>
    </cfRule>
    <cfRule type="expression" priority="908" dxfId="0">
      <formula>AND(IF($Q319=3,1,IF($Q319=4,1,0)),IF($F319&lt;=85,1,0))</formula>
    </cfRule>
  </conditionalFormatting>
  <conditionalFormatting sqref="AI319">
    <cfRule type="expression" priority="901" dxfId="3">
      <formula>AND(IF(OR($Q319=1,$Q319=2),1,0),IF($X319&lt;=20,1,0))</formula>
    </cfRule>
    <cfRule type="expression" priority="902" dxfId="2">
      <formula>AND(IF($Q319=2,1,0),IF($X319&lt;30,1,0))</formula>
    </cfRule>
    <cfRule type="expression" priority="903" dxfId="1">
      <formula>AND(IF($Q319=3,1,0),IF($X319&lt;30,1,0))</formula>
    </cfRule>
    <cfRule type="expression" priority="904" dxfId="0">
      <formula>AND(IF($Q319=3,1,IF($Q319=4,1,0)),IF($F319&lt;=85,1,0))</formula>
    </cfRule>
  </conditionalFormatting>
  <conditionalFormatting sqref="AV320">
    <cfRule type="expression" priority="899" dxfId="23">
      <formula>AV320="X"</formula>
    </cfRule>
    <cfRule type="expression" priority="900" dxfId="22">
      <formula>AV320="후보"</formula>
    </cfRule>
  </conditionalFormatting>
  <conditionalFormatting sqref="AC32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2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20">
    <cfRule type="expression" priority="891" dxfId="3">
      <formula>AND(IF(OR($Q320=1,$Q320=2),1,0),IF($X320&lt;=20,1,0))</formula>
    </cfRule>
    <cfRule type="expression" priority="892" dxfId="2">
      <formula>AND(IF($Q320=2,1,0),IF($X320&lt;30,1,0))</formula>
    </cfRule>
    <cfRule type="expression" priority="893" dxfId="1">
      <formula>AND(IF($Q320=3,1,0),IF($X320&lt;30,1,0))</formula>
    </cfRule>
    <cfRule type="expression" priority="894" dxfId="0">
      <formula>AND(IF($Q320=3,1,IF($Q320=4,1,0)),IF($F320&lt;=85,1,0))</formula>
    </cfRule>
  </conditionalFormatting>
  <conditionalFormatting sqref="X320">
    <cfRule type="expression" priority="887" dxfId="3">
      <formula>AND(IF(OR($Q320=1,$Q320=2),1,0),IF($X320&lt;=20,1,0))</formula>
    </cfRule>
    <cfRule type="expression" priority="888" dxfId="2">
      <formula>AND(IF($Q320=2,1,0),IF($X320&lt;30,1,0))</formula>
    </cfRule>
    <cfRule type="expression" priority="889" dxfId="1">
      <formula>AND(IF($Q320=3,1,0),IF($X320&lt;30,1,0))</formula>
    </cfRule>
    <cfRule type="expression" priority="890" dxfId="0">
      <formula>AND(IF($Q320=3,1,IF($Q320=4,1,0)),IF($F320&lt;=85,1,0))</formula>
    </cfRule>
  </conditionalFormatting>
  <conditionalFormatting sqref="AI320">
    <cfRule type="expression" priority="883" dxfId="3">
      <formula>AND(IF(OR($Q320=1,$Q320=2),1,0),IF($X320&lt;=20,1,0))</formula>
    </cfRule>
    <cfRule type="expression" priority="884" dxfId="2">
      <formula>AND(IF($Q320=2,1,0),IF($X320&lt;30,1,0))</formula>
    </cfRule>
    <cfRule type="expression" priority="885" dxfId="1">
      <formula>AND(IF($Q320=3,1,0),IF($X320&lt;30,1,0))</formula>
    </cfRule>
    <cfRule type="expression" priority="886" dxfId="0">
      <formula>AND(IF($Q320=3,1,IF($Q320=4,1,0)),IF($F320&lt;=85,1,0))</formula>
    </cfRule>
  </conditionalFormatting>
  <conditionalFormatting sqref="AV321">
    <cfRule type="expression" priority="881" dxfId="23">
      <formula>AV321="X"</formula>
    </cfRule>
    <cfRule type="expression" priority="882" dxfId="22">
      <formula>AV321="후보"</formula>
    </cfRule>
  </conditionalFormatting>
  <conditionalFormatting sqref="AC32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2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21">
    <cfRule type="expression" priority="873" dxfId="3">
      <formula>AND(IF(OR($Q321=1,$Q321=2),1,0),IF($X321&lt;=20,1,0))</formula>
    </cfRule>
    <cfRule type="expression" priority="874" dxfId="2">
      <formula>AND(IF($Q321=2,1,0),IF($X321&lt;30,1,0))</formula>
    </cfRule>
    <cfRule type="expression" priority="875" dxfId="1">
      <formula>AND(IF($Q321=3,1,0),IF($X321&lt;30,1,0))</formula>
    </cfRule>
    <cfRule type="expression" priority="876" dxfId="0">
      <formula>AND(IF($Q321=3,1,IF($Q321=4,1,0)),IF($F321&lt;=85,1,0))</formula>
    </cfRule>
  </conditionalFormatting>
  <conditionalFormatting sqref="X321">
    <cfRule type="expression" priority="869" dxfId="3">
      <formula>AND(IF(OR($Q321=1,$Q321=2),1,0),IF($X321&lt;=20,1,0))</formula>
    </cfRule>
    <cfRule type="expression" priority="870" dxfId="2">
      <formula>AND(IF($Q321=2,1,0),IF($X321&lt;30,1,0))</formula>
    </cfRule>
    <cfRule type="expression" priority="871" dxfId="1">
      <formula>AND(IF($Q321=3,1,0),IF($X321&lt;30,1,0))</formula>
    </cfRule>
    <cfRule type="expression" priority="872" dxfId="0">
      <formula>AND(IF($Q321=3,1,IF($Q321=4,1,0)),IF($F321&lt;=85,1,0))</formula>
    </cfRule>
  </conditionalFormatting>
  <conditionalFormatting sqref="AI321">
    <cfRule type="expression" priority="865" dxfId="3">
      <formula>AND(IF(OR($Q321=1,$Q321=2),1,0),IF($X321&lt;=20,1,0))</formula>
    </cfRule>
    <cfRule type="expression" priority="866" dxfId="2">
      <formula>AND(IF($Q321=2,1,0),IF($X321&lt;30,1,0))</formula>
    </cfRule>
    <cfRule type="expression" priority="867" dxfId="1">
      <formula>AND(IF($Q321=3,1,0),IF($X321&lt;30,1,0))</formula>
    </cfRule>
    <cfRule type="expression" priority="868" dxfId="0">
      <formula>AND(IF($Q321=3,1,IF($Q321=4,1,0)),IF($F321&lt;=85,1,0))</formula>
    </cfRule>
  </conditionalFormatting>
  <conditionalFormatting sqref="AV322">
    <cfRule type="expression" priority="863" dxfId="23">
      <formula>AV322="X"</formula>
    </cfRule>
    <cfRule type="expression" priority="864" dxfId="22">
      <formula>AV322="후보"</formula>
    </cfRule>
  </conditionalFormatting>
  <conditionalFormatting sqref="AC32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2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22">
    <cfRule type="expression" priority="855" dxfId="3">
      <formula>AND(IF(OR($Q322=1,$Q322=2),1,0),IF($X322&lt;=20,1,0))</formula>
    </cfRule>
    <cfRule type="expression" priority="856" dxfId="2">
      <formula>AND(IF($Q322=2,1,0),IF($X322&lt;30,1,0))</formula>
    </cfRule>
    <cfRule type="expression" priority="857" dxfId="1">
      <formula>AND(IF($Q322=3,1,0),IF($X322&lt;30,1,0))</formula>
    </cfRule>
    <cfRule type="expression" priority="858" dxfId="0">
      <formula>AND(IF($Q322=3,1,IF($Q322=4,1,0)),IF($F322&lt;=85,1,0))</formula>
    </cfRule>
  </conditionalFormatting>
  <conditionalFormatting sqref="X322">
    <cfRule type="expression" priority="851" dxfId="3">
      <formula>AND(IF(OR($Q322=1,$Q322=2),1,0),IF($X322&lt;=20,1,0))</formula>
    </cfRule>
    <cfRule type="expression" priority="852" dxfId="2">
      <formula>AND(IF($Q322=2,1,0),IF($X322&lt;30,1,0))</formula>
    </cfRule>
    <cfRule type="expression" priority="853" dxfId="1">
      <formula>AND(IF($Q322=3,1,0),IF($X322&lt;30,1,0))</formula>
    </cfRule>
    <cfRule type="expression" priority="854" dxfId="0">
      <formula>AND(IF($Q322=3,1,IF($Q322=4,1,0)),IF($F322&lt;=85,1,0))</formula>
    </cfRule>
  </conditionalFormatting>
  <conditionalFormatting sqref="AI322">
    <cfRule type="expression" priority="847" dxfId="3">
      <formula>AND(IF(OR($Q322=1,$Q322=2),1,0),IF($X322&lt;=20,1,0))</formula>
    </cfRule>
    <cfRule type="expression" priority="848" dxfId="2">
      <formula>AND(IF($Q322=2,1,0),IF($X322&lt;30,1,0))</formula>
    </cfRule>
    <cfRule type="expression" priority="849" dxfId="1">
      <formula>AND(IF($Q322=3,1,0),IF($X322&lt;30,1,0))</formula>
    </cfRule>
    <cfRule type="expression" priority="850" dxfId="0">
      <formula>AND(IF($Q322=3,1,IF($Q322=4,1,0)),IF($F322&lt;=85,1,0))</formula>
    </cfRule>
  </conditionalFormatting>
  <conditionalFormatting sqref="AV323">
    <cfRule type="expression" priority="845" dxfId="23">
      <formula>AV323="X"</formula>
    </cfRule>
    <cfRule type="expression" priority="846" dxfId="22">
      <formula>AV323="후보"</formula>
    </cfRule>
  </conditionalFormatting>
  <conditionalFormatting sqref="AC32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2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23">
    <cfRule type="expression" priority="837" dxfId="3">
      <formula>AND(IF(OR($Q323=1,$Q323=2),1,0),IF($X323&lt;=20,1,0))</formula>
    </cfRule>
    <cfRule type="expression" priority="838" dxfId="2">
      <formula>AND(IF($Q323=2,1,0),IF($X323&lt;30,1,0))</formula>
    </cfRule>
    <cfRule type="expression" priority="839" dxfId="1">
      <formula>AND(IF($Q323=3,1,0),IF($X323&lt;30,1,0))</formula>
    </cfRule>
    <cfRule type="expression" priority="840" dxfId="0">
      <formula>AND(IF($Q323=3,1,IF($Q323=4,1,0)),IF($F323&lt;=85,1,0))</formula>
    </cfRule>
  </conditionalFormatting>
  <conditionalFormatting sqref="X323">
    <cfRule type="expression" priority="833" dxfId="3">
      <formula>AND(IF(OR($Q323=1,$Q323=2),1,0),IF($X323&lt;=20,1,0))</formula>
    </cfRule>
    <cfRule type="expression" priority="834" dxfId="2">
      <formula>AND(IF($Q323=2,1,0),IF($X323&lt;30,1,0))</formula>
    </cfRule>
    <cfRule type="expression" priority="835" dxfId="1">
      <formula>AND(IF($Q323=3,1,0),IF($X323&lt;30,1,0))</formula>
    </cfRule>
    <cfRule type="expression" priority="836" dxfId="0">
      <formula>AND(IF($Q323=3,1,IF($Q323=4,1,0)),IF($F323&lt;=85,1,0))</formula>
    </cfRule>
  </conditionalFormatting>
  <conditionalFormatting sqref="AI323">
    <cfRule type="expression" priority="829" dxfId="3">
      <formula>AND(IF(OR($Q323=1,$Q323=2),1,0),IF($X323&lt;=20,1,0))</formula>
    </cfRule>
    <cfRule type="expression" priority="830" dxfId="2">
      <formula>AND(IF($Q323=2,1,0),IF($X323&lt;30,1,0))</formula>
    </cfRule>
    <cfRule type="expression" priority="831" dxfId="1">
      <formula>AND(IF($Q323=3,1,0),IF($X323&lt;30,1,0))</formula>
    </cfRule>
    <cfRule type="expression" priority="832" dxfId="0">
      <formula>AND(IF($Q323=3,1,IF($Q323=4,1,0)),IF($F323&lt;=85,1,0))</formula>
    </cfRule>
  </conditionalFormatting>
  <conditionalFormatting sqref="AV324">
    <cfRule type="expression" priority="827" dxfId="23">
      <formula>AV324="X"</formula>
    </cfRule>
    <cfRule type="expression" priority="828" dxfId="22">
      <formula>AV324="후보"</formula>
    </cfRule>
  </conditionalFormatting>
  <conditionalFormatting sqref="AC32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2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24">
    <cfRule type="expression" priority="819" dxfId="3">
      <formula>AND(IF(OR($Q324=1,$Q324=2),1,0),IF($X324&lt;=20,1,0))</formula>
    </cfRule>
    <cfRule type="expression" priority="820" dxfId="2">
      <formula>AND(IF($Q324=2,1,0),IF($X324&lt;30,1,0))</formula>
    </cfRule>
    <cfRule type="expression" priority="821" dxfId="1">
      <formula>AND(IF($Q324=3,1,0),IF($X324&lt;30,1,0))</formula>
    </cfRule>
    <cfRule type="expression" priority="822" dxfId="0">
      <formula>AND(IF($Q324=3,1,IF($Q324=4,1,0)),IF($F324&lt;=85,1,0))</formula>
    </cfRule>
  </conditionalFormatting>
  <conditionalFormatting sqref="X324">
    <cfRule type="expression" priority="815" dxfId="3">
      <formula>AND(IF(OR($Q324=1,$Q324=2),1,0),IF($X324&lt;=20,1,0))</formula>
    </cfRule>
    <cfRule type="expression" priority="816" dxfId="2">
      <formula>AND(IF($Q324=2,1,0),IF($X324&lt;30,1,0))</formula>
    </cfRule>
    <cfRule type="expression" priority="817" dxfId="1">
      <formula>AND(IF($Q324=3,1,0),IF($X324&lt;30,1,0))</formula>
    </cfRule>
    <cfRule type="expression" priority="818" dxfId="0">
      <formula>AND(IF($Q324=3,1,IF($Q324=4,1,0)),IF($F324&lt;=85,1,0))</formula>
    </cfRule>
  </conditionalFormatting>
  <conditionalFormatting sqref="AI324">
    <cfRule type="expression" priority="811" dxfId="3">
      <formula>AND(IF(OR($Q324=1,$Q324=2),1,0),IF($X324&lt;=20,1,0))</formula>
    </cfRule>
    <cfRule type="expression" priority="812" dxfId="2">
      <formula>AND(IF($Q324=2,1,0),IF($X324&lt;30,1,0))</formula>
    </cfRule>
    <cfRule type="expression" priority="813" dxfId="1">
      <formula>AND(IF($Q324=3,1,0),IF($X324&lt;30,1,0))</formula>
    </cfRule>
    <cfRule type="expression" priority="814" dxfId="0">
      <formula>AND(IF($Q324=3,1,IF($Q324=4,1,0)),IF($F324&lt;=85,1,0))</formula>
    </cfRule>
  </conditionalFormatting>
  <conditionalFormatting sqref="AV325">
    <cfRule type="expression" priority="809" dxfId="23">
      <formula>AV325="X"</formula>
    </cfRule>
    <cfRule type="expression" priority="810" dxfId="22">
      <formula>AV325="후보"</formula>
    </cfRule>
  </conditionalFormatting>
  <conditionalFormatting sqref="AC32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2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25">
    <cfRule type="expression" priority="801" dxfId="3">
      <formula>AND(IF(OR($Q325=1,$Q325=2),1,0),IF($X325&lt;=20,1,0))</formula>
    </cfRule>
    <cfRule type="expression" priority="802" dxfId="2">
      <formula>AND(IF($Q325=2,1,0),IF($X325&lt;30,1,0))</formula>
    </cfRule>
    <cfRule type="expression" priority="803" dxfId="1">
      <formula>AND(IF($Q325=3,1,0),IF($X325&lt;30,1,0))</formula>
    </cfRule>
    <cfRule type="expression" priority="804" dxfId="0">
      <formula>AND(IF($Q325=3,1,IF($Q325=4,1,0)),IF($F325&lt;=85,1,0))</formula>
    </cfRule>
  </conditionalFormatting>
  <conditionalFormatting sqref="X325">
    <cfRule type="expression" priority="797" dxfId="3">
      <formula>AND(IF(OR($Q325=1,$Q325=2),1,0),IF($X325&lt;=20,1,0))</formula>
    </cfRule>
    <cfRule type="expression" priority="798" dxfId="2">
      <formula>AND(IF($Q325=2,1,0),IF($X325&lt;30,1,0))</formula>
    </cfRule>
    <cfRule type="expression" priority="799" dxfId="1">
      <formula>AND(IF($Q325=3,1,0),IF($X325&lt;30,1,0))</formula>
    </cfRule>
    <cfRule type="expression" priority="800" dxfId="0">
      <formula>AND(IF($Q325=3,1,IF($Q325=4,1,0)),IF($F325&lt;=85,1,0))</formula>
    </cfRule>
  </conditionalFormatting>
  <conditionalFormatting sqref="AI325">
    <cfRule type="expression" priority="793" dxfId="3">
      <formula>AND(IF(OR($Q325=1,$Q325=2),1,0),IF($X325&lt;=20,1,0))</formula>
    </cfRule>
    <cfRule type="expression" priority="794" dxfId="2">
      <formula>AND(IF($Q325=2,1,0),IF($X325&lt;30,1,0))</formula>
    </cfRule>
    <cfRule type="expression" priority="795" dxfId="1">
      <formula>AND(IF($Q325=3,1,0),IF($X325&lt;30,1,0))</formula>
    </cfRule>
    <cfRule type="expression" priority="796" dxfId="0">
      <formula>AND(IF($Q325=3,1,IF($Q325=4,1,0)),IF($F325&lt;=85,1,0))</formula>
    </cfRule>
  </conditionalFormatting>
  <conditionalFormatting sqref="AV326">
    <cfRule type="expression" priority="791" dxfId="23">
      <formula>AV326="X"</formula>
    </cfRule>
    <cfRule type="expression" priority="792" dxfId="22">
      <formula>AV326="후보"</formula>
    </cfRule>
  </conditionalFormatting>
  <conditionalFormatting sqref="AC32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2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26">
    <cfRule type="expression" priority="783" dxfId="3">
      <formula>AND(IF(OR($Q326=1,$Q326=2),1,0),IF($X326&lt;=20,1,0))</formula>
    </cfRule>
    <cfRule type="expression" priority="784" dxfId="2">
      <formula>AND(IF($Q326=2,1,0),IF($X326&lt;30,1,0))</formula>
    </cfRule>
    <cfRule type="expression" priority="785" dxfId="1">
      <formula>AND(IF($Q326=3,1,0),IF($X326&lt;30,1,0))</formula>
    </cfRule>
    <cfRule type="expression" priority="786" dxfId="0">
      <formula>AND(IF($Q326=3,1,IF($Q326=4,1,0)),IF($F326&lt;=85,1,0))</formula>
    </cfRule>
  </conditionalFormatting>
  <conditionalFormatting sqref="X326">
    <cfRule type="expression" priority="779" dxfId="3">
      <formula>AND(IF(OR($Q326=1,$Q326=2),1,0),IF($X326&lt;=20,1,0))</formula>
    </cfRule>
    <cfRule type="expression" priority="780" dxfId="2">
      <formula>AND(IF($Q326=2,1,0),IF($X326&lt;30,1,0))</formula>
    </cfRule>
    <cfRule type="expression" priority="781" dxfId="1">
      <formula>AND(IF($Q326=3,1,0),IF($X326&lt;30,1,0))</formula>
    </cfRule>
    <cfRule type="expression" priority="782" dxfId="0">
      <formula>AND(IF($Q326=3,1,IF($Q326=4,1,0)),IF($F326&lt;=85,1,0))</formula>
    </cfRule>
  </conditionalFormatting>
  <conditionalFormatting sqref="AI326">
    <cfRule type="expression" priority="775" dxfId="3">
      <formula>AND(IF(OR($Q326=1,$Q326=2),1,0),IF($X326&lt;=20,1,0))</formula>
    </cfRule>
    <cfRule type="expression" priority="776" dxfId="2">
      <formula>AND(IF($Q326=2,1,0),IF($X326&lt;30,1,0))</formula>
    </cfRule>
    <cfRule type="expression" priority="777" dxfId="1">
      <formula>AND(IF($Q326=3,1,0),IF($X326&lt;30,1,0))</formula>
    </cfRule>
    <cfRule type="expression" priority="778" dxfId="0">
      <formula>AND(IF($Q326=3,1,IF($Q326=4,1,0)),IF($F326&lt;=85,1,0))</formula>
    </cfRule>
  </conditionalFormatting>
  <conditionalFormatting sqref="AV327">
    <cfRule type="expression" priority="773" dxfId="23">
      <formula>AV327="X"</formula>
    </cfRule>
    <cfRule type="expression" priority="774" dxfId="22">
      <formula>AV327="후보"</formula>
    </cfRule>
  </conditionalFormatting>
  <conditionalFormatting sqref="AC32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2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27">
    <cfRule type="expression" priority="765" dxfId="3">
      <formula>AND(IF(OR($Q327=1,$Q327=2),1,0),IF($X327&lt;=20,1,0))</formula>
    </cfRule>
    <cfRule type="expression" priority="766" dxfId="2">
      <formula>AND(IF($Q327=2,1,0),IF($X327&lt;30,1,0))</formula>
    </cfRule>
    <cfRule type="expression" priority="767" dxfId="1">
      <formula>AND(IF($Q327=3,1,0),IF($X327&lt;30,1,0))</formula>
    </cfRule>
    <cfRule type="expression" priority="768" dxfId="0">
      <formula>AND(IF($Q327=3,1,IF($Q327=4,1,0)),IF($F327&lt;=85,1,0))</formula>
    </cfRule>
  </conditionalFormatting>
  <conditionalFormatting sqref="X327">
    <cfRule type="expression" priority="761" dxfId="3">
      <formula>AND(IF(OR($Q327=1,$Q327=2),1,0),IF($X327&lt;=20,1,0))</formula>
    </cfRule>
    <cfRule type="expression" priority="762" dxfId="2">
      <formula>AND(IF($Q327=2,1,0),IF($X327&lt;30,1,0))</formula>
    </cfRule>
    <cfRule type="expression" priority="763" dxfId="1">
      <formula>AND(IF($Q327=3,1,0),IF($X327&lt;30,1,0))</formula>
    </cfRule>
    <cfRule type="expression" priority="764" dxfId="0">
      <formula>AND(IF($Q327=3,1,IF($Q327=4,1,0)),IF($F327&lt;=85,1,0))</formula>
    </cfRule>
  </conditionalFormatting>
  <conditionalFormatting sqref="AI327">
    <cfRule type="expression" priority="757" dxfId="3">
      <formula>AND(IF(OR($Q327=1,$Q327=2),1,0),IF($X327&lt;=20,1,0))</formula>
    </cfRule>
    <cfRule type="expression" priority="758" dxfId="2">
      <formula>AND(IF($Q327=2,1,0),IF($X327&lt;30,1,0))</formula>
    </cfRule>
    <cfRule type="expression" priority="759" dxfId="1">
      <formula>AND(IF($Q327=3,1,0),IF($X327&lt;30,1,0))</formula>
    </cfRule>
    <cfRule type="expression" priority="760" dxfId="0">
      <formula>AND(IF($Q327=3,1,IF($Q327=4,1,0)),IF($F327&lt;=85,1,0))</formula>
    </cfRule>
  </conditionalFormatting>
  <conditionalFormatting sqref="AV328">
    <cfRule type="expression" priority="755" dxfId="23">
      <formula>AV328="X"</formula>
    </cfRule>
    <cfRule type="expression" priority="756" dxfId="22">
      <formula>AV328="후보"</formula>
    </cfRule>
  </conditionalFormatting>
  <conditionalFormatting sqref="AC3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28">
    <cfRule type="expression" priority="747" dxfId="3">
      <formula>AND(IF(OR($Q328=1,$Q328=2),1,0),IF($X328&lt;=20,1,0))</formula>
    </cfRule>
    <cfRule type="expression" priority="748" dxfId="2">
      <formula>AND(IF($Q328=2,1,0),IF($X328&lt;30,1,0))</formula>
    </cfRule>
    <cfRule type="expression" priority="749" dxfId="1">
      <formula>AND(IF($Q328=3,1,0),IF($X328&lt;30,1,0))</formula>
    </cfRule>
    <cfRule type="expression" priority="750" dxfId="0">
      <formula>AND(IF($Q328=3,1,IF($Q328=4,1,0)),IF($F328&lt;=85,1,0))</formula>
    </cfRule>
  </conditionalFormatting>
  <conditionalFormatting sqref="X328">
    <cfRule type="expression" priority="743" dxfId="3">
      <formula>AND(IF(OR($Q328=1,$Q328=2),1,0),IF($X328&lt;=20,1,0))</formula>
    </cfRule>
    <cfRule type="expression" priority="744" dxfId="2">
      <formula>AND(IF($Q328=2,1,0),IF($X328&lt;30,1,0))</formula>
    </cfRule>
    <cfRule type="expression" priority="745" dxfId="1">
      <formula>AND(IF($Q328=3,1,0),IF($X328&lt;30,1,0))</formula>
    </cfRule>
    <cfRule type="expression" priority="746" dxfId="0">
      <formula>AND(IF($Q328=3,1,IF($Q328=4,1,0)),IF($F328&lt;=85,1,0))</formula>
    </cfRule>
  </conditionalFormatting>
  <conditionalFormatting sqref="AI328">
    <cfRule type="expression" priority="739" dxfId="3">
      <formula>AND(IF(OR($Q328=1,$Q328=2),1,0),IF($X328&lt;=20,1,0))</formula>
    </cfRule>
    <cfRule type="expression" priority="740" dxfId="2">
      <formula>AND(IF($Q328=2,1,0),IF($X328&lt;30,1,0))</formula>
    </cfRule>
    <cfRule type="expression" priority="741" dxfId="1">
      <formula>AND(IF($Q328=3,1,0),IF($X328&lt;30,1,0))</formula>
    </cfRule>
    <cfRule type="expression" priority="742" dxfId="0">
      <formula>AND(IF($Q328=3,1,IF($Q328=4,1,0)),IF($F328&lt;=85,1,0))</formula>
    </cfRule>
  </conditionalFormatting>
  <conditionalFormatting sqref="AV329">
    <cfRule type="expression" priority="737" dxfId="23">
      <formula>AV329="X"</formula>
    </cfRule>
    <cfRule type="expression" priority="738" dxfId="22">
      <formula>AV329="후보"</formula>
    </cfRule>
  </conditionalFormatting>
  <conditionalFormatting sqref="AC32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2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29">
    <cfRule type="expression" priority="729" dxfId="3">
      <formula>AND(IF(OR($Q329=1,$Q329=2),1,0),IF($X329&lt;=20,1,0))</formula>
    </cfRule>
    <cfRule type="expression" priority="730" dxfId="2">
      <formula>AND(IF($Q329=2,1,0),IF($X329&lt;30,1,0))</formula>
    </cfRule>
    <cfRule type="expression" priority="731" dxfId="1">
      <formula>AND(IF($Q329=3,1,0),IF($X329&lt;30,1,0))</formula>
    </cfRule>
    <cfRule type="expression" priority="732" dxfId="0">
      <formula>AND(IF($Q329=3,1,IF($Q329=4,1,0)),IF($F329&lt;=85,1,0))</formula>
    </cfRule>
  </conditionalFormatting>
  <conditionalFormatting sqref="X329">
    <cfRule type="expression" priority="725" dxfId="3">
      <formula>AND(IF(OR($Q329=1,$Q329=2),1,0),IF($X329&lt;=20,1,0))</formula>
    </cfRule>
    <cfRule type="expression" priority="726" dxfId="2">
      <formula>AND(IF($Q329=2,1,0),IF($X329&lt;30,1,0))</formula>
    </cfRule>
    <cfRule type="expression" priority="727" dxfId="1">
      <formula>AND(IF($Q329=3,1,0),IF($X329&lt;30,1,0))</formula>
    </cfRule>
    <cfRule type="expression" priority="728" dxfId="0">
      <formula>AND(IF($Q329=3,1,IF($Q329=4,1,0)),IF($F329&lt;=85,1,0))</formula>
    </cfRule>
  </conditionalFormatting>
  <conditionalFormatting sqref="AI329">
    <cfRule type="expression" priority="721" dxfId="3">
      <formula>AND(IF(OR($Q329=1,$Q329=2),1,0),IF($X329&lt;=20,1,0))</formula>
    </cfRule>
    <cfRule type="expression" priority="722" dxfId="2">
      <formula>AND(IF($Q329=2,1,0),IF($X329&lt;30,1,0))</formula>
    </cfRule>
    <cfRule type="expression" priority="723" dxfId="1">
      <formula>AND(IF($Q329=3,1,0),IF($X329&lt;30,1,0))</formula>
    </cfRule>
    <cfRule type="expression" priority="724" dxfId="0">
      <formula>AND(IF($Q329=3,1,IF($Q329=4,1,0)),IF($F329&lt;=85,1,0))</formula>
    </cfRule>
  </conditionalFormatting>
  <conditionalFormatting sqref="AV330">
    <cfRule type="expression" priority="719" dxfId="23">
      <formula>AV330="X"</formula>
    </cfRule>
    <cfRule type="expression" priority="720" dxfId="22">
      <formula>AV330="후보"</formula>
    </cfRule>
  </conditionalFormatting>
  <conditionalFormatting sqref="AC33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30">
    <cfRule type="expression" priority="711" dxfId="3">
      <formula>AND(IF(OR($Q330=1,$Q330=2),1,0),IF($X330&lt;=20,1,0))</formula>
    </cfRule>
    <cfRule type="expression" priority="712" dxfId="2">
      <formula>AND(IF($Q330=2,1,0),IF($X330&lt;30,1,0))</formula>
    </cfRule>
    <cfRule type="expression" priority="713" dxfId="1">
      <formula>AND(IF($Q330=3,1,0),IF($X330&lt;30,1,0))</formula>
    </cfRule>
    <cfRule type="expression" priority="714" dxfId="0">
      <formula>AND(IF($Q330=3,1,IF($Q330=4,1,0)),IF($F330&lt;=85,1,0))</formula>
    </cfRule>
  </conditionalFormatting>
  <conditionalFormatting sqref="X330">
    <cfRule type="expression" priority="707" dxfId="3">
      <formula>AND(IF(OR($Q330=1,$Q330=2),1,0),IF($X330&lt;=20,1,0))</formula>
    </cfRule>
    <cfRule type="expression" priority="708" dxfId="2">
      <formula>AND(IF($Q330=2,1,0),IF($X330&lt;30,1,0))</formula>
    </cfRule>
    <cfRule type="expression" priority="709" dxfId="1">
      <formula>AND(IF($Q330=3,1,0),IF($X330&lt;30,1,0))</formula>
    </cfRule>
    <cfRule type="expression" priority="710" dxfId="0">
      <formula>AND(IF($Q330=3,1,IF($Q330=4,1,0)),IF($F330&lt;=85,1,0))</formula>
    </cfRule>
  </conditionalFormatting>
  <conditionalFormatting sqref="AI330">
    <cfRule type="expression" priority="703" dxfId="3">
      <formula>AND(IF(OR($Q330=1,$Q330=2),1,0),IF($X330&lt;=20,1,0))</formula>
    </cfRule>
    <cfRule type="expression" priority="704" dxfId="2">
      <formula>AND(IF($Q330=2,1,0),IF($X330&lt;30,1,0))</formula>
    </cfRule>
    <cfRule type="expression" priority="705" dxfId="1">
      <formula>AND(IF($Q330=3,1,0),IF($X330&lt;30,1,0))</formula>
    </cfRule>
    <cfRule type="expression" priority="706" dxfId="0">
      <formula>AND(IF($Q330=3,1,IF($Q330=4,1,0)),IF($F330&lt;=85,1,0))</formula>
    </cfRule>
  </conditionalFormatting>
  <conditionalFormatting sqref="AV331">
    <cfRule type="expression" priority="701" dxfId="23">
      <formula>AV331="X"</formula>
    </cfRule>
    <cfRule type="expression" priority="702" dxfId="22">
      <formula>AV331="후보"</formula>
    </cfRule>
  </conditionalFormatting>
  <conditionalFormatting sqref="AC33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3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31">
    <cfRule type="expression" priority="693" dxfId="3">
      <formula>AND(IF(OR($Q331=1,$Q331=2),1,0),IF($X331&lt;=20,1,0))</formula>
    </cfRule>
    <cfRule type="expression" priority="694" dxfId="2">
      <formula>AND(IF($Q331=2,1,0),IF($X331&lt;30,1,0))</formula>
    </cfRule>
    <cfRule type="expression" priority="695" dxfId="1">
      <formula>AND(IF($Q331=3,1,0),IF($X331&lt;30,1,0))</formula>
    </cfRule>
    <cfRule type="expression" priority="696" dxfId="0">
      <formula>AND(IF($Q331=3,1,IF($Q331=4,1,0)),IF($F331&lt;=85,1,0))</formula>
    </cfRule>
  </conditionalFormatting>
  <conditionalFormatting sqref="X331">
    <cfRule type="expression" priority="689" dxfId="3">
      <formula>AND(IF(OR($Q331=1,$Q331=2),1,0),IF($X331&lt;=20,1,0))</formula>
    </cfRule>
    <cfRule type="expression" priority="690" dxfId="2">
      <formula>AND(IF($Q331=2,1,0),IF($X331&lt;30,1,0))</formula>
    </cfRule>
    <cfRule type="expression" priority="691" dxfId="1">
      <formula>AND(IF($Q331=3,1,0),IF($X331&lt;30,1,0))</formula>
    </cfRule>
    <cfRule type="expression" priority="692" dxfId="0">
      <formula>AND(IF($Q331=3,1,IF($Q331=4,1,0)),IF($F331&lt;=85,1,0))</formula>
    </cfRule>
  </conditionalFormatting>
  <conditionalFormatting sqref="AI331">
    <cfRule type="expression" priority="685" dxfId="3">
      <formula>AND(IF(OR($Q331=1,$Q331=2),1,0),IF($X331&lt;=20,1,0))</formula>
    </cfRule>
    <cfRule type="expression" priority="686" dxfId="2">
      <formula>AND(IF($Q331=2,1,0),IF($X331&lt;30,1,0))</formula>
    </cfRule>
    <cfRule type="expression" priority="687" dxfId="1">
      <formula>AND(IF($Q331=3,1,0),IF($X331&lt;30,1,0))</formula>
    </cfRule>
    <cfRule type="expression" priority="688" dxfId="0">
      <formula>AND(IF($Q331=3,1,IF($Q331=4,1,0)),IF($F331&lt;=85,1,0))</formula>
    </cfRule>
  </conditionalFormatting>
  <conditionalFormatting sqref="AV332">
    <cfRule type="expression" priority="683" dxfId="23">
      <formula>AV332="X"</formula>
    </cfRule>
    <cfRule type="expression" priority="684" dxfId="22">
      <formula>AV332="후보"</formula>
    </cfRule>
  </conditionalFormatting>
  <conditionalFormatting sqref="AC33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3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32">
    <cfRule type="expression" priority="675" dxfId="3">
      <formula>AND(IF(OR($Q332=1,$Q332=2),1,0),IF($X332&lt;=20,1,0))</formula>
    </cfRule>
    <cfRule type="expression" priority="676" dxfId="2">
      <formula>AND(IF($Q332=2,1,0),IF($X332&lt;30,1,0))</formula>
    </cfRule>
    <cfRule type="expression" priority="677" dxfId="1">
      <formula>AND(IF($Q332=3,1,0),IF($X332&lt;30,1,0))</formula>
    </cfRule>
    <cfRule type="expression" priority="678" dxfId="0">
      <formula>AND(IF($Q332=3,1,IF($Q332=4,1,0)),IF($F332&lt;=85,1,0))</formula>
    </cfRule>
  </conditionalFormatting>
  <conditionalFormatting sqref="X332">
    <cfRule type="expression" priority="671" dxfId="3">
      <formula>AND(IF(OR($Q332=1,$Q332=2),1,0),IF($X332&lt;=20,1,0))</formula>
    </cfRule>
    <cfRule type="expression" priority="672" dxfId="2">
      <formula>AND(IF($Q332=2,1,0),IF($X332&lt;30,1,0))</formula>
    </cfRule>
    <cfRule type="expression" priority="673" dxfId="1">
      <formula>AND(IF($Q332=3,1,0),IF($X332&lt;30,1,0))</formula>
    </cfRule>
    <cfRule type="expression" priority="674" dxfId="0">
      <formula>AND(IF($Q332=3,1,IF($Q332=4,1,0)),IF($F332&lt;=85,1,0))</formula>
    </cfRule>
  </conditionalFormatting>
  <conditionalFormatting sqref="AI332">
    <cfRule type="expression" priority="667" dxfId="3">
      <formula>AND(IF(OR($Q332=1,$Q332=2),1,0),IF($X332&lt;=20,1,0))</formula>
    </cfRule>
    <cfRule type="expression" priority="668" dxfId="2">
      <formula>AND(IF($Q332=2,1,0),IF($X332&lt;30,1,0))</formula>
    </cfRule>
    <cfRule type="expression" priority="669" dxfId="1">
      <formula>AND(IF($Q332=3,1,0),IF($X332&lt;30,1,0))</formula>
    </cfRule>
    <cfRule type="expression" priority="670" dxfId="0">
      <formula>AND(IF($Q332=3,1,IF($Q332=4,1,0)),IF($F332&lt;=85,1,0))</formula>
    </cfRule>
  </conditionalFormatting>
  <conditionalFormatting sqref="AV333">
    <cfRule type="expression" priority="665" dxfId="23">
      <formula>AV333="X"</formula>
    </cfRule>
    <cfRule type="expression" priority="666" dxfId="22">
      <formula>AV333="후보"</formula>
    </cfRule>
  </conditionalFormatting>
  <conditionalFormatting sqref="AC33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3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33">
    <cfRule type="expression" priority="657" dxfId="3">
      <formula>AND(IF(OR($Q333=1,$Q333=2),1,0),IF($X333&lt;=20,1,0))</formula>
    </cfRule>
    <cfRule type="expression" priority="658" dxfId="2">
      <formula>AND(IF($Q333=2,1,0),IF($X333&lt;30,1,0))</formula>
    </cfRule>
    <cfRule type="expression" priority="659" dxfId="1">
      <formula>AND(IF($Q333=3,1,0),IF($X333&lt;30,1,0))</formula>
    </cfRule>
    <cfRule type="expression" priority="660" dxfId="0">
      <formula>AND(IF($Q333=3,1,IF($Q333=4,1,0)),IF($F333&lt;=85,1,0))</formula>
    </cfRule>
  </conditionalFormatting>
  <conditionalFormatting sqref="X333">
    <cfRule type="expression" priority="653" dxfId="3">
      <formula>AND(IF(OR($Q333=1,$Q333=2),1,0),IF($X333&lt;=20,1,0))</formula>
    </cfRule>
    <cfRule type="expression" priority="654" dxfId="2">
      <formula>AND(IF($Q333=2,1,0),IF($X333&lt;30,1,0))</formula>
    </cfRule>
    <cfRule type="expression" priority="655" dxfId="1">
      <formula>AND(IF($Q333=3,1,0),IF($X333&lt;30,1,0))</formula>
    </cfRule>
    <cfRule type="expression" priority="656" dxfId="0">
      <formula>AND(IF($Q333=3,1,IF($Q333=4,1,0)),IF($F333&lt;=85,1,0))</formula>
    </cfRule>
  </conditionalFormatting>
  <conditionalFormatting sqref="AI333">
    <cfRule type="expression" priority="649" dxfId="3">
      <formula>AND(IF(OR($Q333=1,$Q333=2),1,0),IF($X333&lt;=20,1,0))</formula>
    </cfRule>
    <cfRule type="expression" priority="650" dxfId="2">
      <formula>AND(IF($Q333=2,1,0),IF($X333&lt;30,1,0))</formula>
    </cfRule>
    <cfRule type="expression" priority="651" dxfId="1">
      <formula>AND(IF($Q333=3,1,0),IF($X333&lt;30,1,0))</formula>
    </cfRule>
    <cfRule type="expression" priority="652" dxfId="0">
      <formula>AND(IF($Q333=3,1,IF($Q333=4,1,0)),IF($F333&lt;=85,1,0))</formula>
    </cfRule>
  </conditionalFormatting>
  <conditionalFormatting sqref="AV334">
    <cfRule type="expression" priority="647" dxfId="23">
      <formula>AV334="X"</formula>
    </cfRule>
    <cfRule type="expression" priority="648" dxfId="22">
      <formula>AV334="후보"</formula>
    </cfRule>
  </conditionalFormatting>
  <conditionalFormatting sqref="AC33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3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34">
    <cfRule type="expression" priority="639" dxfId="3">
      <formula>AND(IF(OR($Q334=1,$Q334=2),1,0),IF($X334&lt;=20,1,0))</formula>
    </cfRule>
    <cfRule type="expression" priority="640" dxfId="2">
      <formula>AND(IF($Q334=2,1,0),IF($X334&lt;30,1,0))</formula>
    </cfRule>
    <cfRule type="expression" priority="641" dxfId="1">
      <formula>AND(IF($Q334=3,1,0),IF($X334&lt;30,1,0))</formula>
    </cfRule>
    <cfRule type="expression" priority="642" dxfId="0">
      <formula>AND(IF($Q334=3,1,IF($Q334=4,1,0)),IF($F334&lt;=85,1,0))</formula>
    </cfRule>
  </conditionalFormatting>
  <conditionalFormatting sqref="X334">
    <cfRule type="expression" priority="635" dxfId="3">
      <formula>AND(IF(OR($Q334=1,$Q334=2),1,0),IF($X334&lt;=20,1,0))</formula>
    </cfRule>
    <cfRule type="expression" priority="636" dxfId="2">
      <formula>AND(IF($Q334=2,1,0),IF($X334&lt;30,1,0))</formula>
    </cfRule>
    <cfRule type="expression" priority="637" dxfId="1">
      <formula>AND(IF($Q334=3,1,0),IF($X334&lt;30,1,0))</formula>
    </cfRule>
    <cfRule type="expression" priority="638" dxfId="0">
      <formula>AND(IF($Q334=3,1,IF($Q334=4,1,0)),IF($F334&lt;=85,1,0))</formula>
    </cfRule>
  </conditionalFormatting>
  <conditionalFormatting sqref="AI334">
    <cfRule type="expression" priority="631" dxfId="3">
      <formula>AND(IF(OR($Q334=1,$Q334=2),1,0),IF($X334&lt;=20,1,0))</formula>
    </cfRule>
    <cfRule type="expression" priority="632" dxfId="2">
      <formula>AND(IF($Q334=2,1,0),IF($X334&lt;30,1,0))</formula>
    </cfRule>
    <cfRule type="expression" priority="633" dxfId="1">
      <formula>AND(IF($Q334=3,1,0),IF($X334&lt;30,1,0))</formula>
    </cfRule>
    <cfRule type="expression" priority="634" dxfId="0">
      <formula>AND(IF($Q334=3,1,IF($Q334=4,1,0)),IF($F334&lt;=85,1,0))</formula>
    </cfRule>
  </conditionalFormatting>
  <conditionalFormatting sqref="AV335">
    <cfRule type="expression" priority="629" dxfId="23">
      <formula>AV335="X"</formula>
    </cfRule>
    <cfRule type="expression" priority="630" dxfId="22">
      <formula>AV335="후보"</formula>
    </cfRule>
  </conditionalFormatting>
  <conditionalFormatting sqref="AC33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3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35">
    <cfRule type="expression" priority="621" dxfId="3">
      <formula>AND(IF(OR($Q335=1,$Q335=2),1,0),IF($X335&lt;=20,1,0))</formula>
    </cfRule>
    <cfRule type="expression" priority="622" dxfId="2">
      <formula>AND(IF($Q335=2,1,0),IF($X335&lt;30,1,0))</formula>
    </cfRule>
    <cfRule type="expression" priority="623" dxfId="1">
      <formula>AND(IF($Q335=3,1,0),IF($X335&lt;30,1,0))</formula>
    </cfRule>
    <cfRule type="expression" priority="624" dxfId="0">
      <formula>AND(IF($Q335=3,1,IF($Q335=4,1,0)),IF($F335&lt;=85,1,0))</formula>
    </cfRule>
  </conditionalFormatting>
  <conditionalFormatting sqref="X335">
    <cfRule type="expression" priority="617" dxfId="3">
      <formula>AND(IF(OR($Q335=1,$Q335=2),1,0),IF($X335&lt;=20,1,0))</formula>
    </cfRule>
    <cfRule type="expression" priority="618" dxfId="2">
      <formula>AND(IF($Q335=2,1,0),IF($X335&lt;30,1,0))</formula>
    </cfRule>
    <cfRule type="expression" priority="619" dxfId="1">
      <formula>AND(IF($Q335=3,1,0),IF($X335&lt;30,1,0))</formula>
    </cfRule>
    <cfRule type="expression" priority="620" dxfId="0">
      <formula>AND(IF($Q335=3,1,IF($Q335=4,1,0)),IF($F335&lt;=85,1,0))</formula>
    </cfRule>
  </conditionalFormatting>
  <conditionalFormatting sqref="AI335">
    <cfRule type="expression" priority="613" dxfId="3">
      <formula>AND(IF(OR($Q335=1,$Q335=2),1,0),IF($X335&lt;=20,1,0))</formula>
    </cfRule>
    <cfRule type="expression" priority="614" dxfId="2">
      <formula>AND(IF($Q335=2,1,0),IF($X335&lt;30,1,0))</formula>
    </cfRule>
    <cfRule type="expression" priority="615" dxfId="1">
      <formula>AND(IF($Q335=3,1,0),IF($X335&lt;30,1,0))</formula>
    </cfRule>
    <cfRule type="expression" priority="616" dxfId="0">
      <formula>AND(IF($Q335=3,1,IF($Q335=4,1,0)),IF($F335&lt;=85,1,0))</formula>
    </cfRule>
  </conditionalFormatting>
  <conditionalFormatting sqref="AV336">
    <cfRule type="expression" priority="611" dxfId="23">
      <formula>AV336="X"</formula>
    </cfRule>
    <cfRule type="expression" priority="612" dxfId="22">
      <formula>AV336="후보"</formula>
    </cfRule>
  </conditionalFormatting>
  <conditionalFormatting sqref="AC33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3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36">
    <cfRule type="expression" priority="603" dxfId="3">
      <formula>AND(IF(OR($Q336=1,$Q336=2),1,0),IF($X336&lt;=20,1,0))</formula>
    </cfRule>
    <cfRule type="expression" priority="604" dxfId="2">
      <formula>AND(IF($Q336=2,1,0),IF($X336&lt;30,1,0))</formula>
    </cfRule>
    <cfRule type="expression" priority="605" dxfId="1">
      <formula>AND(IF($Q336=3,1,0),IF($X336&lt;30,1,0))</formula>
    </cfRule>
    <cfRule type="expression" priority="606" dxfId="0">
      <formula>AND(IF($Q336=3,1,IF($Q336=4,1,0)),IF($F336&lt;=85,1,0))</formula>
    </cfRule>
  </conditionalFormatting>
  <conditionalFormatting sqref="X336">
    <cfRule type="expression" priority="599" dxfId="3">
      <formula>AND(IF(OR($Q336=1,$Q336=2),1,0),IF($X336&lt;=20,1,0))</formula>
    </cfRule>
    <cfRule type="expression" priority="600" dxfId="2">
      <formula>AND(IF($Q336=2,1,0),IF($X336&lt;30,1,0))</formula>
    </cfRule>
    <cfRule type="expression" priority="601" dxfId="1">
      <formula>AND(IF($Q336=3,1,0),IF($X336&lt;30,1,0))</formula>
    </cfRule>
    <cfRule type="expression" priority="602" dxfId="0">
      <formula>AND(IF($Q336=3,1,IF($Q336=4,1,0)),IF($F336&lt;=85,1,0))</formula>
    </cfRule>
  </conditionalFormatting>
  <conditionalFormatting sqref="AI336">
    <cfRule type="expression" priority="595" dxfId="3">
      <formula>AND(IF(OR($Q336=1,$Q336=2),1,0),IF($X336&lt;=20,1,0))</formula>
    </cfRule>
    <cfRule type="expression" priority="596" dxfId="2">
      <formula>AND(IF($Q336=2,1,0),IF($X336&lt;30,1,0))</formula>
    </cfRule>
    <cfRule type="expression" priority="597" dxfId="1">
      <formula>AND(IF($Q336=3,1,0),IF($X336&lt;30,1,0))</formula>
    </cfRule>
    <cfRule type="expression" priority="598" dxfId="0">
      <formula>AND(IF($Q336=3,1,IF($Q336=4,1,0)),IF($F336&lt;=85,1,0))</formula>
    </cfRule>
  </conditionalFormatting>
  <conditionalFormatting sqref="AV337">
    <cfRule type="expression" priority="593" dxfId="23">
      <formula>AV337="X"</formula>
    </cfRule>
    <cfRule type="expression" priority="594" dxfId="22">
      <formula>AV337="후보"</formula>
    </cfRule>
  </conditionalFormatting>
  <conditionalFormatting sqref="AC33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3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37">
    <cfRule type="expression" priority="585" dxfId="3">
      <formula>AND(IF(OR($Q337=1,$Q337=2),1,0),IF($X337&lt;=20,1,0))</formula>
    </cfRule>
    <cfRule type="expression" priority="586" dxfId="2">
      <formula>AND(IF($Q337=2,1,0),IF($X337&lt;30,1,0))</formula>
    </cfRule>
    <cfRule type="expression" priority="587" dxfId="1">
      <formula>AND(IF($Q337=3,1,0),IF($X337&lt;30,1,0))</formula>
    </cfRule>
    <cfRule type="expression" priority="588" dxfId="0">
      <formula>AND(IF($Q337=3,1,IF($Q337=4,1,0)),IF($F337&lt;=85,1,0))</formula>
    </cfRule>
  </conditionalFormatting>
  <conditionalFormatting sqref="X337">
    <cfRule type="expression" priority="581" dxfId="3">
      <formula>AND(IF(OR($Q337=1,$Q337=2),1,0),IF($X337&lt;=20,1,0))</formula>
    </cfRule>
    <cfRule type="expression" priority="582" dxfId="2">
      <formula>AND(IF($Q337=2,1,0),IF($X337&lt;30,1,0))</formula>
    </cfRule>
    <cfRule type="expression" priority="583" dxfId="1">
      <formula>AND(IF($Q337=3,1,0),IF($X337&lt;30,1,0))</formula>
    </cfRule>
    <cfRule type="expression" priority="584" dxfId="0">
      <formula>AND(IF($Q337=3,1,IF($Q337=4,1,0)),IF($F337&lt;=85,1,0))</formula>
    </cfRule>
  </conditionalFormatting>
  <conditionalFormatting sqref="AI337">
    <cfRule type="expression" priority="577" dxfId="3">
      <formula>AND(IF(OR($Q337=1,$Q337=2),1,0),IF($X337&lt;=20,1,0))</formula>
    </cfRule>
    <cfRule type="expression" priority="578" dxfId="2">
      <formula>AND(IF($Q337=2,1,0),IF($X337&lt;30,1,0))</formula>
    </cfRule>
    <cfRule type="expression" priority="579" dxfId="1">
      <formula>AND(IF($Q337=3,1,0),IF($X337&lt;30,1,0))</formula>
    </cfRule>
    <cfRule type="expression" priority="580" dxfId="0">
      <formula>AND(IF($Q337=3,1,IF($Q337=4,1,0)),IF($F337&lt;=85,1,0))</formula>
    </cfRule>
  </conditionalFormatting>
  <conditionalFormatting sqref="AV338">
    <cfRule type="expression" priority="575" dxfId="23">
      <formula>AV338="X"</formula>
    </cfRule>
    <cfRule type="expression" priority="576" dxfId="22">
      <formula>AV338="후보"</formula>
    </cfRule>
  </conditionalFormatting>
  <conditionalFormatting sqref="AC33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8">
    <cfRule type="expression" priority="567" dxfId="3">
      <formula>AND(IF(OR($Q338=1,$Q338=2),1,0),IF($X338&lt;=20,1,0))</formula>
    </cfRule>
    <cfRule type="expression" priority="568" dxfId="2">
      <formula>AND(IF($Q338=2,1,0),IF($X338&lt;30,1,0))</formula>
    </cfRule>
    <cfRule type="expression" priority="569" dxfId="1">
      <formula>AND(IF($Q338=3,1,0),IF($X338&lt;30,1,0))</formula>
    </cfRule>
    <cfRule type="expression" priority="570" dxfId="0">
      <formula>AND(IF($Q338=3,1,IF($Q338=4,1,0)),IF($F338&lt;=85,1,0))</formula>
    </cfRule>
  </conditionalFormatting>
  <conditionalFormatting sqref="X338">
    <cfRule type="expression" priority="563" dxfId="3">
      <formula>AND(IF(OR($Q338=1,$Q338=2),1,0),IF($X338&lt;=20,1,0))</formula>
    </cfRule>
    <cfRule type="expression" priority="564" dxfId="2">
      <formula>AND(IF($Q338=2,1,0),IF($X338&lt;30,1,0))</formula>
    </cfRule>
    <cfRule type="expression" priority="565" dxfId="1">
      <formula>AND(IF($Q338=3,1,0),IF($X338&lt;30,1,0))</formula>
    </cfRule>
    <cfRule type="expression" priority="566" dxfId="0">
      <formula>AND(IF($Q338=3,1,IF($Q338=4,1,0)),IF($F338&lt;=85,1,0))</formula>
    </cfRule>
  </conditionalFormatting>
  <conditionalFormatting sqref="AI338">
    <cfRule type="expression" priority="559" dxfId="3">
      <formula>AND(IF(OR($Q338=1,$Q338=2),1,0),IF($X338&lt;=20,1,0))</formula>
    </cfRule>
    <cfRule type="expression" priority="560" dxfId="2">
      <formula>AND(IF($Q338=2,1,0),IF($X338&lt;30,1,0))</formula>
    </cfRule>
    <cfRule type="expression" priority="561" dxfId="1">
      <formula>AND(IF($Q338=3,1,0),IF($X338&lt;30,1,0))</formula>
    </cfRule>
    <cfRule type="expression" priority="562" dxfId="0">
      <formula>AND(IF($Q338=3,1,IF($Q338=4,1,0)),IF($F338&lt;=85,1,0))</formula>
    </cfRule>
  </conditionalFormatting>
  <conditionalFormatting sqref="AV339">
    <cfRule type="expression" priority="557" dxfId="23">
      <formula>AV339="X"</formula>
    </cfRule>
    <cfRule type="expression" priority="558" dxfId="22">
      <formula>AV339="후보"</formula>
    </cfRule>
  </conditionalFormatting>
  <conditionalFormatting sqref="AC33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3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39">
    <cfRule type="expression" priority="549" dxfId="3">
      <formula>AND(IF(OR($Q339=1,$Q339=2),1,0),IF($X339&lt;=20,1,0))</formula>
    </cfRule>
    <cfRule type="expression" priority="550" dxfId="2">
      <formula>AND(IF($Q339=2,1,0),IF($X339&lt;30,1,0))</formula>
    </cfRule>
    <cfRule type="expression" priority="551" dxfId="1">
      <formula>AND(IF($Q339=3,1,0),IF($X339&lt;30,1,0))</formula>
    </cfRule>
    <cfRule type="expression" priority="552" dxfId="0">
      <formula>AND(IF($Q339=3,1,IF($Q339=4,1,0)),IF($F339&lt;=85,1,0))</formula>
    </cfRule>
  </conditionalFormatting>
  <conditionalFormatting sqref="X339">
    <cfRule type="expression" priority="545" dxfId="3">
      <formula>AND(IF(OR($Q339=1,$Q339=2),1,0),IF($X339&lt;=20,1,0))</formula>
    </cfRule>
    <cfRule type="expression" priority="546" dxfId="2">
      <formula>AND(IF($Q339=2,1,0),IF($X339&lt;30,1,0))</formula>
    </cfRule>
    <cfRule type="expression" priority="547" dxfId="1">
      <formula>AND(IF($Q339=3,1,0),IF($X339&lt;30,1,0))</formula>
    </cfRule>
    <cfRule type="expression" priority="548" dxfId="0">
      <formula>AND(IF($Q339=3,1,IF($Q339=4,1,0)),IF($F339&lt;=85,1,0))</formula>
    </cfRule>
  </conditionalFormatting>
  <conditionalFormatting sqref="AI339">
    <cfRule type="expression" priority="541" dxfId="3">
      <formula>AND(IF(OR($Q339=1,$Q339=2),1,0),IF($X339&lt;=20,1,0))</formula>
    </cfRule>
    <cfRule type="expression" priority="542" dxfId="2">
      <formula>AND(IF($Q339=2,1,0),IF($X339&lt;30,1,0))</formula>
    </cfRule>
    <cfRule type="expression" priority="543" dxfId="1">
      <formula>AND(IF($Q339=3,1,0),IF($X339&lt;30,1,0))</formula>
    </cfRule>
    <cfRule type="expression" priority="544" dxfId="0">
      <formula>AND(IF($Q339=3,1,IF($Q339=4,1,0)),IF($F339&lt;=85,1,0))</formula>
    </cfRule>
  </conditionalFormatting>
  <conditionalFormatting sqref="AV340">
    <cfRule type="expression" priority="539" dxfId="23">
      <formula>AV340="X"</formula>
    </cfRule>
    <cfRule type="expression" priority="540" dxfId="22">
      <formula>AV340="후보"</formula>
    </cfRule>
  </conditionalFormatting>
  <conditionalFormatting sqref="AC34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4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40">
    <cfRule type="expression" priority="531" dxfId="3">
      <formula>AND(IF(OR($Q340=1,$Q340=2),1,0),IF($X340&lt;=20,1,0))</formula>
    </cfRule>
    <cfRule type="expression" priority="532" dxfId="2">
      <formula>AND(IF($Q340=2,1,0),IF($X340&lt;30,1,0))</formula>
    </cfRule>
    <cfRule type="expression" priority="533" dxfId="1">
      <formula>AND(IF($Q340=3,1,0),IF($X340&lt;30,1,0))</formula>
    </cfRule>
    <cfRule type="expression" priority="534" dxfId="0">
      <formula>AND(IF($Q340=3,1,IF($Q340=4,1,0)),IF($F340&lt;=85,1,0))</formula>
    </cfRule>
  </conditionalFormatting>
  <conditionalFormatting sqref="X340">
    <cfRule type="expression" priority="527" dxfId="3">
      <formula>AND(IF(OR($Q340=1,$Q340=2),1,0),IF($X340&lt;=20,1,0))</formula>
    </cfRule>
    <cfRule type="expression" priority="528" dxfId="2">
      <formula>AND(IF($Q340=2,1,0),IF($X340&lt;30,1,0))</formula>
    </cfRule>
    <cfRule type="expression" priority="529" dxfId="1">
      <formula>AND(IF($Q340=3,1,0),IF($X340&lt;30,1,0))</formula>
    </cfRule>
    <cfRule type="expression" priority="530" dxfId="0">
      <formula>AND(IF($Q340=3,1,IF($Q340=4,1,0)),IF($F340&lt;=85,1,0))</formula>
    </cfRule>
  </conditionalFormatting>
  <conditionalFormatting sqref="AI340">
    <cfRule type="expression" priority="523" dxfId="3">
      <formula>AND(IF(OR($Q340=1,$Q340=2),1,0),IF($X340&lt;=20,1,0))</formula>
    </cfRule>
    <cfRule type="expression" priority="524" dxfId="2">
      <formula>AND(IF($Q340=2,1,0),IF($X340&lt;30,1,0))</formula>
    </cfRule>
    <cfRule type="expression" priority="525" dxfId="1">
      <formula>AND(IF($Q340=3,1,0),IF($X340&lt;30,1,0))</formula>
    </cfRule>
    <cfRule type="expression" priority="526" dxfId="0">
      <formula>AND(IF($Q340=3,1,IF($Q340=4,1,0)),IF($F340&lt;=85,1,0))</formula>
    </cfRule>
  </conditionalFormatting>
  <conditionalFormatting sqref="AV341">
    <cfRule type="expression" priority="521" dxfId="23">
      <formula>AV341="X"</formula>
    </cfRule>
    <cfRule type="expression" priority="522" dxfId="22">
      <formula>AV341="후보"</formula>
    </cfRule>
  </conditionalFormatting>
  <conditionalFormatting sqref="AC34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4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41">
    <cfRule type="expression" priority="513" dxfId="3">
      <formula>AND(IF(OR($Q341=1,$Q341=2),1,0),IF($X341&lt;=20,1,0))</formula>
    </cfRule>
    <cfRule type="expression" priority="514" dxfId="2">
      <formula>AND(IF($Q341=2,1,0),IF($X341&lt;30,1,0))</formula>
    </cfRule>
    <cfRule type="expression" priority="515" dxfId="1">
      <formula>AND(IF($Q341=3,1,0),IF($X341&lt;30,1,0))</formula>
    </cfRule>
    <cfRule type="expression" priority="516" dxfId="0">
      <formula>AND(IF($Q341=3,1,IF($Q341=4,1,0)),IF($F341&lt;=85,1,0))</formula>
    </cfRule>
  </conditionalFormatting>
  <conditionalFormatting sqref="X341">
    <cfRule type="expression" priority="509" dxfId="3">
      <formula>AND(IF(OR($Q341=1,$Q341=2),1,0),IF($X341&lt;=20,1,0))</formula>
    </cfRule>
    <cfRule type="expression" priority="510" dxfId="2">
      <formula>AND(IF($Q341=2,1,0),IF($X341&lt;30,1,0))</formula>
    </cfRule>
    <cfRule type="expression" priority="511" dxfId="1">
      <formula>AND(IF($Q341=3,1,0),IF($X341&lt;30,1,0))</formula>
    </cfRule>
    <cfRule type="expression" priority="512" dxfId="0">
      <formula>AND(IF($Q341=3,1,IF($Q341=4,1,0)),IF($F341&lt;=85,1,0))</formula>
    </cfRule>
  </conditionalFormatting>
  <conditionalFormatting sqref="AI341">
    <cfRule type="expression" priority="505" dxfId="3">
      <formula>AND(IF(OR($Q341=1,$Q341=2),1,0),IF($X341&lt;=20,1,0))</formula>
    </cfRule>
    <cfRule type="expression" priority="506" dxfId="2">
      <formula>AND(IF($Q341=2,1,0),IF($X341&lt;30,1,0))</formula>
    </cfRule>
    <cfRule type="expression" priority="507" dxfId="1">
      <formula>AND(IF($Q341=3,1,0),IF($X341&lt;30,1,0))</formula>
    </cfRule>
    <cfRule type="expression" priority="508" dxfId="0">
      <formula>AND(IF($Q341=3,1,IF($Q341=4,1,0)),IF($F341&lt;=85,1,0))</formula>
    </cfRule>
  </conditionalFormatting>
  <conditionalFormatting sqref="AV342">
    <cfRule type="expression" priority="503" dxfId="23">
      <formula>AV342="X"</formula>
    </cfRule>
    <cfRule type="expression" priority="504" dxfId="22">
      <formula>AV342="후보"</formula>
    </cfRule>
  </conditionalFormatting>
  <conditionalFormatting sqref="AC34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4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42">
    <cfRule type="expression" priority="495" dxfId="3">
      <formula>AND(IF(OR($Q342=1,$Q342=2),1,0),IF($X342&lt;=20,1,0))</formula>
    </cfRule>
    <cfRule type="expression" priority="496" dxfId="2">
      <formula>AND(IF($Q342=2,1,0),IF($X342&lt;30,1,0))</formula>
    </cfRule>
    <cfRule type="expression" priority="497" dxfId="1">
      <formula>AND(IF($Q342=3,1,0),IF($X342&lt;30,1,0))</formula>
    </cfRule>
    <cfRule type="expression" priority="498" dxfId="0">
      <formula>AND(IF($Q342=3,1,IF($Q342=4,1,0)),IF($F342&lt;=85,1,0))</formula>
    </cfRule>
  </conditionalFormatting>
  <conditionalFormatting sqref="X342">
    <cfRule type="expression" priority="491" dxfId="3">
      <formula>AND(IF(OR($Q342=1,$Q342=2),1,0),IF($X342&lt;=20,1,0))</formula>
    </cfRule>
    <cfRule type="expression" priority="492" dxfId="2">
      <formula>AND(IF($Q342=2,1,0),IF($X342&lt;30,1,0))</formula>
    </cfRule>
    <cfRule type="expression" priority="493" dxfId="1">
      <formula>AND(IF($Q342=3,1,0),IF($X342&lt;30,1,0))</formula>
    </cfRule>
    <cfRule type="expression" priority="494" dxfId="0">
      <formula>AND(IF($Q342=3,1,IF($Q342=4,1,0)),IF($F342&lt;=85,1,0))</formula>
    </cfRule>
  </conditionalFormatting>
  <conditionalFormatting sqref="AI342">
    <cfRule type="expression" priority="487" dxfId="3">
      <formula>AND(IF(OR($Q342=1,$Q342=2),1,0),IF($X342&lt;=20,1,0))</formula>
    </cfRule>
    <cfRule type="expression" priority="488" dxfId="2">
      <formula>AND(IF($Q342=2,1,0),IF($X342&lt;30,1,0))</formula>
    </cfRule>
    <cfRule type="expression" priority="489" dxfId="1">
      <formula>AND(IF($Q342=3,1,0),IF($X342&lt;30,1,0))</formula>
    </cfRule>
    <cfRule type="expression" priority="490" dxfId="0">
      <formula>AND(IF($Q342=3,1,IF($Q342=4,1,0)),IF($F342&lt;=85,1,0))</formula>
    </cfRule>
  </conditionalFormatting>
  <conditionalFormatting sqref="AV343">
    <cfRule type="expression" priority="485" dxfId="23">
      <formula>AV343="X"</formula>
    </cfRule>
    <cfRule type="expression" priority="486" dxfId="22">
      <formula>AV343="후보"</formula>
    </cfRule>
  </conditionalFormatting>
  <conditionalFormatting sqref="AC34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4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43">
    <cfRule type="expression" priority="477" dxfId="3">
      <formula>AND(IF(OR($Q343=1,$Q343=2),1,0),IF($X343&lt;=20,1,0))</formula>
    </cfRule>
    <cfRule type="expression" priority="478" dxfId="2">
      <formula>AND(IF($Q343=2,1,0),IF($X343&lt;30,1,0))</formula>
    </cfRule>
    <cfRule type="expression" priority="479" dxfId="1">
      <formula>AND(IF($Q343=3,1,0),IF($X343&lt;30,1,0))</formula>
    </cfRule>
    <cfRule type="expression" priority="480" dxfId="0">
      <formula>AND(IF($Q343=3,1,IF($Q343=4,1,0)),IF($F343&lt;=85,1,0))</formula>
    </cfRule>
  </conditionalFormatting>
  <conditionalFormatting sqref="X343">
    <cfRule type="expression" priority="473" dxfId="3">
      <formula>AND(IF(OR($Q343=1,$Q343=2),1,0),IF($X343&lt;=20,1,0))</formula>
    </cfRule>
    <cfRule type="expression" priority="474" dxfId="2">
      <formula>AND(IF($Q343=2,1,0),IF($X343&lt;30,1,0))</formula>
    </cfRule>
    <cfRule type="expression" priority="475" dxfId="1">
      <formula>AND(IF($Q343=3,1,0),IF($X343&lt;30,1,0))</formula>
    </cfRule>
    <cfRule type="expression" priority="476" dxfId="0">
      <formula>AND(IF($Q343=3,1,IF($Q343=4,1,0)),IF($F343&lt;=85,1,0))</formula>
    </cfRule>
  </conditionalFormatting>
  <conditionalFormatting sqref="AI343">
    <cfRule type="expression" priority="469" dxfId="3">
      <formula>AND(IF(OR($Q343=1,$Q343=2),1,0),IF($X343&lt;=20,1,0))</formula>
    </cfRule>
    <cfRule type="expression" priority="470" dxfId="2">
      <formula>AND(IF($Q343=2,1,0),IF($X343&lt;30,1,0))</formula>
    </cfRule>
    <cfRule type="expression" priority="471" dxfId="1">
      <formula>AND(IF($Q343=3,1,0),IF($X343&lt;30,1,0))</formula>
    </cfRule>
    <cfRule type="expression" priority="472" dxfId="0">
      <formula>AND(IF($Q343=3,1,IF($Q343=4,1,0)),IF($F343&lt;=85,1,0))</formula>
    </cfRule>
  </conditionalFormatting>
  <conditionalFormatting sqref="AV344">
    <cfRule type="expression" priority="467" dxfId="23">
      <formula>AV344="X"</formula>
    </cfRule>
    <cfRule type="expression" priority="468" dxfId="22">
      <formula>AV344="후보"</formula>
    </cfRule>
  </conditionalFormatting>
  <conditionalFormatting sqref="AC34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4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44">
    <cfRule type="expression" priority="459" dxfId="3">
      <formula>AND(IF(OR($Q344=1,$Q344=2),1,0),IF($X344&lt;=20,1,0))</formula>
    </cfRule>
    <cfRule type="expression" priority="460" dxfId="2">
      <formula>AND(IF($Q344=2,1,0),IF($X344&lt;30,1,0))</formula>
    </cfRule>
    <cfRule type="expression" priority="461" dxfId="1">
      <formula>AND(IF($Q344=3,1,0),IF($X344&lt;30,1,0))</formula>
    </cfRule>
    <cfRule type="expression" priority="462" dxfId="0">
      <formula>AND(IF($Q344=3,1,IF($Q344=4,1,0)),IF($F344&lt;=85,1,0))</formula>
    </cfRule>
  </conditionalFormatting>
  <conditionalFormatting sqref="X344">
    <cfRule type="expression" priority="455" dxfId="3">
      <formula>AND(IF(OR($Q344=1,$Q344=2),1,0),IF($X344&lt;=20,1,0))</formula>
    </cfRule>
    <cfRule type="expression" priority="456" dxfId="2">
      <formula>AND(IF($Q344=2,1,0),IF($X344&lt;30,1,0))</formula>
    </cfRule>
    <cfRule type="expression" priority="457" dxfId="1">
      <formula>AND(IF($Q344=3,1,0),IF($X344&lt;30,1,0))</formula>
    </cfRule>
    <cfRule type="expression" priority="458" dxfId="0">
      <formula>AND(IF($Q344=3,1,IF($Q344=4,1,0)),IF($F344&lt;=85,1,0))</formula>
    </cfRule>
  </conditionalFormatting>
  <conditionalFormatting sqref="AI344">
    <cfRule type="expression" priority="451" dxfId="3">
      <formula>AND(IF(OR($Q344=1,$Q344=2),1,0),IF($X344&lt;=20,1,0))</formula>
    </cfRule>
    <cfRule type="expression" priority="452" dxfId="2">
      <formula>AND(IF($Q344=2,1,0),IF($X344&lt;30,1,0))</formula>
    </cfRule>
    <cfRule type="expression" priority="453" dxfId="1">
      <formula>AND(IF($Q344=3,1,0),IF($X344&lt;30,1,0))</formula>
    </cfRule>
    <cfRule type="expression" priority="454" dxfId="0">
      <formula>AND(IF($Q344=3,1,IF($Q344=4,1,0)),IF($F344&lt;=85,1,0))</formula>
    </cfRule>
  </conditionalFormatting>
  <conditionalFormatting sqref="AV345">
    <cfRule type="expression" priority="449" dxfId="23">
      <formula>AV345="X"</formula>
    </cfRule>
    <cfRule type="expression" priority="450" dxfId="22">
      <formula>AV345="후보"</formula>
    </cfRule>
  </conditionalFormatting>
  <conditionalFormatting sqref="AC34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45">
    <cfRule type="expression" priority="441" dxfId="3">
      <formula>AND(IF(OR($Q345=1,$Q345=2),1,0),IF($X345&lt;=20,1,0))</formula>
    </cfRule>
    <cfRule type="expression" priority="442" dxfId="2">
      <formula>AND(IF($Q345=2,1,0),IF($X345&lt;30,1,0))</formula>
    </cfRule>
    <cfRule type="expression" priority="443" dxfId="1">
      <formula>AND(IF($Q345=3,1,0),IF($X345&lt;30,1,0))</formula>
    </cfRule>
    <cfRule type="expression" priority="444" dxfId="0">
      <formula>AND(IF($Q345=3,1,IF($Q345=4,1,0)),IF($F345&lt;=85,1,0))</formula>
    </cfRule>
  </conditionalFormatting>
  <conditionalFormatting sqref="X345">
    <cfRule type="expression" priority="437" dxfId="3">
      <formula>AND(IF(OR($Q345=1,$Q345=2),1,0),IF($X345&lt;=20,1,0))</formula>
    </cfRule>
    <cfRule type="expression" priority="438" dxfId="2">
      <formula>AND(IF($Q345=2,1,0),IF($X345&lt;30,1,0))</formula>
    </cfRule>
    <cfRule type="expression" priority="439" dxfId="1">
      <formula>AND(IF($Q345=3,1,0),IF($X345&lt;30,1,0))</formula>
    </cfRule>
    <cfRule type="expression" priority="440" dxfId="0">
      <formula>AND(IF($Q345=3,1,IF($Q345=4,1,0)),IF($F345&lt;=85,1,0))</formula>
    </cfRule>
  </conditionalFormatting>
  <conditionalFormatting sqref="AI345">
    <cfRule type="expression" priority="433" dxfId="3">
      <formula>AND(IF(OR($Q345=1,$Q345=2),1,0),IF($X345&lt;=20,1,0))</formula>
    </cfRule>
    <cfRule type="expression" priority="434" dxfId="2">
      <formula>AND(IF($Q345=2,1,0),IF($X345&lt;30,1,0))</formula>
    </cfRule>
    <cfRule type="expression" priority="435" dxfId="1">
      <formula>AND(IF($Q345=3,1,0),IF($X345&lt;30,1,0))</formula>
    </cfRule>
    <cfRule type="expression" priority="436" dxfId="0">
      <formula>AND(IF($Q345=3,1,IF($Q345=4,1,0)),IF($F345&lt;=85,1,0))</formula>
    </cfRule>
  </conditionalFormatting>
  <conditionalFormatting sqref="AV346">
    <cfRule type="expression" priority="431" dxfId="23">
      <formula>AV346="X"</formula>
    </cfRule>
    <cfRule type="expression" priority="432" dxfId="22">
      <formula>AV346="후보"</formula>
    </cfRule>
  </conditionalFormatting>
  <conditionalFormatting sqref="AC34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46">
    <cfRule type="expression" priority="423" dxfId="3">
      <formula>AND(IF(OR($Q346=1,$Q346=2),1,0),IF($X346&lt;=20,1,0))</formula>
    </cfRule>
    <cfRule type="expression" priority="424" dxfId="2">
      <formula>AND(IF($Q346=2,1,0),IF($X346&lt;30,1,0))</formula>
    </cfRule>
    <cfRule type="expression" priority="425" dxfId="1">
      <formula>AND(IF($Q346=3,1,0),IF($X346&lt;30,1,0))</formula>
    </cfRule>
    <cfRule type="expression" priority="426" dxfId="0">
      <formula>AND(IF($Q346=3,1,IF($Q346=4,1,0)),IF($F346&lt;=85,1,0))</formula>
    </cfRule>
  </conditionalFormatting>
  <conditionalFormatting sqref="X346">
    <cfRule type="expression" priority="419" dxfId="3">
      <formula>AND(IF(OR($Q346=1,$Q346=2),1,0),IF($X346&lt;=20,1,0))</formula>
    </cfRule>
    <cfRule type="expression" priority="420" dxfId="2">
      <formula>AND(IF($Q346=2,1,0),IF($X346&lt;30,1,0))</formula>
    </cfRule>
    <cfRule type="expression" priority="421" dxfId="1">
      <formula>AND(IF($Q346=3,1,0),IF($X346&lt;30,1,0))</formula>
    </cfRule>
    <cfRule type="expression" priority="422" dxfId="0">
      <formula>AND(IF($Q346=3,1,IF($Q346=4,1,0)),IF($F346&lt;=85,1,0))</formula>
    </cfRule>
  </conditionalFormatting>
  <conditionalFormatting sqref="AI346">
    <cfRule type="expression" priority="415" dxfId="3">
      <formula>AND(IF(OR($Q346=1,$Q346=2),1,0),IF($X346&lt;=20,1,0))</formula>
    </cfRule>
    <cfRule type="expression" priority="416" dxfId="2">
      <formula>AND(IF($Q346=2,1,0),IF($X346&lt;30,1,0))</formula>
    </cfRule>
    <cfRule type="expression" priority="417" dxfId="1">
      <formula>AND(IF($Q346=3,1,0),IF($X346&lt;30,1,0))</formula>
    </cfRule>
    <cfRule type="expression" priority="418" dxfId="0">
      <formula>AND(IF($Q346=3,1,IF($Q346=4,1,0)),IF($F346&lt;=85,1,0))</formula>
    </cfRule>
  </conditionalFormatting>
  <conditionalFormatting sqref="AV347">
    <cfRule type="expression" priority="413" dxfId="23">
      <formula>AV347="X"</formula>
    </cfRule>
    <cfRule type="expression" priority="414" dxfId="22">
      <formula>AV347="후보"</formula>
    </cfRule>
  </conditionalFormatting>
  <conditionalFormatting sqref="AC34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4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47">
    <cfRule type="expression" priority="405" dxfId="3">
      <formula>AND(IF(OR($Q347=1,$Q347=2),1,0),IF($X347&lt;=20,1,0))</formula>
    </cfRule>
    <cfRule type="expression" priority="406" dxfId="2">
      <formula>AND(IF($Q347=2,1,0),IF($X347&lt;30,1,0))</formula>
    </cfRule>
    <cfRule type="expression" priority="407" dxfId="1">
      <formula>AND(IF($Q347=3,1,0),IF($X347&lt;30,1,0))</formula>
    </cfRule>
    <cfRule type="expression" priority="408" dxfId="0">
      <formula>AND(IF($Q347=3,1,IF($Q347=4,1,0)),IF($F347&lt;=85,1,0))</formula>
    </cfRule>
  </conditionalFormatting>
  <conditionalFormatting sqref="X347">
    <cfRule type="expression" priority="401" dxfId="3">
      <formula>AND(IF(OR($Q347=1,$Q347=2),1,0),IF($X347&lt;=20,1,0))</formula>
    </cfRule>
    <cfRule type="expression" priority="402" dxfId="2">
      <formula>AND(IF($Q347=2,1,0),IF($X347&lt;30,1,0))</formula>
    </cfRule>
    <cfRule type="expression" priority="403" dxfId="1">
      <formula>AND(IF($Q347=3,1,0),IF($X347&lt;30,1,0))</formula>
    </cfRule>
    <cfRule type="expression" priority="404" dxfId="0">
      <formula>AND(IF($Q347=3,1,IF($Q347=4,1,0)),IF($F347&lt;=85,1,0))</formula>
    </cfRule>
  </conditionalFormatting>
  <conditionalFormatting sqref="AI347">
    <cfRule type="expression" priority="397" dxfId="3">
      <formula>AND(IF(OR($Q347=1,$Q347=2),1,0),IF($X347&lt;=20,1,0))</formula>
    </cfRule>
    <cfRule type="expression" priority="398" dxfId="2">
      <formula>AND(IF($Q347=2,1,0),IF($X347&lt;30,1,0))</formula>
    </cfRule>
    <cfRule type="expression" priority="399" dxfId="1">
      <formula>AND(IF($Q347=3,1,0),IF($X347&lt;30,1,0))</formula>
    </cfRule>
    <cfRule type="expression" priority="400" dxfId="0">
      <formula>AND(IF($Q347=3,1,IF($Q347=4,1,0)),IF($F347&lt;=85,1,0))</formula>
    </cfRule>
  </conditionalFormatting>
  <conditionalFormatting sqref="AV348">
    <cfRule type="expression" priority="395" dxfId="23">
      <formula>AV348="X"</formula>
    </cfRule>
    <cfRule type="expression" priority="396" dxfId="22">
      <formula>AV348="후보"</formula>
    </cfRule>
  </conditionalFormatting>
  <conditionalFormatting sqref="AC34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4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48">
    <cfRule type="expression" priority="387" dxfId="3">
      <formula>AND(IF(OR($Q348=1,$Q348=2),1,0),IF($X348&lt;=20,1,0))</formula>
    </cfRule>
    <cfRule type="expression" priority="388" dxfId="2">
      <formula>AND(IF($Q348=2,1,0),IF($X348&lt;30,1,0))</formula>
    </cfRule>
    <cfRule type="expression" priority="389" dxfId="1">
      <formula>AND(IF($Q348=3,1,0),IF($X348&lt;30,1,0))</formula>
    </cfRule>
    <cfRule type="expression" priority="390" dxfId="0">
      <formula>AND(IF($Q348=3,1,IF($Q348=4,1,0)),IF($F348&lt;=85,1,0))</formula>
    </cfRule>
  </conditionalFormatting>
  <conditionalFormatting sqref="X348">
    <cfRule type="expression" priority="383" dxfId="3">
      <formula>AND(IF(OR($Q348=1,$Q348=2),1,0),IF($X348&lt;=20,1,0))</formula>
    </cfRule>
    <cfRule type="expression" priority="384" dxfId="2">
      <formula>AND(IF($Q348=2,1,0),IF($X348&lt;30,1,0))</formula>
    </cfRule>
    <cfRule type="expression" priority="385" dxfId="1">
      <formula>AND(IF($Q348=3,1,0),IF($X348&lt;30,1,0))</formula>
    </cfRule>
    <cfRule type="expression" priority="386" dxfId="0">
      <formula>AND(IF($Q348=3,1,IF($Q348=4,1,0)),IF($F348&lt;=85,1,0))</formula>
    </cfRule>
  </conditionalFormatting>
  <conditionalFormatting sqref="AI348">
    <cfRule type="expression" priority="379" dxfId="3">
      <formula>AND(IF(OR($Q348=1,$Q348=2),1,0),IF($X348&lt;=20,1,0))</formula>
    </cfRule>
    <cfRule type="expression" priority="380" dxfId="2">
      <formula>AND(IF($Q348=2,1,0),IF($X348&lt;30,1,0))</formula>
    </cfRule>
    <cfRule type="expression" priority="381" dxfId="1">
      <formula>AND(IF($Q348=3,1,0),IF($X348&lt;30,1,0))</formula>
    </cfRule>
    <cfRule type="expression" priority="382" dxfId="0">
      <formula>AND(IF($Q348=3,1,IF($Q348=4,1,0)),IF($F348&lt;=85,1,0))</formula>
    </cfRule>
  </conditionalFormatting>
  <conditionalFormatting sqref="AV349">
    <cfRule type="expression" priority="377" dxfId="23">
      <formula>AV349="X"</formula>
    </cfRule>
    <cfRule type="expression" priority="378" dxfId="22">
      <formula>AV349="후보"</formula>
    </cfRule>
  </conditionalFormatting>
  <conditionalFormatting sqref="AC3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4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49">
    <cfRule type="expression" priority="369" dxfId="3">
      <formula>AND(IF(OR($Q349=1,$Q349=2),1,0),IF($X349&lt;=20,1,0))</formula>
    </cfRule>
    <cfRule type="expression" priority="370" dxfId="2">
      <formula>AND(IF($Q349=2,1,0),IF($X349&lt;30,1,0))</formula>
    </cfRule>
    <cfRule type="expression" priority="371" dxfId="1">
      <formula>AND(IF($Q349=3,1,0),IF($X349&lt;30,1,0))</formula>
    </cfRule>
    <cfRule type="expression" priority="372" dxfId="0">
      <formula>AND(IF($Q349=3,1,IF($Q349=4,1,0)),IF($F349&lt;=85,1,0))</formula>
    </cfRule>
  </conditionalFormatting>
  <conditionalFormatting sqref="X349">
    <cfRule type="expression" priority="365" dxfId="3">
      <formula>AND(IF(OR($Q349=1,$Q349=2),1,0),IF($X349&lt;=20,1,0))</formula>
    </cfRule>
    <cfRule type="expression" priority="366" dxfId="2">
      <formula>AND(IF($Q349=2,1,0),IF($X349&lt;30,1,0))</formula>
    </cfRule>
    <cfRule type="expression" priority="367" dxfId="1">
      <formula>AND(IF($Q349=3,1,0),IF($X349&lt;30,1,0))</formula>
    </cfRule>
    <cfRule type="expression" priority="368" dxfId="0">
      <formula>AND(IF($Q349=3,1,IF($Q349=4,1,0)),IF($F349&lt;=85,1,0))</formula>
    </cfRule>
  </conditionalFormatting>
  <conditionalFormatting sqref="AI349">
    <cfRule type="expression" priority="361" dxfId="3">
      <formula>AND(IF(OR($Q349=1,$Q349=2),1,0),IF($X349&lt;=20,1,0))</formula>
    </cfRule>
    <cfRule type="expression" priority="362" dxfId="2">
      <formula>AND(IF($Q349=2,1,0),IF($X349&lt;30,1,0))</formula>
    </cfRule>
    <cfRule type="expression" priority="363" dxfId="1">
      <formula>AND(IF($Q349=3,1,0),IF($X349&lt;30,1,0))</formula>
    </cfRule>
    <cfRule type="expression" priority="364" dxfId="0">
      <formula>AND(IF($Q349=3,1,IF($Q349=4,1,0)),IF($F349&lt;=85,1,0))</formula>
    </cfRule>
  </conditionalFormatting>
  <conditionalFormatting sqref="AV350">
    <cfRule type="expression" priority="359" dxfId="23">
      <formula>AV350="X"</formula>
    </cfRule>
    <cfRule type="expression" priority="360" dxfId="22">
      <formula>AV350="후보"</formula>
    </cfRule>
  </conditionalFormatting>
  <conditionalFormatting sqref="AC35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5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50">
    <cfRule type="expression" priority="351" dxfId="3">
      <formula>AND(IF(OR($Q350=1,$Q350=2),1,0),IF($X350&lt;=20,1,0))</formula>
    </cfRule>
    <cfRule type="expression" priority="352" dxfId="2">
      <formula>AND(IF($Q350=2,1,0),IF($X350&lt;30,1,0))</formula>
    </cfRule>
    <cfRule type="expression" priority="353" dxfId="1">
      <formula>AND(IF($Q350=3,1,0),IF($X350&lt;30,1,0))</formula>
    </cfRule>
    <cfRule type="expression" priority="354" dxfId="0">
      <formula>AND(IF($Q350=3,1,IF($Q350=4,1,0)),IF($F350&lt;=85,1,0))</formula>
    </cfRule>
  </conditionalFormatting>
  <conditionalFormatting sqref="X350">
    <cfRule type="expression" priority="347" dxfId="3">
      <formula>AND(IF(OR($Q350=1,$Q350=2),1,0),IF($X350&lt;=20,1,0))</formula>
    </cfRule>
    <cfRule type="expression" priority="348" dxfId="2">
      <formula>AND(IF($Q350=2,1,0),IF($X350&lt;30,1,0))</formula>
    </cfRule>
    <cfRule type="expression" priority="349" dxfId="1">
      <formula>AND(IF($Q350=3,1,0),IF($X350&lt;30,1,0))</formula>
    </cfRule>
    <cfRule type="expression" priority="350" dxfId="0">
      <formula>AND(IF($Q350=3,1,IF($Q350=4,1,0)),IF($F350&lt;=85,1,0))</formula>
    </cfRule>
  </conditionalFormatting>
  <conditionalFormatting sqref="AI350">
    <cfRule type="expression" priority="343" dxfId="3">
      <formula>AND(IF(OR($Q350=1,$Q350=2),1,0),IF($X350&lt;=20,1,0))</formula>
    </cfRule>
    <cfRule type="expression" priority="344" dxfId="2">
      <formula>AND(IF($Q350=2,1,0),IF($X350&lt;30,1,0))</formula>
    </cfRule>
    <cfRule type="expression" priority="345" dxfId="1">
      <formula>AND(IF($Q350=3,1,0),IF($X350&lt;30,1,0))</formula>
    </cfRule>
    <cfRule type="expression" priority="346" dxfId="0">
      <formula>AND(IF($Q350=3,1,IF($Q350=4,1,0)),IF($F350&lt;=85,1,0))</formula>
    </cfRule>
  </conditionalFormatting>
  <conditionalFormatting sqref="AV351">
    <cfRule type="expression" priority="341" dxfId="23">
      <formula>AV351="X"</formula>
    </cfRule>
    <cfRule type="expression" priority="342" dxfId="22">
      <formula>AV351="후보"</formula>
    </cfRule>
  </conditionalFormatting>
  <conditionalFormatting sqref="AC3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1">
    <cfRule type="expression" priority="333" dxfId="3">
      <formula>AND(IF(OR($Q351=1,$Q351=2),1,0),IF($X351&lt;=20,1,0))</formula>
    </cfRule>
    <cfRule type="expression" priority="334" dxfId="2">
      <formula>AND(IF($Q351=2,1,0),IF($X351&lt;30,1,0))</formula>
    </cfRule>
    <cfRule type="expression" priority="335" dxfId="1">
      <formula>AND(IF($Q351=3,1,0),IF($X351&lt;30,1,0))</formula>
    </cfRule>
    <cfRule type="expression" priority="336" dxfId="0">
      <formula>AND(IF($Q351=3,1,IF($Q351=4,1,0)),IF($F351&lt;=85,1,0))</formula>
    </cfRule>
  </conditionalFormatting>
  <conditionalFormatting sqref="X351">
    <cfRule type="expression" priority="329" dxfId="3">
      <formula>AND(IF(OR($Q351=1,$Q351=2),1,0),IF($X351&lt;=20,1,0))</formula>
    </cfRule>
    <cfRule type="expression" priority="330" dxfId="2">
      <formula>AND(IF($Q351=2,1,0),IF($X351&lt;30,1,0))</formula>
    </cfRule>
    <cfRule type="expression" priority="331" dxfId="1">
      <formula>AND(IF($Q351=3,1,0),IF($X351&lt;30,1,0))</formula>
    </cfRule>
    <cfRule type="expression" priority="332" dxfId="0">
      <formula>AND(IF($Q351=3,1,IF($Q351=4,1,0)),IF($F351&lt;=85,1,0))</formula>
    </cfRule>
  </conditionalFormatting>
  <conditionalFormatting sqref="AI351">
    <cfRule type="expression" priority="325" dxfId="3">
      <formula>AND(IF(OR($Q351=1,$Q351=2),1,0),IF($X351&lt;=20,1,0))</formula>
    </cfRule>
    <cfRule type="expression" priority="326" dxfId="2">
      <formula>AND(IF($Q351=2,1,0),IF($X351&lt;30,1,0))</formula>
    </cfRule>
    <cfRule type="expression" priority="327" dxfId="1">
      <formula>AND(IF($Q351=3,1,0),IF($X351&lt;30,1,0))</formula>
    </cfRule>
    <cfRule type="expression" priority="328" dxfId="0">
      <formula>AND(IF($Q351=3,1,IF($Q351=4,1,0)),IF($F351&lt;=85,1,0))</formula>
    </cfRule>
  </conditionalFormatting>
  <conditionalFormatting sqref="AV352">
    <cfRule type="expression" priority="323" dxfId="23">
      <formula>AV352="X"</formula>
    </cfRule>
    <cfRule type="expression" priority="324" dxfId="22">
      <formula>AV352="후보"</formula>
    </cfRule>
  </conditionalFormatting>
  <conditionalFormatting sqref="AC35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5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52">
    <cfRule type="expression" priority="315" dxfId="3">
      <formula>AND(IF(OR($Q352=1,$Q352=2),1,0),IF($X352&lt;=20,1,0))</formula>
    </cfRule>
    <cfRule type="expression" priority="316" dxfId="2">
      <formula>AND(IF($Q352=2,1,0),IF($X352&lt;30,1,0))</formula>
    </cfRule>
    <cfRule type="expression" priority="317" dxfId="1">
      <formula>AND(IF($Q352=3,1,0),IF($X352&lt;30,1,0))</formula>
    </cfRule>
    <cfRule type="expression" priority="318" dxfId="0">
      <formula>AND(IF($Q352=3,1,IF($Q352=4,1,0)),IF($F352&lt;=85,1,0))</formula>
    </cfRule>
  </conditionalFormatting>
  <conditionalFormatting sqref="X352">
    <cfRule type="expression" priority="311" dxfId="3">
      <formula>AND(IF(OR($Q352=1,$Q352=2),1,0),IF($X352&lt;=20,1,0))</formula>
    </cfRule>
    <cfRule type="expression" priority="312" dxfId="2">
      <formula>AND(IF($Q352=2,1,0),IF($X352&lt;30,1,0))</formula>
    </cfRule>
    <cfRule type="expression" priority="313" dxfId="1">
      <formula>AND(IF($Q352=3,1,0),IF($X352&lt;30,1,0))</formula>
    </cfRule>
    <cfRule type="expression" priority="314" dxfId="0">
      <formula>AND(IF($Q352=3,1,IF($Q352=4,1,0)),IF($F352&lt;=85,1,0))</formula>
    </cfRule>
  </conditionalFormatting>
  <conditionalFormatting sqref="AI352">
    <cfRule type="expression" priority="307" dxfId="3">
      <formula>AND(IF(OR($Q352=1,$Q352=2),1,0),IF($X352&lt;=20,1,0))</formula>
    </cfRule>
    <cfRule type="expression" priority="308" dxfId="2">
      <formula>AND(IF($Q352=2,1,0),IF($X352&lt;30,1,0))</formula>
    </cfRule>
    <cfRule type="expression" priority="309" dxfId="1">
      <formula>AND(IF($Q352=3,1,0),IF($X352&lt;30,1,0))</formula>
    </cfRule>
    <cfRule type="expression" priority="310" dxfId="0">
      <formula>AND(IF($Q352=3,1,IF($Q352=4,1,0)),IF($F352&lt;=85,1,0))</formula>
    </cfRule>
  </conditionalFormatting>
  <conditionalFormatting sqref="AV353">
    <cfRule type="expression" priority="305" dxfId="23">
      <formula>AV353="X"</formula>
    </cfRule>
    <cfRule type="expression" priority="306" dxfId="22">
      <formula>AV353="후보"</formula>
    </cfRule>
  </conditionalFormatting>
  <conditionalFormatting sqref="AC35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5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53">
    <cfRule type="expression" priority="297" dxfId="3">
      <formula>AND(IF(OR($Q353=1,$Q353=2),1,0),IF($X353&lt;=20,1,0))</formula>
    </cfRule>
    <cfRule type="expression" priority="298" dxfId="2">
      <formula>AND(IF($Q353=2,1,0),IF($X353&lt;30,1,0))</formula>
    </cfRule>
    <cfRule type="expression" priority="299" dxfId="1">
      <formula>AND(IF($Q353=3,1,0),IF($X353&lt;30,1,0))</formula>
    </cfRule>
    <cfRule type="expression" priority="300" dxfId="0">
      <formula>AND(IF($Q353=3,1,IF($Q353=4,1,0)),IF($F353&lt;=85,1,0))</formula>
    </cfRule>
  </conditionalFormatting>
  <conditionalFormatting sqref="X353">
    <cfRule type="expression" priority="293" dxfId="3">
      <formula>AND(IF(OR($Q353=1,$Q353=2),1,0),IF($X353&lt;=20,1,0))</formula>
    </cfRule>
    <cfRule type="expression" priority="294" dxfId="2">
      <formula>AND(IF($Q353=2,1,0),IF($X353&lt;30,1,0))</formula>
    </cfRule>
    <cfRule type="expression" priority="295" dxfId="1">
      <formula>AND(IF($Q353=3,1,0),IF($X353&lt;30,1,0))</formula>
    </cfRule>
    <cfRule type="expression" priority="296" dxfId="0">
      <formula>AND(IF($Q353=3,1,IF($Q353=4,1,0)),IF($F353&lt;=85,1,0))</formula>
    </cfRule>
  </conditionalFormatting>
  <conditionalFormatting sqref="AI353">
    <cfRule type="expression" priority="289" dxfId="3">
      <formula>AND(IF(OR($Q353=1,$Q353=2),1,0),IF($X353&lt;=20,1,0))</formula>
    </cfRule>
    <cfRule type="expression" priority="290" dxfId="2">
      <formula>AND(IF($Q353=2,1,0),IF($X353&lt;30,1,0))</formula>
    </cfRule>
    <cfRule type="expression" priority="291" dxfId="1">
      <formula>AND(IF($Q353=3,1,0),IF($X353&lt;30,1,0))</formula>
    </cfRule>
    <cfRule type="expression" priority="292" dxfId="0">
      <formula>AND(IF($Q353=3,1,IF($Q353=4,1,0)),IF($F353&lt;=85,1,0))</formula>
    </cfRule>
  </conditionalFormatting>
  <conditionalFormatting sqref="AV354">
    <cfRule type="expression" priority="287" dxfId="23">
      <formula>AV354="X"</formula>
    </cfRule>
    <cfRule type="expression" priority="288" dxfId="22">
      <formula>AV354="후보"</formula>
    </cfRule>
  </conditionalFormatting>
  <conditionalFormatting sqref="AC35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5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54">
    <cfRule type="expression" priority="279" dxfId="3">
      <formula>AND(IF(OR($Q354=1,$Q354=2),1,0),IF($X354&lt;=20,1,0))</formula>
    </cfRule>
    <cfRule type="expression" priority="280" dxfId="2">
      <formula>AND(IF($Q354=2,1,0),IF($X354&lt;30,1,0))</formula>
    </cfRule>
    <cfRule type="expression" priority="281" dxfId="1">
      <formula>AND(IF($Q354=3,1,0),IF($X354&lt;30,1,0))</formula>
    </cfRule>
    <cfRule type="expression" priority="282" dxfId="0">
      <formula>AND(IF($Q354=3,1,IF($Q354=4,1,0)),IF($F354&lt;=85,1,0))</formula>
    </cfRule>
  </conditionalFormatting>
  <conditionalFormatting sqref="X354">
    <cfRule type="expression" priority="275" dxfId="3">
      <formula>AND(IF(OR($Q354=1,$Q354=2),1,0),IF($X354&lt;=20,1,0))</formula>
    </cfRule>
    <cfRule type="expression" priority="276" dxfId="2">
      <formula>AND(IF($Q354=2,1,0),IF($X354&lt;30,1,0))</formula>
    </cfRule>
    <cfRule type="expression" priority="277" dxfId="1">
      <formula>AND(IF($Q354=3,1,0),IF($X354&lt;30,1,0))</formula>
    </cfRule>
    <cfRule type="expression" priority="278" dxfId="0">
      <formula>AND(IF($Q354=3,1,IF($Q354=4,1,0)),IF($F354&lt;=85,1,0))</formula>
    </cfRule>
  </conditionalFormatting>
  <conditionalFormatting sqref="AI354">
    <cfRule type="expression" priority="271" dxfId="3">
      <formula>AND(IF(OR($Q354=1,$Q354=2),1,0),IF($X354&lt;=20,1,0))</formula>
    </cfRule>
    <cfRule type="expression" priority="272" dxfId="2">
      <formula>AND(IF($Q354=2,1,0),IF($X354&lt;30,1,0))</formula>
    </cfRule>
    <cfRule type="expression" priority="273" dxfId="1">
      <formula>AND(IF($Q354=3,1,0),IF($X354&lt;30,1,0))</formula>
    </cfRule>
    <cfRule type="expression" priority="274" dxfId="0">
      <formula>AND(IF($Q354=3,1,IF($Q354=4,1,0)),IF($F354&lt;=85,1,0))</formula>
    </cfRule>
  </conditionalFormatting>
  <conditionalFormatting sqref="AV355">
    <cfRule type="expression" priority="269" dxfId="23">
      <formula>AV355="X"</formula>
    </cfRule>
    <cfRule type="expression" priority="270" dxfId="22">
      <formula>AV355="후보"</formula>
    </cfRule>
  </conditionalFormatting>
  <conditionalFormatting sqref="AC35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5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55">
    <cfRule type="expression" priority="261" dxfId="3">
      <formula>AND(IF(OR($Q355=1,$Q355=2),1,0),IF($X355&lt;=20,1,0))</formula>
    </cfRule>
    <cfRule type="expression" priority="262" dxfId="2">
      <formula>AND(IF($Q355=2,1,0),IF($X355&lt;30,1,0))</formula>
    </cfRule>
    <cfRule type="expression" priority="263" dxfId="1">
      <formula>AND(IF($Q355=3,1,0),IF($X355&lt;30,1,0))</formula>
    </cfRule>
    <cfRule type="expression" priority="264" dxfId="0">
      <formula>AND(IF($Q355=3,1,IF($Q355=4,1,0)),IF($F355&lt;=85,1,0))</formula>
    </cfRule>
  </conditionalFormatting>
  <conditionalFormatting sqref="X355">
    <cfRule type="expression" priority="257" dxfId="3">
      <formula>AND(IF(OR($Q355=1,$Q355=2),1,0),IF($X355&lt;=20,1,0))</formula>
    </cfRule>
    <cfRule type="expression" priority="258" dxfId="2">
      <formula>AND(IF($Q355=2,1,0),IF($X355&lt;30,1,0))</formula>
    </cfRule>
    <cfRule type="expression" priority="259" dxfId="1">
      <formula>AND(IF($Q355=3,1,0),IF($X355&lt;30,1,0))</formula>
    </cfRule>
    <cfRule type="expression" priority="260" dxfId="0">
      <formula>AND(IF($Q355=3,1,IF($Q355=4,1,0)),IF($F355&lt;=85,1,0))</formula>
    </cfRule>
  </conditionalFormatting>
  <conditionalFormatting sqref="AI355">
    <cfRule type="expression" priority="253" dxfId="3">
      <formula>AND(IF(OR($Q355=1,$Q355=2),1,0),IF($X355&lt;=20,1,0))</formula>
    </cfRule>
    <cfRule type="expression" priority="254" dxfId="2">
      <formula>AND(IF($Q355=2,1,0),IF($X355&lt;30,1,0))</formula>
    </cfRule>
    <cfRule type="expression" priority="255" dxfId="1">
      <formula>AND(IF($Q355=3,1,0),IF($X355&lt;30,1,0))</formula>
    </cfRule>
    <cfRule type="expression" priority="256" dxfId="0">
      <formula>AND(IF($Q355=3,1,IF($Q355=4,1,0)),IF($F355&lt;=85,1,0))</formula>
    </cfRule>
  </conditionalFormatting>
  <conditionalFormatting sqref="AV356">
    <cfRule type="expression" priority="251" dxfId="23">
      <formula>AV356="X"</formula>
    </cfRule>
    <cfRule type="expression" priority="252" dxfId="22">
      <formula>AV356="후보"</formula>
    </cfRule>
  </conditionalFormatting>
  <conditionalFormatting sqref="AC35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5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56">
    <cfRule type="expression" priority="243" dxfId="3">
      <formula>AND(IF(OR($Q356=1,$Q356=2),1,0),IF($X356&lt;=20,1,0))</formula>
    </cfRule>
    <cfRule type="expression" priority="244" dxfId="2">
      <formula>AND(IF($Q356=2,1,0),IF($X356&lt;30,1,0))</formula>
    </cfRule>
    <cfRule type="expression" priority="245" dxfId="1">
      <formula>AND(IF($Q356=3,1,0),IF($X356&lt;30,1,0))</formula>
    </cfRule>
    <cfRule type="expression" priority="246" dxfId="0">
      <formula>AND(IF($Q356=3,1,IF($Q356=4,1,0)),IF($F356&lt;=85,1,0))</formula>
    </cfRule>
  </conditionalFormatting>
  <conditionalFormatting sqref="X356">
    <cfRule type="expression" priority="239" dxfId="3">
      <formula>AND(IF(OR($Q356=1,$Q356=2),1,0),IF($X356&lt;=20,1,0))</formula>
    </cfRule>
    <cfRule type="expression" priority="240" dxfId="2">
      <formula>AND(IF($Q356=2,1,0),IF($X356&lt;30,1,0))</formula>
    </cfRule>
    <cfRule type="expression" priority="241" dxfId="1">
      <formula>AND(IF($Q356=3,1,0),IF($X356&lt;30,1,0))</formula>
    </cfRule>
    <cfRule type="expression" priority="242" dxfId="0">
      <formula>AND(IF($Q356=3,1,IF($Q356=4,1,0)),IF($F356&lt;=85,1,0))</formula>
    </cfRule>
  </conditionalFormatting>
  <conditionalFormatting sqref="AI356">
    <cfRule type="expression" priority="235" dxfId="3">
      <formula>AND(IF(OR($Q356=1,$Q356=2),1,0),IF($X356&lt;=20,1,0))</formula>
    </cfRule>
    <cfRule type="expression" priority="236" dxfId="2">
      <formula>AND(IF($Q356=2,1,0),IF($X356&lt;30,1,0))</formula>
    </cfRule>
    <cfRule type="expression" priority="237" dxfId="1">
      <formula>AND(IF($Q356=3,1,0),IF($X356&lt;30,1,0))</formula>
    </cfRule>
    <cfRule type="expression" priority="238" dxfId="0">
      <formula>AND(IF($Q356=3,1,IF($Q356=4,1,0)),IF($F356&lt;=85,1,0))</formula>
    </cfRule>
  </conditionalFormatting>
  <conditionalFormatting sqref="AV357">
    <cfRule type="expression" priority="233" dxfId="23">
      <formula>AV357="X"</formula>
    </cfRule>
    <cfRule type="expression" priority="234" dxfId="22">
      <formula>AV357="후보"</formula>
    </cfRule>
  </conditionalFormatting>
  <conditionalFormatting sqref="AC35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5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57">
    <cfRule type="expression" priority="225" dxfId="3">
      <formula>AND(IF(OR($Q357=1,$Q357=2),1,0),IF($X357&lt;=20,1,0))</formula>
    </cfRule>
    <cfRule type="expression" priority="226" dxfId="2">
      <formula>AND(IF($Q357=2,1,0),IF($X357&lt;30,1,0))</formula>
    </cfRule>
    <cfRule type="expression" priority="227" dxfId="1">
      <formula>AND(IF($Q357=3,1,0),IF($X357&lt;30,1,0))</formula>
    </cfRule>
    <cfRule type="expression" priority="228" dxfId="0">
      <formula>AND(IF($Q357=3,1,IF($Q357=4,1,0)),IF($F357&lt;=85,1,0))</formula>
    </cfRule>
  </conditionalFormatting>
  <conditionalFormatting sqref="X357">
    <cfRule type="expression" priority="221" dxfId="3">
      <formula>AND(IF(OR($Q357=1,$Q357=2),1,0),IF($X357&lt;=20,1,0))</formula>
    </cfRule>
    <cfRule type="expression" priority="222" dxfId="2">
      <formula>AND(IF($Q357=2,1,0),IF($X357&lt;30,1,0))</formula>
    </cfRule>
    <cfRule type="expression" priority="223" dxfId="1">
      <formula>AND(IF($Q357=3,1,0),IF($X357&lt;30,1,0))</formula>
    </cfRule>
    <cfRule type="expression" priority="224" dxfId="0">
      <formula>AND(IF($Q357=3,1,IF($Q357=4,1,0)),IF($F357&lt;=85,1,0))</formula>
    </cfRule>
  </conditionalFormatting>
  <conditionalFormatting sqref="AI357">
    <cfRule type="expression" priority="217" dxfId="3">
      <formula>AND(IF(OR($Q357=1,$Q357=2),1,0),IF($X357&lt;=20,1,0))</formula>
    </cfRule>
    <cfRule type="expression" priority="218" dxfId="2">
      <formula>AND(IF($Q357=2,1,0),IF($X357&lt;30,1,0))</formula>
    </cfRule>
    <cfRule type="expression" priority="219" dxfId="1">
      <formula>AND(IF($Q357=3,1,0),IF($X357&lt;30,1,0))</formula>
    </cfRule>
    <cfRule type="expression" priority="220" dxfId="0">
      <formula>AND(IF($Q357=3,1,IF($Q357=4,1,0)),IF($F357&lt;=85,1,0))</formula>
    </cfRule>
  </conditionalFormatting>
  <conditionalFormatting sqref="AV358">
    <cfRule type="expression" priority="215" dxfId="23">
      <formula>AV358="X"</formula>
    </cfRule>
    <cfRule type="expression" priority="216" dxfId="22">
      <formula>AV358="후보"</formula>
    </cfRule>
  </conditionalFormatting>
  <conditionalFormatting sqref="AC35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5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58">
    <cfRule type="expression" priority="207" dxfId="3">
      <formula>AND(IF(OR($Q358=1,$Q358=2),1,0),IF($X358&lt;=20,1,0))</formula>
    </cfRule>
    <cfRule type="expression" priority="208" dxfId="2">
      <formula>AND(IF($Q358=2,1,0),IF($X358&lt;30,1,0))</formula>
    </cfRule>
    <cfRule type="expression" priority="209" dxfId="1">
      <formula>AND(IF($Q358=3,1,0),IF($X358&lt;30,1,0))</formula>
    </cfRule>
    <cfRule type="expression" priority="210" dxfId="0">
      <formula>AND(IF($Q358=3,1,IF($Q358=4,1,0)),IF($F358&lt;=85,1,0))</formula>
    </cfRule>
  </conditionalFormatting>
  <conditionalFormatting sqref="X358">
    <cfRule type="expression" priority="203" dxfId="3">
      <formula>AND(IF(OR($Q358=1,$Q358=2),1,0),IF($X358&lt;=20,1,0))</formula>
    </cfRule>
    <cfRule type="expression" priority="204" dxfId="2">
      <formula>AND(IF($Q358=2,1,0),IF($X358&lt;30,1,0))</formula>
    </cfRule>
    <cfRule type="expression" priority="205" dxfId="1">
      <formula>AND(IF($Q358=3,1,0),IF($X358&lt;30,1,0))</formula>
    </cfRule>
    <cfRule type="expression" priority="206" dxfId="0">
      <formula>AND(IF($Q358=3,1,IF($Q358=4,1,0)),IF($F358&lt;=85,1,0))</formula>
    </cfRule>
  </conditionalFormatting>
  <conditionalFormatting sqref="AI358">
    <cfRule type="expression" priority="199" dxfId="3">
      <formula>AND(IF(OR($Q358=1,$Q358=2),1,0),IF($X358&lt;=20,1,0))</formula>
    </cfRule>
    <cfRule type="expression" priority="200" dxfId="2">
      <formula>AND(IF($Q358=2,1,0),IF($X358&lt;30,1,0))</formula>
    </cfRule>
    <cfRule type="expression" priority="201" dxfId="1">
      <formula>AND(IF($Q358=3,1,0),IF($X358&lt;30,1,0))</formula>
    </cfRule>
    <cfRule type="expression" priority="202" dxfId="0">
      <formula>AND(IF($Q358=3,1,IF($Q358=4,1,0)),IF($F358&lt;=85,1,0))</formula>
    </cfRule>
  </conditionalFormatting>
  <conditionalFormatting sqref="AV359">
    <cfRule type="expression" priority="197" dxfId="23">
      <formula>AV359="X"</formula>
    </cfRule>
    <cfRule type="expression" priority="198" dxfId="22">
      <formula>AV359="후보"</formula>
    </cfRule>
  </conditionalFormatting>
  <conditionalFormatting sqref="AC35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5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59">
    <cfRule type="expression" priority="189" dxfId="3">
      <formula>AND(IF(OR($Q359=1,$Q359=2),1,0),IF($X359&lt;=20,1,0))</formula>
    </cfRule>
    <cfRule type="expression" priority="190" dxfId="2">
      <formula>AND(IF($Q359=2,1,0),IF($X359&lt;30,1,0))</formula>
    </cfRule>
    <cfRule type="expression" priority="191" dxfId="1">
      <formula>AND(IF($Q359=3,1,0),IF($X359&lt;30,1,0))</formula>
    </cfRule>
    <cfRule type="expression" priority="192" dxfId="0">
      <formula>AND(IF($Q359=3,1,IF($Q359=4,1,0)),IF($F359&lt;=85,1,0))</formula>
    </cfRule>
  </conditionalFormatting>
  <conditionalFormatting sqref="X359">
    <cfRule type="expression" priority="185" dxfId="3">
      <formula>AND(IF(OR($Q359=1,$Q359=2),1,0),IF($X359&lt;=20,1,0))</formula>
    </cfRule>
    <cfRule type="expression" priority="186" dxfId="2">
      <formula>AND(IF($Q359=2,1,0),IF($X359&lt;30,1,0))</formula>
    </cfRule>
    <cfRule type="expression" priority="187" dxfId="1">
      <formula>AND(IF($Q359=3,1,0),IF($X359&lt;30,1,0))</formula>
    </cfRule>
    <cfRule type="expression" priority="188" dxfId="0">
      <formula>AND(IF($Q359=3,1,IF($Q359=4,1,0)),IF($F359&lt;=85,1,0))</formula>
    </cfRule>
  </conditionalFormatting>
  <conditionalFormatting sqref="AI359">
    <cfRule type="expression" priority="181" dxfId="3">
      <formula>AND(IF(OR($Q359=1,$Q359=2),1,0),IF($X359&lt;=20,1,0))</formula>
    </cfRule>
    <cfRule type="expression" priority="182" dxfId="2">
      <formula>AND(IF($Q359=2,1,0),IF($X359&lt;30,1,0))</formula>
    </cfRule>
    <cfRule type="expression" priority="183" dxfId="1">
      <formula>AND(IF($Q359=3,1,0),IF($X359&lt;30,1,0))</formula>
    </cfRule>
    <cfRule type="expression" priority="184" dxfId="0">
      <formula>AND(IF($Q359=3,1,IF($Q359=4,1,0)),IF($F359&lt;=85,1,0))</formula>
    </cfRule>
  </conditionalFormatting>
  <conditionalFormatting sqref="AV360">
    <cfRule type="expression" priority="179" dxfId="23">
      <formula>AV360="X"</formula>
    </cfRule>
    <cfRule type="expression" priority="180" dxfId="22">
      <formula>AV360="후보"</formula>
    </cfRule>
  </conditionalFormatting>
  <conditionalFormatting sqref="AC36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0">
    <cfRule type="expression" priority="171" dxfId="3">
      <formula>AND(IF(OR($Q360=1,$Q360=2),1,0),IF($X360&lt;=20,1,0))</formula>
    </cfRule>
    <cfRule type="expression" priority="172" dxfId="2">
      <formula>AND(IF($Q360=2,1,0),IF($X360&lt;30,1,0))</formula>
    </cfRule>
    <cfRule type="expression" priority="173" dxfId="1">
      <formula>AND(IF($Q360=3,1,0),IF($X360&lt;30,1,0))</formula>
    </cfRule>
    <cfRule type="expression" priority="174" dxfId="0">
      <formula>AND(IF($Q360=3,1,IF($Q360=4,1,0)),IF($F360&lt;=85,1,0))</formula>
    </cfRule>
  </conditionalFormatting>
  <conditionalFormatting sqref="X360">
    <cfRule type="expression" priority="167" dxfId="3">
      <formula>AND(IF(OR($Q360=1,$Q360=2),1,0),IF($X360&lt;=20,1,0))</formula>
    </cfRule>
    <cfRule type="expression" priority="168" dxfId="2">
      <formula>AND(IF($Q360=2,1,0),IF($X360&lt;30,1,0))</formula>
    </cfRule>
    <cfRule type="expression" priority="169" dxfId="1">
      <formula>AND(IF($Q360=3,1,0),IF($X360&lt;30,1,0))</formula>
    </cfRule>
    <cfRule type="expression" priority="170" dxfId="0">
      <formula>AND(IF($Q360=3,1,IF($Q360=4,1,0)),IF($F360&lt;=85,1,0))</formula>
    </cfRule>
  </conditionalFormatting>
  <conditionalFormatting sqref="AI360">
    <cfRule type="expression" priority="163" dxfId="3">
      <formula>AND(IF(OR($Q360=1,$Q360=2),1,0),IF($X360&lt;=20,1,0))</formula>
    </cfRule>
    <cfRule type="expression" priority="164" dxfId="2">
      <formula>AND(IF($Q360=2,1,0),IF($X360&lt;30,1,0))</formula>
    </cfRule>
    <cfRule type="expression" priority="165" dxfId="1">
      <formula>AND(IF($Q360=3,1,0),IF($X360&lt;30,1,0))</formula>
    </cfRule>
    <cfRule type="expression" priority="166" dxfId="0">
      <formula>AND(IF($Q360=3,1,IF($Q360=4,1,0)),IF($F360&lt;=85,1,0))</formula>
    </cfRule>
  </conditionalFormatting>
  <conditionalFormatting sqref="AV361">
    <cfRule type="expression" priority="161" dxfId="23">
      <formula>AV361="X"</formula>
    </cfRule>
    <cfRule type="expression" priority="162" dxfId="22">
      <formula>AV361="후보"</formula>
    </cfRule>
  </conditionalFormatting>
  <conditionalFormatting sqref="AC36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6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61">
    <cfRule type="expression" priority="153" dxfId="3">
      <formula>AND(IF(OR($Q361=1,$Q361=2),1,0),IF($X361&lt;=20,1,0))</formula>
    </cfRule>
    <cfRule type="expression" priority="154" dxfId="2">
      <formula>AND(IF($Q361=2,1,0),IF($X361&lt;30,1,0))</formula>
    </cfRule>
    <cfRule type="expression" priority="155" dxfId="1">
      <formula>AND(IF($Q361=3,1,0),IF($X361&lt;30,1,0))</formula>
    </cfRule>
    <cfRule type="expression" priority="156" dxfId="0">
      <formula>AND(IF($Q361=3,1,IF($Q361=4,1,0)),IF($F361&lt;=85,1,0))</formula>
    </cfRule>
  </conditionalFormatting>
  <conditionalFormatting sqref="X361">
    <cfRule type="expression" priority="149" dxfId="3">
      <formula>AND(IF(OR($Q361=1,$Q361=2),1,0),IF($X361&lt;=20,1,0))</formula>
    </cfRule>
    <cfRule type="expression" priority="150" dxfId="2">
      <formula>AND(IF($Q361=2,1,0),IF($X361&lt;30,1,0))</formula>
    </cfRule>
    <cfRule type="expression" priority="151" dxfId="1">
      <formula>AND(IF($Q361=3,1,0),IF($X361&lt;30,1,0))</formula>
    </cfRule>
    <cfRule type="expression" priority="152" dxfId="0">
      <formula>AND(IF($Q361=3,1,IF($Q361=4,1,0)),IF($F361&lt;=85,1,0))</formula>
    </cfRule>
  </conditionalFormatting>
  <conditionalFormatting sqref="AI361">
    <cfRule type="expression" priority="145" dxfId="3">
      <formula>AND(IF(OR($Q361=1,$Q361=2),1,0),IF($X361&lt;=20,1,0))</formula>
    </cfRule>
    <cfRule type="expression" priority="146" dxfId="2">
      <formula>AND(IF($Q361=2,1,0),IF($X361&lt;30,1,0))</formula>
    </cfRule>
    <cfRule type="expression" priority="147" dxfId="1">
      <formula>AND(IF($Q361=3,1,0),IF($X361&lt;30,1,0))</formula>
    </cfRule>
    <cfRule type="expression" priority="148" dxfId="0">
      <formula>AND(IF($Q361=3,1,IF($Q361=4,1,0)),IF($F361&lt;=85,1,0))</formula>
    </cfRule>
  </conditionalFormatting>
  <conditionalFormatting sqref="AV362">
    <cfRule type="expression" priority="143" dxfId="23">
      <formula>AV362="X"</formula>
    </cfRule>
    <cfRule type="expression" priority="144" dxfId="22">
      <formula>AV362="후보"</formula>
    </cfRule>
  </conditionalFormatting>
  <conditionalFormatting sqref="AC36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6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62">
    <cfRule type="expression" priority="135" dxfId="3">
      <formula>AND(IF(OR($Q362=1,$Q362=2),1,0),IF($X362&lt;=20,1,0))</formula>
    </cfRule>
    <cfRule type="expression" priority="136" dxfId="2">
      <formula>AND(IF($Q362=2,1,0),IF($X362&lt;30,1,0))</formula>
    </cfRule>
    <cfRule type="expression" priority="137" dxfId="1">
      <formula>AND(IF($Q362=3,1,0),IF($X362&lt;30,1,0))</formula>
    </cfRule>
    <cfRule type="expression" priority="138" dxfId="0">
      <formula>AND(IF($Q362=3,1,IF($Q362=4,1,0)),IF($F362&lt;=85,1,0))</formula>
    </cfRule>
  </conditionalFormatting>
  <conditionalFormatting sqref="X362">
    <cfRule type="expression" priority="131" dxfId="3">
      <formula>AND(IF(OR($Q362=1,$Q362=2),1,0),IF($X362&lt;=20,1,0))</formula>
    </cfRule>
    <cfRule type="expression" priority="132" dxfId="2">
      <formula>AND(IF($Q362=2,1,0),IF($X362&lt;30,1,0))</formula>
    </cfRule>
    <cfRule type="expression" priority="133" dxfId="1">
      <formula>AND(IF($Q362=3,1,0),IF($X362&lt;30,1,0))</formula>
    </cfRule>
    <cfRule type="expression" priority="134" dxfId="0">
      <formula>AND(IF($Q362=3,1,IF($Q362=4,1,0)),IF($F362&lt;=85,1,0))</formula>
    </cfRule>
  </conditionalFormatting>
  <conditionalFormatting sqref="AI362">
    <cfRule type="expression" priority="127" dxfId="3">
      <formula>AND(IF(OR($Q362=1,$Q362=2),1,0),IF($X362&lt;=20,1,0))</formula>
    </cfRule>
    <cfRule type="expression" priority="128" dxfId="2">
      <formula>AND(IF($Q362=2,1,0),IF($X362&lt;30,1,0))</formula>
    </cfRule>
    <cfRule type="expression" priority="129" dxfId="1">
      <formula>AND(IF($Q362=3,1,0),IF($X362&lt;30,1,0))</formula>
    </cfRule>
    <cfRule type="expression" priority="130" dxfId="0">
      <formula>AND(IF($Q362=3,1,IF($Q362=4,1,0)),IF($F362&lt;=85,1,0))</formula>
    </cfRule>
  </conditionalFormatting>
  <conditionalFormatting sqref="AV363">
    <cfRule type="expression" priority="125" dxfId="23">
      <formula>AV363="X"</formula>
    </cfRule>
    <cfRule type="expression" priority="126" dxfId="22">
      <formula>AV363="후보"</formula>
    </cfRule>
  </conditionalFormatting>
  <conditionalFormatting sqref="AC36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6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63">
    <cfRule type="expression" priority="117" dxfId="3">
      <formula>AND(IF(OR($Q363=1,$Q363=2),1,0),IF($X363&lt;=20,1,0))</formula>
    </cfRule>
    <cfRule type="expression" priority="118" dxfId="2">
      <formula>AND(IF($Q363=2,1,0),IF($X363&lt;30,1,0))</formula>
    </cfRule>
    <cfRule type="expression" priority="119" dxfId="1">
      <formula>AND(IF($Q363=3,1,0),IF($X363&lt;30,1,0))</formula>
    </cfRule>
    <cfRule type="expression" priority="120" dxfId="0">
      <formula>AND(IF($Q363=3,1,IF($Q363=4,1,0)),IF($F363&lt;=85,1,0))</formula>
    </cfRule>
  </conditionalFormatting>
  <conditionalFormatting sqref="X363">
    <cfRule type="expression" priority="113" dxfId="3">
      <formula>AND(IF(OR($Q363=1,$Q363=2),1,0),IF($X363&lt;=20,1,0))</formula>
    </cfRule>
    <cfRule type="expression" priority="114" dxfId="2">
      <formula>AND(IF($Q363=2,1,0),IF($X363&lt;30,1,0))</formula>
    </cfRule>
    <cfRule type="expression" priority="115" dxfId="1">
      <formula>AND(IF($Q363=3,1,0),IF($X363&lt;30,1,0))</formula>
    </cfRule>
    <cfRule type="expression" priority="116" dxfId="0">
      <formula>AND(IF($Q363=3,1,IF($Q363=4,1,0)),IF($F363&lt;=85,1,0))</formula>
    </cfRule>
  </conditionalFormatting>
  <conditionalFormatting sqref="AI363">
    <cfRule type="expression" priority="109" dxfId="3">
      <formula>AND(IF(OR($Q363=1,$Q363=2),1,0),IF($X363&lt;=20,1,0))</formula>
    </cfRule>
    <cfRule type="expression" priority="110" dxfId="2">
      <formula>AND(IF($Q363=2,1,0),IF($X363&lt;30,1,0))</formula>
    </cfRule>
    <cfRule type="expression" priority="111" dxfId="1">
      <formula>AND(IF($Q363=3,1,0),IF($X363&lt;30,1,0))</formula>
    </cfRule>
    <cfRule type="expression" priority="112" dxfId="0">
      <formula>AND(IF($Q363=3,1,IF($Q363=4,1,0)),IF($F363&lt;=85,1,0))</formula>
    </cfRule>
  </conditionalFormatting>
  <conditionalFormatting sqref="AV364">
    <cfRule type="expression" priority="107" dxfId="23">
      <formula>AV364="X"</formula>
    </cfRule>
    <cfRule type="expression" priority="108" dxfId="22">
      <formula>AV364="후보"</formula>
    </cfRule>
  </conditionalFormatting>
  <conditionalFormatting sqref="AC36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6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64">
    <cfRule type="expression" priority="99" dxfId="3">
      <formula>AND(IF(OR($Q364=1,$Q364=2),1,0),IF($X364&lt;=20,1,0))</formula>
    </cfRule>
    <cfRule type="expression" priority="100" dxfId="2">
      <formula>AND(IF($Q364=2,1,0),IF($X364&lt;30,1,0))</formula>
    </cfRule>
    <cfRule type="expression" priority="101" dxfId="1">
      <formula>AND(IF($Q364=3,1,0),IF($X364&lt;30,1,0))</formula>
    </cfRule>
    <cfRule type="expression" priority="102" dxfId="0">
      <formula>AND(IF($Q364=3,1,IF($Q364=4,1,0)),IF($F364&lt;=85,1,0))</formula>
    </cfRule>
  </conditionalFormatting>
  <conditionalFormatting sqref="X364">
    <cfRule type="expression" priority="95" dxfId="3">
      <formula>AND(IF(OR($Q364=1,$Q364=2),1,0),IF($X364&lt;=20,1,0))</formula>
    </cfRule>
    <cfRule type="expression" priority="96" dxfId="2">
      <formula>AND(IF($Q364=2,1,0),IF($X364&lt;30,1,0))</formula>
    </cfRule>
    <cfRule type="expression" priority="97" dxfId="1">
      <formula>AND(IF($Q364=3,1,0),IF($X364&lt;30,1,0))</formula>
    </cfRule>
    <cfRule type="expression" priority="98" dxfId="0">
      <formula>AND(IF($Q364=3,1,IF($Q364=4,1,0)),IF($F364&lt;=85,1,0))</formula>
    </cfRule>
  </conditionalFormatting>
  <conditionalFormatting sqref="AI364">
    <cfRule type="expression" priority="91" dxfId="3">
      <formula>AND(IF(OR($Q364=1,$Q364=2),1,0),IF($X364&lt;=20,1,0))</formula>
    </cfRule>
    <cfRule type="expression" priority="92" dxfId="2">
      <formula>AND(IF($Q364=2,1,0),IF($X364&lt;30,1,0))</formula>
    </cfRule>
    <cfRule type="expression" priority="93" dxfId="1">
      <formula>AND(IF($Q364=3,1,0),IF($X364&lt;30,1,0))</formula>
    </cfRule>
    <cfRule type="expression" priority="94" dxfId="0">
      <formula>AND(IF($Q364=3,1,IF($Q364=4,1,0)),IF($F364&lt;=85,1,0))</formula>
    </cfRule>
  </conditionalFormatting>
  <conditionalFormatting sqref="AV365">
    <cfRule type="expression" priority="89" dxfId="23">
      <formula>AV365="X"</formula>
    </cfRule>
    <cfRule type="expression" priority="90" dxfId="22">
      <formula>AV365="후보"</formula>
    </cfRule>
  </conditionalFormatting>
  <conditionalFormatting sqref="AC36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6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65">
    <cfRule type="expression" priority="81" dxfId="3">
      <formula>AND(IF(OR($Q365=1,$Q365=2),1,0),IF($X365&lt;=20,1,0))</formula>
    </cfRule>
    <cfRule type="expression" priority="82" dxfId="2">
      <formula>AND(IF($Q365=2,1,0),IF($X365&lt;30,1,0))</formula>
    </cfRule>
    <cfRule type="expression" priority="83" dxfId="1">
      <formula>AND(IF($Q365=3,1,0),IF($X365&lt;30,1,0))</formula>
    </cfRule>
    <cfRule type="expression" priority="84" dxfId="0">
      <formula>AND(IF($Q365=3,1,IF($Q365=4,1,0)),IF($F365&lt;=85,1,0))</formula>
    </cfRule>
  </conditionalFormatting>
  <conditionalFormatting sqref="X365">
    <cfRule type="expression" priority="77" dxfId="3">
      <formula>AND(IF(OR($Q365=1,$Q365=2),1,0),IF($X365&lt;=20,1,0))</formula>
    </cfRule>
    <cfRule type="expression" priority="78" dxfId="2">
      <formula>AND(IF($Q365=2,1,0),IF($X365&lt;30,1,0))</formula>
    </cfRule>
    <cfRule type="expression" priority="79" dxfId="1">
      <formula>AND(IF($Q365=3,1,0),IF($X365&lt;30,1,0))</formula>
    </cfRule>
    <cfRule type="expression" priority="80" dxfId="0">
      <formula>AND(IF($Q365=3,1,IF($Q365=4,1,0)),IF($F365&lt;=85,1,0))</formula>
    </cfRule>
  </conditionalFormatting>
  <conditionalFormatting sqref="AI365">
    <cfRule type="expression" priority="73" dxfId="3">
      <formula>AND(IF(OR($Q365=1,$Q365=2),1,0),IF($X365&lt;=20,1,0))</formula>
    </cfRule>
    <cfRule type="expression" priority="74" dxfId="2">
      <formula>AND(IF($Q365=2,1,0),IF($X365&lt;30,1,0))</formula>
    </cfRule>
    <cfRule type="expression" priority="75" dxfId="1">
      <formula>AND(IF($Q365=3,1,0),IF($X365&lt;30,1,0))</formula>
    </cfRule>
    <cfRule type="expression" priority="76" dxfId="0">
      <formula>AND(IF($Q365=3,1,IF($Q365=4,1,0)),IF($F365&lt;=85,1,0))</formula>
    </cfRule>
  </conditionalFormatting>
  <conditionalFormatting sqref="AV366">
    <cfRule type="expression" priority="71" dxfId="23">
      <formula>AV366="X"</formula>
    </cfRule>
    <cfRule type="expression" priority="72" dxfId="22">
      <formula>AV366="후보"</formula>
    </cfRule>
  </conditionalFormatting>
  <conditionalFormatting sqref="AC36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6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66">
    <cfRule type="expression" priority="63" dxfId="3">
      <formula>AND(IF(OR($Q366=1,$Q366=2),1,0),IF($X366&lt;=20,1,0))</formula>
    </cfRule>
    <cfRule type="expression" priority="64" dxfId="2">
      <formula>AND(IF($Q366=2,1,0),IF($X366&lt;30,1,0))</formula>
    </cfRule>
    <cfRule type="expression" priority="65" dxfId="1">
      <formula>AND(IF($Q366=3,1,0),IF($X366&lt;30,1,0))</formula>
    </cfRule>
    <cfRule type="expression" priority="66" dxfId="0">
      <formula>AND(IF($Q366=3,1,IF($Q366=4,1,0)),IF($F366&lt;=85,1,0))</formula>
    </cfRule>
  </conditionalFormatting>
  <conditionalFormatting sqref="X366">
    <cfRule type="expression" priority="59" dxfId="3">
      <formula>AND(IF(OR($Q366=1,$Q366=2),1,0),IF($X366&lt;=20,1,0))</formula>
    </cfRule>
    <cfRule type="expression" priority="60" dxfId="2">
      <formula>AND(IF($Q366=2,1,0),IF($X366&lt;30,1,0))</formula>
    </cfRule>
    <cfRule type="expression" priority="61" dxfId="1">
      <formula>AND(IF($Q366=3,1,0),IF($X366&lt;30,1,0))</formula>
    </cfRule>
    <cfRule type="expression" priority="62" dxfId="0">
      <formula>AND(IF($Q366=3,1,IF($Q366=4,1,0)),IF($F366&lt;=85,1,0))</formula>
    </cfRule>
  </conditionalFormatting>
  <conditionalFormatting sqref="AI366">
    <cfRule type="expression" priority="55" dxfId="3">
      <formula>AND(IF(OR($Q366=1,$Q366=2),1,0),IF($X366&lt;=20,1,0))</formula>
    </cfRule>
    <cfRule type="expression" priority="56" dxfId="2">
      <formula>AND(IF($Q366=2,1,0),IF($X366&lt;30,1,0))</formula>
    </cfRule>
    <cfRule type="expression" priority="57" dxfId="1">
      <formula>AND(IF($Q366=3,1,0),IF($X366&lt;30,1,0))</formula>
    </cfRule>
    <cfRule type="expression" priority="58" dxfId="0">
      <formula>AND(IF($Q366=3,1,IF($Q366=4,1,0)),IF($F366&lt;=85,1,0))</formula>
    </cfRule>
  </conditionalFormatting>
  <conditionalFormatting sqref="AV367">
    <cfRule type="expression" priority="53" dxfId="23">
      <formula>AV367="X"</formula>
    </cfRule>
    <cfRule type="expression" priority="54" dxfId="22">
      <formula>AV367="후보"</formula>
    </cfRule>
  </conditionalFormatting>
  <conditionalFormatting sqref="AC3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6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67">
    <cfRule type="expression" priority="45" dxfId="3">
      <formula>AND(IF(OR($Q367=1,$Q367=2),1,0),IF($X367&lt;=20,1,0))</formula>
    </cfRule>
    <cfRule type="expression" priority="46" dxfId="2">
      <formula>AND(IF($Q367=2,1,0),IF($X367&lt;30,1,0))</formula>
    </cfRule>
    <cfRule type="expression" priority="47" dxfId="1">
      <formula>AND(IF($Q367=3,1,0),IF($X367&lt;30,1,0))</formula>
    </cfRule>
    <cfRule type="expression" priority="48" dxfId="0">
      <formula>AND(IF($Q367=3,1,IF($Q367=4,1,0)),IF($F367&lt;=85,1,0))</formula>
    </cfRule>
  </conditionalFormatting>
  <conditionalFormatting sqref="X367">
    <cfRule type="expression" priority="41" dxfId="3">
      <formula>AND(IF(OR($Q367=1,$Q367=2),1,0),IF($X367&lt;=20,1,0))</formula>
    </cfRule>
    <cfRule type="expression" priority="42" dxfId="2">
      <formula>AND(IF($Q367=2,1,0),IF($X367&lt;30,1,0))</formula>
    </cfRule>
    <cfRule type="expression" priority="43" dxfId="1">
      <formula>AND(IF($Q367=3,1,0),IF($X367&lt;30,1,0))</formula>
    </cfRule>
    <cfRule type="expression" priority="44" dxfId="0">
      <formula>AND(IF($Q367=3,1,IF($Q367=4,1,0)),IF($F367&lt;=85,1,0))</formula>
    </cfRule>
  </conditionalFormatting>
  <conditionalFormatting sqref="AI367">
    <cfRule type="expression" priority="37" dxfId="3">
      <formula>AND(IF(OR($Q367=1,$Q367=2),1,0),IF($X367&lt;=20,1,0))</formula>
    </cfRule>
    <cfRule type="expression" priority="38" dxfId="2">
      <formula>AND(IF($Q367=2,1,0),IF($X367&lt;30,1,0))</formula>
    </cfRule>
    <cfRule type="expression" priority="39" dxfId="1">
      <formula>AND(IF($Q367=3,1,0),IF($X367&lt;30,1,0))</formula>
    </cfRule>
    <cfRule type="expression" priority="40" dxfId="0">
      <formula>AND(IF($Q367=3,1,IF($Q367=4,1,0)),IF($F367&lt;=85,1,0))</formula>
    </cfRule>
  </conditionalFormatting>
  <conditionalFormatting sqref="AV368">
    <cfRule type="expression" priority="35" dxfId="23">
      <formula>AV368="X"</formula>
    </cfRule>
    <cfRule type="expression" priority="36" dxfId="22">
      <formula>AV368="후보"</formula>
    </cfRule>
  </conditionalFormatting>
  <conditionalFormatting sqref="AC36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6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68">
    <cfRule type="expression" priority="27" dxfId="3">
      <formula>AND(IF(OR($Q368=1,$Q368=2),1,0),IF($X368&lt;=20,1,0))</formula>
    </cfRule>
    <cfRule type="expression" priority="28" dxfId="2">
      <formula>AND(IF($Q368=2,1,0),IF($X368&lt;30,1,0))</formula>
    </cfRule>
    <cfRule type="expression" priority="29" dxfId="1">
      <formula>AND(IF($Q368=3,1,0),IF($X368&lt;30,1,0))</formula>
    </cfRule>
    <cfRule type="expression" priority="30" dxfId="0">
      <formula>AND(IF($Q368=3,1,IF($Q368=4,1,0)),IF($F368&lt;=85,1,0))</formula>
    </cfRule>
  </conditionalFormatting>
  <conditionalFormatting sqref="X368">
    <cfRule type="expression" priority="23" dxfId="3">
      <formula>AND(IF(OR($Q368=1,$Q368=2),1,0),IF($X368&lt;=20,1,0))</formula>
    </cfRule>
    <cfRule type="expression" priority="24" dxfId="2">
      <formula>AND(IF($Q368=2,1,0),IF($X368&lt;30,1,0))</formula>
    </cfRule>
    <cfRule type="expression" priority="25" dxfId="1">
      <formula>AND(IF($Q368=3,1,0),IF($X368&lt;30,1,0))</formula>
    </cfRule>
    <cfRule type="expression" priority="26" dxfId="0">
      <formula>AND(IF($Q368=3,1,IF($Q368=4,1,0)),IF($F368&lt;=85,1,0))</formula>
    </cfRule>
  </conditionalFormatting>
  <conditionalFormatting sqref="AI368">
    <cfRule type="expression" priority="19" dxfId="3">
      <formula>AND(IF(OR($Q368=1,$Q368=2),1,0),IF($X368&lt;=20,1,0))</formula>
    </cfRule>
    <cfRule type="expression" priority="20" dxfId="2">
      <formula>AND(IF($Q368=2,1,0),IF($X368&lt;30,1,0))</formula>
    </cfRule>
    <cfRule type="expression" priority="21" dxfId="1">
      <formula>AND(IF($Q368=3,1,0),IF($X368&lt;30,1,0))</formula>
    </cfRule>
    <cfRule type="expression" priority="22" dxfId="0">
      <formula>AND(IF($Q368=3,1,IF($Q368=4,1,0)),IF($F368&lt;=85,1,0))</formula>
    </cfRule>
  </conditionalFormatting>
  <conditionalFormatting sqref="AV369">
    <cfRule type="expression" priority="17" dxfId="23">
      <formula>AV369="X"</formula>
    </cfRule>
    <cfRule type="expression" priority="18" dxfId="22">
      <formula>AV369="후보"</formula>
    </cfRule>
  </conditionalFormatting>
  <conditionalFormatting sqref="AC3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9">
    <cfRule type="expression" priority="9" dxfId="3">
      <formula>AND(IF(OR($Q369=1,$Q369=2),1,0),IF($X369&lt;=20,1,0))</formula>
    </cfRule>
    <cfRule type="expression" priority="10" dxfId="2">
      <formula>AND(IF($Q369=2,1,0),IF($X369&lt;30,1,0))</formula>
    </cfRule>
    <cfRule type="expression" priority="11" dxfId="1">
      <formula>AND(IF($Q369=3,1,0),IF($X369&lt;30,1,0))</formula>
    </cfRule>
    <cfRule type="expression" priority="12" dxfId="0">
      <formula>AND(IF($Q369=3,1,IF($Q369=4,1,0)),IF($F369&lt;=85,1,0))</formula>
    </cfRule>
  </conditionalFormatting>
  <conditionalFormatting sqref="X369">
    <cfRule type="expression" priority="5" dxfId="3">
      <formula>AND(IF(OR($Q369=1,$Q369=2),1,0),IF($X369&lt;=20,1,0))</formula>
    </cfRule>
    <cfRule type="expression" priority="6" dxfId="2">
      <formula>AND(IF($Q369=2,1,0),IF($X369&lt;30,1,0))</formula>
    </cfRule>
    <cfRule type="expression" priority="7" dxfId="1">
      <formula>AND(IF($Q369=3,1,0),IF($X369&lt;30,1,0))</formula>
    </cfRule>
    <cfRule type="expression" priority="8" dxfId="0">
      <formula>AND(IF($Q369=3,1,IF($Q369=4,1,0)),IF($F369&lt;=85,1,0))</formula>
    </cfRule>
  </conditionalFormatting>
  <conditionalFormatting sqref="AI369">
    <cfRule type="expression" priority="1" dxfId="3">
      <formula>AND(IF(OR($Q369=1,$Q369=2),1,0),IF($X369&lt;=20,1,0))</formula>
    </cfRule>
    <cfRule type="expression" priority="2" dxfId="2">
      <formula>AND(IF($Q369=2,1,0),IF($X369&lt;30,1,0))</formula>
    </cfRule>
    <cfRule type="expression" priority="3" dxfId="1">
      <formula>AND(IF($Q369=3,1,0),IF($X369&lt;30,1,0))</formula>
    </cfRule>
    <cfRule type="expression" priority="4" dxfId="0">
      <formula>AND(IF($Q369=3,1,IF($Q369=4,1,0)),IF($F369&lt;=85,1,0))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K148" sqref="K148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가음동 창원가음정한림풀에버</t>
        </is>
      </c>
      <c r="B4" s="75" t="inlineStr">
        <is>
          <t>14.07.</t>
        </is>
      </c>
      <c r="C4" s="129" t="n">
        <v>266</v>
      </c>
      <c r="D4" s="130" t="n">
        <v>90.5</v>
      </c>
      <c r="E4" s="131" t="n">
        <v>27</v>
      </c>
      <c r="F4" s="130" t="n">
        <v>64.8</v>
      </c>
      <c r="G4" s="17" t="n">
        <v>20</v>
      </c>
      <c r="H4" s="132" t="n">
        <v>39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90B</t>
        </is>
      </c>
      <c r="U4" s="9" t="n"/>
    </row>
    <row r="5" ht="12" customFormat="1" customHeight="1" s="37">
      <c r="A5" s="74" t="inlineStr">
        <is>
          <t>가음동 창원가음정한림풀에버</t>
        </is>
      </c>
      <c r="B5" s="75" t="inlineStr">
        <is>
          <t>14.07.</t>
        </is>
      </c>
      <c r="C5" s="129" t="n">
        <v>266</v>
      </c>
      <c r="D5" s="130" t="n">
        <v>112.8</v>
      </c>
      <c r="E5" s="131" t="n">
        <v>34</v>
      </c>
      <c r="F5" s="130" t="n">
        <v>84.90000000000001</v>
      </c>
      <c r="G5" s="17" t="n">
        <v>26</v>
      </c>
      <c r="H5" s="132" t="n">
        <v>94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112B</t>
        </is>
      </c>
      <c r="U5" s="9" t="n"/>
    </row>
    <row r="6" ht="12" customFormat="1" customHeight="1" s="37">
      <c r="A6" s="74" t="inlineStr">
        <is>
          <t>가음동 창원더샵센트럴파크1단지</t>
        </is>
      </c>
      <c r="B6" s="75" t="inlineStr">
        <is>
          <t>17.04.</t>
        </is>
      </c>
      <c r="C6" s="129" t="n">
        <v>386</v>
      </c>
      <c r="D6" s="130" t="n">
        <v>149.2</v>
      </c>
      <c r="E6" s="131" t="n">
        <v>45</v>
      </c>
      <c r="F6" s="130" t="n">
        <v>117.9</v>
      </c>
      <c r="G6" s="17" t="n">
        <v>36</v>
      </c>
      <c r="H6" s="132" t="n">
        <v>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149B</t>
        </is>
      </c>
      <c r="U6" s="9" t="n"/>
    </row>
    <row r="7" ht="12" customFormat="1" customHeight="1" s="37">
      <c r="A7" s="74" t="inlineStr">
        <is>
          <t>남산동 한양</t>
        </is>
      </c>
      <c r="B7" s="75" t="inlineStr">
        <is>
          <t>86.05.</t>
        </is>
      </c>
      <c r="C7" s="129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</row>
    <row r="8" ht="12" customFormat="1" customHeight="1" s="37">
      <c r="A8" s="74" t="inlineStr">
        <is>
          <t>남산동 대우2차</t>
        </is>
      </c>
      <c r="B8" s="75" t="inlineStr">
        <is>
          <t>91.09.</t>
        </is>
      </c>
      <c r="C8" s="129" t="n">
        <v>408</v>
      </c>
      <c r="D8" s="130" t="n">
        <v>98.2</v>
      </c>
      <c r="E8" s="131" t="n">
        <v>30</v>
      </c>
      <c r="F8" s="130" t="n">
        <v>80.90000000000001</v>
      </c>
      <c r="G8" s="17" t="n">
        <v>24</v>
      </c>
      <c r="H8" s="132" t="n">
        <v>48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98</v>
      </c>
      <c r="U8" s="9" t="n"/>
    </row>
    <row r="9" ht="12" customFormat="1" customHeight="1" s="37">
      <c r="A9" s="74" t="inlineStr">
        <is>
          <t>남산동 대우1차</t>
        </is>
      </c>
      <c r="B9" s="75" t="inlineStr">
        <is>
          <t>91.09.</t>
        </is>
      </c>
      <c r="C9" s="129" t="n">
        <v>636</v>
      </c>
      <c r="D9" s="130" t="n">
        <v>51.1</v>
      </c>
      <c r="E9" s="131" t="n">
        <v>15</v>
      </c>
      <c r="F9" s="130" t="n">
        <v>37.7</v>
      </c>
      <c r="G9" s="17" t="n">
        <v>11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51</v>
      </c>
      <c r="U9" s="9" t="n"/>
    </row>
    <row r="10" ht="12" customFormat="1" customHeight="1" s="37">
      <c r="A10" s="74" t="inlineStr">
        <is>
          <t>남양동 롯데</t>
        </is>
      </c>
      <c r="B10" s="75" t="inlineStr">
        <is>
          <t>90.09.</t>
        </is>
      </c>
      <c r="C10" s="129" t="n">
        <v>450</v>
      </c>
      <c r="D10" s="130" t="n">
        <v>149.4</v>
      </c>
      <c r="E10" s="131" t="n">
        <v>45</v>
      </c>
      <c r="F10" s="130" t="n">
        <v>129.9</v>
      </c>
      <c r="G10" s="17" t="n">
        <v>39</v>
      </c>
      <c r="H10" s="132" t="n">
        <v>120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149</v>
      </c>
      <c r="U10" s="9" t="n"/>
    </row>
    <row r="11" ht="12" customFormat="1" customHeight="1" s="37">
      <c r="A11" s="74" t="inlineStr">
        <is>
          <t>남양동 우성</t>
        </is>
      </c>
      <c r="B11" s="75" t="inlineStr">
        <is>
          <t>89.12.</t>
        </is>
      </c>
      <c r="C11" s="129" t="n">
        <v>750</v>
      </c>
      <c r="D11" s="130" t="n">
        <v>89</v>
      </c>
      <c r="E11" s="131" t="n">
        <v>27</v>
      </c>
      <c r="F11" s="130" t="n">
        <v>73.40000000000001</v>
      </c>
      <c r="G11" s="17" t="n">
        <v>22</v>
      </c>
      <c r="H11" s="132" t="n">
        <v>270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88</v>
      </c>
      <c r="U11" s="9" t="n"/>
    </row>
    <row r="12" ht="12" customFormat="1" customHeight="1" s="37">
      <c r="A12" s="74" t="inlineStr">
        <is>
          <t>남양동 한림엘리시온</t>
        </is>
      </c>
      <c r="B12" s="75" t="inlineStr">
        <is>
          <t>02.05.</t>
        </is>
      </c>
      <c r="C12" s="129" t="n">
        <v>210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109</v>
      </c>
      <c r="U12" s="9" t="n"/>
    </row>
    <row r="13" ht="12" customFormat="1" customHeight="1" s="37">
      <c r="A13" s="74" t="inlineStr">
        <is>
          <t>남양동 성원2차</t>
        </is>
      </c>
      <c r="B13" s="75" t="inlineStr">
        <is>
          <t>92.02.</t>
        </is>
      </c>
      <c r="C13" s="129" t="n">
        <v>1404</v>
      </c>
      <c r="D13" s="130" t="n">
        <v>102.1</v>
      </c>
      <c r="E13" s="131" t="n">
        <v>31</v>
      </c>
      <c r="F13" s="130" t="n">
        <v>84.90000000000001</v>
      </c>
      <c r="G13" s="17" t="n">
        <v>26</v>
      </c>
      <c r="H13" s="132" t="n">
        <v>1020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</row>
    <row r="14" ht="12" customFormat="1" customHeight="1" s="37">
      <c r="A14" s="74" t="inlineStr">
        <is>
          <t>남양동 성원2차</t>
        </is>
      </c>
      <c r="B14" s="75" t="inlineStr">
        <is>
          <t>92.02.</t>
        </is>
      </c>
      <c r="C14" s="129" t="n">
        <v>1404</v>
      </c>
      <c r="D14" s="130" t="n">
        <v>115.5</v>
      </c>
      <c r="E14" s="131" t="n">
        <v>35</v>
      </c>
      <c r="F14" s="130" t="n">
        <v>97</v>
      </c>
      <c r="G14" s="17" t="n">
        <v>29</v>
      </c>
      <c r="H14" s="132" t="n">
        <v>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115</v>
      </c>
      <c r="U14" s="9" t="n"/>
    </row>
    <row r="15" ht="12" customFormat="1" customHeight="1" s="37">
      <c r="A15" s="74" t="inlineStr">
        <is>
          <t>남양동 성원2차</t>
        </is>
      </c>
      <c r="B15" s="75" t="inlineStr">
        <is>
          <t>92.02.</t>
        </is>
      </c>
      <c r="C15" s="129" t="n">
        <v>1404</v>
      </c>
      <c r="D15" s="130" t="n">
        <v>136.6</v>
      </c>
      <c r="E15" s="131" t="n">
        <v>41</v>
      </c>
      <c r="F15" s="130" t="n">
        <v>118.1</v>
      </c>
      <c r="G15" s="17" t="n">
        <v>36</v>
      </c>
      <c r="H15" s="132" t="n">
        <v>90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136</v>
      </c>
      <c r="U15" s="9" t="n"/>
    </row>
    <row r="16" ht="12" customFormat="1" customHeight="1" s="37">
      <c r="A16" s="74" t="inlineStr">
        <is>
          <t>남양동 성원1차(그랜드타운남산)</t>
        </is>
      </c>
      <c r="B16" s="75" t="inlineStr">
        <is>
          <t>91.01.</t>
        </is>
      </c>
      <c r="C16" s="129" t="n">
        <v>1350</v>
      </c>
      <c r="D16" s="130" t="n">
        <v>163</v>
      </c>
      <c r="E16" s="131" t="n">
        <v>49</v>
      </c>
      <c r="F16" s="130" t="n">
        <v>140.8</v>
      </c>
      <c r="G16" s="17" t="n">
        <v>43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163</v>
      </c>
      <c r="U16" s="9" t="n"/>
    </row>
    <row r="17" ht="12" customFormat="1" customHeight="1" s="37">
      <c r="A17" s="74" t="inlineStr">
        <is>
          <t>내동 일성그라미</t>
        </is>
      </c>
      <c r="B17" s="75" t="inlineStr">
        <is>
          <t>90.03.</t>
        </is>
      </c>
      <c r="C17" s="129" t="n">
        <v>240</v>
      </c>
      <c r="D17" s="130" t="n">
        <v>87.5</v>
      </c>
      <c r="E17" s="131" t="n">
        <v>26</v>
      </c>
      <c r="F17" s="130" t="n">
        <v>72</v>
      </c>
      <c r="G17" s="17" t="n">
        <v>22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87</v>
      </c>
      <c r="U17" s="9" t="n"/>
    </row>
    <row r="18" ht="12" customFormat="1" customHeight="1" s="37">
      <c r="A18" s="74" t="inlineStr">
        <is>
          <t>내동 일성그라미</t>
        </is>
      </c>
      <c r="B18" s="75" t="inlineStr">
        <is>
          <t>90.03.</t>
        </is>
      </c>
      <c r="C18" s="129" t="n">
        <v>240</v>
      </c>
      <c r="D18" s="130" t="n">
        <v>96.59999999999999</v>
      </c>
      <c r="E18" s="131" t="n">
        <v>29</v>
      </c>
      <c r="F18" s="130" t="n">
        <v>80.3</v>
      </c>
      <c r="G18" s="17" t="n">
        <v>24</v>
      </c>
      <c r="H18" s="132" t="n">
        <v>120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n">
        <v>96</v>
      </c>
      <c r="U18" s="9" t="n"/>
    </row>
    <row r="19" ht="12" customFormat="1" customHeight="1" s="37">
      <c r="A19" s="74" t="inlineStr">
        <is>
          <t>내동 목련</t>
        </is>
      </c>
      <c r="B19" s="75" t="inlineStr">
        <is>
          <t>79.09.</t>
        </is>
      </c>
      <c r="C19" s="129" t="n">
        <v>239</v>
      </c>
      <c r="D19" s="130" t="n">
        <v>52.9</v>
      </c>
      <c r="E19" s="131" t="n">
        <v>16</v>
      </c>
      <c r="F19" s="130" t="n">
        <v>41.2</v>
      </c>
      <c r="G19" s="17" t="n">
        <v>12</v>
      </c>
      <c r="H19" s="132" t="n">
        <v>179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복</t>
        </is>
      </c>
      <c r="T19" s="5" t="n">
        <v>52</v>
      </c>
      <c r="U19" s="9" t="n"/>
    </row>
    <row r="20" ht="12" customFormat="1" customHeight="1" s="37">
      <c r="A20" s="74" t="inlineStr">
        <is>
          <t>내동 내동주공1단지</t>
        </is>
      </c>
      <c r="B20" s="75" t="inlineStr">
        <is>
          <t>77.01.</t>
        </is>
      </c>
      <c r="C20" s="129" t="n">
        <v>200</v>
      </c>
      <c r="D20" s="130" t="n">
        <v>50.2</v>
      </c>
      <c r="E20" s="131" t="n">
        <v>15</v>
      </c>
      <c r="F20" s="130" t="n">
        <v>49.5</v>
      </c>
      <c r="G20" s="17" t="n">
        <v>15</v>
      </c>
      <c r="H20" s="132" t="n">
        <v>200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복</t>
        </is>
      </c>
      <c r="T20" s="5" t="n">
        <v>50</v>
      </c>
      <c r="U20" s="9" t="n"/>
    </row>
    <row r="21" ht="12" customFormat="1" customHeight="1" s="37">
      <c r="A21" s="74" t="inlineStr">
        <is>
          <t>내동 창원월드메르디앙웨스턴애비뉴</t>
        </is>
      </c>
      <c r="B21" s="75" t="inlineStr">
        <is>
          <t>09.02.</t>
        </is>
      </c>
      <c r="C21" s="129" t="n">
        <v>504</v>
      </c>
      <c r="D21" s="130" t="n">
        <v>77.59999999999999</v>
      </c>
      <c r="E21" s="131" t="n">
        <v>23</v>
      </c>
      <c r="F21" s="130" t="n">
        <v>59.9</v>
      </c>
      <c r="G21" s="17" t="n">
        <v>18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77</v>
      </c>
      <c r="U21" s="9" t="n"/>
    </row>
    <row r="22" ht="12" customFormat="1" customHeight="1" s="37">
      <c r="A22" s="74" t="inlineStr">
        <is>
          <t>내동 창원월드메르디앙웨스턴애비뉴</t>
        </is>
      </c>
      <c r="B22" s="75" t="inlineStr">
        <is>
          <t>09.02.</t>
        </is>
      </c>
      <c r="C22" s="129" t="n">
        <v>504</v>
      </c>
      <c r="D22" s="130" t="n">
        <v>107.7</v>
      </c>
      <c r="E22" s="131" t="n">
        <v>33</v>
      </c>
      <c r="F22" s="130" t="n">
        <v>84.59999999999999</v>
      </c>
      <c r="G22" s="17" t="n">
        <v>26</v>
      </c>
      <c r="H22" s="132" t="n">
        <v>182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107A</t>
        </is>
      </c>
      <c r="U22" s="9" t="n"/>
    </row>
    <row r="23" ht="12" customFormat="1" customHeight="1" s="37">
      <c r="A23" s="74" t="inlineStr">
        <is>
          <t>대방동 대방덕산타운</t>
        </is>
      </c>
      <c r="B23" s="75" t="inlineStr">
        <is>
          <t>92.07.</t>
        </is>
      </c>
      <c r="C23" s="129" t="n">
        <v>920</v>
      </c>
      <c r="D23" s="130" t="n">
        <v>74.5</v>
      </c>
      <c r="E23" s="131" t="n">
        <v>23</v>
      </c>
      <c r="F23" s="130" t="n">
        <v>60</v>
      </c>
      <c r="G23" s="17" t="n">
        <v>18</v>
      </c>
      <c r="H23" s="132" t="n">
        <v>150</v>
      </c>
      <c r="I23" s="133" t="n"/>
      <c r="J23" s="133" t="n"/>
      <c r="K23" s="133" t="n">
        <v>22500</v>
      </c>
      <c r="L23" s="133" t="inlineStr">
        <is>
          <t>10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74A</t>
        </is>
      </c>
      <c r="U23" s="9" t="n"/>
    </row>
    <row r="24" ht="12" customFormat="1" customHeight="1" s="37">
      <c r="A24" s="74" t="inlineStr">
        <is>
          <t>대방동 대동디지털황토</t>
        </is>
      </c>
      <c r="B24" s="75" t="inlineStr">
        <is>
          <t>01.09.</t>
        </is>
      </c>
      <c r="C24" s="129" t="n">
        <v>704</v>
      </c>
      <c r="D24" s="130" t="n">
        <v>148.2</v>
      </c>
      <c r="E24" s="131" t="n">
        <v>45</v>
      </c>
      <c r="F24" s="130" t="n">
        <v>114.9</v>
      </c>
      <c r="G24" s="17" t="n">
        <v>35</v>
      </c>
      <c r="H24" s="132" t="n">
        <v>120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148</v>
      </c>
      <c r="U24" s="9" t="n"/>
    </row>
    <row r="25" ht="12" customFormat="1" customHeight="1" s="37">
      <c r="A25" s="74" t="inlineStr">
        <is>
          <t>대방동 대방동성</t>
        </is>
      </c>
      <c r="B25" s="75" t="inlineStr">
        <is>
          <t>96.05.</t>
        </is>
      </c>
      <c r="C25" s="129" t="n">
        <v>556</v>
      </c>
      <c r="D25" s="130" t="n">
        <v>129.5</v>
      </c>
      <c r="E25" s="131" t="n">
        <v>39</v>
      </c>
      <c r="F25" s="130" t="n">
        <v>101.9</v>
      </c>
      <c r="G25" s="17" t="n">
        <v>31</v>
      </c>
      <c r="H25" s="132" t="n">
        <v>120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129</v>
      </c>
      <c r="U25" s="9" t="n"/>
    </row>
    <row r="26" ht="12" customFormat="1" customHeight="1" s="37">
      <c r="A26" s="74" t="inlineStr">
        <is>
          <t>대방동 대방대동황토방</t>
        </is>
      </c>
      <c r="B26" s="75" t="inlineStr">
        <is>
          <t>01.05.</t>
        </is>
      </c>
      <c r="C26" s="129" t="n">
        <v>708</v>
      </c>
      <c r="D26" s="130" t="n">
        <v>148.4</v>
      </c>
      <c r="E26" s="131" t="n">
        <v>45</v>
      </c>
      <c r="F26" s="130" t="n">
        <v>115</v>
      </c>
      <c r="G26" s="17" t="n">
        <v>35</v>
      </c>
      <c r="H26" s="132" t="n">
        <v>72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148</v>
      </c>
      <c r="U26" s="9" t="n"/>
    </row>
    <row r="27" ht="12" customFormat="1" customHeight="1" s="37">
      <c r="A27" s="74" t="inlineStr">
        <is>
          <t>대방동 대방개나리1차</t>
        </is>
      </c>
      <c r="B27" s="75" t="inlineStr">
        <is>
          <t>92.09.</t>
        </is>
      </c>
      <c r="C27" s="129" t="n">
        <v>1005</v>
      </c>
      <c r="D27" s="130" t="n">
        <v>57.1</v>
      </c>
      <c r="E27" s="131" t="n">
        <v>17</v>
      </c>
      <c r="F27" s="130" t="n">
        <v>42.2</v>
      </c>
      <c r="G27" s="17" t="n">
        <v>13</v>
      </c>
      <c r="H27" s="132" t="n">
        <v>600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57</v>
      </c>
      <c r="U27" s="9" t="n"/>
    </row>
    <row r="28" ht="12" customFormat="1" customHeight="1" s="37">
      <c r="A28" s="74" t="inlineStr">
        <is>
          <t>대방동 성원남산3차(309~311동)</t>
        </is>
      </c>
      <c r="B28" s="75" t="inlineStr">
        <is>
          <t>92.11.</t>
        </is>
      </c>
      <c r="C28" s="129" t="n">
        <v>1017</v>
      </c>
      <c r="D28" s="130" t="n">
        <v>62.4</v>
      </c>
      <c r="E28" s="131" t="n">
        <v>19</v>
      </c>
      <c r="F28" s="130" t="n">
        <v>48</v>
      </c>
      <c r="G28" s="17" t="n">
        <v>15</v>
      </c>
      <c r="H28" s="132" t="n">
        <v>1017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62</v>
      </c>
      <c r="U28" s="9" t="n"/>
    </row>
    <row r="29" ht="12" customFormat="1" customHeight="1" s="37">
      <c r="A29" s="74" t="inlineStr">
        <is>
          <t>대원동 현대</t>
        </is>
      </c>
      <c r="B29" s="75" t="inlineStr">
        <is>
          <t>79.10.</t>
        </is>
      </c>
      <c r="C29" s="129" t="n">
        <v>630</v>
      </c>
      <c r="D29" s="130" t="n">
        <v>62.6</v>
      </c>
      <c r="E29" s="131" t="n">
        <v>19</v>
      </c>
      <c r="F29" s="130" t="n">
        <v>56.5</v>
      </c>
      <c r="G29" s="17" t="n">
        <v>17</v>
      </c>
      <c r="H29" s="132" t="n">
        <v>150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62B</t>
        </is>
      </c>
      <c r="U29" s="9" t="n"/>
    </row>
    <row r="30" ht="12" customFormat="1" customHeight="1" s="37">
      <c r="A30" s="74" t="inlineStr">
        <is>
          <t>대원동 현대</t>
        </is>
      </c>
      <c r="B30" s="75" t="inlineStr">
        <is>
          <t>79.10.</t>
        </is>
      </c>
      <c r="C30" s="129" t="n">
        <v>630</v>
      </c>
      <c r="D30" s="130" t="n">
        <v>75.7</v>
      </c>
      <c r="E30" s="131" t="n">
        <v>23</v>
      </c>
      <c r="F30" s="130" t="n">
        <v>75.7</v>
      </c>
      <c r="G30" s="17" t="n">
        <v>23</v>
      </c>
      <c r="H30" s="132" t="n">
        <v>40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75</v>
      </c>
      <c r="U30" s="9" t="n"/>
    </row>
    <row r="31" ht="12" customFormat="1" customHeight="1" s="37">
      <c r="A31" s="74" t="inlineStr">
        <is>
          <t>대원동 포레나대원</t>
        </is>
      </c>
      <c r="B31" s="75" t="inlineStr">
        <is>
          <t>18.12.</t>
        </is>
      </c>
      <c r="C31" s="129" t="n">
        <v>1530</v>
      </c>
      <c r="D31" s="130" t="n">
        <v>82.3</v>
      </c>
      <c r="E31" s="131" t="n">
        <v>25</v>
      </c>
      <c r="F31" s="130" t="n">
        <v>59.1</v>
      </c>
      <c r="G31" s="17" t="n">
        <v>18</v>
      </c>
      <c r="H31" s="132" t="n">
        <v>296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82A</t>
        </is>
      </c>
      <c r="U31" s="9" t="n"/>
    </row>
    <row r="32" ht="12" customFormat="1" customHeight="1" s="37">
      <c r="A32" s="74" t="inlineStr">
        <is>
          <t>대원동 포레나대원</t>
        </is>
      </c>
      <c r="B32" s="75" t="inlineStr">
        <is>
          <t>18.12.</t>
        </is>
      </c>
      <c r="C32" s="129" t="n">
        <v>1530</v>
      </c>
      <c r="D32" s="130" t="n">
        <v>116.5</v>
      </c>
      <c r="E32" s="131" t="n">
        <v>35</v>
      </c>
      <c r="F32" s="130" t="n">
        <v>84.40000000000001</v>
      </c>
      <c r="G32" s="17" t="n">
        <v>26</v>
      </c>
      <c r="H32" s="132" t="n">
        <v>148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116B</t>
        </is>
      </c>
      <c r="U32" s="9" t="n"/>
    </row>
    <row r="33" ht="12" customFormat="1" customHeight="1" s="37">
      <c r="A33" s="74" t="inlineStr">
        <is>
          <t>대원동 포레나대원</t>
        </is>
      </c>
      <c r="B33" s="75" t="inlineStr">
        <is>
          <t>18.12.</t>
        </is>
      </c>
      <c r="C33" s="129" t="n">
        <v>1530</v>
      </c>
      <c r="D33" s="130" t="n">
        <v>147.1</v>
      </c>
      <c r="E33" s="131" t="n">
        <v>44</v>
      </c>
      <c r="F33" s="130" t="n">
        <v>108.3</v>
      </c>
      <c r="G33" s="17" t="n">
        <v>33</v>
      </c>
      <c r="H33" s="132" t="n">
        <v>48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147</v>
      </c>
      <c r="U33" s="9" t="n"/>
    </row>
    <row r="34" ht="12" customFormat="1" customHeight="1" s="37">
      <c r="A34" s="74" t="inlineStr">
        <is>
          <t>대원동 대원대동황토방1차</t>
        </is>
      </c>
      <c r="B34" s="75" t="inlineStr">
        <is>
          <t>99.04.</t>
        </is>
      </c>
      <c r="C34" s="129" t="n">
        <v>486</v>
      </c>
      <c r="D34" s="130" t="n">
        <v>143.4</v>
      </c>
      <c r="E34" s="131" t="n">
        <v>43</v>
      </c>
      <c r="F34" s="130" t="n">
        <v>120.9</v>
      </c>
      <c r="G34" s="17" t="n">
        <v>37</v>
      </c>
      <c r="H34" s="132" t="n">
        <v>156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143</v>
      </c>
      <c r="U34" s="9" t="n"/>
    </row>
    <row r="35" ht="12" customFormat="1" customHeight="1" s="37">
      <c r="A35" s="74" t="inlineStr">
        <is>
          <t>반림동 현대2차</t>
        </is>
      </c>
      <c r="B35" s="75" t="inlineStr">
        <is>
          <t>89.10.</t>
        </is>
      </c>
      <c r="C35" s="129" t="n">
        <v>1395</v>
      </c>
      <c r="D35" s="130" t="n">
        <v>153.2</v>
      </c>
      <c r="E35" s="131" t="n">
        <v>46</v>
      </c>
      <c r="F35" s="130" t="n">
        <v>132.5</v>
      </c>
      <c r="G35" s="17" t="n">
        <v>40</v>
      </c>
      <c r="H35" s="132" t="n">
        <v>60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153</v>
      </c>
      <c r="U35" s="9" t="n"/>
    </row>
    <row r="36" ht="12" customFormat="1" customHeight="1" s="37">
      <c r="A36" s="74" t="inlineStr">
        <is>
          <t>반지동 까치1차</t>
        </is>
      </c>
      <c r="B36" s="75" t="inlineStr">
        <is>
          <t>90.09.</t>
        </is>
      </c>
      <c r="C36" s="129" t="n">
        <v>500</v>
      </c>
      <c r="D36" s="130" t="n">
        <v>39.7</v>
      </c>
      <c r="E36" s="131" t="n">
        <v>12</v>
      </c>
      <c r="F36" s="130" t="n">
        <v>31.5</v>
      </c>
      <c r="G36" s="17" t="n">
        <v>10</v>
      </c>
      <c r="H36" s="132" t="n">
        <v>450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n">
        <v>39</v>
      </c>
      <c r="U36" s="9" t="n"/>
    </row>
    <row r="37" ht="12" customFormat="1" customHeight="1" s="37">
      <c r="A37" s="74" t="inlineStr">
        <is>
          <t>사파동 삼익1차</t>
        </is>
      </c>
      <c r="B37" s="75" t="inlineStr">
        <is>
          <t>88.09.</t>
        </is>
      </c>
      <c r="C37" s="129" t="n">
        <v>570</v>
      </c>
      <c r="D37" s="130" t="n">
        <v>48.7</v>
      </c>
      <c r="E37" s="131" t="n">
        <v>15</v>
      </c>
      <c r="F37" s="130" t="n">
        <v>39.9</v>
      </c>
      <c r="G37" s="17" t="n">
        <v>12</v>
      </c>
      <c r="H37" s="132" t="n">
        <v>120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n">
        <v>48</v>
      </c>
      <c r="U37" s="9" t="n"/>
    </row>
    <row r="38" ht="12" customFormat="1" customHeight="1" s="37">
      <c r="A38" s="74" t="inlineStr">
        <is>
          <t>사파동 삼익1차</t>
        </is>
      </c>
      <c r="B38" s="75" t="inlineStr">
        <is>
          <t>88.09.</t>
        </is>
      </c>
      <c r="C38" s="129" t="n">
        <v>570</v>
      </c>
      <c r="D38" s="130" t="n">
        <v>70.90000000000001</v>
      </c>
      <c r="E38" s="131" t="n">
        <v>21</v>
      </c>
      <c r="F38" s="130" t="n">
        <v>60</v>
      </c>
      <c r="G38" s="17" t="n">
        <v>18</v>
      </c>
      <c r="H38" s="132" t="n">
        <v>220</v>
      </c>
      <c r="I38" s="133" t="n"/>
      <c r="J38" s="133" t="n"/>
      <c r="K38" s="133" t="n">
        <v>20000</v>
      </c>
      <c r="L38" s="133" t="inlineStr">
        <is>
          <t>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70B</t>
        </is>
      </c>
      <c r="U38" s="9" t="n"/>
    </row>
    <row r="39" ht="12" customFormat="1" customHeight="1" s="37">
      <c r="A39" s="74" t="inlineStr">
        <is>
          <t>사파동 삼익2차</t>
        </is>
      </c>
      <c r="B39" s="75" t="inlineStr">
        <is>
          <t>89.01.</t>
        </is>
      </c>
      <c r="C39" s="129" t="n">
        <v>400</v>
      </c>
      <c r="D39" s="130" t="n">
        <v>79.5</v>
      </c>
      <c r="E39" s="131" t="n">
        <v>24</v>
      </c>
      <c r="F39" s="130" t="n">
        <v>68.59999999999999</v>
      </c>
      <c r="G39" s="17" t="n">
        <v>21</v>
      </c>
      <c r="H39" s="132" t="n">
        <v>140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n">
        <v>79</v>
      </c>
      <c r="U39" s="9" t="n"/>
    </row>
    <row r="40" ht="12" customFormat="1" customHeight="1" s="37">
      <c r="A40" s="74" t="inlineStr">
        <is>
          <t>사파동 삼익2차</t>
        </is>
      </c>
      <c r="B40" s="75" t="inlineStr">
        <is>
          <t>89.01.</t>
        </is>
      </c>
      <c r="C40" s="129" t="n">
        <v>400</v>
      </c>
      <c r="D40" s="130" t="n">
        <v>129.5</v>
      </c>
      <c r="E40" s="131" t="n">
        <v>39</v>
      </c>
      <c r="F40" s="130" t="n">
        <v>114.9</v>
      </c>
      <c r="G40" s="17" t="n">
        <v>35</v>
      </c>
      <c r="H40" s="132" t="n">
        <v>40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129</v>
      </c>
      <c r="U40" s="9" t="n"/>
    </row>
    <row r="41" ht="12" customFormat="1" customHeight="1" s="37">
      <c r="A41" s="74" t="inlineStr">
        <is>
          <t>사파동 대동1차</t>
        </is>
      </c>
      <c r="B41" s="75" t="inlineStr">
        <is>
          <t>88.06.</t>
        </is>
      </c>
      <c r="C41" s="129" t="n">
        <v>400</v>
      </c>
      <c r="D41" s="130" t="n">
        <v>60.7</v>
      </c>
      <c r="E41" s="131" t="n">
        <v>18</v>
      </c>
      <c r="F41" s="130" t="n">
        <v>50.3</v>
      </c>
      <c r="G41" s="17" t="n">
        <v>15</v>
      </c>
      <c r="H41" s="132" t="n">
        <v>172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n">
        <v>60</v>
      </c>
      <c r="U41" s="9" t="n"/>
    </row>
    <row r="42" ht="12" customFormat="1" customHeight="1" s="37">
      <c r="A42" s="74" t="inlineStr">
        <is>
          <t>사파동 대동2차</t>
        </is>
      </c>
      <c r="B42" s="75" t="inlineStr">
        <is>
          <t>89.09.</t>
        </is>
      </c>
      <c r="C42" s="129" t="n">
        <v>470</v>
      </c>
      <c r="D42" s="130" t="n">
        <v>54.7</v>
      </c>
      <c r="E42" s="131" t="n">
        <v>17</v>
      </c>
      <c r="F42" s="130" t="n">
        <v>44</v>
      </c>
      <c r="G42" s="17" t="n">
        <v>13</v>
      </c>
      <c r="H42" s="132" t="n">
        <v>50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54</v>
      </c>
      <c r="U42" s="9" t="n"/>
    </row>
    <row r="43" ht="12" customFormat="1" customHeight="1" s="37">
      <c r="A43" s="74" t="inlineStr">
        <is>
          <t>사파동 대동2차</t>
        </is>
      </c>
      <c r="B43" s="75" t="inlineStr">
        <is>
          <t>89.09.</t>
        </is>
      </c>
      <c r="C43" s="129" t="n">
        <v>470</v>
      </c>
      <c r="D43" s="130" t="n">
        <v>61.5</v>
      </c>
      <c r="E43" s="131" t="n">
        <v>19</v>
      </c>
      <c r="F43" s="130" t="n">
        <v>50.3</v>
      </c>
      <c r="G43" s="17" t="n">
        <v>15</v>
      </c>
      <c r="H43" s="132" t="n">
        <v>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n">
        <v>61</v>
      </c>
      <c r="U43" s="9" t="n"/>
    </row>
    <row r="44" ht="12" customFormat="1" customHeight="1" s="37">
      <c r="A44" s="74" t="inlineStr">
        <is>
          <t>사파동 대동2차</t>
        </is>
      </c>
      <c r="B44" s="75" t="inlineStr">
        <is>
          <t>89.09.</t>
        </is>
      </c>
      <c r="C44" s="129" t="n">
        <v>470</v>
      </c>
      <c r="D44" s="130" t="n">
        <v>82.40000000000001</v>
      </c>
      <c r="E44" s="131" t="n">
        <v>25</v>
      </c>
      <c r="F44" s="130" t="n">
        <v>69.3</v>
      </c>
      <c r="G44" s="17" t="n">
        <v>21</v>
      </c>
      <c r="H44" s="132" t="n">
        <v>130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n">
        <v>82</v>
      </c>
      <c r="U44" s="9" t="n"/>
    </row>
    <row r="45" ht="12" customFormat="1" customHeight="1" s="37">
      <c r="A45" s="74" t="inlineStr">
        <is>
          <t>사파동 대동2차</t>
        </is>
      </c>
      <c r="B45" s="75" t="inlineStr">
        <is>
          <t>89.09.</t>
        </is>
      </c>
      <c r="C45" s="129" t="n">
        <v>470</v>
      </c>
      <c r="D45" s="130" t="n">
        <v>91.09999999999999</v>
      </c>
      <c r="E45" s="131" t="n">
        <v>28</v>
      </c>
      <c r="F45" s="130" t="n">
        <v>75.3</v>
      </c>
      <c r="G45" s="17" t="n">
        <v>23</v>
      </c>
      <c r="H45" s="132" t="n">
        <v>40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계</t>
        </is>
      </c>
      <c r="T45" s="5" t="n">
        <v>91</v>
      </c>
      <c r="U45" s="9" t="n"/>
    </row>
    <row r="46" ht="12" customFormat="1" customHeight="1" s="37">
      <c r="A46" s="74" t="inlineStr">
        <is>
          <t>사파동 동양무궁화</t>
        </is>
      </c>
      <c r="B46" s="75" t="inlineStr">
        <is>
          <t>88.02.</t>
        </is>
      </c>
      <c r="C46" s="129" t="n">
        <v>770</v>
      </c>
      <c r="D46" s="130" t="n">
        <v>61.1</v>
      </c>
      <c r="E46" s="131" t="n">
        <v>18</v>
      </c>
      <c r="F46" s="130" t="n">
        <v>51.6</v>
      </c>
      <c r="G46" s="17" t="n">
        <v>16</v>
      </c>
      <c r="H46" s="132" t="n">
        <v>550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61</v>
      </c>
      <c r="U46" s="9" t="n"/>
    </row>
    <row r="47" ht="12" customFormat="1" customHeight="1" s="37">
      <c r="A47" s="74" t="inlineStr">
        <is>
          <t>성주동 한림푸르지오</t>
        </is>
      </c>
      <c r="B47" s="75" t="inlineStr">
        <is>
          <t>03.12.</t>
        </is>
      </c>
      <c r="C47" s="129" t="n">
        <v>520</v>
      </c>
      <c r="D47" s="130" t="n">
        <v>169.7</v>
      </c>
      <c r="E47" s="131" t="n">
        <v>51</v>
      </c>
      <c r="F47" s="130" t="n">
        <v>140.7</v>
      </c>
      <c r="G47" s="17" t="n">
        <v>43</v>
      </c>
      <c r="H47" s="132" t="n">
        <v>80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169</v>
      </c>
      <c r="U47" s="9" t="n"/>
    </row>
    <row r="48" ht="12" customFormat="1" customHeight="1" s="37">
      <c r="A48" s="74" t="inlineStr">
        <is>
          <t>성주동 한림푸르지오</t>
        </is>
      </c>
      <c r="B48" s="75" t="inlineStr">
        <is>
          <t>03.12.</t>
        </is>
      </c>
      <c r="C48" s="129" t="n">
        <v>520</v>
      </c>
      <c r="D48" s="130" t="n">
        <v>216.5</v>
      </c>
      <c r="E48" s="131" t="n">
        <v>66</v>
      </c>
      <c r="F48" s="130" t="n">
        <v>186.1</v>
      </c>
      <c r="G48" s="17" t="n">
        <v>56</v>
      </c>
      <c r="H48" s="132" t="n">
        <v>40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5</v>
      </c>
      <c r="R48" s="120" t="n">
        <v>2</v>
      </c>
      <c r="S48" s="120" t="inlineStr">
        <is>
          <t>계</t>
        </is>
      </c>
      <c r="T48" s="5" t="n">
        <v>216</v>
      </c>
      <c r="U48" s="9" t="n"/>
    </row>
    <row r="49" ht="12" customFormat="1" customHeight="1" s="37">
      <c r="A49" s="74" t="inlineStr">
        <is>
          <t>성주동 프리빌리지</t>
        </is>
      </c>
      <c r="B49" s="75" t="inlineStr">
        <is>
          <t>03.10.</t>
        </is>
      </c>
      <c r="C49" s="129" t="n">
        <v>1062</v>
      </c>
      <c r="D49" s="130" t="n">
        <v>150.5</v>
      </c>
      <c r="E49" s="131" t="n">
        <v>46</v>
      </c>
      <c r="F49" s="130" t="n">
        <v>124.9</v>
      </c>
      <c r="G49" s="17" t="n">
        <v>38</v>
      </c>
      <c r="H49" s="132" t="n">
        <v>40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150</v>
      </c>
      <c r="U49" s="9" t="n"/>
    </row>
    <row r="50" ht="12" customFormat="1" customHeight="1" s="37">
      <c r="A50" s="74" t="inlineStr">
        <is>
          <t>성주동 프리빌리지</t>
        </is>
      </c>
      <c r="B50" s="75" t="inlineStr">
        <is>
          <t>03.10.</t>
        </is>
      </c>
      <c r="C50" s="129" t="n">
        <v>1062</v>
      </c>
      <c r="D50" s="130" t="n">
        <v>195.3</v>
      </c>
      <c r="E50" s="131" t="n">
        <v>59</v>
      </c>
      <c r="F50" s="130" t="n">
        <v>160.3</v>
      </c>
      <c r="G50" s="17" t="n">
        <v>48</v>
      </c>
      <c r="H50" s="132" t="n">
        <v>40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195</v>
      </c>
      <c r="U50" s="9" t="n"/>
    </row>
    <row r="51" ht="12" customFormat="1" customHeight="1" s="37">
      <c r="A51" s="74" t="inlineStr">
        <is>
          <t>신월동 은아</t>
        </is>
      </c>
      <c r="B51" s="75" t="inlineStr">
        <is>
          <t>88.07.</t>
        </is>
      </c>
      <c r="C51" s="129" t="n">
        <v>1550</v>
      </c>
      <c r="D51" s="130" t="n">
        <v>70.3</v>
      </c>
      <c r="E51" s="131" t="n">
        <v>21</v>
      </c>
      <c r="F51" s="130" t="n">
        <v>60.4</v>
      </c>
      <c r="G51" s="17" t="n">
        <v>18</v>
      </c>
      <c r="H51" s="132" t="n">
        <v>240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70B</t>
        </is>
      </c>
      <c r="U51" s="9" t="n"/>
    </row>
    <row r="52" ht="12" customFormat="1" customHeight="1" s="37">
      <c r="A52" s="74" t="inlineStr">
        <is>
          <t>신월동 주공</t>
        </is>
      </c>
      <c r="B52" s="75" t="inlineStr">
        <is>
          <t>87.10.</t>
        </is>
      </c>
      <c r="C52" s="129" t="n">
        <v>1500</v>
      </c>
      <c r="D52" s="130" t="n">
        <v>45.1</v>
      </c>
      <c r="E52" s="131" t="n">
        <v>14</v>
      </c>
      <c r="F52" s="130" t="n">
        <v>39.7</v>
      </c>
      <c r="G52" s="17" t="n">
        <v>12</v>
      </c>
      <c r="H52" s="132" t="n">
        <v>870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n">
        <v>45</v>
      </c>
      <c r="U52" s="9" t="n"/>
    </row>
    <row r="53" ht="12" customFormat="1" customHeight="1" s="37">
      <c r="A53" s="74" t="inlineStr">
        <is>
          <t>신월동 주공</t>
        </is>
      </c>
      <c r="B53" s="75" t="inlineStr">
        <is>
          <t>87.10.</t>
        </is>
      </c>
      <c r="C53" s="129" t="n">
        <v>1500</v>
      </c>
      <c r="D53" s="130" t="n">
        <v>52.5</v>
      </c>
      <c r="E53" s="131" t="n">
        <v>16</v>
      </c>
      <c r="F53" s="130" t="n">
        <v>47.1</v>
      </c>
      <c r="G53" s="17" t="n">
        <v>14</v>
      </c>
      <c r="H53" s="132" t="n">
        <v>120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52B</t>
        </is>
      </c>
      <c r="U53" s="9" t="n"/>
    </row>
    <row r="54" ht="12" customFormat="1" customHeight="1" s="37">
      <c r="A54" s="74" t="inlineStr">
        <is>
          <t>신월동 주공</t>
        </is>
      </c>
      <c r="B54" s="75" t="inlineStr">
        <is>
          <t>87.10.</t>
        </is>
      </c>
      <c r="C54" s="129" t="n">
        <v>1500</v>
      </c>
      <c r="D54" s="130" t="n">
        <v>57</v>
      </c>
      <c r="E54" s="131" t="n">
        <v>17</v>
      </c>
      <c r="F54" s="130" t="n">
        <v>51</v>
      </c>
      <c r="G54" s="17" t="n">
        <v>15</v>
      </c>
      <c r="H54" s="132" t="n">
        <v>220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57</v>
      </c>
      <c r="U54" s="9" t="n"/>
    </row>
    <row r="55" ht="12" customFormat="1" customHeight="1" s="37">
      <c r="A55" s="74" t="inlineStr">
        <is>
          <t>신월동 주공</t>
        </is>
      </c>
      <c r="B55" s="75" t="inlineStr">
        <is>
          <t>87.10.</t>
        </is>
      </c>
      <c r="C55" s="129" t="n">
        <v>1500</v>
      </c>
      <c r="D55" s="130" t="n">
        <v>65.59999999999999</v>
      </c>
      <c r="E55" s="131" t="n">
        <v>20</v>
      </c>
      <c r="F55" s="130" t="n">
        <v>59.1</v>
      </c>
      <c r="G55" s="17" t="n">
        <v>18</v>
      </c>
      <c r="H55" s="132" t="n">
        <v>180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65</v>
      </c>
      <c r="U55" s="9" t="n"/>
    </row>
    <row r="56" ht="12" customFormat="1" customHeight="1" s="37">
      <c r="A56" s="74" t="inlineStr">
        <is>
          <t>신촌동 창원신촌동원로얄듀크</t>
        </is>
      </c>
      <c r="B56" s="75" t="inlineStr">
        <is>
          <t>08.10.</t>
        </is>
      </c>
      <c r="C56" s="129" t="n">
        <v>225</v>
      </c>
      <c r="D56" s="130" t="n">
        <v>111</v>
      </c>
      <c r="E56" s="131" t="n">
        <v>34</v>
      </c>
      <c r="F56" s="130" t="n">
        <v>85</v>
      </c>
      <c r="G56" s="17" t="n">
        <v>26</v>
      </c>
      <c r="H56" s="132" t="n">
        <v>100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복</t>
        </is>
      </c>
      <c r="T56" s="5" t="inlineStr">
        <is>
          <t>110A</t>
        </is>
      </c>
      <c r="U56" s="9" t="n"/>
    </row>
    <row r="57" ht="12" customFormat="1" customHeight="1" s="37">
      <c r="A57" s="74" t="inlineStr">
        <is>
          <t>신촌동 창원신촌동원로얄듀크</t>
        </is>
      </c>
      <c r="B57" s="75" t="inlineStr">
        <is>
          <t>08.10.</t>
        </is>
      </c>
      <c r="C57" s="129" t="n">
        <v>225</v>
      </c>
      <c r="D57" s="130" t="n">
        <v>148.9</v>
      </c>
      <c r="E57" s="131" t="n">
        <v>45</v>
      </c>
      <c r="F57" s="130" t="n">
        <v>121.6</v>
      </c>
      <c r="G57" s="17" t="n">
        <v>37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복</t>
        </is>
      </c>
      <c r="T57" s="5" t="inlineStr">
        <is>
          <t>148C</t>
        </is>
      </c>
      <c r="U57" s="9" t="n"/>
    </row>
    <row r="58" ht="12" customFormat="1" customHeight="1" s="37">
      <c r="A58" s="74" t="inlineStr">
        <is>
          <t>신촌동 동성2차(21-6)</t>
        </is>
      </c>
      <c r="B58" s="75" t="inlineStr">
        <is>
          <t>87.08.</t>
        </is>
      </c>
      <c r="C58" s="129" t="n">
        <v>300</v>
      </c>
      <c r="D58" s="130" t="n">
        <v>66.59999999999999</v>
      </c>
      <c r="E58" s="131" t="n">
        <v>20</v>
      </c>
      <c r="F58" s="130" t="n">
        <v>60</v>
      </c>
      <c r="G58" s="17" t="n">
        <v>18</v>
      </c>
      <c r="H58" s="132" t="n">
        <v>250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inlineStr">
        <is>
          <t>66B</t>
        </is>
      </c>
      <c r="U58" s="9" t="n"/>
    </row>
    <row r="59" ht="12" customFormat="1" customHeight="1" s="37">
      <c r="A59" s="74" t="inlineStr">
        <is>
          <t>신촌동 양곡상가</t>
        </is>
      </c>
      <c r="B59" s="75" t="inlineStr">
        <is>
          <t>79.09.</t>
        </is>
      </c>
      <c r="C59" s="129" t="n">
        <v>330</v>
      </c>
      <c r="D59" s="130" t="n">
        <v>82.7</v>
      </c>
      <c r="E59" s="131" t="n">
        <v>25</v>
      </c>
      <c r="F59" s="130" t="n">
        <v>62.7</v>
      </c>
      <c r="G59" s="17" t="n">
        <v>19</v>
      </c>
      <c r="H59" s="132" t="n">
        <v>264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2</v>
      </c>
      <c r="R59" s="120" t="n">
        <v>1</v>
      </c>
      <c r="S59" s="120" t="inlineStr">
        <is>
          <t>복</t>
        </is>
      </c>
      <c r="T59" s="5" t="n">
        <v>82</v>
      </c>
      <c r="U59" s="9" t="n"/>
    </row>
    <row r="60" ht="12" customFormat="1" customHeight="1" s="37">
      <c r="A60" s="74" t="inlineStr">
        <is>
          <t>신촌동 양곡상가</t>
        </is>
      </c>
      <c r="B60" s="75" t="inlineStr">
        <is>
          <t>79.09.</t>
        </is>
      </c>
      <c r="C60" s="129" t="n">
        <v>330</v>
      </c>
      <c r="D60" s="130" t="n">
        <v>105.8</v>
      </c>
      <c r="E60" s="131" t="n">
        <v>32</v>
      </c>
      <c r="F60" s="130" t="n">
        <v>82.2</v>
      </c>
      <c r="G60" s="17" t="n">
        <v>25</v>
      </c>
      <c r="H60" s="132" t="n">
        <v>66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1</v>
      </c>
      <c r="S60" s="120" t="inlineStr">
        <is>
          <t>복</t>
        </is>
      </c>
      <c r="T60" s="5" t="n">
        <v>105</v>
      </c>
      <c r="U60" s="9" t="n"/>
    </row>
    <row r="61" ht="12" customFormat="1" customHeight="1" s="37">
      <c r="A61" s="74" t="inlineStr">
        <is>
          <t>신촌동 동성1차</t>
        </is>
      </c>
      <c r="B61" s="75" t="inlineStr">
        <is>
          <t>86.10.</t>
        </is>
      </c>
      <c r="C61" s="129" t="n">
        <v>240</v>
      </c>
      <c r="D61" s="130" t="n">
        <v>69.7</v>
      </c>
      <c r="E61" s="131" t="n">
        <v>21</v>
      </c>
      <c r="F61" s="130" t="n">
        <v>59.8</v>
      </c>
      <c r="G61" s="17" t="n">
        <v>18</v>
      </c>
      <c r="H61" s="132" t="n">
        <v>240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1</v>
      </c>
      <c r="S61" s="120" t="inlineStr">
        <is>
          <t>계</t>
        </is>
      </c>
      <c r="T61" s="5" t="n">
        <v>69</v>
      </c>
      <c r="U61" s="9" t="n"/>
    </row>
    <row r="62" ht="12" customFormat="1" customHeight="1" s="37">
      <c r="A62" s="74" t="inlineStr">
        <is>
          <t>신촌동 성원</t>
        </is>
      </c>
      <c r="B62" s="75" t="inlineStr">
        <is>
          <t>87.06.</t>
        </is>
      </c>
      <c r="C62" s="129" t="n">
        <v>410</v>
      </c>
      <c r="D62" s="130" t="n">
        <v>65.3</v>
      </c>
      <c r="E62" s="131" t="n">
        <v>20</v>
      </c>
      <c r="F62" s="130" t="n">
        <v>59.2</v>
      </c>
      <c r="G62" s="17" t="n">
        <v>18</v>
      </c>
      <c r="H62" s="132" t="n">
        <v>140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65</v>
      </c>
      <c r="U62" s="9" t="n"/>
    </row>
    <row r="63" ht="12" customFormat="1" customHeight="1" s="37">
      <c r="A63" s="74" t="inlineStr">
        <is>
          <t>안민동 안민청솔마을대동</t>
        </is>
      </c>
      <c r="B63" s="75" t="inlineStr">
        <is>
          <t>99.06.</t>
        </is>
      </c>
      <c r="C63" s="129" t="n">
        <v>920</v>
      </c>
      <c r="D63" s="130" t="n">
        <v>147.9</v>
      </c>
      <c r="E63" s="131" t="n">
        <v>45</v>
      </c>
      <c r="F63" s="130" t="n">
        <v>119.7</v>
      </c>
      <c r="G63" s="17" t="n">
        <v>36</v>
      </c>
      <c r="H63" s="132" t="n">
        <v>68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147</v>
      </c>
      <c r="U63" s="9" t="n"/>
    </row>
    <row r="64" ht="12" customFormat="1" customHeight="1" s="37">
      <c r="A64" s="74" t="inlineStr">
        <is>
          <t>안민동 성산삼정그린코아포레스트1단지</t>
        </is>
      </c>
      <c r="B64" s="75" t="inlineStr">
        <is>
          <t>24.05.</t>
        </is>
      </c>
      <c r="C64" s="129" t="n">
        <v>401</v>
      </c>
      <c r="D64" s="130" t="n">
        <v>100.6</v>
      </c>
      <c r="E64" s="131" t="n">
        <v>30</v>
      </c>
      <c r="F64" s="130" t="n">
        <v>75.2</v>
      </c>
      <c r="G64" s="17" t="n">
        <v>23</v>
      </c>
      <c r="H64" s="132" t="n">
        <v>195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100</v>
      </c>
      <c r="U64" s="9" t="n"/>
    </row>
    <row r="65" ht="12" customFormat="1" customHeight="1" s="37">
      <c r="A65" s="74" t="inlineStr">
        <is>
          <t>안민동 성산삼정그린코아포레스트1단지</t>
        </is>
      </c>
      <c r="B65" s="75" t="inlineStr">
        <is>
          <t>24.05.</t>
        </is>
      </c>
      <c r="C65" s="129" t="n">
        <v>401</v>
      </c>
      <c r="D65" s="130" t="n">
        <v>109</v>
      </c>
      <c r="E65" s="131" t="n">
        <v>33</v>
      </c>
      <c r="F65" s="130" t="n">
        <v>84.7</v>
      </c>
      <c r="G65" s="17" t="n">
        <v>26</v>
      </c>
      <c r="H65" s="132" t="n">
        <v>154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108A</t>
        </is>
      </c>
      <c r="U65" s="9" t="n"/>
    </row>
    <row r="66" ht="12" customFormat="1" customHeight="1" s="37">
      <c r="A66" s="74" t="inlineStr">
        <is>
          <t>안민동 동부산아이존빌</t>
        </is>
      </c>
      <c r="B66" s="75" t="inlineStr">
        <is>
          <t>02.03.</t>
        </is>
      </c>
      <c r="C66" s="129" t="n">
        <v>262</v>
      </c>
      <c r="D66" s="130" t="n">
        <v>82.3</v>
      </c>
      <c r="E66" s="131" t="n">
        <v>25</v>
      </c>
      <c r="F66" s="130" t="n">
        <v>59.8</v>
      </c>
      <c r="G66" s="17" t="n">
        <v>18</v>
      </c>
      <c r="H66" s="132" t="n">
        <v>115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4" t="inlineStr">
        <is>
          <t>안민동 동부산아이존빌</t>
        </is>
      </c>
      <c r="B67" s="75" t="inlineStr">
        <is>
          <t>02.03.</t>
        </is>
      </c>
      <c r="C67" s="129" t="n">
        <v>262</v>
      </c>
      <c r="D67" s="130" t="n">
        <v>114.6</v>
      </c>
      <c r="E67" s="131" t="n">
        <v>35</v>
      </c>
      <c r="F67" s="130" t="n">
        <v>84.90000000000001</v>
      </c>
      <c r="G67" s="17" t="n">
        <v>26</v>
      </c>
      <c r="H67" s="132" t="n">
        <v>92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114</v>
      </c>
      <c r="U67" s="9" t="n"/>
    </row>
    <row r="68" ht="12" customFormat="1" customHeight="1" s="37">
      <c r="A68" s="74" t="inlineStr">
        <is>
          <t>외동 월드메르디앙이스턴애비뉴</t>
        </is>
      </c>
      <c r="B68" s="75" t="inlineStr">
        <is>
          <t>09.01.</t>
        </is>
      </c>
      <c r="C68" s="129" t="n">
        <v>439</v>
      </c>
      <c r="D68" s="130" t="n">
        <v>77.59999999999999</v>
      </c>
      <c r="E68" s="131" t="n">
        <v>23</v>
      </c>
      <c r="F68" s="130" t="n">
        <v>59.9</v>
      </c>
      <c r="G68" s="17" t="n">
        <v>18</v>
      </c>
      <c r="H68" s="132" t="n">
        <v>150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77</v>
      </c>
      <c r="U68" s="9" t="n"/>
    </row>
    <row r="69" ht="12" customFormat="1" customHeight="1" s="37">
      <c r="A69" s="74" t="inlineStr">
        <is>
          <t>외동 월드메르디앙이스턴애비뉴</t>
        </is>
      </c>
      <c r="B69" s="75" t="inlineStr">
        <is>
          <t>09.01.</t>
        </is>
      </c>
      <c r="C69" s="129" t="n">
        <v>439</v>
      </c>
      <c r="D69" s="130" t="n">
        <v>107.7</v>
      </c>
      <c r="E69" s="131" t="n">
        <v>33</v>
      </c>
      <c r="F69" s="130" t="n">
        <v>84.59999999999999</v>
      </c>
      <c r="G69" s="17" t="n">
        <v>26</v>
      </c>
      <c r="H69" s="132" t="n">
        <v>130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107</v>
      </c>
      <c r="U69" s="9" t="n"/>
    </row>
    <row r="70" ht="12" customFormat="1" customHeight="1" s="37">
      <c r="A70" s="74" t="inlineStr">
        <is>
          <t>외동 월드메르디앙이스턴애비뉴</t>
        </is>
      </c>
      <c r="B70" s="75" t="inlineStr">
        <is>
          <t>09.01.</t>
        </is>
      </c>
      <c r="C70" s="129" t="n">
        <v>439</v>
      </c>
      <c r="D70" s="130" t="n">
        <v>143.8</v>
      </c>
      <c r="E70" s="131" t="n">
        <v>44</v>
      </c>
      <c r="F70" s="130" t="n">
        <v>115.4</v>
      </c>
      <c r="G70" s="17" t="n">
        <v>35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4</v>
      </c>
      <c r="R70" s="120" t="n">
        <v>2</v>
      </c>
      <c r="S70" s="120" t="inlineStr">
        <is>
          <t>계</t>
        </is>
      </c>
      <c r="T70" s="5" t="n">
        <v>143</v>
      </c>
      <c r="U70" s="9" t="n"/>
    </row>
    <row r="71" ht="12" customFormat="1" customHeight="1" s="37">
      <c r="A71" s="74" t="inlineStr">
        <is>
          <t>용호동 롯데맨션2단지</t>
        </is>
      </c>
      <c r="B71" s="75" t="inlineStr">
        <is>
          <t>88.09.</t>
        </is>
      </c>
      <c r="C71" s="129" t="n">
        <v>320</v>
      </c>
      <c r="D71" s="130" t="n">
        <v>60.6</v>
      </c>
      <c r="E71" s="131" t="n">
        <v>18</v>
      </c>
      <c r="F71" s="130" t="n">
        <v>55.7</v>
      </c>
      <c r="G71" s="17" t="n">
        <v>17</v>
      </c>
      <c r="H71" s="132" t="n">
        <v>90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60</v>
      </c>
      <c r="U71" s="9" t="n"/>
    </row>
    <row r="72" ht="12" customFormat="1" customHeight="1" s="37">
      <c r="A72" s="74" t="inlineStr">
        <is>
          <t>용호동 롯데맨션2단지</t>
        </is>
      </c>
      <c r="B72" s="75" t="inlineStr">
        <is>
          <t>88.09.</t>
        </is>
      </c>
      <c r="C72" s="129" t="n">
        <v>320</v>
      </c>
      <c r="D72" s="130" t="n">
        <v>120.1</v>
      </c>
      <c r="E72" s="131" t="n">
        <v>36</v>
      </c>
      <c r="F72" s="130" t="n">
        <v>113</v>
      </c>
      <c r="G72" s="17" t="n">
        <v>34</v>
      </c>
      <c r="H72" s="132" t="n">
        <v>60</v>
      </c>
      <c r="I72" s="133" t="n"/>
      <c r="J72" s="133" t="n"/>
      <c r="K72" s="133" t="n">
        <v>35000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120</v>
      </c>
      <c r="U72" s="9" t="n"/>
    </row>
    <row r="73" ht="12" customFormat="1" customHeight="1" s="37">
      <c r="A73" s="74" t="inlineStr">
        <is>
          <t>용호동 롯데맨션2단지</t>
        </is>
      </c>
      <c r="B73" s="75" t="inlineStr">
        <is>
          <t>88.09.</t>
        </is>
      </c>
      <c r="C73" s="129" t="n">
        <v>320</v>
      </c>
      <c r="D73" s="130" t="n">
        <v>148.9</v>
      </c>
      <c r="E73" s="131" t="n">
        <v>45</v>
      </c>
      <c r="F73" s="130" t="n">
        <v>141.7</v>
      </c>
      <c r="G73" s="17" t="n">
        <v>43</v>
      </c>
      <c r="H73" s="132" t="n">
        <v>40</v>
      </c>
      <c r="I73" s="133" t="n"/>
      <c r="J73" s="133" t="n"/>
      <c r="K73" s="133" t="n">
        <v>50000</v>
      </c>
      <c r="L73" s="133" t="inlineStr">
        <is>
          <t>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148</v>
      </c>
      <c r="U73" s="9" t="n"/>
    </row>
    <row r="74" ht="12" customFormat="1" customHeight="1" s="37">
      <c r="A74" s="74" t="inlineStr">
        <is>
          <t>용호동 롯데맨션1단지</t>
        </is>
      </c>
      <c r="B74" s="75" t="inlineStr">
        <is>
          <t>84.11.</t>
        </is>
      </c>
      <c r="C74" s="129" t="n">
        <v>600</v>
      </c>
      <c r="D74" s="130" t="n">
        <v>120.1</v>
      </c>
      <c r="E74" s="131" t="n">
        <v>36</v>
      </c>
      <c r="F74" s="130" t="n">
        <v>113</v>
      </c>
      <c r="G74" s="17" t="n">
        <v>34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120C</t>
        </is>
      </c>
      <c r="U74" s="9" t="n"/>
    </row>
    <row r="75" ht="12" customFormat="1" customHeight="1" s="37">
      <c r="A75" s="74" t="inlineStr">
        <is>
          <t>용호동 롯데맨션1단지</t>
        </is>
      </c>
      <c r="B75" s="75" t="inlineStr">
        <is>
          <t>84.11.</t>
        </is>
      </c>
      <c r="C75" s="129" t="n">
        <v>600</v>
      </c>
      <c r="D75" s="130" t="n">
        <v>148.9</v>
      </c>
      <c r="E75" s="131" t="n">
        <v>45</v>
      </c>
      <c r="F75" s="130" t="n">
        <v>141.7</v>
      </c>
      <c r="G75" s="17" t="n">
        <v>43</v>
      </c>
      <c r="H75" s="132" t="n">
        <v>30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148A</t>
        </is>
      </c>
      <c r="U75" s="9" t="n"/>
    </row>
    <row r="76" ht="12" customFormat="1" customHeight="1" s="37">
      <c r="A76" s="74" t="inlineStr">
        <is>
          <t>대방동 성원남산3차(301~308동)</t>
        </is>
      </c>
      <c r="B76" s="75" t="inlineStr">
        <is>
          <t>92.11.</t>
        </is>
      </c>
      <c r="C76" s="129" t="n">
        <v>1397</v>
      </c>
      <c r="D76" s="130" t="n">
        <v>105.9</v>
      </c>
      <c r="E76" s="131" t="n">
        <v>32</v>
      </c>
      <c r="F76" s="130" t="n">
        <v>85</v>
      </c>
      <c r="G76" s="17" t="n">
        <v>26</v>
      </c>
      <c r="H76" s="132" t="n">
        <v>759</v>
      </c>
      <c r="I76" s="133" t="n">
        <v>29000</v>
      </c>
      <c r="J76" s="133" t="inlineStr">
        <is>
          <t>6</t>
        </is>
      </c>
      <c r="K76" s="133" t="n">
        <v>30000</v>
      </c>
      <c r="L76" s="133" t="inlineStr">
        <is>
          <t>고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105</v>
      </c>
      <c r="U76" s="9" t="n"/>
    </row>
    <row r="77" ht="12" customFormat="1" customHeight="1" s="37">
      <c r="A77" s="74" t="inlineStr">
        <is>
          <t>대원동 대원파크빌</t>
        </is>
      </c>
      <c r="B77" s="75" t="inlineStr">
        <is>
          <t>97.12.</t>
        </is>
      </c>
      <c r="C77" s="129" t="n">
        <v>603</v>
      </c>
      <c r="D77" s="130" t="n">
        <v>65</v>
      </c>
      <c r="E77" s="131" t="n">
        <v>20</v>
      </c>
      <c r="F77" s="130" t="n">
        <v>52.9</v>
      </c>
      <c r="G77" s="17" t="n">
        <v>16</v>
      </c>
      <c r="H77" s="132" t="n">
        <v>603</v>
      </c>
      <c r="I77" s="133" t="n">
        <v>12200</v>
      </c>
      <c r="J77" s="133" t="inlineStr">
        <is>
          <t>중</t>
        </is>
      </c>
      <c r="K77" s="133" t="n">
        <v>12200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복</t>
        </is>
      </c>
      <c r="T77" s="5" t="n">
        <v>64</v>
      </c>
      <c r="U77" s="9" t="n"/>
    </row>
    <row r="78" ht="12" customFormat="1" customHeight="1" s="37">
      <c r="A78" s="74" t="inlineStr">
        <is>
          <t>대방동 대방덕산타운2차</t>
        </is>
      </c>
      <c r="B78" s="75" t="inlineStr">
        <is>
          <t>96.02.</t>
        </is>
      </c>
      <c r="C78" s="129" t="n">
        <v>586</v>
      </c>
      <c r="D78" s="130" t="n">
        <v>105.6</v>
      </c>
      <c r="E78" s="131" t="n">
        <v>32</v>
      </c>
      <c r="F78" s="130" t="n">
        <v>84.90000000000001</v>
      </c>
      <c r="G78" s="17" t="n">
        <v>26</v>
      </c>
      <c r="H78" s="132" t="n">
        <v>228</v>
      </c>
      <c r="I78" s="133" t="n">
        <v>35500</v>
      </c>
      <c r="J78" s="133" t="inlineStr">
        <is>
          <t>8</t>
        </is>
      </c>
      <c r="K78" s="133" t="n">
        <v>35000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105</v>
      </c>
      <c r="U78" s="9" t="n"/>
    </row>
    <row r="79" ht="12" customFormat="1" customHeight="1" s="37">
      <c r="A79" s="74" t="inlineStr">
        <is>
          <t>대방동 대방그린빌</t>
        </is>
      </c>
      <c r="B79" s="75" t="inlineStr">
        <is>
          <t>96.06.</t>
        </is>
      </c>
      <c r="C79" s="129" t="n">
        <v>834</v>
      </c>
      <c r="D79" s="130" t="n">
        <v>68.40000000000001</v>
      </c>
      <c r="E79" s="131" t="n">
        <v>21</v>
      </c>
      <c r="F79" s="130" t="n">
        <v>49.9</v>
      </c>
      <c r="G79" s="17" t="n">
        <v>15</v>
      </c>
      <c r="H79" s="132" t="n">
        <v>408</v>
      </c>
      <c r="I79" s="133" t="n">
        <v>17500</v>
      </c>
      <c r="J79" s="133" t="inlineStr">
        <is>
          <t>18</t>
        </is>
      </c>
      <c r="K79" s="133" t="n">
        <v>17000</v>
      </c>
      <c r="L79" s="133" t="inlineStr">
        <is>
          <t>17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복</t>
        </is>
      </c>
      <c r="T79" s="5" t="n">
        <v>68</v>
      </c>
      <c r="U79" s="9" t="n"/>
    </row>
    <row r="80" ht="12" customFormat="1" customHeight="1" s="37">
      <c r="A80" s="74" t="inlineStr">
        <is>
          <t>대방동 대방덕산타운</t>
        </is>
      </c>
      <c r="B80" s="75" t="inlineStr">
        <is>
          <t>92.07.</t>
        </is>
      </c>
      <c r="C80" s="129" t="n">
        <v>920</v>
      </c>
      <c r="D80" s="130" t="n">
        <v>101.9</v>
      </c>
      <c r="E80" s="131" t="n">
        <v>31</v>
      </c>
      <c r="F80" s="130" t="n">
        <v>85</v>
      </c>
      <c r="G80" s="17" t="n">
        <v>26</v>
      </c>
      <c r="H80" s="132" t="n">
        <v>240</v>
      </c>
      <c r="I80" s="133" t="n">
        <v>31000</v>
      </c>
      <c r="J80" s="133" t="inlineStr">
        <is>
          <t>15</t>
        </is>
      </c>
      <c r="K80" s="133" t="n">
        <v>30000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101</v>
      </c>
      <c r="U80" s="9" t="n"/>
    </row>
    <row r="81" ht="12" customFormat="1" customHeight="1" s="37">
      <c r="A81" s="74" t="inlineStr">
        <is>
          <t>대방동 성원남산3차(301~308동)</t>
        </is>
      </c>
      <c r="B81" s="75" t="inlineStr">
        <is>
          <t>92.11.</t>
        </is>
      </c>
      <c r="C81" s="129" t="n">
        <v>1397</v>
      </c>
      <c r="D81" s="130" t="n">
        <v>68.8</v>
      </c>
      <c r="E81" s="131" t="n">
        <v>21</v>
      </c>
      <c r="F81" s="130" t="n">
        <v>49.7</v>
      </c>
      <c r="G81" s="17" t="n">
        <v>15</v>
      </c>
      <c r="H81" s="132" t="n">
        <v>159</v>
      </c>
      <c r="I81" s="133" t="n">
        <v>14500</v>
      </c>
      <c r="J81" s="133" t="inlineStr">
        <is>
          <t>5</t>
        </is>
      </c>
      <c r="K81" s="133" t="n">
        <v>14000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복</t>
        </is>
      </c>
      <c r="T81" s="5" t="n">
        <v>68</v>
      </c>
      <c r="U81" s="9" t="n"/>
    </row>
    <row r="82" ht="12" customFormat="1" customHeight="1" s="37">
      <c r="A82" s="74" t="inlineStr">
        <is>
          <t>성주동 한림푸르지오</t>
        </is>
      </c>
      <c r="B82" s="75" t="inlineStr">
        <is>
          <t>03.12.</t>
        </is>
      </c>
      <c r="C82" s="129" t="n">
        <v>520</v>
      </c>
      <c r="D82" s="130" t="n">
        <v>110.4</v>
      </c>
      <c r="E82" s="131" t="n">
        <v>33</v>
      </c>
      <c r="F82" s="130" t="n">
        <v>84.90000000000001</v>
      </c>
      <c r="G82" s="17" t="n">
        <v>26</v>
      </c>
      <c r="H82" s="132" t="n">
        <v>280</v>
      </c>
      <c r="I82" s="133" t="n">
        <v>52000</v>
      </c>
      <c r="J82" s="133" t="inlineStr">
        <is>
          <t>10</t>
        </is>
      </c>
      <c r="K82" s="133" t="n">
        <v>50000</v>
      </c>
      <c r="L82" s="133" t="inlineStr">
        <is>
          <t>18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110</v>
      </c>
      <c r="U82" s="9" t="n"/>
    </row>
    <row r="83" ht="12" customFormat="1" customHeight="1" s="37">
      <c r="A83" s="74" t="inlineStr">
        <is>
          <t>대방동 대방동성</t>
        </is>
      </c>
      <c r="B83" s="75" t="inlineStr">
        <is>
          <t>96.05.</t>
        </is>
      </c>
      <c r="C83" s="129" t="n">
        <v>556</v>
      </c>
      <c r="D83" s="130" t="n">
        <v>76.3</v>
      </c>
      <c r="E83" s="131" t="n">
        <v>23</v>
      </c>
      <c r="F83" s="130" t="n">
        <v>60</v>
      </c>
      <c r="G83" s="17" t="n">
        <v>18</v>
      </c>
      <c r="H83" s="132" t="n">
        <v>238</v>
      </c>
      <c r="I83" s="133" t="n">
        <v>26000</v>
      </c>
      <c r="J83" s="133" t="inlineStr">
        <is>
          <t>11</t>
        </is>
      </c>
      <c r="K83" s="133" t="n">
        <v>25000</v>
      </c>
      <c r="L83" s="133" t="inlineStr">
        <is>
          <t>16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1</v>
      </c>
      <c r="S83" s="120" t="inlineStr">
        <is>
          <t>계</t>
        </is>
      </c>
      <c r="T83" s="5" t="n">
        <v>76</v>
      </c>
      <c r="U83" s="9" t="n"/>
    </row>
    <row r="84" ht="12" customFormat="1" customHeight="1" s="37">
      <c r="A84" s="74" t="inlineStr">
        <is>
          <t>대방동 대방대동황토방</t>
        </is>
      </c>
      <c r="B84" s="75" t="inlineStr">
        <is>
          <t>01.05.</t>
        </is>
      </c>
      <c r="C84" s="129" t="n">
        <v>708</v>
      </c>
      <c r="D84" s="130" t="n">
        <v>112.8</v>
      </c>
      <c r="E84" s="131" t="n">
        <v>34</v>
      </c>
      <c r="F84" s="130" t="n">
        <v>84.09999999999999</v>
      </c>
      <c r="G84" s="17" t="n">
        <v>25</v>
      </c>
      <c r="H84" s="132" t="n">
        <v>324</v>
      </c>
      <c r="I84" s="133" t="n">
        <v>44000</v>
      </c>
      <c r="J84" s="133" t="inlineStr">
        <is>
          <t>중</t>
        </is>
      </c>
      <c r="K84" s="133" t="n">
        <v>42000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대방동 성원남산3차(301~308동)</t>
        </is>
      </c>
      <c r="B85" s="75" t="inlineStr">
        <is>
          <t>92.11.</t>
        </is>
      </c>
      <c r="C85" s="129" t="n">
        <v>1397</v>
      </c>
      <c r="D85" s="130" t="n">
        <v>80.3</v>
      </c>
      <c r="E85" s="131" t="n">
        <v>24</v>
      </c>
      <c r="F85" s="130" t="n">
        <v>59.3</v>
      </c>
      <c r="G85" s="17" t="n">
        <v>18</v>
      </c>
      <c r="H85" s="132" t="n">
        <v>479</v>
      </c>
      <c r="I85" s="133" t="n">
        <v>20000</v>
      </c>
      <c r="J85" s="133" t="inlineStr">
        <is>
          <t>12</t>
        </is>
      </c>
      <c r="K85" s="133" t="n">
        <v>19000</v>
      </c>
      <c r="L85" s="133" t="inlineStr">
        <is>
          <t>고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복</t>
        </is>
      </c>
      <c r="T85" s="5" t="n">
        <v>80</v>
      </c>
      <c r="U85" s="9" t="n"/>
    </row>
    <row r="86" ht="12" customFormat="1" customHeight="1" s="37">
      <c r="A86" s="74" t="inlineStr">
        <is>
          <t>남양동 성원1차(그랜드타운남산)</t>
        </is>
      </c>
      <c r="B86" s="75" t="inlineStr">
        <is>
          <t>91.01.</t>
        </is>
      </c>
      <c r="C86" s="129" t="n">
        <v>1350</v>
      </c>
      <c r="D86" s="130" t="n">
        <v>102.9</v>
      </c>
      <c r="E86" s="131" t="n">
        <v>31</v>
      </c>
      <c r="F86" s="130" t="n">
        <v>85</v>
      </c>
      <c r="G86" s="17" t="n">
        <v>26</v>
      </c>
      <c r="H86" s="132" t="n">
        <v>510</v>
      </c>
      <c r="I86" s="133" t="n">
        <v>31200</v>
      </c>
      <c r="J86" s="133" t="inlineStr">
        <is>
          <t>8</t>
        </is>
      </c>
      <c r="K86" s="133" t="n">
        <v>29000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102B</t>
        </is>
      </c>
      <c r="U86" s="9" t="n"/>
    </row>
    <row r="87" ht="12" customFormat="1" customHeight="1" s="37">
      <c r="A87" s="74" t="inlineStr">
        <is>
          <t>사파동 사파동성</t>
        </is>
      </c>
      <c r="B87" s="75" t="inlineStr">
        <is>
          <t>92.11.</t>
        </is>
      </c>
      <c r="C87" s="129" t="n">
        <v>1986</v>
      </c>
      <c r="D87" s="130" t="n">
        <v>75.59999999999999</v>
      </c>
      <c r="E87" s="131" t="n">
        <v>23</v>
      </c>
      <c r="F87" s="130" t="n">
        <v>59.9</v>
      </c>
      <c r="G87" s="17" t="n">
        <v>18</v>
      </c>
      <c r="H87" s="132" t="n">
        <v>370</v>
      </c>
      <c r="I87" s="133" t="n">
        <v>23900</v>
      </c>
      <c r="J87" s="133" t="inlineStr">
        <is>
          <t>7</t>
        </is>
      </c>
      <c r="K87" s="133" t="n">
        <v>22000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75</v>
      </c>
      <c r="U87" s="9" t="n"/>
    </row>
    <row r="88" ht="12" customFormat="1" customHeight="1" s="37">
      <c r="A88" s="74" t="inlineStr">
        <is>
          <t>반림동 노블파크</t>
        </is>
      </c>
      <c r="B88" s="75" t="inlineStr">
        <is>
          <t>07.12.</t>
        </is>
      </c>
      <c r="C88" s="129" t="n">
        <v>2699</v>
      </c>
      <c r="D88" s="130" t="n">
        <v>84</v>
      </c>
      <c r="E88" s="131" t="n">
        <v>25</v>
      </c>
      <c r="F88" s="130" t="n">
        <v>60</v>
      </c>
      <c r="G88" s="17" t="n">
        <v>18</v>
      </c>
      <c r="H88" s="132" t="n">
        <v>164</v>
      </c>
      <c r="I88" s="133" t="n">
        <v>49000</v>
      </c>
      <c r="J88" s="133" t="inlineStr">
        <is>
          <t>8</t>
        </is>
      </c>
      <c r="K88" s="133" t="n">
        <v>45000</v>
      </c>
      <c r="L88" s="133" t="inlineStr">
        <is>
          <t>중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84</v>
      </c>
      <c r="U88" s="9" t="n"/>
    </row>
    <row r="89" ht="12" customFormat="1" customHeight="1" s="37">
      <c r="A89" s="74" t="inlineStr">
        <is>
          <t>남양동 위드파크</t>
        </is>
      </c>
      <c r="B89" s="75" t="inlineStr">
        <is>
          <t>98.05.</t>
        </is>
      </c>
      <c r="C89" s="129" t="n">
        <v>960</v>
      </c>
      <c r="D89" s="130" t="n">
        <v>76.5</v>
      </c>
      <c r="E89" s="131" t="n">
        <v>23</v>
      </c>
      <c r="F89" s="130" t="n">
        <v>58.5</v>
      </c>
      <c r="G89" s="17" t="n">
        <v>18</v>
      </c>
      <c r="H89" s="132" t="n">
        <v>360</v>
      </c>
      <c r="I89" s="133" t="n">
        <v>24000</v>
      </c>
      <c r="J89" s="133" t="inlineStr">
        <is>
          <t>15</t>
        </is>
      </c>
      <c r="K89" s="133" t="n">
        <v>22000</v>
      </c>
      <c r="L89" s="133" t="inlineStr">
        <is>
          <t>7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1</v>
      </c>
      <c r="S89" s="120" t="inlineStr">
        <is>
          <t>복</t>
        </is>
      </c>
      <c r="T89" s="5" t="n">
        <v>76</v>
      </c>
      <c r="U89" s="9" t="n"/>
    </row>
    <row r="90" ht="12" customFormat="1" customHeight="1" s="37">
      <c r="A90" s="74" t="inlineStr">
        <is>
          <t>대방동 대방대동</t>
        </is>
      </c>
      <c r="B90" s="75" t="inlineStr">
        <is>
          <t>92.09.</t>
        </is>
      </c>
      <c r="C90" s="129" t="n">
        <v>1835</v>
      </c>
      <c r="D90" s="130" t="n">
        <v>100.9</v>
      </c>
      <c r="E90" s="131" t="n">
        <v>31</v>
      </c>
      <c r="F90" s="130" t="n">
        <v>85</v>
      </c>
      <c r="G90" s="17" t="n">
        <v>26</v>
      </c>
      <c r="H90" s="132" t="n">
        <v>360</v>
      </c>
      <c r="I90" s="133" t="n">
        <v>35000</v>
      </c>
      <c r="J90" s="133" t="inlineStr">
        <is>
          <t>고</t>
        </is>
      </c>
      <c r="K90" s="133" t="n">
        <v>32000</v>
      </c>
      <c r="L90" s="133" t="inlineStr">
        <is>
          <t>12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100A</t>
        </is>
      </c>
      <c r="U90" s="9" t="n"/>
    </row>
    <row r="91" ht="12" customFormat="1" customHeight="1" s="37">
      <c r="A91" s="74" t="inlineStr">
        <is>
          <t>대방동 대방대동</t>
        </is>
      </c>
      <c r="B91" s="75" t="inlineStr">
        <is>
          <t>92.09.</t>
        </is>
      </c>
      <c r="C91" s="129" t="n">
        <v>1835</v>
      </c>
      <c r="D91" s="130" t="n">
        <v>76.7</v>
      </c>
      <c r="E91" s="131" t="n">
        <v>23</v>
      </c>
      <c r="F91" s="130" t="n">
        <v>60</v>
      </c>
      <c r="G91" s="17" t="n">
        <v>18</v>
      </c>
      <c r="H91" s="132" t="n">
        <v>408</v>
      </c>
      <c r="I91" s="133" t="n">
        <v>23000</v>
      </c>
      <c r="J91" s="133" t="inlineStr">
        <is>
          <t>10</t>
        </is>
      </c>
      <c r="K91" s="133" t="n">
        <v>21000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n">
        <v>76</v>
      </c>
      <c r="U91" s="9" t="n"/>
    </row>
    <row r="92" ht="12" customFormat="1" customHeight="1" s="37">
      <c r="A92" s="74" t="inlineStr">
        <is>
          <t>반지동 까치2차</t>
        </is>
      </c>
      <c r="B92" s="75" t="inlineStr">
        <is>
          <t>91.06.</t>
        </is>
      </c>
      <c r="C92" s="129" t="n">
        <v>416</v>
      </c>
      <c r="D92" s="130" t="n">
        <v>59.4</v>
      </c>
      <c r="E92" s="131" t="n">
        <v>18</v>
      </c>
      <c r="F92" s="130" t="n">
        <v>54.1</v>
      </c>
      <c r="G92" s="17" t="n">
        <v>16</v>
      </c>
      <c r="H92" s="132" t="n">
        <v>416</v>
      </c>
      <c r="I92" s="133" t="n">
        <v>16000</v>
      </c>
      <c r="J92" s="133" t="inlineStr">
        <is>
          <t>10</t>
        </is>
      </c>
      <c r="K92" s="133" t="n">
        <v>14500</v>
      </c>
      <c r="L92" s="133" t="inlineStr">
        <is>
          <t>15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2</v>
      </c>
      <c r="R92" s="120" t="n">
        <v>1</v>
      </c>
      <c r="S92" s="120" t="inlineStr">
        <is>
          <t>복</t>
        </is>
      </c>
      <c r="T92" s="5" t="n">
        <v>59</v>
      </c>
      <c r="U92" s="9" t="n"/>
    </row>
    <row r="93" ht="12" customFormat="1" customHeight="1" s="37">
      <c r="A93" s="74" t="inlineStr">
        <is>
          <t>대방동 대방덕산타운2차</t>
        </is>
      </c>
      <c r="B93" s="75" t="inlineStr">
        <is>
          <t>96.02.</t>
        </is>
      </c>
      <c r="C93" s="129" t="n">
        <v>586</v>
      </c>
      <c r="D93" s="130" t="n">
        <v>78.7</v>
      </c>
      <c r="E93" s="131" t="n">
        <v>24</v>
      </c>
      <c r="F93" s="130" t="n">
        <v>59.9</v>
      </c>
      <c r="G93" s="17" t="n">
        <v>18</v>
      </c>
      <c r="H93" s="132" t="n">
        <v>238</v>
      </c>
      <c r="I93" s="133" t="n">
        <v>26500</v>
      </c>
      <c r="J93" s="133" t="inlineStr">
        <is>
          <t>16</t>
        </is>
      </c>
      <c r="K93" s="133" t="n">
        <v>24000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78</v>
      </c>
      <c r="U93" s="9" t="n"/>
    </row>
    <row r="94" ht="12" customFormat="1" customHeight="1" s="37">
      <c r="A94" s="74" t="inlineStr">
        <is>
          <t>대방동 대동디지털황토</t>
        </is>
      </c>
      <c r="B94" s="75" t="inlineStr">
        <is>
          <t>01.09.</t>
        </is>
      </c>
      <c r="C94" s="129" t="n">
        <v>704</v>
      </c>
      <c r="D94" s="130" t="n">
        <v>114.5</v>
      </c>
      <c r="E94" s="131" t="n">
        <v>35</v>
      </c>
      <c r="F94" s="130" t="n">
        <v>84.90000000000001</v>
      </c>
      <c r="G94" s="17" t="n">
        <v>26</v>
      </c>
      <c r="H94" s="132" t="n">
        <v>356</v>
      </c>
      <c r="I94" s="133" t="n">
        <v>42000</v>
      </c>
      <c r="J94" s="133" t="inlineStr">
        <is>
          <t>20</t>
        </is>
      </c>
      <c r="K94" s="133" t="n">
        <v>38000</v>
      </c>
      <c r="L94" s="133" t="inlineStr">
        <is>
          <t>16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114</v>
      </c>
      <c r="U94" s="9" t="n"/>
    </row>
    <row r="95" ht="12" customFormat="1" customHeight="1" s="37">
      <c r="A95" s="74" t="inlineStr">
        <is>
          <t>대방동 대방덕산타운2차</t>
        </is>
      </c>
      <c r="B95" s="75" t="inlineStr">
        <is>
          <t>96.02.</t>
        </is>
      </c>
      <c r="C95" s="129" t="n">
        <v>586</v>
      </c>
      <c r="D95" s="130" t="n">
        <v>91.3</v>
      </c>
      <c r="E95" s="131" t="n">
        <v>28</v>
      </c>
      <c r="F95" s="130" t="n">
        <v>71.8</v>
      </c>
      <c r="G95" s="17" t="n">
        <v>22</v>
      </c>
      <c r="H95" s="132" t="n">
        <v>120</v>
      </c>
      <c r="I95" s="133" t="n">
        <v>30000</v>
      </c>
      <c r="J95" s="133" t="inlineStr">
        <is>
          <t>19</t>
        </is>
      </c>
      <c r="K95" s="133" t="n">
        <v>27000</v>
      </c>
      <c r="L95" s="133" t="inlineStr">
        <is>
          <t>20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91</v>
      </c>
      <c r="U95" s="9" t="n"/>
    </row>
    <row r="96" ht="12" customFormat="1" customHeight="1" s="37">
      <c r="A96" s="74" t="inlineStr">
        <is>
          <t>사파동 사파동성</t>
        </is>
      </c>
      <c r="B96" s="75" t="inlineStr">
        <is>
          <t>92.11.</t>
        </is>
      </c>
      <c r="C96" s="129" t="n">
        <v>1986</v>
      </c>
      <c r="D96" s="130" t="n">
        <v>71.5</v>
      </c>
      <c r="E96" s="131" t="n">
        <v>22</v>
      </c>
      <c r="F96" s="130" t="n">
        <v>49.5</v>
      </c>
      <c r="G96" s="17" t="n">
        <v>15</v>
      </c>
      <c r="H96" s="132" t="n">
        <v>902</v>
      </c>
      <c r="I96" s="133" t="n">
        <v>18000</v>
      </c>
      <c r="J96" s="133" t="inlineStr">
        <is>
          <t>12</t>
        </is>
      </c>
      <c r="K96" s="133" t="n">
        <v>16000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71</v>
      </c>
      <c r="U96" s="9" t="n"/>
    </row>
    <row r="97" ht="12" customFormat="1" customHeight="1" s="37">
      <c r="A97" s="74" t="inlineStr">
        <is>
          <t>성주동 프리빌리지</t>
        </is>
      </c>
      <c r="B97" s="75" t="inlineStr">
        <is>
          <t>03.10.</t>
        </is>
      </c>
      <c r="C97" s="129" t="n">
        <v>1062</v>
      </c>
      <c r="D97" s="130" t="n">
        <v>110.2</v>
      </c>
      <c r="E97" s="131" t="n">
        <v>33</v>
      </c>
      <c r="F97" s="130" t="n">
        <v>84.90000000000001</v>
      </c>
      <c r="G97" s="17" t="n">
        <v>26</v>
      </c>
      <c r="H97" s="132" t="n">
        <v>554</v>
      </c>
      <c r="I97" s="133" t="n">
        <v>51000</v>
      </c>
      <c r="J97" s="133" t="inlineStr">
        <is>
          <t>20</t>
        </is>
      </c>
      <c r="K97" s="133" t="n">
        <v>45000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110</v>
      </c>
      <c r="U97" s="9" t="n"/>
    </row>
    <row r="98" ht="12" customFormat="1" customHeight="1" s="37">
      <c r="A98" s="74" t="inlineStr">
        <is>
          <t>성주동 프리빌리지2차</t>
        </is>
      </c>
      <c r="B98" s="75" t="inlineStr">
        <is>
          <t>10.12.</t>
        </is>
      </c>
      <c r="C98" s="129" t="n">
        <v>672</v>
      </c>
      <c r="D98" s="130" t="n">
        <v>111.3</v>
      </c>
      <c r="E98" s="131" t="n">
        <v>34</v>
      </c>
      <c r="F98" s="130" t="n">
        <v>85</v>
      </c>
      <c r="G98" s="17" t="n">
        <v>26</v>
      </c>
      <c r="H98" s="132" t="n">
        <v>206</v>
      </c>
      <c r="I98" s="133" t="n">
        <v>50000</v>
      </c>
      <c r="J98" s="133" t="inlineStr">
        <is>
          <t>11</t>
        </is>
      </c>
      <c r="K98" s="133" t="n">
        <v>44000</v>
      </c>
      <c r="L98" s="133" t="inlineStr">
        <is>
          <t>17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111B</t>
        </is>
      </c>
      <c r="U98" s="9" t="n"/>
    </row>
    <row r="99" ht="12" customFormat="1" customHeight="1" s="37">
      <c r="A99" s="74" t="inlineStr">
        <is>
          <t>성주동 유니온빌리지</t>
        </is>
      </c>
      <c r="B99" s="75" t="inlineStr">
        <is>
          <t>05.10.</t>
        </is>
      </c>
      <c r="C99" s="129" t="n">
        <v>1360</v>
      </c>
      <c r="D99" s="130" t="n">
        <v>133.4</v>
      </c>
      <c r="E99" s="131" t="n">
        <v>40</v>
      </c>
      <c r="F99" s="130" t="n">
        <v>102</v>
      </c>
      <c r="G99" s="17" t="n">
        <v>31</v>
      </c>
      <c r="H99" s="132" t="n">
        <v>327</v>
      </c>
      <c r="I99" s="133" t="n">
        <v>50000</v>
      </c>
      <c r="J99" s="133" t="inlineStr">
        <is>
          <t>고</t>
        </is>
      </c>
      <c r="K99" s="133" t="n">
        <v>44000</v>
      </c>
      <c r="L99" s="133" t="inlineStr">
        <is>
          <t>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133</v>
      </c>
      <c r="U99" s="9" t="n"/>
    </row>
    <row r="100" ht="12" customFormat="1" customHeight="1" s="37">
      <c r="A100" s="74" t="inlineStr">
        <is>
          <t>남양동 롯데</t>
        </is>
      </c>
      <c r="B100" s="75" t="inlineStr">
        <is>
          <t>90.09.</t>
        </is>
      </c>
      <c r="C100" s="129" t="n">
        <v>450</v>
      </c>
      <c r="D100" s="130" t="n">
        <v>102.2</v>
      </c>
      <c r="E100" s="131" t="n">
        <v>31</v>
      </c>
      <c r="F100" s="130" t="n">
        <v>84.7</v>
      </c>
      <c r="G100" s="17" t="n">
        <v>26</v>
      </c>
      <c r="H100" s="132" t="n">
        <v>180</v>
      </c>
      <c r="I100" s="133" t="n">
        <v>32000</v>
      </c>
      <c r="J100" s="133" t="inlineStr">
        <is>
          <t>10</t>
        </is>
      </c>
      <c r="K100" s="133" t="n">
        <v>28000</v>
      </c>
      <c r="L100" s="133" t="inlineStr">
        <is>
          <t>15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102</v>
      </c>
      <c r="U100" s="9" t="n"/>
    </row>
    <row r="101" ht="12" customFormat="1" customHeight="1" s="37">
      <c r="A101" s="74" t="inlineStr">
        <is>
          <t>남양동 성원2차</t>
        </is>
      </c>
      <c r="B101" s="75" t="inlineStr">
        <is>
          <t>92.02.</t>
        </is>
      </c>
      <c r="C101" s="129" t="n">
        <v>1404</v>
      </c>
      <c r="D101" s="130" t="n">
        <v>96.5</v>
      </c>
      <c r="E101" s="131" t="n">
        <v>29</v>
      </c>
      <c r="F101" s="130" t="n">
        <v>79.7</v>
      </c>
      <c r="G101" s="17" t="n">
        <v>24</v>
      </c>
      <c r="H101" s="132" t="n">
        <v>144</v>
      </c>
      <c r="I101" s="133" t="n">
        <v>31000</v>
      </c>
      <c r="J101" s="133" t="inlineStr">
        <is>
          <t>11</t>
        </is>
      </c>
      <c r="K101" s="133" t="n">
        <v>27000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남양동 피오르빌</t>
        </is>
      </c>
      <c r="B102" s="75" t="inlineStr">
        <is>
          <t>95.07.</t>
        </is>
      </c>
      <c r="C102" s="129" t="n">
        <v>1560</v>
      </c>
      <c r="D102" s="130" t="n">
        <v>52.9</v>
      </c>
      <c r="E102" s="131" t="n">
        <v>16</v>
      </c>
      <c r="F102" s="130" t="n">
        <v>39.7</v>
      </c>
      <c r="G102" s="17" t="n">
        <v>12</v>
      </c>
      <c r="H102" s="132" t="n">
        <v>540</v>
      </c>
      <c r="I102" s="133" t="n">
        <v>15000</v>
      </c>
      <c r="J102" s="133" t="inlineStr">
        <is>
          <t>15</t>
        </is>
      </c>
      <c r="K102" s="133" t="n">
        <v>13000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복</t>
        </is>
      </c>
      <c r="T102" s="5" t="n">
        <v>52</v>
      </c>
      <c r="U102" s="9" t="n"/>
    </row>
    <row r="103" ht="12" customFormat="1" customHeight="1" s="37">
      <c r="A103" s="74" t="inlineStr">
        <is>
          <t>대방동 대방그린빌</t>
        </is>
      </c>
      <c r="B103" s="75" t="inlineStr">
        <is>
          <t>96.06.</t>
        </is>
      </c>
      <c r="C103" s="129" t="n">
        <v>834</v>
      </c>
      <c r="D103" s="130" t="n">
        <v>54.5</v>
      </c>
      <c r="E103" s="131" t="n">
        <v>16</v>
      </c>
      <c r="F103" s="130" t="n">
        <v>39.7</v>
      </c>
      <c r="G103" s="17" t="n">
        <v>12</v>
      </c>
      <c r="H103" s="132" t="n">
        <v>426</v>
      </c>
      <c r="I103" s="133" t="n">
        <v>15000</v>
      </c>
      <c r="J103" s="133" t="inlineStr">
        <is>
          <t>9</t>
        </is>
      </c>
      <c r="K103" s="133" t="n">
        <v>13000</v>
      </c>
      <c r="L103" s="133" t="inlineStr">
        <is>
          <t>8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2</v>
      </c>
      <c r="R103" s="120" t="n">
        <v>1</v>
      </c>
      <c r="S103" s="120" t="inlineStr">
        <is>
          <t>복</t>
        </is>
      </c>
      <c r="T103" s="5" t="n">
        <v>54</v>
      </c>
      <c r="U103" s="9" t="n"/>
    </row>
    <row r="104" ht="12" customFormat="1" customHeight="1" s="37">
      <c r="A104" s="74" t="inlineStr">
        <is>
          <t>남양동 위드파크</t>
        </is>
      </c>
      <c r="B104" s="75" t="inlineStr">
        <is>
          <t>98.05.</t>
        </is>
      </c>
      <c r="C104" s="129" t="n">
        <v>960</v>
      </c>
      <c r="D104" s="130" t="n">
        <v>70.5</v>
      </c>
      <c r="E104" s="131" t="n">
        <v>21</v>
      </c>
      <c r="F104" s="130" t="n">
        <v>53.8</v>
      </c>
      <c r="G104" s="17" t="n">
        <v>16</v>
      </c>
      <c r="H104" s="132" t="n">
        <v>390</v>
      </c>
      <c r="I104" s="133" t="n">
        <v>22000</v>
      </c>
      <c r="J104" s="133" t="inlineStr">
        <is>
          <t>10</t>
        </is>
      </c>
      <c r="K104" s="133" t="n">
        <v>19000</v>
      </c>
      <c r="L104" s="133" t="inlineStr">
        <is>
          <t>13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복</t>
        </is>
      </c>
      <c r="T104" s="5" t="n">
        <v>70</v>
      </c>
      <c r="U104" s="9" t="n"/>
    </row>
    <row r="105" ht="12" customFormat="1" customHeight="1" s="37">
      <c r="A105" s="74" t="inlineStr">
        <is>
          <t>상남동 상남꿈에그린</t>
        </is>
      </c>
      <c r="B105" s="75" t="inlineStr">
        <is>
          <t>14.09.</t>
        </is>
      </c>
      <c r="C105" s="129" t="n">
        <v>812</v>
      </c>
      <c r="D105" s="130" t="n">
        <v>156.9</v>
      </c>
      <c r="E105" s="131" t="n">
        <v>47</v>
      </c>
      <c r="F105" s="130" t="n">
        <v>124.2</v>
      </c>
      <c r="G105" s="17" t="n">
        <v>38</v>
      </c>
      <c r="H105" s="132" t="n">
        <v>100</v>
      </c>
      <c r="I105" s="133" t="n">
        <v>93000</v>
      </c>
      <c r="J105" s="133" t="inlineStr">
        <is>
          <t>중</t>
        </is>
      </c>
      <c r="K105" s="133" t="n">
        <v>80000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156</v>
      </c>
      <c r="U105" s="9" t="n"/>
    </row>
    <row r="106" ht="12" customFormat="1" customHeight="1" s="37">
      <c r="A106" s="74" t="inlineStr">
        <is>
          <t>가음동 창원더샵센트럴파크3단지</t>
        </is>
      </c>
      <c r="B106" s="75" t="inlineStr">
        <is>
          <t>17.04.</t>
        </is>
      </c>
      <c r="C106" s="129" t="n">
        <v>448</v>
      </c>
      <c r="D106" s="130" t="n">
        <v>110.3</v>
      </c>
      <c r="E106" s="131" t="n">
        <v>33</v>
      </c>
      <c r="F106" s="130" t="n">
        <v>84.8</v>
      </c>
      <c r="G106" s="17" t="n">
        <v>26</v>
      </c>
      <c r="H106" s="132" t="n">
        <v>104</v>
      </c>
      <c r="I106" s="133" t="n">
        <v>65000</v>
      </c>
      <c r="J106" s="133" t="inlineStr">
        <is>
          <t>15</t>
        </is>
      </c>
      <c r="K106" s="133" t="n">
        <v>55000</v>
      </c>
      <c r="L106" s="133" t="inlineStr">
        <is>
          <t>고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inlineStr">
        <is>
          <t>110B</t>
        </is>
      </c>
      <c r="U106" s="9" t="n"/>
    </row>
    <row r="107" ht="12" customFormat="1" customHeight="1" s="37">
      <c r="A107" s="74" t="inlineStr">
        <is>
          <t>남양동 상남동성(남양동성)</t>
        </is>
      </c>
      <c r="B107" s="75" t="inlineStr">
        <is>
          <t>90.09.</t>
        </is>
      </c>
      <c r="C107" s="129" t="n">
        <v>540</v>
      </c>
      <c r="D107" s="130" t="n">
        <v>93.7</v>
      </c>
      <c r="E107" s="131" t="n">
        <v>28</v>
      </c>
      <c r="F107" s="130" t="n">
        <v>77.7</v>
      </c>
      <c r="G107" s="17" t="n">
        <v>24</v>
      </c>
      <c r="H107" s="132" t="n">
        <v>180</v>
      </c>
      <c r="I107" s="133" t="n">
        <v>28500</v>
      </c>
      <c r="J107" s="133" t="inlineStr">
        <is>
          <t>10</t>
        </is>
      </c>
      <c r="K107" s="133" t="n">
        <v>24000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93</v>
      </c>
      <c r="U107" s="9" t="n"/>
    </row>
    <row r="108" ht="12" customFormat="1" customHeight="1" s="37">
      <c r="A108" s="74" t="inlineStr">
        <is>
          <t>반지동 반송대동</t>
        </is>
      </c>
      <c r="B108" s="75" t="inlineStr">
        <is>
          <t>91.07.</t>
        </is>
      </c>
      <c r="C108" s="129" t="n">
        <v>1292</v>
      </c>
      <c r="D108" s="130" t="n">
        <v>83.40000000000001</v>
      </c>
      <c r="E108" s="131" t="n">
        <v>25</v>
      </c>
      <c r="F108" s="130" t="n">
        <v>70.09999999999999</v>
      </c>
      <c r="G108" s="17" t="n">
        <v>21</v>
      </c>
      <c r="H108" s="132" t="n">
        <v>408</v>
      </c>
      <c r="I108" s="133" t="n">
        <v>27500</v>
      </c>
      <c r="J108" s="133" t="inlineStr">
        <is>
          <t>12</t>
        </is>
      </c>
      <c r="K108" s="133" t="n">
        <v>23000</v>
      </c>
      <c r="L108" s="133" t="inlineStr">
        <is>
          <t>14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83</v>
      </c>
      <c r="U108" s="9" t="n"/>
    </row>
    <row r="109" ht="12" customFormat="1" customHeight="1" s="37">
      <c r="A109" s="74" t="inlineStr">
        <is>
          <t>성주동 유니온빌리지</t>
        </is>
      </c>
      <c r="B109" s="75" t="inlineStr">
        <is>
          <t>05.10.</t>
        </is>
      </c>
      <c r="C109" s="129" t="n">
        <v>1360</v>
      </c>
      <c r="D109" s="130" t="n">
        <v>107.9</v>
      </c>
      <c r="E109" s="131" t="n">
        <v>33</v>
      </c>
      <c r="F109" s="130" t="n">
        <v>84.90000000000001</v>
      </c>
      <c r="G109" s="17" t="n">
        <v>26</v>
      </c>
      <c r="H109" s="132" t="n">
        <v>683</v>
      </c>
      <c r="I109" s="133" t="n">
        <v>42000</v>
      </c>
      <c r="J109" s="133" t="inlineStr">
        <is>
          <t>10</t>
        </is>
      </c>
      <c r="K109" s="133" t="n">
        <v>35000</v>
      </c>
      <c r="L109" s="133" t="inlineStr">
        <is>
          <t>8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107</v>
      </c>
      <c r="U109" s="9" t="n"/>
    </row>
    <row r="110" ht="12" customFormat="1" customHeight="1" s="37">
      <c r="A110" s="74" t="inlineStr">
        <is>
          <t>남양동 피오르빌</t>
        </is>
      </c>
      <c r="B110" s="75" t="inlineStr">
        <is>
          <t>95.07.</t>
        </is>
      </c>
      <c r="C110" s="129" t="n">
        <v>1560</v>
      </c>
      <c r="D110" s="130" t="n">
        <v>66</v>
      </c>
      <c r="E110" s="131" t="n">
        <v>20</v>
      </c>
      <c r="F110" s="130" t="n">
        <v>49.5</v>
      </c>
      <c r="G110" s="17" t="n">
        <v>15</v>
      </c>
      <c r="H110" s="132" t="n">
        <v>1020</v>
      </c>
      <c r="I110" s="133" t="n">
        <v>18000</v>
      </c>
      <c r="J110" s="133" t="inlineStr">
        <is>
          <t>고</t>
        </is>
      </c>
      <c r="K110" s="133" t="n">
        <v>15000</v>
      </c>
      <c r="L110" s="133" t="inlineStr">
        <is>
          <t>13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복</t>
        </is>
      </c>
      <c r="T110" s="5" t="n">
        <v>66</v>
      </c>
      <c r="U110" s="9" t="n"/>
    </row>
    <row r="111" ht="12" customFormat="1" customHeight="1" s="37">
      <c r="A111" s="74" t="inlineStr">
        <is>
          <t>대방동 대방대동황토방</t>
        </is>
      </c>
      <c r="B111" s="75" t="inlineStr">
        <is>
          <t>01.05.</t>
        </is>
      </c>
      <c r="C111" s="129" t="n">
        <v>708</v>
      </c>
      <c r="D111" s="130" t="n">
        <v>84.3</v>
      </c>
      <c r="E111" s="131" t="n">
        <v>25</v>
      </c>
      <c r="F111" s="130" t="n">
        <v>59.2</v>
      </c>
      <c r="G111" s="17" t="n">
        <v>18</v>
      </c>
      <c r="H111" s="132" t="n">
        <v>312</v>
      </c>
      <c r="I111" s="133" t="n">
        <v>29000</v>
      </c>
      <c r="J111" s="133" t="inlineStr">
        <is>
          <t>17</t>
        </is>
      </c>
      <c r="K111" s="133" t="n">
        <v>24000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84</v>
      </c>
      <c r="U111" s="9" t="n"/>
    </row>
    <row r="112" ht="12" customFormat="1" customHeight="1" s="37">
      <c r="A112" s="74" t="inlineStr">
        <is>
          <t>반림동 트리비앙</t>
        </is>
      </c>
      <c r="B112" s="75" t="inlineStr">
        <is>
          <t>06.10.</t>
        </is>
      </c>
      <c r="C112" s="129" t="n">
        <v>2610</v>
      </c>
      <c r="D112" s="130" t="n">
        <v>85.09999999999999</v>
      </c>
      <c r="E112" s="131" t="n">
        <v>26</v>
      </c>
      <c r="F112" s="130" t="n">
        <v>60</v>
      </c>
      <c r="G112" s="17" t="n">
        <v>18</v>
      </c>
      <c r="H112" s="132" t="n">
        <v>338</v>
      </c>
      <c r="I112" s="133" t="n">
        <v>45000</v>
      </c>
      <c r="J112" s="133" t="inlineStr">
        <is>
          <t>중</t>
        </is>
      </c>
      <c r="K112" s="133" t="n">
        <v>37000</v>
      </c>
      <c r="L112" s="133" t="inlineStr">
        <is>
          <t>15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85</v>
      </c>
      <c r="U112" s="9" t="n"/>
    </row>
    <row r="113" ht="12" customFormat="1" customHeight="1" s="37">
      <c r="A113" s="74" t="inlineStr">
        <is>
          <t>대방동 대방대동</t>
        </is>
      </c>
      <c r="B113" s="75" t="inlineStr">
        <is>
          <t>92.09.</t>
        </is>
      </c>
      <c r="C113" s="129" t="n">
        <v>1835</v>
      </c>
      <c r="D113" s="130" t="n">
        <v>68.7</v>
      </c>
      <c r="E113" s="131" t="n">
        <v>21</v>
      </c>
      <c r="F113" s="130" t="n">
        <v>49.9</v>
      </c>
      <c r="G113" s="17" t="n">
        <v>15</v>
      </c>
      <c r="H113" s="132" t="n">
        <v>767</v>
      </c>
      <c r="I113" s="133" t="n">
        <v>19000</v>
      </c>
      <c r="J113" s="133" t="inlineStr">
        <is>
          <t>12</t>
        </is>
      </c>
      <c r="K113" s="133" t="n">
        <v>15500</v>
      </c>
      <c r="L113" s="133" t="inlineStr">
        <is>
          <t>14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복</t>
        </is>
      </c>
      <c r="T113" s="5" t="n">
        <v>68</v>
      </c>
      <c r="U113" s="9" t="n"/>
    </row>
    <row r="114" ht="12" customFormat="1" customHeight="1" s="37">
      <c r="A114" s="74" t="inlineStr">
        <is>
          <t>반림동 반림럭키</t>
        </is>
      </c>
      <c r="B114" s="75" t="inlineStr">
        <is>
          <t>89.01.</t>
        </is>
      </c>
      <c r="C114" s="129" t="n">
        <v>1620</v>
      </c>
      <c r="D114" s="130" t="n">
        <v>79.40000000000001</v>
      </c>
      <c r="E114" s="131" t="n">
        <v>24</v>
      </c>
      <c r="F114" s="130" t="n">
        <v>59.2</v>
      </c>
      <c r="G114" s="17" t="n">
        <v>18</v>
      </c>
      <c r="H114" s="132" t="n">
        <v>210</v>
      </c>
      <c r="I114" s="133" t="n">
        <v>27000</v>
      </c>
      <c r="J114" s="133" t="inlineStr">
        <is>
          <t>8</t>
        </is>
      </c>
      <c r="K114" s="133" t="n">
        <v>22000</v>
      </c>
      <c r="L114" s="133" t="inlineStr">
        <is>
          <t>9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복</t>
        </is>
      </c>
      <c r="T114" s="5" t="n">
        <v>79</v>
      </c>
      <c r="U114" s="9" t="n"/>
    </row>
    <row r="115" ht="12" customFormat="1" customHeight="1" s="37">
      <c r="A115" s="74" t="inlineStr">
        <is>
          <t>반림동 노블파크</t>
        </is>
      </c>
      <c r="B115" s="75" t="inlineStr">
        <is>
          <t>07.12.</t>
        </is>
      </c>
      <c r="C115" s="129" t="n">
        <v>2699</v>
      </c>
      <c r="D115" s="130" t="n">
        <v>102.7</v>
      </c>
      <c r="E115" s="131" t="n">
        <v>31</v>
      </c>
      <c r="F115" s="130" t="n">
        <v>76</v>
      </c>
      <c r="G115" s="17" t="n">
        <v>23</v>
      </c>
      <c r="H115" s="132" t="n">
        <v>250</v>
      </c>
      <c r="I115" s="133" t="n">
        <v>56500</v>
      </c>
      <c r="J115" s="133" t="inlineStr">
        <is>
          <t>10</t>
        </is>
      </c>
      <c r="K115" s="133" t="n">
        <v>46000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inlineStr">
        <is>
          <t>102A2</t>
        </is>
      </c>
      <c r="U115" s="9" t="n"/>
    </row>
    <row r="116" ht="12" customFormat="1" customHeight="1" s="37">
      <c r="A116" s="74" t="inlineStr">
        <is>
          <t>상남동 성원(토월그랜드타운)</t>
        </is>
      </c>
      <c r="B116" s="75" t="inlineStr">
        <is>
          <t>94.06.</t>
        </is>
      </c>
      <c r="C116" s="129" t="n">
        <v>6252</v>
      </c>
      <c r="D116" s="130" t="n">
        <v>107.2</v>
      </c>
      <c r="E116" s="131" t="n">
        <v>32</v>
      </c>
      <c r="F116" s="130" t="n">
        <v>84.90000000000001</v>
      </c>
      <c r="G116" s="17" t="n">
        <v>26</v>
      </c>
      <c r="H116" s="132" t="n">
        <v>1932</v>
      </c>
      <c r="I116" s="133" t="n">
        <v>43000</v>
      </c>
      <c r="J116" s="133" t="inlineStr">
        <is>
          <t>7</t>
        </is>
      </c>
      <c r="K116" s="133" t="n">
        <v>35000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4" t="inlineStr">
        <is>
          <t>반림동 현대</t>
        </is>
      </c>
      <c r="B117" s="75" t="inlineStr">
        <is>
          <t>89.04.</t>
        </is>
      </c>
      <c r="C117" s="129" t="n">
        <v>1200</v>
      </c>
      <c r="D117" s="130" t="n">
        <v>84.3</v>
      </c>
      <c r="E117" s="131" t="n">
        <v>26</v>
      </c>
      <c r="F117" s="130" t="n">
        <v>68.8</v>
      </c>
      <c r="G117" s="17" t="n">
        <v>21</v>
      </c>
      <c r="H117" s="132" t="n">
        <v>390</v>
      </c>
      <c r="I117" s="133" t="n">
        <v>37000</v>
      </c>
      <c r="J117" s="133" t="inlineStr">
        <is>
          <t>고</t>
        </is>
      </c>
      <c r="K117" s="133" t="n">
        <v>30000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inlineStr">
        <is>
          <t>84A</t>
        </is>
      </c>
      <c r="U117" s="9" t="n"/>
    </row>
    <row r="118" ht="12" customFormat="1" customHeight="1" s="37">
      <c r="A118" s="74" t="inlineStr">
        <is>
          <t>반림동 노블파크</t>
        </is>
      </c>
      <c r="B118" s="75" t="inlineStr">
        <is>
          <t>07.12.</t>
        </is>
      </c>
      <c r="C118" s="129" t="n">
        <v>2699</v>
      </c>
      <c r="D118" s="130" t="n">
        <v>163.7</v>
      </c>
      <c r="E118" s="131" t="n">
        <v>50</v>
      </c>
      <c r="F118" s="130" t="n">
        <v>129.5</v>
      </c>
      <c r="G118" s="17" t="n">
        <v>39</v>
      </c>
      <c r="H118" s="132" t="n">
        <v>96</v>
      </c>
      <c r="I118" s="133" t="n">
        <v>87000</v>
      </c>
      <c r="J118" s="133" t="inlineStr">
        <is>
          <t>11</t>
        </is>
      </c>
      <c r="K118" s="133" t="n">
        <v>70000</v>
      </c>
      <c r="L118" s="133" t="inlineStr">
        <is>
          <t>중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inlineStr">
        <is>
          <t>163A</t>
        </is>
      </c>
      <c r="U118" s="9" t="n"/>
    </row>
    <row r="119" ht="12" customFormat="1" customHeight="1" s="37">
      <c r="A119" s="74" t="inlineStr">
        <is>
          <t>상남동 대동</t>
        </is>
      </c>
      <c r="B119" s="75" t="inlineStr">
        <is>
          <t>94.12.</t>
        </is>
      </c>
      <c r="C119" s="129" t="n">
        <v>2810</v>
      </c>
      <c r="D119" s="130" t="n">
        <v>138.9</v>
      </c>
      <c r="E119" s="131" t="n">
        <v>42</v>
      </c>
      <c r="F119" s="130" t="n">
        <v>115</v>
      </c>
      <c r="G119" s="17" t="n">
        <v>35</v>
      </c>
      <c r="H119" s="132" t="n">
        <v>306</v>
      </c>
      <c r="I119" s="133" t="n">
        <v>50000</v>
      </c>
      <c r="J119" s="133" t="inlineStr">
        <is>
          <t>중</t>
        </is>
      </c>
      <c r="K119" s="133" t="n">
        <v>40000</v>
      </c>
      <c r="L119" s="133" t="inlineStr">
        <is>
          <t>25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4</v>
      </c>
      <c r="R119" s="120" t="n">
        <v>2</v>
      </c>
      <c r="S119" s="120" t="inlineStr">
        <is>
          <t>계</t>
        </is>
      </c>
      <c r="T119" s="5" t="inlineStr">
        <is>
          <t>138A</t>
        </is>
      </c>
      <c r="U119" s="9" t="n"/>
    </row>
    <row r="120" ht="12" customFormat="1" customHeight="1" s="37">
      <c r="A120" s="74" t="inlineStr">
        <is>
          <t>대방동 대방덕산타운</t>
        </is>
      </c>
      <c r="B120" s="75" t="inlineStr">
        <is>
          <t>92.07.</t>
        </is>
      </c>
      <c r="C120" s="129" t="n">
        <v>920</v>
      </c>
      <c r="D120" s="130" t="n">
        <v>69.5</v>
      </c>
      <c r="E120" s="131" t="n">
        <v>21</v>
      </c>
      <c r="F120" s="130" t="n">
        <v>49.9</v>
      </c>
      <c r="G120" s="17" t="n">
        <v>15</v>
      </c>
      <c r="H120" s="132" t="n">
        <v>380</v>
      </c>
      <c r="I120" s="133" t="n">
        <v>17500</v>
      </c>
      <c r="J120" s="133" t="inlineStr">
        <is>
          <t>14</t>
        </is>
      </c>
      <c r="K120" s="133" t="n">
        <v>14000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계</t>
        </is>
      </c>
      <c r="T120" s="5" t="n">
        <v>69</v>
      </c>
      <c r="U120" s="9" t="n"/>
    </row>
    <row r="121" ht="12" customFormat="1" customHeight="1" s="37">
      <c r="A121" s="74" t="inlineStr">
        <is>
          <t>대방동 대방개나리1차</t>
        </is>
      </c>
      <c r="B121" s="75" t="inlineStr">
        <is>
          <t>92.09.</t>
        </is>
      </c>
      <c r="C121" s="129" t="n">
        <v>1005</v>
      </c>
      <c r="D121" s="130" t="n">
        <v>68.2</v>
      </c>
      <c r="E121" s="131" t="n">
        <v>21</v>
      </c>
      <c r="F121" s="130" t="n">
        <v>49.4</v>
      </c>
      <c r="G121" s="17" t="n">
        <v>15</v>
      </c>
      <c r="H121" s="132" t="n">
        <v>405</v>
      </c>
      <c r="I121" s="133" t="n">
        <v>19000</v>
      </c>
      <c r="J121" s="133" t="inlineStr">
        <is>
          <t>8</t>
        </is>
      </c>
      <c r="K121" s="133" t="n">
        <v>15000</v>
      </c>
      <c r="L121" s="133" t="inlineStr">
        <is>
          <t>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68</v>
      </c>
      <c r="U121" s="9" t="n"/>
    </row>
    <row r="122" ht="12" customFormat="1" customHeight="1" s="37">
      <c r="A122" s="74" t="inlineStr">
        <is>
          <t>상남동 상남꿈에그린</t>
        </is>
      </c>
      <c r="B122" s="75" t="inlineStr">
        <is>
          <t>14.09.</t>
        </is>
      </c>
      <c r="C122" s="129" t="n">
        <v>812</v>
      </c>
      <c r="D122" s="130" t="n">
        <v>129</v>
      </c>
      <c r="E122" s="131" t="n">
        <v>39</v>
      </c>
      <c r="F122" s="130" t="n">
        <v>101.7</v>
      </c>
      <c r="G122" s="17" t="n">
        <v>31</v>
      </c>
      <c r="H122" s="132" t="n">
        <v>88</v>
      </c>
      <c r="I122" s="133" t="n">
        <v>79000</v>
      </c>
      <c r="J122" s="133" t="inlineStr">
        <is>
          <t>중</t>
        </is>
      </c>
      <c r="K122" s="133" t="n">
        <v>62000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4</v>
      </c>
      <c r="R122" s="120" t="n">
        <v>2</v>
      </c>
      <c r="S122" s="120" t="inlineStr">
        <is>
          <t>계</t>
        </is>
      </c>
      <c r="T122" s="5" t="n">
        <v>129</v>
      </c>
      <c r="U122" s="9" t="n"/>
    </row>
    <row r="123" ht="12" customFormat="1" customHeight="1" s="37">
      <c r="A123" s="74" t="inlineStr">
        <is>
          <t>사파정동 성산반도유보라아이비파크</t>
        </is>
      </c>
      <c r="B123" s="75" t="inlineStr">
        <is>
          <t>22.03.</t>
        </is>
      </c>
      <c r="C123" s="129" t="n">
        <v>1045</v>
      </c>
      <c r="D123" s="130" t="n">
        <v>84.8</v>
      </c>
      <c r="E123" s="131" t="n">
        <v>26</v>
      </c>
      <c r="F123" s="130" t="n">
        <v>64.8</v>
      </c>
      <c r="G123" s="17" t="n">
        <v>20</v>
      </c>
      <c r="H123" s="132" t="n">
        <v>152</v>
      </c>
      <c r="I123" s="133" t="n">
        <v>45900</v>
      </c>
      <c r="J123" s="133" t="inlineStr">
        <is>
          <t>13</t>
        </is>
      </c>
      <c r="K123" s="133" t="n">
        <v>36000</v>
      </c>
      <c r="L123" s="133" t="inlineStr">
        <is>
          <t>10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84A</t>
        </is>
      </c>
      <c r="U123" s="9" t="n"/>
    </row>
    <row r="124" ht="12" customFormat="1" customHeight="1" s="37">
      <c r="A124" s="74" t="inlineStr">
        <is>
          <t>반림동 노블파크</t>
        </is>
      </c>
      <c r="B124" s="75" t="inlineStr">
        <is>
          <t>07.12.</t>
        </is>
      </c>
      <c r="C124" s="129" t="n">
        <v>2699</v>
      </c>
      <c r="D124" s="130" t="n">
        <v>131.1</v>
      </c>
      <c r="E124" s="131" t="n">
        <v>40</v>
      </c>
      <c r="F124" s="130" t="n">
        <v>101.9</v>
      </c>
      <c r="G124" s="17" t="n">
        <v>31</v>
      </c>
      <c r="H124" s="132" t="n">
        <v>179</v>
      </c>
      <c r="I124" s="133" t="n">
        <v>68000</v>
      </c>
      <c r="J124" s="133" t="inlineStr">
        <is>
          <t>11</t>
        </is>
      </c>
      <c r="K124" s="133" t="n">
        <v>53000</v>
      </c>
      <c r="L124" s="133" t="inlineStr">
        <is>
          <t>12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131A1</t>
        </is>
      </c>
      <c r="U124" s="9" t="n"/>
    </row>
    <row r="125" ht="12" customFormat="1" customHeight="1" s="37">
      <c r="A125" s="74" t="inlineStr">
        <is>
          <t>성주동 성주효성해링턴코트</t>
        </is>
      </c>
      <c r="B125" s="75" t="inlineStr">
        <is>
          <t>13.12.</t>
        </is>
      </c>
      <c r="C125" s="129" t="n">
        <v>365</v>
      </c>
      <c r="D125" s="130" t="n">
        <v>109.1</v>
      </c>
      <c r="E125" s="131" t="n">
        <v>33</v>
      </c>
      <c r="F125" s="130" t="n">
        <v>84.90000000000001</v>
      </c>
      <c r="G125" s="17" t="n">
        <v>26</v>
      </c>
      <c r="H125" s="132" t="n">
        <v>200</v>
      </c>
      <c r="I125" s="133" t="n">
        <v>49000</v>
      </c>
      <c r="J125" s="133" t="inlineStr">
        <is>
          <t>고</t>
        </is>
      </c>
      <c r="K125" s="133" t="n">
        <v>38000</v>
      </c>
      <c r="L125" s="133" t="inlineStr">
        <is>
          <t>고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109A</t>
        </is>
      </c>
      <c r="U125" s="9" t="n"/>
    </row>
    <row r="126" ht="12" customFormat="1" customHeight="1" s="37">
      <c r="A126" s="74" t="inlineStr">
        <is>
          <t>가음동 창원센텀푸르지오</t>
        </is>
      </c>
      <c r="B126" s="75" t="inlineStr">
        <is>
          <t>18.01.</t>
        </is>
      </c>
      <c r="C126" s="129" t="n">
        <v>975</v>
      </c>
      <c r="D126" s="130" t="n">
        <v>99</v>
      </c>
      <c r="E126" s="131" t="n">
        <v>30</v>
      </c>
      <c r="F126" s="130" t="n">
        <v>73.7</v>
      </c>
      <c r="G126" s="17" t="n">
        <v>22</v>
      </c>
      <c r="H126" s="132" t="n">
        <v>216</v>
      </c>
      <c r="I126" s="133" t="n">
        <v>65000</v>
      </c>
      <c r="J126" s="133" t="inlineStr">
        <is>
          <t>19</t>
        </is>
      </c>
      <c r="K126" s="133" t="n">
        <v>50000</v>
      </c>
      <c r="L126" s="133" t="inlineStr">
        <is>
          <t>24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98</v>
      </c>
      <c r="U126" s="9" t="n"/>
    </row>
    <row r="127" ht="12" customFormat="1" customHeight="1" s="37">
      <c r="A127" s="74" t="inlineStr">
        <is>
          <t>남양동 우성</t>
        </is>
      </c>
      <c r="B127" s="75" t="inlineStr">
        <is>
          <t>89.12.</t>
        </is>
      </c>
      <c r="C127" s="129" t="n">
        <v>750</v>
      </c>
      <c r="D127" s="130" t="n">
        <v>99.8</v>
      </c>
      <c r="E127" s="131" t="n">
        <v>30</v>
      </c>
      <c r="F127" s="130" t="n">
        <v>83.5</v>
      </c>
      <c r="G127" s="17" t="n">
        <v>25</v>
      </c>
      <c r="H127" s="132" t="n">
        <v>390</v>
      </c>
      <c r="I127" s="133" t="n">
        <v>39000</v>
      </c>
      <c r="J127" s="133" t="inlineStr">
        <is>
          <t>13</t>
        </is>
      </c>
      <c r="K127" s="133" t="n">
        <v>30000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99</v>
      </c>
      <c r="U127" s="9" t="n"/>
    </row>
    <row r="128" ht="12" customFormat="1" customHeight="1" s="37">
      <c r="A128" s="74" t="inlineStr">
        <is>
          <t>가음동 창원가음한화꿈에그린</t>
        </is>
      </c>
      <c r="B128" s="75" t="inlineStr">
        <is>
          <t>17.08.</t>
        </is>
      </c>
      <c r="C128" s="129" t="n">
        <v>749</v>
      </c>
      <c r="D128" s="130" t="n">
        <v>112.4</v>
      </c>
      <c r="E128" s="131" t="n">
        <v>34</v>
      </c>
      <c r="F128" s="130" t="n">
        <v>85</v>
      </c>
      <c r="G128" s="17" t="n">
        <v>26</v>
      </c>
      <c r="H128" s="132" t="n">
        <v>377</v>
      </c>
      <c r="I128" s="133" t="n">
        <v>66000</v>
      </c>
      <c r="J128" s="133" t="inlineStr">
        <is>
          <t>26</t>
        </is>
      </c>
      <c r="K128" s="133" t="n">
        <v>50000</v>
      </c>
      <c r="L128" s="133" t="inlineStr">
        <is>
          <t>10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inlineStr">
        <is>
          <t>112A</t>
        </is>
      </c>
      <c r="U128" s="9" t="n"/>
    </row>
    <row r="129" ht="12" customFormat="1" customHeight="1" s="37">
      <c r="A129" s="74" t="inlineStr">
        <is>
          <t>용호동 용지더샵레이크파크</t>
        </is>
      </c>
      <c r="B129" s="75" t="inlineStr">
        <is>
          <t>17.11.</t>
        </is>
      </c>
      <c r="C129" s="129" t="n">
        <v>883</v>
      </c>
      <c r="D129" s="130" t="n">
        <v>147.4</v>
      </c>
      <c r="E129" s="131" t="n">
        <v>45</v>
      </c>
      <c r="F129" s="130" t="n">
        <v>119.2</v>
      </c>
      <c r="G129" s="17" t="n">
        <v>36</v>
      </c>
      <c r="H129" s="132" t="n">
        <v>57</v>
      </c>
      <c r="I129" s="133" t="n">
        <v>159000</v>
      </c>
      <c r="J129" s="133" t="inlineStr">
        <is>
          <t>13</t>
        </is>
      </c>
      <c r="K129" s="133" t="n">
        <v>120000</v>
      </c>
      <c r="L129" s="133" t="inlineStr">
        <is>
          <t>13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147</v>
      </c>
      <c r="U129" s="9" t="n"/>
    </row>
    <row r="130" ht="12" customFormat="1" customHeight="1" s="37">
      <c r="A130" s="74" t="inlineStr">
        <is>
          <t>반림동 트리비앙</t>
        </is>
      </c>
      <c r="B130" s="75" t="inlineStr">
        <is>
          <t>06.10.</t>
        </is>
      </c>
      <c r="C130" s="129" t="n">
        <v>2610</v>
      </c>
      <c r="D130" s="130" t="n">
        <v>113.8</v>
      </c>
      <c r="E130" s="131" t="n">
        <v>34</v>
      </c>
      <c r="F130" s="130" t="n">
        <v>85</v>
      </c>
      <c r="G130" s="17" t="n">
        <v>26</v>
      </c>
      <c r="H130" s="132" t="n">
        <v>809</v>
      </c>
      <c r="I130" s="133" t="n">
        <v>64000</v>
      </c>
      <c r="J130" s="133" t="inlineStr">
        <is>
          <t>12</t>
        </is>
      </c>
      <c r="K130" s="133" t="n">
        <v>48000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inlineStr">
        <is>
          <t>113A</t>
        </is>
      </c>
      <c r="U130" s="9" t="n"/>
    </row>
    <row r="131" ht="12" customFormat="1" customHeight="1" s="37">
      <c r="A131" s="74" t="inlineStr">
        <is>
          <t>상남동 대동</t>
        </is>
      </c>
      <c r="B131" s="75" t="inlineStr">
        <is>
          <t>94.12.</t>
        </is>
      </c>
      <c r="C131" s="129" t="n">
        <v>2810</v>
      </c>
      <c r="D131" s="130" t="n">
        <v>193</v>
      </c>
      <c r="E131" s="131" t="n">
        <v>58</v>
      </c>
      <c r="F131" s="130" t="n">
        <v>164.7</v>
      </c>
      <c r="G131" s="17" t="n">
        <v>50</v>
      </c>
      <c r="H131" s="132" t="n">
        <v>100</v>
      </c>
      <c r="I131" s="133" t="n">
        <v>60000</v>
      </c>
      <c r="J131" s="133" t="inlineStr">
        <is>
          <t>고</t>
        </is>
      </c>
      <c r="K131" s="133" t="n">
        <v>45000</v>
      </c>
      <c r="L131" s="133" t="inlineStr">
        <is>
          <t>12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5</v>
      </c>
      <c r="R131" s="120" t="n">
        <v>2</v>
      </c>
      <c r="S131" s="120" t="inlineStr">
        <is>
          <t>계</t>
        </is>
      </c>
      <c r="T131" s="5" t="n">
        <v>192</v>
      </c>
      <c r="U131" s="9" t="n"/>
    </row>
    <row r="132" ht="12" customFormat="1" customHeight="1" s="37">
      <c r="A132" s="74" t="inlineStr">
        <is>
          <t>사파동 사파동성</t>
        </is>
      </c>
      <c r="B132" s="75" t="inlineStr">
        <is>
          <t>92.11.</t>
        </is>
      </c>
      <c r="C132" s="129" t="n">
        <v>1986</v>
      </c>
      <c r="D132" s="130" t="n">
        <v>154.8</v>
      </c>
      <c r="E132" s="131" t="n">
        <v>47</v>
      </c>
      <c r="F132" s="130" t="n">
        <v>133.6</v>
      </c>
      <c r="G132" s="17" t="n">
        <v>40</v>
      </c>
      <c r="H132" s="132" t="n">
        <v>210</v>
      </c>
      <c r="I132" s="133" t="n">
        <v>40000</v>
      </c>
      <c r="J132" s="133" t="inlineStr">
        <is>
          <t>16</t>
        </is>
      </c>
      <c r="K132" s="133" t="n">
        <v>30000</v>
      </c>
      <c r="L132" s="133" t="inlineStr">
        <is>
          <t>15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n">
        <v>154</v>
      </c>
      <c r="U132" s="9" t="n"/>
    </row>
    <row r="133" ht="12" customFormat="1" customHeight="1" s="37">
      <c r="A133" s="74" t="inlineStr">
        <is>
          <t>상남동 성원(토월그랜드타운)</t>
        </is>
      </c>
      <c r="B133" s="75" t="inlineStr">
        <is>
          <t>94.06.</t>
        </is>
      </c>
      <c r="C133" s="129" t="n">
        <v>6252</v>
      </c>
      <c r="D133" s="130" t="n">
        <v>164.9</v>
      </c>
      <c r="E133" s="131" t="n">
        <v>50</v>
      </c>
      <c r="F133" s="130" t="n">
        <v>136.9</v>
      </c>
      <c r="G133" s="17" t="n">
        <v>41</v>
      </c>
      <c r="H133" s="132" t="n">
        <v>200</v>
      </c>
      <c r="I133" s="133" t="n">
        <v>61000</v>
      </c>
      <c r="J133" s="133" t="inlineStr">
        <is>
          <t>10</t>
        </is>
      </c>
      <c r="K133" s="133" t="n">
        <v>45000</v>
      </c>
      <c r="L133" s="133" t="inlineStr">
        <is>
          <t>22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4</v>
      </c>
      <c r="R133" s="120" t="n">
        <v>2</v>
      </c>
      <c r="S133" s="120" t="inlineStr">
        <is>
          <t>계</t>
        </is>
      </c>
      <c r="T133" s="5" t="n">
        <v>164</v>
      </c>
      <c r="U133" s="9" t="n"/>
    </row>
    <row r="134" ht="12" customFormat="1" customHeight="1" s="37">
      <c r="A134" s="74" t="inlineStr">
        <is>
          <t>상남동 성원(토월그랜드타운)</t>
        </is>
      </c>
      <c r="B134" s="75" t="inlineStr">
        <is>
          <t>94.06.</t>
        </is>
      </c>
      <c r="C134" s="129" t="n">
        <v>6252</v>
      </c>
      <c r="D134" s="130" t="n">
        <v>72</v>
      </c>
      <c r="E134" s="131" t="n">
        <v>22</v>
      </c>
      <c r="F134" s="130" t="n">
        <v>50</v>
      </c>
      <c r="G134" s="17" t="n">
        <v>15</v>
      </c>
      <c r="H134" s="132" t="n">
        <v>920</v>
      </c>
      <c r="I134" s="133" t="n">
        <v>19000</v>
      </c>
      <c r="J134" s="133" t="inlineStr">
        <is>
          <t>22</t>
        </is>
      </c>
      <c r="K134" s="133" t="n">
        <v>14000</v>
      </c>
      <c r="L134" s="133" t="inlineStr">
        <is>
          <t>11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71</v>
      </c>
      <c r="U134" s="9" t="n"/>
    </row>
    <row r="135" ht="12" customFormat="1" customHeight="1" s="37">
      <c r="A135" s="74" t="inlineStr">
        <is>
          <t>상남동 성원(토월그랜드타운)</t>
        </is>
      </c>
      <c r="B135" s="75" t="inlineStr">
        <is>
          <t>94.06.</t>
        </is>
      </c>
      <c r="C135" s="129" t="n">
        <v>6252</v>
      </c>
      <c r="D135" s="130" t="n">
        <v>86.40000000000001</v>
      </c>
      <c r="E135" s="131" t="n">
        <v>26</v>
      </c>
      <c r="F135" s="130" t="n">
        <v>60</v>
      </c>
      <c r="G135" s="17" t="n">
        <v>18</v>
      </c>
      <c r="H135" s="132" t="n">
        <v>1500</v>
      </c>
      <c r="I135" s="133" t="n">
        <v>27300</v>
      </c>
      <c r="J135" s="133" t="inlineStr">
        <is>
          <t>고</t>
        </is>
      </c>
      <c r="K135" s="133" t="n">
        <v>20000</v>
      </c>
      <c r="L135" s="133" t="inlineStr">
        <is>
          <t>19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복</t>
        </is>
      </c>
      <c r="T135" s="5" t="n">
        <v>86</v>
      </c>
      <c r="U135" s="9" t="n"/>
    </row>
    <row r="136" ht="12" customFormat="1" customHeight="1" s="37">
      <c r="A136" s="74" t="inlineStr">
        <is>
          <t>상남동 상남꿈에그린</t>
        </is>
      </c>
      <c r="B136" s="75" t="inlineStr">
        <is>
          <t>14.09.</t>
        </is>
      </c>
      <c r="C136" s="129" t="n">
        <v>812</v>
      </c>
      <c r="D136" s="130" t="n">
        <v>114</v>
      </c>
      <c r="E136" s="131" t="n">
        <v>34</v>
      </c>
      <c r="F136" s="130" t="n">
        <v>84.90000000000001</v>
      </c>
      <c r="G136" s="17" t="n">
        <v>26</v>
      </c>
      <c r="H136" s="132" t="n">
        <v>286</v>
      </c>
      <c r="I136" s="133" t="n">
        <v>68000</v>
      </c>
      <c r="J136" s="133" t="inlineStr">
        <is>
          <t>중</t>
        </is>
      </c>
      <c r="K136" s="133" t="n">
        <v>49000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4" t="inlineStr">
        <is>
          <t>가음동 창원더샵센트럴파크2단지</t>
        </is>
      </c>
      <c r="B137" s="75" t="inlineStr">
        <is>
          <t>17.04.</t>
        </is>
      </c>
      <c r="C137" s="129" t="n">
        <v>624</v>
      </c>
      <c r="D137" s="130" t="n">
        <v>110.9</v>
      </c>
      <c r="E137" s="131" t="n">
        <v>34</v>
      </c>
      <c r="F137" s="130" t="n">
        <v>84.90000000000001</v>
      </c>
      <c r="G137" s="17" t="n">
        <v>26</v>
      </c>
      <c r="H137" s="132" t="n">
        <v>224</v>
      </c>
      <c r="I137" s="133" t="n">
        <v>70000</v>
      </c>
      <c r="J137" s="133" t="inlineStr">
        <is>
          <t>26</t>
        </is>
      </c>
      <c r="K137" s="133" t="n">
        <v>50000</v>
      </c>
      <c r="L137" s="133" t="inlineStr">
        <is>
          <t>24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110A</t>
        </is>
      </c>
      <c r="U137" s="9" t="n"/>
    </row>
    <row r="138" ht="12" customFormat="1" customHeight="1" s="37">
      <c r="A138" s="74" t="inlineStr">
        <is>
          <t>가음동 창원더샵센트럴파크1단지</t>
        </is>
      </c>
      <c r="B138" s="75" t="inlineStr">
        <is>
          <t>17.04.</t>
        </is>
      </c>
      <c r="C138" s="129" t="n">
        <v>386</v>
      </c>
      <c r="D138" s="130" t="n">
        <v>107.5</v>
      </c>
      <c r="E138" s="131" t="n">
        <v>33</v>
      </c>
      <c r="F138" s="130" t="n">
        <v>84.8</v>
      </c>
      <c r="G138" s="17" t="n">
        <v>26</v>
      </c>
      <c r="H138" s="132" t="n">
        <v>146</v>
      </c>
      <c r="I138" s="133" t="n">
        <v>70000</v>
      </c>
      <c r="J138" s="133" t="inlineStr">
        <is>
          <t>25</t>
        </is>
      </c>
      <c r="K138" s="133" t="n">
        <v>50000</v>
      </c>
      <c r="L138" s="133" t="inlineStr">
        <is>
          <t>6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107B</t>
        </is>
      </c>
      <c r="U138" s="9" t="n"/>
    </row>
    <row r="139" ht="12" customFormat="1" customHeight="1" s="37">
      <c r="A139" s="74" t="inlineStr">
        <is>
          <t>사파정동 성산반도유보라아이비파크</t>
        </is>
      </c>
      <c r="B139" s="75" t="inlineStr">
        <is>
          <t>22.03.</t>
        </is>
      </c>
      <c r="C139" s="129" t="n">
        <v>1045</v>
      </c>
      <c r="D139" s="130" t="n">
        <v>102.3</v>
      </c>
      <c r="E139" s="131" t="n">
        <v>31</v>
      </c>
      <c r="F139" s="130" t="n">
        <v>79</v>
      </c>
      <c r="G139" s="17" t="n">
        <v>24</v>
      </c>
      <c r="H139" s="132" t="n">
        <v>426</v>
      </c>
      <c r="I139" s="133" t="n">
        <v>51800</v>
      </c>
      <c r="J139" s="133" t="inlineStr">
        <is>
          <t>10</t>
        </is>
      </c>
      <c r="K139" s="133" t="n">
        <v>37000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102</v>
      </c>
      <c r="U139" s="9" t="n"/>
    </row>
    <row r="140" ht="12" customFormat="1" customHeight="1" s="37">
      <c r="A140" s="74" t="inlineStr">
        <is>
          <t>상남동 성원(토월그랜드타운)</t>
        </is>
      </c>
      <c r="B140" s="75" t="inlineStr">
        <is>
          <t>94.06.</t>
        </is>
      </c>
      <c r="C140" s="129" t="n">
        <v>6252</v>
      </c>
      <c r="D140" s="130" t="n">
        <v>132.8</v>
      </c>
      <c r="E140" s="131" t="n">
        <v>40</v>
      </c>
      <c r="F140" s="130" t="n">
        <v>108.5</v>
      </c>
      <c r="G140" s="17" t="n">
        <v>33</v>
      </c>
      <c r="H140" s="132" t="n">
        <v>700</v>
      </c>
      <c r="I140" s="133" t="n">
        <v>52000</v>
      </c>
      <c r="J140" s="133" t="inlineStr">
        <is>
          <t>중</t>
        </is>
      </c>
      <c r="K140" s="133" t="n">
        <v>37000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132</v>
      </c>
      <c r="U140" s="9" t="n"/>
    </row>
    <row r="141" ht="12" customFormat="1" customHeight="1" s="37">
      <c r="A141" s="74" t="inlineStr">
        <is>
          <t>가음동 창원가음한화꿈에그린</t>
        </is>
      </c>
      <c r="B141" s="75" t="inlineStr">
        <is>
          <t>17.08.</t>
        </is>
      </c>
      <c r="C141" s="129" t="n">
        <v>749</v>
      </c>
      <c r="D141" s="130" t="n">
        <v>94.8</v>
      </c>
      <c r="E141" s="131" t="n">
        <v>29</v>
      </c>
      <c r="F141" s="130" t="n">
        <v>70.90000000000001</v>
      </c>
      <c r="G141" s="17" t="n">
        <v>21</v>
      </c>
      <c r="H141" s="132" t="n">
        <v>54</v>
      </c>
      <c r="I141" s="133" t="n">
        <v>65000</v>
      </c>
      <c r="J141" s="133" t="inlineStr">
        <is>
          <t>고</t>
        </is>
      </c>
      <c r="K141" s="133" t="n">
        <v>46000</v>
      </c>
      <c r="L141" s="133" t="inlineStr">
        <is>
          <t>중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94</v>
      </c>
      <c r="U141" s="9" t="n"/>
    </row>
    <row r="142" ht="12" customFormat="1" customHeight="1" s="37">
      <c r="A142" s="74" t="inlineStr">
        <is>
          <t>가음동 창원센텀푸르지오</t>
        </is>
      </c>
      <c r="B142" s="75" t="inlineStr">
        <is>
          <t>18.01.</t>
        </is>
      </c>
      <c r="C142" s="129" t="n">
        <v>975</v>
      </c>
      <c r="D142" s="130" t="n">
        <v>111.7</v>
      </c>
      <c r="E142" s="131" t="n">
        <v>34</v>
      </c>
      <c r="F142" s="130" t="n">
        <v>84.90000000000001</v>
      </c>
      <c r="G142" s="17" t="n">
        <v>26</v>
      </c>
      <c r="H142" s="132" t="n">
        <v>208</v>
      </c>
      <c r="I142" s="133" t="n">
        <v>74000</v>
      </c>
      <c r="J142" s="133" t="inlineStr">
        <is>
          <t>8</t>
        </is>
      </c>
      <c r="K142" s="133" t="n">
        <v>52000</v>
      </c>
      <c r="L142" s="133" t="inlineStr">
        <is>
          <t>중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inlineStr">
        <is>
          <t>111A</t>
        </is>
      </c>
      <c r="U142" s="9" t="n"/>
    </row>
    <row r="143" ht="12" customFormat="1" customHeight="1" s="37">
      <c r="A143" s="74" t="inlineStr">
        <is>
          <t>남양동 성원1차(그랜드타운남산)</t>
        </is>
      </c>
      <c r="B143" s="75" t="inlineStr">
        <is>
          <t>91.01.</t>
        </is>
      </c>
      <c r="C143" s="129" t="n">
        <v>1350</v>
      </c>
      <c r="D143" s="130" t="n">
        <v>95.7</v>
      </c>
      <c r="E143" s="131" t="n">
        <v>29</v>
      </c>
      <c r="F143" s="130" t="n">
        <v>79.8</v>
      </c>
      <c r="G143" s="17" t="n">
        <v>24</v>
      </c>
      <c r="H143" s="132" t="n">
        <v>180</v>
      </c>
      <c r="I143" s="133" t="n">
        <v>28500</v>
      </c>
      <c r="J143" s="133" t="inlineStr">
        <is>
          <t>고</t>
        </is>
      </c>
      <c r="K143" s="133" t="n">
        <v>20000</v>
      </c>
      <c r="L143" s="133" t="inlineStr">
        <is>
          <t>고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95B</t>
        </is>
      </c>
      <c r="U143" s="9" t="n"/>
    </row>
    <row r="144" ht="12" customFormat="1" customHeight="1" s="37">
      <c r="A144" s="74" t="inlineStr">
        <is>
          <t>반림동 노블파크</t>
        </is>
      </c>
      <c r="B144" s="75" t="inlineStr">
        <is>
          <t>07.12.</t>
        </is>
      </c>
      <c r="C144" s="129" t="n">
        <v>2699</v>
      </c>
      <c r="D144" s="130" t="n">
        <v>113.7</v>
      </c>
      <c r="E144" s="131" t="n">
        <v>34</v>
      </c>
      <c r="F144" s="130" t="n">
        <v>85</v>
      </c>
      <c r="G144" s="17" t="n">
        <v>26</v>
      </c>
      <c r="H144" s="132" t="n">
        <v>674</v>
      </c>
      <c r="I144" s="133" t="n">
        <v>67000</v>
      </c>
      <c r="J144" s="133" t="inlineStr">
        <is>
          <t>고</t>
        </is>
      </c>
      <c r="K144" s="133" t="n">
        <v>47000</v>
      </c>
      <c r="L144" s="133" t="inlineStr">
        <is>
          <t>18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113A1</t>
        </is>
      </c>
      <c r="U144" s="9" t="n"/>
    </row>
    <row r="145" ht="12" customFormat="1" customHeight="1" s="37">
      <c r="A145" s="74" t="inlineStr">
        <is>
          <t>반림동 현대2차</t>
        </is>
      </c>
      <c r="B145" s="75" t="inlineStr">
        <is>
          <t>89.10.</t>
        </is>
      </c>
      <c r="C145" s="129" t="n">
        <v>1395</v>
      </c>
      <c r="D145" s="130" t="n">
        <v>86</v>
      </c>
      <c r="E145" s="131" t="n">
        <v>26</v>
      </c>
      <c r="F145" s="130" t="n">
        <v>69.8</v>
      </c>
      <c r="G145" s="17" t="n">
        <v>21</v>
      </c>
      <c r="H145" s="132" t="n">
        <v>510</v>
      </c>
      <c r="I145" s="133" t="n">
        <v>38500</v>
      </c>
      <c r="J145" s="133" t="inlineStr">
        <is>
          <t>5</t>
        </is>
      </c>
      <c r="K145" s="133" t="n">
        <v>27000</v>
      </c>
      <c r="L145" s="133" t="inlineStr">
        <is>
          <t>14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n">
        <v>86</v>
      </c>
      <c r="U145" s="9" t="n"/>
    </row>
    <row r="146" ht="12" customFormat="1" customHeight="1" s="37">
      <c r="A146" s="74" t="inlineStr">
        <is>
          <t>용호동 용지더샵레이크파크</t>
        </is>
      </c>
      <c r="B146" s="75" t="inlineStr">
        <is>
          <t>17.11.</t>
        </is>
      </c>
      <c r="C146" s="129" t="n">
        <v>883</v>
      </c>
      <c r="D146" s="130" t="n">
        <v>112.7</v>
      </c>
      <c r="E146" s="131" t="n">
        <v>34</v>
      </c>
      <c r="F146" s="130" t="n">
        <v>84.5</v>
      </c>
      <c r="G146" s="17" t="n">
        <v>26</v>
      </c>
      <c r="H146" s="132" t="n">
        <v>412</v>
      </c>
      <c r="I146" s="133" t="n">
        <v>103500</v>
      </c>
      <c r="J146" s="133" t="inlineStr">
        <is>
          <t>고</t>
        </is>
      </c>
      <c r="K146" s="133" t="n">
        <v>72000</v>
      </c>
      <c r="L146" s="133" t="inlineStr">
        <is>
          <t>중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112A</t>
        </is>
      </c>
      <c r="U146" s="9" t="n"/>
    </row>
    <row r="147" ht="12" customFormat="1" customHeight="1" s="37">
      <c r="A147" s="74" t="inlineStr">
        <is>
          <t>반림동 반림럭키</t>
        </is>
      </c>
      <c r="B147" s="75" t="inlineStr">
        <is>
          <t>89.01.</t>
        </is>
      </c>
      <c r="C147" s="129" t="n">
        <v>1620</v>
      </c>
      <c r="D147" s="130" t="n">
        <v>66.5</v>
      </c>
      <c r="E147" s="131" t="n">
        <v>20</v>
      </c>
      <c r="F147" s="130" t="n">
        <v>49.5</v>
      </c>
      <c r="G147" s="17" t="n">
        <v>15</v>
      </c>
      <c r="H147" s="132" t="n">
        <v>300</v>
      </c>
      <c r="I147" s="133" t="n">
        <v>23000</v>
      </c>
      <c r="J147" s="133" t="inlineStr">
        <is>
          <t>7</t>
        </is>
      </c>
      <c r="K147" s="133" t="n">
        <v>16000</v>
      </c>
      <c r="L147" s="133" t="inlineStr">
        <is>
          <t>12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66</v>
      </c>
      <c r="U147" s="9" t="n"/>
    </row>
    <row r="148" ht="12" customFormat="1" customHeight="1" s="37">
      <c r="A148" s="74" t="inlineStr">
        <is>
          <t>반림동 현대</t>
        </is>
      </c>
      <c r="B148" s="75" t="inlineStr">
        <is>
          <t>89.04.</t>
        </is>
      </c>
      <c r="C148" s="129" t="n">
        <v>1200</v>
      </c>
      <c r="D148" s="130" t="n">
        <v>102.8</v>
      </c>
      <c r="E148" s="131" t="n">
        <v>31</v>
      </c>
      <c r="F148" s="130" t="n">
        <v>84.5</v>
      </c>
      <c r="G148" s="17" t="n">
        <v>26</v>
      </c>
      <c r="H148" s="132" t="n">
        <v>330</v>
      </c>
      <c r="I148" s="133" t="n">
        <v>48000</v>
      </c>
      <c r="J148" s="133" t="inlineStr">
        <is>
          <t>5</t>
        </is>
      </c>
      <c r="K148" s="133" t="n">
        <v>33000</v>
      </c>
      <c r="L148" s="133" t="inlineStr">
        <is>
          <t>15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102B</t>
        </is>
      </c>
      <c r="U148" s="9" t="n"/>
    </row>
    <row r="149" ht="12" customFormat="1" customHeight="1" s="37">
      <c r="A149" s="74" t="inlineStr">
        <is>
          <t>상남동 대동</t>
        </is>
      </c>
      <c r="B149" s="75" t="inlineStr">
        <is>
          <t>94.12.</t>
        </is>
      </c>
      <c r="C149" s="129" t="n">
        <v>2810</v>
      </c>
      <c r="D149" s="130" t="n">
        <v>105.4</v>
      </c>
      <c r="E149" s="131" t="n">
        <v>32</v>
      </c>
      <c r="F149" s="130" t="n">
        <v>84.90000000000001</v>
      </c>
      <c r="G149" s="17" t="n">
        <v>26</v>
      </c>
      <c r="H149" s="132" t="n">
        <v>890</v>
      </c>
      <c r="I149" s="133" t="n">
        <v>43800</v>
      </c>
      <c r="J149" s="133" t="inlineStr">
        <is>
          <t>10</t>
        </is>
      </c>
      <c r="K149" s="133" t="n">
        <v>30000</v>
      </c>
      <c r="L149" s="133" t="inlineStr">
        <is>
          <t>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105</v>
      </c>
      <c r="U149" s="9" t="n"/>
    </row>
    <row r="150" ht="12" customFormat="1" customHeight="1" s="37">
      <c r="A150" s="74" t="inlineStr">
        <is>
          <t>반림동 현대2차</t>
        </is>
      </c>
      <c r="B150" s="75" t="inlineStr">
        <is>
          <t>89.10.</t>
        </is>
      </c>
      <c r="C150" s="129" t="n">
        <v>1395</v>
      </c>
      <c r="D150" s="130" t="n">
        <v>57.4</v>
      </c>
      <c r="E150" s="131" t="n">
        <v>17</v>
      </c>
      <c r="F150" s="130" t="n">
        <v>44.2</v>
      </c>
      <c r="G150" s="17" t="n">
        <v>13</v>
      </c>
      <c r="H150" s="132" t="n">
        <v>135</v>
      </c>
      <c r="I150" s="133" t="n">
        <v>22000</v>
      </c>
      <c r="J150" s="133" t="inlineStr">
        <is>
          <t>고</t>
        </is>
      </c>
      <c r="K150" s="133" t="n">
        <v>15000</v>
      </c>
      <c r="L150" s="133" t="inlineStr">
        <is>
          <t>13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57</v>
      </c>
      <c r="U150" s="9" t="n"/>
    </row>
    <row r="151" ht="12" customFormat="1" customHeight="1" s="37">
      <c r="A151" s="74" t="inlineStr">
        <is>
          <t>용호동 용지아이파크</t>
        </is>
      </c>
      <c r="B151" s="75" t="inlineStr">
        <is>
          <t>17.06.</t>
        </is>
      </c>
      <c r="C151" s="129" t="n">
        <v>1036</v>
      </c>
      <c r="D151" s="130" t="n">
        <v>113.9</v>
      </c>
      <c r="E151" s="131" t="n">
        <v>34</v>
      </c>
      <c r="F151" s="130" t="n">
        <v>84.7</v>
      </c>
      <c r="G151" s="17" t="n">
        <v>26</v>
      </c>
      <c r="H151" s="132" t="n">
        <v>421</v>
      </c>
      <c r="I151" s="133" t="n">
        <v>98000</v>
      </c>
      <c r="J151" s="133" t="inlineStr">
        <is>
          <t>10</t>
        </is>
      </c>
      <c r="K151" s="133" t="n">
        <v>65500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inlineStr">
        <is>
          <t>113B</t>
        </is>
      </c>
      <c r="U151" s="9" t="n"/>
    </row>
    <row r="152" ht="12" customFormat="1" customHeight="1" s="37">
      <c r="A152" s="74" t="inlineStr">
        <is>
          <t>용호동 용지더샵레이크파크</t>
        </is>
      </c>
      <c r="B152" s="75" t="inlineStr">
        <is>
          <t>17.11.</t>
        </is>
      </c>
      <c r="C152" s="129" t="n">
        <v>883</v>
      </c>
      <c r="D152" s="130" t="n">
        <v>85.90000000000001</v>
      </c>
      <c r="E152" s="131" t="n">
        <v>26</v>
      </c>
      <c r="F152" s="130" t="n">
        <v>60</v>
      </c>
      <c r="G152" s="17" t="n">
        <v>18</v>
      </c>
      <c r="H152" s="132" t="n">
        <v>196</v>
      </c>
      <c r="I152" s="133" t="n">
        <v>75000</v>
      </c>
      <c r="J152" s="133" t="inlineStr">
        <is>
          <t>21</t>
        </is>
      </c>
      <c r="K152" s="133" t="n">
        <v>50000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85</v>
      </c>
      <c r="U152" s="9" t="n"/>
    </row>
    <row r="153" ht="12" customFormat="1" customHeight="1" s="37">
      <c r="A153" s="74" t="inlineStr">
        <is>
          <t>반림동 현대2차</t>
        </is>
      </c>
      <c r="B153" s="75" t="inlineStr">
        <is>
          <t>89.10.</t>
        </is>
      </c>
      <c r="C153" s="129" t="n">
        <v>1395</v>
      </c>
      <c r="D153" s="130" t="n">
        <v>101.9</v>
      </c>
      <c r="E153" s="131" t="n">
        <v>31</v>
      </c>
      <c r="F153" s="130" t="n">
        <v>84.8</v>
      </c>
      <c r="G153" s="17" t="n">
        <v>26</v>
      </c>
      <c r="H153" s="132" t="n">
        <v>690</v>
      </c>
      <c r="I153" s="133" t="n">
        <v>47000</v>
      </c>
      <c r="J153" s="133" t="inlineStr">
        <is>
          <t>10</t>
        </is>
      </c>
      <c r="K153" s="133" t="n">
        <v>30000</v>
      </c>
      <c r="L153" s="133" t="inlineStr">
        <is>
          <t>15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101</v>
      </c>
      <c r="U153" s="9" t="n"/>
    </row>
    <row r="154" ht="12" customFormat="1" customHeight="1" s="37">
      <c r="A154" s="74" t="inlineStr">
        <is>
          <t>반림동 반림럭키</t>
        </is>
      </c>
      <c r="B154" s="75" t="inlineStr">
        <is>
          <t>89.01.</t>
        </is>
      </c>
      <c r="C154" s="129" t="n">
        <v>1620</v>
      </c>
      <c r="D154" s="130" t="n">
        <v>103.3</v>
      </c>
      <c r="E154" s="131" t="n">
        <v>31</v>
      </c>
      <c r="F154" s="130" t="n">
        <v>84.90000000000001</v>
      </c>
      <c r="G154" s="17" t="n">
        <v>26</v>
      </c>
      <c r="H154" s="132" t="n">
        <v>270</v>
      </c>
      <c r="I154" s="133" t="n">
        <v>40000</v>
      </c>
      <c r="J154" s="133" t="inlineStr">
        <is>
          <t>8</t>
        </is>
      </c>
      <c r="K154" s="133" t="n">
        <v>25000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103B</t>
        </is>
      </c>
      <c r="U154" s="9" t="n"/>
    </row>
    <row r="155" ht="12" customFormat="1" customHeight="1" s="37">
      <c r="A155" s="74" t="inlineStr">
        <is>
          <t>상남동 대동</t>
        </is>
      </c>
      <c r="B155" s="75" t="inlineStr">
        <is>
          <t>94.12.</t>
        </is>
      </c>
      <c r="C155" s="129" t="n">
        <v>2810</v>
      </c>
      <c r="D155" s="130" t="n">
        <v>67.09999999999999</v>
      </c>
      <c r="E155" s="131" t="n">
        <v>20</v>
      </c>
      <c r="F155" s="130" t="n">
        <v>50</v>
      </c>
      <c r="G155" s="17" t="n">
        <v>15</v>
      </c>
      <c r="H155" s="132" t="n">
        <v>452</v>
      </c>
      <c r="I155" s="133" t="n">
        <v>25000</v>
      </c>
      <c r="J155" s="133" t="inlineStr">
        <is>
          <t>16</t>
        </is>
      </c>
      <c r="K155" s="133" t="n">
        <v>15000</v>
      </c>
      <c r="L155" s="133" t="inlineStr">
        <is>
          <t>20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2</v>
      </c>
      <c r="R155" s="120" t="n">
        <v>1</v>
      </c>
      <c r="S155" s="120" t="inlineStr">
        <is>
          <t>복</t>
        </is>
      </c>
      <c r="T155" s="5" t="n">
        <v>67</v>
      </c>
      <c r="U155" s="9" t="n"/>
    </row>
    <row r="156" ht="12" customFormat="1" customHeight="1" s="37">
      <c r="A156" s="74" t="inlineStr">
        <is>
          <t>용호동 용지아이파크</t>
        </is>
      </c>
      <c r="B156" s="75" t="inlineStr">
        <is>
          <t>17.06.</t>
        </is>
      </c>
      <c r="C156" s="129" t="n">
        <v>1036</v>
      </c>
      <c r="D156" s="130" t="n">
        <v>144.7</v>
      </c>
      <c r="E156" s="131" t="n">
        <v>44</v>
      </c>
      <c r="F156" s="130" t="n">
        <v>114.8</v>
      </c>
      <c r="G156" s="17" t="n">
        <v>35</v>
      </c>
      <c r="H156" s="132" t="n">
        <v>98</v>
      </c>
      <c r="I156" s="133" t="n">
        <v>158000</v>
      </c>
      <c r="J156" s="133" t="inlineStr">
        <is>
          <t>5</t>
        </is>
      </c>
      <c r="K156" s="133" t="n">
        <v>90000</v>
      </c>
      <c r="L156" s="133" t="inlineStr">
        <is>
          <t>고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144</v>
      </c>
      <c r="U156" s="9" t="n"/>
    </row>
    <row r="157" ht="12" customFormat="1" customHeight="1" s="37">
      <c r="A157" s="74" t="inlineStr">
        <is>
          <t>사파동 동양무궁화</t>
        </is>
      </c>
      <c r="B157" s="75" t="inlineStr">
        <is>
          <t>88.02.</t>
        </is>
      </c>
      <c r="C157" s="129" t="n">
        <v>770</v>
      </c>
      <c r="D157" s="130" t="n">
        <v>70.8</v>
      </c>
      <c r="E157" s="131" t="n">
        <v>21</v>
      </c>
      <c r="F157" s="130" t="n">
        <v>59.6</v>
      </c>
      <c r="G157" s="17" t="n">
        <v>18</v>
      </c>
      <c r="H157" s="132" t="n">
        <v>110</v>
      </c>
      <c r="I157" s="133" t="n">
        <v>40000</v>
      </c>
      <c r="J157" s="133" t="inlineStr">
        <is>
          <t>5</t>
        </is>
      </c>
      <c r="K157" s="133" t="n">
        <v>17000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계</t>
        </is>
      </c>
      <c r="T157" s="5" t="inlineStr">
        <is>
          <t>70A</t>
        </is>
      </c>
      <c r="U157" s="9" t="n"/>
    </row>
    <row r="158" ht="12" customFormat="1" customHeight="1" s="37">
      <c r="A158" s="74" t="inlineStr">
        <is>
          <t>사파동 삼익2차</t>
        </is>
      </c>
      <c r="B158" s="75" t="inlineStr">
        <is>
          <t>89.01.</t>
        </is>
      </c>
      <c r="C158" s="129" t="n">
        <v>400</v>
      </c>
      <c r="D158" s="130" t="n">
        <v>91.3</v>
      </c>
      <c r="E158" s="131" t="n">
        <v>28</v>
      </c>
      <c r="F158" s="130" t="n">
        <v>79.7</v>
      </c>
      <c r="G158" s="17" t="n">
        <v>24</v>
      </c>
      <c r="H158" s="132" t="n">
        <v>200</v>
      </c>
      <c r="I158" s="133" t="n">
        <v>60000</v>
      </c>
      <c r="J158" s="133" t="inlineStr">
        <is>
          <t>5</t>
        </is>
      </c>
      <c r="K158" s="133" t="n">
        <v>25000</v>
      </c>
      <c r="L158" s="133" t="inlineStr">
        <is>
          <t>5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n">
        <v>91</v>
      </c>
      <c r="U158" s="9" t="n"/>
    </row>
    <row r="159" ht="12" customFormat="1" customHeight="1" s="37">
      <c r="A159" s="74" t="inlineStr">
        <is>
          <t>용호동 용지무학</t>
        </is>
      </c>
      <c r="B159" s="75" t="inlineStr">
        <is>
          <t>87.10.</t>
        </is>
      </c>
      <c r="C159" s="129" t="n">
        <v>1040</v>
      </c>
      <c r="D159" s="130" t="n">
        <v>60.4</v>
      </c>
      <c r="E159" s="131" t="n">
        <v>18</v>
      </c>
      <c r="F159" s="130" t="n">
        <v>50.5</v>
      </c>
      <c r="G159" s="17" t="n">
        <v>15</v>
      </c>
      <c r="H159" s="132" t="n">
        <v>150</v>
      </c>
      <c r="I159" s="133" t="n">
        <v>36000</v>
      </c>
      <c r="J159" s="133" t="inlineStr">
        <is>
          <t>5</t>
        </is>
      </c>
      <c r="K159" s="133" t="n">
        <v>14000</v>
      </c>
      <c r="L159" s="133" t="inlineStr">
        <is>
          <t>고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inlineStr">
        <is>
          <t>60B</t>
        </is>
      </c>
      <c r="U159" s="9" t="n"/>
    </row>
    <row r="160" ht="12" customFormat="1" customHeight="1" s="37">
      <c r="A160" s="74" t="inlineStr">
        <is>
          <t>용호동 일동</t>
        </is>
      </c>
      <c r="B160" s="75" t="inlineStr">
        <is>
          <t>86.10.</t>
        </is>
      </c>
      <c r="C160" s="129" t="n">
        <v>810</v>
      </c>
      <c r="D160" s="130" t="n">
        <v>57.7</v>
      </c>
      <c r="E160" s="131" t="n">
        <v>17</v>
      </c>
      <c r="F160" s="130" t="n">
        <v>51</v>
      </c>
      <c r="G160" s="17" t="n">
        <v>15</v>
      </c>
      <c r="H160" s="132" t="n">
        <v>400</v>
      </c>
      <c r="I160" s="133" t="n">
        <v>36000</v>
      </c>
      <c r="J160" s="133" t="inlineStr">
        <is>
          <t>5</t>
        </is>
      </c>
      <c r="K160" s="133" t="n">
        <v>14000</v>
      </c>
      <c r="L160" s="133" t="inlineStr">
        <is>
          <t>5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계</t>
        </is>
      </c>
      <c r="T160" s="5" t="n">
        <v>57</v>
      </c>
      <c r="U160" s="9" t="n"/>
    </row>
    <row r="161" ht="12" customFormat="1" customHeight="1" s="37">
      <c r="A161" s="74" t="inlineStr">
        <is>
          <t>용호동 롯데맨션1단지</t>
        </is>
      </c>
      <c r="B161" s="75" t="inlineStr">
        <is>
          <t>84.11.</t>
        </is>
      </c>
      <c r="C161" s="129" t="n">
        <v>600</v>
      </c>
      <c r="D161" s="130" t="n">
        <v>74.2</v>
      </c>
      <c r="E161" s="131" t="n">
        <v>22</v>
      </c>
      <c r="F161" s="130" t="n">
        <v>67.5</v>
      </c>
      <c r="G161" s="17" t="n">
        <v>20</v>
      </c>
      <c r="H161" s="132" t="n">
        <v>160</v>
      </c>
      <c r="I161" s="133" t="n">
        <v>65000</v>
      </c>
      <c r="J161" s="133" t="inlineStr">
        <is>
          <t>중</t>
        </is>
      </c>
      <c r="K161" s="133" t="n">
        <v>25000</v>
      </c>
      <c r="L161" s="133" t="inlineStr">
        <is>
          <t>고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계</t>
        </is>
      </c>
      <c r="T161" s="5" t="n">
        <v>74</v>
      </c>
      <c r="U161" s="9" t="n"/>
    </row>
    <row r="162" ht="12" customFormat="1" customHeight="1" s="37">
      <c r="A162" s="74" t="inlineStr">
        <is>
          <t>용호동 용지무학</t>
        </is>
      </c>
      <c r="B162" s="75" t="inlineStr">
        <is>
          <t>87.10.</t>
        </is>
      </c>
      <c r="C162" s="129" t="n">
        <v>1040</v>
      </c>
      <c r="D162" s="130" t="n">
        <v>66.90000000000001</v>
      </c>
      <c r="E162" s="131" t="n">
        <v>20</v>
      </c>
      <c r="F162" s="130" t="n">
        <v>56.4</v>
      </c>
      <c r="G162" s="17" t="n">
        <v>17</v>
      </c>
      <c r="H162" s="132" t="n">
        <v>810</v>
      </c>
      <c r="I162" s="133" t="n">
        <v>42000</v>
      </c>
      <c r="J162" s="133" t="inlineStr">
        <is>
          <t>고</t>
        </is>
      </c>
      <c r="K162" s="133" t="n">
        <v>15000</v>
      </c>
      <c r="L162" s="133" t="inlineStr">
        <is>
          <t>고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1</v>
      </c>
      <c r="S162" s="120" t="inlineStr">
        <is>
          <t>계</t>
        </is>
      </c>
      <c r="T162" s="5" t="n">
        <v>66</v>
      </c>
      <c r="U162" s="9" t="n"/>
    </row>
    <row r="163" ht="12" customFormat="1" customHeight="1" s="37">
      <c r="A163" s="74" t="inlineStr">
        <is>
          <t>신월동 은아</t>
        </is>
      </c>
      <c r="B163" s="75" t="inlineStr">
        <is>
          <t>88.07.</t>
        </is>
      </c>
      <c r="C163" s="129" t="n">
        <v>1550</v>
      </c>
      <c r="D163" s="130" t="n">
        <v>96.7</v>
      </c>
      <c r="E163" s="131" t="n">
        <v>29</v>
      </c>
      <c r="F163" s="130" t="n">
        <v>84.8</v>
      </c>
      <c r="G163" s="17" t="n">
        <v>26</v>
      </c>
      <c r="H163" s="132" t="n">
        <v>460</v>
      </c>
      <c r="I163" s="133" t="n">
        <v>75000</v>
      </c>
      <c r="J163" s="133" t="inlineStr">
        <is>
          <t>5</t>
        </is>
      </c>
      <c r="K163" s="133" t="n">
        <v>25000</v>
      </c>
      <c r="L163" s="133" t="inlineStr">
        <is>
          <t>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계</t>
        </is>
      </c>
      <c r="T163" s="5" t="inlineStr">
        <is>
          <t>96B</t>
        </is>
      </c>
      <c r="U163" s="9" t="n"/>
    </row>
    <row r="164" ht="12" customFormat="1" customHeight="1" s="37">
      <c r="A164" s="74" t="inlineStr">
        <is>
          <t>용호동 롯데맨션1단지</t>
        </is>
      </c>
      <c r="B164" s="75" t="inlineStr">
        <is>
          <t>84.11.</t>
        </is>
      </c>
      <c r="C164" s="129" t="n">
        <v>600</v>
      </c>
      <c r="D164" s="130" t="n">
        <v>86.7</v>
      </c>
      <c r="E164" s="131" t="n">
        <v>26</v>
      </c>
      <c r="F164" s="130" t="n">
        <v>80</v>
      </c>
      <c r="G164" s="17" t="n">
        <v>24</v>
      </c>
      <c r="H164" s="132" t="n">
        <v>210</v>
      </c>
      <c r="I164" s="133" t="n">
        <v>84000</v>
      </c>
      <c r="J164" s="133" t="inlineStr">
        <is>
          <t>중</t>
        </is>
      </c>
      <c r="K164" s="133" t="n">
        <v>26000</v>
      </c>
      <c r="L164" s="133" t="inlineStr">
        <is>
          <t>고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86A</t>
        </is>
      </c>
      <c r="U164" s="9" t="n"/>
    </row>
    <row r="165" ht="12" customFormat="1" customHeight="1" s="37">
      <c r="A165" s="74" t="inlineStr">
        <is>
          <t>신월동 은아</t>
        </is>
      </c>
      <c r="B165" s="75" t="inlineStr">
        <is>
          <t>88.07.</t>
        </is>
      </c>
      <c r="C165" s="129" t="n">
        <v>1550</v>
      </c>
      <c r="D165" s="130" t="n">
        <v>84.90000000000001</v>
      </c>
      <c r="E165" s="131" t="n">
        <v>26</v>
      </c>
      <c r="F165" s="130" t="n">
        <v>74.2</v>
      </c>
      <c r="G165" s="17" t="n">
        <v>22</v>
      </c>
      <c r="H165" s="132" t="n">
        <v>220</v>
      </c>
      <c r="I165" s="133" t="n">
        <v>60000</v>
      </c>
      <c r="J165" s="133" t="inlineStr">
        <is>
          <t>중</t>
        </is>
      </c>
      <c r="K165" s="133" t="n">
        <v>16500</v>
      </c>
      <c r="L165" s="133" t="inlineStr">
        <is>
          <t>중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1</v>
      </c>
      <c r="S165" s="120" t="inlineStr">
        <is>
          <t>계</t>
        </is>
      </c>
      <c r="T165" s="5" t="n">
        <v>84</v>
      </c>
      <c r="U165" s="9" t="n"/>
    </row>
    <row r="166" ht="12" customFormat="1" customHeight="1" s="37">
      <c r="A166" s="74" t="inlineStr">
        <is>
          <t>용호동 용지아이파크</t>
        </is>
      </c>
      <c r="B166" s="75" t="inlineStr">
        <is>
          <t>17.06.</t>
        </is>
      </c>
      <c r="C166" s="129" t="n">
        <v>1036</v>
      </c>
      <c r="D166" s="130" t="n">
        <v>157.9</v>
      </c>
      <c r="E166" s="131" t="n">
        <v>48</v>
      </c>
      <c r="F166" s="130" t="n">
        <v>127.4</v>
      </c>
      <c r="G166" s="17" t="n">
        <v>39</v>
      </c>
      <c r="H166" s="132" t="n">
        <v>56</v>
      </c>
      <c r="I166" s="133" t="n">
        <v>185000</v>
      </c>
      <c r="J166" s="133" t="inlineStr">
        <is>
          <t>9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n">
        <v>157</v>
      </c>
      <c r="U166" s="9" t="n"/>
    </row>
    <row r="167" ht="12" customFormat="1" customHeight="1" s="37">
      <c r="A167" s="74" t="inlineStr">
        <is>
          <t>용호동 용지더샵레이크파크</t>
        </is>
      </c>
      <c r="B167" s="75" t="inlineStr">
        <is>
          <t>17.11.</t>
        </is>
      </c>
      <c r="C167" s="129" t="n">
        <v>883</v>
      </c>
      <c r="D167" s="130" t="n">
        <v>130.2</v>
      </c>
      <c r="E167" s="131" t="n">
        <v>39</v>
      </c>
      <c r="F167" s="130" t="n">
        <v>101.9</v>
      </c>
      <c r="G167" s="17" t="n">
        <v>31</v>
      </c>
      <c r="H167" s="132" t="n">
        <v>114</v>
      </c>
      <c r="I167" s="133" t="n">
        <v>138000</v>
      </c>
      <c r="J167" s="133" t="inlineStr">
        <is>
          <t>중</t>
        </is>
      </c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4</v>
      </c>
      <c r="R167" s="120" t="n">
        <v>2</v>
      </c>
      <c r="S167" s="120" t="inlineStr">
        <is>
          <t>계</t>
        </is>
      </c>
      <c r="T167" s="5" t="n">
        <v>130</v>
      </c>
      <c r="U167" s="9" t="n"/>
    </row>
    <row r="168" ht="12" customFormat="1" customHeight="1" s="37">
      <c r="A168" s="74" t="inlineStr">
        <is>
          <t>용호동 용지아이파크</t>
        </is>
      </c>
      <c r="B168" s="75" t="inlineStr">
        <is>
          <t>17.06.</t>
        </is>
      </c>
      <c r="C168" s="129" t="n">
        <v>1036</v>
      </c>
      <c r="D168" s="130" t="n">
        <v>130</v>
      </c>
      <c r="E168" s="131" t="n">
        <v>39</v>
      </c>
      <c r="F168" s="130" t="n">
        <v>100.2</v>
      </c>
      <c r="G168" s="17" t="n">
        <v>30</v>
      </c>
      <c r="H168" s="132" t="n">
        <v>140</v>
      </c>
      <c r="I168" s="133" t="n">
        <v>129000</v>
      </c>
      <c r="J168" s="133" t="inlineStr">
        <is>
          <t>중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130</v>
      </c>
      <c r="U168" s="9" t="n"/>
    </row>
    <row r="169" ht="12" customFormat="1" customHeight="1" s="37">
      <c r="A169" s="74" t="inlineStr">
        <is>
          <t>신월동 은아</t>
        </is>
      </c>
      <c r="B169" s="75" t="inlineStr">
        <is>
          <t>88.07.</t>
        </is>
      </c>
      <c r="C169" s="129" t="n">
        <v>1550</v>
      </c>
      <c r="D169" s="130" t="n">
        <v>150.2</v>
      </c>
      <c r="E169" s="131" t="n">
        <v>45</v>
      </c>
      <c r="F169" s="130" t="n">
        <v>134.1</v>
      </c>
      <c r="G169" s="17" t="n">
        <v>41</v>
      </c>
      <c r="H169" s="132" t="n">
        <v>50</v>
      </c>
      <c r="I169" s="133" t="n">
        <v>120000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4</v>
      </c>
      <c r="R169" s="120" t="n">
        <v>2</v>
      </c>
      <c r="S169" s="120" t="inlineStr">
        <is>
          <t>계</t>
        </is>
      </c>
      <c r="T169" s="5" t="n">
        <v>150</v>
      </c>
      <c r="U169" s="9" t="n"/>
    </row>
    <row r="170" ht="12" customFormat="1" customHeight="1" s="37">
      <c r="A170" s="74" t="inlineStr">
        <is>
          <t>용호동 롯데맨션1단지</t>
        </is>
      </c>
      <c r="B170" s="75" t="inlineStr">
        <is>
          <t>84.11.</t>
        </is>
      </c>
      <c r="C170" s="129" t="n">
        <v>600</v>
      </c>
      <c r="D170" s="130" t="n">
        <v>139.4</v>
      </c>
      <c r="E170" s="131" t="n">
        <v>42</v>
      </c>
      <c r="F170" s="130" t="n">
        <v>132.6</v>
      </c>
      <c r="G170" s="17" t="n">
        <v>40</v>
      </c>
      <c r="H170" s="132" t="n">
        <v>30</v>
      </c>
      <c r="I170" s="133" t="n">
        <v>110000</v>
      </c>
      <c r="J170" s="133" t="inlineStr">
        <is>
          <t>고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139</v>
      </c>
      <c r="U170" s="9" t="n"/>
    </row>
    <row r="171" ht="12" customFormat="1" customHeight="1" s="37">
      <c r="A171" s="74" t="inlineStr">
        <is>
          <t>반림동 트리비앙</t>
        </is>
      </c>
      <c r="B171" s="75" t="inlineStr">
        <is>
          <t>06.10.</t>
        </is>
      </c>
      <c r="C171" s="129" t="n">
        <v>2610</v>
      </c>
      <c r="D171" s="130" t="n">
        <v>188</v>
      </c>
      <c r="E171" s="131" t="n">
        <v>57</v>
      </c>
      <c r="F171" s="130" t="n">
        <v>148.7</v>
      </c>
      <c r="G171" s="17" t="n">
        <v>45</v>
      </c>
      <c r="H171" s="132" t="n">
        <v>90</v>
      </c>
      <c r="I171" s="133" t="n">
        <v>107000</v>
      </c>
      <c r="J171" s="133" t="inlineStr">
        <is>
          <t>12</t>
        </is>
      </c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4</v>
      </c>
      <c r="R171" s="120" t="n">
        <v>2</v>
      </c>
      <c r="S171" s="120" t="inlineStr">
        <is>
          <t>계</t>
        </is>
      </c>
      <c r="T171" s="5" t="n">
        <v>188</v>
      </c>
      <c r="U171" s="9" t="n"/>
    </row>
    <row r="172" ht="12" customFormat="1" customHeight="1" s="37">
      <c r="A172" s="74" t="inlineStr">
        <is>
          <t>반림동 노블파크</t>
        </is>
      </c>
      <c r="B172" s="75" t="inlineStr">
        <is>
          <t>07.12.</t>
        </is>
      </c>
      <c r="C172" s="129" t="n">
        <v>2699</v>
      </c>
      <c r="D172" s="130" t="n">
        <v>191.2</v>
      </c>
      <c r="E172" s="131" t="n">
        <v>58</v>
      </c>
      <c r="F172" s="130" t="n">
        <v>148.7</v>
      </c>
      <c r="G172" s="17" t="n">
        <v>45</v>
      </c>
      <c r="H172" s="132" t="n">
        <v>120</v>
      </c>
      <c r="I172" s="133" t="n">
        <v>103000</v>
      </c>
      <c r="J172" s="133" t="inlineStr">
        <is>
          <t>15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191</v>
      </c>
      <c r="U172" s="9" t="n"/>
    </row>
    <row r="173" ht="12" customFormat="1" customHeight="1" s="37">
      <c r="A173" s="74" t="inlineStr">
        <is>
          <t>용호동 롯데맨션2단지</t>
        </is>
      </c>
      <c r="B173" s="75" t="inlineStr">
        <is>
          <t>88.09.</t>
        </is>
      </c>
      <c r="C173" s="129" t="n">
        <v>320</v>
      </c>
      <c r="D173" s="130" t="n">
        <v>113.8</v>
      </c>
      <c r="E173" s="131" t="n">
        <v>34</v>
      </c>
      <c r="F173" s="130" t="n">
        <v>106.7</v>
      </c>
      <c r="G173" s="17" t="n">
        <v>32</v>
      </c>
      <c r="H173" s="132" t="n">
        <v>40</v>
      </c>
      <c r="I173" s="133" t="n">
        <v>97000</v>
      </c>
      <c r="J173" s="133" t="inlineStr">
        <is>
          <t>중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113</v>
      </c>
      <c r="U173" s="9" t="n"/>
    </row>
    <row r="174" ht="12" customFormat="1" customHeight="1" s="37">
      <c r="A174" s="74" t="inlineStr">
        <is>
          <t>가음동 창원센텀푸르지오</t>
        </is>
      </c>
      <c r="B174" s="75" t="inlineStr">
        <is>
          <t>18.01.</t>
        </is>
      </c>
      <c r="C174" s="129" t="n">
        <v>975</v>
      </c>
      <c r="D174" s="130" t="n">
        <v>131.5</v>
      </c>
      <c r="E174" s="131" t="n">
        <v>40</v>
      </c>
      <c r="F174" s="130" t="n">
        <v>101.9</v>
      </c>
      <c r="G174" s="17" t="n">
        <v>31</v>
      </c>
      <c r="H174" s="132" t="n">
        <v>44</v>
      </c>
      <c r="I174" s="133" t="n">
        <v>95000</v>
      </c>
      <c r="J174" s="133" t="inlineStr">
        <is>
          <t>고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131C</t>
        </is>
      </c>
      <c r="U174" s="9" t="n"/>
    </row>
    <row r="175" ht="12" customFormat="1" customHeight="1" s="37">
      <c r="A175" s="74" t="inlineStr">
        <is>
          <t>반림동 트리비앙</t>
        </is>
      </c>
      <c r="B175" s="75" t="inlineStr">
        <is>
          <t>06.10.</t>
        </is>
      </c>
      <c r="C175" s="129" t="n">
        <v>2610</v>
      </c>
      <c r="D175" s="130" t="n">
        <v>164.2</v>
      </c>
      <c r="E175" s="131" t="n">
        <v>50</v>
      </c>
      <c r="F175" s="130" t="n">
        <v>129.5</v>
      </c>
      <c r="G175" s="17" t="n">
        <v>39</v>
      </c>
      <c r="H175" s="132" t="n">
        <v>87</v>
      </c>
      <c r="I175" s="133" t="n">
        <v>93000</v>
      </c>
      <c r="J175" s="133" t="inlineStr">
        <is>
          <t>11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inlineStr">
        <is>
          <t>164B</t>
        </is>
      </c>
      <c r="U175" s="9" t="n"/>
    </row>
    <row r="176" ht="12" customFormat="1" customHeight="1" s="37">
      <c r="A176" s="74" t="inlineStr">
        <is>
          <t>신월동 은아</t>
        </is>
      </c>
      <c r="B176" s="75" t="inlineStr">
        <is>
          <t>88.07.</t>
        </is>
      </c>
      <c r="C176" s="129" t="n">
        <v>1550</v>
      </c>
      <c r="D176" s="130" t="n">
        <v>126</v>
      </c>
      <c r="E176" s="131" t="n">
        <v>38</v>
      </c>
      <c r="F176" s="130" t="n">
        <v>111.6</v>
      </c>
      <c r="G176" s="17" t="n">
        <v>34</v>
      </c>
      <c r="H176" s="132" t="n">
        <v>160</v>
      </c>
      <c r="I176" s="133" t="n">
        <v>90000</v>
      </c>
      <c r="J176" s="133" t="inlineStr">
        <is>
          <t>고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125</v>
      </c>
      <c r="U176" s="9" t="n"/>
    </row>
    <row r="177" ht="12" customFormat="1" customHeight="1" s="37">
      <c r="A177" s="74" t="inlineStr">
        <is>
          <t>용호동 롯데맨션1단지</t>
        </is>
      </c>
      <c r="B177" s="75" t="inlineStr">
        <is>
          <t>84.11.</t>
        </is>
      </c>
      <c r="C177" s="129" t="n">
        <v>600</v>
      </c>
      <c r="D177" s="130" t="n">
        <v>106</v>
      </c>
      <c r="E177" s="131" t="n">
        <v>32</v>
      </c>
      <c r="F177" s="130" t="n">
        <v>99.09999999999999</v>
      </c>
      <c r="G177" s="17" t="n">
        <v>30</v>
      </c>
      <c r="H177" s="132" t="n">
        <v>30</v>
      </c>
      <c r="I177" s="133" t="n">
        <v>90000</v>
      </c>
      <c r="J177" s="133" t="inlineStr">
        <is>
          <t>5</t>
        </is>
      </c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1</v>
      </c>
      <c r="S177" s="120" t="inlineStr">
        <is>
          <t>계</t>
        </is>
      </c>
      <c r="T177" s="5" t="n">
        <v>105</v>
      </c>
      <c r="U177" s="9" t="n"/>
    </row>
    <row r="178" ht="12" customFormat="1" customHeight="1" s="37">
      <c r="A178" s="74" t="inlineStr">
        <is>
          <t>성주동 유니온빌리지</t>
        </is>
      </c>
      <c r="B178" s="75" t="inlineStr">
        <is>
          <t>05.10.</t>
        </is>
      </c>
      <c r="C178" s="129" t="n">
        <v>1360</v>
      </c>
      <c r="D178" s="130" t="n">
        <v>221.1</v>
      </c>
      <c r="E178" s="131" t="n">
        <v>67</v>
      </c>
      <c r="F178" s="130" t="n">
        <v>181.5</v>
      </c>
      <c r="G178" s="17" t="n">
        <v>55</v>
      </c>
      <c r="H178" s="132" t="n">
        <v>80</v>
      </c>
      <c r="I178" s="133" t="n">
        <v>87000</v>
      </c>
      <c r="J178" s="133" t="inlineStr">
        <is>
          <t>12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5</v>
      </c>
      <c r="R178" s="120" t="n">
        <v>2</v>
      </c>
      <c r="S178" s="120" t="inlineStr">
        <is>
          <t>계</t>
        </is>
      </c>
      <c r="T178" s="5" t="n">
        <v>221</v>
      </c>
      <c r="U178" s="9" t="n"/>
    </row>
    <row r="179" ht="12" customFormat="1" customHeight="1" s="37">
      <c r="A179" s="74" t="inlineStr">
        <is>
          <t>가음동 창원더샵센트럴파크3단지</t>
        </is>
      </c>
      <c r="B179" s="75" t="inlineStr">
        <is>
          <t>17.04.</t>
        </is>
      </c>
      <c r="C179" s="129" t="n">
        <v>448</v>
      </c>
      <c r="D179" s="130" t="n">
        <v>129.1</v>
      </c>
      <c r="E179" s="131" t="n">
        <v>39</v>
      </c>
      <c r="F179" s="130" t="n">
        <v>98.8</v>
      </c>
      <c r="G179" s="17" t="n">
        <v>30</v>
      </c>
      <c r="H179" s="132" t="n">
        <v>52</v>
      </c>
      <c r="I179" s="133" t="n">
        <v>83000</v>
      </c>
      <c r="J179" s="133" t="inlineStr">
        <is>
          <t>20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n">
        <v>129</v>
      </c>
      <c r="U179" s="9" t="n"/>
    </row>
    <row r="180" ht="12" customFormat="1" customHeight="1" s="37">
      <c r="A180" s="74" t="inlineStr">
        <is>
          <t>반림동 트리비앙</t>
        </is>
      </c>
      <c r="B180" s="75" t="inlineStr">
        <is>
          <t>06.10.</t>
        </is>
      </c>
      <c r="C180" s="129" t="n">
        <v>2610</v>
      </c>
      <c r="D180" s="130" t="n">
        <v>131.7</v>
      </c>
      <c r="E180" s="131" t="n">
        <v>40</v>
      </c>
      <c r="F180" s="130" t="n">
        <v>101.9</v>
      </c>
      <c r="G180" s="17" t="n">
        <v>31</v>
      </c>
      <c r="H180" s="132" t="n">
        <v>235</v>
      </c>
      <c r="I180" s="133" t="n">
        <v>80000</v>
      </c>
      <c r="J180" s="133" t="inlineStr">
        <is>
          <t>5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131</v>
      </c>
      <c r="U180" s="9" t="n"/>
    </row>
    <row r="181" ht="12" customFormat="1" customHeight="1" s="37">
      <c r="A181" s="74" t="inlineStr">
        <is>
          <t>가음동 창원더샵센트럴파크2단지</t>
        </is>
      </c>
      <c r="B181" s="75" t="inlineStr">
        <is>
          <t>17.04.</t>
        </is>
      </c>
      <c r="C181" s="129" t="n">
        <v>624</v>
      </c>
      <c r="D181" s="130" t="n">
        <v>129.6</v>
      </c>
      <c r="E181" s="131" t="n">
        <v>39</v>
      </c>
      <c r="F181" s="130" t="n">
        <v>98.8</v>
      </c>
      <c r="G181" s="17" t="n">
        <v>30</v>
      </c>
      <c r="H181" s="132" t="n">
        <v>100</v>
      </c>
      <c r="I181" s="133" t="n">
        <v>78000</v>
      </c>
      <c r="J181" s="133" t="inlineStr">
        <is>
          <t>고</t>
        </is>
      </c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129</v>
      </c>
      <c r="U181" s="9" t="n"/>
    </row>
    <row r="182" ht="12" customFormat="1" customHeight="1" s="37">
      <c r="A182" s="74" t="inlineStr">
        <is>
          <t>가음동 창원더샵센트럴파크1단지</t>
        </is>
      </c>
      <c r="B182" s="75" t="inlineStr">
        <is>
          <t>17.04.</t>
        </is>
      </c>
      <c r="C182" s="129" t="n">
        <v>386</v>
      </c>
      <c r="D182" s="130" t="n">
        <v>125.9</v>
      </c>
      <c r="E182" s="131" t="n">
        <v>38</v>
      </c>
      <c r="F182" s="130" t="n">
        <v>98.8</v>
      </c>
      <c r="G182" s="17" t="n">
        <v>30</v>
      </c>
      <c r="H182" s="132" t="n">
        <v>98</v>
      </c>
      <c r="I182" s="133" t="n">
        <v>76000</v>
      </c>
      <c r="J182" s="133" t="inlineStr">
        <is>
          <t>중</t>
        </is>
      </c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125</v>
      </c>
      <c r="U182" s="9" t="n"/>
    </row>
    <row r="183" ht="12" customFormat="1" customHeight="1" s="37">
      <c r="A183" s="74" t="inlineStr">
        <is>
          <t>가음동 창원가음한화꿈에그린</t>
        </is>
      </c>
      <c r="B183" s="75" t="inlineStr">
        <is>
          <t>17.08.</t>
        </is>
      </c>
      <c r="C183" s="129" t="n">
        <v>749</v>
      </c>
      <c r="D183" s="130" t="n">
        <v>131.9</v>
      </c>
      <c r="E183" s="131" t="n">
        <v>40</v>
      </c>
      <c r="F183" s="130" t="n">
        <v>100.6</v>
      </c>
      <c r="G183" s="17" t="n">
        <v>30</v>
      </c>
      <c r="H183" s="132" t="n">
        <v>85</v>
      </c>
      <c r="I183" s="133" t="n">
        <v>75500</v>
      </c>
      <c r="J183" s="133" t="inlineStr">
        <is>
          <t>중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131</v>
      </c>
      <c r="U183" s="9" t="n"/>
    </row>
    <row r="184" ht="12" customFormat="1" customHeight="1" s="37">
      <c r="A184" s="74" t="inlineStr">
        <is>
          <t>용호동 롯데맨션2단지</t>
        </is>
      </c>
      <c r="B184" s="75" t="inlineStr">
        <is>
          <t>88.09.</t>
        </is>
      </c>
      <c r="C184" s="129" t="n">
        <v>320</v>
      </c>
      <c r="D184" s="130" t="n">
        <v>75.2</v>
      </c>
      <c r="E184" s="131" t="n">
        <v>23</v>
      </c>
      <c r="F184" s="130" t="n">
        <v>68.5</v>
      </c>
      <c r="G184" s="17" t="n">
        <v>21</v>
      </c>
      <c r="H184" s="132" t="n">
        <v>50</v>
      </c>
      <c r="I184" s="133" t="n">
        <v>70000</v>
      </c>
      <c r="J184" s="133" t="inlineStr">
        <is>
          <t>중</t>
        </is>
      </c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75</v>
      </c>
      <c r="U184" s="9" t="n"/>
    </row>
    <row r="185" ht="12" customFormat="1" customHeight="1" s="37">
      <c r="A185" s="74" t="inlineStr">
        <is>
          <t>상남동 대우</t>
        </is>
      </c>
      <c r="B185" s="75" t="inlineStr">
        <is>
          <t>85.12.</t>
        </is>
      </c>
      <c r="C185" s="129" t="n">
        <v>680</v>
      </c>
      <c r="D185" s="130" t="n">
        <v>82.59999999999999</v>
      </c>
      <c r="E185" s="131" t="n">
        <v>25</v>
      </c>
      <c r="F185" s="130" t="n">
        <v>73.5</v>
      </c>
      <c r="G185" s="17" t="n">
        <v>22</v>
      </c>
      <c r="H185" s="132" t="n">
        <v>30</v>
      </c>
      <c r="I185" s="133" t="n">
        <v>68000</v>
      </c>
      <c r="J185" s="133" t="inlineStr">
        <is>
          <t>중</t>
        </is>
      </c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82</v>
      </c>
      <c r="U185" s="9" t="n"/>
    </row>
    <row r="186" ht="12" customFormat="1" customHeight="1" s="37">
      <c r="A186" s="74" t="inlineStr">
        <is>
          <t>성주동 프리빌리지2차</t>
        </is>
      </c>
      <c r="B186" s="75" t="inlineStr">
        <is>
          <t>10.12.</t>
        </is>
      </c>
      <c r="C186" s="129" t="n">
        <v>672</v>
      </c>
      <c r="D186" s="130" t="n">
        <v>196.2</v>
      </c>
      <c r="E186" s="131" t="n">
        <v>59</v>
      </c>
      <c r="F186" s="130" t="n">
        <v>161.8</v>
      </c>
      <c r="G186" s="17" t="n">
        <v>49</v>
      </c>
      <c r="H186" s="132" t="n">
        <v>148</v>
      </c>
      <c r="I186" s="133" t="n">
        <v>68000</v>
      </c>
      <c r="J186" s="133" t="inlineStr">
        <is>
          <t>중</t>
        </is>
      </c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196</v>
      </c>
      <c r="U186" s="9" t="n"/>
    </row>
    <row r="187" ht="12" customFormat="1" customHeight="1" s="37">
      <c r="A187" s="74" t="inlineStr">
        <is>
          <t>대원동 포레나대원</t>
        </is>
      </c>
      <c r="B187" s="75" t="inlineStr">
        <is>
          <t>18.12.</t>
        </is>
      </c>
      <c r="C187" s="129" t="n">
        <v>1530</v>
      </c>
      <c r="D187" s="130" t="n">
        <v>94.90000000000001</v>
      </c>
      <c r="E187" s="131" t="n">
        <v>29</v>
      </c>
      <c r="F187" s="130" t="n">
        <v>68.2</v>
      </c>
      <c r="G187" s="17" t="n">
        <v>21</v>
      </c>
      <c r="H187" s="132" t="n">
        <v>194</v>
      </c>
      <c r="I187" s="133" t="n">
        <v>66500</v>
      </c>
      <c r="J187" s="133" t="inlineStr">
        <is>
          <t>중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94A</t>
        </is>
      </c>
      <c r="U187" s="9" t="n"/>
    </row>
    <row r="188" ht="12" customFormat="1" customHeight="1" s="37">
      <c r="A188" s="74" t="inlineStr">
        <is>
          <t>반림동 현대</t>
        </is>
      </c>
      <c r="B188" s="75" t="inlineStr">
        <is>
          <t>89.04.</t>
        </is>
      </c>
      <c r="C188" s="129" t="n">
        <v>1200</v>
      </c>
      <c r="D188" s="130" t="n">
        <v>147.7</v>
      </c>
      <c r="E188" s="131" t="n">
        <v>45</v>
      </c>
      <c r="F188" s="130" t="n">
        <v>126.7</v>
      </c>
      <c r="G188" s="17" t="n">
        <v>38</v>
      </c>
      <c r="H188" s="132" t="n">
        <v>60</v>
      </c>
      <c r="I188" s="133" t="n">
        <v>65000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147</v>
      </c>
      <c r="U188" s="9" t="n"/>
    </row>
    <row r="189" ht="12" customFormat="1" customHeight="1" s="37">
      <c r="A189" s="74" t="inlineStr">
        <is>
          <t>성주동 유니온빌리지</t>
        </is>
      </c>
      <c r="B189" s="75" t="inlineStr">
        <is>
          <t>05.10.</t>
        </is>
      </c>
      <c r="C189" s="129" t="n">
        <v>1360</v>
      </c>
      <c r="D189" s="130" t="n">
        <v>184.4</v>
      </c>
      <c r="E189" s="131" t="n">
        <v>56</v>
      </c>
      <c r="F189" s="130" t="n">
        <v>148</v>
      </c>
      <c r="G189" s="17" t="n">
        <v>45</v>
      </c>
      <c r="H189" s="132" t="n">
        <v>152</v>
      </c>
      <c r="I189" s="133" t="n">
        <v>63000</v>
      </c>
      <c r="J189" s="133" t="inlineStr">
        <is>
          <t>중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4</v>
      </c>
      <c r="R189" s="120" t="n">
        <v>2</v>
      </c>
      <c r="S189" s="120" t="inlineStr">
        <is>
          <t>계</t>
        </is>
      </c>
      <c r="T189" s="5" t="n">
        <v>184</v>
      </c>
      <c r="U189" s="9" t="n"/>
    </row>
    <row r="190" ht="12" customFormat="1" customHeight="1" s="37">
      <c r="A190" s="74" t="inlineStr">
        <is>
          <t>성주동 프리빌리지</t>
        </is>
      </c>
      <c r="B190" s="75" t="inlineStr">
        <is>
          <t>03.10.</t>
        </is>
      </c>
      <c r="C190" s="129" t="n">
        <v>1062</v>
      </c>
      <c r="D190" s="130" t="n">
        <v>165.8</v>
      </c>
      <c r="E190" s="131" t="n">
        <v>50</v>
      </c>
      <c r="F190" s="130" t="n">
        <v>134.9</v>
      </c>
      <c r="G190" s="17" t="n">
        <v>41</v>
      </c>
      <c r="H190" s="132" t="n">
        <v>188</v>
      </c>
      <c r="I190" s="133" t="n">
        <v>63000</v>
      </c>
      <c r="J190" s="133" t="inlineStr">
        <is>
          <t>9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4</v>
      </c>
      <c r="R190" s="120" t="n">
        <v>2</v>
      </c>
      <c r="S190" s="120" t="inlineStr">
        <is>
          <t>계</t>
        </is>
      </c>
      <c r="T190" s="5" t="n">
        <v>165</v>
      </c>
      <c r="U190" s="9" t="n"/>
    </row>
    <row r="191" ht="12" customFormat="1" customHeight="1" s="37">
      <c r="A191" s="74" t="inlineStr">
        <is>
          <t>신월동 은아</t>
        </is>
      </c>
      <c r="B191" s="75" t="inlineStr">
        <is>
          <t>88.07.</t>
        </is>
      </c>
      <c r="C191" s="129" t="n">
        <v>1550</v>
      </c>
      <c r="D191" s="130" t="n">
        <v>91</v>
      </c>
      <c r="E191" s="131" t="n">
        <v>28</v>
      </c>
      <c r="F191" s="130" t="n">
        <v>79.8</v>
      </c>
      <c r="G191" s="17" t="n">
        <v>24</v>
      </c>
      <c r="H191" s="132" t="n">
        <v>230</v>
      </c>
      <c r="I191" s="133" t="n">
        <v>62000</v>
      </c>
      <c r="J191" s="133" t="inlineStr">
        <is>
          <t>중</t>
        </is>
      </c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1</v>
      </c>
      <c r="S191" s="120" t="inlineStr">
        <is>
          <t>계</t>
        </is>
      </c>
      <c r="T191" s="5" t="n">
        <v>90</v>
      </c>
      <c r="U191" s="9" t="n"/>
    </row>
    <row r="192" ht="12" customFormat="1" customHeight="1" s="37">
      <c r="A192" s="74" t="inlineStr">
        <is>
          <t>가음동 창원더샵센트럴파크3단지</t>
        </is>
      </c>
      <c r="B192" s="75" t="inlineStr">
        <is>
          <t>17.04.</t>
        </is>
      </c>
      <c r="C192" s="129" t="n">
        <v>448</v>
      </c>
      <c r="D192" s="130" t="n">
        <v>93.90000000000001</v>
      </c>
      <c r="E192" s="131" t="n">
        <v>28</v>
      </c>
      <c r="F192" s="130" t="n">
        <v>71.90000000000001</v>
      </c>
      <c r="G192" s="17" t="n">
        <v>22</v>
      </c>
      <c r="H192" s="132" t="n">
        <v>160</v>
      </c>
      <c r="I192" s="133" t="n">
        <v>61000</v>
      </c>
      <c r="J192" s="133" t="inlineStr">
        <is>
          <t>6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93</v>
      </c>
      <c r="U192" s="9" t="n"/>
    </row>
    <row r="193" ht="12" customFormat="1" customHeight="1" s="37">
      <c r="A193" s="74" t="inlineStr">
        <is>
          <t>상남동 성원(토월그랜드타운)</t>
        </is>
      </c>
      <c r="B193" s="75" t="inlineStr">
        <is>
          <t>94.06.</t>
        </is>
      </c>
      <c r="C193" s="129" t="n">
        <v>6252</v>
      </c>
      <c r="D193" s="130" t="n">
        <v>198.2</v>
      </c>
      <c r="E193" s="131" t="n">
        <v>60</v>
      </c>
      <c r="F193" s="130" t="n">
        <v>167.6</v>
      </c>
      <c r="G193" s="17" t="n">
        <v>51</v>
      </c>
      <c r="H193" s="132" t="n">
        <v>150</v>
      </c>
      <c r="I193" s="133" t="n">
        <v>61000</v>
      </c>
      <c r="J193" s="133" t="inlineStr">
        <is>
          <t>17</t>
        </is>
      </c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6</v>
      </c>
      <c r="R193" s="120" t="n">
        <v>2</v>
      </c>
      <c r="S193" s="120" t="inlineStr">
        <is>
          <t>계</t>
        </is>
      </c>
      <c r="T193" s="5" t="n">
        <v>198</v>
      </c>
      <c r="U193" s="9" t="n"/>
    </row>
    <row r="194" ht="12" customFormat="1" customHeight="1" s="37">
      <c r="A194" s="74" t="inlineStr">
        <is>
          <t>성주동 한림푸르지오</t>
        </is>
      </c>
      <c r="B194" s="75" t="inlineStr">
        <is>
          <t>03.12.</t>
        </is>
      </c>
      <c r="C194" s="129" t="n">
        <v>520</v>
      </c>
      <c r="D194" s="130" t="n">
        <v>126</v>
      </c>
      <c r="E194" s="131" t="n">
        <v>38</v>
      </c>
      <c r="F194" s="130" t="n">
        <v>101.9</v>
      </c>
      <c r="G194" s="17" t="n">
        <v>31</v>
      </c>
      <c r="H194" s="132" t="n">
        <v>120</v>
      </c>
      <c r="I194" s="133" t="n">
        <v>61000</v>
      </c>
      <c r="J194" s="133" t="inlineStr">
        <is>
          <t>고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n">
        <v>126</v>
      </c>
      <c r="U194" s="9" t="n"/>
    </row>
    <row r="195" ht="12" customFormat="1" customHeight="1" s="37">
      <c r="A195" s="74" t="inlineStr">
        <is>
          <t>반림동 트리비앙</t>
        </is>
      </c>
      <c r="B195" s="75" t="inlineStr">
        <is>
          <t>06.10.</t>
        </is>
      </c>
      <c r="C195" s="129" t="n">
        <v>2610</v>
      </c>
      <c r="D195" s="130" t="n">
        <v>103</v>
      </c>
      <c r="E195" s="131" t="n">
        <v>31</v>
      </c>
      <c r="F195" s="130" t="n">
        <v>76</v>
      </c>
      <c r="G195" s="17" t="n">
        <v>23</v>
      </c>
      <c r="H195" s="132" t="n">
        <v>252</v>
      </c>
      <c r="I195" s="133" t="n">
        <v>60000</v>
      </c>
      <c r="J195" s="133" t="inlineStr">
        <is>
          <t>14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102B</t>
        </is>
      </c>
      <c r="U195" s="9" t="n"/>
    </row>
    <row r="196" ht="12" customFormat="1" customHeight="1" s="37">
      <c r="A196" s="74" t="inlineStr">
        <is>
          <t>성주동 프리빌리지2차</t>
        </is>
      </c>
      <c r="B196" s="75" t="inlineStr">
        <is>
          <t>10.12.</t>
        </is>
      </c>
      <c r="C196" s="129" t="n">
        <v>672</v>
      </c>
      <c r="D196" s="130" t="n">
        <v>152.1</v>
      </c>
      <c r="E196" s="131" t="n">
        <v>46</v>
      </c>
      <c r="F196" s="130" t="n">
        <v>125</v>
      </c>
      <c r="G196" s="17" t="n">
        <v>38</v>
      </c>
      <c r="H196" s="132" t="n">
        <v>142</v>
      </c>
      <c r="I196" s="133" t="n">
        <v>60000</v>
      </c>
      <c r="J196" s="133" t="inlineStr">
        <is>
          <t>19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152</v>
      </c>
      <c r="U196" s="9" t="n"/>
    </row>
    <row r="197" ht="12" customFormat="1" customHeight="1" s="37">
      <c r="A197" s="74" t="inlineStr">
        <is>
          <t>상남동 대동</t>
        </is>
      </c>
      <c r="B197" s="75" t="inlineStr">
        <is>
          <t>94.12.</t>
        </is>
      </c>
      <c r="C197" s="129" t="n">
        <v>2810</v>
      </c>
      <c r="D197" s="130" t="n">
        <v>157.8</v>
      </c>
      <c r="E197" s="131" t="n">
        <v>48</v>
      </c>
      <c r="F197" s="130" t="n">
        <v>132.2</v>
      </c>
      <c r="G197" s="17" t="n">
        <v>40</v>
      </c>
      <c r="H197" s="132" t="n">
        <v>130</v>
      </c>
      <c r="I197" s="133" t="n">
        <v>58500</v>
      </c>
      <c r="J197" s="133" t="inlineStr">
        <is>
          <t>중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inlineStr">
        <is>
          <t>157B</t>
        </is>
      </c>
      <c r="U197" s="9" t="n"/>
    </row>
    <row r="198" ht="12" customFormat="1" customHeight="1" s="37">
      <c r="A198" s="74" t="inlineStr">
        <is>
          <t>상남동 상남꿈에그린</t>
        </is>
      </c>
      <c r="B198" s="75" t="inlineStr">
        <is>
          <t>14.09.</t>
        </is>
      </c>
      <c r="C198" s="129" t="n">
        <v>812</v>
      </c>
      <c r="D198" s="130" t="n">
        <v>100.5</v>
      </c>
      <c r="E198" s="131" t="n">
        <v>30</v>
      </c>
      <c r="F198" s="130" t="n">
        <v>72.59999999999999</v>
      </c>
      <c r="G198" s="17" t="n">
        <v>22</v>
      </c>
      <c r="H198" s="132" t="n">
        <v>86</v>
      </c>
      <c r="I198" s="133" t="n">
        <v>58500</v>
      </c>
      <c r="J198" s="133" t="inlineStr">
        <is>
          <t>19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복</t>
        </is>
      </c>
      <c r="T198" s="5" t="n">
        <v>100</v>
      </c>
      <c r="U198" s="9" t="n"/>
    </row>
    <row r="199" ht="12" customFormat="1" customHeight="1" s="37">
      <c r="A199" s="74" t="inlineStr">
        <is>
          <t>가음동 창원센텀푸르지오</t>
        </is>
      </c>
      <c r="B199" s="75" t="inlineStr">
        <is>
          <t>18.01.</t>
        </is>
      </c>
      <c r="C199" s="129" t="n">
        <v>975</v>
      </c>
      <c r="D199" s="130" t="n">
        <v>84.40000000000001</v>
      </c>
      <c r="E199" s="131" t="n">
        <v>26</v>
      </c>
      <c r="F199" s="130" t="n">
        <v>60</v>
      </c>
      <c r="G199" s="17" t="n">
        <v>18</v>
      </c>
      <c r="H199" s="132" t="n">
        <v>224</v>
      </c>
      <c r="I199" s="133" t="n">
        <v>58000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84</v>
      </c>
      <c r="U199" s="9" t="n"/>
    </row>
    <row r="200" ht="12" customFormat="1" customHeight="1" s="37">
      <c r="A200" s="74" t="inlineStr">
        <is>
          <t>반림동 현대</t>
        </is>
      </c>
      <c r="B200" s="75" t="inlineStr">
        <is>
          <t>89.04.</t>
        </is>
      </c>
      <c r="C200" s="129" t="n">
        <v>1200</v>
      </c>
      <c r="D200" s="130" t="n">
        <v>124.4</v>
      </c>
      <c r="E200" s="131" t="n">
        <v>38</v>
      </c>
      <c r="F200" s="130" t="n">
        <v>106.3</v>
      </c>
      <c r="G200" s="17" t="n">
        <v>32</v>
      </c>
      <c r="H200" s="132" t="n">
        <v>120</v>
      </c>
      <c r="I200" s="133" t="n">
        <v>58000</v>
      </c>
      <c r="J200" s="133" t="inlineStr">
        <is>
          <t>13</t>
        </is>
      </c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n">
        <v>124</v>
      </c>
      <c r="U200" s="9" t="n"/>
    </row>
    <row r="201" ht="12" customFormat="1" customHeight="1" s="37">
      <c r="A201" s="74" t="inlineStr">
        <is>
          <t>사파동 대동2차</t>
        </is>
      </c>
      <c r="B201" s="75" t="inlineStr">
        <is>
          <t>89.09.</t>
        </is>
      </c>
      <c r="C201" s="129" t="n">
        <v>470</v>
      </c>
      <c r="D201" s="130" t="n">
        <v>96.8</v>
      </c>
      <c r="E201" s="131" t="n">
        <v>29</v>
      </c>
      <c r="F201" s="130" t="n">
        <v>81.90000000000001</v>
      </c>
      <c r="G201" s="17" t="n">
        <v>25</v>
      </c>
      <c r="H201" s="132" t="n">
        <v>160</v>
      </c>
      <c r="I201" s="133" t="n">
        <v>58000</v>
      </c>
      <c r="J201" s="133" t="inlineStr">
        <is>
          <t>5</t>
        </is>
      </c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96</v>
      </c>
      <c r="U201" s="9" t="n"/>
    </row>
    <row r="202" ht="12" customFormat="1" customHeight="1" s="37">
      <c r="A202" s="74" t="inlineStr">
        <is>
          <t>성주동 유니온빌리지</t>
        </is>
      </c>
      <c r="B202" s="75" t="inlineStr">
        <is>
          <t>05.10.</t>
        </is>
      </c>
      <c r="C202" s="129" t="n">
        <v>1360</v>
      </c>
      <c r="D202" s="130" t="n">
        <v>163.7</v>
      </c>
      <c r="E202" s="131" t="n">
        <v>50</v>
      </c>
      <c r="F202" s="130" t="n">
        <v>130.9</v>
      </c>
      <c r="G202" s="17" t="n">
        <v>40</v>
      </c>
      <c r="H202" s="132" t="n">
        <v>118</v>
      </c>
      <c r="I202" s="133" t="n">
        <v>57500</v>
      </c>
      <c r="J202" s="133" t="inlineStr">
        <is>
          <t>16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4</v>
      </c>
      <c r="R202" s="120" t="n">
        <v>2</v>
      </c>
      <c r="S202" s="120" t="inlineStr">
        <is>
          <t>계</t>
        </is>
      </c>
      <c r="T202" s="5" t="n">
        <v>163</v>
      </c>
      <c r="U202" s="9" t="n"/>
    </row>
    <row r="203" ht="12" customFormat="1" customHeight="1" s="37">
      <c r="A203" s="74" t="inlineStr">
        <is>
          <t>가음동 창원더샵센트럴파크2단지</t>
        </is>
      </c>
      <c r="B203" s="75" t="inlineStr">
        <is>
          <t>17.04.</t>
        </is>
      </c>
      <c r="C203" s="129" t="n">
        <v>624</v>
      </c>
      <c r="D203" s="130" t="n">
        <v>80.59999999999999</v>
      </c>
      <c r="E203" s="131" t="n">
        <v>24</v>
      </c>
      <c r="F203" s="130" t="n">
        <v>59.8</v>
      </c>
      <c r="G203" s="17" t="n">
        <v>18</v>
      </c>
      <c r="H203" s="132" t="n">
        <v>50</v>
      </c>
      <c r="I203" s="133" t="n">
        <v>56000</v>
      </c>
      <c r="J203" s="133" t="inlineStr">
        <is>
          <t>12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inlineStr">
        <is>
          <t>80B</t>
        </is>
      </c>
      <c r="U203" s="9" t="n"/>
    </row>
    <row r="204" ht="12" customFormat="1" customHeight="1" s="37">
      <c r="A204" s="74" t="inlineStr">
        <is>
          <t>성주동 프리빌리지2차</t>
        </is>
      </c>
      <c r="B204" s="75" t="inlineStr">
        <is>
          <t>10.12.</t>
        </is>
      </c>
      <c r="C204" s="129" t="n">
        <v>672</v>
      </c>
      <c r="D204" s="130" t="n">
        <v>132.5</v>
      </c>
      <c r="E204" s="131" t="n">
        <v>40</v>
      </c>
      <c r="F204" s="130" t="n">
        <v>101.9</v>
      </c>
      <c r="G204" s="17" t="n">
        <v>31</v>
      </c>
      <c r="H204" s="132" t="n">
        <v>96</v>
      </c>
      <c r="I204" s="133" t="n">
        <v>56000</v>
      </c>
      <c r="J204" s="133" t="inlineStr">
        <is>
          <t>고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132</v>
      </c>
      <c r="U204" s="9" t="n"/>
    </row>
    <row r="205" ht="12" customFormat="1" customHeight="1" s="37">
      <c r="A205" s="74" t="inlineStr">
        <is>
          <t>가음동 창원가음한화꿈에그린</t>
        </is>
      </c>
      <c r="B205" s="75" t="inlineStr">
        <is>
          <t>17.08.</t>
        </is>
      </c>
      <c r="C205" s="129" t="n">
        <v>749</v>
      </c>
      <c r="D205" s="130" t="n">
        <v>79.90000000000001</v>
      </c>
      <c r="E205" s="131" t="n">
        <v>24</v>
      </c>
      <c r="F205" s="130" t="n">
        <v>60</v>
      </c>
      <c r="G205" s="17" t="n">
        <v>18</v>
      </c>
      <c r="H205" s="132" t="n">
        <v>88</v>
      </c>
      <c r="I205" s="133" t="n">
        <v>55000</v>
      </c>
      <c r="J205" s="133" t="inlineStr">
        <is>
          <t>18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79</v>
      </c>
      <c r="U205" s="9" t="n"/>
    </row>
    <row r="206" ht="12" customFormat="1" customHeight="1" s="37">
      <c r="A206" s="74" t="inlineStr">
        <is>
          <t>성주동 성주효성해링턴코트</t>
        </is>
      </c>
      <c r="B206" s="75" t="inlineStr">
        <is>
          <t>13.12.</t>
        </is>
      </c>
      <c r="C206" s="129" t="n">
        <v>365</v>
      </c>
      <c r="D206" s="130" t="n">
        <v>129.4</v>
      </c>
      <c r="E206" s="131" t="n">
        <v>39</v>
      </c>
      <c r="F206" s="130" t="n">
        <v>100.4</v>
      </c>
      <c r="G206" s="17" t="n">
        <v>30</v>
      </c>
      <c r="H206" s="132" t="n">
        <v>76</v>
      </c>
      <c r="I206" s="133" t="n">
        <v>55000</v>
      </c>
      <c r="J206" s="133" t="inlineStr">
        <is>
          <t>고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129</v>
      </c>
      <c r="U206" s="9" t="n"/>
    </row>
    <row r="207" ht="12" customFormat="1" customHeight="1" s="37">
      <c r="A207" s="74" t="inlineStr">
        <is>
          <t>성주동 프리빌리지</t>
        </is>
      </c>
      <c r="B207" s="75" t="inlineStr">
        <is>
          <t>03.10.</t>
        </is>
      </c>
      <c r="C207" s="129" t="n">
        <v>1062</v>
      </c>
      <c r="D207" s="130" t="n">
        <v>128.8</v>
      </c>
      <c r="E207" s="131" t="n">
        <v>39</v>
      </c>
      <c r="F207" s="130" t="n">
        <v>102</v>
      </c>
      <c r="G207" s="17" t="n">
        <v>31</v>
      </c>
      <c r="H207" s="132" t="n">
        <v>240</v>
      </c>
      <c r="I207" s="133" t="n">
        <v>54000</v>
      </c>
      <c r="J207" s="133" t="inlineStr">
        <is>
          <t>20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128</v>
      </c>
      <c r="U207" s="9" t="n"/>
    </row>
    <row r="208" ht="12" customFormat="1" customHeight="1" s="37">
      <c r="A208" s="74" t="inlineStr">
        <is>
          <t>상남동 대우</t>
        </is>
      </c>
      <c r="B208" s="75" t="inlineStr">
        <is>
          <t>85.12.</t>
        </is>
      </c>
      <c r="C208" s="129" t="n">
        <v>680</v>
      </c>
      <c r="D208" s="130" t="n">
        <v>66.7</v>
      </c>
      <c r="E208" s="131" t="n">
        <v>20</v>
      </c>
      <c r="F208" s="130" t="n">
        <v>58.8</v>
      </c>
      <c r="G208" s="17" t="n">
        <v>18</v>
      </c>
      <c r="H208" s="132" t="n">
        <v>100</v>
      </c>
      <c r="I208" s="133" t="n">
        <v>50000</v>
      </c>
      <c r="J208" s="133" t="inlineStr">
        <is>
          <t>중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1</v>
      </c>
      <c r="S208" s="120" t="inlineStr">
        <is>
          <t>계</t>
        </is>
      </c>
      <c r="T208" s="5" t="n">
        <v>66</v>
      </c>
      <c r="U208" s="9" t="n"/>
    </row>
    <row r="209" ht="12" customFormat="1" customHeight="1" s="37">
      <c r="A209" s="74" t="inlineStr">
        <is>
          <t>남양동 성원2차</t>
        </is>
      </c>
      <c r="B209" s="75" t="inlineStr">
        <is>
          <t>92.02.</t>
        </is>
      </c>
      <c r="C209" s="129" t="n">
        <v>1404</v>
      </c>
      <c r="D209" s="130" t="n">
        <v>218.1</v>
      </c>
      <c r="E209" s="131" t="n">
        <v>66</v>
      </c>
      <c r="F209" s="130" t="n">
        <v>192.5</v>
      </c>
      <c r="G209" s="17" t="n">
        <v>58</v>
      </c>
      <c r="H209" s="132" t="n">
        <v>30</v>
      </c>
      <c r="I209" s="133" t="n">
        <v>49000</v>
      </c>
      <c r="J209" s="133" t="inlineStr">
        <is>
          <t>중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6</v>
      </c>
      <c r="R209" s="120" t="n">
        <v>3</v>
      </c>
      <c r="S209" s="120" t="inlineStr">
        <is>
          <t>계</t>
        </is>
      </c>
      <c r="T209" s="5" t="n">
        <v>218</v>
      </c>
      <c r="U209" s="9" t="n"/>
    </row>
    <row r="210" ht="12" customFormat="1" customHeight="1" s="37">
      <c r="A210" s="74" t="inlineStr">
        <is>
          <t>반지동 반송대동</t>
        </is>
      </c>
      <c r="B210" s="75" t="inlineStr">
        <is>
          <t>91.07.</t>
        </is>
      </c>
      <c r="C210" s="129" t="n">
        <v>1292</v>
      </c>
      <c r="D210" s="130" t="n">
        <v>147.1</v>
      </c>
      <c r="E210" s="131" t="n">
        <v>44</v>
      </c>
      <c r="F210" s="130" t="n">
        <v>123.7</v>
      </c>
      <c r="G210" s="17" t="n">
        <v>37</v>
      </c>
      <c r="H210" s="132" t="n">
        <v>90</v>
      </c>
      <c r="I210" s="133" t="n">
        <v>46000</v>
      </c>
      <c r="J210" s="133" t="inlineStr">
        <is>
          <t>고</t>
        </is>
      </c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</row>
    <row r="211" ht="12" customFormat="1" customHeight="1" s="37">
      <c r="A211" s="74" t="inlineStr">
        <is>
          <t>남양동 성원2차</t>
        </is>
      </c>
      <c r="B211" s="75" t="inlineStr">
        <is>
          <t>92.02.</t>
        </is>
      </c>
      <c r="C211" s="129" t="n">
        <v>1404</v>
      </c>
      <c r="D211" s="130" t="n">
        <v>175.3</v>
      </c>
      <c r="E211" s="131" t="n">
        <v>53</v>
      </c>
      <c r="F211" s="130" t="n">
        <v>153.1</v>
      </c>
      <c r="G211" s="17" t="n">
        <v>46</v>
      </c>
      <c r="H211" s="132" t="n">
        <v>60</v>
      </c>
      <c r="I211" s="133" t="n">
        <v>44000</v>
      </c>
      <c r="J211" s="133" t="inlineStr">
        <is>
          <t>10</t>
        </is>
      </c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5</v>
      </c>
      <c r="R211" s="120" t="n">
        <v>2</v>
      </c>
      <c r="S211" s="120" t="inlineStr">
        <is>
          <t>계</t>
        </is>
      </c>
      <c r="T211" s="5" t="n">
        <v>175</v>
      </c>
      <c r="U211" s="9" t="n"/>
    </row>
    <row r="212" ht="12" customFormat="1" customHeight="1" s="37">
      <c r="A212" s="74" t="inlineStr">
        <is>
          <t>남양동 성원1차(그랜드타운남산)</t>
        </is>
      </c>
      <c r="B212" s="75" t="inlineStr">
        <is>
          <t>91.01.</t>
        </is>
      </c>
      <c r="C212" s="129" t="n">
        <v>1350</v>
      </c>
      <c r="D212" s="130" t="n">
        <v>139.2</v>
      </c>
      <c r="E212" s="131" t="n">
        <v>42</v>
      </c>
      <c r="F212" s="130" t="n">
        <v>119</v>
      </c>
      <c r="G212" s="17" t="n">
        <v>36</v>
      </c>
      <c r="H212" s="132" t="n">
        <v>150</v>
      </c>
      <c r="I212" s="133" t="n">
        <v>43000</v>
      </c>
      <c r="J212" s="133" t="inlineStr">
        <is>
          <t>10</t>
        </is>
      </c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139</v>
      </c>
      <c r="U212" s="9" t="n"/>
    </row>
    <row r="213" ht="12" customFormat="1" customHeight="1" s="37">
      <c r="A213" s="74" t="inlineStr">
        <is>
          <t>대방동 대방대동</t>
        </is>
      </c>
      <c r="B213" s="75" t="inlineStr">
        <is>
          <t>92.09.</t>
        </is>
      </c>
      <c r="C213" s="129" t="n">
        <v>1835</v>
      </c>
      <c r="D213" s="130" t="n">
        <v>146.4</v>
      </c>
      <c r="E213" s="131" t="n">
        <v>44</v>
      </c>
      <c r="F213" s="130" t="n">
        <v>126.4</v>
      </c>
      <c r="G213" s="17" t="n">
        <v>38</v>
      </c>
      <c r="H213" s="132" t="n">
        <v>90</v>
      </c>
      <c r="I213" s="133" t="n">
        <v>42500</v>
      </c>
      <c r="J213" s="133" t="inlineStr">
        <is>
          <t>중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4</v>
      </c>
      <c r="R213" s="120" t="n">
        <v>2</v>
      </c>
      <c r="S213" s="120" t="inlineStr">
        <is>
          <t>계</t>
        </is>
      </c>
      <c r="T213" s="5" t="n">
        <v>146</v>
      </c>
      <c r="U213" s="9" t="n"/>
    </row>
    <row r="214" ht="12" customFormat="1" customHeight="1" s="37">
      <c r="A214" s="74" t="inlineStr">
        <is>
          <t>상남동 대우</t>
        </is>
      </c>
      <c r="B214" s="75" t="inlineStr">
        <is>
          <t>85.12.</t>
        </is>
      </c>
      <c r="C214" s="129" t="n">
        <v>680</v>
      </c>
      <c r="D214" s="130" t="n">
        <v>59</v>
      </c>
      <c r="E214" s="131" t="n">
        <v>18</v>
      </c>
      <c r="F214" s="130" t="n">
        <v>49.2</v>
      </c>
      <c r="G214" s="17" t="n">
        <v>15</v>
      </c>
      <c r="H214" s="132" t="n">
        <v>200</v>
      </c>
      <c r="I214" s="133" t="n">
        <v>42000</v>
      </c>
      <c r="J214" s="133" t="inlineStr">
        <is>
          <t>5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59</v>
      </c>
      <c r="U214" s="9" t="n"/>
    </row>
    <row r="215" ht="12" customFormat="1" customHeight="1" s="37">
      <c r="A215" s="74" t="inlineStr">
        <is>
          <t>사파동 삼익1차</t>
        </is>
      </c>
      <c r="B215" s="75" t="inlineStr">
        <is>
          <t>88.09.</t>
        </is>
      </c>
      <c r="C215" s="129" t="n">
        <v>570</v>
      </c>
      <c r="D215" s="130" t="n">
        <v>59.8</v>
      </c>
      <c r="E215" s="131" t="n">
        <v>18</v>
      </c>
      <c r="F215" s="130" t="n">
        <v>49.8</v>
      </c>
      <c r="G215" s="17" t="n">
        <v>15</v>
      </c>
      <c r="H215" s="132" t="n">
        <v>200</v>
      </c>
      <c r="I215" s="133" t="n">
        <v>40000</v>
      </c>
      <c r="J215" s="133" t="inlineStr">
        <is>
          <t>5</t>
        </is>
      </c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n">
        <v>59</v>
      </c>
      <c r="U215" s="9" t="n"/>
    </row>
    <row r="216" ht="12" customFormat="1" customHeight="1" s="37">
      <c r="A216" s="74" t="inlineStr">
        <is>
          <t>용호동 일동</t>
        </is>
      </c>
      <c r="B216" s="75" t="inlineStr">
        <is>
          <t>86.10.</t>
        </is>
      </c>
      <c r="C216" s="129" t="n">
        <v>810</v>
      </c>
      <c r="D216" s="130" t="n">
        <v>66.3</v>
      </c>
      <c r="E216" s="131" t="n">
        <v>20</v>
      </c>
      <c r="F216" s="130" t="n">
        <v>59.6</v>
      </c>
      <c r="G216" s="17" t="n">
        <v>18</v>
      </c>
      <c r="H216" s="132" t="n">
        <v>410</v>
      </c>
      <c r="I216" s="133" t="n">
        <v>40000</v>
      </c>
      <c r="J216" s="133" t="inlineStr">
        <is>
          <t>5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66</v>
      </c>
      <c r="U216" s="9" t="n"/>
    </row>
    <row r="217" ht="12" customFormat="1" customHeight="1" s="37">
      <c r="A217" s="74" t="inlineStr">
        <is>
          <t>가음동 럭키</t>
        </is>
      </c>
      <c r="B217" s="75" t="inlineStr">
        <is>
          <t>80.02.</t>
        </is>
      </c>
      <c r="C217" s="129" t="n">
        <v>330</v>
      </c>
      <c r="D217" s="130" t="n">
        <v>56.2</v>
      </c>
      <c r="E217" s="131" t="n">
        <v>17</v>
      </c>
      <c r="F217" s="130" t="n">
        <v>43.4</v>
      </c>
      <c r="G217" s="17" t="n">
        <v>13</v>
      </c>
      <c r="H217" s="132" t="n">
        <v>100</v>
      </c>
      <c r="I217" s="133" t="n">
        <v>39000</v>
      </c>
      <c r="J217" s="133" t="inlineStr">
        <is>
          <t>고</t>
        </is>
      </c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56</v>
      </c>
      <c r="U217" s="9" t="n"/>
    </row>
    <row r="218" ht="12" customFormat="1" customHeight="1" s="37">
      <c r="A218" s="74" t="inlineStr">
        <is>
          <t>대방동 대방덕산타운</t>
        </is>
      </c>
      <c r="B218" s="75" t="inlineStr">
        <is>
          <t>92.07.</t>
        </is>
      </c>
      <c r="C218" s="129" t="n">
        <v>920</v>
      </c>
      <c r="D218" s="130" t="n">
        <v>153.6</v>
      </c>
      <c r="E218" s="131" t="n">
        <v>46</v>
      </c>
      <c r="F218" s="130" t="n">
        <v>131.7</v>
      </c>
      <c r="G218" s="17" t="n">
        <v>40</v>
      </c>
      <c r="H218" s="132" t="n">
        <v>60</v>
      </c>
      <c r="I218" s="133" t="n">
        <v>39000</v>
      </c>
      <c r="J218" s="133" t="inlineStr">
        <is>
          <t>중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4</v>
      </c>
      <c r="R218" s="120" t="n">
        <v>2</v>
      </c>
      <c r="S218" s="120" t="inlineStr">
        <is>
          <t>계</t>
        </is>
      </c>
      <c r="T218" s="5" t="n">
        <v>153</v>
      </c>
      <c r="U218" s="9" t="n"/>
    </row>
    <row r="219" ht="12" customFormat="1" customHeight="1" s="37">
      <c r="A219" s="74" t="inlineStr">
        <is>
          <t>반림동 반림럭키</t>
        </is>
      </c>
      <c r="B219" s="75" t="inlineStr">
        <is>
          <t>89.01.</t>
        </is>
      </c>
      <c r="C219" s="129" t="n">
        <v>1620</v>
      </c>
      <c r="D219" s="130" t="n">
        <v>93.09999999999999</v>
      </c>
      <c r="E219" s="131" t="n">
        <v>28</v>
      </c>
      <c r="F219" s="130" t="n">
        <v>76.09999999999999</v>
      </c>
      <c r="G219" s="17" t="n">
        <v>23</v>
      </c>
      <c r="H219" s="132" t="n">
        <v>240</v>
      </c>
      <c r="I219" s="133" t="n">
        <v>39000</v>
      </c>
      <c r="J219" s="133" t="inlineStr">
        <is>
          <t>고</t>
        </is>
      </c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계</t>
        </is>
      </c>
      <c r="T219" s="5" t="inlineStr">
        <is>
          <t>93A</t>
        </is>
      </c>
      <c r="U219" s="9" t="n"/>
    </row>
    <row r="220" ht="12" customFormat="1" customHeight="1" s="37">
      <c r="A220" s="74" t="inlineStr">
        <is>
          <t>남양동 상남동성(남양동성)</t>
        </is>
      </c>
      <c r="B220" s="75" t="inlineStr">
        <is>
          <t>90.09.</t>
        </is>
      </c>
      <c r="C220" s="129" t="n">
        <v>540</v>
      </c>
      <c r="D220" s="130" t="n">
        <v>155.3</v>
      </c>
      <c r="E220" s="131" t="n">
        <v>47</v>
      </c>
      <c r="F220" s="130" t="n">
        <v>135.1</v>
      </c>
      <c r="G220" s="17" t="n">
        <v>41</v>
      </c>
      <c r="H220" s="132" t="n">
        <v>180</v>
      </c>
      <c r="I220" s="133" t="n">
        <v>38000</v>
      </c>
      <c r="J220" s="133" t="inlineStr">
        <is>
          <t>13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155</v>
      </c>
      <c r="U220" s="9" t="n"/>
    </row>
    <row r="221" ht="12" customFormat="1" customHeight="1" s="37">
      <c r="A221" s="74" t="inlineStr">
        <is>
          <t>남양동 우성</t>
        </is>
      </c>
      <c r="B221" s="75" t="inlineStr">
        <is>
          <t>89.12.</t>
        </is>
      </c>
      <c r="C221" s="129" t="n">
        <v>750</v>
      </c>
      <c r="D221" s="130" t="n">
        <v>83.40000000000001</v>
      </c>
      <c r="E221" s="131" t="n">
        <v>25</v>
      </c>
      <c r="F221" s="130" t="n">
        <v>68.2</v>
      </c>
      <c r="G221" s="17" t="n">
        <v>21</v>
      </c>
      <c r="H221" s="132" t="n">
        <v>90</v>
      </c>
      <c r="I221" s="133" t="n">
        <v>37000</v>
      </c>
      <c r="J221" s="133" t="inlineStr">
        <is>
          <t>14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계</t>
        </is>
      </c>
      <c r="T221" s="5" t="n">
        <v>83</v>
      </c>
      <c r="U221" s="9" t="n"/>
    </row>
    <row r="222" ht="12" customFormat="1" customHeight="1" s="37">
      <c r="A222" s="74" t="inlineStr">
        <is>
          <t>대방동 대방동성</t>
        </is>
      </c>
      <c r="B222" s="75" t="inlineStr">
        <is>
          <t>96.05.</t>
        </is>
      </c>
      <c r="C222" s="129" t="n">
        <v>556</v>
      </c>
      <c r="D222" s="130" t="n">
        <v>108</v>
      </c>
      <c r="E222" s="131" t="n">
        <v>33</v>
      </c>
      <c r="F222" s="130" t="n">
        <v>85</v>
      </c>
      <c r="G222" s="17" t="n">
        <v>26</v>
      </c>
      <c r="H222" s="132" t="n">
        <v>198</v>
      </c>
      <c r="I222" s="133" t="n">
        <v>37000</v>
      </c>
      <c r="J222" s="133" t="inlineStr">
        <is>
          <t>20</t>
        </is>
      </c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108</v>
      </c>
      <c r="U222" s="9" t="n"/>
    </row>
    <row r="223" ht="12" customFormat="1" customHeight="1" s="37">
      <c r="A223" s="74" t="inlineStr">
        <is>
          <t>반림동 노블파크</t>
        </is>
      </c>
      <c r="B223" s="75" t="inlineStr">
        <is>
          <t>07.12.</t>
        </is>
      </c>
      <c r="C223" s="129" t="n">
        <v>2699</v>
      </c>
      <c r="D223" s="130" t="n">
        <v>69.8</v>
      </c>
      <c r="E223" s="131" t="n">
        <v>21</v>
      </c>
      <c r="F223" s="130" t="n">
        <v>51.9</v>
      </c>
      <c r="G223" s="17" t="n">
        <v>16</v>
      </c>
      <c r="H223" s="132" t="n">
        <v>30</v>
      </c>
      <c r="I223" s="133" t="n">
        <v>37000</v>
      </c>
      <c r="J223" s="133" t="inlineStr">
        <is>
          <t>11</t>
        </is>
      </c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69</v>
      </c>
      <c r="U223" s="9" t="n"/>
    </row>
    <row r="224" ht="12" customFormat="1" customHeight="1" s="37">
      <c r="A224" s="74" t="inlineStr">
        <is>
          <t>가음동 럭키</t>
        </is>
      </c>
      <c r="B224" s="75" t="inlineStr">
        <is>
          <t>80.02.</t>
        </is>
      </c>
      <c r="C224" s="129" t="n">
        <v>330</v>
      </c>
      <c r="D224" s="130" t="n">
        <v>64.8</v>
      </c>
      <c r="E224" s="131" t="n">
        <v>20</v>
      </c>
      <c r="F224" s="130" t="n">
        <v>49.4</v>
      </c>
      <c r="G224" s="17" t="n">
        <v>15</v>
      </c>
      <c r="H224" s="132" t="n">
        <v>190</v>
      </c>
      <c r="I224" s="133" t="n">
        <v>35000</v>
      </c>
      <c r="J224" s="133" t="inlineStr">
        <is>
          <t>고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64</v>
      </c>
      <c r="U224" s="9" t="n"/>
    </row>
    <row r="225" ht="12" customFormat="1" customHeight="1" s="37">
      <c r="A225" s="74" t="inlineStr">
        <is>
          <t>내동 창원월드메르디앙웨스턴애비뉴</t>
        </is>
      </c>
      <c r="B225" s="75" t="inlineStr">
        <is>
          <t>09.02.</t>
        </is>
      </c>
      <c r="C225" s="129" t="n">
        <v>504</v>
      </c>
      <c r="D225" s="130" t="n">
        <v>143.9</v>
      </c>
      <c r="E225" s="131" t="n">
        <v>44</v>
      </c>
      <c r="F225" s="130" t="n">
        <v>115.4</v>
      </c>
      <c r="G225" s="17" t="n">
        <v>35</v>
      </c>
      <c r="H225" s="132" t="n">
        <v>52</v>
      </c>
      <c r="I225" s="133" t="n">
        <v>35000</v>
      </c>
      <c r="J225" s="133" t="inlineStr">
        <is>
          <t>7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143</v>
      </c>
      <c r="U225" s="9" t="n"/>
    </row>
    <row r="226" ht="12" customFormat="1" customHeight="1" s="37">
      <c r="A226" s="74" t="inlineStr">
        <is>
          <t>대원동 현대</t>
        </is>
      </c>
      <c r="B226" s="75" t="inlineStr">
        <is>
          <t>79.10.</t>
        </is>
      </c>
      <c r="C226" s="129" t="n">
        <v>630</v>
      </c>
      <c r="D226" s="130" t="n">
        <v>57.1</v>
      </c>
      <c r="E226" s="131" t="n">
        <v>17</v>
      </c>
      <c r="F226" s="130" t="n">
        <v>47</v>
      </c>
      <c r="G226" s="17" t="n">
        <v>14</v>
      </c>
      <c r="H226" s="132" t="n">
        <v>210</v>
      </c>
      <c r="I226" s="133" t="n">
        <v>34950</v>
      </c>
      <c r="J226" s="133" t="inlineStr">
        <is>
          <t>5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2</v>
      </c>
      <c r="R226" s="120" t="n">
        <v>1</v>
      </c>
      <c r="S226" s="120" t="inlineStr">
        <is>
          <t>복</t>
        </is>
      </c>
      <c r="T226" s="5" t="n">
        <v>57</v>
      </c>
      <c r="U226" s="9" t="n"/>
    </row>
    <row r="227" ht="12" customFormat="1" customHeight="1" s="37">
      <c r="A227" s="74" t="inlineStr">
        <is>
          <t>대원동 현대</t>
        </is>
      </c>
      <c r="B227" s="75" t="inlineStr">
        <is>
          <t>79.10.</t>
        </is>
      </c>
      <c r="C227" s="129" t="n">
        <v>630</v>
      </c>
      <c r="D227" s="130" t="n">
        <v>50.4</v>
      </c>
      <c r="E227" s="131" t="n">
        <v>15</v>
      </c>
      <c r="F227" s="130" t="n">
        <v>50.4</v>
      </c>
      <c r="G227" s="17" t="n">
        <v>15</v>
      </c>
      <c r="H227" s="132" t="n">
        <v>80</v>
      </c>
      <c r="I227" s="133" t="n">
        <v>34050</v>
      </c>
      <c r="J227" s="133" t="inlineStr">
        <is>
          <t>5</t>
        </is>
      </c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2</v>
      </c>
      <c r="R227" s="120" t="n">
        <v>1</v>
      </c>
      <c r="S227" s="120" t="inlineStr">
        <is>
          <t>계</t>
        </is>
      </c>
      <c r="T227" s="5" t="n">
        <v>50</v>
      </c>
      <c r="U227" s="9" t="n"/>
    </row>
    <row r="228" ht="12" customFormat="1" customHeight="1" s="37">
      <c r="A228" s="74" t="inlineStr">
        <is>
          <t>상남동 대동</t>
        </is>
      </c>
      <c r="B228" s="75" t="inlineStr">
        <is>
          <t>94.12.</t>
        </is>
      </c>
      <c r="C228" s="129" t="n">
        <v>2810</v>
      </c>
      <c r="D228" s="130" t="n">
        <v>80.40000000000001</v>
      </c>
      <c r="E228" s="131" t="n">
        <v>24</v>
      </c>
      <c r="F228" s="130" t="n">
        <v>59.8</v>
      </c>
      <c r="G228" s="17" t="n">
        <v>18</v>
      </c>
      <c r="H228" s="132" t="n">
        <v>452</v>
      </c>
      <c r="I228" s="133" t="n">
        <v>34000</v>
      </c>
      <c r="J228" s="133" t="inlineStr">
        <is>
          <t>25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2</v>
      </c>
      <c r="R228" s="120" t="n">
        <v>1</v>
      </c>
      <c r="S228" s="120" t="inlineStr">
        <is>
          <t>계</t>
        </is>
      </c>
      <c r="T228" s="5" t="n">
        <v>80</v>
      </c>
      <c r="U228" s="9" t="n"/>
    </row>
    <row r="229" ht="12" customFormat="1" customHeight="1" s="37">
      <c r="A229" s="74" t="inlineStr">
        <is>
          <t>사파동 사파동성</t>
        </is>
      </c>
      <c r="B229" s="75" t="inlineStr">
        <is>
          <t>92.11.</t>
        </is>
      </c>
      <c r="C229" s="129" t="n">
        <v>1986</v>
      </c>
      <c r="D229" s="130" t="n">
        <v>103</v>
      </c>
      <c r="E229" s="131" t="n">
        <v>31</v>
      </c>
      <c r="F229" s="130" t="n">
        <v>84.7</v>
      </c>
      <c r="G229" s="17" t="n">
        <v>26</v>
      </c>
      <c r="H229" s="132" t="n">
        <v>504</v>
      </c>
      <c r="I229" s="133" t="n">
        <v>33500</v>
      </c>
      <c r="J229" s="133" t="inlineStr">
        <is>
          <t>5</t>
        </is>
      </c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102</v>
      </c>
      <c r="U229" s="9" t="n"/>
    </row>
    <row r="230" ht="12" customFormat="1" customHeight="1" s="37">
      <c r="A230" s="74" t="inlineStr">
        <is>
          <t>안민동 안민청솔마을대동</t>
        </is>
      </c>
      <c r="B230" s="75" t="inlineStr">
        <is>
          <t>99.06.</t>
        </is>
      </c>
      <c r="C230" s="129" t="n">
        <v>920</v>
      </c>
      <c r="D230" s="130" t="n">
        <v>181.1</v>
      </c>
      <c r="E230" s="131" t="n">
        <v>55</v>
      </c>
      <c r="F230" s="130" t="n">
        <v>149.8</v>
      </c>
      <c r="G230" s="17" t="n">
        <v>45</v>
      </c>
      <c r="H230" s="132" t="n">
        <v>98</v>
      </c>
      <c r="I230" s="133" t="n">
        <v>33000</v>
      </c>
      <c r="J230" s="133" t="inlineStr">
        <is>
          <t>고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4</v>
      </c>
      <c r="R230" s="120" t="n">
        <v>2</v>
      </c>
      <c r="S230" s="120" t="inlineStr">
        <is>
          <t>계</t>
        </is>
      </c>
      <c r="T230" s="5" t="n">
        <v>181</v>
      </c>
      <c r="U230" s="9" t="n"/>
    </row>
    <row r="231" ht="12" customFormat="1" customHeight="1" s="37">
      <c r="A231" s="74" t="inlineStr">
        <is>
          <t>상남동 대우</t>
        </is>
      </c>
      <c r="B231" s="75" t="inlineStr">
        <is>
          <t>85.12.</t>
        </is>
      </c>
      <c r="C231" s="129" t="n">
        <v>680</v>
      </c>
      <c r="D231" s="130" t="n">
        <v>51.5</v>
      </c>
      <c r="E231" s="131" t="n">
        <v>16</v>
      </c>
      <c r="F231" s="130" t="n">
        <v>42.2</v>
      </c>
      <c r="G231" s="17" t="n">
        <v>13</v>
      </c>
      <c r="H231" s="132" t="n">
        <v>160</v>
      </c>
      <c r="I231" s="133" t="n">
        <v>32500</v>
      </c>
      <c r="J231" s="133" t="inlineStr">
        <is>
          <t>5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n">
        <v>51</v>
      </c>
      <c r="U231" s="9" t="n"/>
    </row>
    <row r="232" ht="12" customFormat="1" customHeight="1" s="37">
      <c r="A232" s="74" t="inlineStr">
        <is>
          <t>남산동 남산효성해링턴플레이스</t>
        </is>
      </c>
      <c r="B232" s="75" t="inlineStr">
        <is>
          <t>18.06.</t>
        </is>
      </c>
      <c r="C232" s="129" t="n">
        <v>460</v>
      </c>
      <c r="D232" s="130" t="n">
        <v>110.1</v>
      </c>
      <c r="E232" s="131" t="n">
        <v>33</v>
      </c>
      <c r="F232" s="130" t="n">
        <v>84.90000000000001</v>
      </c>
      <c r="G232" s="17" t="n">
        <v>26</v>
      </c>
      <c r="H232" s="132" t="n">
        <v>70</v>
      </c>
      <c r="I232" s="133" t="n">
        <v>32000</v>
      </c>
      <c r="J232" s="133" t="inlineStr">
        <is>
          <t>고</t>
        </is>
      </c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inlineStr">
        <is>
          <t>110B</t>
        </is>
      </c>
      <c r="U232" s="9" t="n"/>
    </row>
    <row r="233" ht="12" customFormat="1" customHeight="1" s="37">
      <c r="A233" s="74" t="inlineStr">
        <is>
          <t>대방동 대동디지털황토</t>
        </is>
      </c>
      <c r="B233" s="75" t="inlineStr">
        <is>
          <t>01.09.</t>
        </is>
      </c>
      <c r="C233" s="129" t="n">
        <v>704</v>
      </c>
      <c r="D233" s="130" t="n">
        <v>85.09999999999999</v>
      </c>
      <c r="E233" s="131" t="n">
        <v>26</v>
      </c>
      <c r="F233" s="130" t="n">
        <v>59.8</v>
      </c>
      <c r="G233" s="17" t="n">
        <v>18</v>
      </c>
      <c r="H233" s="132" t="n">
        <v>228</v>
      </c>
      <c r="I233" s="133" t="n">
        <v>32000</v>
      </c>
      <c r="J233" s="133" t="inlineStr">
        <is>
          <t>14</t>
        </is>
      </c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1</v>
      </c>
      <c r="S233" s="120" t="inlineStr">
        <is>
          <t>계</t>
        </is>
      </c>
      <c r="T233" s="5" t="n">
        <v>85</v>
      </c>
      <c r="U233" s="9" t="n"/>
    </row>
    <row r="234" ht="12" customFormat="1" customHeight="1" s="37">
      <c r="A234" s="74" t="inlineStr">
        <is>
          <t>상남동 대우</t>
        </is>
      </c>
      <c r="B234" s="75" t="inlineStr">
        <is>
          <t>85.12.</t>
        </is>
      </c>
      <c r="C234" s="129" t="n">
        <v>680</v>
      </c>
      <c r="D234" s="130" t="n">
        <v>44.4</v>
      </c>
      <c r="E234" s="131" t="n">
        <v>13</v>
      </c>
      <c r="F234" s="130" t="n">
        <v>35.5</v>
      </c>
      <c r="G234" s="17" t="n">
        <v>11</v>
      </c>
      <c r="H234" s="132" t="n">
        <v>80</v>
      </c>
      <c r="I234" s="133" t="n">
        <v>32000</v>
      </c>
      <c r="J234" s="133" t="inlineStr">
        <is>
          <t>고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n">
        <v>44</v>
      </c>
      <c r="U234" s="9" t="n"/>
    </row>
    <row r="235" ht="12" customFormat="1" customHeight="1" s="37">
      <c r="A235" s="74" t="inlineStr">
        <is>
          <t>남산동 남산효성해링턴플레이스</t>
        </is>
      </c>
      <c r="B235" s="75" t="inlineStr">
        <is>
          <t>18.06.</t>
        </is>
      </c>
      <c r="C235" s="129" t="n">
        <v>460</v>
      </c>
      <c r="D235" s="130" t="n">
        <v>101.5</v>
      </c>
      <c r="E235" s="131" t="n">
        <v>31</v>
      </c>
      <c r="F235" s="130" t="n">
        <v>79.40000000000001</v>
      </c>
      <c r="G235" s="17" t="n">
        <v>24</v>
      </c>
      <c r="H235" s="132" t="n">
        <v>112</v>
      </c>
      <c r="I235" s="133" t="n">
        <v>30000</v>
      </c>
      <c r="J235" s="133" t="inlineStr">
        <is>
          <t>12</t>
        </is>
      </c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n">
        <v>101</v>
      </c>
      <c r="U235" s="9" t="n"/>
    </row>
    <row r="236" ht="12" customFormat="1" customHeight="1" s="37">
      <c r="A236" s="74" t="inlineStr">
        <is>
          <t>사파동 대동1차</t>
        </is>
      </c>
      <c r="B236" s="75" t="inlineStr">
        <is>
          <t>88.06.</t>
        </is>
      </c>
      <c r="C236" s="129" t="n">
        <v>400</v>
      </c>
      <c r="D236" s="130" t="n">
        <v>55.3</v>
      </c>
      <c r="E236" s="131" t="n">
        <v>17</v>
      </c>
      <c r="F236" s="130" t="n">
        <v>45.7</v>
      </c>
      <c r="G236" s="17" t="n">
        <v>14</v>
      </c>
      <c r="H236" s="132" t="n">
        <v>110</v>
      </c>
      <c r="I236" s="133" t="n">
        <v>30000</v>
      </c>
      <c r="J236" s="133" t="inlineStr">
        <is>
          <t>5</t>
        </is>
      </c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계</t>
        </is>
      </c>
      <c r="T236" s="5" t="n">
        <v>55</v>
      </c>
      <c r="U236" s="9" t="n"/>
    </row>
    <row r="237" ht="12" customFormat="1" customHeight="1" s="37">
      <c r="A237" s="74" t="inlineStr">
        <is>
          <t>남양동 상남동성(남양동성)</t>
        </is>
      </c>
      <c r="B237" s="75" t="inlineStr">
        <is>
          <t>90.09.</t>
        </is>
      </c>
      <c r="C237" s="129" t="n">
        <v>540</v>
      </c>
      <c r="D237" s="130" t="n">
        <v>101.6</v>
      </c>
      <c r="E237" s="131" t="n">
        <v>31</v>
      </c>
      <c r="F237" s="130" t="n">
        <v>84.90000000000001</v>
      </c>
      <c r="G237" s="17" t="n">
        <v>26</v>
      </c>
      <c r="H237" s="132" t="n">
        <v>180</v>
      </c>
      <c r="I237" s="133" t="n">
        <v>29000</v>
      </c>
      <c r="J237" s="133" t="inlineStr">
        <is>
          <t>15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101</v>
      </c>
      <c r="U237" s="9" t="n"/>
    </row>
    <row r="238" ht="12" customFormat="1" customHeight="1" s="37">
      <c r="A238" s="74" t="inlineStr">
        <is>
          <t>반지동 반송대동</t>
        </is>
      </c>
      <c r="B238" s="75" t="inlineStr">
        <is>
          <t>91.07.</t>
        </is>
      </c>
      <c r="C238" s="129" t="n">
        <v>1292</v>
      </c>
      <c r="D238" s="130" t="n">
        <v>101</v>
      </c>
      <c r="E238" s="131" t="n">
        <v>31</v>
      </c>
      <c r="F238" s="130" t="n">
        <v>85</v>
      </c>
      <c r="G238" s="17" t="n">
        <v>26</v>
      </c>
      <c r="H238" s="132" t="n">
        <v>472</v>
      </c>
      <c r="I238" s="133" t="n">
        <v>28000</v>
      </c>
      <c r="J238" s="133" t="inlineStr">
        <is>
          <t>중</t>
        </is>
      </c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inlineStr">
        <is>
          <t>101B</t>
        </is>
      </c>
      <c r="U238" s="9" t="n"/>
    </row>
    <row r="239" ht="12" customFormat="1" customHeight="1" s="37">
      <c r="A239" s="74" t="inlineStr">
        <is>
          <t>남양동 롯데</t>
        </is>
      </c>
      <c r="B239" s="75" t="inlineStr">
        <is>
          <t>90.09.</t>
        </is>
      </c>
      <c r="C239" s="129" t="n">
        <v>450</v>
      </c>
      <c r="D239" s="130" t="n">
        <v>87.3</v>
      </c>
      <c r="E239" s="131" t="n">
        <v>26</v>
      </c>
      <c r="F239" s="130" t="n">
        <v>71.59999999999999</v>
      </c>
      <c r="G239" s="17" t="n">
        <v>22</v>
      </c>
      <c r="H239" s="132" t="n">
        <v>150</v>
      </c>
      <c r="I239" s="133" t="n">
        <v>27000</v>
      </c>
      <c r="J239" s="133" t="inlineStr">
        <is>
          <t>고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87</v>
      </c>
      <c r="U239" s="9" t="n"/>
    </row>
    <row r="240" ht="12" customFormat="1" customHeight="1" s="37">
      <c r="A240" s="74" t="inlineStr">
        <is>
          <t>대원동 대원대동황토방1차</t>
        </is>
      </c>
      <c r="B240" s="75" t="inlineStr">
        <is>
          <t>99.04.</t>
        </is>
      </c>
      <c r="C240" s="129" t="n">
        <v>486</v>
      </c>
      <c r="D240" s="130" t="n">
        <v>104.1</v>
      </c>
      <c r="E240" s="131" t="n">
        <v>31</v>
      </c>
      <c r="F240" s="130" t="n">
        <v>84.90000000000001</v>
      </c>
      <c r="G240" s="17" t="n">
        <v>26</v>
      </c>
      <c r="H240" s="132" t="n">
        <v>330</v>
      </c>
      <c r="I240" s="133" t="n">
        <v>26500</v>
      </c>
      <c r="J240" s="133" t="inlineStr">
        <is>
          <t>고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가음동 은아</t>
        </is>
      </c>
      <c r="B241" s="75" t="inlineStr">
        <is>
          <t>87.12.</t>
        </is>
      </c>
      <c r="C241" s="129" t="n">
        <v>500</v>
      </c>
      <c r="D241" s="130" t="n">
        <v>59.4</v>
      </c>
      <c r="E241" s="131" t="n">
        <v>18</v>
      </c>
      <c r="F241" s="130" t="n">
        <v>49.8</v>
      </c>
      <c r="G241" s="17" t="n">
        <v>15</v>
      </c>
      <c r="H241" s="132" t="n">
        <v>350</v>
      </c>
      <c r="I241" s="133" t="n">
        <v>25000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계</t>
        </is>
      </c>
      <c r="T241" s="5" t="inlineStr">
        <is>
          <t>59A</t>
        </is>
      </c>
      <c r="U241" s="9" t="n"/>
    </row>
    <row r="242" ht="12" customFormat="1" customHeight="1" s="37">
      <c r="A242" s="74" t="inlineStr">
        <is>
          <t>남산동 남산효성해링턴플레이스</t>
        </is>
      </c>
      <c r="B242" s="75" t="inlineStr">
        <is>
          <t>18.06.</t>
        </is>
      </c>
      <c r="C242" s="129" t="n">
        <v>460</v>
      </c>
      <c r="D242" s="130" t="n">
        <v>79.59999999999999</v>
      </c>
      <c r="E242" s="131" t="n">
        <v>24</v>
      </c>
      <c r="F242" s="130" t="n">
        <v>59.9</v>
      </c>
      <c r="G242" s="17" t="n">
        <v>18</v>
      </c>
      <c r="H242" s="132" t="n">
        <v>140</v>
      </c>
      <c r="I242" s="133" t="n">
        <v>25000</v>
      </c>
      <c r="J242" s="133" t="inlineStr">
        <is>
          <t>중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inlineStr">
        <is>
          <t>79A</t>
        </is>
      </c>
      <c r="U242" s="9" t="n"/>
    </row>
    <row r="243" ht="12" customFormat="1" customHeight="1" s="37">
      <c r="A243" s="74" t="inlineStr">
        <is>
          <t>안민동 한솔마을대동</t>
        </is>
      </c>
      <c r="B243" s="75" t="inlineStr">
        <is>
          <t>99.05.</t>
        </is>
      </c>
      <c r="C243" s="129" t="n">
        <v>640</v>
      </c>
      <c r="D243" s="130" t="n">
        <v>108.1</v>
      </c>
      <c r="E243" s="131" t="n">
        <v>33</v>
      </c>
      <c r="F243" s="130" t="n">
        <v>85</v>
      </c>
      <c r="G243" s="17" t="n">
        <v>26</v>
      </c>
      <c r="H243" s="132" t="n">
        <v>500</v>
      </c>
      <c r="I243" s="133" t="n">
        <v>23000</v>
      </c>
      <c r="J243" s="133" t="inlineStr">
        <is>
          <t>고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108</v>
      </c>
      <c r="U243" s="9" t="n"/>
    </row>
    <row r="244" ht="12" customFormat="1" customHeight="1" s="37">
      <c r="A244" s="74" t="inlineStr">
        <is>
          <t>안민동 안민청솔마을대동</t>
        </is>
      </c>
      <c r="B244" s="75" t="inlineStr">
        <is>
          <t>99.06.</t>
        </is>
      </c>
      <c r="C244" s="129" t="n">
        <v>920</v>
      </c>
      <c r="D244" s="130" t="n">
        <v>107.4</v>
      </c>
      <c r="E244" s="131" t="n">
        <v>32</v>
      </c>
      <c r="F244" s="130" t="n">
        <v>85</v>
      </c>
      <c r="G244" s="17" t="n">
        <v>26</v>
      </c>
      <c r="H244" s="132" t="n">
        <v>537</v>
      </c>
      <c r="I244" s="133" t="n">
        <v>22000</v>
      </c>
      <c r="J244" s="133" t="inlineStr">
        <is>
          <t>고</t>
        </is>
      </c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n">
        <v>107</v>
      </c>
      <c r="U244" s="9" t="n"/>
    </row>
    <row r="245" ht="12" customFormat="1" customHeight="1" s="37">
      <c r="A245" s="74" t="inlineStr">
        <is>
          <t>남산동 한양</t>
        </is>
      </c>
      <c r="B245" s="75" t="inlineStr">
        <is>
          <t>86.05.</t>
        </is>
      </c>
      <c r="C245" s="129" t="n">
        <v>332</v>
      </c>
      <c r="D245" s="130" t="n">
        <v>116.4</v>
      </c>
      <c r="E245" s="131" t="n">
        <v>35</v>
      </c>
      <c r="F245" s="130" t="n">
        <v>84.8</v>
      </c>
      <c r="G245" s="17" t="n">
        <v>26</v>
      </c>
      <c r="H245" s="132" t="n">
        <v>48</v>
      </c>
      <c r="I245" s="133" t="n">
        <v>19000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복</t>
        </is>
      </c>
      <c r="T245" s="5" t="n">
        <v>116</v>
      </c>
      <c r="U245" s="9" t="n"/>
    </row>
    <row r="246" ht="12" customFormat="1" customHeight="1" s="37">
      <c r="A246" s="74" t="inlineStr">
        <is>
          <t>안민동 안민청솔마을대동</t>
        </is>
      </c>
      <c r="B246" s="75" t="inlineStr">
        <is>
          <t>99.06.</t>
        </is>
      </c>
      <c r="C246" s="129" t="n">
        <v>920</v>
      </c>
      <c r="D246" s="130" t="n">
        <v>79.59999999999999</v>
      </c>
      <c r="E246" s="131" t="n">
        <v>24</v>
      </c>
      <c r="F246" s="130" t="n">
        <v>60</v>
      </c>
      <c r="G246" s="17" t="n">
        <v>18</v>
      </c>
      <c r="H246" s="132" t="n">
        <v>217</v>
      </c>
      <c r="I246" s="133" t="n">
        <v>18500</v>
      </c>
      <c r="J246" s="133" t="inlineStr">
        <is>
          <t>18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2</v>
      </c>
      <c r="R246" s="120" t="n">
        <v>1</v>
      </c>
      <c r="S246" s="120" t="inlineStr">
        <is>
          <t>계</t>
        </is>
      </c>
      <c r="T246" s="5" t="n">
        <v>79</v>
      </c>
      <c r="U246" s="9" t="n"/>
    </row>
    <row r="247" ht="12" customFormat="1" customHeight="1" s="37">
      <c r="A247" s="74" t="inlineStr">
        <is>
          <t>가음정동 소라</t>
        </is>
      </c>
      <c r="B247" s="75" t="inlineStr">
        <is>
          <t>90.01.</t>
        </is>
      </c>
      <c r="C247" s="129" t="n">
        <v>348</v>
      </c>
      <c r="D247" s="130" t="n">
        <v>102.1</v>
      </c>
      <c r="E247" s="131" t="n">
        <v>31</v>
      </c>
      <c r="F247" s="130" t="n">
        <v>84.8</v>
      </c>
      <c r="G247" s="17" t="n">
        <v>26</v>
      </c>
      <c r="H247" s="132" t="n">
        <v>96</v>
      </c>
      <c r="I247" s="133" t="n">
        <v>18000</v>
      </c>
      <c r="J247" s="133" t="inlineStr">
        <is>
          <t>고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n">
        <v>102</v>
      </c>
      <c r="U247" s="9" t="n"/>
    </row>
    <row r="248" ht="12" customFormat="1" customHeight="1" s="37">
      <c r="A248" s="74" t="inlineStr">
        <is>
          <t>안민동 한솔마을대동</t>
        </is>
      </c>
      <c r="B248" s="75" t="inlineStr">
        <is>
          <t>99.05.</t>
        </is>
      </c>
      <c r="C248" s="129" t="n">
        <v>640</v>
      </c>
      <c r="D248" s="130" t="n">
        <v>75.3</v>
      </c>
      <c r="E248" s="131" t="n">
        <v>23</v>
      </c>
      <c r="F248" s="130" t="n">
        <v>59.2</v>
      </c>
      <c r="G248" s="17" t="n">
        <v>18</v>
      </c>
      <c r="H248" s="132" t="n">
        <v>120</v>
      </c>
      <c r="I248" s="133" t="n">
        <v>18000</v>
      </c>
      <c r="J248" s="133" t="inlineStr">
        <is>
          <t>중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75</v>
      </c>
      <c r="U248" s="9" t="n"/>
    </row>
    <row r="249" ht="12" customFormat="1" customHeight="1" s="37">
      <c r="A249" s="74" t="inlineStr">
        <is>
          <t>남산동 대우2차</t>
        </is>
      </c>
      <c r="B249" s="75" t="inlineStr">
        <is>
          <t>91.09.</t>
        </is>
      </c>
      <c r="C249" s="129" t="n">
        <v>408</v>
      </c>
      <c r="D249" s="130" t="n">
        <v>84.59999999999999</v>
      </c>
      <c r="E249" s="131" t="n">
        <v>26</v>
      </c>
      <c r="F249" s="130" t="n">
        <v>68.09999999999999</v>
      </c>
      <c r="G249" s="17" t="n">
        <v>21</v>
      </c>
      <c r="H249" s="132" t="n">
        <v>72</v>
      </c>
      <c r="I249" s="133" t="n">
        <v>17000</v>
      </c>
      <c r="J249" s="133" t="inlineStr">
        <is>
          <t>11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1</v>
      </c>
      <c r="S249" s="120" t="inlineStr">
        <is>
          <t>계</t>
        </is>
      </c>
      <c r="T249" s="5" t="n">
        <v>84</v>
      </c>
      <c r="U249" s="9" t="n"/>
    </row>
    <row r="250" ht="12" customFormat="1" customHeight="1" s="37">
      <c r="A250" s="74" t="inlineStr">
        <is>
          <t>신촌동 성원</t>
        </is>
      </c>
      <c r="B250" s="75" t="inlineStr">
        <is>
          <t>87.06.</t>
        </is>
      </c>
      <c r="C250" s="129" t="n">
        <v>410</v>
      </c>
      <c r="D250" s="130" t="n">
        <v>59.2</v>
      </c>
      <c r="E250" s="131" t="n">
        <v>18</v>
      </c>
      <c r="F250" s="130" t="n">
        <v>52.7</v>
      </c>
      <c r="G250" s="17" t="n">
        <v>16</v>
      </c>
      <c r="H250" s="132" t="n">
        <v>90</v>
      </c>
      <c r="I250" s="133" t="n">
        <v>12000</v>
      </c>
      <c r="J250" s="133" t="inlineStr">
        <is>
          <t>중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2</v>
      </c>
      <c r="R250" s="120" t="n">
        <v>1</v>
      </c>
      <c r="S250" s="120" t="inlineStr">
        <is>
          <t>계</t>
        </is>
      </c>
      <c r="T250" s="5" t="n">
        <v>59</v>
      </c>
      <c r="U250" s="9" t="n"/>
    </row>
    <row r="251" ht="12" customFormat="1" customHeight="1" s="37">
      <c r="A251" s="74" t="inlineStr">
        <is>
          <t>가음정동 소라</t>
        </is>
      </c>
      <c r="B251" s="75" t="inlineStr">
        <is>
          <t>90.01.</t>
        </is>
      </c>
      <c r="C251" s="129" t="n">
        <v>348</v>
      </c>
      <c r="D251" s="130" t="n">
        <v>83.3</v>
      </c>
      <c r="E251" s="131" t="n">
        <v>25</v>
      </c>
      <c r="F251" s="130" t="n">
        <v>59.9</v>
      </c>
      <c r="G251" s="17" t="n">
        <v>18</v>
      </c>
      <c r="H251" s="132" t="n">
        <v>252</v>
      </c>
      <c r="I251" s="133" t="n">
        <v>11800</v>
      </c>
      <c r="J251" s="133" t="inlineStr">
        <is>
          <t>12</t>
        </is>
      </c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1</v>
      </c>
      <c r="S251" s="120" t="inlineStr">
        <is>
          <t>복</t>
        </is>
      </c>
      <c r="T251" s="5" t="n">
        <v>83</v>
      </c>
      <c r="U251" s="9" t="n"/>
    </row>
    <row r="252" ht="12" customFormat="1" customHeight="1" s="37">
      <c r="A252" s="74" t="inlineStr">
        <is>
          <t>남산동 대우1차</t>
        </is>
      </c>
      <c r="B252" s="75" t="inlineStr">
        <is>
          <t>91.09.</t>
        </is>
      </c>
      <c r="C252" s="129" t="n">
        <v>636</v>
      </c>
      <c r="D252" s="130" t="n">
        <v>66.2</v>
      </c>
      <c r="E252" s="131" t="n">
        <v>20</v>
      </c>
      <c r="F252" s="130" t="n">
        <v>48.8</v>
      </c>
      <c r="G252" s="17" t="n">
        <v>15</v>
      </c>
      <c r="H252" s="132" t="n">
        <v>60</v>
      </c>
      <c r="I252" s="133" t="n">
        <v>10000</v>
      </c>
      <c r="J252" s="133" t="inlineStr">
        <is>
          <t>10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복</t>
        </is>
      </c>
      <c r="T252" s="5" t="n">
        <v>66</v>
      </c>
      <c r="U252" s="9" t="n"/>
    </row>
    <row r="253" ht="12" customFormat="1" customHeight="1" s="37">
      <c r="A253" s="74" t="inlineStr">
        <is>
          <t>남산동 대우2차</t>
        </is>
      </c>
      <c r="B253" s="75" t="inlineStr">
        <is>
          <t>91.09.</t>
        </is>
      </c>
      <c r="C253" s="129" t="n">
        <v>408</v>
      </c>
      <c r="D253" s="130" t="n">
        <v>65.09999999999999</v>
      </c>
      <c r="E253" s="131" t="n">
        <v>20</v>
      </c>
      <c r="F253" s="130" t="n">
        <v>48.8</v>
      </c>
      <c r="G253" s="17" t="n">
        <v>15</v>
      </c>
      <c r="H253" s="132" t="n">
        <v>192</v>
      </c>
      <c r="I253" s="133" t="n">
        <v>9500</v>
      </c>
      <c r="J253" s="133" t="inlineStr">
        <is>
          <t>9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복</t>
        </is>
      </c>
      <c r="T253" s="5" t="n">
        <v>65</v>
      </c>
      <c r="U253" s="9" t="n"/>
    </row>
    <row r="254" ht="12" customFormat="1" customHeight="1" s="37">
      <c r="A254" s="74" t="inlineStr">
        <is>
          <t>남산동 한양</t>
        </is>
      </c>
      <c r="B254" s="75" t="inlineStr">
        <is>
          <t>86.05.</t>
        </is>
      </c>
      <c r="C254" s="129" t="n">
        <v>332</v>
      </c>
      <c r="D254" s="130" t="n">
        <v>59.5</v>
      </c>
      <c r="E254" s="131" t="n">
        <v>18</v>
      </c>
      <c r="F254" s="130" t="n">
        <v>43.6</v>
      </c>
      <c r="G254" s="17" t="n">
        <v>13</v>
      </c>
      <c r="H254" s="132" t="n">
        <v>70</v>
      </c>
      <c r="I254" s="133" t="n">
        <v>8500</v>
      </c>
      <c r="J254" s="133" t="inlineStr">
        <is>
          <t>9</t>
        </is>
      </c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복</t>
        </is>
      </c>
      <c r="T254" s="5" t="n">
        <v>59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N3:N254"/>
    </sortState>
  </autoFilter>
  <mergeCells count="3">
    <mergeCell ref="J1:K1"/>
    <mergeCell ref="N1:O1"/>
    <mergeCell ref="Q1:S1"/>
  </mergeCells>
  <conditionalFormatting sqref="N2">
    <cfRule type="cellIs" priority="44306" operator="greaterThan" dxfId="17">
      <formula>0.9</formula>
    </cfRule>
    <cfRule type="cellIs" priority="44307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2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4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4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4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4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4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4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4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5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5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5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6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6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6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7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7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8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0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0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1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1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3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4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6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6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6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0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0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0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1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1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1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1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3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4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54">
    <cfRule type="expression" priority="82744" dxfId="3">
      <formula>AND(IF(OR($Q4=1,$Q4=2),1,0),IF(#REF!&lt;=20,1,0))</formula>
    </cfRule>
    <cfRule type="expression" priority="82745" dxfId="2">
      <formula>AND(IF($Q4=2,1,0),IF(#REF!&lt;30,1,0))</formula>
    </cfRule>
    <cfRule type="expression" priority="82746" dxfId="1">
      <formula>AND(IF($Q4=3,1,0),IF(#REF!&lt;30,1,0))</formula>
    </cfRule>
    <cfRule type="expression" priority="827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0"/>
    <col width="17.5" customWidth="1" style="119" min="51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용호동</t>
        </is>
      </c>
      <c r="E4" s="119" t="inlineStr">
        <is>
          <t>가음동</t>
        </is>
      </c>
      <c r="F4" s="119" t="inlineStr">
        <is>
          <t>대방동</t>
        </is>
      </c>
      <c r="G4" s="119" t="inlineStr">
        <is>
          <t>대원동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  <c r="D5" s="50" t="inlineStr">
        <is>
          <t>반림동</t>
        </is>
      </c>
      <c r="F5" s="50" t="inlineStr">
        <is>
          <t>성주동</t>
        </is>
      </c>
    </row>
    <row r="6">
      <c r="A6" s="118" t="inlineStr">
        <is>
          <t>동3</t>
        </is>
      </c>
      <c r="F6" s="50" t="inlineStr">
        <is>
          <t xml:space="preserve">남양동 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 t="n"/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3">
      <c r="A8" s="142" t="n">
        <v>8</v>
      </c>
      <c r="B8" s="57" t="inlineStr">
        <is>
          <t>~</t>
        </is>
      </c>
      <c r="C8" s="143" t="n"/>
      <c r="D8" s="58" t="inlineStr">
        <is>
          <t>용지더샵레이크파크(34평/10.4)_x000D_
용지아이파크(34평/9.8)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3">
      <c r="A9" s="144" t="n">
        <v>7</v>
      </c>
      <c r="B9" s="59" t="inlineStr">
        <is>
          <t>~</t>
        </is>
      </c>
      <c r="C9" s="145" t="n">
        <v>8</v>
      </c>
      <c r="D9" s="58" t="inlineStr">
        <is>
          <t>용지더샵레이크파크(26평/7.5)_x000D_
롯데맨션1단지(26평/7.9)_x000D_
롯데맨션2단지(23평/7.2)</t>
        </is>
      </c>
      <c r="E9" s="58" t="inlineStr">
        <is>
          <t>창원센텀푸르지오(34평/7.4)_x000D_
창원더샵센트럴파크2단지(34평/7.0)_x000D_
창원더샵센트럴파크1단지(33평/7.0)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트리비앙(34평/6.4)_x000D_
롯데맨션1단지(22평/6.8)_x000D_
트리비앙(31평/6.0)</t>
        </is>
      </c>
      <c r="E10" s="56" t="inlineStr">
        <is>
          <t>창원더샵센트럴파크3단지(33평/6.8)_x000D_
창원센텀푸르지오(30평/6.5)_x000D_
창원가음한화꿈에그린(34평/6.7)_x000D_
창원가음한화꿈에그린(29평/6.5)_x000D_
창원더샵센트럴파크3단지(28평/6.0)</t>
        </is>
      </c>
      <c r="F10" s="56" t="n"/>
      <c r="G10" s="56" t="inlineStr">
        <is>
          <t>포레나대원(29평/6.7)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노블파크(34평/5.6)_x000D_
노블파크(31평/5.7)</t>
        </is>
      </c>
      <c r="E11" s="56" t="inlineStr">
        <is>
          <t>창원센텀푸르지오(26평/5.9)_x000D_
창원더샵센트럴파크2단지(24평/5.6)_x000D_
창원가음한화꿈에그린(24평/5.5)</t>
        </is>
      </c>
      <c r="F11" s="56" t="inlineStr">
        <is>
          <t>한림푸르지오(33평/5.2)_x000D_
프리빌리지2차(34평/5.0)_x000D_
프리빌리지(33평/5.1)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노블파크(25평/4.9)_x000D_
트리비앙(26평/4.4)_x000D_
현대(31평/4.8)_x000D_
현대2차(31평/4.7)_x000D_
반림럭키(31평/4.0)_x000D_
용지무학(20평/4.2)_x000D_
일동(20평/4.0)</t>
        </is>
      </c>
      <c r="E12" s="56" t="n"/>
      <c r="F12" s="56" t="inlineStr">
        <is>
          <t>대방대동황토방(34평/4.4)_x000D_
대동디지털황토(35평/4.2)_x000D_
유니온빌리지(33평/4.2)_x000D_
성주효성해링턴코트(33평/4.9)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현대(26평/3.8)_x000D_
현대2차(26평/3.9)_x000D_
용지무학(18평/3.6)_x000D_
일동(17평/3.6)_x000D_
반림럭키(28평/3.9)</t>
        </is>
      </c>
      <c r="E13" s="61" t="inlineStr">
        <is>
          <t>럭키(17평/3.9)_x000D_
럭키(20평/3.5)</t>
        </is>
      </c>
      <c r="F13" s="61" t="inlineStr">
        <is>
          <t>대방덕산타운(31평/3.0)_x000D_
대방덕산타운2차(32평/3.6)_x000D_
대방대동(31평/3.5)_x000D_
대방덕산타운2차(28평/3.0)_x000D_
대방동성(33평/3.7)_x000D_
대동디지털황토(26평/3.2)</t>
        </is>
      </c>
      <c r="G13" s="61" t="inlineStr">
        <is>
          <t>현대(17평/3.5)_x000D_
현대(15평/3.0)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반림럭키(24평/2.8)</t>
        </is>
      </c>
      <c r="E14" s="61" t="inlineStr">
        <is>
          <t>은아(18평/2.5)</t>
        </is>
      </c>
      <c r="F14" s="61" t="inlineStr">
        <is>
          <t>성원남산3차(301~308동)(32평/2.9)_x000D_
대방동성(23평/2.6)_x000D_
대방덕산타운2차(24평/2.7)_x000D_
대방대동황토방(25평/2.9)</t>
        </is>
      </c>
      <c r="G14" s="61" t="inlineStr">
        <is>
          <t>대원대동황토방1차(31평/2.7)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반림럭키(20평/2.3)_x000D_
현대2차(17평/2.3)</t>
        </is>
      </c>
      <c r="E15" s="61" t="n"/>
      <c r="F15" s="61" t="inlineStr">
        <is>
          <t>대방대동(23평/2.3)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n"/>
      <c r="F16" s="63" t="inlineStr">
        <is>
          <t>성원남산3차(301~308동)(24평/1.9)_x000D_
대방그린빌(21평/1.7)_x000D_
성원남산3차(301~308동)(21평/1.6)_x000D_
대방그린빌(16평/1.5)_x000D_
대방개나리1차(21평/1.9)_x000D_
대방덕산타운(21평/1.8)_x000D_
대방대동(21평/1.9)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n"/>
      <c r="F17" s="63" t="n"/>
      <c r="G17" s="63" t="inlineStr">
        <is>
          <t>대원파크빌(20평/1.2)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3">
      <c r="A21" s="142">
        <f>IF(A8="","",A8)</f>
        <v/>
      </c>
      <c r="B21" s="57">
        <f>IF(B8="","",B8)</f>
        <v/>
      </c>
      <c r="C21" s="143">
        <f>IF(C8="","",C8)</f>
        <v/>
      </c>
      <c r="D21" s="58" t="inlineStr">
        <is>
          <t>용지더샵레이크파크('17/10.4)_x000D_
용지아이파크('17/9.8)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inlineStr">
        <is>
          <t>창원센텀푸르지오('18/7.4)_x000D_
창원더샵센트럴파크2단지('17/7.0)_x000D_
창원더샵센트럴파크1단지('17/7.0)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트리비앙('06/6.4)_x000D_
트리비앙('06/6.0)</t>
        </is>
      </c>
      <c r="E23" s="56" t="inlineStr">
        <is>
          <t>창원더샵센트럴파크3단지('17/6.8)_x000D_
창원센텀푸르지오('18/6.5)_x000D_
창원가음한화꿈에그린('17/6.7)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노블파크('07/5.6)_x000D_
노블파크('07/5.7)</t>
        </is>
      </c>
      <c r="E24" s="56" t="n"/>
      <c r="F24" s="56" t="inlineStr">
        <is>
          <t>한림푸르지오('03/5.2)_x000D_
프리빌리지2차('10/5.0)_x000D_
프리빌리지('03/5.1)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현대('89/4.8)_x000D_
현대2차('89/4.7)_x000D_
반림럭키('89/4.0)</t>
        </is>
      </c>
      <c r="E25" s="56" t="n"/>
      <c r="F25" s="56" t="inlineStr">
        <is>
          <t>대방대동황토방('01/4.4)_x000D_
대동디지털황토('01/4.2)_x000D_
유니온빌리지('05/4.2)_x000D_
성주효성해링턴코트('13/4.9)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n"/>
      <c r="F26" s="61" t="inlineStr">
        <is>
          <t>대방덕산타운('92/3.0)_x000D_
대방덕산타운2차('96/3.6)_x000D_
대방대동('92/3.5)_x000D_
대방동성('96/3.7)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8">
        <f>IF(A14="","",A14)</f>
        <v/>
      </c>
      <c r="B27" s="60">
        <f>IF(B14="","",B14)</f>
        <v/>
      </c>
      <c r="C27" s="149">
        <f>IF(C14="","",C14)</f>
        <v/>
      </c>
      <c r="D27" s="61" t="n"/>
      <c r="E27" s="61" t="n"/>
      <c r="F27" s="61" t="inlineStr">
        <is>
          <t>성원남산3차(301~308동)('92/2.9)</t>
        </is>
      </c>
      <c r="G27" s="61" t="inlineStr">
        <is>
          <t>대원대동황토방1차('99/2.7)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 ht="36" customHeight="1" s="123">
      <c r="A35" s="144">
        <f>IF(A22="","",A22)</f>
        <v/>
      </c>
      <c r="B35" s="59">
        <f>IF(B22="","",B22)</f>
        <v/>
      </c>
      <c r="C35" s="145">
        <f>IF(C22="","",C22)</f>
        <v/>
      </c>
      <c r="D35" s="58" t="inlineStr">
        <is>
          <t>용지더샵레이크파크('17/7.5)_x000D_
롯데맨션1단지('84/7.9)_x000D_
롯데맨션2단지('88/7.2)</t>
        </is>
      </c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3">
      <c r="A36" s="146">
        <f>IF(A23="","",A23)</f>
        <v/>
      </c>
      <c r="B36" s="55">
        <f>IF(B23="","",B23)</f>
        <v/>
      </c>
      <c r="C36" s="147">
        <f>IF(C23="","",C23)</f>
        <v/>
      </c>
      <c r="D36" s="56" t="inlineStr">
        <is>
          <t>롯데맨션1단지('84/6.8)</t>
        </is>
      </c>
      <c r="E36" s="56" t="inlineStr">
        <is>
          <t>창원가음한화꿈에그린('17/6.5)_x000D_
창원더샵센트럴파크3단지('17/6.0)</t>
        </is>
      </c>
      <c r="F36" s="56" t="n"/>
      <c r="G36" s="56" t="inlineStr">
        <is>
          <t>포레나대원('18/6.7)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inlineStr">
        <is>
          <t>창원센텀푸르지오('18/5.9)_x000D_
창원더샵센트럴파크2단지('17/5.6)_x000D_
창원가음한화꿈에그린('17/5.5)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48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노블파크('07/4.9)_x000D_
트리비앙('06/4.4)_x000D_
용지무학('87/4.2)_x000D_
일동('86/4.0)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현대('89/3.8)_x000D_
현대2차('89/3.9)_x000D_
반림럭키('89/3.9)</t>
        </is>
      </c>
      <c r="E39" s="61" t="n"/>
      <c r="F39" s="61" t="inlineStr">
        <is>
          <t>대방덕산타운2차('96/3.0)_x000D_
대동디지털황토('01/3.2)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inlineStr">
        <is>
          <t>대방동성('96/2.6)_x000D_
대방덕산타운2차('96/2.7)_x000D_
대방대동황토방('01/2.9)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n"/>
      <c r="F42" s="63" t="inlineStr">
        <is>
          <t>성원남산3차(301~308동)('92/1.9)_x000D_
성원남산3차(301~308동)('92/1.6)_x000D_
대방개나리1차('92/1.9)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n"/>
      <c r="G43" s="63" t="inlineStr">
        <is>
          <t>대원파크빌('97/1.2)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inlineStr">
        <is>
          <t>럭키('80/3.5)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inlineStr">
        <is>
          <t>반림럭키('89/2.8)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inlineStr">
        <is>
          <t>반림럭키('89/2.3)</t>
        </is>
      </c>
      <c r="E54" s="61" t="n"/>
      <c r="F54" s="61" t="inlineStr">
        <is>
          <t>대방대동('92/2.3)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대방그린빌('96/1.7)_x000D_
대방덕산타운('92/1.8)_x000D_
대방대동('92/1.9)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23">
      <c r="A65" s="148">
        <f>IF(A52="","",A52)</f>
        <v/>
      </c>
      <c r="B65" s="60">
        <f>IF(B52="","",B52)</f>
        <v/>
      </c>
      <c r="C65" s="149">
        <f>IF(C52="","",C52)</f>
        <v/>
      </c>
      <c r="D65" s="61" t="inlineStr">
        <is>
          <t>용지무학('87/3.6)_x000D_
일동('86/3.6)</t>
        </is>
      </c>
      <c r="E65" s="61" t="inlineStr">
        <is>
          <t>럭키('80/3.9)</t>
        </is>
      </c>
      <c r="F65" s="61" t="n"/>
      <c r="G65" s="61" t="inlineStr">
        <is>
          <t>현대('79/3.5)_x000D_
현대('79/3.0)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inlineStr">
        <is>
          <t>은아('87/2.5)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inlineStr">
        <is>
          <t>현대2차('89/2.3)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대방그린빌('96/1.5)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75"/>
  <sheetViews>
    <sheetView zoomScaleNormal="100" workbookViewId="0">
      <selection activeCell="Q11" sqref="Q11"/>
    </sheetView>
  </sheetViews>
  <sheetFormatPr baseColWidth="8" defaultRowHeight="16.5"/>
  <sheetData>
    <row r="1">
      <c r="A1" s="0" t="inlineStr">
        <is>
          <t>[가음동]</t>
        </is>
      </c>
      <c r="B1" s="0" t="n">
        <v>15721</v>
      </c>
      <c r="C1" s="0" t="n">
        <v>1</v>
      </c>
      <c r="D1" s="0" t="inlineStr">
        <is>
          <t>태주</t>
        </is>
      </c>
      <c r="E1" s="0" t="inlineStr">
        <is>
          <t>1988.05.</t>
        </is>
      </c>
      <c r="F1" s="0" t="n">
        <v>80</v>
      </c>
      <c r="G1" s="0" t="n">
        <v>13.99</v>
      </c>
      <c r="H1" s="0" t="n">
        <v>46.28</v>
      </c>
      <c r="I1" s="0" t="n">
        <v>10.18</v>
      </c>
      <c r="J1" s="0" t="n">
        <v>33.66</v>
      </c>
      <c r="K1" s="0" t="n">
        <v>40</v>
      </c>
      <c r="T1" s="0" t="n">
        <v>2</v>
      </c>
      <c r="U1" s="0" t="n">
        <v>1</v>
      </c>
      <c r="V1" s="0" t="inlineStr">
        <is>
          <t>계단식</t>
        </is>
      </c>
      <c r="W1" s="0" t="n">
        <v>46</v>
      </c>
      <c r="X1" s="0" t="n">
        <v>5</v>
      </c>
      <c r="Y1" s="0" t="n">
        <v>5</v>
      </c>
      <c r="Z1" s="0" t="inlineStr">
        <is>
          <t>https://new.land.naver.com/complexes/15721?tab=detail&amp;rf=Y</t>
        </is>
      </c>
      <c r="AA1" s="0" t="inlineStr">
        <is>
          <t>경상남도 창원시 성산구 가음동 20-12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성산구</t>
        </is>
      </c>
      <c r="AE1" s="0" t="inlineStr">
        <is>
          <t>가음동</t>
        </is>
      </c>
      <c r="AG1" s="0" t="inlineStr">
        <is>
          <t>경상남도 창원시 성산구 대정로 26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[가음동]</t>
        </is>
      </c>
      <c r="B2" s="0" t="n">
        <v>15721</v>
      </c>
      <c r="C2" s="0" t="n">
        <v>2</v>
      </c>
      <c r="D2" s="0" t="inlineStr">
        <is>
          <t>태주</t>
        </is>
      </c>
      <c r="E2" s="0" t="inlineStr">
        <is>
          <t>1988.05.</t>
        </is>
      </c>
      <c r="F2" s="0" t="n">
        <v>80</v>
      </c>
      <c r="G2" s="0" t="n">
        <v>15.94</v>
      </c>
      <c r="H2" s="0" t="n">
        <v>52.71</v>
      </c>
      <c r="I2" s="0" t="n">
        <v>11.59</v>
      </c>
      <c r="J2" s="0" t="n">
        <v>38.34</v>
      </c>
      <c r="K2" s="0" t="n">
        <v>20</v>
      </c>
      <c r="T2" s="0" t="n">
        <v>2</v>
      </c>
      <c r="U2" s="0" t="n">
        <v>1</v>
      </c>
      <c r="V2" s="0" t="inlineStr">
        <is>
          <t>계단식</t>
        </is>
      </c>
      <c r="W2" s="0" t="n">
        <v>52</v>
      </c>
      <c r="X2" s="0" t="n">
        <v>5</v>
      </c>
      <c r="Y2" s="0" t="n">
        <v>5</v>
      </c>
      <c r="Z2" s="0" t="inlineStr">
        <is>
          <t>https://new.land.naver.com/complexes/15721?tab=detail&amp;rf=Y</t>
        </is>
      </c>
      <c r="AA2" s="0" t="inlineStr">
        <is>
          <t>경상남도 창원시 성산구 가음동 20-12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성산구</t>
        </is>
      </c>
      <c r="AE2" s="0" t="inlineStr">
        <is>
          <t>가음동</t>
        </is>
      </c>
      <c r="AG2" s="0" t="inlineStr">
        <is>
          <t>경상남도 창원시 성산구 대정로 26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[가음동]</t>
        </is>
      </c>
      <c r="B3" s="0" t="n">
        <v>15721</v>
      </c>
      <c r="C3" s="0" t="n">
        <v>3</v>
      </c>
      <c r="D3" s="0" t="inlineStr">
        <is>
          <t>태주</t>
        </is>
      </c>
      <c r="E3" s="0" t="inlineStr">
        <is>
          <t>1988.05.</t>
        </is>
      </c>
      <c r="F3" s="0" t="n">
        <v>80</v>
      </c>
      <c r="G3" s="0" t="n">
        <v>16.8</v>
      </c>
      <c r="H3" s="0" t="n">
        <v>55.56</v>
      </c>
      <c r="I3" s="0" t="n">
        <v>12.22</v>
      </c>
      <c r="J3" s="0" t="n">
        <v>40.41</v>
      </c>
      <c r="K3" s="0" t="n">
        <v>20</v>
      </c>
      <c r="T3" s="0" t="n">
        <v>2</v>
      </c>
      <c r="U3" s="0" t="n">
        <v>1</v>
      </c>
      <c r="V3" s="0" t="inlineStr">
        <is>
          <t>계단식</t>
        </is>
      </c>
      <c r="W3" s="0" t="n">
        <v>55</v>
      </c>
      <c r="X3" s="0" t="n">
        <v>5</v>
      </c>
      <c r="Y3" s="0" t="n">
        <v>5</v>
      </c>
      <c r="Z3" s="0" t="inlineStr">
        <is>
          <t>https://new.land.naver.com/complexes/15721?tab=detail&amp;rf=Y</t>
        </is>
      </c>
      <c r="AA3" s="0" t="inlineStr">
        <is>
          <t>경상남도 창원시 성산구 가음동 20-12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성산구</t>
        </is>
      </c>
      <c r="AE3" s="0" t="inlineStr">
        <is>
          <t>가음동</t>
        </is>
      </c>
      <c r="AG3" s="0" t="inlineStr">
        <is>
          <t>경상남도 창원시 성산구 대정로 26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[가음동]</t>
        </is>
      </c>
      <c r="B4" s="0" t="n">
        <v>100881</v>
      </c>
      <c r="C4" s="0" t="n">
        <v>1</v>
      </c>
      <c r="D4" s="0" t="inlineStr">
        <is>
          <t>삼선</t>
        </is>
      </c>
      <c r="E4" s="0" t="inlineStr">
        <is>
          <t>1988.04.</t>
        </is>
      </c>
      <c r="F4" s="0" t="n">
        <v>130</v>
      </c>
      <c r="G4" s="0" t="n">
        <v>14.9</v>
      </c>
      <c r="H4" s="0" t="n">
        <v>49.27</v>
      </c>
      <c r="I4" s="0" t="n">
        <v>13.05</v>
      </c>
      <c r="J4" s="0" t="n">
        <v>43.16</v>
      </c>
      <c r="K4" s="0" t="n">
        <v>70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49B</t>
        </is>
      </c>
      <c r="X4" s="0" t="n">
        <v>5</v>
      </c>
      <c r="Y4" s="0" t="n">
        <v>5</v>
      </c>
      <c r="Z4" s="0" t="inlineStr">
        <is>
          <t>https://new.land.naver.com/complexes/100881?tab=detail&amp;rf=Y</t>
        </is>
      </c>
      <c r="AA4" s="0" t="inlineStr">
        <is>
          <t>경상남도 창원시 성산구 가음동 22-7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성산구</t>
        </is>
      </c>
      <c r="AE4" s="0" t="inlineStr">
        <is>
          <t>가음동</t>
        </is>
      </c>
      <c r="AG4" s="0" t="inlineStr">
        <is>
          <t>경상남도 창원시 성산구 원이대로883번길 11-3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[가음동]</t>
        </is>
      </c>
      <c r="B5" s="0" t="n">
        <v>100881</v>
      </c>
      <c r="C5" s="0" t="n">
        <v>2</v>
      </c>
      <c r="D5" s="0" t="inlineStr">
        <is>
          <t>삼선</t>
        </is>
      </c>
      <c r="E5" s="0" t="inlineStr">
        <is>
          <t>1988.04.</t>
        </is>
      </c>
      <c r="F5" s="0" t="n">
        <v>130</v>
      </c>
      <c r="G5" s="0" t="n">
        <v>14.87</v>
      </c>
      <c r="H5" s="0" t="n">
        <v>49.17</v>
      </c>
      <c r="I5" s="0" t="n">
        <v>13.02</v>
      </c>
      <c r="J5" s="0" t="n">
        <v>43.07</v>
      </c>
      <c r="K5" s="0" t="n">
        <v>30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49A</t>
        </is>
      </c>
      <c r="X5" s="0" t="n">
        <v>5</v>
      </c>
      <c r="Y5" s="0" t="n">
        <v>5</v>
      </c>
      <c r="Z5" s="0" t="inlineStr">
        <is>
          <t>https://new.land.naver.com/complexes/100881?tab=detail&amp;rf=Y</t>
        </is>
      </c>
      <c r="AA5" s="0" t="inlineStr">
        <is>
          <t>경상남도 창원시 성산구 가음동 22-7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성산구</t>
        </is>
      </c>
      <c r="AE5" s="0" t="inlineStr">
        <is>
          <t>가음동</t>
        </is>
      </c>
      <c r="AG5" s="0" t="inlineStr">
        <is>
          <t>경상남도 창원시 성산구 원이대로883번길 11-3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[가음동]</t>
        </is>
      </c>
      <c r="B6" s="0" t="n">
        <v>100881</v>
      </c>
      <c r="C6" s="0" t="n">
        <v>3</v>
      </c>
      <c r="D6" s="0" t="inlineStr">
        <is>
          <t>삼선</t>
        </is>
      </c>
      <c r="E6" s="0" t="inlineStr">
        <is>
          <t>1988.04.</t>
        </is>
      </c>
      <c r="F6" s="0" t="n">
        <v>130</v>
      </c>
      <c r="G6" s="0" t="n">
        <v>16.36</v>
      </c>
      <c r="H6" s="0" t="n">
        <v>54.11</v>
      </c>
      <c r="I6" s="0" t="n">
        <v>14.52</v>
      </c>
      <c r="J6" s="0" t="n">
        <v>48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54</v>
      </c>
      <c r="X6" s="0" t="n">
        <v>5</v>
      </c>
      <c r="Y6" s="0" t="n">
        <v>5</v>
      </c>
      <c r="Z6" s="0" t="inlineStr">
        <is>
          <t>https://new.land.naver.com/complexes/100881?tab=detail&amp;rf=Y</t>
        </is>
      </c>
      <c r="AA6" s="0" t="inlineStr">
        <is>
          <t>경상남도 창원시 성산구 가음동 22-7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성산구</t>
        </is>
      </c>
      <c r="AE6" s="0" t="inlineStr">
        <is>
          <t>가음동</t>
        </is>
      </c>
      <c r="AG6" s="0" t="inlineStr">
        <is>
          <t>경상남도 창원시 성산구 원이대로883번길 11-3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[가음동]</t>
        </is>
      </c>
      <c r="B7" s="0" t="n">
        <v>125838</v>
      </c>
      <c r="C7" s="0" t="n">
        <v>1</v>
      </c>
      <c r="D7" s="0" t="inlineStr">
        <is>
          <t>풍성전기사원</t>
        </is>
      </c>
      <c r="E7" s="0" t="inlineStr">
        <is>
          <t>1992.01.</t>
        </is>
      </c>
      <c r="F7" s="0" t="n">
        <v>65</v>
      </c>
      <c r="G7" s="0" t="n">
        <v>17.62</v>
      </c>
      <c r="H7" s="0" t="n">
        <v>58.27</v>
      </c>
      <c r="I7" s="0" t="n">
        <v>11.13</v>
      </c>
      <c r="J7" s="0" t="n">
        <v>36.81</v>
      </c>
      <c r="K7" s="0" t="n">
        <v>32</v>
      </c>
      <c r="T7" s="0" t="n">
        <v>3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https://new.land.naver.com/complexes/125838?tab=detail&amp;rf=Y</t>
        </is>
      </c>
      <c r="AA7" s="0" t="inlineStr">
        <is>
          <t>경상남도 창원시 성산구 가음동 24-6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성산구</t>
        </is>
      </c>
      <c r="AE7" s="0" t="inlineStr">
        <is>
          <t>가음동</t>
        </is>
      </c>
      <c r="AG7" s="0" t="inlineStr">
        <is>
          <t>경상남도 창원시 성산구 가음정로 107-28</t>
        </is>
      </c>
      <c r="AH7" s="0" t="n">
        <v>31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[가음동]</t>
        </is>
      </c>
      <c r="B8" s="0" t="n">
        <v>125838</v>
      </c>
      <c r="C8" s="0" t="n">
        <v>2</v>
      </c>
      <c r="D8" s="0" t="inlineStr">
        <is>
          <t>풍성전기사원</t>
        </is>
      </c>
      <c r="E8" s="0" t="inlineStr">
        <is>
          <t>1992.01.</t>
        </is>
      </c>
      <c r="F8" s="0" t="n">
        <v>65</v>
      </c>
      <c r="G8" s="0" t="n">
        <v>19.71</v>
      </c>
      <c r="H8" s="0" t="n">
        <v>65.16</v>
      </c>
      <c r="I8" s="0" t="n">
        <v>13.17</v>
      </c>
      <c r="J8" s="0" t="n">
        <v>43.56</v>
      </c>
      <c r="K8" s="0" t="n">
        <v>2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5</v>
      </c>
      <c r="Y8" s="0" t="n">
        <v>5</v>
      </c>
      <c r="Z8" s="0" t="inlineStr">
        <is>
          <t>https://new.land.naver.com/complexes/125838?tab=detail&amp;rf=Y</t>
        </is>
      </c>
      <c r="AA8" s="0" t="inlineStr">
        <is>
          <t>경상남도 창원시 성산구 가음동 24-6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성산구</t>
        </is>
      </c>
      <c r="AE8" s="0" t="inlineStr">
        <is>
          <t>가음동</t>
        </is>
      </c>
      <c r="AG8" s="0" t="inlineStr">
        <is>
          <t>경상남도 창원시 성산구 가음정로 107-28</t>
        </is>
      </c>
      <c r="AH8" s="0" t="n">
        <v>31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[가음동]</t>
        </is>
      </c>
      <c r="B9" s="0" t="n">
        <v>7598</v>
      </c>
      <c r="C9" s="0" t="n">
        <v>1</v>
      </c>
      <c r="D9" s="0" t="inlineStr">
        <is>
          <t>상록</t>
        </is>
      </c>
      <c r="E9" s="0" t="inlineStr">
        <is>
          <t>1981.03.</t>
        </is>
      </c>
      <c r="F9" s="0" t="n">
        <v>130</v>
      </c>
      <c r="G9" s="0" t="n">
        <v>12.34</v>
      </c>
      <c r="H9" s="0" t="n">
        <v>40.8</v>
      </c>
      <c r="I9" s="0" t="n">
        <v>10.42</v>
      </c>
      <c r="J9" s="0" t="n">
        <v>34.45</v>
      </c>
      <c r="K9" s="0" t="n">
        <v>130</v>
      </c>
      <c r="T9" s="0" t="n">
        <v>2</v>
      </c>
      <c r="U9" s="0" t="n">
        <v>1</v>
      </c>
      <c r="V9" s="0" t="inlineStr">
        <is>
          <t>복도식</t>
        </is>
      </c>
      <c r="W9" s="0" t="n">
        <v>40</v>
      </c>
      <c r="X9" s="0" t="n">
        <v>5</v>
      </c>
      <c r="Y9" s="0" t="n">
        <v>5</v>
      </c>
      <c r="Z9" s="0" t="inlineStr">
        <is>
          <t>https://new.land.naver.com/complexes/7598?tab=detail&amp;rf=Y</t>
        </is>
      </c>
      <c r="AA9" s="0" t="inlineStr">
        <is>
          <t>경상남도 창원시 성산구 가음동 24-3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성산구</t>
        </is>
      </c>
      <c r="AE9" s="0" t="inlineStr">
        <is>
          <t>가음동</t>
        </is>
      </c>
      <c r="AG9" s="0" t="inlineStr">
        <is>
          <t>경상남도 창원시 성산구 대정로 9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[가음동]</t>
        </is>
      </c>
      <c r="B10" s="0" t="n">
        <v>102434</v>
      </c>
      <c r="C10" s="0" t="n">
        <v>1</v>
      </c>
      <c r="D10" s="0" t="inlineStr">
        <is>
          <t>대동(24-11)</t>
        </is>
      </c>
      <c r="E10" s="0" t="inlineStr">
        <is>
          <t>1989.12.</t>
        </is>
      </c>
      <c r="F10" s="0" t="n">
        <v>70</v>
      </c>
      <c r="G10" s="0" t="n">
        <v>20.47</v>
      </c>
      <c r="H10" s="0" t="n">
        <v>67.67</v>
      </c>
      <c r="I10" s="0" t="n">
        <v>17.23</v>
      </c>
      <c r="J10" s="0" t="n">
        <v>56.97</v>
      </c>
      <c r="K10" s="0" t="n">
        <v>69</v>
      </c>
      <c r="T10" s="0" t="n">
        <v>2</v>
      </c>
      <c r="U10" s="0" t="n">
        <v>1</v>
      </c>
      <c r="V10" s="0" t="inlineStr">
        <is>
          <t>계단식</t>
        </is>
      </c>
      <c r="W10" s="0" t="inlineStr">
        <is>
          <t>67B</t>
        </is>
      </c>
      <c r="X10" s="0" t="n">
        <v>5</v>
      </c>
      <c r="Y10" s="0" t="n">
        <v>5</v>
      </c>
      <c r="Z10" s="0" t="inlineStr">
        <is>
          <t>https://new.land.naver.com/complexes/102434?tab=detail&amp;rf=Y</t>
        </is>
      </c>
      <c r="AA10" s="0" t="inlineStr">
        <is>
          <t>경상남도 창원시 성산구 가음동 24-11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성산구</t>
        </is>
      </c>
      <c r="AE10" s="0" t="inlineStr">
        <is>
          <t>가음동</t>
        </is>
      </c>
      <c r="AG10" s="0" t="inlineStr">
        <is>
          <t>경상남도 창원시 성산구 가음정로 113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[가음동]</t>
        </is>
      </c>
      <c r="B11" s="0" t="n">
        <v>102434</v>
      </c>
      <c r="C11" s="0" t="n">
        <v>2</v>
      </c>
      <c r="D11" s="0" t="inlineStr">
        <is>
          <t>대동(24-11)</t>
        </is>
      </c>
      <c r="E11" s="0" t="inlineStr">
        <is>
          <t>1989.12.</t>
        </is>
      </c>
      <c r="F11" s="0" t="n">
        <v>70</v>
      </c>
      <c r="G11" s="0" t="n">
        <v>20.45</v>
      </c>
      <c r="H11" s="0" t="n">
        <v>67.62</v>
      </c>
      <c r="I11" s="0" t="n">
        <v>17.21</v>
      </c>
      <c r="J11" s="0" t="n">
        <v>56.92</v>
      </c>
      <c r="K11" s="0" t="n">
        <v>1</v>
      </c>
      <c r="T11" s="0" t="n">
        <v>2</v>
      </c>
      <c r="U11" s="0" t="n">
        <v>1</v>
      </c>
      <c r="V11" s="0" t="inlineStr">
        <is>
          <t>계단식</t>
        </is>
      </c>
      <c r="W11" s="0" t="inlineStr">
        <is>
          <t>67A</t>
        </is>
      </c>
      <c r="X11" s="0" t="n">
        <v>5</v>
      </c>
      <c r="Y11" s="0" t="n">
        <v>5</v>
      </c>
      <c r="Z11" s="0" t="inlineStr">
        <is>
          <t>https://new.land.naver.com/complexes/102434?tab=detail&amp;rf=Y</t>
        </is>
      </c>
      <c r="AA11" s="0" t="inlineStr">
        <is>
          <t>경상남도 창원시 성산구 가음동 24-11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성산구</t>
        </is>
      </c>
      <c r="AE11" s="0" t="inlineStr">
        <is>
          <t>가음동</t>
        </is>
      </c>
      <c r="AG11" s="0" t="inlineStr">
        <is>
          <t>경상남도 창원시 성산구 가음정로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[가음동]</t>
        </is>
      </c>
      <c r="B12" s="0" t="n">
        <v>112175</v>
      </c>
      <c r="C12" s="0" t="n">
        <v>1</v>
      </c>
      <c r="D12" s="0" t="inlineStr">
        <is>
          <t>창원가음정한림풀에버</t>
        </is>
      </c>
      <c r="E12" s="0" t="inlineStr">
        <is>
          <t>2014.07.</t>
        </is>
      </c>
      <c r="F12" s="0" t="n">
        <v>266</v>
      </c>
      <c r="G12" s="0" t="n">
        <v>27.25</v>
      </c>
      <c r="H12" s="0" t="n">
        <v>90.09</v>
      </c>
      <c r="I12" s="0" t="n">
        <v>19.58</v>
      </c>
      <c r="J12" s="0" t="n">
        <v>64.76000000000001</v>
      </c>
      <c r="K12" s="0" t="n">
        <v>39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90A</t>
        </is>
      </c>
      <c r="X12" s="0" t="n">
        <v>29</v>
      </c>
      <c r="Y12" s="0" t="n">
        <v>16</v>
      </c>
      <c r="Z12" s="0" t="inlineStr">
        <is>
          <t>https://new.land.naver.com/complexes/112175?tab=detail&amp;rf=Y</t>
        </is>
      </c>
      <c r="AA12" s="0" t="inlineStr">
        <is>
          <t>경상남도 창원시 성산구 가음동 8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성산구</t>
        </is>
      </c>
      <c r="AE12" s="0" t="inlineStr">
        <is>
          <t>가음동</t>
        </is>
      </c>
      <c r="AG12" s="0" t="inlineStr">
        <is>
          <t>경상남도 창원시 성산구 가음정로23번길 10-21</t>
        </is>
      </c>
      <c r="AH12" s="0" t="n">
        <v>0</v>
      </c>
      <c r="AI12" s="0" t="n">
        <v>149</v>
      </c>
      <c r="AJ12" s="0" t="n">
        <v>12</v>
      </c>
      <c r="AK12" s="0" t="n">
        <v>297</v>
      </c>
      <c r="AL12" s="0" t="n">
        <v>1.12</v>
      </c>
    </row>
    <row r="13">
      <c r="A13" s="0" t="inlineStr">
        <is>
          <t>[가음동]</t>
        </is>
      </c>
      <c r="B13" s="0" t="n">
        <v>112175</v>
      </c>
      <c r="C13" s="0" t="n">
        <v>2</v>
      </c>
      <c r="D13" s="0" t="inlineStr">
        <is>
          <t>창원가음정한림풀에버</t>
        </is>
      </c>
      <c r="E13" s="0" t="inlineStr">
        <is>
          <t>2014.07.</t>
        </is>
      </c>
      <c r="F13" s="0" t="n">
        <v>266</v>
      </c>
      <c r="G13" s="0" t="n">
        <v>27.36</v>
      </c>
      <c r="H13" s="0" t="n">
        <v>90.45</v>
      </c>
      <c r="I13" s="0" t="n">
        <v>19.58</v>
      </c>
      <c r="J13" s="0" t="n">
        <v>64.75</v>
      </c>
      <c r="K13" s="0" t="n">
        <v>39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90B</t>
        </is>
      </c>
      <c r="X13" s="0" t="n">
        <v>29</v>
      </c>
      <c r="Y13" s="0" t="n">
        <v>16</v>
      </c>
      <c r="Z13" s="0" t="inlineStr">
        <is>
          <t>https://new.land.naver.com/complexes/112175?tab=detail&amp;rf=Y</t>
        </is>
      </c>
      <c r="AA13" s="0" t="inlineStr">
        <is>
          <t>경상남도 창원시 성산구 가음동 8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성산구</t>
        </is>
      </c>
      <c r="AE13" s="0" t="inlineStr">
        <is>
          <t>가음동</t>
        </is>
      </c>
      <c r="AG13" s="0" t="inlineStr">
        <is>
          <t>경상남도 창원시 성산구 가음정로23번길 10-21</t>
        </is>
      </c>
      <c r="AH13" s="0" t="n">
        <v>0</v>
      </c>
      <c r="AI13" s="0" t="n">
        <v>149</v>
      </c>
      <c r="AJ13" s="0" t="n">
        <v>12</v>
      </c>
      <c r="AK13" s="0" t="n">
        <v>297</v>
      </c>
      <c r="AL13" s="0" t="n">
        <v>1.12</v>
      </c>
    </row>
    <row r="14">
      <c r="A14" s="0" t="inlineStr">
        <is>
          <t>[가음동]</t>
        </is>
      </c>
      <c r="B14" s="0" t="n">
        <v>112175</v>
      </c>
      <c r="C14" s="0" t="n">
        <v>3</v>
      </c>
      <c r="D14" s="0" t="inlineStr">
        <is>
          <t>창원가음정한림풀에버</t>
        </is>
      </c>
      <c r="E14" s="0" t="inlineStr">
        <is>
          <t>2014.07.</t>
        </is>
      </c>
      <c r="F14" s="0" t="n">
        <v>266</v>
      </c>
      <c r="G14" s="0" t="n">
        <v>34.01</v>
      </c>
      <c r="H14" s="0" t="n">
        <v>112.44</v>
      </c>
      <c r="I14" s="0" t="n">
        <v>25.7</v>
      </c>
      <c r="J14" s="0" t="n">
        <v>84.98999999999999</v>
      </c>
      <c r="K14" s="0" t="n">
        <v>94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29</v>
      </c>
      <c r="Y14" s="0" t="n">
        <v>16</v>
      </c>
      <c r="Z14" s="0" t="inlineStr">
        <is>
          <t>https://new.land.naver.com/complexes/112175?tab=detail&amp;rf=Y</t>
        </is>
      </c>
      <c r="AA14" s="0" t="inlineStr">
        <is>
          <t>경상남도 창원시 성산구 가음동 8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성산구</t>
        </is>
      </c>
      <c r="AE14" s="0" t="inlineStr">
        <is>
          <t>가음동</t>
        </is>
      </c>
      <c r="AG14" s="0" t="inlineStr">
        <is>
          <t>경상남도 창원시 성산구 가음정로23번길 10-21</t>
        </is>
      </c>
      <c r="AH14" s="0" t="n">
        <v>0</v>
      </c>
      <c r="AI14" s="0" t="n">
        <v>149</v>
      </c>
      <c r="AJ14" s="0" t="n">
        <v>12</v>
      </c>
      <c r="AK14" s="0" t="n">
        <v>297</v>
      </c>
      <c r="AL14" s="0" t="n">
        <v>1.12</v>
      </c>
    </row>
    <row r="15">
      <c r="A15" s="0" t="inlineStr">
        <is>
          <t>[가음동]</t>
        </is>
      </c>
      <c r="B15" s="0" t="n">
        <v>112175</v>
      </c>
      <c r="C15" s="0" t="n">
        <v>4</v>
      </c>
      <c r="D15" s="0" t="inlineStr">
        <is>
          <t>창원가음정한림풀에버</t>
        </is>
      </c>
      <c r="E15" s="0" t="inlineStr">
        <is>
          <t>2014.07.</t>
        </is>
      </c>
      <c r="F15" s="0" t="n">
        <v>266</v>
      </c>
      <c r="G15" s="0" t="n">
        <v>34.12</v>
      </c>
      <c r="H15" s="0" t="n">
        <v>112.81</v>
      </c>
      <c r="I15" s="0" t="n">
        <v>25.68</v>
      </c>
      <c r="J15" s="0" t="n">
        <v>84.92</v>
      </c>
      <c r="K15" s="0" t="n">
        <v>94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112B</t>
        </is>
      </c>
      <c r="X15" s="0" t="n">
        <v>29</v>
      </c>
      <c r="Y15" s="0" t="n">
        <v>16</v>
      </c>
      <c r="Z15" s="0" t="inlineStr">
        <is>
          <t>https://new.land.naver.com/complexes/112175?tab=detail&amp;rf=Y</t>
        </is>
      </c>
      <c r="AA15" s="0" t="inlineStr">
        <is>
          <t>경상남도 창원시 성산구 가음동 8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성산구</t>
        </is>
      </c>
      <c r="AE15" s="0" t="inlineStr">
        <is>
          <t>가음동</t>
        </is>
      </c>
      <c r="AG15" s="0" t="inlineStr">
        <is>
          <t>경상남도 창원시 성산구 가음정로23번길 10-21</t>
        </is>
      </c>
      <c r="AH15" s="0" t="n">
        <v>0</v>
      </c>
      <c r="AI15" s="0" t="n">
        <v>149</v>
      </c>
      <c r="AJ15" s="0" t="n">
        <v>12</v>
      </c>
      <c r="AK15" s="0" t="n">
        <v>297</v>
      </c>
      <c r="AL15" s="0" t="n">
        <v>1.12</v>
      </c>
    </row>
    <row r="16">
      <c r="A16" s="0" t="inlineStr">
        <is>
          <t>[가음동]</t>
        </is>
      </c>
      <c r="B16" s="0" t="n">
        <v>128040</v>
      </c>
      <c r="C16" s="0" t="n">
        <v>1</v>
      </c>
      <c r="D16" s="0" t="inlineStr">
        <is>
          <t>풍성정밀사원</t>
        </is>
      </c>
      <c r="E16" s="0" t="inlineStr">
        <is>
          <t>1989.03.</t>
        </is>
      </c>
      <c r="F16" s="0" t="n">
        <v>50</v>
      </c>
      <c r="G16" s="0" t="n">
        <v>20.96</v>
      </c>
      <c r="H16" s="0" t="n">
        <v>69.3</v>
      </c>
      <c r="I16" s="0" t="n">
        <v>15.68</v>
      </c>
      <c r="J16" s="0" t="n">
        <v>51.84</v>
      </c>
      <c r="K16" s="0" t="n">
        <v>50</v>
      </c>
      <c r="T16" s="0" t="n">
        <v>2</v>
      </c>
      <c r="U16" s="0" t="n">
        <v>1</v>
      </c>
      <c r="V16" s="0" t="inlineStr">
        <is>
          <t>계단식</t>
        </is>
      </c>
      <c r="W16" s="0" t="n">
        <v>69</v>
      </c>
      <c r="X16" s="0" t="n">
        <v>5</v>
      </c>
      <c r="Y16" s="0" t="n">
        <v>5</v>
      </c>
      <c r="Z16" s="0" t="inlineStr">
        <is>
          <t>https://new.land.naver.com/complexes/128040?tab=detail&amp;rf=Y</t>
        </is>
      </c>
      <c r="AA16" s="0" t="inlineStr">
        <is>
          <t>경상남도 창원시 성산구 가음동 24-1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성산구</t>
        </is>
      </c>
      <c r="AE16" s="0" t="inlineStr">
        <is>
          <t>가음동</t>
        </is>
      </c>
      <c r="AG16" s="0" t="inlineStr">
        <is>
          <t>경상남도 창원시 성산구 가음정로 107-34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[가음동]</t>
        </is>
      </c>
      <c r="B17" s="0" t="n">
        <v>16765</v>
      </c>
      <c r="C17" s="0" t="n">
        <v>1</v>
      </c>
      <c r="D17" s="0" t="inlineStr">
        <is>
          <t>한국센트랄</t>
        </is>
      </c>
      <c r="E17" s="0" t="inlineStr">
        <is>
          <t>1987.12.</t>
        </is>
      </c>
      <c r="F17" s="0" t="n">
        <v>130</v>
      </c>
      <c r="G17" s="0" t="n">
        <v>14.8</v>
      </c>
      <c r="H17" s="0" t="n">
        <v>48.93</v>
      </c>
      <c r="I17" s="0" t="n">
        <v>11.88</v>
      </c>
      <c r="J17" s="0" t="n">
        <v>39.28</v>
      </c>
      <c r="K17" s="0" t="n">
        <v>80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48A</t>
        </is>
      </c>
      <c r="X17" s="0" t="n">
        <v>5</v>
      </c>
      <c r="Y17" s="0" t="n">
        <v>5</v>
      </c>
      <c r="Z17" s="0" t="inlineStr">
        <is>
          <t>https://new.land.naver.com/complexes/16765?tab=detail&amp;rf=Y</t>
        </is>
      </c>
      <c r="AA17" s="0" t="inlineStr">
        <is>
          <t>경상남도 창원시 성산구 가음동 22-4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성산구</t>
        </is>
      </c>
      <c r="AE17" s="0" t="inlineStr">
        <is>
          <t>가음동</t>
        </is>
      </c>
      <c r="AG17" s="0" t="inlineStr">
        <is>
          <t>경상남도 창원시 성산구 원이대로883번길 11-21</t>
        </is>
      </c>
      <c r="AH17" s="0" t="n">
        <v>0</v>
      </c>
      <c r="AI17" s="0" t="n">
        <v>141</v>
      </c>
      <c r="AJ17" s="0" t="n">
        <v>29</v>
      </c>
      <c r="AK17" s="0" t="n">
        <v>0</v>
      </c>
      <c r="AL17" s="0" t="n">
        <v>0</v>
      </c>
    </row>
    <row r="18">
      <c r="A18" s="0" t="inlineStr">
        <is>
          <t>[가음동]</t>
        </is>
      </c>
      <c r="B18" s="0" t="n">
        <v>16765</v>
      </c>
      <c r="C18" s="0" t="n">
        <v>2</v>
      </c>
      <c r="D18" s="0" t="inlineStr">
        <is>
          <t>한국센트랄</t>
        </is>
      </c>
      <c r="E18" s="0" t="inlineStr">
        <is>
          <t>1987.12.</t>
        </is>
      </c>
      <c r="F18" s="0" t="n">
        <v>130</v>
      </c>
      <c r="G18" s="0" t="n">
        <v>14.8</v>
      </c>
      <c r="H18" s="0" t="n">
        <v>48.93</v>
      </c>
      <c r="I18" s="0" t="n">
        <v>11.88</v>
      </c>
      <c r="J18" s="0" t="n">
        <v>39.28</v>
      </c>
      <c r="K18" s="0" t="n">
        <v>50</v>
      </c>
      <c r="T18" s="0" t="n">
        <v>2</v>
      </c>
      <c r="U18" s="0" t="n">
        <v>1</v>
      </c>
      <c r="V18" s="0" t="inlineStr">
        <is>
          <t>계단식</t>
        </is>
      </c>
      <c r="W18" s="0" t="inlineStr">
        <is>
          <t>48B</t>
        </is>
      </c>
      <c r="X18" s="0" t="n">
        <v>5</v>
      </c>
      <c r="Y18" s="0" t="n">
        <v>5</v>
      </c>
      <c r="Z18" s="0" t="inlineStr">
        <is>
          <t>https://new.land.naver.com/complexes/16765?tab=detail&amp;rf=Y</t>
        </is>
      </c>
      <c r="AA18" s="0" t="inlineStr">
        <is>
          <t>경상남도 창원시 성산구 가음동 22-4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성산구</t>
        </is>
      </c>
      <c r="AE18" s="0" t="inlineStr">
        <is>
          <t>가음동</t>
        </is>
      </c>
      <c r="AG18" s="0" t="inlineStr">
        <is>
          <t>경상남도 창원시 성산구 원이대로883번길 11-21</t>
        </is>
      </c>
      <c r="AH18" s="0" t="n">
        <v>0</v>
      </c>
      <c r="AI18" s="0" t="n">
        <v>141</v>
      </c>
      <c r="AJ18" s="0" t="n">
        <v>29</v>
      </c>
      <c r="AK18" s="0" t="n">
        <v>0</v>
      </c>
      <c r="AL18" s="0" t="n">
        <v>0</v>
      </c>
    </row>
    <row r="19">
      <c r="A19" s="0" t="inlineStr">
        <is>
          <t>[가음동]</t>
        </is>
      </c>
      <c r="B19" s="0" t="n">
        <v>7595</v>
      </c>
      <c r="C19" s="0" t="n">
        <v>1</v>
      </c>
      <c r="D19" s="0" t="inlineStr">
        <is>
          <t>럭키</t>
        </is>
      </c>
      <c r="E19" s="0" t="inlineStr">
        <is>
          <t>1980.02.</t>
        </is>
      </c>
      <c r="F19" s="0" t="n">
        <v>330</v>
      </c>
      <c r="G19" s="0" t="n">
        <v>17</v>
      </c>
      <c r="H19" s="0" t="n">
        <v>56.23</v>
      </c>
      <c r="I19" s="0" t="n">
        <v>13.11</v>
      </c>
      <c r="J19" s="0" t="n">
        <v>43.35</v>
      </c>
      <c r="K19" s="0" t="n">
        <v>100</v>
      </c>
      <c r="T19" s="0" t="n">
        <v>2</v>
      </c>
      <c r="U19" s="0" t="n">
        <v>1</v>
      </c>
      <c r="V19" s="0" t="inlineStr">
        <is>
          <t>계단식</t>
        </is>
      </c>
      <c r="W19" s="0" t="n">
        <v>56</v>
      </c>
      <c r="X19" s="0" t="n">
        <v>5</v>
      </c>
      <c r="Y19" s="0" t="n">
        <v>5</v>
      </c>
      <c r="Z19" s="0" t="inlineStr">
        <is>
          <t>https://new.land.naver.com/complexes/7595?tab=detail&amp;rf=Y</t>
        </is>
      </c>
      <c r="AA19" s="0" t="inlineStr">
        <is>
          <t>경상남도 창원시 성산구 가음동 14-5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성산구</t>
        </is>
      </c>
      <c r="AE19" s="0" t="inlineStr">
        <is>
          <t>가음동</t>
        </is>
      </c>
      <c r="AG19" s="0" t="inlineStr">
        <is>
          <t>경상남도 창원시 성산구 원이대로878번길 16</t>
        </is>
      </c>
      <c r="AH19" s="0" t="n">
        <v>0</v>
      </c>
      <c r="AI19" s="0" t="n">
        <v>55</v>
      </c>
      <c r="AJ19" s="0" t="n">
        <v>10</v>
      </c>
      <c r="AK19" s="0" t="n">
        <v>330</v>
      </c>
      <c r="AL19" s="0" t="n">
        <v>1</v>
      </c>
    </row>
    <row r="20">
      <c r="A20" s="0" t="inlineStr">
        <is>
          <t>[가음동]</t>
        </is>
      </c>
      <c r="B20" s="0" t="n">
        <v>7595</v>
      </c>
      <c r="C20" s="0" t="n">
        <v>2</v>
      </c>
      <c r="D20" s="0" t="inlineStr">
        <is>
          <t>럭키</t>
        </is>
      </c>
      <c r="E20" s="0" t="inlineStr">
        <is>
          <t>1980.02.</t>
        </is>
      </c>
      <c r="F20" s="0" t="n">
        <v>330</v>
      </c>
      <c r="G20" s="0" t="n">
        <v>18.56</v>
      </c>
      <c r="H20" s="0" t="n">
        <v>61.36</v>
      </c>
      <c r="I20" s="0" t="n">
        <v>13.11</v>
      </c>
      <c r="J20" s="0" t="n">
        <v>43.35</v>
      </c>
      <c r="K20" s="0" t="n">
        <v>40</v>
      </c>
      <c r="T20" s="0" t="n">
        <v>2</v>
      </c>
      <c r="U20" s="0" t="n">
        <v>1</v>
      </c>
      <c r="V20" s="0" t="inlineStr">
        <is>
          <t>계단식</t>
        </is>
      </c>
      <c r="W20" s="0" t="n">
        <v>61</v>
      </c>
      <c r="X20" s="0" t="n">
        <v>5</v>
      </c>
      <c r="Y20" s="0" t="n">
        <v>5</v>
      </c>
      <c r="Z20" s="0" t="inlineStr">
        <is>
          <t>https://new.land.naver.com/complexes/7595?tab=detail&amp;rf=Y</t>
        </is>
      </c>
      <c r="AA20" s="0" t="inlineStr">
        <is>
          <t>경상남도 창원시 성산구 가음동 14-5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성산구</t>
        </is>
      </c>
      <c r="AE20" s="0" t="inlineStr">
        <is>
          <t>가음동</t>
        </is>
      </c>
      <c r="AG20" s="0" t="inlineStr">
        <is>
          <t>경상남도 창원시 성산구 원이대로878번길 16</t>
        </is>
      </c>
      <c r="AH20" s="0" t="n">
        <v>0</v>
      </c>
      <c r="AI20" s="0" t="n">
        <v>55</v>
      </c>
      <c r="AJ20" s="0" t="n">
        <v>10</v>
      </c>
      <c r="AK20" s="0" t="n">
        <v>330</v>
      </c>
      <c r="AL20" s="0" t="n">
        <v>1</v>
      </c>
    </row>
    <row r="21">
      <c r="A21" s="0" t="inlineStr">
        <is>
          <t>[가음동]</t>
        </is>
      </c>
      <c r="B21" s="0" t="n">
        <v>7595</v>
      </c>
      <c r="C21" s="0" t="n">
        <v>3</v>
      </c>
      <c r="D21" s="0" t="inlineStr">
        <is>
          <t>럭키</t>
        </is>
      </c>
      <c r="E21" s="0" t="inlineStr">
        <is>
          <t>1980.02.</t>
        </is>
      </c>
      <c r="F21" s="0" t="n">
        <v>330</v>
      </c>
      <c r="G21" s="0" t="n">
        <v>19.6</v>
      </c>
      <c r="H21" s="0" t="n">
        <v>64.81999999999999</v>
      </c>
      <c r="I21" s="0" t="n">
        <v>14.95</v>
      </c>
      <c r="J21" s="0" t="n">
        <v>49.44</v>
      </c>
      <c r="K21" s="0" t="n">
        <v>190</v>
      </c>
      <c r="T21" s="0" t="n">
        <v>2</v>
      </c>
      <c r="U21" s="0" t="n">
        <v>1</v>
      </c>
      <c r="V21" s="0" t="inlineStr">
        <is>
          <t>계단식</t>
        </is>
      </c>
      <c r="W21" s="0" t="n">
        <v>64</v>
      </c>
      <c r="X21" s="0" t="n">
        <v>5</v>
      </c>
      <c r="Y21" s="0" t="n">
        <v>5</v>
      </c>
      <c r="Z21" s="0" t="inlineStr">
        <is>
          <t>https://new.land.naver.com/complexes/7595?tab=detail&amp;rf=Y</t>
        </is>
      </c>
      <c r="AA21" s="0" t="inlineStr">
        <is>
          <t>경상남도 창원시 성산구 가음동 14-5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성산구</t>
        </is>
      </c>
      <c r="AE21" s="0" t="inlineStr">
        <is>
          <t>가음동</t>
        </is>
      </c>
      <c r="AG21" s="0" t="inlineStr">
        <is>
          <t>경상남도 창원시 성산구 원이대로878번길 16</t>
        </is>
      </c>
      <c r="AH21" s="0" t="n">
        <v>0</v>
      </c>
      <c r="AI21" s="0" t="n">
        <v>55</v>
      </c>
      <c r="AJ21" s="0" t="n">
        <v>10</v>
      </c>
      <c r="AK21" s="0" t="n">
        <v>330</v>
      </c>
      <c r="AL21" s="0" t="n">
        <v>1</v>
      </c>
    </row>
    <row r="22">
      <c r="A22" s="0" t="inlineStr">
        <is>
          <t>[가음동]</t>
        </is>
      </c>
      <c r="B22" s="0" t="n">
        <v>102569</v>
      </c>
      <c r="C22" s="0" t="n">
        <v>1</v>
      </c>
      <c r="D22" s="0" t="inlineStr">
        <is>
          <t>대도</t>
        </is>
      </c>
      <c r="E22" s="0" t="inlineStr">
        <is>
          <t>1988.01.</t>
        </is>
      </c>
      <c r="F22" s="0" t="n">
        <v>75</v>
      </c>
      <c r="G22" s="0" t="n">
        <v>16.66</v>
      </c>
      <c r="H22" s="0" t="n">
        <v>55.09</v>
      </c>
      <c r="I22" s="0" t="n">
        <v>13.63</v>
      </c>
      <c r="J22" s="0" t="n">
        <v>45.06</v>
      </c>
      <c r="K22" s="0" t="n">
        <v>70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5</v>
      </c>
      <c r="Z22" s="0" t="inlineStr">
        <is>
          <t>https://new.land.naver.com/complexes/102569?tab=detail&amp;rf=Y</t>
        </is>
      </c>
      <c r="AA22" s="0" t="inlineStr">
        <is>
          <t>경상남도 창원시 성산구 가음동 20-4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성산구</t>
        </is>
      </c>
      <c r="AE22" s="0" t="inlineStr">
        <is>
          <t>가음동</t>
        </is>
      </c>
      <c r="AG22" s="0" t="inlineStr">
        <is>
          <t>경상남도 창원시 성산구 대정로 34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[가음동]</t>
        </is>
      </c>
      <c r="B23" s="0" t="n">
        <v>102569</v>
      </c>
      <c r="C23" s="0" t="n">
        <v>2</v>
      </c>
      <c r="D23" s="0" t="inlineStr">
        <is>
          <t>대도</t>
        </is>
      </c>
      <c r="E23" s="0" t="inlineStr">
        <is>
          <t>1988.01.</t>
        </is>
      </c>
      <c r="F23" s="0" t="n">
        <v>75</v>
      </c>
      <c r="G23" s="0" t="n">
        <v>21.92</v>
      </c>
      <c r="H23" s="0" t="n">
        <v>72.48</v>
      </c>
      <c r="I23" s="0" t="n">
        <v>16.64</v>
      </c>
      <c r="J23" s="0" t="n">
        <v>55.02</v>
      </c>
      <c r="K23" s="0" t="n">
        <v>5</v>
      </c>
      <c r="T23" s="0" t="n">
        <v>2</v>
      </c>
      <c r="U23" s="0" t="n">
        <v>1</v>
      </c>
      <c r="V23" s="0" t="inlineStr">
        <is>
          <t>계단식</t>
        </is>
      </c>
      <c r="W23" s="0" t="n">
        <v>72</v>
      </c>
      <c r="X23" s="0" t="n">
        <v>5</v>
      </c>
      <c r="Y23" s="0" t="n">
        <v>5</v>
      </c>
      <c r="Z23" s="0" t="inlineStr">
        <is>
          <t>https://new.land.naver.com/complexes/102569?tab=detail&amp;rf=Y</t>
        </is>
      </c>
      <c r="AA23" s="0" t="inlineStr">
        <is>
          <t>경상남도 창원시 성산구 가음동 20-4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성산구</t>
        </is>
      </c>
      <c r="AE23" s="0" t="inlineStr">
        <is>
          <t>가음동</t>
        </is>
      </c>
      <c r="AG23" s="0" t="inlineStr">
        <is>
          <t>경상남도 창원시 성산구 대정로 34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[가음동]</t>
        </is>
      </c>
      <c r="B24" s="0" t="n">
        <v>16766</v>
      </c>
      <c r="C24" s="0" t="n">
        <v>1</v>
      </c>
      <c r="D24" s="0" t="inlineStr">
        <is>
          <t>형진,한아름</t>
        </is>
      </c>
      <c r="E24" s="0" t="inlineStr">
        <is>
          <t>1985.04.</t>
        </is>
      </c>
      <c r="F24" s="0" t="n">
        <v>160</v>
      </c>
      <c r="G24" s="0" t="n">
        <v>15.24</v>
      </c>
      <c r="H24" s="0" t="n">
        <v>50.41</v>
      </c>
      <c r="I24" s="0" t="n">
        <v>12.82</v>
      </c>
      <c r="J24" s="0" t="n">
        <v>42.39</v>
      </c>
      <c r="K24" s="0" t="n">
        <v>60</v>
      </c>
      <c r="T24" s="0" t="n">
        <v>2</v>
      </c>
      <c r="U24" s="0" t="n">
        <v>1</v>
      </c>
      <c r="V24" s="0" t="inlineStr">
        <is>
          <t>계단식</t>
        </is>
      </c>
      <c r="W24" s="0" t="n">
        <v>50</v>
      </c>
      <c r="X24" s="0" t="n">
        <v>5</v>
      </c>
      <c r="Y24" s="0" t="n">
        <v>5</v>
      </c>
      <c r="Z24" s="0" t="inlineStr">
        <is>
          <t>https://new.land.naver.com/complexes/16766?tab=detail&amp;rf=Y</t>
        </is>
      </c>
      <c r="AA24" s="0" t="inlineStr">
        <is>
          <t>경상남도 창원시 성산구 가음동 22-1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성산구</t>
        </is>
      </c>
      <c r="AE24" s="0" t="inlineStr">
        <is>
          <t>가음동</t>
        </is>
      </c>
      <c r="AG24" s="0" t="inlineStr">
        <is>
          <t>경상남도 창원시 성산구 원이대로883번길 3-15</t>
        </is>
      </c>
      <c r="AH24" s="0" t="n">
        <v>0</v>
      </c>
      <c r="AI24" s="0" t="n">
        <v>143</v>
      </c>
      <c r="AJ24" s="0" t="n">
        <v>28</v>
      </c>
      <c r="AK24" s="0" t="n">
        <v>0</v>
      </c>
      <c r="AL24" s="0" t="n">
        <v>0</v>
      </c>
    </row>
    <row r="25">
      <c r="A25" s="0" t="inlineStr">
        <is>
          <t>[가음동]</t>
        </is>
      </c>
      <c r="B25" s="0" t="n">
        <v>16766</v>
      </c>
      <c r="C25" s="0" t="n">
        <v>2</v>
      </c>
      <c r="D25" s="0" t="inlineStr">
        <is>
          <t>형진,한아름</t>
        </is>
      </c>
      <c r="E25" s="0" t="inlineStr">
        <is>
          <t>1985.04.</t>
        </is>
      </c>
      <c r="F25" s="0" t="n">
        <v>160</v>
      </c>
      <c r="G25" s="0" t="n">
        <v>15.86</v>
      </c>
      <c r="H25" s="0" t="n">
        <v>52.45</v>
      </c>
      <c r="I25" s="0" t="n">
        <v>12.89</v>
      </c>
      <c r="J25" s="0" t="n">
        <v>42.64</v>
      </c>
      <c r="K25" s="0" t="n">
        <v>60</v>
      </c>
      <c r="T25" s="0" t="n">
        <v>3</v>
      </c>
      <c r="U25" s="0" t="n">
        <v>2</v>
      </c>
      <c r="V25" s="0" t="inlineStr">
        <is>
          <t>복도식</t>
        </is>
      </c>
      <c r="W25" s="0" t="n">
        <v>52</v>
      </c>
      <c r="X25" s="0" t="n">
        <v>5</v>
      </c>
      <c r="Y25" s="0" t="n">
        <v>5</v>
      </c>
      <c r="Z25" s="0" t="inlineStr">
        <is>
          <t>https://new.land.naver.com/complexes/16766?tab=detail&amp;rf=Y</t>
        </is>
      </c>
      <c r="AA25" s="0" t="inlineStr">
        <is>
          <t>경상남도 창원시 성산구 가음동 22-1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성산구</t>
        </is>
      </c>
      <c r="AE25" s="0" t="inlineStr">
        <is>
          <t>가음동</t>
        </is>
      </c>
      <c r="AG25" s="0" t="inlineStr">
        <is>
          <t>경상남도 창원시 성산구 원이대로883번길 3-15</t>
        </is>
      </c>
      <c r="AH25" s="0" t="n">
        <v>0</v>
      </c>
      <c r="AI25" s="0" t="n">
        <v>143</v>
      </c>
      <c r="AJ25" s="0" t="n">
        <v>28</v>
      </c>
      <c r="AK25" s="0" t="n">
        <v>0</v>
      </c>
      <c r="AL25" s="0" t="n">
        <v>0</v>
      </c>
    </row>
    <row r="26">
      <c r="A26" s="0" t="inlineStr">
        <is>
          <t>[가음동]</t>
        </is>
      </c>
      <c r="B26" s="0" t="n">
        <v>16766</v>
      </c>
      <c r="C26" s="0" t="n">
        <v>3</v>
      </c>
      <c r="D26" s="0" t="inlineStr">
        <is>
          <t>형진,한아름</t>
        </is>
      </c>
      <c r="E26" s="0" t="inlineStr">
        <is>
          <t>1985.04.</t>
        </is>
      </c>
      <c r="F26" s="0" t="n">
        <v>160</v>
      </c>
      <c r="G26" s="0" t="n">
        <v>17.28</v>
      </c>
      <c r="H26" s="0" t="n">
        <v>57.15</v>
      </c>
      <c r="I26" s="0" t="n">
        <v>14.7</v>
      </c>
      <c r="J26" s="0" t="n">
        <v>48.6</v>
      </c>
      <c r="K26" s="0" t="n">
        <v>40</v>
      </c>
      <c r="T26" s="0" t="n">
        <v>2</v>
      </c>
      <c r="U26" s="0" t="n">
        <v>1</v>
      </c>
      <c r="V26" s="0" t="inlineStr">
        <is>
          <t>계단식</t>
        </is>
      </c>
      <c r="W26" s="0" t="n">
        <v>57</v>
      </c>
      <c r="X26" s="0" t="n">
        <v>5</v>
      </c>
      <c r="Y26" s="0" t="n">
        <v>5</v>
      </c>
      <c r="Z26" s="0" t="inlineStr">
        <is>
          <t>https://new.land.naver.com/complexes/16766?tab=detail&amp;rf=Y</t>
        </is>
      </c>
      <c r="AA26" s="0" t="inlineStr">
        <is>
          <t>경상남도 창원시 성산구 가음동 22-1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성산구</t>
        </is>
      </c>
      <c r="AE26" s="0" t="inlineStr">
        <is>
          <t>가음동</t>
        </is>
      </c>
      <c r="AG26" s="0" t="inlineStr">
        <is>
          <t>경상남도 창원시 성산구 원이대로883번길 3-15</t>
        </is>
      </c>
      <c r="AH26" s="0" t="n">
        <v>0</v>
      </c>
      <c r="AI26" s="0" t="n">
        <v>143</v>
      </c>
      <c r="AJ26" s="0" t="n">
        <v>28</v>
      </c>
      <c r="AK26" s="0" t="n">
        <v>0</v>
      </c>
      <c r="AL26" s="0" t="n">
        <v>0</v>
      </c>
    </row>
    <row r="27">
      <c r="A27" s="0" t="inlineStr">
        <is>
          <t>[가음동]</t>
        </is>
      </c>
      <c r="B27" s="0" t="n">
        <v>118728</v>
      </c>
      <c r="C27" s="0" t="n">
        <v>1</v>
      </c>
      <c r="D27" s="0" t="inlineStr">
        <is>
          <t>창원센텀푸르지오</t>
        </is>
      </c>
      <c r="E27" s="0" t="inlineStr">
        <is>
          <t>2018.01.</t>
        </is>
      </c>
      <c r="F27" s="0" t="n">
        <v>975</v>
      </c>
      <c r="G27" s="0" t="n">
        <v>25.52</v>
      </c>
      <c r="H27" s="0" t="n">
        <v>84.39</v>
      </c>
      <c r="I27" s="0" t="n">
        <v>18.13</v>
      </c>
      <c r="J27" s="0" t="n">
        <v>59.95</v>
      </c>
      <c r="K27" s="0" t="n">
        <v>224</v>
      </c>
      <c r="T27" s="0" t="n">
        <v>3</v>
      </c>
      <c r="U27" s="0" t="n">
        <v>2</v>
      </c>
      <c r="V27" s="0" t="inlineStr">
        <is>
          <t>계단식</t>
        </is>
      </c>
      <c r="W27" s="0" t="n">
        <v>84</v>
      </c>
      <c r="X27" s="0" t="n">
        <v>30</v>
      </c>
      <c r="Y27" s="0" t="n">
        <v>19</v>
      </c>
      <c r="Z27" s="0" t="inlineStr">
        <is>
          <t>https://new.land.naver.com/complexes/118728?tab=detail&amp;rf=Y</t>
        </is>
      </c>
      <c r="AA27" s="0" t="inlineStr">
        <is>
          <t>경상남도 창원시 성산구 가음동 12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성산구</t>
        </is>
      </c>
      <c r="AE27" s="0" t="inlineStr">
        <is>
          <t>가음동</t>
        </is>
      </c>
      <c r="AG27" s="0" t="inlineStr">
        <is>
          <t>경상남도 창원시 성산구 가음정로 59</t>
        </is>
      </c>
      <c r="AH27" s="0" t="n">
        <v>0</v>
      </c>
      <c r="AI27" s="0" t="n">
        <v>215</v>
      </c>
      <c r="AJ27" s="0" t="n">
        <v>16</v>
      </c>
      <c r="AK27" s="0" t="n">
        <v>1474</v>
      </c>
      <c r="AL27" s="0" t="n">
        <v>1.51</v>
      </c>
    </row>
    <row r="28">
      <c r="A28" s="0" t="inlineStr">
        <is>
          <t>[가음동]</t>
        </is>
      </c>
      <c r="B28" s="0" t="n">
        <v>118728</v>
      </c>
      <c r="C28" s="0" t="n">
        <v>2</v>
      </c>
      <c r="D28" s="0" t="inlineStr">
        <is>
          <t>창원센텀푸르지오</t>
        </is>
      </c>
      <c r="E28" s="0" t="inlineStr">
        <is>
          <t>2018.01.</t>
        </is>
      </c>
      <c r="F28" s="0" t="n">
        <v>975</v>
      </c>
      <c r="G28" s="0" t="n">
        <v>29.93</v>
      </c>
      <c r="H28" s="0" t="n">
        <v>98.95999999999999</v>
      </c>
      <c r="I28" s="0" t="n">
        <v>22.3</v>
      </c>
      <c r="J28" s="0" t="n">
        <v>73.73</v>
      </c>
      <c r="K28" s="0" t="n">
        <v>216</v>
      </c>
      <c r="T28" s="0" t="n">
        <v>3</v>
      </c>
      <c r="U28" s="0" t="n">
        <v>2</v>
      </c>
      <c r="V28" s="0" t="inlineStr">
        <is>
          <t>계단식</t>
        </is>
      </c>
      <c r="W28" s="0" t="n">
        <v>98</v>
      </c>
      <c r="X28" s="0" t="n">
        <v>30</v>
      </c>
      <c r="Y28" s="0" t="n">
        <v>19</v>
      </c>
      <c r="Z28" s="0" t="inlineStr">
        <is>
          <t>https://new.land.naver.com/complexes/118728?tab=detail&amp;rf=Y</t>
        </is>
      </c>
      <c r="AA28" s="0" t="inlineStr">
        <is>
          <t>경상남도 창원시 성산구 가음동 12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성산구</t>
        </is>
      </c>
      <c r="AE28" s="0" t="inlineStr">
        <is>
          <t>가음동</t>
        </is>
      </c>
      <c r="AG28" s="0" t="inlineStr">
        <is>
          <t>경상남도 창원시 성산구 가음정로 59</t>
        </is>
      </c>
      <c r="AH28" s="0" t="n">
        <v>0</v>
      </c>
      <c r="AI28" s="0" t="n">
        <v>215</v>
      </c>
      <c r="AJ28" s="0" t="n">
        <v>16</v>
      </c>
      <c r="AK28" s="0" t="n">
        <v>1474</v>
      </c>
      <c r="AL28" s="0" t="n">
        <v>1.51</v>
      </c>
    </row>
    <row r="29">
      <c r="A29" s="0" t="inlineStr">
        <is>
          <t>[가음동]</t>
        </is>
      </c>
      <c r="B29" s="0" t="n">
        <v>118728</v>
      </c>
      <c r="C29" s="0" t="n">
        <v>3</v>
      </c>
      <c r="D29" s="0" t="inlineStr">
        <is>
          <t>창원센텀푸르지오</t>
        </is>
      </c>
      <c r="E29" s="0" t="inlineStr">
        <is>
          <t>2018.01.</t>
        </is>
      </c>
      <c r="F29" s="0" t="n">
        <v>975</v>
      </c>
      <c r="G29" s="0" t="n">
        <v>33.79</v>
      </c>
      <c r="H29" s="0" t="n">
        <v>111.72</v>
      </c>
      <c r="I29" s="0" t="n">
        <v>25.68</v>
      </c>
      <c r="J29" s="0" t="n">
        <v>84.90000000000001</v>
      </c>
      <c r="K29" s="0" t="n">
        <v>208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111A</t>
        </is>
      </c>
      <c r="X29" s="0" t="n">
        <v>30</v>
      </c>
      <c r="Y29" s="0" t="n">
        <v>19</v>
      </c>
      <c r="Z29" s="0" t="inlineStr">
        <is>
          <t>https://new.land.naver.com/complexes/118728?tab=detail&amp;rf=Y</t>
        </is>
      </c>
      <c r="AA29" s="0" t="inlineStr">
        <is>
          <t>경상남도 창원시 성산구 가음동 12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성산구</t>
        </is>
      </c>
      <c r="AE29" s="0" t="inlineStr">
        <is>
          <t>가음동</t>
        </is>
      </c>
      <c r="AG29" s="0" t="inlineStr">
        <is>
          <t>경상남도 창원시 성산구 가음정로 59</t>
        </is>
      </c>
      <c r="AH29" s="0" t="n">
        <v>0</v>
      </c>
      <c r="AI29" s="0" t="n">
        <v>215</v>
      </c>
      <c r="AJ29" s="0" t="n">
        <v>16</v>
      </c>
      <c r="AK29" s="0" t="n">
        <v>1474</v>
      </c>
      <c r="AL29" s="0" t="n">
        <v>1.51</v>
      </c>
    </row>
    <row r="30">
      <c r="A30" s="0" t="inlineStr">
        <is>
          <t>[가음동]</t>
        </is>
      </c>
      <c r="B30" s="0" t="n">
        <v>118728</v>
      </c>
      <c r="C30" s="0" t="n">
        <v>4</v>
      </c>
      <c r="D30" s="0" t="inlineStr">
        <is>
          <t>창원센텀푸르지오</t>
        </is>
      </c>
      <c r="E30" s="0" t="inlineStr">
        <is>
          <t>2018.01.</t>
        </is>
      </c>
      <c r="F30" s="0" t="n">
        <v>975</v>
      </c>
      <c r="G30" s="0" t="n">
        <v>33.65</v>
      </c>
      <c r="H30" s="0" t="n">
        <v>111.24</v>
      </c>
      <c r="I30" s="0" t="n">
        <v>25.7</v>
      </c>
      <c r="J30" s="0" t="n">
        <v>84.98999999999999</v>
      </c>
      <c r="K30" s="0" t="n">
        <v>191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111B</t>
        </is>
      </c>
      <c r="X30" s="0" t="n">
        <v>30</v>
      </c>
      <c r="Y30" s="0" t="n">
        <v>19</v>
      </c>
      <c r="Z30" s="0" t="inlineStr">
        <is>
          <t>https://new.land.naver.com/complexes/118728?tab=detail&amp;rf=Y</t>
        </is>
      </c>
      <c r="AA30" s="0" t="inlineStr">
        <is>
          <t>경상남도 창원시 성산구 가음동 12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성산구</t>
        </is>
      </c>
      <c r="AE30" s="0" t="inlineStr">
        <is>
          <t>가음동</t>
        </is>
      </c>
      <c r="AG30" s="0" t="inlineStr">
        <is>
          <t>경상남도 창원시 성산구 가음정로 59</t>
        </is>
      </c>
      <c r="AH30" s="0" t="n">
        <v>0</v>
      </c>
      <c r="AI30" s="0" t="n">
        <v>215</v>
      </c>
      <c r="AJ30" s="0" t="n">
        <v>16</v>
      </c>
      <c r="AK30" s="0" t="n">
        <v>1474</v>
      </c>
      <c r="AL30" s="0" t="n">
        <v>1.51</v>
      </c>
    </row>
    <row r="31">
      <c r="A31" s="0" t="inlineStr">
        <is>
          <t>[가음동]</t>
        </is>
      </c>
      <c r="B31" s="0" t="n">
        <v>118728</v>
      </c>
      <c r="C31" s="0" t="n">
        <v>5</v>
      </c>
      <c r="D31" s="0" t="inlineStr">
        <is>
          <t>창원센텀푸르지오</t>
        </is>
      </c>
      <c r="E31" s="0" t="inlineStr">
        <is>
          <t>2018.01.</t>
        </is>
      </c>
      <c r="F31" s="0" t="n">
        <v>975</v>
      </c>
      <c r="G31" s="0" t="n">
        <v>33.7</v>
      </c>
      <c r="H31" s="0" t="n">
        <v>111.42</v>
      </c>
      <c r="I31" s="0" t="n">
        <v>25.69</v>
      </c>
      <c r="J31" s="0" t="n">
        <v>84.95</v>
      </c>
      <c r="K31" s="0" t="n">
        <v>92</v>
      </c>
      <c r="T31" s="0" t="n">
        <v>4</v>
      </c>
      <c r="U31" s="0" t="n">
        <v>2</v>
      </c>
      <c r="V31" s="0" t="inlineStr">
        <is>
          <t>계단식</t>
        </is>
      </c>
      <c r="W31" s="0" t="inlineStr">
        <is>
          <t>111C</t>
        </is>
      </c>
      <c r="X31" s="0" t="n">
        <v>30</v>
      </c>
      <c r="Y31" s="0" t="n">
        <v>19</v>
      </c>
      <c r="Z31" s="0" t="inlineStr">
        <is>
          <t>https://new.land.naver.com/complexes/118728?tab=detail&amp;rf=Y</t>
        </is>
      </c>
      <c r="AA31" s="0" t="inlineStr">
        <is>
          <t>경상남도 창원시 성산구 가음동 12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성산구</t>
        </is>
      </c>
      <c r="AE31" s="0" t="inlineStr">
        <is>
          <t>가음동</t>
        </is>
      </c>
      <c r="AG31" s="0" t="inlineStr">
        <is>
          <t>경상남도 창원시 성산구 가음정로 59</t>
        </is>
      </c>
      <c r="AH31" s="0" t="n">
        <v>0</v>
      </c>
      <c r="AI31" s="0" t="n">
        <v>215</v>
      </c>
      <c r="AJ31" s="0" t="n">
        <v>16</v>
      </c>
      <c r="AK31" s="0" t="n">
        <v>1474</v>
      </c>
      <c r="AL31" s="0" t="n">
        <v>1.51</v>
      </c>
    </row>
    <row r="32">
      <c r="A32" s="0" t="inlineStr">
        <is>
          <t>[가음동]</t>
        </is>
      </c>
      <c r="B32" s="0" t="n">
        <v>118728</v>
      </c>
      <c r="C32" s="0" t="n">
        <v>6</v>
      </c>
      <c r="D32" s="0" t="inlineStr">
        <is>
          <t>창원센텀푸르지오</t>
        </is>
      </c>
      <c r="E32" s="0" t="inlineStr">
        <is>
          <t>2018.01.</t>
        </is>
      </c>
      <c r="F32" s="0" t="n">
        <v>975</v>
      </c>
      <c r="G32" s="0" t="n">
        <v>39.76</v>
      </c>
      <c r="H32" s="0" t="n">
        <v>131.46</v>
      </c>
      <c r="I32" s="0" t="n">
        <v>30.83</v>
      </c>
      <c r="J32" s="0" t="n">
        <v>101.93</v>
      </c>
      <c r="K32" s="0" t="n">
        <v>44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131C</t>
        </is>
      </c>
      <c r="X32" s="0" t="n">
        <v>30</v>
      </c>
      <c r="Y32" s="0" t="n">
        <v>19</v>
      </c>
      <c r="Z32" s="0" t="inlineStr">
        <is>
          <t>https://new.land.naver.com/complexes/118728?tab=detail&amp;rf=Y</t>
        </is>
      </c>
      <c r="AA32" s="0" t="inlineStr">
        <is>
          <t>경상남도 창원시 성산구 가음동 12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성산구</t>
        </is>
      </c>
      <c r="AE32" s="0" t="inlineStr">
        <is>
          <t>가음동</t>
        </is>
      </c>
      <c r="AG32" s="0" t="inlineStr">
        <is>
          <t>경상남도 창원시 성산구 가음정로 59</t>
        </is>
      </c>
      <c r="AH32" s="0" t="n">
        <v>0</v>
      </c>
      <c r="AI32" s="0" t="n">
        <v>215</v>
      </c>
      <c r="AJ32" s="0" t="n">
        <v>16</v>
      </c>
      <c r="AK32" s="0" t="n">
        <v>1474</v>
      </c>
      <c r="AL32" s="0" t="n">
        <v>1.51</v>
      </c>
    </row>
    <row r="33">
      <c r="A33" s="0" t="inlineStr">
        <is>
          <t>[가음동]</t>
        </is>
      </c>
      <c r="B33" s="0" t="n">
        <v>109272</v>
      </c>
      <c r="C33" s="0" t="n">
        <v>1</v>
      </c>
      <c r="D33" s="0" t="inlineStr">
        <is>
          <t>창원더샵센트럴파크2단지</t>
        </is>
      </c>
      <c r="E33" s="0" t="inlineStr">
        <is>
          <t>2017.04.</t>
        </is>
      </c>
      <c r="F33" s="0" t="n">
        <v>624</v>
      </c>
      <c r="G33" s="0" t="n">
        <v>23.89</v>
      </c>
      <c r="H33" s="0" t="n">
        <v>78.98</v>
      </c>
      <c r="I33" s="0" t="n">
        <v>18.08</v>
      </c>
      <c r="J33" s="0" t="n">
        <v>59.77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78A</t>
        </is>
      </c>
      <c r="X33" s="0" t="n">
        <v>29</v>
      </c>
      <c r="Y33" s="0" t="n">
        <v>26</v>
      </c>
      <c r="Z33" s="0" t="inlineStr">
        <is>
          <t>https://new.land.naver.com/complexes/109272?tab=detail&amp;rf=Y</t>
        </is>
      </c>
      <c r="AA33" s="0" t="inlineStr">
        <is>
          <t>경상남도 창원시 성산구 가음동 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성산구</t>
        </is>
      </c>
      <c r="AE33" s="0" t="inlineStr">
        <is>
          <t>가음동</t>
        </is>
      </c>
      <c r="AG33" s="0" t="inlineStr">
        <is>
          <t>경상남도 창원시 성산구 원이대로863번길 19</t>
        </is>
      </c>
      <c r="AH33" s="0" t="n">
        <v>0</v>
      </c>
      <c r="AI33" s="0" t="n">
        <v>215</v>
      </c>
      <c r="AJ33" s="0" t="n">
        <v>14</v>
      </c>
      <c r="AK33" s="0" t="n">
        <v>917</v>
      </c>
      <c r="AL33" s="0" t="n">
        <v>1.47</v>
      </c>
    </row>
    <row r="34">
      <c r="A34" s="0" t="inlineStr">
        <is>
          <t>[가음동]</t>
        </is>
      </c>
      <c r="B34" s="0" t="n">
        <v>109272</v>
      </c>
      <c r="C34" s="0" t="n">
        <v>2</v>
      </c>
      <c r="D34" s="0" t="inlineStr">
        <is>
          <t>창원더샵센트럴파크2단지</t>
        </is>
      </c>
      <c r="E34" s="0" t="inlineStr">
        <is>
          <t>2017.04.</t>
        </is>
      </c>
      <c r="F34" s="0" t="n">
        <v>624</v>
      </c>
      <c r="G34" s="0" t="n">
        <v>24.39</v>
      </c>
      <c r="H34" s="0" t="n">
        <v>80.63</v>
      </c>
      <c r="I34" s="0" t="n">
        <v>18.07</v>
      </c>
      <c r="J34" s="0" t="n">
        <v>59.75</v>
      </c>
      <c r="K34" s="0" t="n">
        <v>50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80B</t>
        </is>
      </c>
      <c r="X34" s="0" t="n">
        <v>29</v>
      </c>
      <c r="Y34" s="0" t="n">
        <v>26</v>
      </c>
      <c r="Z34" s="0" t="inlineStr">
        <is>
          <t>https://new.land.naver.com/complexes/109272?tab=detail&amp;rf=Y</t>
        </is>
      </c>
      <c r="AA34" s="0" t="inlineStr">
        <is>
          <t>경상남도 창원시 성산구 가음동 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성산구</t>
        </is>
      </c>
      <c r="AE34" s="0" t="inlineStr">
        <is>
          <t>가음동</t>
        </is>
      </c>
      <c r="AG34" s="0" t="inlineStr">
        <is>
          <t>경상남도 창원시 성산구 원이대로863번길 19</t>
        </is>
      </c>
      <c r="AH34" s="0" t="n">
        <v>0</v>
      </c>
      <c r="AI34" s="0" t="n">
        <v>215</v>
      </c>
      <c r="AJ34" s="0" t="n">
        <v>14</v>
      </c>
      <c r="AK34" s="0" t="n">
        <v>917</v>
      </c>
      <c r="AL34" s="0" t="n">
        <v>1.47</v>
      </c>
    </row>
    <row r="35">
      <c r="A35" s="0" t="inlineStr">
        <is>
          <t>[가음동]</t>
        </is>
      </c>
      <c r="B35" s="0" t="n">
        <v>109272</v>
      </c>
      <c r="C35" s="0" t="n">
        <v>3</v>
      </c>
      <c r="D35" s="0" t="inlineStr">
        <is>
          <t>창원더샵센트럴파크2단지</t>
        </is>
      </c>
      <c r="E35" s="0" t="inlineStr">
        <is>
          <t>2017.04.</t>
        </is>
      </c>
      <c r="F35" s="0" t="n">
        <v>624</v>
      </c>
      <c r="G35" s="0" t="n">
        <v>33.53</v>
      </c>
      <c r="H35" s="0" t="n">
        <v>110.87</v>
      </c>
      <c r="I35" s="0" t="n">
        <v>25.67</v>
      </c>
      <c r="J35" s="0" t="n">
        <v>84.87</v>
      </c>
      <c r="K35" s="0" t="n">
        <v>224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110A</t>
        </is>
      </c>
      <c r="X35" s="0" t="n">
        <v>29</v>
      </c>
      <c r="Y35" s="0" t="n">
        <v>26</v>
      </c>
      <c r="Z35" s="0" t="inlineStr">
        <is>
          <t>https://new.land.naver.com/complexes/109272?tab=detail&amp;rf=Y</t>
        </is>
      </c>
      <c r="AA35" s="0" t="inlineStr">
        <is>
          <t>경상남도 창원시 성산구 가음동 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성산구</t>
        </is>
      </c>
      <c r="AE35" s="0" t="inlineStr">
        <is>
          <t>가음동</t>
        </is>
      </c>
      <c r="AG35" s="0" t="inlineStr">
        <is>
          <t>경상남도 창원시 성산구 원이대로863번길 19</t>
        </is>
      </c>
      <c r="AH35" s="0" t="n">
        <v>0</v>
      </c>
      <c r="AI35" s="0" t="n">
        <v>215</v>
      </c>
      <c r="AJ35" s="0" t="n">
        <v>14</v>
      </c>
      <c r="AK35" s="0" t="n">
        <v>917</v>
      </c>
      <c r="AL35" s="0" t="n">
        <v>1.47</v>
      </c>
    </row>
    <row r="36">
      <c r="A36" s="0" t="inlineStr">
        <is>
          <t>[가음동]</t>
        </is>
      </c>
      <c r="B36" s="0" t="n">
        <v>109272</v>
      </c>
      <c r="C36" s="0" t="n">
        <v>4</v>
      </c>
      <c r="D36" s="0" t="inlineStr">
        <is>
          <t>창원더샵센트럴파크2단지</t>
        </is>
      </c>
      <c r="E36" s="0" t="inlineStr">
        <is>
          <t>2017.04.</t>
        </is>
      </c>
      <c r="F36" s="0" t="n">
        <v>624</v>
      </c>
      <c r="G36" s="0" t="n">
        <v>33.48</v>
      </c>
      <c r="H36" s="0" t="n">
        <v>110.68</v>
      </c>
      <c r="I36" s="0" t="n">
        <v>25.65</v>
      </c>
      <c r="J36" s="0" t="n">
        <v>84.8</v>
      </c>
      <c r="K36" s="0" t="n">
        <v>150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110B</t>
        </is>
      </c>
      <c r="X36" s="0" t="n">
        <v>29</v>
      </c>
      <c r="Y36" s="0" t="n">
        <v>26</v>
      </c>
      <c r="Z36" s="0" t="inlineStr">
        <is>
          <t>https://new.land.naver.com/complexes/109272?tab=detail&amp;rf=Y</t>
        </is>
      </c>
      <c r="AA36" s="0" t="inlineStr">
        <is>
          <t>경상남도 창원시 성산구 가음동 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성산구</t>
        </is>
      </c>
      <c r="AE36" s="0" t="inlineStr">
        <is>
          <t>가음동</t>
        </is>
      </c>
      <c r="AG36" s="0" t="inlineStr">
        <is>
          <t>경상남도 창원시 성산구 원이대로863번길 19</t>
        </is>
      </c>
      <c r="AH36" s="0" t="n">
        <v>0</v>
      </c>
      <c r="AI36" s="0" t="n">
        <v>215</v>
      </c>
      <c r="AJ36" s="0" t="n">
        <v>14</v>
      </c>
      <c r="AK36" s="0" t="n">
        <v>917</v>
      </c>
      <c r="AL36" s="0" t="n">
        <v>1.47</v>
      </c>
    </row>
    <row r="37">
      <c r="A37" s="0" t="inlineStr">
        <is>
          <t>[가음동]</t>
        </is>
      </c>
      <c r="B37" s="0" t="n">
        <v>109272</v>
      </c>
      <c r="C37" s="0" t="n">
        <v>5</v>
      </c>
      <c r="D37" s="0" t="inlineStr">
        <is>
          <t>창원더샵센트럴파크2단지</t>
        </is>
      </c>
      <c r="E37" s="0" t="inlineStr">
        <is>
          <t>2017.04.</t>
        </is>
      </c>
      <c r="F37" s="0" t="n">
        <v>624</v>
      </c>
      <c r="G37" s="0" t="n">
        <v>33.56</v>
      </c>
      <c r="H37" s="0" t="n">
        <v>110.96</v>
      </c>
      <c r="I37" s="0" t="n">
        <v>25.63</v>
      </c>
      <c r="J37" s="0" t="n">
        <v>84.76000000000001</v>
      </c>
      <c r="K37" s="0" t="n">
        <v>50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110C</t>
        </is>
      </c>
      <c r="X37" s="0" t="n">
        <v>29</v>
      </c>
      <c r="Y37" s="0" t="n">
        <v>26</v>
      </c>
      <c r="Z37" s="0" t="inlineStr">
        <is>
          <t>https://new.land.naver.com/complexes/109272?tab=detail&amp;rf=Y</t>
        </is>
      </c>
      <c r="AA37" s="0" t="inlineStr">
        <is>
          <t>경상남도 창원시 성산구 가음동 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성산구</t>
        </is>
      </c>
      <c r="AE37" s="0" t="inlineStr">
        <is>
          <t>가음동</t>
        </is>
      </c>
      <c r="AG37" s="0" t="inlineStr">
        <is>
          <t>경상남도 창원시 성산구 원이대로863번길 19</t>
        </is>
      </c>
      <c r="AH37" s="0" t="n">
        <v>0</v>
      </c>
      <c r="AI37" s="0" t="n">
        <v>215</v>
      </c>
      <c r="AJ37" s="0" t="n">
        <v>14</v>
      </c>
      <c r="AK37" s="0" t="n">
        <v>917</v>
      </c>
      <c r="AL37" s="0" t="n">
        <v>1.47</v>
      </c>
    </row>
    <row r="38">
      <c r="A38" s="0" t="inlineStr">
        <is>
          <t>[가음동]</t>
        </is>
      </c>
      <c r="B38" s="0" t="n">
        <v>109272</v>
      </c>
      <c r="C38" s="0" t="n">
        <v>6</v>
      </c>
      <c r="D38" s="0" t="inlineStr">
        <is>
          <t>창원더샵센트럴파크2단지</t>
        </is>
      </c>
      <c r="E38" s="0" t="inlineStr">
        <is>
          <t>2017.04.</t>
        </is>
      </c>
      <c r="F38" s="0" t="n">
        <v>624</v>
      </c>
      <c r="G38" s="0" t="n">
        <v>39.19</v>
      </c>
      <c r="H38" s="0" t="n">
        <v>129.56</v>
      </c>
      <c r="I38" s="0" t="n">
        <v>29.89</v>
      </c>
      <c r="J38" s="0" t="n">
        <v>98.84</v>
      </c>
      <c r="K38" s="0" t="n">
        <v>100</v>
      </c>
      <c r="T38" s="0" t="n">
        <v>4</v>
      </c>
      <c r="U38" s="0" t="n">
        <v>2</v>
      </c>
      <c r="V38" s="0" t="inlineStr">
        <is>
          <t>계단식</t>
        </is>
      </c>
      <c r="W38" s="0" t="n">
        <v>129</v>
      </c>
      <c r="X38" s="0" t="n">
        <v>29</v>
      </c>
      <c r="Y38" s="0" t="n">
        <v>26</v>
      </c>
      <c r="Z38" s="0" t="inlineStr">
        <is>
          <t>https://new.land.naver.com/complexes/109272?tab=detail&amp;rf=Y</t>
        </is>
      </c>
      <c r="AA38" s="0" t="inlineStr">
        <is>
          <t>경상남도 창원시 성산구 가음동 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성산구</t>
        </is>
      </c>
      <c r="AE38" s="0" t="inlineStr">
        <is>
          <t>가음동</t>
        </is>
      </c>
      <c r="AG38" s="0" t="inlineStr">
        <is>
          <t>경상남도 창원시 성산구 원이대로863번길 19</t>
        </is>
      </c>
      <c r="AH38" s="0" t="n">
        <v>0</v>
      </c>
      <c r="AI38" s="0" t="n">
        <v>215</v>
      </c>
      <c r="AJ38" s="0" t="n">
        <v>14</v>
      </c>
      <c r="AK38" s="0" t="n">
        <v>917</v>
      </c>
      <c r="AL38" s="0" t="n">
        <v>1.47</v>
      </c>
    </row>
    <row r="39">
      <c r="A39" s="0" t="inlineStr">
        <is>
          <t>[가음동]</t>
        </is>
      </c>
      <c r="B39" s="0" t="n">
        <v>27287</v>
      </c>
      <c r="C39" s="0" t="n">
        <v>1</v>
      </c>
      <c r="D39" s="0" t="inlineStr">
        <is>
          <t>창원자이</t>
        </is>
      </c>
      <c r="E39" s="0" t="inlineStr">
        <is>
          <t>2008.10.</t>
        </is>
      </c>
      <c r="F39" s="0" t="n">
        <v>136</v>
      </c>
      <c r="G39" s="0" t="n">
        <v>47.79</v>
      </c>
      <c r="H39" s="0" t="n">
        <v>157.99</v>
      </c>
      <c r="I39" s="0" t="n">
        <v>37.77</v>
      </c>
      <c r="J39" s="0" t="n">
        <v>124.87</v>
      </c>
      <c r="K39" s="0" t="n">
        <v>26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157A</t>
        </is>
      </c>
      <c r="X39" s="0" t="n">
        <v>15</v>
      </c>
      <c r="Y39" s="0" t="n">
        <v>14</v>
      </c>
      <c r="Z39" s="0" t="inlineStr">
        <is>
          <t>https://new.land.naver.com/complexes/27287?tab=detail&amp;rf=Y</t>
        </is>
      </c>
      <c r="AA39" s="0" t="inlineStr">
        <is>
          <t>경상남도 창원시 성산구 가음동 21-36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성산구</t>
        </is>
      </c>
      <c r="AE39" s="0" t="inlineStr">
        <is>
          <t>가음동</t>
        </is>
      </c>
      <c r="AG39" s="0" t="inlineStr">
        <is>
          <t>경상남도 창원시 성산구 원이대로883번길 23</t>
        </is>
      </c>
      <c r="AH39" s="0" t="n">
        <v>0</v>
      </c>
      <c r="AI39" s="0" t="n">
        <v>177</v>
      </c>
      <c r="AJ39" s="0" t="n">
        <v>16</v>
      </c>
      <c r="AK39" s="0" t="n">
        <v>272</v>
      </c>
      <c r="AL39" s="0" t="n">
        <v>2</v>
      </c>
    </row>
    <row r="40">
      <c r="A40" s="0" t="inlineStr">
        <is>
          <t>[가음동]</t>
        </is>
      </c>
      <c r="B40" s="0" t="n">
        <v>27287</v>
      </c>
      <c r="C40" s="0" t="n">
        <v>2</v>
      </c>
      <c r="D40" s="0" t="inlineStr">
        <is>
          <t>창원자이</t>
        </is>
      </c>
      <c r="E40" s="0" t="inlineStr">
        <is>
          <t>2008.10.</t>
        </is>
      </c>
      <c r="F40" s="0" t="n">
        <v>136</v>
      </c>
      <c r="G40" s="0" t="n">
        <v>48.23</v>
      </c>
      <c r="H40" s="0" t="n">
        <v>159.47</v>
      </c>
      <c r="I40" s="0" t="n">
        <v>37.93</v>
      </c>
      <c r="J40" s="0" t="n">
        <v>125.41</v>
      </c>
      <c r="K40" s="0" t="n">
        <v>54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159B</t>
        </is>
      </c>
      <c r="X40" s="0" t="n">
        <v>15</v>
      </c>
      <c r="Y40" s="0" t="n">
        <v>14</v>
      </c>
      <c r="Z40" s="0" t="inlineStr">
        <is>
          <t>https://new.land.naver.com/complexes/27287?tab=detail&amp;rf=Y</t>
        </is>
      </c>
      <c r="AA40" s="0" t="inlineStr">
        <is>
          <t>경상남도 창원시 성산구 가음동 21-36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성산구</t>
        </is>
      </c>
      <c r="AE40" s="0" t="inlineStr">
        <is>
          <t>가음동</t>
        </is>
      </c>
      <c r="AG40" s="0" t="inlineStr">
        <is>
          <t>경상남도 창원시 성산구 원이대로883번길 23</t>
        </is>
      </c>
      <c r="AH40" s="0" t="n">
        <v>0</v>
      </c>
      <c r="AI40" s="0" t="n">
        <v>177</v>
      </c>
      <c r="AJ40" s="0" t="n">
        <v>16</v>
      </c>
      <c r="AK40" s="0" t="n">
        <v>272</v>
      </c>
      <c r="AL40" s="0" t="n">
        <v>2</v>
      </c>
    </row>
    <row r="41">
      <c r="A41" s="0" t="inlineStr">
        <is>
          <t>[가음동]</t>
        </is>
      </c>
      <c r="B41" s="0" t="n">
        <v>27287</v>
      </c>
      <c r="C41" s="0" t="n">
        <v>3</v>
      </c>
      <c r="D41" s="0" t="inlineStr">
        <is>
          <t>창원자이</t>
        </is>
      </c>
      <c r="E41" s="0" t="inlineStr">
        <is>
          <t>2008.10.</t>
        </is>
      </c>
      <c r="F41" s="0" t="n">
        <v>136</v>
      </c>
      <c r="G41" s="0" t="n">
        <v>56.15</v>
      </c>
      <c r="H41" s="0" t="n">
        <v>185.65</v>
      </c>
      <c r="I41" s="0" t="n">
        <v>47.58</v>
      </c>
      <c r="J41" s="0" t="n">
        <v>157.3</v>
      </c>
      <c r="K41" s="0" t="n">
        <v>56</v>
      </c>
      <c r="T41" s="0" t="n">
        <v>4</v>
      </c>
      <c r="U41" s="0" t="n">
        <v>2</v>
      </c>
      <c r="V41" s="0" t="inlineStr">
        <is>
          <t>계단식</t>
        </is>
      </c>
      <c r="W41" s="0" t="n">
        <v>185</v>
      </c>
      <c r="X41" s="0" t="n">
        <v>15</v>
      </c>
      <c r="Y41" s="0" t="n">
        <v>14</v>
      </c>
      <c r="Z41" s="0" t="inlineStr">
        <is>
          <t>https://new.land.naver.com/complexes/27287?tab=detail&amp;rf=Y</t>
        </is>
      </c>
      <c r="AA41" s="0" t="inlineStr">
        <is>
          <t>경상남도 창원시 성산구 가음동 21-36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성산구</t>
        </is>
      </c>
      <c r="AE41" s="0" t="inlineStr">
        <is>
          <t>가음동</t>
        </is>
      </c>
      <c r="AG41" s="0" t="inlineStr">
        <is>
          <t>경상남도 창원시 성산구 원이대로883번길 23</t>
        </is>
      </c>
      <c r="AH41" s="0" t="n">
        <v>0</v>
      </c>
      <c r="AI41" s="0" t="n">
        <v>177</v>
      </c>
      <c r="AJ41" s="0" t="n">
        <v>16</v>
      </c>
      <c r="AK41" s="0" t="n">
        <v>272</v>
      </c>
      <c r="AL41" s="0" t="n">
        <v>2</v>
      </c>
    </row>
    <row r="42">
      <c r="A42" s="0" t="inlineStr">
        <is>
          <t>[가음동]</t>
        </is>
      </c>
      <c r="B42" s="0" t="n">
        <v>109271</v>
      </c>
      <c r="C42" s="0" t="n">
        <v>1</v>
      </c>
      <c r="D42" s="0" t="inlineStr">
        <is>
          <t>창원더샵센트럴파크1단지</t>
        </is>
      </c>
      <c r="E42" s="0" t="inlineStr">
        <is>
          <t>2017.04.</t>
        </is>
      </c>
      <c r="F42" s="0" t="n">
        <v>386</v>
      </c>
      <c r="G42" s="0" t="n">
        <v>32.52</v>
      </c>
      <c r="H42" s="0" t="n">
        <v>107.53</v>
      </c>
      <c r="I42" s="0" t="n">
        <v>25.65</v>
      </c>
      <c r="J42" s="0" t="n">
        <v>84.8</v>
      </c>
      <c r="K42" s="0" t="n">
        <v>146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107B</t>
        </is>
      </c>
      <c r="X42" s="0" t="n">
        <v>27</v>
      </c>
      <c r="Y42" s="0" t="n">
        <v>24</v>
      </c>
      <c r="Z42" s="0" t="inlineStr">
        <is>
          <t>https://new.land.naver.com/complexes/109271?tab=detail&amp;rf=Y</t>
        </is>
      </c>
      <c r="AA42" s="0" t="inlineStr">
        <is>
          <t>경상남도 창원시 성산구 가음동 17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성산구</t>
        </is>
      </c>
      <c r="AE42" s="0" t="inlineStr">
        <is>
          <t>가음동</t>
        </is>
      </c>
      <c r="AG42" s="0" t="inlineStr">
        <is>
          <t>경상남도 창원시 성산구 대정로40번길 7</t>
        </is>
      </c>
      <c r="AH42" s="0" t="n">
        <v>0</v>
      </c>
      <c r="AI42" s="0" t="n">
        <v>215</v>
      </c>
      <c r="AJ42" s="0" t="n">
        <v>15</v>
      </c>
      <c r="AK42" s="0" t="n">
        <v>543</v>
      </c>
      <c r="AL42" s="0" t="n">
        <v>1.41</v>
      </c>
    </row>
    <row r="43">
      <c r="A43" s="0" t="inlineStr">
        <is>
          <t>[가음동]</t>
        </is>
      </c>
      <c r="B43" s="0" t="n">
        <v>109271</v>
      </c>
      <c r="C43" s="0" t="n">
        <v>2</v>
      </c>
      <c r="D43" s="0" t="inlineStr">
        <is>
          <t>창원더샵센트럴파크1단지</t>
        </is>
      </c>
      <c r="E43" s="0" t="inlineStr">
        <is>
          <t>2017.04.</t>
        </is>
      </c>
      <c r="F43" s="0" t="n">
        <v>386</v>
      </c>
      <c r="G43" s="0" t="n">
        <v>32.61</v>
      </c>
      <c r="H43" s="0" t="n">
        <v>107.81</v>
      </c>
      <c r="I43" s="0" t="n">
        <v>25.63</v>
      </c>
      <c r="J43" s="0" t="n">
        <v>84.76000000000001</v>
      </c>
      <c r="K43" s="0" t="n">
        <v>50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107C</t>
        </is>
      </c>
      <c r="X43" s="0" t="n">
        <v>27</v>
      </c>
      <c r="Y43" s="0" t="n">
        <v>24</v>
      </c>
      <c r="Z43" s="0" t="inlineStr">
        <is>
          <t>https://new.land.naver.com/complexes/109271?tab=detail&amp;rf=Y</t>
        </is>
      </c>
      <c r="AA43" s="0" t="inlineStr">
        <is>
          <t>경상남도 창원시 성산구 가음동 17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성산구</t>
        </is>
      </c>
      <c r="AE43" s="0" t="inlineStr">
        <is>
          <t>가음동</t>
        </is>
      </c>
      <c r="AG43" s="0" t="inlineStr">
        <is>
          <t>경상남도 창원시 성산구 대정로40번길 7</t>
        </is>
      </c>
      <c r="AH43" s="0" t="n">
        <v>0</v>
      </c>
      <c r="AI43" s="0" t="n">
        <v>215</v>
      </c>
      <c r="AJ43" s="0" t="n">
        <v>15</v>
      </c>
      <c r="AK43" s="0" t="n">
        <v>543</v>
      </c>
      <c r="AL43" s="0" t="n">
        <v>1.41</v>
      </c>
    </row>
    <row r="44">
      <c r="A44" s="0" t="inlineStr">
        <is>
          <t>[가음동]</t>
        </is>
      </c>
      <c r="B44" s="0" t="n">
        <v>109271</v>
      </c>
      <c r="C44" s="0" t="n">
        <v>3</v>
      </c>
      <c r="D44" s="0" t="inlineStr">
        <is>
          <t>창원더샵센트럴파크1단지</t>
        </is>
      </c>
      <c r="E44" s="0" t="inlineStr">
        <is>
          <t>2017.04.</t>
        </is>
      </c>
      <c r="F44" s="0" t="n">
        <v>386</v>
      </c>
      <c r="G44" s="0" t="n">
        <v>38.08</v>
      </c>
      <c r="H44" s="0" t="n">
        <v>125.9</v>
      </c>
      <c r="I44" s="0" t="n">
        <v>29.89</v>
      </c>
      <c r="J44" s="0" t="n">
        <v>98.84</v>
      </c>
      <c r="K44" s="0" t="n">
        <v>98</v>
      </c>
      <c r="T44" s="0" t="n">
        <v>3</v>
      </c>
      <c r="U44" s="0" t="n">
        <v>2</v>
      </c>
      <c r="V44" s="0" t="inlineStr">
        <is>
          <t>계단식</t>
        </is>
      </c>
      <c r="W44" s="0" t="n">
        <v>125</v>
      </c>
      <c r="X44" s="0" t="n">
        <v>27</v>
      </c>
      <c r="Y44" s="0" t="n">
        <v>24</v>
      </c>
      <c r="Z44" s="0" t="inlineStr">
        <is>
          <t>https://new.land.naver.com/complexes/109271?tab=detail&amp;rf=Y</t>
        </is>
      </c>
      <c r="AA44" s="0" t="inlineStr">
        <is>
          <t>경상남도 창원시 성산구 가음동 17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성산구</t>
        </is>
      </c>
      <c r="AE44" s="0" t="inlineStr">
        <is>
          <t>가음동</t>
        </is>
      </c>
      <c r="AG44" s="0" t="inlineStr">
        <is>
          <t>경상남도 창원시 성산구 대정로40번길 7</t>
        </is>
      </c>
      <c r="AH44" s="0" t="n">
        <v>0</v>
      </c>
      <c r="AI44" s="0" t="n">
        <v>215</v>
      </c>
      <c r="AJ44" s="0" t="n">
        <v>15</v>
      </c>
      <c r="AK44" s="0" t="n">
        <v>543</v>
      </c>
      <c r="AL44" s="0" t="n">
        <v>1.41</v>
      </c>
    </row>
    <row r="45">
      <c r="A45" s="0" t="inlineStr">
        <is>
          <t>[가음동]</t>
        </is>
      </c>
      <c r="B45" s="0" t="n">
        <v>109271</v>
      </c>
      <c r="C45" s="0" t="n">
        <v>4</v>
      </c>
      <c r="D45" s="0" t="inlineStr">
        <is>
          <t>창원더샵센트럴파크1단지</t>
        </is>
      </c>
      <c r="E45" s="0" t="inlineStr">
        <is>
          <t>2017.04.</t>
        </is>
      </c>
      <c r="F45" s="0" t="n">
        <v>386</v>
      </c>
      <c r="G45" s="0" t="n">
        <v>44.73</v>
      </c>
      <c r="H45" s="0" t="n">
        <v>147.87</v>
      </c>
      <c r="I45" s="0" t="n">
        <v>35.61</v>
      </c>
      <c r="J45" s="0" t="n">
        <v>117.74</v>
      </c>
      <c r="K45" s="0" t="n">
        <v>46</v>
      </c>
      <c r="T45" s="0" t="n">
        <v>4</v>
      </c>
      <c r="U45" s="0" t="n">
        <v>2</v>
      </c>
      <c r="V45" s="0" t="inlineStr">
        <is>
          <t>계단식</t>
        </is>
      </c>
      <c r="W45" s="0" t="inlineStr">
        <is>
          <t>147A</t>
        </is>
      </c>
      <c r="X45" s="0" t="n">
        <v>27</v>
      </c>
      <c r="Y45" s="0" t="n">
        <v>24</v>
      </c>
      <c r="Z45" s="0" t="inlineStr">
        <is>
          <t>https://new.land.naver.com/complexes/109271?tab=detail&amp;rf=Y</t>
        </is>
      </c>
      <c r="AA45" s="0" t="inlineStr">
        <is>
          <t>경상남도 창원시 성산구 가음동 17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성산구</t>
        </is>
      </c>
      <c r="AE45" s="0" t="inlineStr">
        <is>
          <t>가음동</t>
        </is>
      </c>
      <c r="AG45" s="0" t="inlineStr">
        <is>
          <t>경상남도 창원시 성산구 대정로40번길 7</t>
        </is>
      </c>
      <c r="AH45" s="0" t="n">
        <v>0</v>
      </c>
      <c r="AI45" s="0" t="n">
        <v>215</v>
      </c>
      <c r="AJ45" s="0" t="n">
        <v>15</v>
      </c>
      <c r="AK45" s="0" t="n">
        <v>543</v>
      </c>
      <c r="AL45" s="0" t="n">
        <v>1.41</v>
      </c>
    </row>
    <row r="46">
      <c r="A46" s="0" t="inlineStr">
        <is>
          <t>[가음동]</t>
        </is>
      </c>
      <c r="B46" s="0" t="n">
        <v>109271</v>
      </c>
      <c r="C46" s="0" t="n">
        <v>5</v>
      </c>
      <c r="D46" s="0" t="inlineStr">
        <is>
          <t>창원더샵센트럴파크1단지</t>
        </is>
      </c>
      <c r="E46" s="0" t="inlineStr">
        <is>
          <t>2017.04.</t>
        </is>
      </c>
      <c r="F46" s="0" t="n">
        <v>386</v>
      </c>
      <c r="G46" s="0" t="n">
        <v>45.13</v>
      </c>
      <c r="H46" s="0" t="n">
        <v>149.22</v>
      </c>
      <c r="I46" s="0" t="n">
        <v>35.64</v>
      </c>
      <c r="J46" s="0" t="n">
        <v>117.85</v>
      </c>
      <c r="K46" s="0" t="n">
        <v>46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149B</t>
        </is>
      </c>
      <c r="X46" s="0" t="n">
        <v>27</v>
      </c>
      <c r="Y46" s="0" t="n">
        <v>24</v>
      </c>
      <c r="Z46" s="0" t="inlineStr">
        <is>
          <t>https://new.land.naver.com/complexes/109271?tab=detail&amp;rf=Y</t>
        </is>
      </c>
      <c r="AA46" s="0" t="inlineStr">
        <is>
          <t>경상남도 창원시 성산구 가음동 17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성산구</t>
        </is>
      </c>
      <c r="AE46" s="0" t="inlineStr">
        <is>
          <t>가음동</t>
        </is>
      </c>
      <c r="AG46" s="0" t="inlineStr">
        <is>
          <t>경상남도 창원시 성산구 대정로40번길 7</t>
        </is>
      </c>
      <c r="AH46" s="0" t="n">
        <v>0</v>
      </c>
      <c r="AI46" s="0" t="n">
        <v>215</v>
      </c>
      <c r="AJ46" s="0" t="n">
        <v>15</v>
      </c>
      <c r="AK46" s="0" t="n">
        <v>543</v>
      </c>
      <c r="AL46" s="0" t="n">
        <v>1.41</v>
      </c>
    </row>
    <row r="47">
      <c r="A47" s="0" t="inlineStr">
        <is>
          <t>[가음동]</t>
        </is>
      </c>
      <c r="B47" s="0" t="n">
        <v>109672</v>
      </c>
      <c r="C47" s="0" t="n">
        <v>1</v>
      </c>
      <c r="D47" s="0" t="inlineStr">
        <is>
          <t>창원가음한화꿈에그린</t>
        </is>
      </c>
      <c r="E47" s="0" t="inlineStr">
        <is>
          <t>2017.08.</t>
        </is>
      </c>
      <c r="F47" s="0" t="n">
        <v>749</v>
      </c>
      <c r="G47" s="0" t="n">
        <v>24.16</v>
      </c>
      <c r="H47" s="0" t="n">
        <v>79.87</v>
      </c>
      <c r="I47" s="0" t="n">
        <v>18.14</v>
      </c>
      <c r="J47" s="0" t="n">
        <v>59.99</v>
      </c>
      <c r="K47" s="0" t="n">
        <v>88</v>
      </c>
      <c r="T47" s="0" t="n">
        <v>3</v>
      </c>
      <c r="U47" s="0" t="n">
        <v>2</v>
      </c>
      <c r="V47" s="0" t="inlineStr">
        <is>
          <t>계단식</t>
        </is>
      </c>
      <c r="W47" s="0" t="n">
        <v>79</v>
      </c>
      <c r="X47" s="0" t="n">
        <v>30</v>
      </c>
      <c r="Y47" s="0" t="n">
        <v>22</v>
      </c>
      <c r="Z47" s="0" t="inlineStr">
        <is>
          <t>https://new.land.naver.com/complexes/109672?tab=detail&amp;rf=Y</t>
        </is>
      </c>
      <c r="AA47" s="0" t="inlineStr">
        <is>
          <t>경상남도 창원시 성산구 가음동 13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성산구</t>
        </is>
      </c>
      <c r="AE47" s="0" t="inlineStr">
        <is>
          <t>가음동</t>
        </is>
      </c>
      <c r="AG47" s="0" t="inlineStr">
        <is>
          <t>경상남도 창원시 성산구 원이대로878번길 9</t>
        </is>
      </c>
      <c r="AH47" s="0" t="n">
        <v>0</v>
      </c>
      <c r="AI47" s="0" t="n">
        <v>214</v>
      </c>
      <c r="AJ47" s="0" t="n">
        <v>13</v>
      </c>
      <c r="AK47" s="0" t="n">
        <v>1182</v>
      </c>
      <c r="AL47" s="0" t="n">
        <v>1.58</v>
      </c>
    </row>
    <row r="48">
      <c r="A48" s="0" t="inlineStr">
        <is>
          <t>[가음동]</t>
        </is>
      </c>
      <c r="B48" s="0" t="n">
        <v>109672</v>
      </c>
      <c r="C48" s="0" t="n">
        <v>2</v>
      </c>
      <c r="D48" s="0" t="inlineStr">
        <is>
          <t>창원가음한화꿈에그린</t>
        </is>
      </c>
      <c r="E48" s="0" t="inlineStr">
        <is>
          <t>2017.08.</t>
        </is>
      </c>
      <c r="F48" s="0" t="n">
        <v>749</v>
      </c>
      <c r="G48" s="0" t="n">
        <v>28.67</v>
      </c>
      <c r="H48" s="0" t="n">
        <v>94.8</v>
      </c>
      <c r="I48" s="0" t="n">
        <v>21.44</v>
      </c>
      <c r="J48" s="0" t="n">
        <v>70.90000000000001</v>
      </c>
      <c r="K48" s="0" t="n">
        <v>54</v>
      </c>
      <c r="T48" s="0" t="n">
        <v>3</v>
      </c>
      <c r="U48" s="0" t="n">
        <v>2</v>
      </c>
      <c r="V48" s="0" t="inlineStr">
        <is>
          <t>계단식</t>
        </is>
      </c>
      <c r="W48" s="0" t="n">
        <v>94</v>
      </c>
      <c r="X48" s="0" t="n">
        <v>30</v>
      </c>
      <c r="Y48" s="0" t="n">
        <v>22</v>
      </c>
      <c r="Z48" s="0" t="inlineStr">
        <is>
          <t>https://new.land.naver.com/complexes/109672?tab=detail&amp;rf=Y</t>
        </is>
      </c>
      <c r="AA48" s="0" t="inlineStr">
        <is>
          <t>경상남도 창원시 성산구 가음동 13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성산구</t>
        </is>
      </c>
      <c r="AE48" s="0" t="inlineStr">
        <is>
          <t>가음동</t>
        </is>
      </c>
      <c r="AG48" s="0" t="inlineStr">
        <is>
          <t>경상남도 창원시 성산구 원이대로878번길 9</t>
        </is>
      </c>
      <c r="AH48" s="0" t="n">
        <v>0</v>
      </c>
      <c r="AI48" s="0" t="n">
        <v>214</v>
      </c>
      <c r="AJ48" s="0" t="n">
        <v>13</v>
      </c>
      <c r="AK48" s="0" t="n">
        <v>1182</v>
      </c>
      <c r="AL48" s="0" t="n">
        <v>1.58</v>
      </c>
    </row>
    <row r="49">
      <c r="A49" s="0" t="inlineStr">
        <is>
          <t>[가음동]</t>
        </is>
      </c>
      <c r="B49" s="0" t="n">
        <v>109672</v>
      </c>
      <c r="C49" s="0" t="n">
        <v>3</v>
      </c>
      <c r="D49" s="0" t="inlineStr">
        <is>
          <t>창원가음한화꿈에그린</t>
        </is>
      </c>
      <c r="E49" s="0" t="inlineStr">
        <is>
          <t>2017.08.</t>
        </is>
      </c>
      <c r="F49" s="0" t="n">
        <v>749</v>
      </c>
      <c r="G49" s="0" t="n">
        <v>33.99</v>
      </c>
      <c r="H49" s="0" t="n">
        <v>112.38</v>
      </c>
      <c r="I49" s="0" t="n">
        <v>25.7</v>
      </c>
      <c r="J49" s="0" t="n">
        <v>84.97</v>
      </c>
      <c r="K49" s="0" t="n">
        <v>377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112A</t>
        </is>
      </c>
      <c r="X49" s="0" t="n">
        <v>30</v>
      </c>
      <c r="Y49" s="0" t="n">
        <v>22</v>
      </c>
      <c r="Z49" s="0" t="inlineStr">
        <is>
          <t>https://new.land.naver.com/complexes/109672?tab=detail&amp;rf=Y</t>
        </is>
      </c>
      <c r="AA49" s="0" t="inlineStr">
        <is>
          <t>경상남도 창원시 성산구 가음동 13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성산구</t>
        </is>
      </c>
      <c r="AE49" s="0" t="inlineStr">
        <is>
          <t>가음동</t>
        </is>
      </c>
      <c r="AG49" s="0" t="inlineStr">
        <is>
          <t>경상남도 창원시 성산구 원이대로878번길 9</t>
        </is>
      </c>
      <c r="AH49" s="0" t="n">
        <v>0</v>
      </c>
      <c r="AI49" s="0" t="n">
        <v>214</v>
      </c>
      <c r="AJ49" s="0" t="n">
        <v>13</v>
      </c>
      <c r="AK49" s="0" t="n">
        <v>1182</v>
      </c>
      <c r="AL49" s="0" t="n">
        <v>1.58</v>
      </c>
    </row>
    <row r="50">
      <c r="A50" s="0" t="inlineStr">
        <is>
          <t>[가음동]</t>
        </is>
      </c>
      <c r="B50" s="0" t="n">
        <v>109672</v>
      </c>
      <c r="C50" s="0" t="n">
        <v>4</v>
      </c>
      <c r="D50" s="0" t="inlineStr">
        <is>
          <t>창원가음한화꿈에그린</t>
        </is>
      </c>
      <c r="E50" s="0" t="inlineStr">
        <is>
          <t>2017.08.</t>
        </is>
      </c>
      <c r="F50" s="0" t="n">
        <v>749</v>
      </c>
      <c r="G50" s="0" t="n">
        <v>33.88</v>
      </c>
      <c r="H50" s="0" t="n">
        <v>112.02</v>
      </c>
      <c r="I50" s="0" t="n">
        <v>25.69</v>
      </c>
      <c r="J50" s="0" t="n">
        <v>84.95</v>
      </c>
      <c r="K50" s="0" t="n">
        <v>110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112B</t>
        </is>
      </c>
      <c r="X50" s="0" t="n">
        <v>30</v>
      </c>
      <c r="Y50" s="0" t="n">
        <v>22</v>
      </c>
      <c r="Z50" s="0" t="inlineStr">
        <is>
          <t>https://new.land.naver.com/complexes/109672?tab=detail&amp;rf=Y</t>
        </is>
      </c>
      <c r="AA50" s="0" t="inlineStr">
        <is>
          <t>경상남도 창원시 성산구 가음동 13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성산구</t>
        </is>
      </c>
      <c r="AE50" s="0" t="inlineStr">
        <is>
          <t>가음동</t>
        </is>
      </c>
      <c r="AG50" s="0" t="inlineStr">
        <is>
          <t>경상남도 창원시 성산구 원이대로878번길 9</t>
        </is>
      </c>
      <c r="AH50" s="0" t="n">
        <v>0</v>
      </c>
      <c r="AI50" s="0" t="n">
        <v>214</v>
      </c>
      <c r="AJ50" s="0" t="n">
        <v>13</v>
      </c>
      <c r="AK50" s="0" t="n">
        <v>1182</v>
      </c>
      <c r="AL50" s="0" t="n">
        <v>1.58</v>
      </c>
    </row>
    <row r="51">
      <c r="A51" s="0" t="inlineStr">
        <is>
          <t>[가음동]</t>
        </is>
      </c>
      <c r="B51" s="0" t="n">
        <v>109672</v>
      </c>
      <c r="C51" s="0" t="n">
        <v>5</v>
      </c>
      <c r="D51" s="0" t="inlineStr">
        <is>
          <t>창원가음한화꿈에그린</t>
        </is>
      </c>
      <c r="E51" s="0" t="inlineStr">
        <is>
          <t>2017.08.</t>
        </is>
      </c>
      <c r="F51" s="0" t="n">
        <v>749</v>
      </c>
      <c r="G51" s="0" t="n">
        <v>33.99</v>
      </c>
      <c r="H51" s="0" t="n">
        <v>112.38</v>
      </c>
      <c r="I51" s="0" t="n">
        <v>25.7</v>
      </c>
      <c r="J51" s="0" t="n">
        <v>84.97</v>
      </c>
      <c r="K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112A2</t>
        </is>
      </c>
      <c r="X51" s="0" t="n">
        <v>30</v>
      </c>
      <c r="Y51" s="0" t="n">
        <v>22</v>
      </c>
      <c r="Z51" s="0" t="inlineStr">
        <is>
          <t>https://new.land.naver.com/complexes/109672?tab=detail&amp;rf=Y</t>
        </is>
      </c>
      <c r="AA51" s="0" t="inlineStr">
        <is>
          <t>경상남도 창원시 성산구 가음동 13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성산구</t>
        </is>
      </c>
      <c r="AE51" s="0" t="inlineStr">
        <is>
          <t>가음동</t>
        </is>
      </c>
      <c r="AG51" s="0" t="inlineStr">
        <is>
          <t>경상남도 창원시 성산구 원이대로878번길 9</t>
        </is>
      </c>
      <c r="AH51" s="0" t="n">
        <v>0</v>
      </c>
      <c r="AI51" s="0" t="n">
        <v>214</v>
      </c>
      <c r="AJ51" s="0" t="n">
        <v>13</v>
      </c>
      <c r="AK51" s="0" t="n">
        <v>1182</v>
      </c>
      <c r="AL51" s="0" t="n">
        <v>1.58</v>
      </c>
    </row>
    <row r="52">
      <c r="A52" s="0" t="inlineStr">
        <is>
          <t>[가음동]</t>
        </is>
      </c>
      <c r="B52" s="0" t="n">
        <v>109672</v>
      </c>
      <c r="C52" s="0" t="n">
        <v>6</v>
      </c>
      <c r="D52" s="0" t="inlineStr">
        <is>
          <t>창원가음한화꿈에그린</t>
        </is>
      </c>
      <c r="E52" s="0" t="inlineStr">
        <is>
          <t>2017.08.</t>
        </is>
      </c>
      <c r="F52" s="0" t="n">
        <v>749</v>
      </c>
      <c r="G52" s="0" t="n">
        <v>39.9</v>
      </c>
      <c r="H52" s="0" t="n">
        <v>131.93</v>
      </c>
      <c r="I52" s="0" t="n">
        <v>30.43</v>
      </c>
      <c r="J52" s="0" t="n">
        <v>100.61</v>
      </c>
      <c r="K52" s="0" t="n">
        <v>85</v>
      </c>
      <c r="T52" s="0" t="n">
        <v>4</v>
      </c>
      <c r="U52" s="0" t="n">
        <v>2</v>
      </c>
      <c r="V52" s="0" t="inlineStr">
        <is>
          <t>계단식</t>
        </is>
      </c>
      <c r="W52" s="0" t="n">
        <v>131</v>
      </c>
      <c r="X52" s="0" t="n">
        <v>30</v>
      </c>
      <c r="Y52" s="0" t="n">
        <v>22</v>
      </c>
      <c r="Z52" s="0" t="inlineStr">
        <is>
          <t>https://new.land.naver.com/complexes/109672?tab=detail&amp;rf=Y</t>
        </is>
      </c>
      <c r="AA52" s="0" t="inlineStr">
        <is>
          <t>경상남도 창원시 성산구 가음동 13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성산구</t>
        </is>
      </c>
      <c r="AE52" s="0" t="inlineStr">
        <is>
          <t>가음동</t>
        </is>
      </c>
      <c r="AG52" s="0" t="inlineStr">
        <is>
          <t>경상남도 창원시 성산구 원이대로878번길 9</t>
        </is>
      </c>
      <c r="AH52" s="0" t="n">
        <v>0</v>
      </c>
      <c r="AI52" s="0" t="n">
        <v>214</v>
      </c>
      <c r="AJ52" s="0" t="n">
        <v>13</v>
      </c>
      <c r="AK52" s="0" t="n">
        <v>1182</v>
      </c>
      <c r="AL52" s="0" t="n">
        <v>1.58</v>
      </c>
    </row>
    <row r="53">
      <c r="A53" s="0" t="inlineStr">
        <is>
          <t>[가음동]</t>
        </is>
      </c>
      <c r="B53" s="0" t="n">
        <v>109672</v>
      </c>
      <c r="C53" s="0" t="n">
        <v>7</v>
      </c>
      <c r="D53" s="0" t="inlineStr">
        <is>
          <t>창원가음한화꿈에그린</t>
        </is>
      </c>
      <c r="E53" s="0" t="inlineStr">
        <is>
          <t>2017.08.</t>
        </is>
      </c>
      <c r="F53" s="0" t="n">
        <v>749</v>
      </c>
      <c r="G53" s="0" t="n">
        <v>43.79</v>
      </c>
      <c r="H53" s="0" t="n">
        <v>144.79</v>
      </c>
      <c r="I53" s="0" t="n">
        <v>33.55</v>
      </c>
      <c r="J53" s="0" t="n">
        <v>110.93</v>
      </c>
      <c r="K53" s="0" t="n">
        <v>27</v>
      </c>
      <c r="T53" s="0" t="n">
        <v>5</v>
      </c>
      <c r="U53" s="0" t="n">
        <v>2</v>
      </c>
      <c r="V53" s="0" t="inlineStr">
        <is>
          <t>계단식</t>
        </is>
      </c>
      <c r="W53" s="0" t="n">
        <v>144</v>
      </c>
      <c r="X53" s="0" t="n">
        <v>30</v>
      </c>
      <c r="Y53" s="0" t="n">
        <v>22</v>
      </c>
      <c r="Z53" s="0" t="inlineStr">
        <is>
          <t>https://new.land.naver.com/complexes/109672?tab=detail&amp;rf=Y</t>
        </is>
      </c>
      <c r="AA53" s="0" t="inlineStr">
        <is>
          <t>경상남도 창원시 성산구 가음동 13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성산구</t>
        </is>
      </c>
      <c r="AE53" s="0" t="inlineStr">
        <is>
          <t>가음동</t>
        </is>
      </c>
      <c r="AG53" s="0" t="inlineStr">
        <is>
          <t>경상남도 창원시 성산구 원이대로878번길 9</t>
        </is>
      </c>
      <c r="AH53" s="0" t="n">
        <v>0</v>
      </c>
      <c r="AI53" s="0" t="n">
        <v>214</v>
      </c>
      <c r="AJ53" s="0" t="n">
        <v>13</v>
      </c>
      <c r="AK53" s="0" t="n">
        <v>1182</v>
      </c>
      <c r="AL53" s="0" t="n">
        <v>1.58</v>
      </c>
    </row>
    <row r="54">
      <c r="A54" s="0" t="inlineStr">
        <is>
          <t>[가음동]</t>
        </is>
      </c>
      <c r="B54" s="0" t="n">
        <v>128688</v>
      </c>
      <c r="C54" s="0" t="n">
        <v>1</v>
      </c>
      <c r="D54" s="0" t="inlineStr">
        <is>
          <t>청실</t>
        </is>
      </c>
      <c r="E54" s="0" t="inlineStr">
        <is>
          <t>1984.10.</t>
        </is>
      </c>
      <c r="F54" s="0" t="n">
        <v>40</v>
      </c>
      <c r="G54" s="0" t="n">
        <v>15.63</v>
      </c>
      <c r="H54" s="0" t="n">
        <v>51.69</v>
      </c>
      <c r="I54" s="0" t="n">
        <v>13.32</v>
      </c>
      <c r="J54" s="0" t="n">
        <v>44.04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51</v>
      </c>
      <c r="X54" s="0" t="n">
        <v>5</v>
      </c>
      <c r="Y54" s="0" t="n">
        <v>5</v>
      </c>
      <c r="Z54" s="0" t="inlineStr">
        <is>
          <t>https://new.land.naver.com/complexes/128688?tab=detail&amp;rf=Y</t>
        </is>
      </c>
      <c r="AA54" s="0" t="inlineStr">
        <is>
          <t>경상남도 창원시 성산구 가음동 22-5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성산구</t>
        </is>
      </c>
      <c r="AE54" s="0" t="inlineStr">
        <is>
          <t>가음동</t>
        </is>
      </c>
      <c r="AG54" s="0" t="inlineStr">
        <is>
          <t>경상남도 창원시 성산구 원이대로883번길 11-33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[가음동]</t>
        </is>
      </c>
      <c r="B55" s="0" t="n">
        <v>108265</v>
      </c>
      <c r="C55" s="0" t="n">
        <v>1</v>
      </c>
      <c r="D55" s="0" t="inlineStr">
        <is>
          <t>가음비앤지스틸(주)사원</t>
        </is>
      </c>
      <c r="E55" s="0" t="inlineStr">
        <is>
          <t>1989.06.</t>
        </is>
      </c>
      <c r="F55" s="0" t="n">
        <v>90</v>
      </c>
      <c r="G55" s="0" t="n">
        <v>18.68</v>
      </c>
      <c r="H55" s="0" t="n">
        <v>61.78</v>
      </c>
      <c r="I55" s="0" t="n">
        <v>14.77</v>
      </c>
      <c r="J55" s="0" t="n">
        <v>48.83</v>
      </c>
      <c r="K55" s="0" t="n">
        <v>20</v>
      </c>
      <c r="T55" s="0" t="n">
        <v>2</v>
      </c>
      <c r="U55" s="0" t="n">
        <v>1</v>
      </c>
      <c r="V55" s="0" t="inlineStr">
        <is>
          <t>복도식</t>
        </is>
      </c>
      <c r="W55" s="0" t="n">
        <v>61</v>
      </c>
      <c r="X55" s="0" t="n">
        <v>5</v>
      </c>
      <c r="Y55" s="0" t="n">
        <v>5</v>
      </c>
      <c r="Z55" s="0" t="inlineStr">
        <is>
          <t>https://new.land.naver.com/complexes/108265?tab=detail&amp;rf=Y</t>
        </is>
      </c>
      <c r="AA55" s="0" t="inlineStr">
        <is>
          <t>경상남도 창원시 성산구 가음동 24-10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성산구</t>
        </is>
      </c>
      <c r="AE55" s="0" t="inlineStr">
        <is>
          <t>가음동</t>
        </is>
      </c>
      <c r="AG55" s="0" t="inlineStr">
        <is>
          <t>경상남도 창원시 성산구 가음정로 121</t>
        </is>
      </c>
      <c r="AH55" s="0" t="n">
        <v>0</v>
      </c>
      <c r="AI55" s="0" t="n">
        <v>130</v>
      </c>
      <c r="AJ55" s="0" t="n">
        <v>26</v>
      </c>
      <c r="AK55" s="0" t="n">
        <v>0</v>
      </c>
      <c r="AL55" s="0" t="n">
        <v>0</v>
      </c>
    </row>
    <row r="56">
      <c r="A56" s="0" t="inlineStr">
        <is>
          <t>[가음동]</t>
        </is>
      </c>
      <c r="B56" s="0" t="n">
        <v>108265</v>
      </c>
      <c r="C56" s="0" t="n">
        <v>2</v>
      </c>
      <c r="D56" s="0" t="inlineStr">
        <is>
          <t>가음비앤지스틸(주)사원</t>
        </is>
      </c>
      <c r="E56" s="0" t="inlineStr">
        <is>
          <t>1989.06.</t>
        </is>
      </c>
      <c r="F56" s="0" t="n">
        <v>90</v>
      </c>
      <c r="G56" s="0" t="n">
        <v>20.01</v>
      </c>
      <c r="H56" s="0" t="n">
        <v>66.17</v>
      </c>
      <c r="I56" s="0" t="n">
        <v>16.45</v>
      </c>
      <c r="J56" s="0" t="n">
        <v>54.4</v>
      </c>
      <c r="K56" s="0" t="n">
        <v>50</v>
      </c>
      <c r="T56" s="0" t="n">
        <v>2</v>
      </c>
      <c r="U56" s="0" t="n">
        <v>1</v>
      </c>
      <c r="V56" s="0" t="inlineStr">
        <is>
          <t>계단식</t>
        </is>
      </c>
      <c r="W56" s="0" t="n">
        <v>66</v>
      </c>
      <c r="X56" s="0" t="n">
        <v>5</v>
      </c>
      <c r="Y56" s="0" t="n">
        <v>5</v>
      </c>
      <c r="Z56" s="0" t="inlineStr">
        <is>
          <t>https://new.land.naver.com/complexes/108265?tab=detail&amp;rf=Y</t>
        </is>
      </c>
      <c r="AA56" s="0" t="inlineStr">
        <is>
          <t>경상남도 창원시 성산구 가음동 24-10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성산구</t>
        </is>
      </c>
      <c r="AE56" s="0" t="inlineStr">
        <is>
          <t>가음동</t>
        </is>
      </c>
      <c r="AG56" s="0" t="inlineStr">
        <is>
          <t>경상남도 창원시 성산구 가음정로 121</t>
        </is>
      </c>
      <c r="AH56" s="0" t="n">
        <v>0</v>
      </c>
      <c r="AI56" s="0" t="n">
        <v>130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[가음동]</t>
        </is>
      </c>
      <c r="B57" s="0" t="n">
        <v>108265</v>
      </c>
      <c r="C57" s="0" t="n">
        <v>3</v>
      </c>
      <c r="D57" s="0" t="inlineStr">
        <is>
          <t>가음비앤지스틸(주)사원</t>
        </is>
      </c>
      <c r="E57" s="0" t="inlineStr">
        <is>
          <t>1989.06.</t>
        </is>
      </c>
      <c r="F57" s="0" t="n">
        <v>90</v>
      </c>
      <c r="G57" s="0" t="n">
        <v>25.83</v>
      </c>
      <c r="H57" s="0" t="n">
        <v>85.41</v>
      </c>
      <c r="I57" s="0" t="n">
        <v>21.73</v>
      </c>
      <c r="J57" s="0" t="n">
        <v>71.86</v>
      </c>
      <c r="K57" s="0" t="n">
        <v>20</v>
      </c>
      <c r="T57" s="0" t="n">
        <v>2</v>
      </c>
      <c r="U57" s="0" t="n">
        <v>1</v>
      </c>
      <c r="V57" s="0" t="inlineStr">
        <is>
          <t>계단식</t>
        </is>
      </c>
      <c r="W57" s="0" t="n">
        <v>85</v>
      </c>
      <c r="X57" s="0" t="n">
        <v>5</v>
      </c>
      <c r="Y57" s="0" t="n">
        <v>5</v>
      </c>
      <c r="Z57" s="0" t="inlineStr">
        <is>
          <t>https://new.land.naver.com/complexes/108265?tab=detail&amp;rf=Y</t>
        </is>
      </c>
      <c r="AA57" s="0" t="inlineStr">
        <is>
          <t>경상남도 창원시 성산구 가음동 24-10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성산구</t>
        </is>
      </c>
      <c r="AE57" s="0" t="inlineStr">
        <is>
          <t>가음동</t>
        </is>
      </c>
      <c r="AG57" s="0" t="inlineStr">
        <is>
          <t>경상남도 창원시 성산구 가음정로 121</t>
        </is>
      </c>
      <c r="AH57" s="0" t="n">
        <v>0</v>
      </c>
      <c r="AI57" s="0" t="n">
        <v>130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[가음동]</t>
        </is>
      </c>
      <c r="B58" s="0" t="n">
        <v>109273</v>
      </c>
      <c r="C58" s="0" t="n">
        <v>1</v>
      </c>
      <c r="D58" s="0" t="inlineStr">
        <is>
          <t>창원더샵센트럴파크3단지</t>
        </is>
      </c>
      <c r="E58" s="0" t="inlineStr">
        <is>
          <t>2017.04.</t>
        </is>
      </c>
      <c r="F58" s="0" t="n">
        <v>448</v>
      </c>
      <c r="G58" s="0" t="n">
        <v>28.41</v>
      </c>
      <c r="H58" s="0" t="n">
        <v>93.94</v>
      </c>
      <c r="I58" s="0" t="n">
        <v>21.73</v>
      </c>
      <c r="J58" s="0" t="n">
        <v>71.86</v>
      </c>
      <c r="K58" s="0" t="n">
        <v>160</v>
      </c>
      <c r="T58" s="0" t="n">
        <v>3</v>
      </c>
      <c r="U58" s="0" t="n">
        <v>2</v>
      </c>
      <c r="V58" s="0" t="inlineStr">
        <is>
          <t>계단식</t>
        </is>
      </c>
      <c r="W58" s="0" t="n">
        <v>93</v>
      </c>
      <c r="X58" s="0" t="n">
        <v>27</v>
      </c>
      <c r="Y58" s="0" t="n">
        <v>21</v>
      </c>
      <c r="Z58" s="0" t="inlineStr">
        <is>
          <t>https://new.land.naver.com/complexes/109273?tab=detail&amp;rf=Y</t>
        </is>
      </c>
      <c r="AA58" s="0" t="inlineStr">
        <is>
          <t>경상남도 창원시 성산구 가음동 15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성산구</t>
        </is>
      </c>
      <c r="AE58" s="0" t="inlineStr">
        <is>
          <t>가음동</t>
        </is>
      </c>
      <c r="AG58" s="0" t="inlineStr">
        <is>
          <t>경상남도 창원시 성산구 원이대로863번길 7</t>
        </is>
      </c>
      <c r="AH58" s="0" t="n">
        <v>0</v>
      </c>
      <c r="AI58" s="0" t="n">
        <v>215</v>
      </c>
      <c r="AJ58" s="0" t="n">
        <v>16</v>
      </c>
      <c r="AK58" s="0" t="n">
        <v>590</v>
      </c>
      <c r="AL58" s="0" t="n">
        <v>1.32</v>
      </c>
    </row>
    <row r="59">
      <c r="A59" s="0" t="inlineStr">
        <is>
          <t>[가음동]</t>
        </is>
      </c>
      <c r="B59" s="0" t="n">
        <v>109273</v>
      </c>
      <c r="C59" s="0" t="n">
        <v>2</v>
      </c>
      <c r="D59" s="0" t="inlineStr">
        <is>
          <t>창원더샵센트럴파크3단지</t>
        </is>
      </c>
      <c r="E59" s="0" t="inlineStr">
        <is>
          <t>2017.04.</t>
        </is>
      </c>
      <c r="F59" s="0" t="n">
        <v>448</v>
      </c>
      <c r="G59" s="0" t="n">
        <v>33.37</v>
      </c>
      <c r="H59" s="0" t="n">
        <v>110.32</v>
      </c>
      <c r="I59" s="0" t="n">
        <v>25.65</v>
      </c>
      <c r="J59" s="0" t="n">
        <v>84.8</v>
      </c>
      <c r="K59" s="0" t="n">
        <v>104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110B</t>
        </is>
      </c>
      <c r="X59" s="0" t="n">
        <v>27</v>
      </c>
      <c r="Y59" s="0" t="n">
        <v>21</v>
      </c>
      <c r="Z59" s="0" t="inlineStr">
        <is>
          <t>https://new.land.naver.com/complexes/109273?tab=detail&amp;rf=Y</t>
        </is>
      </c>
      <c r="AA59" s="0" t="inlineStr">
        <is>
          <t>경상남도 창원시 성산구 가음동 15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성산구</t>
        </is>
      </c>
      <c r="AE59" s="0" t="inlineStr">
        <is>
          <t>가음동</t>
        </is>
      </c>
      <c r="AG59" s="0" t="inlineStr">
        <is>
          <t>경상남도 창원시 성산구 원이대로863번길 7</t>
        </is>
      </c>
      <c r="AH59" s="0" t="n">
        <v>0</v>
      </c>
      <c r="AI59" s="0" t="n">
        <v>215</v>
      </c>
      <c r="AJ59" s="0" t="n">
        <v>16</v>
      </c>
      <c r="AK59" s="0" t="n">
        <v>590</v>
      </c>
      <c r="AL59" s="0" t="n">
        <v>1.32</v>
      </c>
    </row>
    <row r="60">
      <c r="A60" s="0" t="inlineStr">
        <is>
          <t>[가음동]</t>
        </is>
      </c>
      <c r="B60" s="0" t="n">
        <v>109273</v>
      </c>
      <c r="C60" s="0" t="n">
        <v>3</v>
      </c>
      <c r="D60" s="0" t="inlineStr">
        <is>
          <t>창원더샵센트럴파크3단지</t>
        </is>
      </c>
      <c r="E60" s="0" t="inlineStr">
        <is>
          <t>2017.04.</t>
        </is>
      </c>
      <c r="F60" s="0" t="n">
        <v>448</v>
      </c>
      <c r="G60" s="0" t="n">
        <v>33.42</v>
      </c>
      <c r="H60" s="0" t="n">
        <v>110.51</v>
      </c>
      <c r="I60" s="0" t="n">
        <v>25.67</v>
      </c>
      <c r="J60" s="0" t="n">
        <v>84.87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27</v>
      </c>
      <c r="Y60" s="0" t="n">
        <v>21</v>
      </c>
      <c r="Z60" s="0" t="inlineStr">
        <is>
          <t>https://new.land.naver.com/complexes/109273?tab=detail&amp;rf=Y</t>
        </is>
      </c>
      <c r="AA60" s="0" t="inlineStr">
        <is>
          <t>경상남도 창원시 성산구 가음동 15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성산구</t>
        </is>
      </c>
      <c r="AE60" s="0" t="inlineStr">
        <is>
          <t>가음동</t>
        </is>
      </c>
      <c r="AG60" s="0" t="inlineStr">
        <is>
          <t>경상남도 창원시 성산구 원이대로863번길 7</t>
        </is>
      </c>
      <c r="AH60" s="0" t="n">
        <v>0</v>
      </c>
      <c r="AI60" s="0" t="n">
        <v>215</v>
      </c>
      <c r="AJ60" s="0" t="n">
        <v>16</v>
      </c>
      <c r="AK60" s="0" t="n">
        <v>590</v>
      </c>
      <c r="AL60" s="0" t="n">
        <v>1.32</v>
      </c>
    </row>
    <row r="61">
      <c r="A61" s="0" t="inlineStr">
        <is>
          <t>[가음동]</t>
        </is>
      </c>
      <c r="B61" s="0" t="n">
        <v>109273</v>
      </c>
      <c r="C61" s="0" t="n">
        <v>4</v>
      </c>
      <c r="D61" s="0" t="inlineStr">
        <is>
          <t>창원더샵센트럴파크3단지</t>
        </is>
      </c>
      <c r="E61" s="0" t="inlineStr">
        <is>
          <t>2017.04.</t>
        </is>
      </c>
      <c r="F61" s="0" t="n">
        <v>448</v>
      </c>
      <c r="G61" s="0" t="n">
        <v>33.45</v>
      </c>
      <c r="H61" s="0" t="n">
        <v>110.6</v>
      </c>
      <c r="I61" s="0" t="n">
        <v>25.63</v>
      </c>
      <c r="J61" s="0" t="n">
        <v>84.76000000000001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27</v>
      </c>
      <c r="Y61" s="0" t="n">
        <v>21</v>
      </c>
      <c r="Z61" s="0" t="inlineStr">
        <is>
          <t>https://new.land.naver.com/complexes/109273?tab=detail&amp;rf=Y</t>
        </is>
      </c>
      <c r="AA61" s="0" t="inlineStr">
        <is>
          <t>경상남도 창원시 성산구 가음동 15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성산구</t>
        </is>
      </c>
      <c r="AE61" s="0" t="inlineStr">
        <is>
          <t>가음동</t>
        </is>
      </c>
      <c r="AG61" s="0" t="inlineStr">
        <is>
          <t>경상남도 창원시 성산구 원이대로863번길 7</t>
        </is>
      </c>
      <c r="AH61" s="0" t="n">
        <v>0</v>
      </c>
      <c r="AI61" s="0" t="n">
        <v>215</v>
      </c>
      <c r="AJ61" s="0" t="n">
        <v>16</v>
      </c>
      <c r="AK61" s="0" t="n">
        <v>590</v>
      </c>
      <c r="AL61" s="0" t="n">
        <v>1.32</v>
      </c>
    </row>
    <row r="62">
      <c r="A62" s="0" t="inlineStr">
        <is>
          <t>[가음동]</t>
        </is>
      </c>
      <c r="B62" s="0" t="n">
        <v>109273</v>
      </c>
      <c r="C62" s="0" t="n">
        <v>5</v>
      </c>
      <c r="D62" s="0" t="inlineStr">
        <is>
          <t>창원더샵센트럴파크3단지</t>
        </is>
      </c>
      <c r="E62" s="0" t="inlineStr">
        <is>
          <t>2017.04.</t>
        </is>
      </c>
      <c r="F62" s="0" t="n">
        <v>448</v>
      </c>
      <c r="G62" s="0" t="n">
        <v>39.06</v>
      </c>
      <c r="H62" s="0" t="n">
        <v>129.14</v>
      </c>
      <c r="I62" s="0" t="n">
        <v>29.89</v>
      </c>
      <c r="J62" s="0" t="n">
        <v>98.84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n">
        <v>129</v>
      </c>
      <c r="X62" s="0" t="n">
        <v>27</v>
      </c>
      <c r="Y62" s="0" t="n">
        <v>21</v>
      </c>
      <c r="Z62" s="0" t="inlineStr">
        <is>
          <t>https://new.land.naver.com/complexes/109273?tab=detail&amp;rf=Y</t>
        </is>
      </c>
      <c r="AA62" s="0" t="inlineStr">
        <is>
          <t>경상남도 창원시 성산구 가음동 15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성산구</t>
        </is>
      </c>
      <c r="AE62" s="0" t="inlineStr">
        <is>
          <t>가음동</t>
        </is>
      </c>
      <c r="AG62" s="0" t="inlineStr">
        <is>
          <t>경상남도 창원시 성산구 원이대로863번길 7</t>
        </is>
      </c>
      <c r="AH62" s="0" t="n">
        <v>0</v>
      </c>
      <c r="AI62" s="0" t="n">
        <v>215</v>
      </c>
      <c r="AJ62" s="0" t="n">
        <v>16</v>
      </c>
      <c r="AK62" s="0" t="n">
        <v>590</v>
      </c>
      <c r="AL62" s="0" t="n">
        <v>1.32</v>
      </c>
    </row>
    <row r="63">
      <c r="A63" s="0" t="inlineStr">
        <is>
          <t>[가음동]</t>
        </is>
      </c>
      <c r="B63" s="0" t="n">
        <v>115053</v>
      </c>
      <c r="C63" s="0" t="n">
        <v>1</v>
      </c>
      <c r="D63" s="0" t="inlineStr">
        <is>
          <t>월드</t>
        </is>
      </c>
      <c r="E63" s="0" t="inlineStr">
        <is>
          <t>1987.12.</t>
        </is>
      </c>
      <c r="F63" s="0" t="n">
        <v>100</v>
      </c>
      <c r="G63" s="0" t="n">
        <v>16.42</v>
      </c>
      <c r="H63" s="0" t="n">
        <v>54.29</v>
      </c>
      <c r="I63" s="0" t="n">
        <v>13.5</v>
      </c>
      <c r="J63" s="0" t="n">
        <v>44.64</v>
      </c>
      <c r="K63" s="0" t="n">
        <v>100</v>
      </c>
      <c r="T63" s="0" t="n">
        <v>2</v>
      </c>
      <c r="U63" s="0" t="n">
        <v>1</v>
      </c>
      <c r="V63" s="0" t="inlineStr">
        <is>
          <t>계단식</t>
        </is>
      </c>
      <c r="W63" s="0" t="n">
        <v>54</v>
      </c>
      <c r="X63" s="0" t="n">
        <v>5</v>
      </c>
      <c r="Y63" s="0" t="n">
        <v>5</v>
      </c>
      <c r="Z63" s="0" t="inlineStr">
        <is>
          <t>https://new.land.naver.com/complexes/115053?tab=detail&amp;rf=Y</t>
        </is>
      </c>
      <c r="AA63" s="0" t="inlineStr">
        <is>
          <t>경상남도 창원시 성산구 가음동 20-7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성산구</t>
        </is>
      </c>
      <c r="AE63" s="0" t="inlineStr">
        <is>
          <t>가음동</t>
        </is>
      </c>
      <c r="AG63" s="0" t="inlineStr">
        <is>
          <t>경상남도 창원시 성산구 대정로40번길 12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[가음동]</t>
        </is>
      </c>
      <c r="B64" s="0" t="n">
        <v>119465</v>
      </c>
      <c r="C64" s="0" t="n">
        <v>1</v>
      </c>
      <c r="D64" s="0" t="inlineStr">
        <is>
          <t>세방</t>
        </is>
      </c>
      <c r="E64" s="0" t="inlineStr">
        <is>
          <t>1989.05.</t>
        </is>
      </c>
      <c r="F64" s="0" t="n">
        <v>190</v>
      </c>
      <c r="G64" s="0" t="n">
        <v>14.37</v>
      </c>
      <c r="H64" s="0" t="n">
        <v>47.52</v>
      </c>
      <c r="I64" s="0" t="n">
        <v>12.6</v>
      </c>
      <c r="J64" s="0" t="n">
        <v>41.67</v>
      </c>
      <c r="K64" s="0" t="n">
        <v>90</v>
      </c>
      <c r="T64" s="0" t="n">
        <v>2</v>
      </c>
      <c r="U64" s="0" t="n">
        <v>1</v>
      </c>
      <c r="V64" s="0" t="inlineStr">
        <is>
          <t>복도식</t>
        </is>
      </c>
      <c r="W64" s="0" t="n">
        <v>47</v>
      </c>
      <c r="X64" s="0" t="n">
        <v>5</v>
      </c>
      <c r="Y64" s="0" t="n">
        <v>5</v>
      </c>
      <c r="Z64" s="0" t="inlineStr">
        <is>
          <t>https://new.land.naver.com/complexes/119465?tab=detail&amp;rf=Y</t>
        </is>
      </c>
      <c r="AA64" s="0" t="inlineStr">
        <is>
          <t>경상남도 창원시 성산구 가음동 24-7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성산구</t>
        </is>
      </c>
      <c r="AE64" s="0" t="inlineStr">
        <is>
          <t>가음동</t>
        </is>
      </c>
      <c r="AG64" s="0" t="inlineStr">
        <is>
          <t>경상남도 창원시 성산구 가음정로 107-22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[가음동]</t>
        </is>
      </c>
      <c r="B65" s="0" t="n">
        <v>119465</v>
      </c>
      <c r="C65" s="0" t="n">
        <v>2</v>
      </c>
      <c r="D65" s="0" t="inlineStr">
        <is>
          <t>세방</t>
        </is>
      </c>
      <c r="E65" s="0" t="inlineStr">
        <is>
          <t>1989.05.</t>
        </is>
      </c>
      <c r="F65" s="0" t="n">
        <v>190</v>
      </c>
      <c r="G65" s="0" t="n">
        <v>15.9</v>
      </c>
      <c r="H65" s="0" t="n">
        <v>52.58</v>
      </c>
      <c r="I65" s="0" t="n">
        <v>12.03</v>
      </c>
      <c r="J65" s="0" t="n">
        <v>39.78</v>
      </c>
      <c r="K65" s="0" t="n">
        <v>70</v>
      </c>
      <c r="T65" s="0" t="n">
        <v>2</v>
      </c>
      <c r="U65" s="0" t="n">
        <v>1</v>
      </c>
      <c r="V65" s="0" t="inlineStr">
        <is>
          <t>복도식</t>
        </is>
      </c>
      <c r="W65" s="0" t="inlineStr">
        <is>
          <t>52B</t>
        </is>
      </c>
      <c r="X65" s="0" t="n">
        <v>5</v>
      </c>
      <c r="Y65" s="0" t="n">
        <v>5</v>
      </c>
      <c r="Z65" s="0" t="inlineStr">
        <is>
          <t>https://new.land.naver.com/complexes/119465?tab=detail&amp;rf=Y</t>
        </is>
      </c>
      <c r="AA65" s="0" t="inlineStr">
        <is>
          <t>경상남도 창원시 성산구 가음동 24-7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성산구</t>
        </is>
      </c>
      <c r="AE65" s="0" t="inlineStr">
        <is>
          <t>가음동</t>
        </is>
      </c>
      <c r="AG65" s="0" t="inlineStr">
        <is>
          <t>경상남도 창원시 성산구 가음정로 107-22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[가음동]</t>
        </is>
      </c>
      <c r="B66" s="0" t="n">
        <v>119465</v>
      </c>
      <c r="C66" s="0" t="n">
        <v>3</v>
      </c>
      <c r="D66" s="0" t="inlineStr">
        <is>
          <t>세방</t>
        </is>
      </c>
      <c r="E66" s="0" t="inlineStr">
        <is>
          <t>1989.05.</t>
        </is>
      </c>
      <c r="F66" s="0" t="n">
        <v>190</v>
      </c>
      <c r="G66" s="0" t="n">
        <v>15.82</v>
      </c>
      <c r="H66" s="0" t="n">
        <v>52.31</v>
      </c>
      <c r="I66" s="0" t="n">
        <v>11.95</v>
      </c>
      <c r="J66" s="0" t="n">
        <v>39.51</v>
      </c>
      <c r="K66" s="0" t="n">
        <v>30</v>
      </c>
      <c r="T66" s="0" t="n">
        <v>2</v>
      </c>
      <c r="U66" s="0" t="n">
        <v>1</v>
      </c>
      <c r="V66" s="0" t="inlineStr">
        <is>
          <t>복도식</t>
        </is>
      </c>
      <c r="W66" s="0" t="inlineStr">
        <is>
          <t>52A</t>
        </is>
      </c>
      <c r="X66" s="0" t="n">
        <v>5</v>
      </c>
      <c r="Y66" s="0" t="n">
        <v>5</v>
      </c>
      <c r="Z66" s="0" t="inlineStr">
        <is>
          <t>https://new.land.naver.com/complexes/119465?tab=detail&amp;rf=Y</t>
        </is>
      </c>
      <c r="AA66" s="0" t="inlineStr">
        <is>
          <t>경상남도 창원시 성산구 가음동 24-7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성산구</t>
        </is>
      </c>
      <c r="AE66" s="0" t="inlineStr">
        <is>
          <t>가음동</t>
        </is>
      </c>
      <c r="AG66" s="0" t="inlineStr">
        <is>
          <t>경상남도 창원시 성산구 가음정로 107-22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[가음동]</t>
        </is>
      </c>
      <c r="B67" s="0" t="n">
        <v>100868</v>
      </c>
      <c r="C67" s="0" t="n">
        <v>1</v>
      </c>
      <c r="D67" s="0" t="inlineStr">
        <is>
          <t>대동(24-2)</t>
        </is>
      </c>
      <c r="E67" s="0" t="inlineStr">
        <is>
          <t>1991.06.</t>
        </is>
      </c>
      <c r="F67" s="0" t="n">
        <v>40</v>
      </c>
      <c r="G67" s="0" t="n">
        <v>20.7</v>
      </c>
      <c r="H67" s="0" t="n">
        <v>68.43000000000001</v>
      </c>
      <c r="I67" s="0" t="n">
        <v>17.34</v>
      </c>
      <c r="J67" s="0" t="n">
        <v>57.35</v>
      </c>
      <c r="K67" s="0" t="n">
        <v>40</v>
      </c>
      <c r="T67" s="0" t="n">
        <v>2</v>
      </c>
      <c r="U67" s="0" t="n">
        <v>1</v>
      </c>
      <c r="V67" s="0" t="inlineStr">
        <is>
          <t>계단식</t>
        </is>
      </c>
      <c r="W67" s="0" t="n">
        <v>68</v>
      </c>
      <c r="X67" s="0" t="n">
        <v>5</v>
      </c>
      <c r="Y67" s="0" t="n">
        <v>5</v>
      </c>
      <c r="Z67" s="0" t="inlineStr">
        <is>
          <t>https://new.land.naver.com/complexes/100868?tab=detail&amp;rf=Y</t>
        </is>
      </c>
      <c r="AA67" s="0" t="inlineStr">
        <is>
          <t>경상남도 창원시 성산구 가음동 24-2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성산구</t>
        </is>
      </c>
      <c r="AE67" s="0" t="inlineStr">
        <is>
          <t>가음동</t>
        </is>
      </c>
      <c r="AG67" s="0" t="inlineStr">
        <is>
          <t>경상남도 창원시 성산구 대정로 11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[가음동]</t>
        </is>
      </c>
      <c r="B68" s="0" t="n">
        <v>16761</v>
      </c>
      <c r="C68" s="0" t="n">
        <v>1</v>
      </c>
      <c r="D68" s="0" t="inlineStr">
        <is>
          <t>은아</t>
        </is>
      </c>
      <c r="E68" s="0" t="inlineStr">
        <is>
          <t>1987.12.</t>
        </is>
      </c>
      <c r="F68" s="0" t="n">
        <v>500</v>
      </c>
      <c r="G68" s="0" t="n">
        <v>17.96</v>
      </c>
      <c r="H68" s="0" t="n">
        <v>59.38</v>
      </c>
      <c r="I68" s="0" t="n">
        <v>15.07</v>
      </c>
      <c r="J68" s="0" t="n">
        <v>49.83</v>
      </c>
      <c r="K68" s="0" t="n">
        <v>350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59A</t>
        </is>
      </c>
      <c r="X68" s="0" t="n">
        <v>5</v>
      </c>
      <c r="Y68" s="0" t="n">
        <v>5</v>
      </c>
      <c r="Z68" s="0" t="inlineStr">
        <is>
          <t>https://new.land.naver.com/complexes/16761?tab=detail&amp;rf=Y</t>
        </is>
      </c>
      <c r="AA68" s="0" t="inlineStr">
        <is>
          <t>경상남도 창원시 성산구 가음동 23-3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성산구</t>
        </is>
      </c>
      <c r="AE68" s="0" t="inlineStr">
        <is>
          <t>가음동</t>
        </is>
      </c>
      <c r="AG68" s="0" t="inlineStr">
        <is>
          <t>경상남도 창원시 성산구 원이대로883번길 6</t>
        </is>
      </c>
      <c r="AH68" s="0" t="n">
        <v>0</v>
      </c>
      <c r="AI68" s="0" t="n">
        <v>148</v>
      </c>
      <c r="AJ68" s="0" t="n">
        <v>29</v>
      </c>
      <c r="AK68" s="0" t="n">
        <v>0</v>
      </c>
      <c r="AL68" s="0" t="n">
        <v>0</v>
      </c>
    </row>
    <row r="69">
      <c r="A69" s="0" t="inlineStr">
        <is>
          <t>[가음동]</t>
        </is>
      </c>
      <c r="B69" s="0" t="n">
        <v>16761</v>
      </c>
      <c r="C69" s="0" t="n">
        <v>2</v>
      </c>
      <c r="D69" s="0" t="inlineStr">
        <is>
          <t>은아</t>
        </is>
      </c>
      <c r="E69" s="0" t="inlineStr">
        <is>
          <t>1987.12.</t>
        </is>
      </c>
      <c r="F69" s="0" t="n">
        <v>500</v>
      </c>
      <c r="G69" s="0" t="n">
        <v>17.97</v>
      </c>
      <c r="H69" s="0" t="n">
        <v>59.42</v>
      </c>
      <c r="I69" s="0" t="n">
        <v>15.08</v>
      </c>
      <c r="J69" s="0" t="n">
        <v>49.86</v>
      </c>
      <c r="K69" s="0" t="n">
        <v>150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59B</t>
        </is>
      </c>
      <c r="X69" s="0" t="n">
        <v>5</v>
      </c>
      <c r="Y69" s="0" t="n">
        <v>5</v>
      </c>
      <c r="Z69" s="0" t="inlineStr">
        <is>
          <t>https://new.land.naver.com/complexes/16761?tab=detail&amp;rf=Y</t>
        </is>
      </c>
      <c r="AA69" s="0" t="inlineStr">
        <is>
          <t>경상남도 창원시 성산구 가음동 23-3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성산구</t>
        </is>
      </c>
      <c r="AE69" s="0" t="inlineStr">
        <is>
          <t>가음동</t>
        </is>
      </c>
      <c r="AG69" s="0" t="inlineStr">
        <is>
          <t>경상남도 창원시 성산구 원이대로883번길 6</t>
        </is>
      </c>
      <c r="AH69" s="0" t="n">
        <v>0</v>
      </c>
      <c r="AI69" s="0" t="n">
        <v>148</v>
      </c>
      <c r="AJ69" s="0" t="n">
        <v>29</v>
      </c>
      <c r="AK69" s="0" t="n">
        <v>0</v>
      </c>
      <c r="AL69" s="0" t="n">
        <v>0</v>
      </c>
    </row>
    <row r="70">
      <c r="A70" s="0" t="inlineStr">
        <is>
          <t>[가음정동]</t>
        </is>
      </c>
      <c r="B70" s="0" t="n">
        <v>7600</v>
      </c>
      <c r="C70" s="0" t="n">
        <v>1</v>
      </c>
      <c r="D70" s="0" t="inlineStr">
        <is>
          <t>소라</t>
        </is>
      </c>
      <c r="E70" s="0" t="inlineStr">
        <is>
          <t>1990.01.</t>
        </is>
      </c>
      <c r="F70" s="0" t="n">
        <v>348</v>
      </c>
      <c r="G70" s="0" t="n">
        <v>25.21</v>
      </c>
      <c r="H70" s="0" t="n">
        <v>83.34</v>
      </c>
      <c r="I70" s="0" t="n">
        <v>18.13</v>
      </c>
      <c r="J70" s="0" t="n">
        <v>59.94</v>
      </c>
      <c r="K70" s="0" t="n">
        <v>252</v>
      </c>
      <c r="T70" s="0" t="n">
        <v>3</v>
      </c>
      <c r="U70" s="0" t="n">
        <v>1</v>
      </c>
      <c r="V70" s="0" t="inlineStr">
        <is>
          <t>복도식</t>
        </is>
      </c>
      <c r="W70" s="0" t="n">
        <v>83</v>
      </c>
      <c r="X70" s="0" t="n">
        <v>12</v>
      </c>
      <c r="Y70" s="0" t="n">
        <v>12</v>
      </c>
      <c r="Z70" s="0" t="inlineStr">
        <is>
          <t>https://new.land.naver.com/complexes/7600?tab=detail&amp;rf=Y</t>
        </is>
      </c>
      <c r="AA70" s="0" t="inlineStr">
        <is>
          <t>경상남도 창원시 성산구 가음정동 391-10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성산구</t>
        </is>
      </c>
      <c r="AE70" s="0" t="inlineStr">
        <is>
          <t>가음정동</t>
        </is>
      </c>
      <c r="AG70" s="0" t="inlineStr">
        <is>
          <t>경상남도 창원시 성산구 성산패총로178번길 51</t>
        </is>
      </c>
      <c r="AH70" s="0" t="n">
        <v>0</v>
      </c>
      <c r="AI70" s="0" t="n">
        <v>227</v>
      </c>
      <c r="AJ70" s="0" t="n">
        <v>21</v>
      </c>
      <c r="AK70" s="0" t="n">
        <v>0</v>
      </c>
      <c r="AL70" s="0" t="n">
        <v>0</v>
      </c>
    </row>
    <row r="71">
      <c r="A71" s="0" t="inlineStr">
        <is>
          <t>[가음정동]</t>
        </is>
      </c>
      <c r="B71" s="0" t="n">
        <v>7600</v>
      </c>
      <c r="C71" s="0" t="n">
        <v>2</v>
      </c>
      <c r="D71" s="0" t="inlineStr">
        <is>
          <t>소라</t>
        </is>
      </c>
      <c r="E71" s="0" t="inlineStr">
        <is>
          <t>1990.01.</t>
        </is>
      </c>
      <c r="F71" s="0" t="n">
        <v>348</v>
      </c>
      <c r="G71" s="0" t="n">
        <v>30.88</v>
      </c>
      <c r="H71" s="0" t="n">
        <v>102.1</v>
      </c>
      <c r="I71" s="0" t="n">
        <v>25.66</v>
      </c>
      <c r="J71" s="0" t="n">
        <v>84.84</v>
      </c>
      <c r="K71" s="0" t="n">
        <v>96</v>
      </c>
      <c r="T71" s="0" t="n">
        <v>3</v>
      </c>
      <c r="U71" s="0" t="n">
        <v>2</v>
      </c>
      <c r="V71" s="0" t="inlineStr">
        <is>
          <t>계단식</t>
        </is>
      </c>
      <c r="W71" s="0" t="n">
        <v>102</v>
      </c>
      <c r="X71" s="0" t="n">
        <v>12</v>
      </c>
      <c r="Y71" s="0" t="n">
        <v>12</v>
      </c>
      <c r="Z71" s="0" t="inlineStr">
        <is>
          <t>https://new.land.naver.com/complexes/7600?tab=detail&amp;rf=Y</t>
        </is>
      </c>
      <c r="AA71" s="0" t="inlineStr">
        <is>
          <t>경상남도 창원시 성산구 가음정동 391-10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성산구</t>
        </is>
      </c>
      <c r="AE71" s="0" t="inlineStr">
        <is>
          <t>가음정동</t>
        </is>
      </c>
      <c r="AG71" s="0" t="inlineStr">
        <is>
          <t>경상남도 창원시 성산구 성산패총로178번길 51</t>
        </is>
      </c>
      <c r="AH71" s="0" t="n">
        <v>0</v>
      </c>
      <c r="AI71" s="0" t="n">
        <v>227</v>
      </c>
      <c r="AJ71" s="0" t="n">
        <v>21</v>
      </c>
      <c r="AK71" s="0" t="n">
        <v>0</v>
      </c>
      <c r="AL71" s="0" t="n">
        <v>0</v>
      </c>
    </row>
    <row r="72">
      <c r="A72" s="0" t="inlineStr">
        <is>
          <t>[남산동]</t>
        </is>
      </c>
      <c r="B72" s="0" t="n">
        <v>15723</v>
      </c>
      <c r="C72" s="0" t="n">
        <v>1</v>
      </c>
      <c r="D72" s="0" t="inlineStr">
        <is>
          <t>한양</t>
        </is>
      </c>
      <c r="E72" s="0" t="inlineStr">
        <is>
          <t>1986.05.</t>
        </is>
      </c>
      <c r="F72" s="0" t="n">
        <v>332</v>
      </c>
      <c r="G72" s="0" t="n">
        <v>18</v>
      </c>
      <c r="H72" s="0" t="n">
        <v>59.51</v>
      </c>
      <c r="I72" s="0" t="n">
        <v>13.17</v>
      </c>
      <c r="J72" s="0" t="n">
        <v>43.56</v>
      </c>
      <c r="K72" s="0" t="n">
        <v>70</v>
      </c>
      <c r="T72" s="0" t="n">
        <v>2</v>
      </c>
      <c r="U72" s="0" t="n">
        <v>1</v>
      </c>
      <c r="V72" s="0" t="inlineStr">
        <is>
          <t>복도식</t>
        </is>
      </c>
      <c r="W72" s="0" t="n">
        <v>59</v>
      </c>
      <c r="X72" s="0" t="n">
        <v>12</v>
      </c>
      <c r="Y72" s="0" t="n">
        <v>12</v>
      </c>
      <c r="Z72" s="0" t="inlineStr">
        <is>
          <t>https://new.land.naver.com/complexes/15723?tab=detail&amp;rf=Y</t>
        </is>
      </c>
      <c r="AA72" s="0" t="inlineStr">
        <is>
          <t>경상남도 창원시 성산구 남산동 601-4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성산구</t>
        </is>
      </c>
      <c r="AE72" s="0" t="inlineStr">
        <is>
          <t>남산동</t>
        </is>
      </c>
      <c r="AG72" s="0" t="inlineStr">
        <is>
          <t>경상남도 창원시 성산구 정동로162번길 49</t>
        </is>
      </c>
      <c r="AH72" s="0" t="n">
        <v>166</v>
      </c>
      <c r="AI72" s="0" t="n">
        <v>174</v>
      </c>
      <c r="AJ72" s="0" t="n">
        <v>18</v>
      </c>
      <c r="AK72" s="0" t="n">
        <v>0</v>
      </c>
      <c r="AL72" s="0" t="n">
        <v>0</v>
      </c>
    </row>
    <row r="73">
      <c r="A73" s="0" t="inlineStr">
        <is>
          <t>[남산동]</t>
        </is>
      </c>
      <c r="B73" s="0" t="n">
        <v>15723</v>
      </c>
      <c r="C73" s="0" t="n">
        <v>2</v>
      </c>
      <c r="D73" s="0" t="inlineStr">
        <is>
          <t>한양</t>
        </is>
      </c>
      <c r="E73" s="0" t="inlineStr">
        <is>
          <t>1986.05.</t>
        </is>
      </c>
      <c r="F73" s="0" t="n">
        <v>332</v>
      </c>
      <c r="G73" s="0" t="n">
        <v>26.45</v>
      </c>
      <c r="H73" s="0" t="n">
        <v>87.45999999999999</v>
      </c>
      <c r="I73" s="0" t="n">
        <v>19.27</v>
      </c>
      <c r="J73" s="0" t="n">
        <v>63.72</v>
      </c>
      <c r="K73" s="0" t="n">
        <v>48</v>
      </c>
      <c r="T73" s="0" t="n">
        <v>3</v>
      </c>
      <c r="U73" s="0" t="n">
        <v>1</v>
      </c>
      <c r="V73" s="0" t="inlineStr">
        <is>
          <t>복도식</t>
        </is>
      </c>
      <c r="W73" s="0" t="n">
        <v>87</v>
      </c>
      <c r="X73" s="0" t="n">
        <v>12</v>
      </c>
      <c r="Y73" s="0" t="n">
        <v>12</v>
      </c>
      <c r="Z73" s="0" t="inlineStr">
        <is>
          <t>https://new.land.naver.com/complexes/15723?tab=detail&amp;rf=Y</t>
        </is>
      </c>
      <c r="AA73" s="0" t="inlineStr">
        <is>
          <t>경상남도 창원시 성산구 남산동 601-4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성산구</t>
        </is>
      </c>
      <c r="AE73" s="0" t="inlineStr">
        <is>
          <t>남산동</t>
        </is>
      </c>
      <c r="AG73" s="0" t="inlineStr">
        <is>
          <t>경상남도 창원시 성산구 정동로162번길 49</t>
        </is>
      </c>
      <c r="AH73" s="0" t="n">
        <v>166</v>
      </c>
      <c r="AI73" s="0" t="n">
        <v>174</v>
      </c>
      <c r="AJ73" s="0" t="n">
        <v>18</v>
      </c>
      <c r="AK73" s="0" t="n">
        <v>0</v>
      </c>
      <c r="AL73" s="0" t="n">
        <v>0</v>
      </c>
    </row>
    <row r="74">
      <c r="A74" s="0" t="inlineStr">
        <is>
          <t>[남산동]</t>
        </is>
      </c>
      <c r="B74" s="0" t="n">
        <v>15723</v>
      </c>
      <c r="C74" s="0" t="n">
        <v>3</v>
      </c>
      <c r="D74" s="0" t="inlineStr">
        <is>
          <t>한양</t>
        </is>
      </c>
      <c r="E74" s="0" t="inlineStr">
        <is>
          <t>1986.05.</t>
        </is>
      </c>
      <c r="F74" s="0" t="n">
        <v>332</v>
      </c>
      <c r="G74" s="0" t="n">
        <v>35.2</v>
      </c>
      <c r="H74" s="0" t="n">
        <v>116.39</v>
      </c>
      <c r="I74" s="0" t="n">
        <v>25.64</v>
      </c>
      <c r="J74" s="0" t="n">
        <v>84.78</v>
      </c>
      <c r="K74" s="0" t="n">
        <v>48</v>
      </c>
      <c r="T74" s="0" t="n">
        <v>3</v>
      </c>
      <c r="U74" s="0" t="n">
        <v>1</v>
      </c>
      <c r="V74" s="0" t="inlineStr">
        <is>
          <t>복도식</t>
        </is>
      </c>
      <c r="W74" s="0" t="n">
        <v>116</v>
      </c>
      <c r="X74" s="0" t="n">
        <v>12</v>
      </c>
      <c r="Y74" s="0" t="n">
        <v>12</v>
      </c>
      <c r="Z74" s="0" t="inlineStr">
        <is>
          <t>https://new.land.naver.com/complexes/15723?tab=detail&amp;rf=Y</t>
        </is>
      </c>
      <c r="AA74" s="0" t="inlineStr">
        <is>
          <t>경상남도 창원시 성산구 남산동 601-4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성산구</t>
        </is>
      </c>
      <c r="AE74" s="0" t="inlineStr">
        <is>
          <t>남산동</t>
        </is>
      </c>
      <c r="AG74" s="0" t="inlineStr">
        <is>
          <t>경상남도 창원시 성산구 정동로162번길 49</t>
        </is>
      </c>
      <c r="AH74" s="0" t="n">
        <v>166</v>
      </c>
      <c r="AI74" s="0" t="n">
        <v>174</v>
      </c>
      <c r="AJ74" s="0" t="n">
        <v>18</v>
      </c>
      <c r="AK74" s="0" t="n">
        <v>0</v>
      </c>
      <c r="AL74" s="0" t="n">
        <v>0</v>
      </c>
    </row>
    <row r="75">
      <c r="A75" s="0" t="inlineStr">
        <is>
          <t>[남산동]</t>
        </is>
      </c>
      <c r="B75" s="0" t="n">
        <v>7610</v>
      </c>
      <c r="C75" s="0" t="n">
        <v>1</v>
      </c>
      <c r="D75" s="0" t="inlineStr">
        <is>
          <t>대우2차</t>
        </is>
      </c>
      <c r="E75" s="0" t="inlineStr">
        <is>
          <t>1991.09.</t>
        </is>
      </c>
      <c r="F75" s="0" t="n">
        <v>408</v>
      </c>
      <c r="G75" s="0" t="n">
        <v>19.68</v>
      </c>
      <c r="H75" s="0" t="n">
        <v>65.06999999999999</v>
      </c>
      <c r="I75" s="0" t="n">
        <v>14.77</v>
      </c>
      <c r="J75" s="0" t="n">
        <v>48.84</v>
      </c>
      <c r="K75" s="0" t="n">
        <v>192</v>
      </c>
      <c r="T75" s="0" t="n">
        <v>2</v>
      </c>
      <c r="U75" s="0" t="n">
        <v>1</v>
      </c>
      <c r="V75" s="0" t="inlineStr">
        <is>
          <t>복도식</t>
        </is>
      </c>
      <c r="W75" s="0" t="n">
        <v>65</v>
      </c>
      <c r="X75" s="0" t="n">
        <v>12</v>
      </c>
      <c r="Y75" s="0" t="n">
        <v>12</v>
      </c>
      <c r="Z75" s="0" t="inlineStr">
        <is>
          <t>https://new.land.naver.com/complexes/7610?tab=detail&amp;rf=Y</t>
        </is>
      </c>
      <c r="AA75" s="0" t="inlineStr">
        <is>
          <t>경상남도 창원시 성산구 남산동 601-1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성산구</t>
        </is>
      </c>
      <c r="AE75" s="0" t="inlineStr">
        <is>
          <t>남산동</t>
        </is>
      </c>
      <c r="AG75" s="0" t="inlineStr">
        <is>
          <t>경상남도 창원시 성산구 정동로162번길 31</t>
        </is>
      </c>
      <c r="AH75" s="0" t="n">
        <v>0</v>
      </c>
      <c r="AI75" s="0" t="n">
        <v>269</v>
      </c>
      <c r="AJ75" s="0" t="n">
        <v>27</v>
      </c>
      <c r="AK75" s="0" t="n">
        <v>137</v>
      </c>
      <c r="AL75" s="0" t="n">
        <v>0.34</v>
      </c>
    </row>
    <row r="76">
      <c r="A76" s="0" t="inlineStr">
        <is>
          <t>[남산동]</t>
        </is>
      </c>
      <c r="B76" s="0" t="n">
        <v>7610</v>
      </c>
      <c r="C76" s="0" t="n">
        <v>2</v>
      </c>
      <c r="D76" s="0" t="inlineStr">
        <is>
          <t>대우2차</t>
        </is>
      </c>
      <c r="E76" s="0" t="inlineStr">
        <is>
          <t>1991.09.</t>
        </is>
      </c>
      <c r="F76" s="0" t="n">
        <v>408</v>
      </c>
      <c r="G76" s="0" t="n">
        <v>25.36</v>
      </c>
      <c r="H76" s="0" t="n">
        <v>83.86</v>
      </c>
      <c r="I76" s="0" t="n">
        <v>20.49</v>
      </c>
      <c r="J76" s="0" t="n">
        <v>67.75</v>
      </c>
      <c r="K76" s="0" t="n">
        <v>72</v>
      </c>
      <c r="T76" s="0" t="n">
        <v>3</v>
      </c>
      <c r="U76" s="0" t="n">
        <v>1</v>
      </c>
      <c r="V76" s="0" t="inlineStr">
        <is>
          <t>계단식</t>
        </is>
      </c>
      <c r="W76" s="0" t="n">
        <v>83</v>
      </c>
      <c r="X76" s="0" t="n">
        <v>12</v>
      </c>
      <c r="Y76" s="0" t="n">
        <v>12</v>
      </c>
      <c r="Z76" s="0" t="inlineStr">
        <is>
          <t>https://new.land.naver.com/complexes/7610?tab=detail&amp;rf=Y</t>
        </is>
      </c>
      <c r="AA76" s="0" t="inlineStr">
        <is>
          <t>경상남도 창원시 성산구 남산동 601-1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성산구</t>
        </is>
      </c>
      <c r="AE76" s="0" t="inlineStr">
        <is>
          <t>남산동</t>
        </is>
      </c>
      <c r="AG76" s="0" t="inlineStr">
        <is>
          <t>경상남도 창원시 성산구 정동로162번길 31</t>
        </is>
      </c>
      <c r="AH76" s="0" t="n">
        <v>0</v>
      </c>
      <c r="AI76" s="0" t="n">
        <v>269</v>
      </c>
      <c r="AJ76" s="0" t="n">
        <v>27</v>
      </c>
      <c r="AK76" s="0" t="n">
        <v>137</v>
      </c>
      <c r="AL76" s="0" t="n">
        <v>0.34</v>
      </c>
    </row>
    <row r="77">
      <c r="A77" s="0" t="inlineStr">
        <is>
          <t>[남산동]</t>
        </is>
      </c>
      <c r="B77" s="0" t="n">
        <v>7610</v>
      </c>
      <c r="C77" s="0" t="n">
        <v>3</v>
      </c>
      <c r="D77" s="0" t="inlineStr">
        <is>
          <t>대우2차</t>
        </is>
      </c>
      <c r="E77" s="0" t="inlineStr">
        <is>
          <t>1991.09.</t>
        </is>
      </c>
      <c r="F77" s="0" t="n">
        <v>408</v>
      </c>
      <c r="G77" s="0" t="n">
        <v>25.59</v>
      </c>
      <c r="H77" s="0" t="n">
        <v>84.62</v>
      </c>
      <c r="I77" s="0" t="n">
        <v>20.6</v>
      </c>
      <c r="J77" s="0" t="n">
        <v>68.09999999999999</v>
      </c>
      <c r="K77" s="0" t="n">
        <v>72</v>
      </c>
      <c r="T77" s="0" t="n">
        <v>3</v>
      </c>
      <c r="U77" s="0" t="n">
        <v>1</v>
      </c>
      <c r="V77" s="0" t="inlineStr">
        <is>
          <t>계단식</t>
        </is>
      </c>
      <c r="W77" s="0" t="n">
        <v>84</v>
      </c>
      <c r="X77" s="0" t="n">
        <v>12</v>
      </c>
      <c r="Y77" s="0" t="n">
        <v>12</v>
      </c>
      <c r="Z77" s="0" t="inlineStr">
        <is>
          <t>https://new.land.naver.com/complexes/7610?tab=detail&amp;rf=Y</t>
        </is>
      </c>
      <c r="AA77" s="0" t="inlineStr">
        <is>
          <t>경상남도 창원시 성산구 남산동 601-1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성산구</t>
        </is>
      </c>
      <c r="AE77" s="0" t="inlineStr">
        <is>
          <t>남산동</t>
        </is>
      </c>
      <c r="AG77" s="0" t="inlineStr">
        <is>
          <t>경상남도 창원시 성산구 정동로162번길 31</t>
        </is>
      </c>
      <c r="AH77" s="0" t="n">
        <v>0</v>
      </c>
      <c r="AI77" s="0" t="n">
        <v>269</v>
      </c>
      <c r="AJ77" s="0" t="n">
        <v>27</v>
      </c>
      <c r="AK77" s="0" t="n">
        <v>137</v>
      </c>
      <c r="AL77" s="0" t="n">
        <v>0.34</v>
      </c>
    </row>
    <row r="78">
      <c r="A78" s="0" t="inlineStr">
        <is>
          <t>[남산동]</t>
        </is>
      </c>
      <c r="B78" s="0" t="n">
        <v>7610</v>
      </c>
      <c r="C78" s="0" t="n">
        <v>4</v>
      </c>
      <c r="D78" s="0" t="inlineStr">
        <is>
          <t>대우2차</t>
        </is>
      </c>
      <c r="E78" s="0" t="inlineStr">
        <is>
          <t>1991.09.</t>
        </is>
      </c>
      <c r="F78" s="0" t="n">
        <v>408</v>
      </c>
      <c r="G78" s="0" t="n">
        <v>29.28</v>
      </c>
      <c r="H78" s="0" t="n">
        <v>96.81999999999999</v>
      </c>
      <c r="I78" s="0" t="n">
        <v>23.89</v>
      </c>
      <c r="J78" s="0" t="n">
        <v>78.98</v>
      </c>
      <c r="K78" s="0" t="n">
        <v>24</v>
      </c>
      <c r="T78" s="0" t="n">
        <v>3</v>
      </c>
      <c r="U78" s="0" t="n">
        <v>2</v>
      </c>
      <c r="V78" s="0" t="inlineStr">
        <is>
          <t>계단식</t>
        </is>
      </c>
      <c r="W78" s="0" t="n">
        <v>96</v>
      </c>
      <c r="X78" s="0" t="n">
        <v>12</v>
      </c>
      <c r="Y78" s="0" t="n">
        <v>12</v>
      </c>
      <c r="Z78" s="0" t="inlineStr">
        <is>
          <t>https://new.land.naver.com/complexes/7610?tab=detail&amp;rf=Y</t>
        </is>
      </c>
      <c r="AA78" s="0" t="inlineStr">
        <is>
          <t>경상남도 창원시 성산구 남산동 601-1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성산구</t>
        </is>
      </c>
      <c r="AE78" s="0" t="inlineStr">
        <is>
          <t>남산동</t>
        </is>
      </c>
      <c r="AG78" s="0" t="inlineStr">
        <is>
          <t>경상남도 창원시 성산구 정동로162번길 31</t>
        </is>
      </c>
      <c r="AH78" s="0" t="n">
        <v>0</v>
      </c>
      <c r="AI78" s="0" t="n">
        <v>269</v>
      </c>
      <c r="AJ78" s="0" t="n">
        <v>27</v>
      </c>
      <c r="AK78" s="0" t="n">
        <v>137</v>
      </c>
      <c r="AL78" s="0" t="n">
        <v>0.34</v>
      </c>
    </row>
    <row r="79">
      <c r="A79" s="0" t="inlineStr">
        <is>
          <t>[남산동]</t>
        </is>
      </c>
      <c r="B79" s="0" t="n">
        <v>7610</v>
      </c>
      <c r="C79" s="0" t="n">
        <v>5</v>
      </c>
      <c r="D79" s="0" t="inlineStr">
        <is>
          <t>대우2차</t>
        </is>
      </c>
      <c r="E79" s="0" t="inlineStr">
        <is>
          <t>1991.09.</t>
        </is>
      </c>
      <c r="F79" s="0" t="n">
        <v>408</v>
      </c>
      <c r="G79" s="0" t="n">
        <v>29.69</v>
      </c>
      <c r="H79" s="0" t="n">
        <v>98.16</v>
      </c>
      <c r="I79" s="0" t="n">
        <v>24.46</v>
      </c>
      <c r="J79" s="0" t="n">
        <v>80.88</v>
      </c>
      <c r="K79" s="0" t="n">
        <v>48</v>
      </c>
      <c r="T79" s="0" t="n">
        <v>3</v>
      </c>
      <c r="U79" s="0" t="n">
        <v>1</v>
      </c>
      <c r="V79" s="0" t="inlineStr">
        <is>
          <t>계단식</t>
        </is>
      </c>
      <c r="W79" s="0" t="n">
        <v>98</v>
      </c>
      <c r="X79" s="0" t="n">
        <v>12</v>
      </c>
      <c r="Y79" s="0" t="n">
        <v>12</v>
      </c>
      <c r="Z79" s="0" t="inlineStr">
        <is>
          <t>https://new.land.naver.com/complexes/7610?tab=detail&amp;rf=Y</t>
        </is>
      </c>
      <c r="AA79" s="0" t="inlineStr">
        <is>
          <t>경상남도 창원시 성산구 남산동 601-1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성산구</t>
        </is>
      </c>
      <c r="AE79" s="0" t="inlineStr">
        <is>
          <t>남산동</t>
        </is>
      </c>
      <c r="AG79" s="0" t="inlineStr">
        <is>
          <t>경상남도 창원시 성산구 정동로162번길 31</t>
        </is>
      </c>
      <c r="AH79" s="0" t="n">
        <v>0</v>
      </c>
      <c r="AI79" s="0" t="n">
        <v>269</v>
      </c>
      <c r="AJ79" s="0" t="n">
        <v>27</v>
      </c>
      <c r="AK79" s="0" t="n">
        <v>137</v>
      </c>
      <c r="AL79" s="0" t="n">
        <v>0.34</v>
      </c>
    </row>
    <row r="80">
      <c r="A80" s="0" t="inlineStr">
        <is>
          <t>[남산동]</t>
        </is>
      </c>
      <c r="B80" s="0" t="n">
        <v>7616</v>
      </c>
      <c r="C80" s="0" t="n">
        <v>1</v>
      </c>
      <c r="D80" s="0" t="inlineStr">
        <is>
          <t>대우1차</t>
        </is>
      </c>
      <c r="E80" s="0" t="inlineStr">
        <is>
          <t>1991.09.</t>
        </is>
      </c>
      <c r="F80" s="0" t="n">
        <v>636</v>
      </c>
      <c r="G80" s="0" t="n">
        <v>15.46</v>
      </c>
      <c r="H80" s="0" t="n">
        <v>51.13</v>
      </c>
      <c r="I80" s="0" t="n">
        <v>11.41</v>
      </c>
      <c r="J80" s="0" t="n">
        <v>37.74</v>
      </c>
      <c r="K80" s="0" t="n">
        <v>60</v>
      </c>
      <c r="T80" s="0" t="n">
        <v>2</v>
      </c>
      <c r="U80" s="0" t="n">
        <v>1</v>
      </c>
      <c r="V80" s="0" t="inlineStr">
        <is>
          <t>복도식</t>
        </is>
      </c>
      <c r="W80" s="0" t="n">
        <v>51</v>
      </c>
      <c r="X80" s="0" t="n">
        <v>12</v>
      </c>
      <c r="Y80" s="0" t="n">
        <v>12</v>
      </c>
      <c r="Z80" s="0" t="inlineStr">
        <is>
          <t>https://new.land.naver.com/complexes/7616?tab=detail&amp;rf=Y</t>
        </is>
      </c>
      <c r="AA80" s="0" t="inlineStr">
        <is>
          <t>경상남도 창원시 성산구 남산동 601-7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성산구</t>
        </is>
      </c>
      <c r="AE80" s="0" t="inlineStr">
        <is>
          <t>남산동</t>
        </is>
      </c>
      <c r="AG80" s="0" t="inlineStr">
        <is>
          <t>경상남도 창원시 성산구 정동로162번길 81</t>
        </is>
      </c>
      <c r="AH80" s="0" t="n">
        <v>516</v>
      </c>
      <c r="AI80" s="0" t="n">
        <v>313</v>
      </c>
      <c r="AJ80" s="0" t="n">
        <v>28</v>
      </c>
      <c r="AK80" s="0" t="n">
        <v>588</v>
      </c>
      <c r="AL80" s="0" t="n">
        <v>0.92</v>
      </c>
    </row>
    <row r="81">
      <c r="A81" s="0" t="inlineStr">
        <is>
          <t>[남산동]</t>
        </is>
      </c>
      <c r="B81" s="0" t="n">
        <v>7616</v>
      </c>
      <c r="C81" s="0" t="n">
        <v>2</v>
      </c>
      <c r="D81" s="0" t="inlineStr">
        <is>
          <t>대우1차</t>
        </is>
      </c>
      <c r="E81" s="0" t="inlineStr">
        <is>
          <t>1991.09.</t>
        </is>
      </c>
      <c r="F81" s="0" t="n">
        <v>636</v>
      </c>
      <c r="G81" s="0" t="n">
        <v>20.01</v>
      </c>
      <c r="H81" s="0" t="n">
        <v>66.17</v>
      </c>
      <c r="I81" s="0" t="n">
        <v>14.77</v>
      </c>
      <c r="J81" s="0" t="n">
        <v>48.84</v>
      </c>
      <c r="K81" s="0" t="n">
        <v>60</v>
      </c>
      <c r="T81" s="0" t="n">
        <v>3</v>
      </c>
      <c r="U81" s="0" t="n">
        <v>1</v>
      </c>
      <c r="V81" s="0" t="inlineStr">
        <is>
          <t>복도식</t>
        </is>
      </c>
      <c r="W81" s="0" t="n">
        <v>66</v>
      </c>
      <c r="X81" s="0" t="n">
        <v>12</v>
      </c>
      <c r="Y81" s="0" t="n">
        <v>12</v>
      </c>
      <c r="Z81" s="0" t="inlineStr">
        <is>
          <t>https://new.land.naver.com/complexes/7616?tab=detail&amp;rf=Y</t>
        </is>
      </c>
      <c r="AA81" s="0" t="inlineStr">
        <is>
          <t>경상남도 창원시 성산구 남산동 601-7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성산구</t>
        </is>
      </c>
      <c r="AE81" s="0" t="inlineStr">
        <is>
          <t>남산동</t>
        </is>
      </c>
      <c r="AG81" s="0" t="inlineStr">
        <is>
          <t>경상남도 창원시 성산구 정동로162번길 81</t>
        </is>
      </c>
      <c r="AH81" s="0" t="n">
        <v>516</v>
      </c>
      <c r="AI81" s="0" t="n">
        <v>313</v>
      </c>
      <c r="AJ81" s="0" t="n">
        <v>28</v>
      </c>
      <c r="AK81" s="0" t="n">
        <v>588</v>
      </c>
      <c r="AL81" s="0" t="n">
        <v>0.92</v>
      </c>
    </row>
    <row r="82">
      <c r="A82" s="0" t="inlineStr">
        <is>
          <t>[남산동]</t>
        </is>
      </c>
      <c r="B82" s="0" t="n">
        <v>115783</v>
      </c>
      <c r="C82" s="0" t="n">
        <v>1</v>
      </c>
      <c r="D82" s="0" t="inlineStr">
        <is>
          <t>남산효성해링턴플레이스</t>
        </is>
      </c>
      <c r="E82" s="0" t="inlineStr">
        <is>
          <t>2018.06.</t>
        </is>
      </c>
      <c r="F82" s="0" t="n">
        <v>460</v>
      </c>
      <c r="G82" s="0" t="n">
        <v>24.07</v>
      </c>
      <c r="H82" s="0" t="n">
        <v>79.59999999999999</v>
      </c>
      <c r="I82" s="0" t="n">
        <v>18.1</v>
      </c>
      <c r="J82" s="0" t="n">
        <v>59.86</v>
      </c>
      <c r="K82" s="0" t="n">
        <v>140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79A</t>
        </is>
      </c>
      <c r="X82" s="0" t="n">
        <v>15</v>
      </c>
      <c r="Y82" s="0" t="n">
        <v>15</v>
      </c>
      <c r="Z82" s="0" t="inlineStr">
        <is>
          <t>https://new.land.naver.com/complexes/115783?tab=detail&amp;rf=Y</t>
        </is>
      </c>
      <c r="AA82" s="0" t="inlineStr">
        <is>
          <t>경상남도 창원시 성산구 남산동 601-26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성산구</t>
        </is>
      </c>
      <c r="AE82" s="0" t="inlineStr">
        <is>
          <t>남산동</t>
        </is>
      </c>
      <c r="AG82" s="0" t="inlineStr">
        <is>
          <t>경상남도 창원시 성산구 정동로162번길 78</t>
        </is>
      </c>
      <c r="AH82" s="0" t="n">
        <v>0</v>
      </c>
      <c r="AI82" s="0" t="n">
        <v>247</v>
      </c>
      <c r="AJ82" s="0" t="n">
        <v>28</v>
      </c>
      <c r="AK82" s="0" t="n">
        <v>513</v>
      </c>
      <c r="AL82" s="0" t="n">
        <v>1.12</v>
      </c>
    </row>
    <row r="83">
      <c r="A83" s="0" t="inlineStr">
        <is>
          <t>[남산동]</t>
        </is>
      </c>
      <c r="B83" s="0" t="n">
        <v>115783</v>
      </c>
      <c r="C83" s="0" t="n">
        <v>2</v>
      </c>
      <c r="D83" s="0" t="inlineStr">
        <is>
          <t>남산효성해링턴플레이스</t>
        </is>
      </c>
      <c r="E83" s="0" t="inlineStr">
        <is>
          <t>2018.06.</t>
        </is>
      </c>
      <c r="F83" s="0" t="n">
        <v>460</v>
      </c>
      <c r="G83" s="0" t="n">
        <v>24.69</v>
      </c>
      <c r="H83" s="0" t="n">
        <v>81.64</v>
      </c>
      <c r="I83" s="0" t="n">
        <v>18.12</v>
      </c>
      <c r="J83" s="0" t="n">
        <v>59.91</v>
      </c>
      <c r="K83" s="0" t="n">
        <v>82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81B</t>
        </is>
      </c>
      <c r="X83" s="0" t="n">
        <v>15</v>
      </c>
      <c r="Y83" s="0" t="n">
        <v>15</v>
      </c>
      <c r="Z83" s="0" t="inlineStr">
        <is>
          <t>https://new.land.naver.com/complexes/115783?tab=detail&amp;rf=Y</t>
        </is>
      </c>
      <c r="AA83" s="0" t="inlineStr">
        <is>
          <t>경상남도 창원시 성산구 남산동 601-26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성산구</t>
        </is>
      </c>
      <c r="AE83" s="0" t="inlineStr">
        <is>
          <t>남산동</t>
        </is>
      </c>
      <c r="AG83" s="0" t="inlineStr">
        <is>
          <t>경상남도 창원시 성산구 정동로162번길 78</t>
        </is>
      </c>
      <c r="AH83" s="0" t="n">
        <v>0</v>
      </c>
      <c r="AI83" s="0" t="n">
        <v>247</v>
      </c>
      <c r="AJ83" s="0" t="n">
        <v>28</v>
      </c>
      <c r="AK83" s="0" t="n">
        <v>513</v>
      </c>
      <c r="AL83" s="0" t="n">
        <v>1.12</v>
      </c>
    </row>
    <row r="84">
      <c r="A84" s="0" t="inlineStr">
        <is>
          <t>[남산동]</t>
        </is>
      </c>
      <c r="B84" s="0" t="n">
        <v>115783</v>
      </c>
      <c r="C84" s="0" t="n">
        <v>3</v>
      </c>
      <c r="D84" s="0" t="inlineStr">
        <is>
          <t>남산효성해링턴플레이스</t>
        </is>
      </c>
      <c r="E84" s="0" t="inlineStr">
        <is>
          <t>2018.06.</t>
        </is>
      </c>
      <c r="F84" s="0" t="n">
        <v>460</v>
      </c>
      <c r="G84" s="0" t="n">
        <v>30.69</v>
      </c>
      <c r="H84" s="0" t="n">
        <v>101.46</v>
      </c>
      <c r="I84" s="0" t="n">
        <v>24</v>
      </c>
      <c r="J84" s="0" t="n">
        <v>79.37</v>
      </c>
      <c r="K84" s="0" t="n">
        <v>112</v>
      </c>
      <c r="T84" s="0" t="n">
        <v>3</v>
      </c>
      <c r="U84" s="0" t="n">
        <v>2</v>
      </c>
      <c r="V84" s="0" t="inlineStr">
        <is>
          <t>계단식</t>
        </is>
      </c>
      <c r="W84" s="0" t="n">
        <v>101</v>
      </c>
      <c r="X84" s="0" t="n">
        <v>15</v>
      </c>
      <c r="Y84" s="0" t="n">
        <v>15</v>
      </c>
      <c r="Z84" s="0" t="inlineStr">
        <is>
          <t>https://new.land.naver.com/complexes/115783?tab=detail&amp;rf=Y</t>
        </is>
      </c>
      <c r="AA84" s="0" t="inlineStr">
        <is>
          <t>경상남도 창원시 성산구 남산동 601-26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성산구</t>
        </is>
      </c>
      <c r="AE84" s="0" t="inlineStr">
        <is>
          <t>남산동</t>
        </is>
      </c>
      <c r="AG84" s="0" t="inlineStr">
        <is>
          <t>경상남도 창원시 성산구 정동로162번길 78</t>
        </is>
      </c>
      <c r="AH84" s="0" t="n">
        <v>0</v>
      </c>
      <c r="AI84" s="0" t="n">
        <v>247</v>
      </c>
      <c r="AJ84" s="0" t="n">
        <v>28</v>
      </c>
      <c r="AK84" s="0" t="n">
        <v>513</v>
      </c>
      <c r="AL84" s="0" t="n">
        <v>1.12</v>
      </c>
    </row>
    <row r="85">
      <c r="A85" s="0" t="inlineStr">
        <is>
          <t>[남산동]</t>
        </is>
      </c>
      <c r="B85" s="0" t="n">
        <v>115783</v>
      </c>
      <c r="C85" s="0" t="n">
        <v>4</v>
      </c>
      <c r="D85" s="0" t="inlineStr">
        <is>
          <t>남산효성해링턴플레이스</t>
        </is>
      </c>
      <c r="E85" s="0" t="inlineStr">
        <is>
          <t>2018.06.</t>
        </is>
      </c>
      <c r="F85" s="0" t="n">
        <v>460</v>
      </c>
      <c r="G85" s="0" t="n">
        <v>32.67</v>
      </c>
      <c r="H85" s="0" t="n">
        <v>108.02</v>
      </c>
      <c r="I85" s="0" t="n">
        <v>25.68</v>
      </c>
      <c r="J85" s="0" t="n">
        <v>84.90000000000001</v>
      </c>
      <c r="K85" s="0" t="n">
        <v>56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108A</t>
        </is>
      </c>
      <c r="X85" s="0" t="n">
        <v>15</v>
      </c>
      <c r="Y85" s="0" t="n">
        <v>15</v>
      </c>
      <c r="Z85" s="0" t="inlineStr">
        <is>
          <t>https://new.land.naver.com/complexes/115783?tab=detail&amp;rf=Y</t>
        </is>
      </c>
      <c r="AA85" s="0" t="inlineStr">
        <is>
          <t>경상남도 창원시 성산구 남산동 601-26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성산구</t>
        </is>
      </c>
      <c r="AE85" s="0" t="inlineStr">
        <is>
          <t>남산동</t>
        </is>
      </c>
      <c r="AG85" s="0" t="inlineStr">
        <is>
          <t>경상남도 창원시 성산구 정동로162번길 78</t>
        </is>
      </c>
      <c r="AH85" s="0" t="n">
        <v>0</v>
      </c>
      <c r="AI85" s="0" t="n">
        <v>247</v>
      </c>
      <c r="AJ85" s="0" t="n">
        <v>28</v>
      </c>
      <c r="AK85" s="0" t="n">
        <v>513</v>
      </c>
      <c r="AL85" s="0" t="n">
        <v>1.12</v>
      </c>
    </row>
    <row r="86">
      <c r="A86" s="0" t="inlineStr">
        <is>
          <t>[남산동]</t>
        </is>
      </c>
      <c r="B86" s="0" t="n">
        <v>115783</v>
      </c>
      <c r="C86" s="0" t="n">
        <v>5</v>
      </c>
      <c r="D86" s="0" t="inlineStr">
        <is>
          <t>남산효성해링턴플레이스</t>
        </is>
      </c>
      <c r="E86" s="0" t="inlineStr">
        <is>
          <t>2018.06.</t>
        </is>
      </c>
      <c r="F86" s="0" t="n">
        <v>460</v>
      </c>
      <c r="G86" s="0" t="n">
        <v>33.29</v>
      </c>
      <c r="H86" s="0" t="n">
        <v>110.08</v>
      </c>
      <c r="I86" s="0" t="n">
        <v>25.68</v>
      </c>
      <c r="J86" s="0" t="n">
        <v>84.90000000000001</v>
      </c>
      <c r="K86" s="0" t="n">
        <v>70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110B</t>
        </is>
      </c>
      <c r="X86" s="0" t="n">
        <v>15</v>
      </c>
      <c r="Y86" s="0" t="n">
        <v>15</v>
      </c>
      <c r="Z86" s="0" t="inlineStr">
        <is>
          <t>https://new.land.naver.com/complexes/115783?tab=detail&amp;rf=Y</t>
        </is>
      </c>
      <c r="AA86" s="0" t="inlineStr">
        <is>
          <t>경상남도 창원시 성산구 남산동 601-26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성산구</t>
        </is>
      </c>
      <c r="AE86" s="0" t="inlineStr">
        <is>
          <t>남산동</t>
        </is>
      </c>
      <c r="AG86" s="0" t="inlineStr">
        <is>
          <t>경상남도 창원시 성산구 정동로162번길 78</t>
        </is>
      </c>
      <c r="AH86" s="0" t="n">
        <v>0</v>
      </c>
      <c r="AI86" s="0" t="n">
        <v>247</v>
      </c>
      <c r="AJ86" s="0" t="n">
        <v>28</v>
      </c>
      <c r="AK86" s="0" t="n">
        <v>513</v>
      </c>
      <c r="AL86" s="0" t="n">
        <v>1.12</v>
      </c>
    </row>
    <row r="87">
      <c r="A87" s="0" t="inlineStr">
        <is>
          <t>[남양동]</t>
        </is>
      </c>
      <c r="B87" s="0" t="n">
        <v>22621</v>
      </c>
      <c r="C87" s="0" t="n">
        <v>1</v>
      </c>
      <c r="D87" s="0" t="inlineStr">
        <is>
          <t>위드파크</t>
        </is>
      </c>
      <c r="E87" s="0" t="inlineStr">
        <is>
          <t>1998.05.</t>
        </is>
      </c>
      <c r="F87" s="0" t="n">
        <v>960</v>
      </c>
      <c r="G87" s="0" t="n">
        <v>21.15</v>
      </c>
      <c r="H87" s="0" t="n">
        <v>69.92</v>
      </c>
      <c r="I87" s="0" t="n">
        <v>15.57</v>
      </c>
      <c r="J87" s="0" t="n">
        <v>51.48</v>
      </c>
      <c r="K87" s="0" t="n">
        <v>120</v>
      </c>
      <c r="T87" s="0" t="n">
        <v>3</v>
      </c>
      <c r="U87" s="0" t="n">
        <v>1</v>
      </c>
      <c r="V87" s="0" t="inlineStr">
        <is>
          <t>복도식</t>
        </is>
      </c>
      <c r="W87" s="0" t="n">
        <v>69</v>
      </c>
      <c r="X87" s="0" t="n">
        <v>15</v>
      </c>
      <c r="Y87" s="0" t="n">
        <v>15</v>
      </c>
      <c r="Z87" s="0" t="inlineStr">
        <is>
          <t>https://new.land.naver.com/complexes/22621?tab=detail&amp;rf=Y</t>
        </is>
      </c>
      <c r="AA87" s="0" t="inlineStr">
        <is>
          <t>경상남도 창원시 성산구 남양동 23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성산구</t>
        </is>
      </c>
      <c r="AE87" s="0" t="inlineStr">
        <is>
          <t>남양동</t>
        </is>
      </c>
      <c r="AG87" s="0" t="inlineStr">
        <is>
          <t>경상남도 창원시 성산구 가양로 97</t>
        </is>
      </c>
      <c r="AH87" s="0" t="n">
        <v>0</v>
      </c>
      <c r="AI87" s="0" t="n">
        <v>189</v>
      </c>
      <c r="AJ87" s="0" t="n">
        <v>17</v>
      </c>
      <c r="AK87" s="0" t="n">
        <v>1112</v>
      </c>
      <c r="AL87" s="0" t="n">
        <v>1.16</v>
      </c>
    </row>
    <row r="88">
      <c r="A88" s="0" t="inlineStr">
        <is>
          <t>[남양동]</t>
        </is>
      </c>
      <c r="B88" s="0" t="n">
        <v>22621</v>
      </c>
      <c r="C88" s="0" t="n">
        <v>2</v>
      </c>
      <c r="D88" s="0" t="inlineStr">
        <is>
          <t>위드파크</t>
        </is>
      </c>
      <c r="E88" s="0" t="inlineStr">
        <is>
          <t>1998.05.</t>
        </is>
      </c>
      <c r="F88" s="0" t="n">
        <v>960</v>
      </c>
      <c r="G88" s="0" t="n">
        <v>21.32</v>
      </c>
      <c r="H88" s="0" t="n">
        <v>70.48</v>
      </c>
      <c r="I88" s="0" t="n">
        <v>16.28</v>
      </c>
      <c r="J88" s="0" t="n">
        <v>53.82</v>
      </c>
      <c r="K88" s="0" t="n">
        <v>390</v>
      </c>
      <c r="T88" s="0" t="n">
        <v>3</v>
      </c>
      <c r="U88" s="0" t="n">
        <v>1</v>
      </c>
      <c r="V88" s="0" t="inlineStr">
        <is>
          <t>복도식</t>
        </is>
      </c>
      <c r="W88" s="0" t="n">
        <v>70</v>
      </c>
      <c r="X88" s="0" t="n">
        <v>15</v>
      </c>
      <c r="Y88" s="0" t="n">
        <v>15</v>
      </c>
      <c r="Z88" s="0" t="inlineStr">
        <is>
          <t>https://new.land.naver.com/complexes/22621?tab=detail&amp;rf=Y</t>
        </is>
      </c>
      <c r="AA88" s="0" t="inlineStr">
        <is>
          <t>경상남도 창원시 성산구 남양동 23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성산구</t>
        </is>
      </c>
      <c r="AE88" s="0" t="inlineStr">
        <is>
          <t>남양동</t>
        </is>
      </c>
      <c r="AG88" s="0" t="inlineStr">
        <is>
          <t>경상남도 창원시 성산구 가양로 97</t>
        </is>
      </c>
      <c r="AH88" s="0" t="n">
        <v>0</v>
      </c>
      <c r="AI88" s="0" t="n">
        <v>189</v>
      </c>
      <c r="AJ88" s="0" t="n">
        <v>17</v>
      </c>
      <c r="AK88" s="0" t="n">
        <v>1112</v>
      </c>
      <c r="AL88" s="0" t="n">
        <v>1.16</v>
      </c>
    </row>
    <row r="89">
      <c r="A89" s="0" t="inlineStr">
        <is>
          <t>[남양동]</t>
        </is>
      </c>
      <c r="B89" s="0" t="n">
        <v>22621</v>
      </c>
      <c r="C89" s="0" t="n">
        <v>3</v>
      </c>
      <c r="D89" s="0" t="inlineStr">
        <is>
          <t>위드파크</t>
        </is>
      </c>
      <c r="E89" s="0" t="inlineStr">
        <is>
          <t>1998.05.</t>
        </is>
      </c>
      <c r="F89" s="0" t="n">
        <v>960</v>
      </c>
      <c r="G89" s="0" t="n">
        <v>23.14</v>
      </c>
      <c r="H89" s="0" t="n">
        <v>76.5</v>
      </c>
      <c r="I89" s="0" t="n">
        <v>17.68</v>
      </c>
      <c r="J89" s="0" t="n">
        <v>58.45</v>
      </c>
      <c r="K89" s="0" t="n">
        <v>360</v>
      </c>
      <c r="T89" s="0" t="n">
        <v>3</v>
      </c>
      <c r="U89" s="0" t="n">
        <v>1</v>
      </c>
      <c r="V89" s="0" t="inlineStr">
        <is>
          <t>복도식</t>
        </is>
      </c>
      <c r="W89" s="0" t="n">
        <v>76</v>
      </c>
      <c r="X89" s="0" t="n">
        <v>15</v>
      </c>
      <c r="Y89" s="0" t="n">
        <v>15</v>
      </c>
      <c r="Z89" s="0" t="inlineStr">
        <is>
          <t>https://new.land.naver.com/complexes/22621?tab=detail&amp;rf=Y</t>
        </is>
      </c>
      <c r="AA89" s="0" t="inlineStr">
        <is>
          <t>경상남도 창원시 성산구 남양동 23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성산구</t>
        </is>
      </c>
      <c r="AE89" s="0" t="inlineStr">
        <is>
          <t>남양동</t>
        </is>
      </c>
      <c r="AG89" s="0" t="inlineStr">
        <is>
          <t>경상남도 창원시 성산구 가양로 97</t>
        </is>
      </c>
      <c r="AH89" s="0" t="n">
        <v>0</v>
      </c>
      <c r="AI89" s="0" t="n">
        <v>189</v>
      </c>
      <c r="AJ89" s="0" t="n">
        <v>17</v>
      </c>
      <c r="AK89" s="0" t="n">
        <v>1112</v>
      </c>
      <c r="AL89" s="0" t="n">
        <v>1.16</v>
      </c>
    </row>
    <row r="90">
      <c r="A90" s="0" t="inlineStr">
        <is>
          <t>[남양동]</t>
        </is>
      </c>
      <c r="B90" s="0" t="n">
        <v>22621</v>
      </c>
      <c r="C90" s="0" t="n">
        <v>4</v>
      </c>
      <c r="D90" s="0" t="inlineStr">
        <is>
          <t>위드파크</t>
        </is>
      </c>
      <c r="E90" s="0" t="inlineStr">
        <is>
          <t>1998.05.</t>
        </is>
      </c>
      <c r="F90" s="0" t="n">
        <v>960</v>
      </c>
      <c r="G90" s="0" t="n">
        <v>23.61</v>
      </c>
      <c r="H90" s="0" t="n">
        <v>78.06999999999999</v>
      </c>
      <c r="I90" s="0" t="n">
        <v>18.04</v>
      </c>
      <c r="J90" s="0" t="n">
        <v>59.65</v>
      </c>
      <c r="K90" s="0" t="n">
        <v>60</v>
      </c>
      <c r="T90" s="0" t="n">
        <v>4</v>
      </c>
      <c r="U90" s="0" t="n">
        <v>1</v>
      </c>
      <c r="V90" s="0" t="inlineStr">
        <is>
          <t>복도식</t>
        </is>
      </c>
      <c r="W90" s="0" t="n">
        <v>78</v>
      </c>
      <c r="X90" s="0" t="n">
        <v>15</v>
      </c>
      <c r="Y90" s="0" t="n">
        <v>15</v>
      </c>
      <c r="Z90" s="0" t="inlineStr">
        <is>
          <t>https://new.land.naver.com/complexes/22621?tab=detail&amp;rf=Y</t>
        </is>
      </c>
      <c r="AA90" s="0" t="inlineStr">
        <is>
          <t>경상남도 창원시 성산구 남양동 23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성산구</t>
        </is>
      </c>
      <c r="AE90" s="0" t="inlineStr">
        <is>
          <t>남양동</t>
        </is>
      </c>
      <c r="AG90" s="0" t="inlineStr">
        <is>
          <t>경상남도 창원시 성산구 가양로 97</t>
        </is>
      </c>
      <c r="AH90" s="0" t="n">
        <v>0</v>
      </c>
      <c r="AI90" s="0" t="n">
        <v>189</v>
      </c>
      <c r="AJ90" s="0" t="n">
        <v>17</v>
      </c>
      <c r="AK90" s="0" t="n">
        <v>1112</v>
      </c>
      <c r="AL90" s="0" t="n">
        <v>1.16</v>
      </c>
    </row>
    <row r="91">
      <c r="A91" s="0" t="inlineStr">
        <is>
          <t>[남양동]</t>
        </is>
      </c>
      <c r="B91" s="0" t="n">
        <v>22621</v>
      </c>
      <c r="C91" s="0" t="n">
        <v>5</v>
      </c>
      <c r="D91" s="0" t="inlineStr">
        <is>
          <t>위드파크</t>
        </is>
      </c>
      <c r="E91" s="0" t="inlineStr">
        <is>
          <t>1998.05.</t>
        </is>
      </c>
      <c r="F91" s="0" t="n">
        <v>960</v>
      </c>
      <c r="G91" s="0" t="n">
        <v>23.64</v>
      </c>
      <c r="H91" s="0" t="n">
        <v>78.15000000000001</v>
      </c>
      <c r="I91" s="0" t="n">
        <v>18.06</v>
      </c>
      <c r="J91" s="0" t="n">
        <v>59.71</v>
      </c>
      <c r="K91" s="0" t="n">
        <v>30</v>
      </c>
      <c r="T91" s="0" t="n">
        <v>3</v>
      </c>
      <c r="U91" s="0" t="n">
        <v>1</v>
      </c>
      <c r="V91" s="0" t="inlineStr">
        <is>
          <t>복도식</t>
        </is>
      </c>
      <c r="W91" s="0" t="inlineStr">
        <is>
          <t>78E</t>
        </is>
      </c>
      <c r="X91" s="0" t="n">
        <v>15</v>
      </c>
      <c r="Y91" s="0" t="n">
        <v>15</v>
      </c>
      <c r="Z91" s="0" t="inlineStr">
        <is>
          <t>https://new.land.naver.com/complexes/22621?tab=detail&amp;rf=Y</t>
        </is>
      </c>
      <c r="AA91" s="0" t="inlineStr">
        <is>
          <t>경상남도 창원시 성산구 남양동 23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성산구</t>
        </is>
      </c>
      <c r="AE91" s="0" t="inlineStr">
        <is>
          <t>남양동</t>
        </is>
      </c>
      <c r="AG91" s="0" t="inlineStr">
        <is>
          <t>경상남도 창원시 성산구 가양로 97</t>
        </is>
      </c>
      <c r="AH91" s="0" t="n">
        <v>0</v>
      </c>
      <c r="AI91" s="0" t="n">
        <v>189</v>
      </c>
      <c r="AJ91" s="0" t="n">
        <v>17</v>
      </c>
      <c r="AK91" s="0" t="n">
        <v>1112</v>
      </c>
      <c r="AL91" s="0" t="n">
        <v>1.16</v>
      </c>
    </row>
    <row r="92">
      <c r="A92" s="0" t="inlineStr">
        <is>
          <t>[남양동]</t>
        </is>
      </c>
      <c r="B92" s="0" t="n">
        <v>7626</v>
      </c>
      <c r="C92" s="0" t="n">
        <v>1</v>
      </c>
      <c r="D92" s="0" t="inlineStr">
        <is>
          <t>롯데</t>
        </is>
      </c>
      <c r="E92" s="0" t="inlineStr">
        <is>
          <t>1990.09.</t>
        </is>
      </c>
      <c r="F92" s="0" t="n">
        <v>450</v>
      </c>
      <c r="G92" s="0" t="n">
        <v>26.41</v>
      </c>
      <c r="H92" s="0" t="n">
        <v>87.31</v>
      </c>
      <c r="I92" s="0" t="n">
        <v>21.66</v>
      </c>
      <c r="J92" s="0" t="n">
        <v>71.62</v>
      </c>
      <c r="K92" s="0" t="n">
        <v>150</v>
      </c>
      <c r="T92" s="0" t="n">
        <v>3</v>
      </c>
      <c r="U92" s="0" t="n">
        <v>1</v>
      </c>
      <c r="V92" s="0" t="inlineStr">
        <is>
          <t>계단식</t>
        </is>
      </c>
      <c r="W92" s="0" t="n">
        <v>87</v>
      </c>
      <c r="X92" s="0" t="n">
        <v>15</v>
      </c>
      <c r="Y92" s="0" t="n">
        <v>15</v>
      </c>
      <c r="Z92" s="0" t="inlineStr">
        <is>
          <t>https://new.land.naver.com/complexes/7626?tab=detail&amp;rf=Y</t>
        </is>
      </c>
      <c r="AA92" s="0" t="inlineStr">
        <is>
          <t>경상남도 창원시 성산구 남양동 4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성산구</t>
        </is>
      </c>
      <c r="AE92" s="0" t="inlineStr">
        <is>
          <t>남양동</t>
        </is>
      </c>
      <c r="AG92" s="0" t="inlineStr">
        <is>
          <t>경상남도 창원시 성산구 대암로 56</t>
        </is>
      </c>
      <c r="AH92" s="0" t="n">
        <v>0</v>
      </c>
      <c r="AI92" s="0" t="n">
        <v>247</v>
      </c>
      <c r="AJ92" s="0" t="n">
        <v>18</v>
      </c>
      <c r="AK92" s="0" t="n">
        <v>315</v>
      </c>
      <c r="AL92" s="0" t="n">
        <v>0.7</v>
      </c>
    </row>
    <row r="93">
      <c r="A93" s="0" t="inlineStr">
        <is>
          <t>[남양동]</t>
        </is>
      </c>
      <c r="B93" s="0" t="n">
        <v>7626</v>
      </c>
      <c r="C93" s="0" t="n">
        <v>2</v>
      </c>
      <c r="D93" s="0" t="inlineStr">
        <is>
          <t>롯데</t>
        </is>
      </c>
      <c r="E93" s="0" t="inlineStr">
        <is>
          <t>1990.09.</t>
        </is>
      </c>
      <c r="F93" s="0" t="n">
        <v>450</v>
      </c>
      <c r="G93" s="0" t="n">
        <v>30.9</v>
      </c>
      <c r="H93" s="0" t="n">
        <v>102.17</v>
      </c>
      <c r="I93" s="0" t="n">
        <v>25.62</v>
      </c>
      <c r="J93" s="0" t="n">
        <v>84.7</v>
      </c>
      <c r="K93" s="0" t="n">
        <v>180</v>
      </c>
      <c r="T93" s="0" t="n">
        <v>3</v>
      </c>
      <c r="U93" s="0" t="n">
        <v>2</v>
      </c>
      <c r="V93" s="0" t="inlineStr">
        <is>
          <t>계단식</t>
        </is>
      </c>
      <c r="W93" s="0" t="n">
        <v>102</v>
      </c>
      <c r="X93" s="0" t="n">
        <v>15</v>
      </c>
      <c r="Y93" s="0" t="n">
        <v>15</v>
      </c>
      <c r="Z93" s="0" t="inlineStr">
        <is>
          <t>https://new.land.naver.com/complexes/7626?tab=detail&amp;rf=Y</t>
        </is>
      </c>
      <c r="AA93" s="0" t="inlineStr">
        <is>
          <t>경상남도 창원시 성산구 남양동 4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성산구</t>
        </is>
      </c>
      <c r="AE93" s="0" t="inlineStr">
        <is>
          <t>남양동</t>
        </is>
      </c>
      <c r="AG93" s="0" t="inlineStr">
        <is>
          <t>경상남도 창원시 성산구 대암로 56</t>
        </is>
      </c>
      <c r="AH93" s="0" t="n">
        <v>0</v>
      </c>
      <c r="AI93" s="0" t="n">
        <v>247</v>
      </c>
      <c r="AJ93" s="0" t="n">
        <v>18</v>
      </c>
      <c r="AK93" s="0" t="n">
        <v>315</v>
      </c>
      <c r="AL93" s="0" t="n">
        <v>0.7</v>
      </c>
    </row>
    <row r="94">
      <c r="A94" s="0" t="inlineStr">
        <is>
          <t>[남양동]</t>
        </is>
      </c>
      <c r="B94" s="0" t="n">
        <v>7626</v>
      </c>
      <c r="C94" s="0" t="n">
        <v>3</v>
      </c>
      <c r="D94" s="0" t="inlineStr">
        <is>
          <t>롯데</t>
        </is>
      </c>
      <c r="E94" s="0" t="inlineStr">
        <is>
          <t>1990.09.</t>
        </is>
      </c>
      <c r="F94" s="0" t="n">
        <v>450</v>
      </c>
      <c r="G94" s="0" t="n">
        <v>45.19</v>
      </c>
      <c r="H94" s="0" t="n">
        <v>149.42</v>
      </c>
      <c r="I94" s="0" t="n">
        <v>39.27</v>
      </c>
      <c r="J94" s="0" t="n">
        <v>129.85</v>
      </c>
      <c r="K94" s="0" t="n">
        <v>120</v>
      </c>
      <c r="T94" s="0" t="n">
        <v>4</v>
      </c>
      <c r="U94" s="0" t="n">
        <v>2</v>
      </c>
      <c r="V94" s="0" t="inlineStr">
        <is>
          <t>계단식</t>
        </is>
      </c>
      <c r="W94" s="0" t="n">
        <v>149</v>
      </c>
      <c r="X94" s="0" t="n">
        <v>15</v>
      </c>
      <c r="Y94" s="0" t="n">
        <v>15</v>
      </c>
      <c r="Z94" s="0" t="inlineStr">
        <is>
          <t>https://new.land.naver.com/complexes/7626?tab=detail&amp;rf=Y</t>
        </is>
      </c>
      <c r="AA94" s="0" t="inlineStr">
        <is>
          <t>경상남도 창원시 성산구 남양동 4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성산구</t>
        </is>
      </c>
      <c r="AE94" s="0" t="inlineStr">
        <is>
          <t>남양동</t>
        </is>
      </c>
      <c r="AG94" s="0" t="inlineStr">
        <is>
          <t>경상남도 창원시 성산구 대암로 56</t>
        </is>
      </c>
      <c r="AH94" s="0" t="n">
        <v>0</v>
      </c>
      <c r="AI94" s="0" t="n">
        <v>247</v>
      </c>
      <c r="AJ94" s="0" t="n">
        <v>18</v>
      </c>
      <c r="AK94" s="0" t="n">
        <v>315</v>
      </c>
      <c r="AL94" s="0" t="n">
        <v>0.7</v>
      </c>
    </row>
    <row r="95">
      <c r="A95" s="0" t="inlineStr">
        <is>
          <t>[남양동]</t>
        </is>
      </c>
      <c r="B95" s="0" t="n">
        <v>7624</v>
      </c>
      <c r="C95" s="0" t="n">
        <v>1</v>
      </c>
      <c r="D95" s="0" t="inlineStr">
        <is>
          <t>상남동성(남양동성)</t>
        </is>
      </c>
      <c r="E95" s="0" t="inlineStr">
        <is>
          <t>1990.09.</t>
        </is>
      </c>
      <c r="F95" s="0" t="n">
        <v>540</v>
      </c>
      <c r="G95" s="0" t="n">
        <v>28.34</v>
      </c>
      <c r="H95" s="0" t="n">
        <v>93.7</v>
      </c>
      <c r="I95" s="0" t="n">
        <v>23.5</v>
      </c>
      <c r="J95" s="0" t="n">
        <v>77.69</v>
      </c>
      <c r="K95" s="0" t="n">
        <v>180</v>
      </c>
      <c r="T95" s="0" t="n">
        <v>3</v>
      </c>
      <c r="U95" s="0" t="n">
        <v>1</v>
      </c>
      <c r="V95" s="0" t="inlineStr">
        <is>
          <t>계단식</t>
        </is>
      </c>
      <c r="W95" s="0" t="n">
        <v>93</v>
      </c>
      <c r="X95" s="0" t="n">
        <v>15</v>
      </c>
      <c r="Y95" s="0" t="n">
        <v>15</v>
      </c>
      <c r="Z95" s="0" t="inlineStr">
        <is>
          <t>https://new.land.naver.com/complexes/7624?tab=detail&amp;rf=Y</t>
        </is>
      </c>
      <c r="AA95" s="0" t="inlineStr">
        <is>
          <t>경상남도 창원시 성산구 남양동 1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성산구</t>
        </is>
      </c>
      <c r="AE95" s="0" t="inlineStr">
        <is>
          <t>남양동</t>
        </is>
      </c>
      <c r="AG95" s="0" t="inlineStr">
        <is>
          <t>경상남도 창원시 성산구 대암로 64</t>
        </is>
      </c>
      <c r="AH95" s="0" t="n">
        <v>0</v>
      </c>
      <c r="AI95" s="0" t="n">
        <v>248</v>
      </c>
      <c r="AJ95" s="0" t="n">
        <v>18</v>
      </c>
      <c r="AK95" s="0" t="n">
        <v>540</v>
      </c>
      <c r="AL95" s="0" t="n">
        <v>1</v>
      </c>
    </row>
    <row r="96">
      <c r="A96" s="0" t="inlineStr">
        <is>
          <t>[남양동]</t>
        </is>
      </c>
      <c r="B96" s="0" t="n">
        <v>7624</v>
      </c>
      <c r="C96" s="0" t="n">
        <v>2</v>
      </c>
      <c r="D96" s="0" t="inlineStr">
        <is>
          <t>상남동성(남양동성)</t>
        </is>
      </c>
      <c r="E96" s="0" t="inlineStr">
        <is>
          <t>1990.09.</t>
        </is>
      </c>
      <c r="F96" s="0" t="n">
        <v>540</v>
      </c>
      <c r="G96" s="0" t="n">
        <v>30.74</v>
      </c>
      <c r="H96" s="0" t="n">
        <v>101.62</v>
      </c>
      <c r="I96" s="0" t="n">
        <v>25.68</v>
      </c>
      <c r="J96" s="0" t="n">
        <v>84.91</v>
      </c>
      <c r="K96" s="0" t="n">
        <v>180</v>
      </c>
      <c r="T96" s="0" t="n">
        <v>3</v>
      </c>
      <c r="U96" s="0" t="n">
        <v>2</v>
      </c>
      <c r="V96" s="0" t="inlineStr">
        <is>
          <t>계단식</t>
        </is>
      </c>
      <c r="W96" s="0" t="n">
        <v>101</v>
      </c>
      <c r="X96" s="0" t="n">
        <v>15</v>
      </c>
      <c r="Y96" s="0" t="n">
        <v>15</v>
      </c>
      <c r="Z96" s="0" t="inlineStr">
        <is>
          <t>https://new.land.naver.com/complexes/7624?tab=detail&amp;rf=Y</t>
        </is>
      </c>
      <c r="AA96" s="0" t="inlineStr">
        <is>
          <t>경상남도 창원시 성산구 남양동 1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성산구</t>
        </is>
      </c>
      <c r="AE96" s="0" t="inlineStr">
        <is>
          <t>남양동</t>
        </is>
      </c>
      <c r="AG96" s="0" t="inlineStr">
        <is>
          <t>경상남도 창원시 성산구 대암로 64</t>
        </is>
      </c>
      <c r="AH96" s="0" t="n">
        <v>0</v>
      </c>
      <c r="AI96" s="0" t="n">
        <v>248</v>
      </c>
      <c r="AJ96" s="0" t="n">
        <v>18</v>
      </c>
      <c r="AK96" s="0" t="n">
        <v>540</v>
      </c>
      <c r="AL96" s="0" t="n">
        <v>1</v>
      </c>
    </row>
    <row r="97">
      <c r="A97" s="0" t="inlineStr">
        <is>
          <t>[남양동]</t>
        </is>
      </c>
      <c r="B97" s="0" t="n">
        <v>7624</v>
      </c>
      <c r="C97" s="0" t="n">
        <v>3</v>
      </c>
      <c r="D97" s="0" t="inlineStr">
        <is>
          <t>상남동성(남양동성)</t>
        </is>
      </c>
      <c r="E97" s="0" t="inlineStr">
        <is>
          <t>1990.09.</t>
        </is>
      </c>
      <c r="F97" s="0" t="n">
        <v>540</v>
      </c>
      <c r="G97" s="0" t="n">
        <v>46.96</v>
      </c>
      <c r="H97" s="0" t="n">
        <v>155.27</v>
      </c>
      <c r="I97" s="0" t="n">
        <v>40.86</v>
      </c>
      <c r="J97" s="0" t="n">
        <v>135.08</v>
      </c>
      <c r="K97" s="0" t="n">
        <v>180</v>
      </c>
      <c r="T97" s="0" t="n">
        <v>4</v>
      </c>
      <c r="U97" s="0" t="n">
        <v>2</v>
      </c>
      <c r="V97" s="0" t="inlineStr">
        <is>
          <t>계단식</t>
        </is>
      </c>
      <c r="W97" s="0" t="n">
        <v>155</v>
      </c>
      <c r="X97" s="0" t="n">
        <v>15</v>
      </c>
      <c r="Y97" s="0" t="n">
        <v>15</v>
      </c>
      <c r="Z97" s="0" t="inlineStr">
        <is>
          <t>https://new.land.naver.com/complexes/7624?tab=detail&amp;rf=Y</t>
        </is>
      </c>
      <c r="AA97" s="0" t="inlineStr">
        <is>
          <t>경상남도 창원시 성산구 남양동 1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성산구</t>
        </is>
      </c>
      <c r="AE97" s="0" t="inlineStr">
        <is>
          <t>남양동</t>
        </is>
      </c>
      <c r="AG97" s="0" t="inlineStr">
        <is>
          <t>경상남도 창원시 성산구 대암로 64</t>
        </is>
      </c>
      <c r="AH97" s="0" t="n">
        <v>0</v>
      </c>
      <c r="AI97" s="0" t="n">
        <v>248</v>
      </c>
      <c r="AJ97" s="0" t="n">
        <v>18</v>
      </c>
      <c r="AK97" s="0" t="n">
        <v>540</v>
      </c>
      <c r="AL97" s="0" t="n">
        <v>1</v>
      </c>
    </row>
    <row r="98">
      <c r="A98" s="0" t="inlineStr">
        <is>
          <t>[남양동]</t>
        </is>
      </c>
      <c r="B98" s="0" t="n">
        <v>7646</v>
      </c>
      <c r="C98" s="0" t="n">
        <v>1</v>
      </c>
      <c r="D98" s="0" t="inlineStr">
        <is>
          <t>우성</t>
        </is>
      </c>
      <c r="E98" s="0" t="inlineStr">
        <is>
          <t>1989.12.</t>
        </is>
      </c>
      <c r="F98" s="0" t="n">
        <v>750</v>
      </c>
      <c r="G98" s="0" t="n">
        <v>25.22</v>
      </c>
      <c r="H98" s="0" t="n">
        <v>83.38</v>
      </c>
      <c r="I98" s="0" t="n">
        <v>20.61</v>
      </c>
      <c r="J98" s="0" t="n">
        <v>68.16</v>
      </c>
      <c r="K98" s="0" t="n">
        <v>90</v>
      </c>
      <c r="T98" s="0" t="n">
        <v>3</v>
      </c>
      <c r="U98" s="0" t="n">
        <v>1</v>
      </c>
      <c r="V98" s="0" t="inlineStr">
        <is>
          <t>계단식</t>
        </is>
      </c>
      <c r="W98" s="0" t="n">
        <v>83</v>
      </c>
      <c r="X98" s="0" t="n">
        <v>15</v>
      </c>
      <c r="Y98" s="0" t="n">
        <v>15</v>
      </c>
      <c r="Z98" s="0" t="inlineStr">
        <is>
          <t>https://new.land.naver.com/complexes/7646?tab=detail&amp;rf=Y</t>
        </is>
      </c>
      <c r="AA98" s="0" t="inlineStr">
        <is>
          <t>경상남도 창원시 성산구 남양동 17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성산구</t>
        </is>
      </c>
      <c r="AE98" s="0" t="inlineStr">
        <is>
          <t>남양동</t>
        </is>
      </c>
      <c r="AG98" s="0" t="inlineStr">
        <is>
          <t>경상남도 창원시 성산구 대암로 22</t>
        </is>
      </c>
      <c r="AH98" s="0" t="n">
        <v>0</v>
      </c>
      <c r="AI98" s="0" t="n">
        <v>179</v>
      </c>
      <c r="AJ98" s="0" t="n">
        <v>14</v>
      </c>
      <c r="AK98" s="0" t="n">
        <v>450</v>
      </c>
      <c r="AL98" s="0" t="n">
        <v>0.6</v>
      </c>
    </row>
    <row r="99">
      <c r="A99" s="0" t="inlineStr">
        <is>
          <t>[남양동]</t>
        </is>
      </c>
      <c r="B99" s="0" t="n">
        <v>7646</v>
      </c>
      <c r="C99" s="0" t="n">
        <v>2</v>
      </c>
      <c r="D99" s="0" t="inlineStr">
        <is>
          <t>우성</t>
        </is>
      </c>
      <c r="E99" s="0" t="inlineStr">
        <is>
          <t>1989.12.</t>
        </is>
      </c>
      <c r="F99" s="0" t="n">
        <v>750</v>
      </c>
      <c r="G99" s="0" t="n">
        <v>26.91</v>
      </c>
      <c r="H99" s="0" t="n">
        <v>88.98</v>
      </c>
      <c r="I99" s="0" t="n">
        <v>22.18</v>
      </c>
      <c r="J99" s="0" t="n">
        <v>73.34999999999999</v>
      </c>
      <c r="K99" s="0" t="n">
        <v>270</v>
      </c>
      <c r="T99" s="0" t="n">
        <v>3</v>
      </c>
      <c r="U99" s="0" t="n">
        <v>1</v>
      </c>
      <c r="V99" s="0" t="inlineStr">
        <is>
          <t>계단식</t>
        </is>
      </c>
      <c r="W99" s="0" t="n">
        <v>88</v>
      </c>
      <c r="X99" s="0" t="n">
        <v>15</v>
      </c>
      <c r="Y99" s="0" t="n">
        <v>15</v>
      </c>
      <c r="Z99" s="0" t="inlineStr">
        <is>
          <t>https://new.land.naver.com/complexes/7646?tab=detail&amp;rf=Y</t>
        </is>
      </c>
      <c r="AA99" s="0" t="inlineStr">
        <is>
          <t>경상남도 창원시 성산구 남양동 17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성산구</t>
        </is>
      </c>
      <c r="AE99" s="0" t="inlineStr">
        <is>
          <t>남양동</t>
        </is>
      </c>
      <c r="AG99" s="0" t="inlineStr">
        <is>
          <t>경상남도 창원시 성산구 대암로 22</t>
        </is>
      </c>
      <c r="AH99" s="0" t="n">
        <v>0</v>
      </c>
      <c r="AI99" s="0" t="n">
        <v>179</v>
      </c>
      <c r="AJ99" s="0" t="n">
        <v>14</v>
      </c>
      <c r="AK99" s="0" t="n">
        <v>450</v>
      </c>
      <c r="AL99" s="0" t="n">
        <v>0.6</v>
      </c>
    </row>
    <row r="100">
      <c r="A100" s="0" t="inlineStr">
        <is>
          <t>[남양동]</t>
        </is>
      </c>
      <c r="B100" s="0" t="n">
        <v>7646</v>
      </c>
      <c r="C100" s="0" t="n">
        <v>3</v>
      </c>
      <c r="D100" s="0" t="inlineStr">
        <is>
          <t>우성</t>
        </is>
      </c>
      <c r="E100" s="0" t="inlineStr">
        <is>
          <t>1989.12.</t>
        </is>
      </c>
      <c r="F100" s="0" t="n">
        <v>750</v>
      </c>
      <c r="G100" s="0" t="n">
        <v>30.18</v>
      </c>
      <c r="H100" s="0" t="n">
        <v>99.77</v>
      </c>
      <c r="I100" s="0" t="n">
        <v>25.24</v>
      </c>
      <c r="J100" s="0" t="n">
        <v>83.45999999999999</v>
      </c>
      <c r="K100" s="0" t="n">
        <v>390</v>
      </c>
      <c r="T100" s="0" t="n">
        <v>3</v>
      </c>
      <c r="U100" s="0" t="n">
        <v>1</v>
      </c>
      <c r="V100" s="0" t="inlineStr">
        <is>
          <t>계단식</t>
        </is>
      </c>
      <c r="W100" s="0" t="n">
        <v>99</v>
      </c>
      <c r="X100" s="0" t="n">
        <v>15</v>
      </c>
      <c r="Y100" s="0" t="n">
        <v>15</v>
      </c>
      <c r="Z100" s="0" t="inlineStr">
        <is>
          <t>https://new.land.naver.com/complexes/7646?tab=detail&amp;rf=Y</t>
        </is>
      </c>
      <c r="AA100" s="0" t="inlineStr">
        <is>
          <t>경상남도 창원시 성산구 남양동 17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성산구</t>
        </is>
      </c>
      <c r="AE100" s="0" t="inlineStr">
        <is>
          <t>남양동</t>
        </is>
      </c>
      <c r="AG100" s="0" t="inlineStr">
        <is>
          <t>경상남도 창원시 성산구 대암로 22</t>
        </is>
      </c>
      <c r="AH100" s="0" t="n">
        <v>0</v>
      </c>
      <c r="AI100" s="0" t="n">
        <v>179</v>
      </c>
      <c r="AJ100" s="0" t="n">
        <v>14</v>
      </c>
      <c r="AK100" s="0" t="n">
        <v>450</v>
      </c>
      <c r="AL100" s="0" t="n">
        <v>0.6</v>
      </c>
    </row>
    <row r="101">
      <c r="A101" s="0" t="inlineStr">
        <is>
          <t>[남양동]</t>
        </is>
      </c>
      <c r="B101" s="0" t="n">
        <v>15724</v>
      </c>
      <c r="C101" s="0" t="n">
        <v>1</v>
      </c>
      <c r="D101" s="0" t="inlineStr">
        <is>
          <t>피오르빌</t>
        </is>
      </c>
      <c r="E101" s="0" t="inlineStr">
        <is>
          <t>1995.07.</t>
        </is>
      </c>
      <c r="F101" s="0" t="n">
        <v>1560</v>
      </c>
      <c r="G101" s="0" t="n">
        <v>16.01</v>
      </c>
      <c r="H101" s="0" t="n">
        <v>52.93</v>
      </c>
      <c r="I101" s="0" t="n">
        <v>12</v>
      </c>
      <c r="J101" s="0" t="n">
        <v>39.7</v>
      </c>
      <c r="K101" s="0" t="n">
        <v>540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52</v>
      </c>
      <c r="X101" s="0" t="n">
        <v>15</v>
      </c>
      <c r="Y101" s="0" t="n">
        <v>15</v>
      </c>
      <c r="Z101" s="0" t="inlineStr">
        <is>
          <t>https://new.land.naver.com/complexes/15724?tab=detail&amp;rf=Y</t>
        </is>
      </c>
      <c r="AA101" s="0" t="inlineStr">
        <is>
          <t>경상남도 창원시 성산구 남양동 24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성산구</t>
        </is>
      </c>
      <c r="AE101" s="0" t="inlineStr">
        <is>
          <t>남양동</t>
        </is>
      </c>
      <c r="AG101" s="0" t="inlineStr">
        <is>
          <t>경상남도 창원시 성산구 대정로 84</t>
        </is>
      </c>
      <c r="AH101" s="0" t="n">
        <v>0</v>
      </c>
      <c r="AI101" s="0" t="n">
        <v>236</v>
      </c>
      <c r="AJ101" s="0" t="n">
        <v>18</v>
      </c>
      <c r="AK101" s="0" t="n">
        <v>584</v>
      </c>
      <c r="AL101" s="0" t="n">
        <v>0.37</v>
      </c>
    </row>
    <row r="102">
      <c r="A102" s="0" t="inlineStr">
        <is>
          <t>[남양동]</t>
        </is>
      </c>
      <c r="B102" s="0" t="n">
        <v>15724</v>
      </c>
      <c r="C102" s="0" t="n">
        <v>2</v>
      </c>
      <c r="D102" s="0" t="inlineStr">
        <is>
          <t>피오르빌</t>
        </is>
      </c>
      <c r="E102" s="0" t="inlineStr">
        <is>
          <t>1995.07.</t>
        </is>
      </c>
      <c r="F102" s="0" t="n">
        <v>1560</v>
      </c>
      <c r="G102" s="0" t="n">
        <v>19.96</v>
      </c>
      <c r="H102" s="0" t="n">
        <v>66.01000000000001</v>
      </c>
      <c r="I102" s="0" t="n">
        <v>14.97</v>
      </c>
      <c r="J102" s="0" t="n">
        <v>49.51</v>
      </c>
      <c r="K102" s="0" t="n">
        <v>1020</v>
      </c>
      <c r="T102" s="0" t="n">
        <v>3</v>
      </c>
      <c r="U102" s="0" t="n">
        <v>1</v>
      </c>
      <c r="V102" s="0" t="inlineStr">
        <is>
          <t>복도식</t>
        </is>
      </c>
      <c r="W102" s="0" t="n">
        <v>66</v>
      </c>
      <c r="X102" s="0" t="n">
        <v>15</v>
      </c>
      <c r="Y102" s="0" t="n">
        <v>15</v>
      </c>
      <c r="Z102" s="0" t="inlineStr">
        <is>
          <t>https://new.land.naver.com/complexes/15724?tab=detail&amp;rf=Y</t>
        </is>
      </c>
      <c r="AA102" s="0" t="inlineStr">
        <is>
          <t>경상남도 창원시 성산구 남양동 24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성산구</t>
        </is>
      </c>
      <c r="AE102" s="0" t="inlineStr">
        <is>
          <t>남양동</t>
        </is>
      </c>
      <c r="AG102" s="0" t="inlineStr">
        <is>
          <t>경상남도 창원시 성산구 대정로 84</t>
        </is>
      </c>
      <c r="AH102" s="0" t="n">
        <v>0</v>
      </c>
      <c r="AI102" s="0" t="n">
        <v>236</v>
      </c>
      <c r="AJ102" s="0" t="n">
        <v>18</v>
      </c>
      <c r="AK102" s="0" t="n">
        <v>584</v>
      </c>
      <c r="AL102" s="0" t="n">
        <v>0.37</v>
      </c>
    </row>
    <row r="103">
      <c r="A103" s="0" t="inlineStr">
        <is>
          <t>[남양동]</t>
        </is>
      </c>
      <c r="B103" s="0" t="n">
        <v>15726</v>
      </c>
      <c r="C103" s="0" t="n">
        <v>1</v>
      </c>
      <c r="D103" s="0" t="inlineStr">
        <is>
          <t>한림엘리시온</t>
        </is>
      </c>
      <c r="E103" s="0" t="inlineStr">
        <is>
          <t>2002.05.</t>
        </is>
      </c>
      <c r="F103" s="0" t="n">
        <v>210</v>
      </c>
      <c r="G103" s="0" t="n">
        <v>33</v>
      </c>
      <c r="H103" s="0" t="n">
        <v>109.1</v>
      </c>
      <c r="I103" s="0" t="n">
        <v>25.67</v>
      </c>
      <c r="J103" s="0" t="n">
        <v>84.86</v>
      </c>
      <c r="K103" s="0" t="n">
        <v>210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109</v>
      </c>
      <c r="X103" s="0" t="n">
        <v>18</v>
      </c>
      <c r="Y103" s="0" t="n">
        <v>17</v>
      </c>
      <c r="Z103" s="0" t="inlineStr">
        <is>
          <t>https://new.land.naver.com/complexes/15726?tab=detail&amp;rf=Y</t>
        </is>
      </c>
      <c r="AA103" s="0" t="inlineStr">
        <is>
          <t>경상남도 창원시 성산구 남양동 16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성산구</t>
        </is>
      </c>
      <c r="AE103" s="0" t="inlineStr">
        <is>
          <t>남양동</t>
        </is>
      </c>
      <c r="AG103" s="0" t="inlineStr">
        <is>
          <t>경상남도 창원시 성산구 대암로 8</t>
        </is>
      </c>
      <c r="AH103" s="0" t="n">
        <v>0</v>
      </c>
      <c r="AI103" s="0" t="n">
        <v>218</v>
      </c>
      <c r="AJ103" s="0" t="n">
        <v>15</v>
      </c>
      <c r="AK103" s="0" t="n">
        <v>214</v>
      </c>
      <c r="AL103" s="0" t="n">
        <v>1.02</v>
      </c>
    </row>
    <row r="104">
      <c r="A104" s="0" t="inlineStr">
        <is>
          <t>[남양동]</t>
        </is>
      </c>
      <c r="B104" s="0" t="n">
        <v>7637</v>
      </c>
      <c r="C104" s="0" t="n">
        <v>1</v>
      </c>
      <c r="D104" s="0" t="inlineStr">
        <is>
          <t>성원2차</t>
        </is>
      </c>
      <c r="E104" s="0" t="inlineStr">
        <is>
          <t>1992.02.</t>
        </is>
      </c>
      <c r="F104" s="0" t="n">
        <v>1404</v>
      </c>
      <c r="G104" s="0" t="n">
        <v>29.18</v>
      </c>
      <c r="H104" s="0" t="n">
        <v>96.48</v>
      </c>
      <c r="I104" s="0" t="n">
        <v>24.1</v>
      </c>
      <c r="J104" s="0" t="n">
        <v>79.69</v>
      </c>
      <c r="K104" s="0" t="n">
        <v>144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96</v>
      </c>
      <c r="X104" s="0" t="n">
        <v>18</v>
      </c>
      <c r="Y104" s="0" t="n">
        <v>15</v>
      </c>
      <c r="Z104" s="0" t="inlineStr">
        <is>
          <t>https://new.land.naver.com/complexes/7637?tab=detail&amp;rf=Y</t>
        </is>
      </c>
      <c r="AA104" s="0" t="inlineStr">
        <is>
          <t>경상남도 창원시 성산구 남양동 22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성산구</t>
        </is>
      </c>
      <c r="AE104" s="0" t="inlineStr">
        <is>
          <t>남양동</t>
        </is>
      </c>
      <c r="AG104" s="0" t="inlineStr">
        <is>
          <t>경상남도 창원시 성산구 대정로 99</t>
        </is>
      </c>
      <c r="AH104" s="0" t="n">
        <v>0</v>
      </c>
      <c r="AI104" s="0" t="n">
        <v>309</v>
      </c>
      <c r="AJ104" s="0" t="n">
        <v>23</v>
      </c>
      <c r="AK104" s="0" t="n">
        <v>1374</v>
      </c>
      <c r="AL104" s="0" t="n">
        <v>0.98</v>
      </c>
    </row>
    <row r="105">
      <c r="A105" s="0" t="inlineStr">
        <is>
          <t>[남양동]</t>
        </is>
      </c>
      <c r="B105" s="0" t="n">
        <v>7637</v>
      </c>
      <c r="C105" s="0" t="n">
        <v>2</v>
      </c>
      <c r="D105" s="0" t="inlineStr">
        <is>
          <t>성원2차</t>
        </is>
      </c>
      <c r="E105" s="0" t="inlineStr">
        <is>
          <t>1992.02.</t>
        </is>
      </c>
      <c r="F105" s="0" t="n">
        <v>1404</v>
      </c>
      <c r="G105" s="0" t="n">
        <v>30.87</v>
      </c>
      <c r="H105" s="0" t="n">
        <v>102.05</v>
      </c>
      <c r="I105" s="0" t="n">
        <v>25.68</v>
      </c>
      <c r="J105" s="0" t="n">
        <v>84.92</v>
      </c>
      <c r="K105" s="0" t="n">
        <v>1020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102</v>
      </c>
      <c r="X105" s="0" t="n">
        <v>18</v>
      </c>
      <c r="Y105" s="0" t="n">
        <v>15</v>
      </c>
      <c r="Z105" s="0" t="inlineStr">
        <is>
          <t>https://new.land.naver.com/complexes/7637?tab=detail&amp;rf=Y</t>
        </is>
      </c>
      <c r="AA105" s="0" t="inlineStr">
        <is>
          <t>경상남도 창원시 성산구 남양동 22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성산구</t>
        </is>
      </c>
      <c r="AE105" s="0" t="inlineStr">
        <is>
          <t>남양동</t>
        </is>
      </c>
      <c r="AG105" s="0" t="inlineStr">
        <is>
          <t>경상남도 창원시 성산구 대정로 99</t>
        </is>
      </c>
      <c r="AH105" s="0" t="n">
        <v>0</v>
      </c>
      <c r="AI105" s="0" t="n">
        <v>309</v>
      </c>
      <c r="AJ105" s="0" t="n">
        <v>23</v>
      </c>
      <c r="AK105" s="0" t="n">
        <v>1374</v>
      </c>
      <c r="AL105" s="0" t="n">
        <v>0.98</v>
      </c>
    </row>
    <row r="106">
      <c r="A106" s="0" t="inlineStr">
        <is>
          <t>[남양동]</t>
        </is>
      </c>
      <c r="B106" s="0" t="n">
        <v>7637</v>
      </c>
      <c r="C106" s="0" t="n">
        <v>3</v>
      </c>
      <c r="D106" s="0" t="inlineStr">
        <is>
          <t>성원2차</t>
        </is>
      </c>
      <c r="E106" s="0" t="inlineStr">
        <is>
          <t>1992.02.</t>
        </is>
      </c>
      <c r="F106" s="0" t="n">
        <v>1404</v>
      </c>
      <c r="G106" s="0" t="n">
        <v>34.94</v>
      </c>
      <c r="H106" s="0" t="n">
        <v>115.51</v>
      </c>
      <c r="I106" s="0" t="n">
        <v>29.33</v>
      </c>
      <c r="J106" s="0" t="n">
        <v>96.98</v>
      </c>
      <c r="K106" s="0" t="n">
        <v>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115</v>
      </c>
      <c r="X106" s="0" t="n">
        <v>18</v>
      </c>
      <c r="Y106" s="0" t="n">
        <v>15</v>
      </c>
      <c r="Z106" s="0" t="inlineStr">
        <is>
          <t>https://new.land.naver.com/complexes/7637?tab=detail&amp;rf=Y</t>
        </is>
      </c>
      <c r="AA106" s="0" t="inlineStr">
        <is>
          <t>경상남도 창원시 성산구 남양동 22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성산구</t>
        </is>
      </c>
      <c r="AE106" s="0" t="inlineStr">
        <is>
          <t>남양동</t>
        </is>
      </c>
      <c r="AG106" s="0" t="inlineStr">
        <is>
          <t>경상남도 창원시 성산구 대정로 99</t>
        </is>
      </c>
      <c r="AH106" s="0" t="n">
        <v>0</v>
      </c>
      <c r="AI106" s="0" t="n">
        <v>309</v>
      </c>
      <c r="AJ106" s="0" t="n">
        <v>23</v>
      </c>
      <c r="AK106" s="0" t="n">
        <v>1374</v>
      </c>
      <c r="AL106" s="0" t="n">
        <v>0.98</v>
      </c>
    </row>
    <row r="107">
      <c r="A107" s="0" t="inlineStr">
        <is>
          <t>[남양동]</t>
        </is>
      </c>
      <c r="B107" s="0" t="n">
        <v>7637</v>
      </c>
      <c r="C107" s="0" t="n">
        <v>4</v>
      </c>
      <c r="D107" s="0" t="inlineStr">
        <is>
          <t>성원2차</t>
        </is>
      </c>
      <c r="E107" s="0" t="inlineStr">
        <is>
          <t>1992.02.</t>
        </is>
      </c>
      <c r="F107" s="0" t="n">
        <v>1404</v>
      </c>
      <c r="G107" s="0" t="n">
        <v>39.79</v>
      </c>
      <c r="H107" s="0" t="n">
        <v>131.56</v>
      </c>
      <c r="I107" s="0" t="n">
        <v>34.1</v>
      </c>
      <c r="J107" s="0" t="n">
        <v>112.76</v>
      </c>
      <c r="K107" s="0" t="n">
        <v>30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131</v>
      </c>
      <c r="X107" s="0" t="n">
        <v>18</v>
      </c>
      <c r="Y107" s="0" t="n">
        <v>15</v>
      </c>
      <c r="Z107" s="0" t="inlineStr">
        <is>
          <t>https://new.land.naver.com/complexes/7637?tab=detail&amp;rf=Y</t>
        </is>
      </c>
      <c r="AA107" s="0" t="inlineStr">
        <is>
          <t>경상남도 창원시 성산구 남양동 22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성산구</t>
        </is>
      </c>
      <c r="AE107" s="0" t="inlineStr">
        <is>
          <t>남양동</t>
        </is>
      </c>
      <c r="AG107" s="0" t="inlineStr">
        <is>
          <t>경상남도 창원시 성산구 대정로 99</t>
        </is>
      </c>
      <c r="AH107" s="0" t="n">
        <v>0</v>
      </c>
      <c r="AI107" s="0" t="n">
        <v>309</v>
      </c>
      <c r="AJ107" s="0" t="n">
        <v>23</v>
      </c>
      <c r="AK107" s="0" t="n">
        <v>1374</v>
      </c>
      <c r="AL107" s="0" t="n">
        <v>0.98</v>
      </c>
    </row>
    <row r="108">
      <c r="A108" s="0" t="inlineStr">
        <is>
          <t>[남양동]</t>
        </is>
      </c>
      <c r="B108" s="0" t="n">
        <v>7637</v>
      </c>
      <c r="C108" s="0" t="n">
        <v>5</v>
      </c>
      <c r="D108" s="0" t="inlineStr">
        <is>
          <t>성원2차</t>
        </is>
      </c>
      <c r="E108" s="0" t="inlineStr">
        <is>
          <t>1992.02.</t>
        </is>
      </c>
      <c r="F108" s="0" t="n">
        <v>1404</v>
      </c>
      <c r="G108" s="0" t="n">
        <v>41.31</v>
      </c>
      <c r="H108" s="0" t="n">
        <v>136.58</v>
      </c>
      <c r="I108" s="0" t="n">
        <v>35.71</v>
      </c>
      <c r="J108" s="0" t="n">
        <v>118.05</v>
      </c>
      <c r="K108" s="0" t="n">
        <v>90</v>
      </c>
      <c r="T108" s="0" t="n">
        <v>4</v>
      </c>
      <c r="U108" s="0" t="n">
        <v>2</v>
      </c>
      <c r="V108" s="0" t="inlineStr">
        <is>
          <t>계단식</t>
        </is>
      </c>
      <c r="W108" s="0" t="n">
        <v>136</v>
      </c>
      <c r="X108" s="0" t="n">
        <v>18</v>
      </c>
      <c r="Y108" s="0" t="n">
        <v>15</v>
      </c>
      <c r="Z108" s="0" t="inlineStr">
        <is>
          <t>https://new.land.naver.com/complexes/7637?tab=detail&amp;rf=Y</t>
        </is>
      </c>
      <c r="AA108" s="0" t="inlineStr">
        <is>
          <t>경상남도 창원시 성산구 남양동 22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성산구</t>
        </is>
      </c>
      <c r="AE108" s="0" t="inlineStr">
        <is>
          <t>남양동</t>
        </is>
      </c>
      <c r="AG108" s="0" t="inlineStr">
        <is>
          <t>경상남도 창원시 성산구 대정로 99</t>
        </is>
      </c>
      <c r="AH108" s="0" t="n">
        <v>0</v>
      </c>
      <c r="AI108" s="0" t="n">
        <v>309</v>
      </c>
      <c r="AJ108" s="0" t="n">
        <v>23</v>
      </c>
      <c r="AK108" s="0" t="n">
        <v>1374</v>
      </c>
      <c r="AL108" s="0" t="n">
        <v>0.98</v>
      </c>
    </row>
    <row r="109">
      <c r="A109" s="0" t="inlineStr">
        <is>
          <t>[남양동]</t>
        </is>
      </c>
      <c r="B109" s="0" t="n">
        <v>7637</v>
      </c>
      <c r="C109" s="0" t="n">
        <v>6</v>
      </c>
      <c r="D109" s="0" t="inlineStr">
        <is>
          <t>성원2차</t>
        </is>
      </c>
      <c r="E109" s="0" t="inlineStr">
        <is>
          <t>1992.02.</t>
        </is>
      </c>
      <c r="F109" s="0" t="n">
        <v>1404</v>
      </c>
      <c r="G109" s="0" t="n">
        <v>53.03</v>
      </c>
      <c r="H109" s="0" t="n">
        <v>175.32</v>
      </c>
      <c r="I109" s="0" t="n">
        <v>46.31</v>
      </c>
      <c r="J109" s="0" t="n">
        <v>153.12</v>
      </c>
      <c r="K109" s="0" t="n">
        <v>60</v>
      </c>
      <c r="T109" s="0" t="n">
        <v>5</v>
      </c>
      <c r="U109" s="0" t="n">
        <v>2</v>
      </c>
      <c r="V109" s="0" t="inlineStr">
        <is>
          <t>계단식</t>
        </is>
      </c>
      <c r="W109" s="0" t="n">
        <v>175</v>
      </c>
      <c r="X109" s="0" t="n">
        <v>18</v>
      </c>
      <c r="Y109" s="0" t="n">
        <v>15</v>
      </c>
      <c r="Z109" s="0" t="inlineStr">
        <is>
          <t>https://new.land.naver.com/complexes/7637?tab=detail&amp;rf=Y</t>
        </is>
      </c>
      <c r="AA109" s="0" t="inlineStr">
        <is>
          <t>경상남도 창원시 성산구 남양동 22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성산구</t>
        </is>
      </c>
      <c r="AE109" s="0" t="inlineStr">
        <is>
          <t>남양동</t>
        </is>
      </c>
      <c r="AG109" s="0" t="inlineStr">
        <is>
          <t>경상남도 창원시 성산구 대정로 99</t>
        </is>
      </c>
      <c r="AH109" s="0" t="n">
        <v>0</v>
      </c>
      <c r="AI109" s="0" t="n">
        <v>309</v>
      </c>
      <c r="AJ109" s="0" t="n">
        <v>23</v>
      </c>
      <c r="AK109" s="0" t="n">
        <v>1374</v>
      </c>
      <c r="AL109" s="0" t="n">
        <v>0.98</v>
      </c>
    </row>
    <row r="110">
      <c r="A110" s="0" t="inlineStr">
        <is>
          <t>[남양동]</t>
        </is>
      </c>
      <c r="B110" s="0" t="n">
        <v>7637</v>
      </c>
      <c r="C110" s="0" t="n">
        <v>7</v>
      </c>
      <c r="D110" s="0" t="inlineStr">
        <is>
          <t>성원2차</t>
        </is>
      </c>
      <c r="E110" s="0" t="inlineStr">
        <is>
          <t>1992.02.</t>
        </is>
      </c>
      <c r="F110" s="0" t="n">
        <v>1404</v>
      </c>
      <c r="G110" s="0" t="n">
        <v>65.95999999999999</v>
      </c>
      <c r="H110" s="0" t="n">
        <v>218.05</v>
      </c>
      <c r="I110" s="0" t="n">
        <v>58.23</v>
      </c>
      <c r="J110" s="0" t="n">
        <v>192.51</v>
      </c>
      <c r="K110" s="0" t="n">
        <v>30</v>
      </c>
      <c r="T110" s="0" t="n">
        <v>6</v>
      </c>
      <c r="U110" s="0" t="n">
        <v>3</v>
      </c>
      <c r="V110" s="0" t="inlineStr">
        <is>
          <t>계단식</t>
        </is>
      </c>
      <c r="W110" s="0" t="n">
        <v>218</v>
      </c>
      <c r="X110" s="0" t="n">
        <v>18</v>
      </c>
      <c r="Y110" s="0" t="n">
        <v>15</v>
      </c>
      <c r="Z110" s="0" t="inlineStr">
        <is>
          <t>https://new.land.naver.com/complexes/7637?tab=detail&amp;rf=Y</t>
        </is>
      </c>
      <c r="AA110" s="0" t="inlineStr">
        <is>
          <t>경상남도 창원시 성산구 남양동 22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성산구</t>
        </is>
      </c>
      <c r="AE110" s="0" t="inlineStr">
        <is>
          <t>남양동</t>
        </is>
      </c>
      <c r="AG110" s="0" t="inlineStr">
        <is>
          <t>경상남도 창원시 성산구 대정로 99</t>
        </is>
      </c>
      <c r="AH110" s="0" t="n">
        <v>0</v>
      </c>
      <c r="AI110" s="0" t="n">
        <v>309</v>
      </c>
      <c r="AJ110" s="0" t="n">
        <v>23</v>
      </c>
      <c r="AK110" s="0" t="n">
        <v>1374</v>
      </c>
      <c r="AL110" s="0" t="n">
        <v>0.98</v>
      </c>
    </row>
    <row r="111">
      <c r="A111" s="0" t="inlineStr">
        <is>
          <t>[남양동]</t>
        </is>
      </c>
      <c r="B111" s="0" t="n">
        <v>7631</v>
      </c>
      <c r="C111" s="0" t="n">
        <v>1</v>
      </c>
      <c r="D111" s="0" t="inlineStr">
        <is>
          <t>성원1차(그랜드타운남산)</t>
        </is>
      </c>
      <c r="E111" s="0" t="inlineStr">
        <is>
          <t>1991.01.</t>
        </is>
      </c>
      <c r="F111" s="0" t="n">
        <v>1350</v>
      </c>
      <c r="G111" s="0" t="n">
        <v>28.94</v>
      </c>
      <c r="H111" s="0" t="n">
        <v>95.67</v>
      </c>
      <c r="I111" s="0" t="n">
        <v>24.1</v>
      </c>
      <c r="J111" s="0" t="n">
        <v>79.69</v>
      </c>
      <c r="K111" s="0" t="n">
        <v>180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95A</t>
        </is>
      </c>
      <c r="X111" s="0" t="n">
        <v>15</v>
      </c>
      <c r="Y111" s="0" t="n">
        <v>15</v>
      </c>
      <c r="Z111" s="0" t="inlineStr">
        <is>
          <t>https://new.land.naver.com/complexes/7631?tab=detail&amp;rf=Y</t>
        </is>
      </c>
      <c r="AA111" s="0" t="inlineStr">
        <is>
          <t>경상남도 창원시 성산구 남양동 20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성산구</t>
        </is>
      </c>
      <c r="AE111" s="0" t="inlineStr">
        <is>
          <t>남양동</t>
        </is>
      </c>
      <c r="AG111" s="0" t="inlineStr">
        <is>
          <t>경상남도 창원시 성산구 대정로 73</t>
        </is>
      </c>
      <c r="AH111" s="0" t="n">
        <v>0</v>
      </c>
      <c r="AI111" s="0" t="n">
        <v>256</v>
      </c>
      <c r="AJ111" s="0" t="n">
        <v>18</v>
      </c>
      <c r="AK111" s="0" t="n">
        <v>955</v>
      </c>
      <c r="AL111" s="0" t="n">
        <v>0.71</v>
      </c>
    </row>
    <row r="112">
      <c r="A112" s="0" t="inlineStr">
        <is>
          <t>[남양동]</t>
        </is>
      </c>
      <c r="B112" s="0" t="n">
        <v>7631</v>
      </c>
      <c r="C112" s="0" t="n">
        <v>2</v>
      </c>
      <c r="D112" s="0" t="inlineStr">
        <is>
          <t>성원1차(그랜드타운남산)</t>
        </is>
      </c>
      <c r="E112" s="0" t="inlineStr">
        <is>
          <t>1991.01.</t>
        </is>
      </c>
      <c r="F112" s="0" t="n">
        <v>1350</v>
      </c>
      <c r="G112" s="0" t="n">
        <v>28.95</v>
      </c>
      <c r="H112" s="0" t="n">
        <v>95.70999999999999</v>
      </c>
      <c r="I112" s="0" t="n">
        <v>24.14</v>
      </c>
      <c r="J112" s="0" t="n">
        <v>79.81</v>
      </c>
      <c r="K112" s="0" t="n">
        <v>180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95B</t>
        </is>
      </c>
      <c r="X112" s="0" t="n">
        <v>15</v>
      </c>
      <c r="Y112" s="0" t="n">
        <v>15</v>
      </c>
      <c r="Z112" s="0" t="inlineStr">
        <is>
          <t>https://new.land.naver.com/complexes/7631?tab=detail&amp;rf=Y</t>
        </is>
      </c>
      <c r="AA112" s="0" t="inlineStr">
        <is>
          <t>경상남도 창원시 성산구 남양동 20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성산구</t>
        </is>
      </c>
      <c r="AE112" s="0" t="inlineStr">
        <is>
          <t>남양동</t>
        </is>
      </c>
      <c r="AG112" s="0" t="inlineStr">
        <is>
          <t>경상남도 창원시 성산구 대정로 73</t>
        </is>
      </c>
      <c r="AH112" s="0" t="n">
        <v>0</v>
      </c>
      <c r="AI112" s="0" t="n">
        <v>256</v>
      </c>
      <c r="AJ112" s="0" t="n">
        <v>18</v>
      </c>
      <c r="AK112" s="0" t="n">
        <v>955</v>
      </c>
      <c r="AL112" s="0" t="n">
        <v>0.71</v>
      </c>
    </row>
    <row r="113">
      <c r="A113" s="0" t="inlineStr">
        <is>
          <t>[남양동]</t>
        </is>
      </c>
      <c r="B113" s="0" t="n">
        <v>7631</v>
      </c>
      <c r="C113" s="0" t="n">
        <v>3</v>
      </c>
      <c r="D113" s="0" t="inlineStr">
        <is>
          <t>성원1차(그랜드타운남산)</t>
        </is>
      </c>
      <c r="E113" s="0" t="inlineStr">
        <is>
          <t>1991.01.</t>
        </is>
      </c>
      <c r="F113" s="0" t="n">
        <v>1350</v>
      </c>
      <c r="G113" s="0" t="n">
        <v>31.11</v>
      </c>
      <c r="H113" s="0" t="n">
        <v>102.87</v>
      </c>
      <c r="I113" s="0" t="n">
        <v>25.7</v>
      </c>
      <c r="J113" s="0" t="n">
        <v>84.97</v>
      </c>
      <c r="K113" s="0" t="n">
        <v>510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102B</t>
        </is>
      </c>
      <c r="X113" s="0" t="n">
        <v>15</v>
      </c>
      <c r="Y113" s="0" t="n">
        <v>15</v>
      </c>
      <c r="Z113" s="0" t="inlineStr">
        <is>
          <t>https://new.land.naver.com/complexes/7631?tab=detail&amp;rf=Y</t>
        </is>
      </c>
      <c r="AA113" s="0" t="inlineStr">
        <is>
          <t>경상남도 창원시 성산구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성산구</t>
        </is>
      </c>
      <c r="AE113" s="0" t="inlineStr">
        <is>
          <t>남양동</t>
        </is>
      </c>
      <c r="AG113" s="0" t="inlineStr">
        <is>
          <t>경상남도 창원시 성산구 대정로 73</t>
        </is>
      </c>
      <c r="AH113" s="0" t="n">
        <v>0</v>
      </c>
      <c r="AI113" s="0" t="n">
        <v>256</v>
      </c>
      <c r="AJ113" s="0" t="n">
        <v>18</v>
      </c>
      <c r="AK113" s="0" t="n">
        <v>955</v>
      </c>
      <c r="AL113" s="0" t="n">
        <v>0.71</v>
      </c>
    </row>
    <row r="114">
      <c r="A114" s="0" t="inlineStr">
        <is>
          <t>[남양동]</t>
        </is>
      </c>
      <c r="B114" s="0" t="n">
        <v>7631</v>
      </c>
      <c r="C114" s="0" t="n">
        <v>4</v>
      </c>
      <c r="D114" s="0" t="inlineStr">
        <is>
          <t>성원1차(그랜드타운남산)</t>
        </is>
      </c>
      <c r="E114" s="0" t="inlineStr">
        <is>
          <t>1991.01.</t>
        </is>
      </c>
      <c r="F114" s="0" t="n">
        <v>1350</v>
      </c>
      <c r="G114" s="0" t="n">
        <v>31.13</v>
      </c>
      <c r="H114" s="0" t="n">
        <v>102.93</v>
      </c>
      <c r="I114" s="0" t="n">
        <v>25.63</v>
      </c>
      <c r="J114" s="0" t="n">
        <v>84.73</v>
      </c>
      <c r="K114" s="0" t="n">
        <v>255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102A</t>
        </is>
      </c>
      <c r="X114" s="0" t="n">
        <v>15</v>
      </c>
      <c r="Y114" s="0" t="n">
        <v>15</v>
      </c>
      <c r="Z114" s="0" t="inlineStr">
        <is>
          <t>https://new.land.naver.com/complexes/7631?tab=detail&amp;rf=Y</t>
        </is>
      </c>
      <c r="AA114" s="0" t="inlineStr">
        <is>
          <t>경상남도 창원시 성산구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성산구</t>
        </is>
      </c>
      <c r="AE114" s="0" t="inlineStr">
        <is>
          <t>남양동</t>
        </is>
      </c>
      <c r="AG114" s="0" t="inlineStr">
        <is>
          <t>경상남도 창원시 성산구 대정로 73</t>
        </is>
      </c>
      <c r="AH114" s="0" t="n">
        <v>0</v>
      </c>
      <c r="AI114" s="0" t="n">
        <v>256</v>
      </c>
      <c r="AJ114" s="0" t="n">
        <v>18</v>
      </c>
      <c r="AK114" s="0" t="n">
        <v>955</v>
      </c>
      <c r="AL114" s="0" t="n">
        <v>0.71</v>
      </c>
    </row>
    <row r="115">
      <c r="A115" s="0" t="inlineStr">
        <is>
          <t>[남양동]</t>
        </is>
      </c>
      <c r="B115" s="0" t="n">
        <v>7631</v>
      </c>
      <c r="C115" s="0" t="n">
        <v>5</v>
      </c>
      <c r="D115" s="0" t="inlineStr">
        <is>
          <t>성원1차(그랜드타운남산)</t>
        </is>
      </c>
      <c r="E115" s="0" t="inlineStr">
        <is>
          <t>1991.01.</t>
        </is>
      </c>
      <c r="F115" s="0" t="n">
        <v>1350</v>
      </c>
      <c r="G115" s="0" t="n">
        <v>35.22</v>
      </c>
      <c r="H115" s="0" t="n">
        <v>116.45</v>
      </c>
      <c r="I115" s="0" t="n">
        <v>29.26</v>
      </c>
      <c r="J115" s="0" t="n">
        <v>96.73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116</v>
      </c>
      <c r="X115" s="0" t="n">
        <v>15</v>
      </c>
      <c r="Y115" s="0" t="n">
        <v>15</v>
      </c>
      <c r="Z115" s="0" t="inlineStr">
        <is>
          <t>https://new.land.naver.com/complexes/7631?tab=detail&amp;rf=Y</t>
        </is>
      </c>
      <c r="AA115" s="0" t="inlineStr">
        <is>
          <t>경상남도 창원시 성산구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성산구</t>
        </is>
      </c>
      <c r="AE115" s="0" t="inlineStr">
        <is>
          <t>남양동</t>
        </is>
      </c>
      <c r="AG115" s="0" t="inlineStr">
        <is>
          <t>경상남도 창원시 성산구 대정로 73</t>
        </is>
      </c>
      <c r="AH115" s="0" t="n">
        <v>0</v>
      </c>
      <c r="AI115" s="0" t="n">
        <v>256</v>
      </c>
      <c r="AJ115" s="0" t="n">
        <v>18</v>
      </c>
      <c r="AK115" s="0" t="n">
        <v>955</v>
      </c>
      <c r="AL115" s="0" t="n">
        <v>0.71</v>
      </c>
    </row>
    <row r="116">
      <c r="A116" s="0" t="inlineStr">
        <is>
          <t>[남양동]</t>
        </is>
      </c>
      <c r="B116" s="0" t="n">
        <v>7631</v>
      </c>
      <c r="C116" s="0" t="n">
        <v>6</v>
      </c>
      <c r="D116" s="0" t="inlineStr">
        <is>
          <t>성원1차(그랜드타운남산)</t>
        </is>
      </c>
      <c r="E116" s="0" t="inlineStr">
        <is>
          <t>1991.01.</t>
        </is>
      </c>
      <c r="F116" s="0" t="n">
        <v>1350</v>
      </c>
      <c r="G116" s="0" t="n">
        <v>42.12</v>
      </c>
      <c r="H116" s="0" t="n">
        <v>139.24</v>
      </c>
      <c r="I116" s="0" t="n">
        <v>35.98</v>
      </c>
      <c r="J116" s="0" t="n">
        <v>118.97</v>
      </c>
      <c r="K116" s="0" t="n">
        <v>150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139</v>
      </c>
      <c r="X116" s="0" t="n">
        <v>15</v>
      </c>
      <c r="Y116" s="0" t="n">
        <v>15</v>
      </c>
      <c r="Z116" s="0" t="inlineStr">
        <is>
          <t>https://new.land.naver.com/complexes/7631?tab=detail&amp;rf=Y</t>
        </is>
      </c>
      <c r="AA116" s="0" t="inlineStr">
        <is>
          <t>경상남도 창원시 성산구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성산구</t>
        </is>
      </c>
      <c r="AE116" s="0" t="inlineStr">
        <is>
          <t>남양동</t>
        </is>
      </c>
      <c r="AG116" s="0" t="inlineStr">
        <is>
          <t>경상남도 창원시 성산구 대정로 73</t>
        </is>
      </c>
      <c r="AH116" s="0" t="n">
        <v>0</v>
      </c>
      <c r="AI116" s="0" t="n">
        <v>256</v>
      </c>
      <c r="AJ116" s="0" t="n">
        <v>18</v>
      </c>
      <c r="AK116" s="0" t="n">
        <v>955</v>
      </c>
      <c r="AL116" s="0" t="n">
        <v>0.71</v>
      </c>
    </row>
    <row r="117">
      <c r="A117" s="0" t="inlineStr">
        <is>
          <t>[남양동]</t>
        </is>
      </c>
      <c r="B117" s="0" t="n">
        <v>7631</v>
      </c>
      <c r="C117" s="0" t="n">
        <v>7</v>
      </c>
      <c r="D117" s="0" t="inlineStr">
        <is>
          <t>성원1차(그랜드타운남산)</t>
        </is>
      </c>
      <c r="E117" s="0" t="inlineStr">
        <is>
          <t>1991.01.</t>
        </is>
      </c>
      <c r="F117" s="0" t="n">
        <v>1350</v>
      </c>
      <c r="G117" s="0" t="n">
        <v>49.31</v>
      </c>
      <c r="H117" s="0" t="n">
        <v>163.02</v>
      </c>
      <c r="I117" s="0" t="n">
        <v>42.57</v>
      </c>
      <c r="J117" s="0" t="n">
        <v>140.75</v>
      </c>
      <c r="K117" s="0" t="n">
        <v>60</v>
      </c>
      <c r="T117" s="0" t="n">
        <v>4</v>
      </c>
      <c r="U117" s="0" t="n">
        <v>2</v>
      </c>
      <c r="V117" s="0" t="inlineStr">
        <is>
          <t>계단식</t>
        </is>
      </c>
      <c r="W117" s="0" t="n">
        <v>163</v>
      </c>
      <c r="X117" s="0" t="n">
        <v>15</v>
      </c>
      <c r="Y117" s="0" t="n">
        <v>15</v>
      </c>
      <c r="Z117" s="0" t="inlineStr">
        <is>
          <t>https://new.land.naver.com/complexes/7631?tab=detail&amp;rf=Y</t>
        </is>
      </c>
      <c r="AA117" s="0" t="inlineStr">
        <is>
          <t>경상남도 창원시 성산구 남양동 20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성산구</t>
        </is>
      </c>
      <c r="AE117" s="0" t="inlineStr">
        <is>
          <t>남양동</t>
        </is>
      </c>
      <c r="AG117" s="0" t="inlineStr">
        <is>
          <t>경상남도 창원시 성산구 대정로 73</t>
        </is>
      </c>
      <c r="AH117" s="0" t="n">
        <v>0</v>
      </c>
      <c r="AI117" s="0" t="n">
        <v>256</v>
      </c>
      <c r="AJ117" s="0" t="n">
        <v>18</v>
      </c>
      <c r="AK117" s="0" t="n">
        <v>955</v>
      </c>
      <c r="AL117" s="0" t="n">
        <v>0.71</v>
      </c>
    </row>
    <row r="118">
      <c r="A118" s="0" t="inlineStr">
        <is>
          <t>[내동]</t>
        </is>
      </c>
      <c r="B118" s="0" t="n">
        <v>104820</v>
      </c>
      <c r="C118" s="0" t="n">
        <v>1</v>
      </c>
      <c r="D118" s="0" t="inlineStr">
        <is>
          <t>내동비앤지스틸(주)사원</t>
        </is>
      </c>
      <c r="E118" s="0" t="inlineStr">
        <is>
          <t>1987.12.</t>
        </is>
      </c>
      <c r="F118" s="0" t="n">
        <v>50</v>
      </c>
      <c r="G118" s="0" t="n">
        <v>24.6</v>
      </c>
      <c r="H118" s="0" t="n">
        <v>81.33</v>
      </c>
      <c r="I118" s="0" t="n">
        <v>20.83</v>
      </c>
      <c r="J118" s="0" t="n">
        <v>68.87</v>
      </c>
      <c r="K118" s="0" t="n">
        <v>50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81</v>
      </c>
      <c r="X118" s="0" t="n">
        <v>5</v>
      </c>
      <c r="Y118" s="0" t="n">
        <v>5</v>
      </c>
      <c r="Z118" s="0" t="inlineStr">
        <is>
          <t>https://new.land.naver.com/complexes/104820?tab=detail&amp;rf=Y</t>
        </is>
      </c>
      <c r="AA118" s="0" t="inlineStr">
        <is>
          <t>경상남도 창원시 성산구 내동 454-7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성산구</t>
        </is>
      </c>
      <c r="AE118" s="0" t="inlineStr">
        <is>
          <t>내동</t>
        </is>
      </c>
      <c r="AG118" s="0" t="inlineStr">
        <is>
          <t>경상남도 창원시 성산구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[내동]</t>
        </is>
      </c>
      <c r="B119" s="0" t="n">
        <v>15735</v>
      </c>
      <c r="C119" s="0" t="n">
        <v>1</v>
      </c>
      <c r="D119" s="0" t="inlineStr">
        <is>
          <t>일성그라미</t>
        </is>
      </c>
      <c r="E119" s="0" t="inlineStr">
        <is>
          <t>1990.03.</t>
        </is>
      </c>
      <c r="F119" s="0" t="n">
        <v>240</v>
      </c>
      <c r="G119" s="0" t="n">
        <v>26.47</v>
      </c>
      <c r="H119" s="0" t="n">
        <v>87.51000000000001</v>
      </c>
      <c r="I119" s="0" t="n">
        <v>21.76</v>
      </c>
      <c r="J119" s="0" t="n">
        <v>71.95</v>
      </c>
      <c r="K119" s="0" t="n">
        <v>120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87</v>
      </c>
      <c r="X119" s="0" t="n">
        <v>12</v>
      </c>
      <c r="Y119" s="0" t="n">
        <v>12</v>
      </c>
      <c r="Z119" s="0" t="inlineStr">
        <is>
          <t>https://new.land.naver.com/complexes/15735?tab=detail&amp;rf=Y</t>
        </is>
      </c>
      <c r="AA119" s="0" t="inlineStr">
        <is>
          <t>경상남도 창원시 성산구 내동 456-21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성산구</t>
        </is>
      </c>
      <c r="AE119" s="0" t="inlineStr">
        <is>
          <t>내동</t>
        </is>
      </c>
      <c r="AG119" s="0" t="inlineStr">
        <is>
          <t>경상남도 창원시 성산구 연덕로184번길 19</t>
        </is>
      </c>
      <c r="AH119" s="0" t="n">
        <v>0</v>
      </c>
      <c r="AI119" s="0" t="n">
        <v>231</v>
      </c>
      <c r="AJ119" s="0" t="n">
        <v>24</v>
      </c>
      <c r="AK119" s="0" t="n">
        <v>300</v>
      </c>
      <c r="AL119" s="0" t="n">
        <v>1.25</v>
      </c>
    </row>
    <row r="120">
      <c r="A120" s="0" t="inlineStr">
        <is>
          <t>[내동]</t>
        </is>
      </c>
      <c r="B120" s="0" t="n">
        <v>15735</v>
      </c>
      <c r="C120" s="0" t="n">
        <v>2</v>
      </c>
      <c r="D120" s="0" t="inlineStr">
        <is>
          <t>일성그라미</t>
        </is>
      </c>
      <c r="E120" s="0" t="inlineStr">
        <is>
          <t>1990.03.</t>
        </is>
      </c>
      <c r="F120" s="0" t="n">
        <v>240</v>
      </c>
      <c r="G120" s="0" t="n">
        <v>29.21</v>
      </c>
      <c r="H120" s="0" t="n">
        <v>96.58</v>
      </c>
      <c r="I120" s="0" t="n">
        <v>24.29</v>
      </c>
      <c r="J120" s="0" t="n">
        <v>80.31999999999999</v>
      </c>
      <c r="K120" s="0" t="n">
        <v>120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96</v>
      </c>
      <c r="X120" s="0" t="n">
        <v>12</v>
      </c>
      <c r="Y120" s="0" t="n">
        <v>12</v>
      </c>
      <c r="Z120" s="0" t="inlineStr">
        <is>
          <t>https://new.land.naver.com/complexes/15735?tab=detail&amp;rf=Y</t>
        </is>
      </c>
      <c r="AA120" s="0" t="inlineStr">
        <is>
          <t>경상남도 창원시 성산구 내동 456-21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성산구</t>
        </is>
      </c>
      <c r="AE120" s="0" t="inlineStr">
        <is>
          <t>내동</t>
        </is>
      </c>
      <c r="AG120" s="0" t="inlineStr">
        <is>
          <t>경상남도 창원시 성산구 연덕로184번길 19</t>
        </is>
      </c>
      <c r="AH120" s="0" t="n">
        <v>0</v>
      </c>
      <c r="AI120" s="0" t="n">
        <v>231</v>
      </c>
      <c r="AJ120" s="0" t="n">
        <v>24</v>
      </c>
      <c r="AK120" s="0" t="n">
        <v>300</v>
      </c>
      <c r="AL120" s="0" t="n">
        <v>1.25</v>
      </c>
    </row>
    <row r="121">
      <c r="A121" s="0" t="inlineStr">
        <is>
          <t>[내동]</t>
        </is>
      </c>
      <c r="B121" s="0" t="n">
        <v>101099</v>
      </c>
      <c r="C121" s="0" t="n">
        <v>1</v>
      </c>
      <c r="D121" s="0" t="inlineStr">
        <is>
          <t>삼성올림픽맨션</t>
        </is>
      </c>
      <c r="E121" s="0" t="inlineStr">
        <is>
          <t>1990.06.</t>
        </is>
      </c>
      <c r="F121" s="0" t="n">
        <v>70</v>
      </c>
      <c r="G121" s="0" t="n">
        <v>25.87</v>
      </c>
      <c r="H121" s="0" t="n">
        <v>85.55</v>
      </c>
      <c r="I121" s="0" t="n">
        <v>21.76</v>
      </c>
      <c r="J121" s="0" t="n">
        <v>71.94</v>
      </c>
      <c r="K121" s="0" t="n">
        <v>70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85</v>
      </c>
      <c r="X121" s="0" t="n">
        <v>5</v>
      </c>
      <c r="Y121" s="0" t="n">
        <v>5</v>
      </c>
      <c r="Z121" s="0" t="inlineStr">
        <is>
          <t>https://new.land.naver.com/complexes/101099?tab=detail&amp;rf=Y</t>
        </is>
      </c>
      <c r="AA121" s="0" t="inlineStr">
        <is>
          <t>경상남도 창원시 성산구 내동 452-15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성산구</t>
        </is>
      </c>
      <c r="AE121" s="0" t="inlineStr">
        <is>
          <t>내동</t>
        </is>
      </c>
      <c r="AG121" s="0" t="inlineStr">
        <is>
          <t>경상남도 창원시 성산구 삼동로128번길 29</t>
        </is>
      </c>
      <c r="AH121" s="0" t="n">
        <v>0</v>
      </c>
      <c r="AI121" s="0" t="n">
        <v>103</v>
      </c>
      <c r="AJ121" s="0" t="n">
        <v>20</v>
      </c>
      <c r="AK121" s="0" t="n">
        <v>0</v>
      </c>
      <c r="AL121" s="0" t="n">
        <v>0</v>
      </c>
    </row>
    <row r="122">
      <c r="A122" s="0" t="inlineStr">
        <is>
          <t>[내동]</t>
        </is>
      </c>
      <c r="B122" s="0" t="n">
        <v>15727</v>
      </c>
      <c r="C122" s="0" t="n">
        <v>1</v>
      </c>
      <c r="D122" s="0" t="inlineStr">
        <is>
          <t>목련</t>
        </is>
      </c>
      <c r="E122" s="0" t="inlineStr">
        <is>
          <t>1979.09.</t>
        </is>
      </c>
      <c r="F122" s="0" t="n">
        <v>239</v>
      </c>
      <c r="G122" s="0" t="n">
        <v>15.99</v>
      </c>
      <c r="H122" s="0" t="n">
        <v>52.89</v>
      </c>
      <c r="I122" s="0" t="n">
        <v>12.46</v>
      </c>
      <c r="J122" s="0" t="n">
        <v>41.22</v>
      </c>
      <c r="K122" s="0" t="n">
        <v>179</v>
      </c>
      <c r="T122" s="0" t="n">
        <v>2</v>
      </c>
      <c r="U122" s="0" t="n">
        <v>1</v>
      </c>
      <c r="V122" s="0" t="inlineStr">
        <is>
          <t>복도식</t>
        </is>
      </c>
      <c r="W122" s="0" t="n">
        <v>52</v>
      </c>
      <c r="X122" s="0" t="n">
        <v>5</v>
      </c>
      <c r="Y122" s="0" t="n">
        <v>5</v>
      </c>
      <c r="Z122" s="0" t="inlineStr">
        <is>
          <t>https://new.land.naver.com/complexes/15727?tab=detail&amp;rf=Y</t>
        </is>
      </c>
      <c r="AA122" s="0" t="inlineStr">
        <is>
          <t>경상남도 창원시 성산구 내동 454-1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성산구</t>
        </is>
      </c>
      <c r="AE122" s="0" t="inlineStr">
        <is>
          <t>내동</t>
        </is>
      </c>
      <c r="AG122" s="0" t="inlineStr">
        <is>
          <t>경상남도 창원시 성산구 삼동로128번길 65</t>
        </is>
      </c>
      <c r="AH122" s="0" t="n">
        <v>0</v>
      </c>
      <c r="AI122" s="0" t="n">
        <v>113</v>
      </c>
      <c r="AJ122" s="0" t="n">
        <v>31</v>
      </c>
      <c r="AK122" s="0" t="n">
        <v>0</v>
      </c>
      <c r="AL122" s="0" t="n">
        <v>0</v>
      </c>
    </row>
    <row r="123">
      <c r="A123" s="0" t="inlineStr">
        <is>
          <t>[내동]</t>
        </is>
      </c>
      <c r="B123" s="0" t="n">
        <v>15727</v>
      </c>
      <c r="C123" s="0" t="n">
        <v>2</v>
      </c>
      <c r="D123" s="0" t="inlineStr">
        <is>
          <t>목련</t>
        </is>
      </c>
      <c r="E123" s="0" t="inlineStr">
        <is>
          <t>1979.09.</t>
        </is>
      </c>
      <c r="F123" s="0" t="n">
        <v>239</v>
      </c>
      <c r="G123" s="0" t="n">
        <v>22.99</v>
      </c>
      <c r="H123" s="0" t="n">
        <v>76.03</v>
      </c>
      <c r="I123" s="0" t="n">
        <v>18.05</v>
      </c>
      <c r="J123" s="0" t="n">
        <v>59.67</v>
      </c>
      <c r="K123" s="0" t="n">
        <v>20</v>
      </c>
      <c r="T123" s="0" t="n">
        <v>3</v>
      </c>
      <c r="U123" s="0" t="n">
        <v>1</v>
      </c>
      <c r="V123" s="0" t="inlineStr">
        <is>
          <t>복도식</t>
        </is>
      </c>
      <c r="W123" s="0" t="n">
        <v>76</v>
      </c>
      <c r="X123" s="0" t="n">
        <v>5</v>
      </c>
      <c r="Y123" s="0" t="n">
        <v>5</v>
      </c>
      <c r="Z123" s="0" t="inlineStr">
        <is>
          <t>https://new.land.naver.com/complexes/15727?tab=detail&amp;rf=Y</t>
        </is>
      </c>
      <c r="AA123" s="0" t="inlineStr">
        <is>
          <t>경상남도 창원시 성산구 내동 454-1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성산구</t>
        </is>
      </c>
      <c r="AE123" s="0" t="inlineStr">
        <is>
          <t>내동</t>
        </is>
      </c>
      <c r="AG123" s="0" t="inlineStr">
        <is>
          <t>경상남도 창원시 성산구 삼동로128번길 65</t>
        </is>
      </c>
      <c r="AH123" s="0" t="n">
        <v>0</v>
      </c>
      <c r="AI123" s="0" t="n">
        <v>113</v>
      </c>
      <c r="AJ123" s="0" t="n">
        <v>31</v>
      </c>
      <c r="AK123" s="0" t="n">
        <v>0</v>
      </c>
      <c r="AL123" s="0" t="n">
        <v>0</v>
      </c>
    </row>
    <row r="124">
      <c r="A124" s="0" t="inlineStr">
        <is>
          <t>[내동]</t>
        </is>
      </c>
      <c r="B124" s="0" t="n">
        <v>15727</v>
      </c>
      <c r="C124" s="0" t="n">
        <v>3</v>
      </c>
      <c r="D124" s="0" t="inlineStr">
        <is>
          <t>목련</t>
        </is>
      </c>
      <c r="E124" s="0" t="inlineStr">
        <is>
          <t>1979.09.</t>
        </is>
      </c>
      <c r="F124" s="0" t="n">
        <v>239</v>
      </c>
      <c r="G124" s="0" t="n">
        <v>25</v>
      </c>
      <c r="H124" s="0" t="n">
        <v>82.65000000000001</v>
      </c>
      <c r="I124" s="0" t="n">
        <v>19.36</v>
      </c>
      <c r="J124" s="0" t="n">
        <v>64.03</v>
      </c>
      <c r="K124" s="0" t="n">
        <v>20</v>
      </c>
      <c r="T124" s="0" t="n">
        <v>3</v>
      </c>
      <c r="U124" s="0" t="n">
        <v>1</v>
      </c>
      <c r="V124" s="0" t="inlineStr">
        <is>
          <t>복도식</t>
        </is>
      </c>
      <c r="W124" s="0" t="n">
        <v>82</v>
      </c>
      <c r="X124" s="0" t="n">
        <v>5</v>
      </c>
      <c r="Y124" s="0" t="n">
        <v>5</v>
      </c>
      <c r="Z124" s="0" t="inlineStr">
        <is>
          <t>https://new.land.naver.com/complexes/15727?tab=detail&amp;rf=Y</t>
        </is>
      </c>
      <c r="AA124" s="0" t="inlineStr">
        <is>
          <t>경상남도 창원시 성산구 내동 454-1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성산구</t>
        </is>
      </c>
      <c r="AE124" s="0" t="inlineStr">
        <is>
          <t>내동</t>
        </is>
      </c>
      <c r="AG124" s="0" t="inlineStr">
        <is>
          <t>경상남도 창원시 성산구 삼동로128번길 65</t>
        </is>
      </c>
      <c r="AH124" s="0" t="n">
        <v>0</v>
      </c>
      <c r="AI124" s="0" t="n">
        <v>113</v>
      </c>
      <c r="AJ124" s="0" t="n">
        <v>31</v>
      </c>
      <c r="AK124" s="0" t="n">
        <v>0</v>
      </c>
      <c r="AL124" s="0" t="n">
        <v>0</v>
      </c>
    </row>
    <row r="125">
      <c r="A125" s="0" t="inlineStr">
        <is>
          <t>[내동]</t>
        </is>
      </c>
      <c r="B125" s="0" t="n">
        <v>15727</v>
      </c>
      <c r="C125" s="0" t="n">
        <v>4</v>
      </c>
      <c r="D125" s="0" t="inlineStr">
        <is>
          <t>목련</t>
        </is>
      </c>
      <c r="E125" s="0" t="inlineStr">
        <is>
          <t>1979.09.</t>
        </is>
      </c>
      <c r="F125" s="0" t="n">
        <v>239</v>
      </c>
      <c r="G125" s="0" t="n">
        <v>31</v>
      </c>
      <c r="H125" s="0" t="n">
        <v>102.48</v>
      </c>
      <c r="I125" s="0" t="n">
        <v>24.71</v>
      </c>
      <c r="J125" s="0" t="n">
        <v>81.70999999999999</v>
      </c>
      <c r="K125" s="0" t="n">
        <v>10</v>
      </c>
      <c r="T125" s="0" t="n">
        <v>3</v>
      </c>
      <c r="U125" s="0" t="n">
        <v>1</v>
      </c>
      <c r="V125" s="0" t="inlineStr">
        <is>
          <t>복도식</t>
        </is>
      </c>
      <c r="W125" s="0" t="n">
        <v>102</v>
      </c>
      <c r="X125" s="0" t="n">
        <v>5</v>
      </c>
      <c r="Y125" s="0" t="n">
        <v>5</v>
      </c>
      <c r="Z125" s="0" t="inlineStr">
        <is>
          <t>https://new.land.naver.com/complexes/15727?tab=detail&amp;rf=Y</t>
        </is>
      </c>
      <c r="AA125" s="0" t="inlineStr">
        <is>
          <t>경상남도 창원시 성산구 내동 454-1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성산구</t>
        </is>
      </c>
      <c r="AE125" s="0" t="inlineStr">
        <is>
          <t>내동</t>
        </is>
      </c>
      <c r="AG125" s="0" t="inlineStr">
        <is>
          <t>경상남도 창원시 성산구 삼동로128번길 65</t>
        </is>
      </c>
      <c r="AH125" s="0" t="n">
        <v>0</v>
      </c>
      <c r="AI125" s="0" t="n">
        <v>113</v>
      </c>
      <c r="AJ125" s="0" t="n">
        <v>31</v>
      </c>
      <c r="AK125" s="0" t="n">
        <v>0</v>
      </c>
      <c r="AL125" s="0" t="n">
        <v>0</v>
      </c>
    </row>
    <row r="126">
      <c r="A126" s="0" t="inlineStr">
        <is>
          <t>[내동]</t>
        </is>
      </c>
      <c r="B126" s="0" t="n">
        <v>15727</v>
      </c>
      <c r="C126" s="0" t="n">
        <v>5</v>
      </c>
      <c r="D126" s="0" t="inlineStr">
        <is>
          <t>목련</t>
        </is>
      </c>
      <c r="E126" s="0" t="inlineStr">
        <is>
          <t>1979.09.</t>
        </is>
      </c>
      <c r="F126" s="0" t="n">
        <v>239</v>
      </c>
      <c r="G126" s="0" t="n">
        <v>32</v>
      </c>
      <c r="H126" s="0" t="n">
        <v>105.79</v>
      </c>
      <c r="I126" s="0" t="n">
        <v>25.48</v>
      </c>
      <c r="J126" s="0" t="n">
        <v>84.26000000000001</v>
      </c>
      <c r="K126" s="0" t="n">
        <v>10</v>
      </c>
      <c r="T126" s="0" t="n">
        <v>3</v>
      </c>
      <c r="U126" s="0" t="n">
        <v>1</v>
      </c>
      <c r="V126" s="0" t="inlineStr">
        <is>
          <t>복도식</t>
        </is>
      </c>
      <c r="W126" s="0" t="n">
        <v>105</v>
      </c>
      <c r="X126" s="0" t="n">
        <v>5</v>
      </c>
      <c r="Y126" s="0" t="n">
        <v>5</v>
      </c>
      <c r="Z126" s="0" t="inlineStr">
        <is>
          <t>https://new.land.naver.com/complexes/15727?tab=detail&amp;rf=Y</t>
        </is>
      </c>
      <c r="AA126" s="0" t="inlineStr">
        <is>
          <t>경상남도 창원시 성산구 내동 454-1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성산구</t>
        </is>
      </c>
      <c r="AE126" s="0" t="inlineStr">
        <is>
          <t>내동</t>
        </is>
      </c>
      <c r="AG126" s="0" t="inlineStr">
        <is>
          <t>경상남도 창원시 성산구 삼동로128번길 65</t>
        </is>
      </c>
      <c r="AH126" s="0" t="n">
        <v>0</v>
      </c>
      <c r="AI126" s="0" t="n">
        <v>113</v>
      </c>
      <c r="AJ126" s="0" t="n">
        <v>31</v>
      </c>
      <c r="AK126" s="0" t="n">
        <v>0</v>
      </c>
      <c r="AL126" s="0" t="n">
        <v>0</v>
      </c>
    </row>
    <row r="127">
      <c r="A127" s="0" t="inlineStr">
        <is>
          <t>[내동]</t>
        </is>
      </c>
      <c r="B127" s="0" t="n">
        <v>15729</v>
      </c>
      <c r="C127" s="0" t="n">
        <v>1</v>
      </c>
      <c r="D127" s="0" t="inlineStr">
        <is>
          <t>상가</t>
        </is>
      </c>
      <c r="E127" s="0" t="inlineStr">
        <is>
          <t>1976.03.</t>
        </is>
      </c>
      <c r="F127" s="0" t="n">
        <v>136</v>
      </c>
      <c r="G127" s="0" t="n">
        <v>12.49</v>
      </c>
      <c r="H127" s="0" t="n">
        <v>41.32</v>
      </c>
      <c r="I127" s="0" t="n">
        <v>12.49</v>
      </c>
      <c r="J127" s="0" t="n">
        <v>41.32</v>
      </c>
      <c r="K127" s="0" t="n">
        <v>32</v>
      </c>
      <c r="T127" s="0" t="n">
        <v>1</v>
      </c>
      <c r="U127" s="0" t="n">
        <v>1</v>
      </c>
      <c r="V127" s="0" t="inlineStr">
        <is>
          <t>계단식</t>
        </is>
      </c>
      <c r="W127" s="0" t="inlineStr">
        <is>
          <t>41B</t>
        </is>
      </c>
      <c r="X127" s="0" t="n">
        <v>5</v>
      </c>
      <c r="Y127" s="0" t="n">
        <v>5</v>
      </c>
      <c r="Z127" s="0" t="inlineStr">
        <is>
          <t>https://new.land.naver.com/complexes/15729?tab=detail&amp;rf=Y</t>
        </is>
      </c>
      <c r="AA127" s="0" t="inlineStr">
        <is>
          <t>경상남도 창원시 성산구 내동 456-17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성산구</t>
        </is>
      </c>
      <c r="AE127" s="0" t="inlineStr">
        <is>
          <t>내동</t>
        </is>
      </c>
      <c r="AG127" s="0" t="inlineStr">
        <is>
          <t>경상남도 창원시 성산구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[내동]</t>
        </is>
      </c>
      <c r="B128" s="0" t="n">
        <v>15729</v>
      </c>
      <c r="C128" s="0" t="n">
        <v>2</v>
      </c>
      <c r="D128" s="0" t="inlineStr">
        <is>
          <t>상가</t>
        </is>
      </c>
      <c r="E128" s="0" t="inlineStr">
        <is>
          <t>1976.03.</t>
        </is>
      </c>
      <c r="F128" s="0" t="n">
        <v>136</v>
      </c>
      <c r="G128" s="0" t="n">
        <v>12.49</v>
      </c>
      <c r="H128" s="0" t="n">
        <v>41.31</v>
      </c>
      <c r="I128" s="0" t="n">
        <v>12.49</v>
      </c>
      <c r="J128" s="0" t="n">
        <v>41.31</v>
      </c>
      <c r="K128" s="0" t="n">
        <v>1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41A</t>
        </is>
      </c>
      <c r="X128" s="0" t="n">
        <v>5</v>
      </c>
      <c r="Y128" s="0" t="n">
        <v>5</v>
      </c>
      <c r="Z128" s="0" t="inlineStr">
        <is>
          <t>https://new.land.naver.com/complexes/15729?tab=detail&amp;rf=Y</t>
        </is>
      </c>
      <c r="AA128" s="0" t="inlineStr">
        <is>
          <t>경상남도 창원시 성산구 내동 456-17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성산구</t>
        </is>
      </c>
      <c r="AE128" s="0" t="inlineStr">
        <is>
          <t>내동</t>
        </is>
      </c>
      <c r="AG128" s="0" t="inlineStr">
        <is>
          <t>경상남도 창원시 성산구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[내동]</t>
        </is>
      </c>
      <c r="B129" s="0" t="n">
        <v>15729</v>
      </c>
      <c r="C129" s="0" t="n">
        <v>3</v>
      </c>
      <c r="D129" s="0" t="inlineStr">
        <is>
          <t>상가</t>
        </is>
      </c>
      <c r="E129" s="0" t="inlineStr">
        <is>
          <t>1976.03.</t>
        </is>
      </c>
      <c r="F129" s="0" t="n">
        <v>136</v>
      </c>
      <c r="G129" s="0" t="n">
        <v>12.79</v>
      </c>
      <c r="H129" s="0" t="n">
        <v>42.31</v>
      </c>
      <c r="I129" s="0" t="n">
        <v>12.79</v>
      </c>
      <c r="J129" s="0" t="n">
        <v>42.31</v>
      </c>
      <c r="K129" s="0" t="n">
        <v>12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42C</t>
        </is>
      </c>
      <c r="X129" s="0" t="n">
        <v>5</v>
      </c>
      <c r="Y129" s="0" t="n">
        <v>5</v>
      </c>
      <c r="Z129" s="0" t="inlineStr">
        <is>
          <t>https://new.land.naver.com/complexes/15729?tab=detail&amp;rf=Y</t>
        </is>
      </c>
      <c r="AA129" s="0" t="inlineStr">
        <is>
          <t>경상남도 창원시 성산구 내동 456-17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성산구</t>
        </is>
      </c>
      <c r="AE129" s="0" t="inlineStr">
        <is>
          <t>내동</t>
        </is>
      </c>
      <c r="AG129" s="0" t="inlineStr">
        <is>
          <t>경상남도 창원시 성산구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[내동]</t>
        </is>
      </c>
      <c r="B130" s="0" t="n">
        <v>15729</v>
      </c>
      <c r="C130" s="0" t="n">
        <v>4</v>
      </c>
      <c r="D130" s="0" t="inlineStr">
        <is>
          <t>상가</t>
        </is>
      </c>
      <c r="E130" s="0" t="inlineStr">
        <is>
          <t>1976.03.</t>
        </is>
      </c>
      <c r="F130" s="0" t="n">
        <v>136</v>
      </c>
      <c r="G130" s="0" t="n">
        <v>12.8</v>
      </c>
      <c r="H130" s="0" t="n">
        <v>42.32</v>
      </c>
      <c r="I130" s="0" t="n">
        <v>12.8</v>
      </c>
      <c r="J130" s="0" t="n">
        <v>42.32</v>
      </c>
      <c r="K130" s="0" t="n">
        <v>3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42E</t>
        </is>
      </c>
      <c r="X130" s="0" t="n">
        <v>5</v>
      </c>
      <c r="Y130" s="0" t="n">
        <v>5</v>
      </c>
      <c r="Z130" s="0" t="inlineStr">
        <is>
          <t>https://new.land.naver.com/complexes/15729?tab=detail&amp;rf=Y</t>
        </is>
      </c>
      <c r="AA130" s="0" t="inlineStr">
        <is>
          <t>경상남도 창원시 성산구 내동 456-17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성산구</t>
        </is>
      </c>
      <c r="AE130" s="0" t="inlineStr">
        <is>
          <t>내동</t>
        </is>
      </c>
      <c r="AG130" s="0" t="inlineStr">
        <is>
          <t>경상남도 창원시 성산구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[내동]</t>
        </is>
      </c>
      <c r="B131" s="0" t="n">
        <v>15729</v>
      </c>
      <c r="C131" s="0" t="n">
        <v>5</v>
      </c>
      <c r="D131" s="0" t="inlineStr">
        <is>
          <t>상가</t>
        </is>
      </c>
      <c r="E131" s="0" t="inlineStr">
        <is>
          <t>1976.03.</t>
        </is>
      </c>
      <c r="F131" s="0" t="n">
        <v>136</v>
      </c>
      <c r="G131" s="0" t="n">
        <v>14.19</v>
      </c>
      <c r="H131" s="0" t="n">
        <v>46.94</v>
      </c>
      <c r="I131" s="0" t="n">
        <v>14.19</v>
      </c>
      <c r="J131" s="0" t="n">
        <v>46.94</v>
      </c>
      <c r="K131" s="0" t="n">
        <v>48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46</v>
      </c>
      <c r="X131" s="0" t="n">
        <v>5</v>
      </c>
      <c r="Y131" s="0" t="n">
        <v>5</v>
      </c>
      <c r="Z131" s="0" t="inlineStr">
        <is>
          <t>https://new.land.naver.com/complexes/15729?tab=detail&amp;rf=Y</t>
        </is>
      </c>
      <c r="AA131" s="0" t="inlineStr">
        <is>
          <t>경상남도 창원시 성산구 내동 456-17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성산구</t>
        </is>
      </c>
      <c r="AE131" s="0" t="inlineStr">
        <is>
          <t>내동</t>
        </is>
      </c>
      <c r="AG131" s="0" t="inlineStr">
        <is>
          <t>경상남도 창원시 성산구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[내동]</t>
        </is>
      </c>
      <c r="B132" s="0" t="n">
        <v>15729</v>
      </c>
      <c r="C132" s="0" t="n">
        <v>6</v>
      </c>
      <c r="D132" s="0" t="inlineStr">
        <is>
          <t>상가</t>
        </is>
      </c>
      <c r="E132" s="0" t="inlineStr">
        <is>
          <t>1976.03.</t>
        </is>
      </c>
      <c r="F132" s="0" t="n">
        <v>136</v>
      </c>
      <c r="G132" s="0" t="n">
        <v>14.8</v>
      </c>
      <c r="H132" s="0" t="n">
        <v>48.93</v>
      </c>
      <c r="I132" s="0" t="n">
        <v>14.8</v>
      </c>
      <c r="J132" s="0" t="n">
        <v>48.93</v>
      </c>
      <c r="K132" s="0" t="n">
        <v>14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48B</t>
        </is>
      </c>
      <c r="X132" s="0" t="n">
        <v>5</v>
      </c>
      <c r="Y132" s="0" t="n">
        <v>5</v>
      </c>
      <c r="Z132" s="0" t="inlineStr">
        <is>
          <t>https://new.land.naver.com/complexes/15729?tab=detail&amp;rf=Y</t>
        </is>
      </c>
      <c r="AA132" s="0" t="inlineStr">
        <is>
          <t>경상남도 창원시 성산구 내동 456-17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성산구</t>
        </is>
      </c>
      <c r="AE132" s="0" t="inlineStr">
        <is>
          <t>내동</t>
        </is>
      </c>
      <c r="AG132" s="0" t="inlineStr">
        <is>
          <t>경상남도 창원시 성산구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[내동]</t>
        </is>
      </c>
      <c r="B133" s="0" t="n">
        <v>15729</v>
      </c>
      <c r="C133" s="0" t="n">
        <v>7</v>
      </c>
      <c r="D133" s="0" t="inlineStr">
        <is>
          <t>상가</t>
        </is>
      </c>
      <c r="E133" s="0" t="inlineStr">
        <is>
          <t>1976.03.</t>
        </is>
      </c>
      <c r="F133" s="0" t="n">
        <v>136</v>
      </c>
      <c r="G133" s="0" t="n">
        <v>14.79</v>
      </c>
      <c r="H133" s="0" t="n">
        <v>48.92</v>
      </c>
      <c r="I133" s="0" t="n">
        <v>14.79</v>
      </c>
      <c r="J133" s="0" t="n">
        <v>48.92</v>
      </c>
      <c r="K133" s="0" t="n">
        <v>2</v>
      </c>
      <c r="T133" s="0" t="n">
        <v>2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5</v>
      </c>
      <c r="Y133" s="0" t="n">
        <v>5</v>
      </c>
      <c r="Z133" s="0" t="inlineStr">
        <is>
          <t>https://new.land.naver.com/complexes/15729?tab=detail&amp;rf=Y</t>
        </is>
      </c>
      <c r="AA133" s="0" t="inlineStr">
        <is>
          <t>경상남도 창원시 성산구 내동 456-17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성산구</t>
        </is>
      </c>
      <c r="AE133" s="0" t="inlineStr">
        <is>
          <t>내동</t>
        </is>
      </c>
      <c r="AG133" s="0" t="inlineStr">
        <is>
          <t>경상남도 창원시 성산구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[내동]</t>
        </is>
      </c>
      <c r="B134" s="0" t="n">
        <v>15729</v>
      </c>
      <c r="C134" s="0" t="n">
        <v>8</v>
      </c>
      <c r="D134" s="0" t="inlineStr">
        <is>
          <t>상가</t>
        </is>
      </c>
      <c r="E134" s="0" t="inlineStr">
        <is>
          <t>1976.03.</t>
        </is>
      </c>
      <c r="F134" s="0" t="n">
        <v>136</v>
      </c>
      <c r="G134" s="0" t="n">
        <v>18.3</v>
      </c>
      <c r="H134" s="0" t="n">
        <v>60.5</v>
      </c>
      <c r="I134" s="0" t="n">
        <v>18.3</v>
      </c>
      <c r="J134" s="0" t="n">
        <v>60.5</v>
      </c>
      <c r="K134" s="0" t="n">
        <v>24</v>
      </c>
      <c r="T134" s="0" t="n">
        <v>2</v>
      </c>
      <c r="U134" s="0" t="n">
        <v>1</v>
      </c>
      <c r="V134" s="0" t="inlineStr">
        <is>
          <t>복도식</t>
        </is>
      </c>
      <c r="W134" s="0" t="n">
        <v>60</v>
      </c>
      <c r="X134" s="0" t="n">
        <v>5</v>
      </c>
      <c r="Y134" s="0" t="n">
        <v>5</v>
      </c>
      <c r="Z134" s="0" t="inlineStr">
        <is>
          <t>https://new.land.naver.com/complexes/15729?tab=detail&amp;rf=Y</t>
        </is>
      </c>
      <c r="AA134" s="0" t="inlineStr">
        <is>
          <t>경상남도 창원시 성산구 내동 456-17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성산구</t>
        </is>
      </c>
      <c r="AE134" s="0" t="inlineStr">
        <is>
          <t>내동</t>
        </is>
      </c>
      <c r="AG134" s="0" t="inlineStr">
        <is>
          <t>경상남도 창원시 성산구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[내동]</t>
        </is>
      </c>
      <c r="B135" s="0" t="n">
        <v>15736</v>
      </c>
      <c r="C135" s="0" t="n">
        <v>1</v>
      </c>
      <c r="D135" s="0" t="inlineStr">
        <is>
          <t>내동주공1단지</t>
        </is>
      </c>
      <c r="E135" s="0" t="inlineStr">
        <is>
          <t>1977.01.</t>
        </is>
      </c>
      <c r="F135" s="0" t="n">
        <v>200</v>
      </c>
      <c r="G135" s="0" t="n">
        <v>15.17</v>
      </c>
      <c r="H135" s="0" t="n">
        <v>50.15</v>
      </c>
      <c r="I135" s="0" t="n">
        <v>14.97</v>
      </c>
      <c r="J135" s="0" t="n">
        <v>49.49</v>
      </c>
      <c r="K135" s="0" t="n">
        <v>200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50</v>
      </c>
      <c r="X135" s="0" t="n">
        <v>5</v>
      </c>
      <c r="Y135" s="0" t="n">
        <v>5</v>
      </c>
      <c r="Z135" s="0" t="inlineStr">
        <is>
          <t>https://new.land.naver.com/complexes/15736?tab=detail&amp;rf=Y</t>
        </is>
      </c>
      <c r="AA135" s="0" t="inlineStr">
        <is>
          <t>경상남도 창원시 성산구 내동 454-9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성산구</t>
        </is>
      </c>
      <c r="AE135" s="0" t="inlineStr">
        <is>
          <t>내동</t>
        </is>
      </c>
      <c r="AG135" s="0" t="inlineStr">
        <is>
          <t>경상남도 창원시 성산구 삼동로128번길 62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[내동]</t>
        </is>
      </c>
      <c r="B136" s="0" t="n">
        <v>10888</v>
      </c>
      <c r="C136" s="0" t="n">
        <v>1</v>
      </c>
      <c r="D136" s="0" t="inlineStr">
        <is>
          <t>창원월드메르디앙웨스턴애비뉴</t>
        </is>
      </c>
      <c r="E136" s="0" t="inlineStr">
        <is>
          <t>2009.02.</t>
        </is>
      </c>
      <c r="F136" s="0" t="n">
        <v>504</v>
      </c>
      <c r="G136" s="0" t="n">
        <v>23.45</v>
      </c>
      <c r="H136" s="0" t="n">
        <v>77.55</v>
      </c>
      <c r="I136" s="0" t="n">
        <v>18.12</v>
      </c>
      <c r="J136" s="0" t="n">
        <v>59.92</v>
      </c>
      <c r="K136" s="0" t="n">
        <v>180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77</v>
      </c>
      <c r="X136" s="0" t="n">
        <v>15</v>
      </c>
      <c r="Y136" s="0" t="n">
        <v>14</v>
      </c>
      <c r="Z136" s="0" t="inlineStr">
        <is>
          <t>https://new.land.naver.com/complexes/10888?tab=detail&amp;rf=Y</t>
        </is>
      </c>
      <c r="AA136" s="0" t="inlineStr">
        <is>
          <t>경상남도 창원시 성산구 내동 452-14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성산구</t>
        </is>
      </c>
      <c r="AE136" s="0" t="inlineStr">
        <is>
          <t>내동</t>
        </is>
      </c>
      <c r="AG136" s="0" t="inlineStr">
        <is>
          <t>경상남도 창원시 성산구 삼동로128번길 24</t>
        </is>
      </c>
      <c r="AH136" s="0" t="n">
        <v>0</v>
      </c>
      <c r="AI136" s="0" t="n">
        <v>244</v>
      </c>
      <c r="AJ136" s="0" t="n">
        <v>21</v>
      </c>
      <c r="AK136" s="0" t="n">
        <v>577</v>
      </c>
      <c r="AL136" s="0" t="n">
        <v>1.14</v>
      </c>
    </row>
    <row r="137">
      <c r="A137" s="0" t="inlineStr">
        <is>
          <t>[내동]</t>
        </is>
      </c>
      <c r="B137" s="0" t="n">
        <v>10888</v>
      </c>
      <c r="C137" s="0" t="n">
        <v>2</v>
      </c>
      <c r="D137" s="0" t="inlineStr">
        <is>
          <t>창원월드메르디앙웨스턴애비뉴</t>
        </is>
      </c>
      <c r="E137" s="0" t="inlineStr">
        <is>
          <t>2009.02.</t>
        </is>
      </c>
      <c r="F137" s="0" t="n">
        <v>504</v>
      </c>
      <c r="G137" s="0" t="n">
        <v>32.56</v>
      </c>
      <c r="H137" s="0" t="n">
        <v>107.65</v>
      </c>
      <c r="I137" s="0" t="n">
        <v>25.57</v>
      </c>
      <c r="J137" s="0" t="n">
        <v>84.55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107A</t>
        </is>
      </c>
      <c r="X137" s="0" t="n">
        <v>15</v>
      </c>
      <c r="Y137" s="0" t="n">
        <v>14</v>
      </c>
      <c r="Z137" s="0" t="inlineStr">
        <is>
          <t>https://new.land.naver.com/complexes/10888?tab=detail&amp;rf=Y</t>
        </is>
      </c>
      <c r="AA137" s="0" t="inlineStr">
        <is>
          <t>경상남도 창원시 성산구 내동 452-14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성산구</t>
        </is>
      </c>
      <c r="AE137" s="0" t="inlineStr">
        <is>
          <t>내동</t>
        </is>
      </c>
      <c r="AG137" s="0" t="inlineStr">
        <is>
          <t>경상남도 창원시 성산구 삼동로128번길 24</t>
        </is>
      </c>
      <c r="AH137" s="0" t="n">
        <v>0</v>
      </c>
      <c r="AI137" s="0" t="n">
        <v>244</v>
      </c>
      <c r="AJ137" s="0" t="n">
        <v>21</v>
      </c>
      <c r="AK137" s="0" t="n">
        <v>577</v>
      </c>
      <c r="AL137" s="0" t="n">
        <v>1.14</v>
      </c>
    </row>
    <row r="138">
      <c r="A138" s="0" t="inlineStr">
        <is>
          <t>[내동]</t>
        </is>
      </c>
      <c r="B138" s="0" t="n">
        <v>10888</v>
      </c>
      <c r="C138" s="0" t="n">
        <v>3</v>
      </c>
      <c r="D138" s="0" t="inlineStr">
        <is>
          <t>창원월드메르디앙웨스턴애비뉴</t>
        </is>
      </c>
      <c r="E138" s="0" t="inlineStr">
        <is>
          <t>2009.02.</t>
        </is>
      </c>
      <c r="F138" s="0" t="n">
        <v>504</v>
      </c>
      <c r="G138" s="0" t="n">
        <v>32.89</v>
      </c>
      <c r="H138" s="0" t="n">
        <v>108.74</v>
      </c>
      <c r="I138" s="0" t="n">
        <v>25.67</v>
      </c>
      <c r="J138" s="0" t="n">
        <v>84.88</v>
      </c>
      <c r="K138" s="0" t="n">
        <v>90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108B</t>
        </is>
      </c>
      <c r="X138" s="0" t="n">
        <v>15</v>
      </c>
      <c r="Y138" s="0" t="n">
        <v>14</v>
      </c>
      <c r="Z138" s="0" t="inlineStr">
        <is>
          <t>https://new.land.naver.com/complexes/10888?tab=detail&amp;rf=Y</t>
        </is>
      </c>
      <c r="AA138" s="0" t="inlineStr">
        <is>
          <t>경상남도 창원시 성산구 내동 452-14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성산구</t>
        </is>
      </c>
      <c r="AE138" s="0" t="inlineStr">
        <is>
          <t>내동</t>
        </is>
      </c>
      <c r="AG138" s="0" t="inlineStr">
        <is>
          <t>경상남도 창원시 성산구 삼동로128번길 24</t>
        </is>
      </c>
      <c r="AH138" s="0" t="n">
        <v>0</v>
      </c>
      <c r="AI138" s="0" t="n">
        <v>244</v>
      </c>
      <c r="AJ138" s="0" t="n">
        <v>21</v>
      </c>
      <c r="AK138" s="0" t="n">
        <v>577</v>
      </c>
      <c r="AL138" s="0" t="n">
        <v>1.14</v>
      </c>
    </row>
    <row r="139">
      <c r="A139" s="0" t="inlineStr">
        <is>
          <t>[내동]</t>
        </is>
      </c>
      <c r="B139" s="0" t="n">
        <v>10888</v>
      </c>
      <c r="C139" s="0" t="n">
        <v>4</v>
      </c>
      <c r="D139" s="0" t="inlineStr">
        <is>
          <t>창원월드메르디앙웨스턴애비뉴</t>
        </is>
      </c>
      <c r="E139" s="0" t="inlineStr">
        <is>
          <t>2009.02.</t>
        </is>
      </c>
      <c r="F139" s="0" t="n">
        <v>504</v>
      </c>
      <c r="G139" s="0" t="n">
        <v>43.53</v>
      </c>
      <c r="H139" s="0" t="n">
        <v>143.91</v>
      </c>
      <c r="I139" s="0" t="n">
        <v>34.91</v>
      </c>
      <c r="J139" s="0" t="n">
        <v>115.43</v>
      </c>
      <c r="K139" s="0" t="n">
        <v>52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143</v>
      </c>
      <c r="X139" s="0" t="n">
        <v>15</v>
      </c>
      <c r="Y139" s="0" t="n">
        <v>14</v>
      </c>
      <c r="Z139" s="0" t="inlineStr">
        <is>
          <t>https://new.land.naver.com/complexes/10888?tab=detail&amp;rf=Y</t>
        </is>
      </c>
      <c r="AA139" s="0" t="inlineStr">
        <is>
          <t>경상남도 창원시 성산구 내동 452-14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성산구</t>
        </is>
      </c>
      <c r="AE139" s="0" t="inlineStr">
        <is>
          <t>내동</t>
        </is>
      </c>
      <c r="AG139" s="0" t="inlineStr">
        <is>
          <t>경상남도 창원시 성산구 삼동로128번길 24</t>
        </is>
      </c>
      <c r="AH139" s="0" t="n">
        <v>0</v>
      </c>
      <c r="AI139" s="0" t="n">
        <v>244</v>
      </c>
      <c r="AJ139" s="0" t="n">
        <v>21</v>
      </c>
      <c r="AK139" s="0" t="n">
        <v>577</v>
      </c>
      <c r="AL139" s="0" t="n">
        <v>1.14</v>
      </c>
    </row>
    <row r="140">
      <c r="A140" s="0" t="inlineStr">
        <is>
          <t>[내동]</t>
        </is>
      </c>
      <c r="B140" s="0" t="n">
        <v>16773</v>
      </c>
      <c r="C140" s="0" t="n">
        <v>1</v>
      </c>
      <c r="D140" s="0" t="inlineStr">
        <is>
          <t>삼미종합특수강</t>
        </is>
      </c>
      <c r="E140" s="0" t="inlineStr">
        <is>
          <t>1976.12.</t>
        </is>
      </c>
      <c r="F140" s="0" t="n">
        <v>100</v>
      </c>
      <c r="G140" s="0" t="n">
        <v>20.99</v>
      </c>
      <c r="H140" s="0" t="n">
        <v>69.42</v>
      </c>
      <c r="I140" s="0" t="n">
        <v>16.31</v>
      </c>
      <c r="J140" s="0" t="n">
        <v>53.95</v>
      </c>
      <c r="K140" s="0" t="n">
        <v>50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69</v>
      </c>
      <c r="X140" s="0" t="n">
        <v>5</v>
      </c>
      <c r="Y140" s="0" t="n">
        <v>5</v>
      </c>
      <c r="Z140" s="0" t="inlineStr">
        <is>
          <t>https://new.land.naver.com/complexes/16773?tab=detail&amp;rf=Y</t>
        </is>
      </c>
      <c r="AA140" s="0" t="inlineStr">
        <is>
          <t>경상남도 창원시 성산구 내동 454-11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성산구</t>
        </is>
      </c>
      <c r="AE140" s="0" t="inlineStr">
        <is>
          <t>내동</t>
        </is>
      </c>
      <c r="AG140" s="0" t="inlineStr">
        <is>
          <t>경상남도 창원시 성산구 연덕로 183</t>
        </is>
      </c>
      <c r="AH140" s="0" t="n">
        <v>0</v>
      </c>
      <c r="AI140" s="0" t="n">
        <v>138</v>
      </c>
      <c r="AJ140" s="0" t="n">
        <v>40</v>
      </c>
      <c r="AK140" s="0" t="n">
        <v>0</v>
      </c>
      <c r="AL140" s="0" t="n">
        <v>0</v>
      </c>
    </row>
    <row r="141">
      <c r="A141" s="0" t="inlineStr">
        <is>
          <t>[내동]</t>
        </is>
      </c>
      <c r="B141" s="0" t="n">
        <v>16773</v>
      </c>
      <c r="C141" s="0" t="n">
        <v>2</v>
      </c>
      <c r="D141" s="0" t="inlineStr">
        <is>
          <t>삼미종합특수강</t>
        </is>
      </c>
      <c r="E141" s="0" t="inlineStr">
        <is>
          <t>1976.12.</t>
        </is>
      </c>
      <c r="F141" s="0" t="n">
        <v>100</v>
      </c>
      <c r="G141" s="0" t="n">
        <v>22</v>
      </c>
      <c r="H141" s="0" t="n">
        <v>72.73</v>
      </c>
      <c r="I141" s="0" t="n">
        <v>19.7</v>
      </c>
      <c r="J141" s="0" t="n">
        <v>65.15000000000001</v>
      </c>
      <c r="K141" s="0" t="n">
        <v>50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72</v>
      </c>
      <c r="X141" s="0" t="n">
        <v>5</v>
      </c>
      <c r="Y141" s="0" t="n">
        <v>5</v>
      </c>
      <c r="Z141" s="0" t="inlineStr">
        <is>
          <t>https://new.land.naver.com/complexes/16773?tab=detail&amp;rf=Y</t>
        </is>
      </c>
      <c r="AA141" s="0" t="inlineStr">
        <is>
          <t>경상남도 창원시 성산구 내동 454-11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성산구</t>
        </is>
      </c>
      <c r="AE141" s="0" t="inlineStr">
        <is>
          <t>내동</t>
        </is>
      </c>
      <c r="AG141" s="0" t="inlineStr">
        <is>
          <t>경상남도 창원시 성산구 연덕로 183</t>
        </is>
      </c>
      <c r="AH141" s="0" t="n">
        <v>0</v>
      </c>
      <c r="AI141" s="0" t="n">
        <v>138</v>
      </c>
      <c r="AJ141" s="0" t="n">
        <v>40</v>
      </c>
      <c r="AK141" s="0" t="n">
        <v>0</v>
      </c>
      <c r="AL141" s="0" t="n">
        <v>0</v>
      </c>
    </row>
    <row r="142">
      <c r="A142" s="0" t="inlineStr">
        <is>
          <t>[내동]</t>
        </is>
      </c>
      <c r="B142" s="0" t="n">
        <v>101100</v>
      </c>
      <c r="C142" s="0" t="n">
        <v>1</v>
      </c>
      <c r="D142" s="0" t="inlineStr">
        <is>
          <t>한화</t>
        </is>
      </c>
      <c r="E142" s="0" t="inlineStr">
        <is>
          <t>1991.04.</t>
        </is>
      </c>
      <c r="F142" s="0" t="n">
        <v>71</v>
      </c>
      <c r="G142" s="0" t="n">
        <v>21.48</v>
      </c>
      <c r="H142" s="0" t="n">
        <v>71.02</v>
      </c>
      <c r="I142" s="0" t="n">
        <v>17.47</v>
      </c>
      <c r="J142" s="0" t="n">
        <v>57.76</v>
      </c>
      <c r="K142" s="0" t="n">
        <v>51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71</v>
      </c>
      <c r="X142" s="0" t="n">
        <v>6</v>
      </c>
      <c r="Y142" s="0" t="n">
        <v>6</v>
      </c>
      <c r="Z142" s="0" t="inlineStr">
        <is>
          <t>https://new.land.naver.com/complexes/101100?tab=detail&amp;rf=Y</t>
        </is>
      </c>
      <c r="AA142" s="0" t="inlineStr">
        <is>
          <t>경상남도 창원시 성산구 내동 452-2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성산구</t>
        </is>
      </c>
      <c r="AE142" s="0" t="inlineStr">
        <is>
          <t>내동</t>
        </is>
      </c>
      <c r="AG142" s="0" t="inlineStr">
        <is>
          <t>경상남도 창원시 성산구 삼동로128번길 13</t>
        </is>
      </c>
      <c r="AH142" s="0" t="n">
        <v>20</v>
      </c>
      <c r="AI142" s="0" t="n">
        <v>106</v>
      </c>
      <c r="AJ142" s="0" t="n">
        <v>17</v>
      </c>
      <c r="AK142" s="0" t="n">
        <v>0</v>
      </c>
      <c r="AL142" s="0" t="n">
        <v>0</v>
      </c>
    </row>
    <row r="143">
      <c r="A143" s="0" t="inlineStr">
        <is>
          <t>[내동]</t>
        </is>
      </c>
      <c r="B143" s="0" t="n">
        <v>7652</v>
      </c>
      <c r="C143" s="0" t="n">
        <v>1</v>
      </c>
      <c r="D143" s="0" t="inlineStr">
        <is>
          <t>동성샛별타운</t>
        </is>
      </c>
      <c r="E143" s="0" t="inlineStr">
        <is>
          <t>1991.11.</t>
        </is>
      </c>
      <c r="F143" s="0" t="n">
        <v>120</v>
      </c>
      <c r="G143" s="0" t="n">
        <v>27.02</v>
      </c>
      <c r="H143" s="0" t="n">
        <v>89.34999999999999</v>
      </c>
      <c r="I143" s="0" t="n">
        <v>22.27</v>
      </c>
      <c r="J143" s="0" t="n">
        <v>73.65000000000001</v>
      </c>
      <c r="K143" s="0" t="n">
        <v>48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89</v>
      </c>
      <c r="X143" s="0" t="n">
        <v>12</v>
      </c>
      <c r="Y143" s="0" t="n">
        <v>12</v>
      </c>
      <c r="Z143" s="0" t="inlineStr">
        <is>
          <t>https://new.land.naver.com/complexes/7652?tab=detail&amp;rf=Y</t>
        </is>
      </c>
      <c r="AA143" s="0" t="inlineStr">
        <is>
          <t>경상남도 창원시 성산구 내동 456-20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성산구</t>
        </is>
      </c>
      <c r="AE143" s="0" t="inlineStr">
        <is>
          <t>내동</t>
        </is>
      </c>
      <c r="AG143" s="0" t="inlineStr">
        <is>
          <t>경상남도 창원시 성산구 연덕로184번길 1</t>
        </is>
      </c>
      <c r="AH143" s="0" t="n">
        <v>0</v>
      </c>
      <c r="AI143" s="0" t="n">
        <v>244</v>
      </c>
      <c r="AJ143" s="0" t="n">
        <v>28</v>
      </c>
      <c r="AK143" s="0" t="n">
        <v>120</v>
      </c>
      <c r="AL143" s="0" t="n">
        <v>1</v>
      </c>
    </row>
    <row r="144">
      <c r="A144" s="0" t="inlineStr">
        <is>
          <t>[내동]</t>
        </is>
      </c>
      <c r="B144" s="0" t="n">
        <v>7652</v>
      </c>
      <c r="C144" s="0" t="n">
        <v>2</v>
      </c>
      <c r="D144" s="0" t="inlineStr">
        <is>
          <t>동성샛별타운</t>
        </is>
      </c>
      <c r="E144" s="0" t="inlineStr">
        <is>
          <t>1991.11.</t>
        </is>
      </c>
      <c r="F144" s="0" t="n">
        <v>120</v>
      </c>
      <c r="G144" s="0" t="n">
        <v>31.13</v>
      </c>
      <c r="H144" s="0" t="n">
        <v>102.94</v>
      </c>
      <c r="I144" s="0" t="n">
        <v>25.67</v>
      </c>
      <c r="J144" s="0" t="n">
        <v>84.89</v>
      </c>
      <c r="K144" s="0" t="n">
        <v>72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102</v>
      </c>
      <c r="X144" s="0" t="n">
        <v>12</v>
      </c>
      <c r="Y144" s="0" t="n">
        <v>12</v>
      </c>
      <c r="Z144" s="0" t="inlineStr">
        <is>
          <t>https://new.land.naver.com/complexes/7652?tab=detail&amp;rf=Y</t>
        </is>
      </c>
      <c r="AA144" s="0" t="inlineStr">
        <is>
          <t>경상남도 창원시 성산구 내동 456-20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성산구</t>
        </is>
      </c>
      <c r="AE144" s="0" t="inlineStr">
        <is>
          <t>내동</t>
        </is>
      </c>
      <c r="AG144" s="0" t="inlineStr">
        <is>
          <t>경상남도 창원시 성산구 연덕로184번길 1</t>
        </is>
      </c>
      <c r="AH144" s="0" t="n">
        <v>0</v>
      </c>
      <c r="AI144" s="0" t="n">
        <v>244</v>
      </c>
      <c r="AJ144" s="0" t="n">
        <v>28</v>
      </c>
      <c r="AK144" s="0" t="n">
        <v>120</v>
      </c>
      <c r="AL144" s="0" t="n">
        <v>1</v>
      </c>
    </row>
    <row r="145">
      <c r="A145" s="0" t="inlineStr">
        <is>
          <t>[내동]</t>
        </is>
      </c>
      <c r="B145" s="0" t="n">
        <v>100884</v>
      </c>
      <c r="C145" s="0" t="n">
        <v>1</v>
      </c>
      <c r="D145" s="0" t="inlineStr">
        <is>
          <t>대동화천</t>
        </is>
      </c>
      <c r="E145" s="0" t="inlineStr">
        <is>
          <t>1990.10.</t>
        </is>
      </c>
      <c r="F145" s="0" t="n">
        <v>80</v>
      </c>
      <c r="G145" s="0" t="n">
        <v>19.96</v>
      </c>
      <c r="H145" s="0" t="n">
        <v>66.01000000000001</v>
      </c>
      <c r="I145" s="0" t="n">
        <v>16.8</v>
      </c>
      <c r="J145" s="0" t="n">
        <v>55.55</v>
      </c>
      <c r="K145" s="0" t="n">
        <v>80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66</v>
      </c>
      <c r="X145" s="0" t="n">
        <v>5</v>
      </c>
      <c r="Y145" s="0" t="n">
        <v>5</v>
      </c>
      <c r="Z145" s="0" t="inlineStr">
        <is>
          <t>https://new.land.naver.com/complexes/100884?tab=detail&amp;rf=Y</t>
        </is>
      </c>
      <c r="AA145" s="0" t="inlineStr">
        <is>
          <t>경상남도 창원시 성산구 내동 452-20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성산구</t>
        </is>
      </c>
      <c r="AE145" s="0" t="inlineStr">
        <is>
          <t>내동</t>
        </is>
      </c>
      <c r="AG145" s="0" t="inlineStr">
        <is>
          <t>경상남도 창원시 성산구 삼동로128번길 49</t>
        </is>
      </c>
      <c r="AH145" s="0" t="n">
        <v>0</v>
      </c>
      <c r="AI145" s="0" t="n">
        <v>92</v>
      </c>
      <c r="AJ145" s="0" t="n">
        <v>18</v>
      </c>
      <c r="AK145" s="0" t="n">
        <v>0</v>
      </c>
      <c r="AL145" s="0" t="n">
        <v>0</v>
      </c>
    </row>
    <row r="146">
      <c r="A146" s="0" t="inlineStr">
        <is>
          <t>[대방동]</t>
        </is>
      </c>
      <c r="B146" s="0" t="n">
        <v>7685</v>
      </c>
      <c r="C146" s="0" t="n">
        <v>1</v>
      </c>
      <c r="D146" s="0" t="inlineStr">
        <is>
          <t>대방덕산타운2차</t>
        </is>
      </c>
      <c r="E146" s="0" t="inlineStr">
        <is>
          <t>1996.02.</t>
        </is>
      </c>
      <c r="F146" s="0" t="n">
        <v>586</v>
      </c>
      <c r="G146" s="0" t="n">
        <v>23.8</v>
      </c>
      <c r="H146" s="0" t="n">
        <v>78.70999999999999</v>
      </c>
      <c r="I146" s="0" t="n">
        <v>18.11</v>
      </c>
      <c r="J146" s="0" t="n">
        <v>59.88</v>
      </c>
      <c r="K146" s="0" t="n">
        <v>238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78</v>
      </c>
      <c r="X146" s="0" t="n">
        <v>20</v>
      </c>
      <c r="Y146" s="0" t="n">
        <v>16</v>
      </c>
      <c r="Z146" s="0" t="inlineStr">
        <is>
          <t>https://new.land.naver.com/complexes/7685?tab=detail&amp;rf=Y</t>
        </is>
      </c>
      <c r="AA146" s="0" t="inlineStr">
        <is>
          <t>경상남도 창원시 성산구 대방동 375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성산구</t>
        </is>
      </c>
      <c r="AE146" s="0" t="inlineStr">
        <is>
          <t>대방동</t>
        </is>
      </c>
      <c r="AG146" s="0" t="inlineStr">
        <is>
          <t>경상남도 창원시 성산구 대암로 272</t>
        </is>
      </c>
      <c r="AH146" s="0" t="n">
        <v>0</v>
      </c>
      <c r="AI146" s="0" t="n">
        <v>247</v>
      </c>
      <c r="AJ146" s="0" t="n">
        <v>19</v>
      </c>
      <c r="AK146" s="0" t="n">
        <v>410</v>
      </c>
      <c r="AL146" s="0" t="n">
        <v>0.7</v>
      </c>
    </row>
    <row r="147">
      <c r="A147" s="0" t="inlineStr">
        <is>
          <t>[대방동]</t>
        </is>
      </c>
      <c r="B147" s="0" t="n">
        <v>7685</v>
      </c>
      <c r="C147" s="0" t="n">
        <v>2</v>
      </c>
      <c r="D147" s="0" t="inlineStr">
        <is>
          <t>대방덕산타운2차</t>
        </is>
      </c>
      <c r="E147" s="0" t="inlineStr">
        <is>
          <t>1996.02.</t>
        </is>
      </c>
      <c r="F147" s="0" t="n">
        <v>586</v>
      </c>
      <c r="G147" s="0" t="n">
        <v>27.61</v>
      </c>
      <c r="H147" s="0" t="n">
        <v>91.28</v>
      </c>
      <c r="I147" s="0" t="n">
        <v>21.72</v>
      </c>
      <c r="J147" s="0" t="n">
        <v>71.81999999999999</v>
      </c>
      <c r="K147" s="0" t="n">
        <v>120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91</v>
      </c>
      <c r="X147" s="0" t="n">
        <v>20</v>
      </c>
      <c r="Y147" s="0" t="n">
        <v>16</v>
      </c>
      <c r="Z147" s="0" t="inlineStr">
        <is>
          <t>https://new.land.naver.com/complexes/7685?tab=detail&amp;rf=Y</t>
        </is>
      </c>
      <c r="AA147" s="0" t="inlineStr">
        <is>
          <t>경상남도 창원시 성산구 대방동 375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성산구</t>
        </is>
      </c>
      <c r="AE147" s="0" t="inlineStr">
        <is>
          <t>대방동</t>
        </is>
      </c>
      <c r="AG147" s="0" t="inlineStr">
        <is>
          <t>경상남도 창원시 성산구 대암로 272</t>
        </is>
      </c>
      <c r="AH147" s="0" t="n">
        <v>0</v>
      </c>
      <c r="AI147" s="0" t="n">
        <v>247</v>
      </c>
      <c r="AJ147" s="0" t="n">
        <v>19</v>
      </c>
      <c r="AK147" s="0" t="n">
        <v>410</v>
      </c>
      <c r="AL147" s="0" t="n">
        <v>0.7</v>
      </c>
    </row>
    <row r="148">
      <c r="A148" s="0" t="inlineStr">
        <is>
          <t>[대방동]</t>
        </is>
      </c>
      <c r="B148" s="0" t="n">
        <v>7685</v>
      </c>
      <c r="C148" s="0" t="n">
        <v>3</v>
      </c>
      <c r="D148" s="0" t="inlineStr">
        <is>
          <t>대방덕산타운2차</t>
        </is>
      </c>
      <c r="E148" s="0" t="inlineStr">
        <is>
          <t>1996.02.</t>
        </is>
      </c>
      <c r="F148" s="0" t="n">
        <v>586</v>
      </c>
      <c r="G148" s="0" t="n">
        <v>31.94</v>
      </c>
      <c r="H148" s="0" t="n">
        <v>105.6</v>
      </c>
      <c r="I148" s="0" t="n">
        <v>25.67</v>
      </c>
      <c r="J148" s="0" t="n">
        <v>84.87</v>
      </c>
      <c r="K148" s="0" t="n">
        <v>228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105</v>
      </c>
      <c r="X148" s="0" t="n">
        <v>20</v>
      </c>
      <c r="Y148" s="0" t="n">
        <v>16</v>
      </c>
      <c r="Z148" s="0" t="inlineStr">
        <is>
          <t>https://new.land.naver.com/complexes/7685?tab=detail&amp;rf=Y</t>
        </is>
      </c>
      <c r="AA148" s="0" t="inlineStr">
        <is>
          <t>경상남도 창원시 성산구 대방동 375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성산구</t>
        </is>
      </c>
      <c r="AE148" s="0" t="inlineStr">
        <is>
          <t>대방동</t>
        </is>
      </c>
      <c r="AG148" s="0" t="inlineStr">
        <is>
          <t>경상남도 창원시 성산구 대암로 272</t>
        </is>
      </c>
      <c r="AH148" s="0" t="n">
        <v>0</v>
      </c>
      <c r="AI148" s="0" t="n">
        <v>247</v>
      </c>
      <c r="AJ148" s="0" t="n">
        <v>19</v>
      </c>
      <c r="AK148" s="0" t="n">
        <v>410</v>
      </c>
      <c r="AL148" s="0" t="n">
        <v>0.7</v>
      </c>
    </row>
    <row r="149">
      <c r="A149" s="0" t="inlineStr">
        <is>
          <t>[대방동]</t>
        </is>
      </c>
      <c r="B149" s="0" t="n">
        <v>7683</v>
      </c>
      <c r="C149" s="0" t="n">
        <v>1</v>
      </c>
      <c r="D149" s="0" t="inlineStr">
        <is>
          <t>대방그린빌</t>
        </is>
      </c>
      <c r="E149" s="0" t="inlineStr">
        <is>
          <t>1996.06.</t>
        </is>
      </c>
      <c r="F149" s="0" t="n">
        <v>834</v>
      </c>
      <c r="G149" s="0" t="n">
        <v>16.48</v>
      </c>
      <c r="H149" s="0" t="n">
        <v>54.49</v>
      </c>
      <c r="I149" s="0" t="n">
        <v>12.01</v>
      </c>
      <c r="J149" s="0" t="n">
        <v>39.71</v>
      </c>
      <c r="K149" s="0" t="n">
        <v>426</v>
      </c>
      <c r="T149" s="0" t="n">
        <v>2</v>
      </c>
      <c r="U149" s="0" t="n">
        <v>1</v>
      </c>
      <c r="V149" s="0" t="inlineStr">
        <is>
          <t>복도식</t>
        </is>
      </c>
      <c r="W149" s="0" t="n">
        <v>54</v>
      </c>
      <c r="X149" s="0" t="n">
        <v>20</v>
      </c>
      <c r="Y149" s="0" t="n">
        <v>18</v>
      </c>
      <c r="Z149" s="0" t="inlineStr">
        <is>
          <t>https://new.land.naver.com/complexes/7683?tab=detail&amp;rf=Y</t>
        </is>
      </c>
      <c r="AA149" s="0" t="inlineStr">
        <is>
          <t>경상남도 창원시 성산구 대방동 376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성산구</t>
        </is>
      </c>
      <c r="AE149" s="0" t="inlineStr">
        <is>
          <t>대방동</t>
        </is>
      </c>
      <c r="AG149" s="0" t="inlineStr">
        <is>
          <t>경상남도 창원시 성산구 창이대로901번길 30</t>
        </is>
      </c>
      <c r="AH149" s="0" t="n">
        <v>0</v>
      </c>
      <c r="AI149" s="0" t="n">
        <v>24</v>
      </c>
      <c r="AJ149" s="0" t="n">
        <v>20</v>
      </c>
      <c r="AK149" s="0" t="n">
        <v>347</v>
      </c>
      <c r="AL149" s="0" t="n">
        <v>0.42</v>
      </c>
    </row>
    <row r="150">
      <c r="A150" s="0" t="inlineStr">
        <is>
          <t>[대방동]</t>
        </is>
      </c>
      <c r="B150" s="0" t="n">
        <v>7683</v>
      </c>
      <c r="C150" s="0" t="n">
        <v>2</v>
      </c>
      <c r="D150" s="0" t="inlineStr">
        <is>
          <t>대방그린빌</t>
        </is>
      </c>
      <c r="E150" s="0" t="inlineStr">
        <is>
          <t>1996.06.</t>
        </is>
      </c>
      <c r="F150" s="0" t="n">
        <v>834</v>
      </c>
      <c r="G150" s="0" t="n">
        <v>20.69</v>
      </c>
      <c r="H150" s="0" t="n">
        <v>68.41</v>
      </c>
      <c r="I150" s="0" t="n">
        <v>15.08</v>
      </c>
      <c r="J150" s="0" t="n">
        <v>49.86</v>
      </c>
      <c r="K150" s="0" t="n">
        <v>408</v>
      </c>
      <c r="T150" s="0" t="n">
        <v>2</v>
      </c>
      <c r="U150" s="0" t="n">
        <v>1</v>
      </c>
      <c r="V150" s="0" t="inlineStr">
        <is>
          <t>복도식</t>
        </is>
      </c>
      <c r="W150" s="0" t="n">
        <v>68</v>
      </c>
      <c r="X150" s="0" t="n">
        <v>20</v>
      </c>
      <c r="Y150" s="0" t="n">
        <v>18</v>
      </c>
      <c r="Z150" s="0" t="inlineStr">
        <is>
          <t>https://new.land.naver.com/complexes/7683?tab=detail&amp;rf=Y</t>
        </is>
      </c>
      <c r="AA150" s="0" t="inlineStr">
        <is>
          <t>경상남도 창원시 성산구 대방동 376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성산구</t>
        </is>
      </c>
      <c r="AE150" s="0" t="inlineStr">
        <is>
          <t>대방동</t>
        </is>
      </c>
      <c r="AG150" s="0" t="inlineStr">
        <is>
          <t>경상남도 창원시 성산구 창이대로901번길 30</t>
        </is>
      </c>
      <c r="AH150" s="0" t="n">
        <v>0</v>
      </c>
      <c r="AI150" s="0" t="n">
        <v>24</v>
      </c>
      <c r="AJ150" s="0" t="n">
        <v>20</v>
      </c>
      <c r="AK150" s="0" t="n">
        <v>347</v>
      </c>
      <c r="AL150" s="0" t="n">
        <v>0.42</v>
      </c>
    </row>
    <row r="151">
      <c r="A151" s="0" t="inlineStr">
        <is>
          <t>[대방동]</t>
        </is>
      </c>
      <c r="B151" s="0" t="n">
        <v>7695</v>
      </c>
      <c r="C151" s="0" t="n">
        <v>1</v>
      </c>
      <c r="D151" s="0" t="inlineStr">
        <is>
          <t>대방덕산타운</t>
        </is>
      </c>
      <c r="E151" s="0" t="inlineStr">
        <is>
          <t>1992.07.</t>
        </is>
      </c>
      <c r="F151" s="0" t="n">
        <v>920</v>
      </c>
      <c r="G151" s="0" t="n">
        <v>21.01</v>
      </c>
      <c r="H151" s="0" t="n">
        <v>69.45999999999999</v>
      </c>
      <c r="I151" s="0" t="n">
        <v>15.1</v>
      </c>
      <c r="J151" s="0" t="n">
        <v>49.94</v>
      </c>
      <c r="K151" s="0" t="n">
        <v>380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69</v>
      </c>
      <c r="X151" s="0" t="n">
        <v>20</v>
      </c>
      <c r="Y151" s="0" t="n">
        <v>15</v>
      </c>
      <c r="Z151" s="0" t="inlineStr">
        <is>
          <t>https://new.land.naver.com/complexes/7695?tab=detail&amp;rf=Y</t>
        </is>
      </c>
      <c r="AA151" s="0" t="inlineStr">
        <is>
          <t>경상남도 창원시 성산구 대방동 356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성산구</t>
        </is>
      </c>
      <c r="AE151" s="0" t="inlineStr">
        <is>
          <t>대방동</t>
        </is>
      </c>
      <c r="AG151" s="0" t="inlineStr">
        <is>
          <t>경상남도 창원시 성산구 대정로 131</t>
        </is>
      </c>
      <c r="AH151" s="0" t="n">
        <v>0</v>
      </c>
      <c r="AI151" s="0" t="n">
        <v>239</v>
      </c>
      <c r="AJ151" s="0" t="n">
        <v>18</v>
      </c>
      <c r="AK151" s="0" t="n">
        <v>429</v>
      </c>
      <c r="AL151" s="0" t="n">
        <v>0.47</v>
      </c>
    </row>
    <row r="152">
      <c r="A152" s="0" t="inlineStr">
        <is>
          <t>[대방동]</t>
        </is>
      </c>
      <c r="B152" s="0" t="n">
        <v>7695</v>
      </c>
      <c r="C152" s="0" t="n">
        <v>2</v>
      </c>
      <c r="D152" s="0" t="inlineStr">
        <is>
          <t>대방덕산타운</t>
        </is>
      </c>
      <c r="E152" s="0" t="inlineStr">
        <is>
          <t>1992.07.</t>
        </is>
      </c>
      <c r="F152" s="0" t="n">
        <v>920</v>
      </c>
      <c r="G152" s="0" t="n">
        <v>22.54</v>
      </c>
      <c r="H152" s="0" t="n">
        <v>74.52</v>
      </c>
      <c r="I152" s="0" t="n">
        <v>18.13</v>
      </c>
      <c r="J152" s="0" t="n">
        <v>59.95</v>
      </c>
      <c r="K152" s="0" t="n">
        <v>150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74A</t>
        </is>
      </c>
      <c r="X152" s="0" t="n">
        <v>20</v>
      </c>
      <c r="Y152" s="0" t="n">
        <v>15</v>
      </c>
      <c r="Z152" s="0" t="inlineStr">
        <is>
          <t>https://new.land.naver.com/complexes/7695?tab=detail&amp;rf=Y</t>
        </is>
      </c>
      <c r="AA152" s="0" t="inlineStr">
        <is>
          <t>경상남도 창원시 성산구 대방동 356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성산구</t>
        </is>
      </c>
      <c r="AE152" s="0" t="inlineStr">
        <is>
          <t>대방동</t>
        </is>
      </c>
      <c r="AG152" s="0" t="inlineStr">
        <is>
          <t>경상남도 창원시 성산구 대정로 131</t>
        </is>
      </c>
      <c r="AH152" s="0" t="n">
        <v>0</v>
      </c>
      <c r="AI152" s="0" t="n">
        <v>239</v>
      </c>
      <c r="AJ152" s="0" t="n">
        <v>18</v>
      </c>
      <c r="AK152" s="0" t="n">
        <v>429</v>
      </c>
      <c r="AL152" s="0" t="n">
        <v>0.47</v>
      </c>
    </row>
    <row r="153">
      <c r="A153" s="0" t="inlineStr">
        <is>
          <t>[대방동]</t>
        </is>
      </c>
      <c r="B153" s="0" t="n">
        <v>7695</v>
      </c>
      <c r="C153" s="0" t="n">
        <v>3</v>
      </c>
      <c r="D153" s="0" t="inlineStr">
        <is>
          <t>대방덕산타운</t>
        </is>
      </c>
      <c r="E153" s="0" t="inlineStr">
        <is>
          <t>1992.07.</t>
        </is>
      </c>
      <c r="F153" s="0" t="n">
        <v>920</v>
      </c>
      <c r="G153" s="0" t="n">
        <v>22.79</v>
      </c>
      <c r="H153" s="0" t="n">
        <v>75.36</v>
      </c>
      <c r="I153" s="0" t="n">
        <v>18.14</v>
      </c>
      <c r="J153" s="0" t="n">
        <v>59.99</v>
      </c>
      <c r="K153" s="0" t="n">
        <v>90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75B</t>
        </is>
      </c>
      <c r="X153" s="0" t="n">
        <v>20</v>
      </c>
      <c r="Y153" s="0" t="n">
        <v>15</v>
      </c>
      <c r="Z153" s="0" t="inlineStr">
        <is>
          <t>https://new.land.naver.com/complexes/7695?tab=detail&amp;rf=Y</t>
        </is>
      </c>
      <c r="AA153" s="0" t="inlineStr">
        <is>
          <t>경상남도 창원시 성산구 대방동 356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성산구</t>
        </is>
      </c>
      <c r="AE153" s="0" t="inlineStr">
        <is>
          <t>대방동</t>
        </is>
      </c>
      <c r="AG153" s="0" t="inlineStr">
        <is>
          <t>경상남도 창원시 성산구 대정로 131</t>
        </is>
      </c>
      <c r="AH153" s="0" t="n">
        <v>0</v>
      </c>
      <c r="AI153" s="0" t="n">
        <v>239</v>
      </c>
      <c r="AJ153" s="0" t="n">
        <v>18</v>
      </c>
      <c r="AK153" s="0" t="n">
        <v>429</v>
      </c>
      <c r="AL153" s="0" t="n">
        <v>0.47</v>
      </c>
    </row>
    <row r="154">
      <c r="A154" s="0" t="inlineStr">
        <is>
          <t>[대방동]</t>
        </is>
      </c>
      <c r="B154" s="0" t="n">
        <v>7695</v>
      </c>
      <c r="C154" s="0" t="n">
        <v>4</v>
      </c>
      <c r="D154" s="0" t="inlineStr">
        <is>
          <t>대방덕산타운</t>
        </is>
      </c>
      <c r="E154" s="0" t="inlineStr">
        <is>
          <t>1992.07.</t>
        </is>
      </c>
      <c r="F154" s="0" t="n">
        <v>920</v>
      </c>
      <c r="G154" s="0" t="n">
        <v>30.82</v>
      </c>
      <c r="H154" s="0" t="n">
        <v>101.9</v>
      </c>
      <c r="I154" s="0" t="n">
        <v>25.7</v>
      </c>
      <c r="J154" s="0" t="n">
        <v>84.98</v>
      </c>
      <c r="K154" s="0" t="n">
        <v>240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101</v>
      </c>
      <c r="X154" s="0" t="n">
        <v>20</v>
      </c>
      <c r="Y154" s="0" t="n">
        <v>15</v>
      </c>
      <c r="Z154" s="0" t="inlineStr">
        <is>
          <t>https://new.land.naver.com/complexes/7695?tab=detail&amp;rf=Y</t>
        </is>
      </c>
      <c r="AA154" s="0" t="inlineStr">
        <is>
          <t>경상남도 창원시 성산구 대방동 356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성산구</t>
        </is>
      </c>
      <c r="AE154" s="0" t="inlineStr">
        <is>
          <t>대방동</t>
        </is>
      </c>
      <c r="AG154" s="0" t="inlineStr">
        <is>
          <t>경상남도 창원시 성산구 대정로 131</t>
        </is>
      </c>
      <c r="AH154" s="0" t="n">
        <v>0</v>
      </c>
      <c r="AI154" s="0" t="n">
        <v>239</v>
      </c>
      <c r="AJ154" s="0" t="n">
        <v>18</v>
      </c>
      <c r="AK154" s="0" t="n">
        <v>429</v>
      </c>
      <c r="AL154" s="0" t="n">
        <v>0.47</v>
      </c>
    </row>
    <row r="155">
      <c r="A155" s="0" t="inlineStr">
        <is>
          <t>[대방동]</t>
        </is>
      </c>
      <c r="B155" s="0" t="n">
        <v>7695</v>
      </c>
      <c r="C155" s="0" t="n">
        <v>5</v>
      </c>
      <c r="D155" s="0" t="inlineStr">
        <is>
          <t>대방덕산타운</t>
        </is>
      </c>
      <c r="E155" s="0" t="inlineStr">
        <is>
          <t>1992.07.</t>
        </is>
      </c>
      <c r="F155" s="0" t="n">
        <v>920</v>
      </c>
      <c r="G155" s="0" t="n">
        <v>46.47</v>
      </c>
      <c r="H155" s="0" t="n">
        <v>153.62</v>
      </c>
      <c r="I155" s="0" t="n">
        <v>39.83</v>
      </c>
      <c r="J155" s="0" t="n">
        <v>131.68</v>
      </c>
      <c r="K155" s="0" t="n">
        <v>60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153</v>
      </c>
      <c r="X155" s="0" t="n">
        <v>20</v>
      </c>
      <c r="Y155" s="0" t="n">
        <v>15</v>
      </c>
      <c r="Z155" s="0" t="inlineStr">
        <is>
          <t>https://new.land.naver.com/complexes/7695?tab=detail&amp;rf=Y</t>
        </is>
      </c>
      <c r="AA155" s="0" t="inlineStr">
        <is>
          <t>경상남도 창원시 성산구 대방동 356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성산구</t>
        </is>
      </c>
      <c r="AE155" s="0" t="inlineStr">
        <is>
          <t>대방동</t>
        </is>
      </c>
      <c r="AG155" s="0" t="inlineStr">
        <is>
          <t>경상남도 창원시 성산구 대정로 131</t>
        </is>
      </c>
      <c r="AH155" s="0" t="n">
        <v>0</v>
      </c>
      <c r="AI155" s="0" t="n">
        <v>239</v>
      </c>
      <c r="AJ155" s="0" t="n">
        <v>18</v>
      </c>
      <c r="AK155" s="0" t="n">
        <v>429</v>
      </c>
      <c r="AL155" s="0" t="n">
        <v>0.47</v>
      </c>
    </row>
    <row r="156">
      <c r="A156" s="0" t="inlineStr">
        <is>
          <t>[대방동]</t>
        </is>
      </c>
      <c r="B156" s="0" t="n">
        <v>106374</v>
      </c>
      <c r="C156" s="0" t="n">
        <v>1</v>
      </c>
      <c r="D156" s="0" t="inlineStr">
        <is>
          <t>성원남산3차(301~308동)</t>
        </is>
      </c>
      <c r="E156" s="0" t="inlineStr">
        <is>
          <t>1992.11.</t>
        </is>
      </c>
      <c r="F156" s="0" t="n">
        <v>1397</v>
      </c>
      <c r="G156" s="0" t="n">
        <v>20.81</v>
      </c>
      <c r="H156" s="0" t="n">
        <v>68.81</v>
      </c>
      <c r="I156" s="0" t="n">
        <v>15.02</v>
      </c>
      <c r="J156" s="0" t="n">
        <v>49.68</v>
      </c>
      <c r="K156" s="0" t="n">
        <v>159</v>
      </c>
      <c r="T156" s="0" t="n">
        <v>3</v>
      </c>
      <c r="U156" s="0" t="n">
        <v>1</v>
      </c>
      <c r="V156" s="0" t="inlineStr">
        <is>
          <t>복도식</t>
        </is>
      </c>
      <c r="W156" s="0" t="n">
        <v>68</v>
      </c>
      <c r="X156" s="0" t="n">
        <v>20</v>
      </c>
      <c r="Y156" s="0" t="n">
        <v>20</v>
      </c>
      <c r="Z156" s="0" t="inlineStr">
        <is>
          <t>https://new.land.naver.com/complexes/106374?tab=detail&amp;rf=Y</t>
        </is>
      </c>
      <c r="AA156" s="0" t="inlineStr">
        <is>
          <t>경상남도 창원시 성산구 대방동 355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성산구</t>
        </is>
      </c>
      <c r="AE156" s="0" t="inlineStr">
        <is>
          <t>대방동</t>
        </is>
      </c>
      <c r="AG156" s="0" t="inlineStr">
        <is>
          <t>경상남도 창원시 성산구 대암로 126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[대방동]</t>
        </is>
      </c>
      <c r="B157" s="0" t="n">
        <v>106374</v>
      </c>
      <c r="C157" s="0" t="n">
        <v>2</v>
      </c>
      <c r="D157" s="0" t="inlineStr">
        <is>
          <t>성원남산3차(301~308동)</t>
        </is>
      </c>
      <c r="E157" s="0" t="inlineStr">
        <is>
          <t>1992.11.</t>
        </is>
      </c>
      <c r="F157" s="0" t="n">
        <v>1397</v>
      </c>
      <c r="G157" s="0" t="n">
        <v>24.29</v>
      </c>
      <c r="H157" s="0" t="n">
        <v>80.31999999999999</v>
      </c>
      <c r="I157" s="0" t="n">
        <v>17.95</v>
      </c>
      <c r="J157" s="0" t="n">
        <v>59.34</v>
      </c>
      <c r="K157" s="0" t="n">
        <v>479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20</v>
      </c>
      <c r="Y157" s="0" t="n">
        <v>20</v>
      </c>
      <c r="Z157" s="0" t="inlineStr">
        <is>
          <t>https://new.land.naver.com/complexes/106374?tab=detail&amp;rf=Y</t>
        </is>
      </c>
      <c r="AA157" s="0" t="inlineStr">
        <is>
          <t>경상남도 창원시 성산구 대방동 355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성산구</t>
        </is>
      </c>
      <c r="AE157" s="0" t="inlineStr">
        <is>
          <t>대방동</t>
        </is>
      </c>
      <c r="AG157" s="0" t="inlineStr">
        <is>
          <t>경상남도 창원시 성산구 대암로 126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[대방동]</t>
        </is>
      </c>
      <c r="B158" s="0" t="n">
        <v>106374</v>
      </c>
      <c r="C158" s="0" t="n">
        <v>3</v>
      </c>
      <c r="D158" s="0" t="inlineStr">
        <is>
          <t>성원남산3차(301~308동)</t>
        </is>
      </c>
      <c r="E158" s="0" t="inlineStr">
        <is>
          <t>1992.11.</t>
        </is>
      </c>
      <c r="F158" s="0" t="n">
        <v>1397</v>
      </c>
      <c r="G158" s="0" t="n">
        <v>32.02</v>
      </c>
      <c r="H158" s="0" t="n">
        <v>105.88</v>
      </c>
      <c r="I158" s="0" t="n">
        <v>25.7</v>
      </c>
      <c r="J158" s="0" t="n">
        <v>84.95999999999999</v>
      </c>
      <c r="K158" s="0" t="n">
        <v>759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105</v>
      </c>
      <c r="X158" s="0" t="n">
        <v>20</v>
      </c>
      <c r="Y158" s="0" t="n">
        <v>20</v>
      </c>
      <c r="Z158" s="0" t="inlineStr">
        <is>
          <t>https://new.land.naver.com/complexes/106374?tab=detail&amp;rf=Y</t>
        </is>
      </c>
      <c r="AA158" s="0" t="inlineStr">
        <is>
          <t>경상남도 창원시 성산구 대방동 355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성산구</t>
        </is>
      </c>
      <c r="AE158" s="0" t="inlineStr">
        <is>
          <t>대방동</t>
        </is>
      </c>
      <c r="AG158" s="0" t="inlineStr">
        <is>
          <t>경상남도 창원시 성산구 대암로 126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[대방동]</t>
        </is>
      </c>
      <c r="B159" s="0" t="n">
        <v>7677</v>
      </c>
      <c r="C159" s="0" t="n">
        <v>1</v>
      </c>
      <c r="D159" s="0" t="inlineStr">
        <is>
          <t>대방대동</t>
        </is>
      </c>
      <c r="E159" s="0" t="inlineStr">
        <is>
          <t>1992.09.</t>
        </is>
      </c>
      <c r="F159" s="0" t="n">
        <v>1835</v>
      </c>
      <c r="G159" s="0" t="n">
        <v>20.78</v>
      </c>
      <c r="H159" s="0" t="n">
        <v>68.70999999999999</v>
      </c>
      <c r="I159" s="0" t="n">
        <v>15.1</v>
      </c>
      <c r="J159" s="0" t="n">
        <v>49.94</v>
      </c>
      <c r="K159" s="0" t="n">
        <v>767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68</v>
      </c>
      <c r="X159" s="0" t="n">
        <v>20</v>
      </c>
      <c r="Y159" s="0" t="n">
        <v>10</v>
      </c>
      <c r="Z159" s="0" t="inlineStr">
        <is>
          <t>https://new.land.naver.com/complexes/7677?tab=detail&amp;rf=Y</t>
        </is>
      </c>
      <c r="AA159" s="0" t="inlineStr">
        <is>
          <t>경상남도 창원시 성산구 대방동 358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성산구</t>
        </is>
      </c>
      <c r="AE159" s="0" t="inlineStr">
        <is>
          <t>대방동</t>
        </is>
      </c>
      <c r="AG159" s="0" t="inlineStr">
        <is>
          <t>경상남도 창원시 성산구 대정로 142</t>
        </is>
      </c>
      <c r="AH159" s="0" t="n">
        <v>0</v>
      </c>
      <c r="AI159" s="0" t="n">
        <v>252</v>
      </c>
      <c r="AJ159" s="0" t="n">
        <v>0</v>
      </c>
      <c r="AK159" s="0" t="n">
        <v>700</v>
      </c>
      <c r="AL159" s="0" t="n">
        <v>0.38</v>
      </c>
    </row>
    <row r="160">
      <c r="A160" s="0" t="inlineStr">
        <is>
          <t>[대방동]</t>
        </is>
      </c>
      <c r="B160" s="0" t="n">
        <v>7677</v>
      </c>
      <c r="C160" s="0" t="n">
        <v>2</v>
      </c>
      <c r="D160" s="0" t="inlineStr">
        <is>
          <t>대방대동</t>
        </is>
      </c>
      <c r="E160" s="0" t="inlineStr">
        <is>
          <t>1992.09.</t>
        </is>
      </c>
      <c r="F160" s="0" t="n">
        <v>1835</v>
      </c>
      <c r="G160" s="0" t="n">
        <v>23.2</v>
      </c>
      <c r="H160" s="0" t="n">
        <v>76.7</v>
      </c>
      <c r="I160" s="0" t="n">
        <v>18.14</v>
      </c>
      <c r="J160" s="0" t="n">
        <v>59.99</v>
      </c>
      <c r="K160" s="0" t="n">
        <v>408</v>
      </c>
      <c r="T160" s="0" t="n">
        <v>2</v>
      </c>
      <c r="U160" s="0" t="n">
        <v>1</v>
      </c>
      <c r="V160" s="0" t="inlineStr">
        <is>
          <t>계단식</t>
        </is>
      </c>
      <c r="W160" s="0" t="n">
        <v>76</v>
      </c>
      <c r="X160" s="0" t="n">
        <v>20</v>
      </c>
      <c r="Y160" s="0" t="n">
        <v>10</v>
      </c>
      <c r="Z160" s="0" t="inlineStr">
        <is>
          <t>https://new.land.naver.com/complexes/7677?tab=detail&amp;rf=Y</t>
        </is>
      </c>
      <c r="AA160" s="0" t="inlineStr">
        <is>
          <t>경상남도 창원시 성산구 대방동 358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성산구</t>
        </is>
      </c>
      <c r="AE160" s="0" t="inlineStr">
        <is>
          <t>대방동</t>
        </is>
      </c>
      <c r="AG160" s="0" t="inlineStr">
        <is>
          <t>경상남도 창원시 성산구 대정로 142</t>
        </is>
      </c>
      <c r="AH160" s="0" t="n">
        <v>0</v>
      </c>
      <c r="AI160" s="0" t="n">
        <v>252</v>
      </c>
      <c r="AJ160" s="0" t="n">
        <v>0</v>
      </c>
      <c r="AK160" s="0" t="n">
        <v>700</v>
      </c>
      <c r="AL160" s="0" t="n">
        <v>0.38</v>
      </c>
    </row>
    <row r="161">
      <c r="A161" s="0" t="inlineStr">
        <is>
          <t>[대방동]</t>
        </is>
      </c>
      <c r="B161" s="0" t="n">
        <v>7677</v>
      </c>
      <c r="C161" s="0" t="n">
        <v>3</v>
      </c>
      <c r="D161" s="0" t="inlineStr">
        <is>
          <t>대방대동</t>
        </is>
      </c>
      <c r="E161" s="0" t="inlineStr">
        <is>
          <t>1992.09.</t>
        </is>
      </c>
      <c r="F161" s="0" t="n">
        <v>1835</v>
      </c>
      <c r="G161" s="0" t="n">
        <v>30.52</v>
      </c>
      <c r="H161" s="0" t="n">
        <v>100.9</v>
      </c>
      <c r="I161" s="0" t="n">
        <v>25.7</v>
      </c>
      <c r="J161" s="0" t="n">
        <v>84.98</v>
      </c>
      <c r="K161" s="0" t="n">
        <v>360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100A</t>
        </is>
      </c>
      <c r="X161" s="0" t="n">
        <v>20</v>
      </c>
      <c r="Y161" s="0" t="n">
        <v>10</v>
      </c>
      <c r="Z161" s="0" t="inlineStr">
        <is>
          <t>https://new.land.naver.com/complexes/7677?tab=detail&amp;rf=Y</t>
        </is>
      </c>
      <c r="AA161" s="0" t="inlineStr">
        <is>
          <t>경상남도 창원시 성산구 대방동 358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성산구</t>
        </is>
      </c>
      <c r="AE161" s="0" t="inlineStr">
        <is>
          <t>대방동</t>
        </is>
      </c>
      <c r="AG161" s="0" t="inlineStr">
        <is>
          <t>경상남도 창원시 성산구 대정로 142</t>
        </is>
      </c>
      <c r="AH161" s="0" t="n">
        <v>0</v>
      </c>
      <c r="AI161" s="0" t="n">
        <v>252</v>
      </c>
      <c r="AJ161" s="0" t="n">
        <v>0</v>
      </c>
      <c r="AK161" s="0" t="n">
        <v>700</v>
      </c>
      <c r="AL161" s="0" t="n">
        <v>0.38</v>
      </c>
    </row>
    <row r="162">
      <c r="A162" s="0" t="inlineStr">
        <is>
          <t>[대방동]</t>
        </is>
      </c>
      <c r="B162" s="0" t="n">
        <v>7677</v>
      </c>
      <c r="C162" s="0" t="n">
        <v>4</v>
      </c>
      <c r="D162" s="0" t="inlineStr">
        <is>
          <t>대방대동</t>
        </is>
      </c>
      <c r="E162" s="0" t="inlineStr">
        <is>
          <t>1992.09.</t>
        </is>
      </c>
      <c r="F162" s="0" t="n">
        <v>1835</v>
      </c>
      <c r="G162" s="0" t="n">
        <v>30.51</v>
      </c>
      <c r="H162" s="0" t="n">
        <v>100.88</v>
      </c>
      <c r="I162" s="0" t="n">
        <v>25.69</v>
      </c>
      <c r="J162" s="0" t="n">
        <v>84.93000000000001</v>
      </c>
      <c r="K162" s="0" t="n">
        <v>210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100B</t>
        </is>
      </c>
      <c r="X162" s="0" t="n">
        <v>20</v>
      </c>
      <c r="Y162" s="0" t="n">
        <v>10</v>
      </c>
      <c r="Z162" s="0" t="inlineStr">
        <is>
          <t>https://new.land.naver.com/complexes/7677?tab=detail&amp;rf=Y</t>
        </is>
      </c>
      <c r="AA162" s="0" t="inlineStr">
        <is>
          <t>경상남도 창원시 성산구 대방동 358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성산구</t>
        </is>
      </c>
      <c r="AE162" s="0" t="inlineStr">
        <is>
          <t>대방동</t>
        </is>
      </c>
      <c r="AG162" s="0" t="inlineStr">
        <is>
          <t>경상남도 창원시 성산구 대정로 142</t>
        </is>
      </c>
      <c r="AH162" s="0" t="n">
        <v>0</v>
      </c>
      <c r="AI162" s="0" t="n">
        <v>252</v>
      </c>
      <c r="AJ162" s="0" t="n">
        <v>0</v>
      </c>
      <c r="AK162" s="0" t="n">
        <v>700</v>
      </c>
      <c r="AL162" s="0" t="n">
        <v>0.38</v>
      </c>
    </row>
    <row r="163">
      <c r="A163" s="0" t="inlineStr">
        <is>
          <t>[대방동]</t>
        </is>
      </c>
      <c r="B163" s="0" t="n">
        <v>7677</v>
      </c>
      <c r="C163" s="0" t="n">
        <v>5</v>
      </c>
      <c r="D163" s="0" t="inlineStr">
        <is>
          <t>대방대동</t>
        </is>
      </c>
      <c r="E163" s="0" t="inlineStr">
        <is>
          <t>1992.09.</t>
        </is>
      </c>
      <c r="F163" s="0" t="n">
        <v>1835</v>
      </c>
      <c r="G163" s="0" t="n">
        <v>44.29</v>
      </c>
      <c r="H163" s="0" t="n">
        <v>146.43</v>
      </c>
      <c r="I163" s="0" t="n">
        <v>38.22</v>
      </c>
      <c r="J163" s="0" t="n">
        <v>126.36</v>
      </c>
      <c r="K163" s="0" t="n">
        <v>90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146</v>
      </c>
      <c r="X163" s="0" t="n">
        <v>20</v>
      </c>
      <c r="Y163" s="0" t="n">
        <v>10</v>
      </c>
      <c r="Z163" s="0" t="inlineStr">
        <is>
          <t>https://new.land.naver.com/complexes/7677?tab=detail&amp;rf=Y</t>
        </is>
      </c>
      <c r="AA163" s="0" t="inlineStr">
        <is>
          <t>경상남도 창원시 성산구 대방동 358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성산구</t>
        </is>
      </c>
      <c r="AE163" s="0" t="inlineStr">
        <is>
          <t>대방동</t>
        </is>
      </c>
      <c r="AG163" s="0" t="inlineStr">
        <is>
          <t>경상남도 창원시 성산구 대정로 142</t>
        </is>
      </c>
      <c r="AH163" s="0" t="n">
        <v>0</v>
      </c>
      <c r="AI163" s="0" t="n">
        <v>252</v>
      </c>
      <c r="AJ163" s="0" t="n">
        <v>0</v>
      </c>
      <c r="AK163" s="0" t="n">
        <v>700</v>
      </c>
      <c r="AL163" s="0" t="n">
        <v>0.38</v>
      </c>
    </row>
    <row r="164">
      <c r="A164" s="0" t="inlineStr">
        <is>
          <t>[대방동]</t>
        </is>
      </c>
      <c r="B164" s="0" t="n">
        <v>7674</v>
      </c>
      <c r="C164" s="0" t="n">
        <v>1</v>
      </c>
      <c r="D164" s="0" t="inlineStr">
        <is>
          <t>대동디지털황토</t>
        </is>
      </c>
      <c r="E164" s="0" t="inlineStr">
        <is>
          <t>2001.09.</t>
        </is>
      </c>
      <c r="F164" s="0" t="n">
        <v>704</v>
      </c>
      <c r="G164" s="0" t="n">
        <v>25.75</v>
      </c>
      <c r="H164" s="0" t="n">
        <v>85.13</v>
      </c>
      <c r="I164" s="0" t="n">
        <v>18.07</v>
      </c>
      <c r="J164" s="0" t="n">
        <v>59.76</v>
      </c>
      <c r="K164" s="0" t="n">
        <v>228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85</v>
      </c>
      <c r="X164" s="0" t="n">
        <v>20</v>
      </c>
      <c r="Y164" s="0" t="n">
        <v>18</v>
      </c>
      <c r="Z164" s="0" t="inlineStr">
        <is>
          <t>https://new.land.naver.com/complexes/7674?tab=detail&amp;rf=Y</t>
        </is>
      </c>
      <c r="AA164" s="0" t="inlineStr">
        <is>
          <t>경상남도 창원시 성산구 대방동 371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성산구</t>
        </is>
      </c>
      <c r="AE164" s="0" t="inlineStr">
        <is>
          <t>대방동</t>
        </is>
      </c>
      <c r="AG164" s="0" t="inlineStr">
        <is>
          <t>경상남도 창원시 성산구 창이대로881번길 8</t>
        </is>
      </c>
      <c r="AH164" s="0" t="n">
        <v>0</v>
      </c>
      <c r="AI164" s="0" t="n">
        <v>261</v>
      </c>
      <c r="AJ164" s="0" t="n">
        <v>14</v>
      </c>
      <c r="AK164" s="0" t="n">
        <v>717</v>
      </c>
      <c r="AL164" s="0" t="n">
        <v>1.02</v>
      </c>
    </row>
    <row r="165">
      <c r="A165" s="0" t="inlineStr">
        <is>
          <t>[대방동]</t>
        </is>
      </c>
      <c r="B165" s="0" t="n">
        <v>7674</v>
      </c>
      <c r="C165" s="0" t="n">
        <v>2</v>
      </c>
      <c r="D165" s="0" t="inlineStr">
        <is>
          <t>대동디지털황토</t>
        </is>
      </c>
      <c r="E165" s="0" t="inlineStr">
        <is>
          <t>2001.09.</t>
        </is>
      </c>
      <c r="F165" s="0" t="n">
        <v>704</v>
      </c>
      <c r="G165" s="0" t="n">
        <v>34.62</v>
      </c>
      <c r="H165" s="0" t="n">
        <v>114.45</v>
      </c>
      <c r="I165" s="0" t="n">
        <v>25.68</v>
      </c>
      <c r="J165" s="0" t="n">
        <v>84.90000000000001</v>
      </c>
      <c r="K165" s="0" t="n">
        <v>356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20</v>
      </c>
      <c r="Y165" s="0" t="n">
        <v>18</v>
      </c>
      <c r="Z165" s="0" t="inlineStr">
        <is>
          <t>https://new.land.naver.com/complexes/7674?tab=detail&amp;rf=Y</t>
        </is>
      </c>
      <c r="AA165" s="0" t="inlineStr">
        <is>
          <t>경상남도 창원시 성산구 대방동 371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성산구</t>
        </is>
      </c>
      <c r="AE165" s="0" t="inlineStr">
        <is>
          <t>대방동</t>
        </is>
      </c>
      <c r="AG165" s="0" t="inlineStr">
        <is>
          <t>경상남도 창원시 성산구 창이대로881번길 8</t>
        </is>
      </c>
      <c r="AH165" s="0" t="n">
        <v>0</v>
      </c>
      <c r="AI165" s="0" t="n">
        <v>261</v>
      </c>
      <c r="AJ165" s="0" t="n">
        <v>14</v>
      </c>
      <c r="AK165" s="0" t="n">
        <v>717</v>
      </c>
      <c r="AL165" s="0" t="n">
        <v>1.02</v>
      </c>
    </row>
    <row r="166">
      <c r="A166" s="0" t="inlineStr">
        <is>
          <t>[대방동]</t>
        </is>
      </c>
      <c r="B166" s="0" t="n">
        <v>7674</v>
      </c>
      <c r="C166" s="0" t="n">
        <v>3</v>
      </c>
      <c r="D166" s="0" t="inlineStr">
        <is>
          <t>대동디지털황토</t>
        </is>
      </c>
      <c r="E166" s="0" t="inlineStr">
        <is>
          <t>2001.09.</t>
        </is>
      </c>
      <c r="F166" s="0" t="n">
        <v>704</v>
      </c>
      <c r="G166" s="0" t="n">
        <v>44.82</v>
      </c>
      <c r="H166" s="0" t="n">
        <v>148.19</v>
      </c>
      <c r="I166" s="0" t="n">
        <v>34.74</v>
      </c>
      <c r="J166" s="0" t="n">
        <v>114.85</v>
      </c>
      <c r="K166" s="0" t="n">
        <v>120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148</v>
      </c>
      <c r="X166" s="0" t="n">
        <v>20</v>
      </c>
      <c r="Y166" s="0" t="n">
        <v>18</v>
      </c>
      <c r="Z166" s="0" t="inlineStr">
        <is>
          <t>https://new.land.naver.com/complexes/7674?tab=detail&amp;rf=Y</t>
        </is>
      </c>
      <c r="AA166" s="0" t="inlineStr">
        <is>
          <t>경상남도 창원시 성산구 대방동 371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성산구</t>
        </is>
      </c>
      <c r="AE166" s="0" t="inlineStr">
        <is>
          <t>대방동</t>
        </is>
      </c>
      <c r="AG166" s="0" t="inlineStr">
        <is>
          <t>경상남도 창원시 성산구 창이대로881번길 8</t>
        </is>
      </c>
      <c r="AH166" s="0" t="n">
        <v>0</v>
      </c>
      <c r="AI166" s="0" t="n">
        <v>261</v>
      </c>
      <c r="AJ166" s="0" t="n">
        <v>14</v>
      </c>
      <c r="AK166" s="0" t="n">
        <v>717</v>
      </c>
      <c r="AL166" s="0" t="n">
        <v>1.02</v>
      </c>
    </row>
    <row r="167">
      <c r="A167" s="0" t="inlineStr">
        <is>
          <t>[대방동]</t>
        </is>
      </c>
      <c r="B167" s="0" t="n">
        <v>7693</v>
      </c>
      <c r="C167" s="0" t="n">
        <v>1</v>
      </c>
      <c r="D167" s="0" t="inlineStr">
        <is>
          <t>대방동성</t>
        </is>
      </c>
      <c r="E167" s="0" t="inlineStr">
        <is>
          <t>1996.05.</t>
        </is>
      </c>
      <c r="F167" s="0" t="n">
        <v>556</v>
      </c>
      <c r="G167" s="0" t="n">
        <v>23.07</v>
      </c>
      <c r="H167" s="0" t="n">
        <v>76.28</v>
      </c>
      <c r="I167" s="0" t="n">
        <v>18.15</v>
      </c>
      <c r="J167" s="0" t="n">
        <v>60</v>
      </c>
      <c r="K167" s="0" t="n">
        <v>238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76</v>
      </c>
      <c r="X167" s="0" t="n">
        <v>20</v>
      </c>
      <c r="Y167" s="0" t="n">
        <v>20</v>
      </c>
      <c r="Z167" s="0" t="inlineStr">
        <is>
          <t>https://new.land.naver.com/complexes/7693?tab=detail&amp;rf=Y</t>
        </is>
      </c>
      <c r="AA167" s="0" t="inlineStr">
        <is>
          <t>경상남도 창원시 성산구 대방동 374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성산구</t>
        </is>
      </c>
      <c r="AE167" s="0" t="inlineStr">
        <is>
          <t>대방동</t>
        </is>
      </c>
      <c r="AG167" s="0" t="inlineStr">
        <is>
          <t>경상남도 창원시 성산구 창이대로901번길 4</t>
        </is>
      </c>
      <c r="AH167" s="0" t="n">
        <v>0</v>
      </c>
      <c r="AI167" s="0" t="n">
        <v>245</v>
      </c>
      <c r="AJ167" s="0" t="n">
        <v>16</v>
      </c>
      <c r="AK167" s="0" t="n">
        <v>519</v>
      </c>
      <c r="AL167" s="0" t="n">
        <v>0.93</v>
      </c>
    </row>
    <row r="168">
      <c r="A168" s="0" t="inlineStr">
        <is>
          <t>[대방동]</t>
        </is>
      </c>
      <c r="B168" s="0" t="n">
        <v>7693</v>
      </c>
      <c r="C168" s="0" t="n">
        <v>2</v>
      </c>
      <c r="D168" s="0" t="inlineStr">
        <is>
          <t>대방동성</t>
        </is>
      </c>
      <c r="E168" s="0" t="inlineStr">
        <is>
          <t>1996.05.</t>
        </is>
      </c>
      <c r="F168" s="0" t="n">
        <v>556</v>
      </c>
      <c r="G168" s="0" t="n">
        <v>32.67</v>
      </c>
      <c r="H168" s="0" t="n">
        <v>108.03</v>
      </c>
      <c r="I168" s="0" t="n">
        <v>25.7</v>
      </c>
      <c r="J168" s="0" t="n">
        <v>84.97</v>
      </c>
      <c r="K168" s="0" t="n">
        <v>198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108</v>
      </c>
      <c r="X168" s="0" t="n">
        <v>20</v>
      </c>
      <c r="Y168" s="0" t="n">
        <v>20</v>
      </c>
      <c r="Z168" s="0" t="inlineStr">
        <is>
          <t>https://new.land.naver.com/complexes/7693?tab=detail&amp;rf=Y</t>
        </is>
      </c>
      <c r="AA168" s="0" t="inlineStr">
        <is>
          <t>경상남도 창원시 성산구 대방동 374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성산구</t>
        </is>
      </c>
      <c r="AE168" s="0" t="inlineStr">
        <is>
          <t>대방동</t>
        </is>
      </c>
      <c r="AG168" s="0" t="inlineStr">
        <is>
          <t>경상남도 창원시 성산구 창이대로901번길 4</t>
        </is>
      </c>
      <c r="AH168" s="0" t="n">
        <v>0</v>
      </c>
      <c r="AI168" s="0" t="n">
        <v>245</v>
      </c>
      <c r="AJ168" s="0" t="n">
        <v>16</v>
      </c>
      <c r="AK168" s="0" t="n">
        <v>519</v>
      </c>
      <c r="AL168" s="0" t="n">
        <v>0.93</v>
      </c>
    </row>
    <row r="169">
      <c r="A169" s="0" t="inlineStr">
        <is>
          <t>[대방동]</t>
        </is>
      </c>
      <c r="B169" s="0" t="n">
        <v>7693</v>
      </c>
      <c r="C169" s="0" t="n">
        <v>3</v>
      </c>
      <c r="D169" s="0" t="inlineStr">
        <is>
          <t>대방동성</t>
        </is>
      </c>
      <c r="E169" s="0" t="inlineStr">
        <is>
          <t>1996.05.</t>
        </is>
      </c>
      <c r="F169" s="0" t="n">
        <v>556</v>
      </c>
      <c r="G169" s="0" t="n">
        <v>39.17</v>
      </c>
      <c r="H169" s="0" t="n">
        <v>129.49</v>
      </c>
      <c r="I169" s="0" t="n">
        <v>30.8</v>
      </c>
      <c r="J169" s="0" t="n">
        <v>101.85</v>
      </c>
      <c r="K169" s="0" t="n">
        <v>120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129</v>
      </c>
      <c r="X169" s="0" t="n">
        <v>20</v>
      </c>
      <c r="Y169" s="0" t="n">
        <v>20</v>
      </c>
      <c r="Z169" s="0" t="inlineStr">
        <is>
          <t>https://new.land.naver.com/complexes/7693?tab=detail&amp;rf=Y</t>
        </is>
      </c>
      <c r="AA169" s="0" t="inlineStr">
        <is>
          <t>경상남도 창원시 성산구 대방동 374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성산구</t>
        </is>
      </c>
      <c r="AE169" s="0" t="inlineStr">
        <is>
          <t>대방동</t>
        </is>
      </c>
      <c r="AG169" s="0" t="inlineStr">
        <is>
          <t>경상남도 창원시 성산구 창이대로901번길 4</t>
        </is>
      </c>
      <c r="AH169" s="0" t="n">
        <v>0</v>
      </c>
      <c r="AI169" s="0" t="n">
        <v>245</v>
      </c>
      <c r="AJ169" s="0" t="n">
        <v>16</v>
      </c>
      <c r="AK169" s="0" t="n">
        <v>519</v>
      </c>
      <c r="AL169" s="0" t="n">
        <v>0.93</v>
      </c>
    </row>
    <row r="170">
      <c r="A170" s="0" t="inlineStr">
        <is>
          <t>[대방동]</t>
        </is>
      </c>
      <c r="B170" s="0" t="n">
        <v>100888</v>
      </c>
      <c r="C170" s="0" t="n">
        <v>1</v>
      </c>
      <c r="D170" s="0" t="inlineStr">
        <is>
          <t>대방대동황토방</t>
        </is>
      </c>
      <c r="E170" s="0" t="inlineStr">
        <is>
          <t>2001.05.</t>
        </is>
      </c>
      <c r="F170" s="0" t="n">
        <v>708</v>
      </c>
      <c r="G170" s="0" t="n">
        <v>25.49</v>
      </c>
      <c r="H170" s="0" t="n">
        <v>84.29000000000001</v>
      </c>
      <c r="I170" s="0" t="n">
        <v>17.91</v>
      </c>
      <c r="J170" s="0" t="n">
        <v>59.21</v>
      </c>
      <c r="K170" s="0" t="n">
        <v>312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84</v>
      </c>
      <c r="X170" s="0" t="n">
        <v>18</v>
      </c>
      <c r="Y170" s="0" t="n">
        <v>17</v>
      </c>
      <c r="Z170" s="0" t="inlineStr">
        <is>
          <t>https://new.land.naver.com/complexes/100888?tab=detail&amp;rf=Y</t>
        </is>
      </c>
      <c r="AA170" s="0" t="inlineStr">
        <is>
          <t>경상남도 창원시 성산구 대방동 367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성산구</t>
        </is>
      </c>
      <c r="AE170" s="0" t="inlineStr">
        <is>
          <t>대방동</t>
        </is>
      </c>
      <c r="AG170" s="0" t="inlineStr">
        <is>
          <t>경상남도 창원시 성산구 창이대로881번길 19</t>
        </is>
      </c>
      <c r="AH170" s="0" t="n">
        <v>0</v>
      </c>
      <c r="AI170" s="0" t="n">
        <v>261</v>
      </c>
      <c r="AJ170" s="0" t="n">
        <v>20</v>
      </c>
      <c r="AK170" s="0" t="n">
        <v>665</v>
      </c>
      <c r="AL170" s="0" t="n">
        <v>0.9399999999999999</v>
      </c>
    </row>
    <row r="171">
      <c r="A171" s="0" t="inlineStr">
        <is>
          <t>[대방동]</t>
        </is>
      </c>
      <c r="B171" s="0" t="n">
        <v>100888</v>
      </c>
      <c r="C171" s="0" t="n">
        <v>2</v>
      </c>
      <c r="D171" s="0" t="inlineStr">
        <is>
          <t>대방대동황토방</t>
        </is>
      </c>
      <c r="E171" s="0" t="inlineStr">
        <is>
          <t>2001.05.</t>
        </is>
      </c>
      <c r="F171" s="0" t="n">
        <v>708</v>
      </c>
      <c r="G171" s="0" t="n">
        <v>34.13</v>
      </c>
      <c r="H171" s="0" t="n">
        <v>112.84</v>
      </c>
      <c r="I171" s="0" t="n">
        <v>25.44</v>
      </c>
      <c r="J171" s="0" t="n">
        <v>84.12</v>
      </c>
      <c r="K171" s="0" t="n">
        <v>324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112</v>
      </c>
      <c r="X171" s="0" t="n">
        <v>18</v>
      </c>
      <c r="Y171" s="0" t="n">
        <v>17</v>
      </c>
      <c r="Z171" s="0" t="inlineStr">
        <is>
          <t>https://new.land.naver.com/complexes/100888?tab=detail&amp;rf=Y</t>
        </is>
      </c>
      <c r="AA171" s="0" t="inlineStr">
        <is>
          <t>경상남도 창원시 성산구 대방동 367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성산구</t>
        </is>
      </c>
      <c r="AE171" s="0" t="inlineStr">
        <is>
          <t>대방동</t>
        </is>
      </c>
      <c r="AG171" s="0" t="inlineStr">
        <is>
          <t>경상남도 창원시 성산구 창이대로881번길 19</t>
        </is>
      </c>
      <c r="AH171" s="0" t="n">
        <v>0</v>
      </c>
      <c r="AI171" s="0" t="n">
        <v>261</v>
      </c>
      <c r="AJ171" s="0" t="n">
        <v>20</v>
      </c>
      <c r="AK171" s="0" t="n">
        <v>665</v>
      </c>
      <c r="AL171" s="0" t="n">
        <v>0.9399999999999999</v>
      </c>
    </row>
    <row r="172">
      <c r="A172" s="0" t="inlineStr">
        <is>
          <t>[대방동]</t>
        </is>
      </c>
      <c r="B172" s="0" t="n">
        <v>100888</v>
      </c>
      <c r="C172" s="0" t="n">
        <v>3</v>
      </c>
      <c r="D172" s="0" t="inlineStr">
        <is>
          <t>대방대동황토방</t>
        </is>
      </c>
      <c r="E172" s="0" t="inlineStr">
        <is>
          <t>2001.05.</t>
        </is>
      </c>
      <c r="F172" s="0" t="n">
        <v>708</v>
      </c>
      <c r="G172" s="0" t="n">
        <v>44.87</v>
      </c>
      <c r="H172" s="0" t="n">
        <v>148.35</v>
      </c>
      <c r="I172" s="0" t="n">
        <v>34.77</v>
      </c>
      <c r="J172" s="0" t="n">
        <v>114.97</v>
      </c>
      <c r="K172" s="0" t="n">
        <v>72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148</v>
      </c>
      <c r="X172" s="0" t="n">
        <v>18</v>
      </c>
      <c r="Y172" s="0" t="n">
        <v>17</v>
      </c>
      <c r="Z172" s="0" t="inlineStr">
        <is>
          <t>https://new.land.naver.com/complexes/100888?tab=detail&amp;rf=Y</t>
        </is>
      </c>
      <c r="AA172" s="0" t="inlineStr">
        <is>
          <t>경상남도 창원시 성산구 대방동 367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성산구</t>
        </is>
      </c>
      <c r="AE172" s="0" t="inlineStr">
        <is>
          <t>대방동</t>
        </is>
      </c>
      <c r="AG172" s="0" t="inlineStr">
        <is>
          <t>경상남도 창원시 성산구 창이대로881번길 19</t>
        </is>
      </c>
      <c r="AH172" s="0" t="n">
        <v>0</v>
      </c>
      <c r="AI172" s="0" t="n">
        <v>261</v>
      </c>
      <c r="AJ172" s="0" t="n">
        <v>20</v>
      </c>
      <c r="AK172" s="0" t="n">
        <v>665</v>
      </c>
      <c r="AL172" s="0" t="n">
        <v>0.9399999999999999</v>
      </c>
    </row>
    <row r="173">
      <c r="A173" s="0" t="inlineStr">
        <is>
          <t>[대방동]</t>
        </is>
      </c>
      <c r="B173" s="0" t="n">
        <v>7692</v>
      </c>
      <c r="C173" s="0" t="n">
        <v>1</v>
      </c>
      <c r="D173" s="0" t="inlineStr">
        <is>
          <t>대방개나리1차</t>
        </is>
      </c>
      <c r="E173" s="0" t="inlineStr">
        <is>
          <t>1992.09.</t>
        </is>
      </c>
      <c r="F173" s="0" t="n">
        <v>1005</v>
      </c>
      <c r="G173" s="0" t="n">
        <v>17.25</v>
      </c>
      <c r="H173" s="0" t="n">
        <v>57.05</v>
      </c>
      <c r="I173" s="0" t="n">
        <v>12.75</v>
      </c>
      <c r="J173" s="0" t="n">
        <v>42.18</v>
      </c>
      <c r="K173" s="0" t="n">
        <v>600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15</v>
      </c>
      <c r="Y173" s="0" t="n">
        <v>15</v>
      </c>
      <c r="Z173" s="0" t="inlineStr">
        <is>
          <t>https://new.land.naver.com/complexes/7692?tab=detail&amp;rf=Y</t>
        </is>
      </c>
      <c r="AA173" s="0" t="inlineStr">
        <is>
          <t>경상남도 창원시 성산구 대방동 357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성산구</t>
        </is>
      </c>
      <c r="AE173" s="0" t="inlineStr">
        <is>
          <t>대방동</t>
        </is>
      </c>
      <c r="AG173" s="0" t="inlineStr">
        <is>
          <t>경상남도 창원시 성산구 대정로 145</t>
        </is>
      </c>
      <c r="AH173" s="0" t="n">
        <v>0</v>
      </c>
      <c r="AI173" s="0" t="n">
        <v>187</v>
      </c>
      <c r="AJ173" s="0" t="n">
        <v>15</v>
      </c>
      <c r="AK173" s="0" t="n">
        <v>381</v>
      </c>
      <c r="AL173" s="0" t="n">
        <v>0.38</v>
      </c>
    </row>
    <row r="174">
      <c r="A174" s="0" t="inlineStr">
        <is>
          <t>[대방동]</t>
        </is>
      </c>
      <c r="B174" s="0" t="n">
        <v>7692</v>
      </c>
      <c r="C174" s="0" t="n">
        <v>2</v>
      </c>
      <c r="D174" s="0" t="inlineStr">
        <is>
          <t>대방개나리1차</t>
        </is>
      </c>
      <c r="E174" s="0" t="inlineStr">
        <is>
          <t>1992.09.</t>
        </is>
      </c>
      <c r="F174" s="0" t="n">
        <v>1005</v>
      </c>
      <c r="G174" s="0" t="n">
        <v>20.62</v>
      </c>
      <c r="H174" s="0" t="n">
        <v>68.19</v>
      </c>
      <c r="I174" s="0" t="n">
        <v>14.94</v>
      </c>
      <c r="J174" s="0" t="n">
        <v>49.41</v>
      </c>
      <c r="K174" s="0" t="n">
        <v>405</v>
      </c>
      <c r="T174" s="0" t="n">
        <v>3</v>
      </c>
      <c r="U174" s="0" t="n">
        <v>1</v>
      </c>
      <c r="V174" s="0" t="inlineStr">
        <is>
          <t>복도식</t>
        </is>
      </c>
      <c r="W174" s="0" t="n">
        <v>68</v>
      </c>
      <c r="X174" s="0" t="n">
        <v>15</v>
      </c>
      <c r="Y174" s="0" t="n">
        <v>15</v>
      </c>
      <c r="Z174" s="0" t="inlineStr">
        <is>
          <t>https://new.land.naver.com/complexes/7692?tab=detail&amp;rf=Y</t>
        </is>
      </c>
      <c r="AA174" s="0" t="inlineStr">
        <is>
          <t>경상남도 창원시 성산구 대방동 357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성산구</t>
        </is>
      </c>
      <c r="AE174" s="0" t="inlineStr">
        <is>
          <t>대방동</t>
        </is>
      </c>
      <c r="AG174" s="0" t="inlineStr">
        <is>
          <t>경상남도 창원시 성산구 대정로 145</t>
        </is>
      </c>
      <c r="AH174" s="0" t="n">
        <v>0</v>
      </c>
      <c r="AI174" s="0" t="n">
        <v>187</v>
      </c>
      <c r="AJ174" s="0" t="n">
        <v>15</v>
      </c>
      <c r="AK174" s="0" t="n">
        <v>381</v>
      </c>
      <c r="AL174" s="0" t="n">
        <v>0.38</v>
      </c>
    </row>
    <row r="175">
      <c r="A175" s="0" t="inlineStr">
        <is>
          <t>[대방동]</t>
        </is>
      </c>
      <c r="B175" s="0" t="n">
        <v>7688</v>
      </c>
      <c r="C175" s="0" t="n">
        <v>1</v>
      </c>
      <c r="D175" s="0" t="inlineStr">
        <is>
          <t>성원남산3차(309~311동)</t>
        </is>
      </c>
      <c r="E175" s="0" t="inlineStr">
        <is>
          <t>1992.11.</t>
        </is>
      </c>
      <c r="F175" s="0" t="n">
        <v>1017</v>
      </c>
      <c r="G175" s="0" t="n">
        <v>18.88</v>
      </c>
      <c r="H175" s="0" t="n">
        <v>62.42</v>
      </c>
      <c r="I175" s="0" t="n">
        <v>14.51</v>
      </c>
      <c r="J175" s="0" t="n">
        <v>47.97</v>
      </c>
      <c r="K175" s="0" t="n">
        <v>1017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62</v>
      </c>
      <c r="X175" s="0" t="n">
        <v>20</v>
      </c>
      <c r="Y175" s="0" t="n">
        <v>20</v>
      </c>
      <c r="Z175" s="0" t="inlineStr">
        <is>
          <t>https://new.land.naver.com/complexes/7688?tab=detail&amp;rf=Y</t>
        </is>
      </c>
      <c r="AA175" s="0" t="inlineStr">
        <is>
          <t>경상남도 창원시 성산구 대방동 355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성산구</t>
        </is>
      </c>
      <c r="AE175" s="0" t="inlineStr">
        <is>
          <t>대방동</t>
        </is>
      </c>
      <c r="AG175" s="0" t="inlineStr">
        <is>
          <t>경상남도 창원시 성산구 대암로 82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[대원동]</t>
        </is>
      </c>
      <c r="B176" s="0" t="n">
        <v>15745</v>
      </c>
      <c r="C176" s="0" t="n">
        <v>1</v>
      </c>
      <c r="D176" s="0" t="inlineStr">
        <is>
          <t>대원파크빌</t>
        </is>
      </c>
      <c r="E176" s="0" t="inlineStr">
        <is>
          <t>1997.12.</t>
        </is>
      </c>
      <c r="F176" s="0" t="n">
        <v>603</v>
      </c>
      <c r="G176" s="0" t="n">
        <v>19.65</v>
      </c>
      <c r="H176" s="0" t="n">
        <v>64.97</v>
      </c>
      <c r="I176" s="0" t="n">
        <v>16</v>
      </c>
      <c r="J176" s="0" t="n">
        <v>52.92</v>
      </c>
      <c r="K176" s="0" t="n">
        <v>603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64</v>
      </c>
      <c r="X176" s="0" t="n">
        <v>15</v>
      </c>
      <c r="Y176" s="0" t="n">
        <v>14</v>
      </c>
      <c r="Z176" s="0" t="inlineStr">
        <is>
          <t>https://new.land.naver.com/complexes/15745?tab=detail&amp;rf=Y</t>
        </is>
      </c>
      <c r="AA176" s="0" t="inlineStr">
        <is>
          <t>경상남도 창원시 성산구 대원동 81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성산구</t>
        </is>
      </c>
      <c r="AE176" s="0" t="inlineStr">
        <is>
          <t>대원동</t>
        </is>
      </c>
      <c r="AG176" s="0" t="inlineStr">
        <is>
          <t>경상남도 창원시 성산구 삼동로 121</t>
        </is>
      </c>
      <c r="AH176" s="0" t="n">
        <v>0</v>
      </c>
      <c r="AI176" s="0" t="n">
        <v>347</v>
      </c>
      <c r="AJ176" s="0" t="n">
        <v>25</v>
      </c>
      <c r="AK176" s="0" t="n">
        <v>445</v>
      </c>
      <c r="AL176" s="0" t="n">
        <v>0.74</v>
      </c>
    </row>
    <row r="177">
      <c r="A177" s="0" t="inlineStr">
        <is>
          <t>[대원동]</t>
        </is>
      </c>
      <c r="B177" s="0" t="n">
        <v>15748</v>
      </c>
      <c r="C177" s="0" t="n">
        <v>1</v>
      </c>
      <c r="D177" s="0" t="inlineStr">
        <is>
          <t>현대</t>
        </is>
      </c>
      <c r="E177" s="0" t="inlineStr">
        <is>
          <t>1979.10.</t>
        </is>
      </c>
      <c r="F177" s="0" t="n">
        <v>630</v>
      </c>
      <c r="G177" s="0" t="n">
        <v>15.23</v>
      </c>
      <c r="H177" s="0" t="n">
        <v>50.35</v>
      </c>
      <c r="I177" s="0" t="n">
        <v>15.23</v>
      </c>
      <c r="J177" s="0" t="n">
        <v>50.35</v>
      </c>
      <c r="K177" s="0" t="n">
        <v>80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50</v>
      </c>
      <c r="X177" s="0" t="n">
        <v>5</v>
      </c>
      <c r="Y177" s="0" t="n">
        <v>5</v>
      </c>
      <c r="Z177" s="0" t="inlineStr">
        <is>
          <t>https://new.land.naver.com/complexes/15748?tab=detail&amp;rf=Y</t>
        </is>
      </c>
      <c r="AA177" s="0" t="inlineStr">
        <is>
          <t>경상남도 창원시 성산구 대원동 39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성산구</t>
        </is>
      </c>
      <c r="AE177" s="0" t="inlineStr">
        <is>
          <t>대원동</t>
        </is>
      </c>
      <c r="AG177" s="0" t="inlineStr">
        <is>
          <t>경상남도 창원시 성산구 대원로93번길 24</t>
        </is>
      </c>
      <c r="AH177" s="0" t="n">
        <v>0</v>
      </c>
      <c r="AI177" s="0" t="n">
        <v>0</v>
      </c>
      <c r="AJ177" s="0" t="n">
        <v>0</v>
      </c>
      <c r="AK177" s="0" t="n">
        <v>300</v>
      </c>
      <c r="AL177" s="0" t="n">
        <v>0.48</v>
      </c>
    </row>
    <row r="178">
      <c r="A178" s="0" t="inlineStr">
        <is>
          <t>[대원동]</t>
        </is>
      </c>
      <c r="B178" s="0" t="n">
        <v>15748</v>
      </c>
      <c r="C178" s="0" t="n">
        <v>2</v>
      </c>
      <c r="D178" s="0" t="inlineStr">
        <is>
          <t>현대</t>
        </is>
      </c>
      <c r="E178" s="0" t="inlineStr">
        <is>
          <t>1979.10.</t>
        </is>
      </c>
      <c r="F178" s="0" t="n">
        <v>630</v>
      </c>
      <c r="G178" s="0" t="n">
        <v>16.38</v>
      </c>
      <c r="H178" s="0" t="n">
        <v>54.18</v>
      </c>
      <c r="I178" s="0" t="n">
        <v>16.38</v>
      </c>
      <c r="J178" s="0" t="n">
        <v>54.18</v>
      </c>
      <c r="K178" s="0" t="n">
        <v>30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54</v>
      </c>
      <c r="X178" s="0" t="n">
        <v>5</v>
      </c>
      <c r="Y178" s="0" t="n">
        <v>5</v>
      </c>
      <c r="Z178" s="0" t="inlineStr">
        <is>
          <t>https://new.land.naver.com/complexes/15748?tab=detail&amp;rf=Y</t>
        </is>
      </c>
      <c r="AA178" s="0" t="inlineStr">
        <is>
          <t>경상남도 창원시 성산구 대원동 39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성산구</t>
        </is>
      </c>
      <c r="AE178" s="0" t="inlineStr">
        <is>
          <t>대원동</t>
        </is>
      </c>
      <c r="AG178" s="0" t="inlineStr">
        <is>
          <t>경상남도 창원시 성산구 대원로93번길 24</t>
        </is>
      </c>
      <c r="AH178" s="0" t="n">
        <v>0</v>
      </c>
      <c r="AI178" s="0" t="n">
        <v>0</v>
      </c>
      <c r="AJ178" s="0" t="n">
        <v>0</v>
      </c>
      <c r="AK178" s="0" t="n">
        <v>300</v>
      </c>
      <c r="AL178" s="0" t="n">
        <v>0.48</v>
      </c>
    </row>
    <row r="179">
      <c r="A179" s="0" t="inlineStr">
        <is>
          <t>[대원동]</t>
        </is>
      </c>
      <c r="B179" s="0" t="n">
        <v>15748</v>
      </c>
      <c r="C179" s="0" t="n">
        <v>3</v>
      </c>
      <c r="D179" s="0" t="inlineStr">
        <is>
          <t>현대</t>
        </is>
      </c>
      <c r="E179" s="0" t="inlineStr">
        <is>
          <t>1979.10.</t>
        </is>
      </c>
      <c r="F179" s="0" t="n">
        <v>630</v>
      </c>
      <c r="G179" s="0" t="n">
        <v>17.26</v>
      </c>
      <c r="H179" s="0" t="n">
        <v>57.08</v>
      </c>
      <c r="I179" s="0" t="n">
        <v>14.21</v>
      </c>
      <c r="J179" s="0" t="n">
        <v>47</v>
      </c>
      <c r="K179" s="0" t="n">
        <v>210</v>
      </c>
      <c r="T179" s="0" t="n">
        <v>2</v>
      </c>
      <c r="U179" s="0" t="n">
        <v>1</v>
      </c>
      <c r="V179" s="0" t="inlineStr">
        <is>
          <t>복도식</t>
        </is>
      </c>
      <c r="W179" s="0" t="n">
        <v>57</v>
      </c>
      <c r="X179" s="0" t="n">
        <v>5</v>
      </c>
      <c r="Y179" s="0" t="n">
        <v>5</v>
      </c>
      <c r="Z179" s="0" t="inlineStr">
        <is>
          <t>https://new.land.naver.com/complexes/15748?tab=detail&amp;rf=Y</t>
        </is>
      </c>
      <c r="AA179" s="0" t="inlineStr">
        <is>
          <t>경상남도 창원시 성산구 대원동 39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성산구</t>
        </is>
      </c>
      <c r="AE179" s="0" t="inlineStr">
        <is>
          <t>대원동</t>
        </is>
      </c>
      <c r="AG179" s="0" t="inlineStr">
        <is>
          <t>경상남도 창원시 성산구 대원로93번길 24</t>
        </is>
      </c>
      <c r="AH179" s="0" t="n">
        <v>0</v>
      </c>
      <c r="AI179" s="0" t="n">
        <v>0</v>
      </c>
      <c r="AJ179" s="0" t="n">
        <v>0</v>
      </c>
      <c r="AK179" s="0" t="n">
        <v>300</v>
      </c>
      <c r="AL179" s="0" t="n">
        <v>0.48</v>
      </c>
    </row>
    <row r="180">
      <c r="A180" s="0" t="inlineStr">
        <is>
          <t>[대원동]</t>
        </is>
      </c>
      <c r="B180" s="0" t="n">
        <v>15748</v>
      </c>
      <c r="C180" s="0" t="n">
        <v>4</v>
      </c>
      <c r="D180" s="0" t="inlineStr">
        <is>
          <t>현대</t>
        </is>
      </c>
      <c r="E180" s="0" t="inlineStr">
        <is>
          <t>1979.10.</t>
        </is>
      </c>
      <c r="F180" s="0" t="n">
        <v>630</v>
      </c>
      <c r="G180" s="0" t="n">
        <v>18.72</v>
      </c>
      <c r="H180" s="0" t="n">
        <v>61.91</v>
      </c>
      <c r="I180" s="0" t="n">
        <v>16.88</v>
      </c>
      <c r="J180" s="0" t="n">
        <v>55.83</v>
      </c>
      <c r="K180" s="0" t="n">
        <v>100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5</v>
      </c>
      <c r="Y180" s="0" t="n">
        <v>5</v>
      </c>
      <c r="Z180" s="0" t="inlineStr">
        <is>
          <t>https://new.land.naver.com/complexes/15748?tab=detail&amp;rf=Y</t>
        </is>
      </c>
      <c r="AA180" s="0" t="inlineStr">
        <is>
          <t>경상남도 창원시 성산구 대원동 39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성산구</t>
        </is>
      </c>
      <c r="AE180" s="0" t="inlineStr">
        <is>
          <t>대원동</t>
        </is>
      </c>
      <c r="AG180" s="0" t="inlineStr">
        <is>
          <t>경상남도 창원시 성산구 대원로93번길 24</t>
        </is>
      </c>
      <c r="AH180" s="0" t="n">
        <v>0</v>
      </c>
      <c r="AI180" s="0" t="n">
        <v>0</v>
      </c>
      <c r="AJ180" s="0" t="n">
        <v>0</v>
      </c>
      <c r="AK180" s="0" t="n">
        <v>300</v>
      </c>
      <c r="AL180" s="0" t="n">
        <v>0.48</v>
      </c>
    </row>
    <row r="181">
      <c r="A181" s="0" t="inlineStr">
        <is>
          <t>[대원동]</t>
        </is>
      </c>
      <c r="B181" s="0" t="n">
        <v>15748</v>
      </c>
      <c r="C181" s="0" t="n">
        <v>5</v>
      </c>
      <c r="D181" s="0" t="inlineStr">
        <is>
          <t>현대</t>
        </is>
      </c>
      <c r="E181" s="0" t="inlineStr">
        <is>
          <t>1979.10.</t>
        </is>
      </c>
      <c r="F181" s="0" t="n">
        <v>630</v>
      </c>
      <c r="G181" s="0" t="n">
        <v>18.92</v>
      </c>
      <c r="H181" s="0" t="n">
        <v>62.55</v>
      </c>
      <c r="I181" s="0" t="n">
        <v>17.07</v>
      </c>
      <c r="J181" s="0" t="n">
        <v>56.46</v>
      </c>
      <c r="K181" s="0" t="n">
        <v>150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5</v>
      </c>
      <c r="Y181" s="0" t="n">
        <v>5</v>
      </c>
      <c r="Z181" s="0" t="inlineStr">
        <is>
          <t>https://new.land.naver.com/complexes/15748?tab=detail&amp;rf=Y</t>
        </is>
      </c>
      <c r="AA181" s="0" t="inlineStr">
        <is>
          <t>경상남도 창원시 성산구 대원동 39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성산구</t>
        </is>
      </c>
      <c r="AE181" s="0" t="inlineStr">
        <is>
          <t>대원동</t>
        </is>
      </c>
      <c r="AG181" s="0" t="inlineStr">
        <is>
          <t>경상남도 창원시 성산구 대원로93번길 24</t>
        </is>
      </c>
      <c r="AH181" s="0" t="n">
        <v>0</v>
      </c>
      <c r="AI181" s="0" t="n">
        <v>0</v>
      </c>
      <c r="AJ181" s="0" t="n">
        <v>0</v>
      </c>
      <c r="AK181" s="0" t="n">
        <v>300</v>
      </c>
      <c r="AL181" s="0" t="n">
        <v>0.48</v>
      </c>
    </row>
    <row r="182">
      <c r="A182" s="0" t="inlineStr">
        <is>
          <t>[대원동]</t>
        </is>
      </c>
      <c r="B182" s="0" t="n">
        <v>15748</v>
      </c>
      <c r="C182" s="0" t="n">
        <v>6</v>
      </c>
      <c r="D182" s="0" t="inlineStr">
        <is>
          <t>현대</t>
        </is>
      </c>
      <c r="E182" s="0" t="inlineStr">
        <is>
          <t>1979.10.</t>
        </is>
      </c>
      <c r="F182" s="0" t="n">
        <v>630</v>
      </c>
      <c r="G182" s="0" t="n">
        <v>22.9</v>
      </c>
      <c r="H182" s="0" t="n">
        <v>75.70999999999999</v>
      </c>
      <c r="I182" s="0" t="n">
        <v>22.9</v>
      </c>
      <c r="J182" s="0" t="n">
        <v>75.70999999999999</v>
      </c>
      <c r="K182" s="0" t="n">
        <v>40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75</v>
      </c>
      <c r="X182" s="0" t="n">
        <v>5</v>
      </c>
      <c r="Y182" s="0" t="n">
        <v>5</v>
      </c>
      <c r="Z182" s="0" t="inlineStr">
        <is>
          <t>https://new.land.naver.com/complexes/15748?tab=detail&amp;rf=Y</t>
        </is>
      </c>
      <c r="AA182" s="0" t="inlineStr">
        <is>
          <t>경상남도 창원시 성산구 대원동 39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성산구</t>
        </is>
      </c>
      <c r="AE182" s="0" t="inlineStr">
        <is>
          <t>대원동</t>
        </is>
      </c>
      <c r="AG182" s="0" t="inlineStr">
        <is>
          <t>경상남도 창원시 성산구 대원로93번길 24</t>
        </is>
      </c>
      <c r="AH182" s="0" t="n">
        <v>0</v>
      </c>
      <c r="AI182" s="0" t="n">
        <v>0</v>
      </c>
      <c r="AJ182" s="0" t="n">
        <v>0</v>
      </c>
      <c r="AK182" s="0" t="n">
        <v>300</v>
      </c>
      <c r="AL182" s="0" t="n">
        <v>0.48</v>
      </c>
    </row>
    <row r="183">
      <c r="A183" s="0" t="inlineStr">
        <is>
          <t>[대원동]</t>
        </is>
      </c>
      <c r="B183" s="0" t="n">
        <v>15748</v>
      </c>
      <c r="C183" s="0" t="n">
        <v>7</v>
      </c>
      <c r="D183" s="0" t="inlineStr">
        <is>
          <t>현대</t>
        </is>
      </c>
      <c r="E183" s="0" t="inlineStr">
        <is>
          <t>1979.10.</t>
        </is>
      </c>
      <c r="F183" s="0" t="n">
        <v>630</v>
      </c>
      <c r="G183" s="0" t="n">
        <v>31.12</v>
      </c>
      <c r="H183" s="0" t="n">
        <v>102.89</v>
      </c>
      <c r="I183" s="0" t="n">
        <v>31.12</v>
      </c>
      <c r="J183" s="0" t="n">
        <v>102.89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102</v>
      </c>
      <c r="X183" s="0" t="n">
        <v>5</v>
      </c>
      <c r="Y183" s="0" t="n">
        <v>5</v>
      </c>
      <c r="Z183" s="0" t="inlineStr">
        <is>
          <t>https://new.land.naver.com/complexes/15748?tab=detail&amp;rf=Y</t>
        </is>
      </c>
      <c r="AA183" s="0" t="inlineStr">
        <is>
          <t>경상남도 창원시 성산구 대원동 39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성산구</t>
        </is>
      </c>
      <c r="AE183" s="0" t="inlineStr">
        <is>
          <t>대원동</t>
        </is>
      </c>
      <c r="AG183" s="0" t="inlineStr">
        <is>
          <t>경상남도 창원시 성산구 대원로93번길 24</t>
        </is>
      </c>
      <c r="AH183" s="0" t="n">
        <v>0</v>
      </c>
      <c r="AI183" s="0" t="n">
        <v>0</v>
      </c>
      <c r="AJ183" s="0" t="n">
        <v>0</v>
      </c>
      <c r="AK183" s="0" t="n">
        <v>300</v>
      </c>
      <c r="AL183" s="0" t="n">
        <v>0.48</v>
      </c>
    </row>
    <row r="184">
      <c r="A184" s="0" t="inlineStr">
        <is>
          <t>[대원동]</t>
        </is>
      </c>
      <c r="B184" s="0" t="n">
        <v>15742</v>
      </c>
      <c r="C184" s="0" t="n">
        <v>1</v>
      </c>
      <c r="D184" s="0" t="inlineStr">
        <is>
          <t>대원대동2차</t>
        </is>
      </c>
      <c r="E184" s="0" t="inlineStr">
        <is>
          <t>1999.09.</t>
        </is>
      </c>
      <c r="F184" s="0" t="n">
        <v>148</v>
      </c>
      <c r="G184" s="0" t="n">
        <v>52.3</v>
      </c>
      <c r="H184" s="0" t="n">
        <v>172.92</v>
      </c>
      <c r="I184" s="0" t="n">
        <v>44.15</v>
      </c>
      <c r="J184" s="0" t="n">
        <v>145.98</v>
      </c>
      <c r="K184" s="0" t="n">
        <v>148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172</v>
      </c>
      <c r="X184" s="0" t="n">
        <v>15</v>
      </c>
      <c r="Y184" s="0" t="n">
        <v>11</v>
      </c>
      <c r="Z184" s="0" t="inlineStr">
        <is>
          <t>https://new.land.naver.com/complexes/15742?tab=detail&amp;rf=Y</t>
        </is>
      </c>
      <c r="AA184" s="0" t="inlineStr">
        <is>
          <t>경상남도 창원시 성산구 대원동 80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성산구</t>
        </is>
      </c>
      <c r="AE184" s="0" t="inlineStr">
        <is>
          <t>대원동</t>
        </is>
      </c>
      <c r="AG184" s="0" t="inlineStr">
        <is>
          <t>경상남도 창원시 성산구 창원대로 538</t>
        </is>
      </c>
      <c r="AH184" s="0" t="n">
        <v>0</v>
      </c>
      <c r="AI184" s="0" t="n">
        <v>205</v>
      </c>
      <c r="AJ184" s="0" t="n">
        <v>22</v>
      </c>
      <c r="AK184" s="0" t="n">
        <v>290</v>
      </c>
      <c r="AL184" s="0" t="n">
        <v>1.96</v>
      </c>
    </row>
    <row r="185">
      <c r="A185" s="0" t="inlineStr">
        <is>
          <t>[대원동]</t>
        </is>
      </c>
      <c r="B185" s="0" t="n">
        <v>112657</v>
      </c>
      <c r="C185" s="0" t="n">
        <v>1</v>
      </c>
      <c r="D185" s="0" t="inlineStr">
        <is>
          <t>포레나대원</t>
        </is>
      </c>
      <c r="E185" s="0" t="inlineStr">
        <is>
          <t>2018.12.</t>
        </is>
      </c>
      <c r="F185" s="0" t="n">
        <v>1530</v>
      </c>
      <c r="G185" s="0" t="n">
        <v>24.9</v>
      </c>
      <c r="H185" s="0" t="n">
        <v>82.33</v>
      </c>
      <c r="I185" s="0" t="n">
        <v>17.86</v>
      </c>
      <c r="J185" s="0" t="n">
        <v>59.05</v>
      </c>
      <c r="K185" s="0" t="n">
        <v>296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35</v>
      </c>
      <c r="Y185" s="0" t="n">
        <v>24</v>
      </c>
      <c r="Z185" s="0" t="inlineStr">
        <is>
          <t>https://new.land.naver.com/complexes/112657?tab=detail&amp;rf=Y</t>
        </is>
      </c>
      <c r="AA185" s="0" t="inlineStr">
        <is>
          <t>경상남도 창원시 성산구 대원동 40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성산구</t>
        </is>
      </c>
      <c r="AE185" s="0" t="inlineStr">
        <is>
          <t>대원동</t>
        </is>
      </c>
      <c r="AG185" s="0" t="inlineStr">
        <is>
          <t>경상남도 창원시 성산구 창원천로 34</t>
        </is>
      </c>
      <c r="AH185" s="0" t="n">
        <v>0</v>
      </c>
      <c r="AI185" s="0" t="n">
        <v>215</v>
      </c>
      <c r="AJ185" s="0" t="n">
        <v>14</v>
      </c>
      <c r="AK185" s="0" t="n">
        <v>2274</v>
      </c>
      <c r="AL185" s="0" t="n">
        <v>1.49</v>
      </c>
    </row>
    <row r="186">
      <c r="A186" s="0" t="inlineStr">
        <is>
          <t>[대원동]</t>
        </is>
      </c>
      <c r="B186" s="0" t="n">
        <v>112657</v>
      </c>
      <c r="C186" s="0" t="n">
        <v>2</v>
      </c>
      <c r="D186" s="0" t="inlineStr">
        <is>
          <t>포레나대원</t>
        </is>
      </c>
      <c r="E186" s="0" t="inlineStr">
        <is>
          <t>2018.12.</t>
        </is>
      </c>
      <c r="F186" s="0" t="n">
        <v>1530</v>
      </c>
      <c r="G186" s="0" t="n">
        <v>25.03</v>
      </c>
      <c r="H186" s="0" t="n">
        <v>82.77</v>
      </c>
      <c r="I186" s="0" t="n">
        <v>17.92</v>
      </c>
      <c r="J186" s="0" t="n">
        <v>59.25</v>
      </c>
      <c r="K186" s="0" t="n">
        <v>219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82B</t>
        </is>
      </c>
      <c r="X186" s="0" t="n">
        <v>35</v>
      </c>
      <c r="Y186" s="0" t="n">
        <v>24</v>
      </c>
      <c r="Z186" s="0" t="inlineStr">
        <is>
          <t>https://new.land.naver.com/complexes/112657?tab=detail&amp;rf=Y</t>
        </is>
      </c>
      <c r="AA186" s="0" t="inlineStr">
        <is>
          <t>경상남도 창원시 성산구 대원동 40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성산구</t>
        </is>
      </c>
      <c r="AE186" s="0" t="inlineStr">
        <is>
          <t>대원동</t>
        </is>
      </c>
      <c r="AG186" s="0" t="inlineStr">
        <is>
          <t>경상남도 창원시 성산구 창원천로 34</t>
        </is>
      </c>
      <c r="AH186" s="0" t="n">
        <v>0</v>
      </c>
      <c r="AI186" s="0" t="n">
        <v>215</v>
      </c>
      <c r="AJ186" s="0" t="n">
        <v>14</v>
      </c>
      <c r="AK186" s="0" t="n">
        <v>2274</v>
      </c>
      <c r="AL186" s="0" t="n">
        <v>1.49</v>
      </c>
    </row>
    <row r="187">
      <c r="A187" s="0" t="inlineStr">
        <is>
          <t>[대원동]</t>
        </is>
      </c>
      <c r="B187" s="0" t="n">
        <v>112657</v>
      </c>
      <c r="C187" s="0" t="n">
        <v>3</v>
      </c>
      <c r="D187" s="0" t="inlineStr">
        <is>
          <t>포레나대원</t>
        </is>
      </c>
      <c r="E187" s="0" t="inlineStr">
        <is>
          <t>2018.12.</t>
        </is>
      </c>
      <c r="F187" s="0" t="n">
        <v>1530</v>
      </c>
      <c r="G187" s="0" t="n">
        <v>28.71</v>
      </c>
      <c r="H187" s="0" t="n">
        <v>94.91</v>
      </c>
      <c r="I187" s="0" t="n">
        <v>20.63</v>
      </c>
      <c r="J187" s="0" t="n">
        <v>68.22</v>
      </c>
      <c r="K187" s="0" t="n">
        <v>194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94A</t>
        </is>
      </c>
      <c r="X187" s="0" t="n">
        <v>35</v>
      </c>
      <c r="Y187" s="0" t="n">
        <v>24</v>
      </c>
      <c r="Z187" s="0" t="inlineStr">
        <is>
          <t>https://new.land.naver.com/complexes/112657?tab=detail&amp;rf=Y</t>
        </is>
      </c>
      <c r="AA187" s="0" t="inlineStr">
        <is>
          <t>경상남도 창원시 성산구 대원동 40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성산구</t>
        </is>
      </c>
      <c r="AE187" s="0" t="inlineStr">
        <is>
          <t>대원동</t>
        </is>
      </c>
      <c r="AG187" s="0" t="inlineStr">
        <is>
          <t>경상남도 창원시 성산구 창원천로 34</t>
        </is>
      </c>
      <c r="AH187" s="0" t="n">
        <v>0</v>
      </c>
      <c r="AI187" s="0" t="n">
        <v>215</v>
      </c>
      <c r="AJ187" s="0" t="n">
        <v>14</v>
      </c>
      <c r="AK187" s="0" t="n">
        <v>2274</v>
      </c>
      <c r="AL187" s="0" t="n">
        <v>1.49</v>
      </c>
    </row>
    <row r="188">
      <c r="A188" s="0" t="inlineStr">
        <is>
          <t>[대원동]</t>
        </is>
      </c>
      <c r="B188" s="0" t="n">
        <v>112657</v>
      </c>
      <c r="C188" s="0" t="n">
        <v>4</v>
      </c>
      <c r="D188" s="0" t="inlineStr">
        <is>
          <t>포레나대원</t>
        </is>
      </c>
      <c r="E188" s="0" t="inlineStr">
        <is>
          <t>2018.12.</t>
        </is>
      </c>
      <c r="F188" s="0" t="n">
        <v>1530</v>
      </c>
      <c r="G188" s="0" t="n">
        <v>28.8</v>
      </c>
      <c r="H188" s="0" t="n">
        <v>95.22</v>
      </c>
      <c r="I188" s="0" t="n">
        <v>20.62</v>
      </c>
      <c r="J188" s="0" t="n">
        <v>68.19</v>
      </c>
      <c r="K188" s="0" t="n">
        <v>171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95B</t>
        </is>
      </c>
      <c r="X188" s="0" t="n">
        <v>35</v>
      </c>
      <c r="Y188" s="0" t="n">
        <v>24</v>
      </c>
      <c r="Z188" s="0" t="inlineStr">
        <is>
          <t>https://new.land.naver.com/complexes/112657?tab=detail&amp;rf=Y</t>
        </is>
      </c>
      <c r="AA188" s="0" t="inlineStr">
        <is>
          <t>경상남도 창원시 성산구 대원동 40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성산구</t>
        </is>
      </c>
      <c r="AE188" s="0" t="inlineStr">
        <is>
          <t>대원동</t>
        </is>
      </c>
      <c r="AG188" s="0" t="inlineStr">
        <is>
          <t>경상남도 창원시 성산구 창원천로 34</t>
        </is>
      </c>
      <c r="AH188" s="0" t="n">
        <v>0</v>
      </c>
      <c r="AI188" s="0" t="n">
        <v>215</v>
      </c>
      <c r="AJ188" s="0" t="n">
        <v>14</v>
      </c>
      <c r="AK188" s="0" t="n">
        <v>2274</v>
      </c>
      <c r="AL188" s="0" t="n">
        <v>1.49</v>
      </c>
    </row>
    <row r="189">
      <c r="A189" s="0" t="inlineStr">
        <is>
          <t>[대원동]</t>
        </is>
      </c>
      <c r="B189" s="0" t="n">
        <v>112657</v>
      </c>
      <c r="C189" s="0" t="n">
        <v>5</v>
      </c>
      <c r="D189" s="0" t="inlineStr">
        <is>
          <t>포레나대원</t>
        </is>
      </c>
      <c r="E189" s="0" t="inlineStr">
        <is>
          <t>2018.12.</t>
        </is>
      </c>
      <c r="F189" s="0" t="n">
        <v>1530</v>
      </c>
      <c r="G189" s="0" t="n">
        <v>35.27</v>
      </c>
      <c r="H189" s="0" t="n">
        <v>116.61</v>
      </c>
      <c r="I189" s="0" t="n">
        <v>25.49</v>
      </c>
      <c r="J189" s="0" t="n">
        <v>84.28</v>
      </c>
      <c r="K189" s="0" t="n">
        <v>148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116A</t>
        </is>
      </c>
      <c r="X189" s="0" t="n">
        <v>35</v>
      </c>
      <c r="Y189" s="0" t="n">
        <v>24</v>
      </c>
      <c r="Z189" s="0" t="inlineStr">
        <is>
          <t>https://new.land.naver.com/complexes/112657?tab=detail&amp;rf=Y</t>
        </is>
      </c>
      <c r="AA189" s="0" t="inlineStr">
        <is>
          <t>경상남도 창원시 성산구 대원동 40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성산구</t>
        </is>
      </c>
      <c r="AE189" s="0" t="inlineStr">
        <is>
          <t>대원동</t>
        </is>
      </c>
      <c r="AG189" s="0" t="inlineStr">
        <is>
          <t>경상남도 창원시 성산구 창원천로 34</t>
        </is>
      </c>
      <c r="AH189" s="0" t="n">
        <v>0</v>
      </c>
      <c r="AI189" s="0" t="n">
        <v>215</v>
      </c>
      <c r="AJ189" s="0" t="n">
        <v>14</v>
      </c>
      <c r="AK189" s="0" t="n">
        <v>2274</v>
      </c>
      <c r="AL189" s="0" t="n">
        <v>1.49</v>
      </c>
    </row>
    <row r="190">
      <c r="A190" s="0" t="inlineStr">
        <is>
          <t>[대원동]</t>
        </is>
      </c>
      <c r="B190" s="0" t="n">
        <v>112657</v>
      </c>
      <c r="C190" s="0" t="n">
        <v>6</v>
      </c>
      <c r="D190" s="0" t="inlineStr">
        <is>
          <t>포레나대원</t>
        </is>
      </c>
      <c r="E190" s="0" t="inlineStr">
        <is>
          <t>2018.12.</t>
        </is>
      </c>
      <c r="F190" s="0" t="n">
        <v>1530</v>
      </c>
      <c r="G190" s="0" t="n">
        <v>35.25</v>
      </c>
      <c r="H190" s="0" t="n">
        <v>116.54</v>
      </c>
      <c r="I190" s="0" t="n">
        <v>25.51</v>
      </c>
      <c r="J190" s="0" t="n">
        <v>84.34999999999999</v>
      </c>
      <c r="K190" s="0" t="n">
        <v>148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116B</t>
        </is>
      </c>
      <c r="X190" s="0" t="n">
        <v>35</v>
      </c>
      <c r="Y190" s="0" t="n">
        <v>24</v>
      </c>
      <c r="Z190" s="0" t="inlineStr">
        <is>
          <t>https://new.land.naver.com/complexes/112657?tab=detail&amp;rf=Y</t>
        </is>
      </c>
      <c r="AA190" s="0" t="inlineStr">
        <is>
          <t>경상남도 창원시 성산구 대원동 40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성산구</t>
        </is>
      </c>
      <c r="AE190" s="0" t="inlineStr">
        <is>
          <t>대원동</t>
        </is>
      </c>
      <c r="AG190" s="0" t="inlineStr">
        <is>
          <t>경상남도 창원시 성산구 창원천로 34</t>
        </is>
      </c>
      <c r="AH190" s="0" t="n">
        <v>0</v>
      </c>
      <c r="AI190" s="0" t="n">
        <v>215</v>
      </c>
      <c r="AJ190" s="0" t="n">
        <v>14</v>
      </c>
      <c r="AK190" s="0" t="n">
        <v>2274</v>
      </c>
      <c r="AL190" s="0" t="n">
        <v>1.49</v>
      </c>
    </row>
    <row r="191">
      <c r="A191" s="0" t="inlineStr">
        <is>
          <t>[대원동]</t>
        </is>
      </c>
      <c r="B191" s="0" t="n">
        <v>112657</v>
      </c>
      <c r="C191" s="0" t="n">
        <v>7</v>
      </c>
      <c r="D191" s="0" t="inlineStr">
        <is>
          <t>포레나대원</t>
        </is>
      </c>
      <c r="E191" s="0" t="inlineStr">
        <is>
          <t>2018.12.</t>
        </is>
      </c>
      <c r="F191" s="0" t="n">
        <v>1530</v>
      </c>
      <c r="G191" s="0" t="n">
        <v>35.31</v>
      </c>
      <c r="H191" s="0" t="n">
        <v>116.75</v>
      </c>
      <c r="I191" s="0" t="n">
        <v>25.51</v>
      </c>
      <c r="J191" s="0" t="n">
        <v>84.34999999999999</v>
      </c>
      <c r="K191" s="0" t="n">
        <v>132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116Bb</t>
        </is>
      </c>
      <c r="X191" s="0" t="n">
        <v>35</v>
      </c>
      <c r="Y191" s="0" t="n">
        <v>24</v>
      </c>
      <c r="Z191" s="0" t="inlineStr">
        <is>
          <t>https://new.land.naver.com/complexes/112657?tab=detail&amp;rf=Y</t>
        </is>
      </c>
      <c r="AA191" s="0" t="inlineStr">
        <is>
          <t>경상남도 창원시 성산구 대원동 40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성산구</t>
        </is>
      </c>
      <c r="AE191" s="0" t="inlineStr">
        <is>
          <t>대원동</t>
        </is>
      </c>
      <c r="AG191" s="0" t="inlineStr">
        <is>
          <t>경상남도 창원시 성산구 창원천로 34</t>
        </is>
      </c>
      <c r="AH191" s="0" t="n">
        <v>0</v>
      </c>
      <c r="AI191" s="0" t="n">
        <v>215</v>
      </c>
      <c r="AJ191" s="0" t="n">
        <v>14</v>
      </c>
      <c r="AK191" s="0" t="n">
        <v>2274</v>
      </c>
      <c r="AL191" s="0" t="n">
        <v>1.49</v>
      </c>
    </row>
    <row r="192">
      <c r="A192" s="0" t="inlineStr">
        <is>
          <t>[대원동]</t>
        </is>
      </c>
      <c r="B192" s="0" t="n">
        <v>112657</v>
      </c>
      <c r="C192" s="0" t="n">
        <v>8</v>
      </c>
      <c r="D192" s="0" t="inlineStr">
        <is>
          <t>포레나대원</t>
        </is>
      </c>
      <c r="E192" s="0" t="inlineStr">
        <is>
          <t>2018.12.</t>
        </is>
      </c>
      <c r="F192" s="0" t="n">
        <v>1530</v>
      </c>
      <c r="G192" s="0" t="n">
        <v>35.31</v>
      </c>
      <c r="H192" s="0" t="n">
        <v>116.73</v>
      </c>
      <c r="I192" s="0" t="n">
        <v>25.51</v>
      </c>
      <c r="J192" s="0" t="n">
        <v>84.34999999999999</v>
      </c>
      <c r="K192" s="0" t="n">
        <v>60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116C</t>
        </is>
      </c>
      <c r="X192" s="0" t="n">
        <v>35</v>
      </c>
      <c r="Y192" s="0" t="n">
        <v>24</v>
      </c>
      <c r="Z192" s="0" t="inlineStr">
        <is>
          <t>https://new.land.naver.com/complexes/112657?tab=detail&amp;rf=Y</t>
        </is>
      </c>
      <c r="AA192" s="0" t="inlineStr">
        <is>
          <t>경상남도 창원시 성산구 대원동 40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성산구</t>
        </is>
      </c>
      <c r="AE192" s="0" t="inlineStr">
        <is>
          <t>대원동</t>
        </is>
      </c>
      <c r="AG192" s="0" t="inlineStr">
        <is>
          <t>경상남도 창원시 성산구 창원천로 34</t>
        </is>
      </c>
      <c r="AH192" s="0" t="n">
        <v>0</v>
      </c>
      <c r="AI192" s="0" t="n">
        <v>215</v>
      </c>
      <c r="AJ192" s="0" t="n">
        <v>14</v>
      </c>
      <c r="AK192" s="0" t="n">
        <v>2274</v>
      </c>
      <c r="AL192" s="0" t="n">
        <v>1.49</v>
      </c>
    </row>
    <row r="193">
      <c r="A193" s="0" t="inlineStr">
        <is>
          <t>[대원동]</t>
        </is>
      </c>
      <c r="B193" s="0" t="n">
        <v>112657</v>
      </c>
      <c r="C193" s="0" t="n">
        <v>9</v>
      </c>
      <c r="D193" s="0" t="inlineStr">
        <is>
          <t>포레나대원</t>
        </is>
      </c>
      <c r="E193" s="0" t="inlineStr">
        <is>
          <t>2018.12.</t>
        </is>
      </c>
      <c r="F193" s="0" t="n">
        <v>1530</v>
      </c>
      <c r="G193" s="0" t="n">
        <v>35.52</v>
      </c>
      <c r="H193" s="0" t="n">
        <v>117.44</v>
      </c>
      <c r="I193" s="0" t="n">
        <v>25.53</v>
      </c>
      <c r="J193" s="0" t="n">
        <v>84.40000000000001</v>
      </c>
      <c r="K193" s="0" t="n">
        <v>66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117D</t>
        </is>
      </c>
      <c r="X193" s="0" t="n">
        <v>35</v>
      </c>
      <c r="Y193" s="0" t="n">
        <v>24</v>
      </c>
      <c r="Z193" s="0" t="inlineStr">
        <is>
          <t>https://new.land.naver.com/complexes/112657?tab=detail&amp;rf=Y</t>
        </is>
      </c>
      <c r="AA193" s="0" t="inlineStr">
        <is>
          <t>경상남도 창원시 성산구 대원동 40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성산구</t>
        </is>
      </c>
      <c r="AE193" s="0" t="inlineStr">
        <is>
          <t>대원동</t>
        </is>
      </c>
      <c r="AG193" s="0" t="inlineStr">
        <is>
          <t>경상남도 창원시 성산구 창원천로 34</t>
        </is>
      </c>
      <c r="AH193" s="0" t="n">
        <v>0</v>
      </c>
      <c r="AI193" s="0" t="n">
        <v>215</v>
      </c>
      <c r="AJ193" s="0" t="n">
        <v>14</v>
      </c>
      <c r="AK193" s="0" t="n">
        <v>2274</v>
      </c>
      <c r="AL193" s="0" t="n">
        <v>1.49</v>
      </c>
    </row>
    <row r="194">
      <c r="A194" s="0" t="inlineStr">
        <is>
          <t>[대원동]</t>
        </is>
      </c>
      <c r="B194" s="0" t="n">
        <v>112657</v>
      </c>
      <c r="C194" s="0" t="n">
        <v>10</v>
      </c>
      <c r="D194" s="0" t="inlineStr">
        <is>
          <t>포레나대원</t>
        </is>
      </c>
      <c r="E194" s="0" t="inlineStr">
        <is>
          <t>2018.12.</t>
        </is>
      </c>
      <c r="F194" s="0" t="n">
        <v>1530</v>
      </c>
      <c r="G194" s="0" t="n">
        <v>35.44</v>
      </c>
      <c r="H194" s="0" t="n">
        <v>117.18</v>
      </c>
      <c r="I194" s="0" t="n">
        <v>25.51</v>
      </c>
      <c r="J194" s="0" t="n">
        <v>84.34999999999999</v>
      </c>
      <c r="K194" s="0" t="n">
        <v>48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117Ba</t>
        </is>
      </c>
      <c r="X194" s="0" t="n">
        <v>35</v>
      </c>
      <c r="Y194" s="0" t="n">
        <v>24</v>
      </c>
      <c r="Z194" s="0" t="inlineStr">
        <is>
          <t>https://new.land.naver.com/complexes/112657?tab=detail&amp;rf=Y</t>
        </is>
      </c>
      <c r="AA194" s="0" t="inlineStr">
        <is>
          <t>경상남도 창원시 성산구 대원동 40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성산구</t>
        </is>
      </c>
      <c r="AE194" s="0" t="inlineStr">
        <is>
          <t>대원동</t>
        </is>
      </c>
      <c r="AG194" s="0" t="inlineStr">
        <is>
          <t>경상남도 창원시 성산구 창원천로 34</t>
        </is>
      </c>
      <c r="AH194" s="0" t="n">
        <v>0</v>
      </c>
      <c r="AI194" s="0" t="n">
        <v>215</v>
      </c>
      <c r="AJ194" s="0" t="n">
        <v>14</v>
      </c>
      <c r="AK194" s="0" t="n">
        <v>2274</v>
      </c>
      <c r="AL194" s="0" t="n">
        <v>1.49</v>
      </c>
    </row>
    <row r="195">
      <c r="A195" s="0" t="inlineStr">
        <is>
          <t>[대원동]</t>
        </is>
      </c>
      <c r="B195" s="0" t="n">
        <v>112657</v>
      </c>
      <c r="C195" s="0" t="n">
        <v>11</v>
      </c>
      <c r="D195" s="0" t="inlineStr">
        <is>
          <t>포레나대원</t>
        </is>
      </c>
      <c r="E195" s="0" t="inlineStr">
        <is>
          <t>2018.12.</t>
        </is>
      </c>
      <c r="F195" s="0" t="n">
        <v>1530</v>
      </c>
      <c r="G195" s="0" t="n">
        <v>44.48</v>
      </c>
      <c r="H195" s="0" t="n">
        <v>147.06</v>
      </c>
      <c r="I195" s="0" t="n">
        <v>32.74</v>
      </c>
      <c r="J195" s="0" t="n">
        <v>108.25</v>
      </c>
      <c r="K195" s="0" t="n">
        <v>48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35</v>
      </c>
      <c r="Y195" s="0" t="n">
        <v>24</v>
      </c>
      <c r="Z195" s="0" t="inlineStr">
        <is>
          <t>https://new.land.naver.com/complexes/112657?tab=detail&amp;rf=Y</t>
        </is>
      </c>
      <c r="AA195" s="0" t="inlineStr">
        <is>
          <t>경상남도 창원시 성산구 대원동 40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성산구</t>
        </is>
      </c>
      <c r="AE195" s="0" t="inlineStr">
        <is>
          <t>대원동</t>
        </is>
      </c>
      <c r="AG195" s="0" t="inlineStr">
        <is>
          <t>경상남도 창원시 성산구 창원천로 34</t>
        </is>
      </c>
      <c r="AH195" s="0" t="n">
        <v>0</v>
      </c>
      <c r="AI195" s="0" t="n">
        <v>215</v>
      </c>
      <c r="AJ195" s="0" t="n">
        <v>14</v>
      </c>
      <c r="AK195" s="0" t="n">
        <v>2274</v>
      </c>
      <c r="AL195" s="0" t="n">
        <v>1.49</v>
      </c>
    </row>
    <row r="196">
      <c r="A196" s="0" t="inlineStr">
        <is>
          <t>[대원동]</t>
        </is>
      </c>
      <c r="B196" s="0" t="n">
        <v>7701</v>
      </c>
      <c r="C196" s="0" t="n">
        <v>1</v>
      </c>
      <c r="D196" s="0" t="inlineStr">
        <is>
          <t>대원대동황토방1차</t>
        </is>
      </c>
      <c r="E196" s="0" t="inlineStr">
        <is>
          <t>1999.04.</t>
        </is>
      </c>
      <c r="F196" s="0" t="n">
        <v>486</v>
      </c>
      <c r="G196" s="0" t="n">
        <v>31.49</v>
      </c>
      <c r="H196" s="0" t="n">
        <v>104.1</v>
      </c>
      <c r="I196" s="0" t="n">
        <v>25.67</v>
      </c>
      <c r="J196" s="0" t="n">
        <v>84.87</v>
      </c>
      <c r="K196" s="0" t="n">
        <v>330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104</v>
      </c>
      <c r="X196" s="0" t="n">
        <v>15</v>
      </c>
      <c r="Y196" s="0" t="n">
        <v>10</v>
      </c>
      <c r="Z196" s="0" t="inlineStr">
        <is>
          <t>https://new.land.naver.com/complexes/7701?tab=detail&amp;rf=Y</t>
        </is>
      </c>
      <c r="AA196" s="0" t="inlineStr">
        <is>
          <t>경상남도 창원시 성산구 대원동 80-1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성산구</t>
        </is>
      </c>
      <c r="AE196" s="0" t="inlineStr">
        <is>
          <t>대원동</t>
        </is>
      </c>
      <c r="AG196" s="0" t="inlineStr">
        <is>
          <t>경상남도 창원시 성산구 창원대로 548</t>
        </is>
      </c>
      <c r="AH196" s="0" t="n">
        <v>0</v>
      </c>
      <c r="AI196" s="0" t="n">
        <v>230</v>
      </c>
      <c r="AJ196" s="0" t="n">
        <v>23</v>
      </c>
      <c r="AK196" s="0" t="n">
        <v>602</v>
      </c>
      <c r="AL196" s="0" t="n">
        <v>1.24</v>
      </c>
    </row>
    <row r="197">
      <c r="A197" s="0" t="inlineStr">
        <is>
          <t>[대원동]</t>
        </is>
      </c>
      <c r="B197" s="0" t="n">
        <v>7701</v>
      </c>
      <c r="C197" s="0" t="n">
        <v>2</v>
      </c>
      <c r="D197" s="0" t="inlineStr">
        <is>
          <t>대원대동황토방1차</t>
        </is>
      </c>
      <c r="E197" s="0" t="inlineStr">
        <is>
          <t>1999.04.</t>
        </is>
      </c>
      <c r="F197" s="0" t="n">
        <v>486</v>
      </c>
      <c r="G197" s="0" t="n">
        <v>43.36</v>
      </c>
      <c r="H197" s="0" t="n">
        <v>143.35</v>
      </c>
      <c r="I197" s="0" t="n">
        <v>36.58</v>
      </c>
      <c r="J197" s="0" t="n">
        <v>120.93</v>
      </c>
      <c r="K197" s="0" t="n">
        <v>156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143</v>
      </c>
      <c r="X197" s="0" t="n">
        <v>15</v>
      </c>
      <c r="Y197" s="0" t="n">
        <v>10</v>
      </c>
      <c r="Z197" s="0" t="inlineStr">
        <is>
          <t>https://new.land.naver.com/complexes/7701?tab=detail&amp;rf=Y</t>
        </is>
      </c>
      <c r="AA197" s="0" t="inlineStr">
        <is>
          <t>경상남도 창원시 성산구 대원동 80-1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성산구</t>
        </is>
      </c>
      <c r="AE197" s="0" t="inlineStr">
        <is>
          <t>대원동</t>
        </is>
      </c>
      <c r="AG197" s="0" t="inlineStr">
        <is>
          <t>경상남도 창원시 성산구 창원대로 548</t>
        </is>
      </c>
      <c r="AH197" s="0" t="n">
        <v>0</v>
      </c>
      <c r="AI197" s="0" t="n">
        <v>230</v>
      </c>
      <c r="AJ197" s="0" t="n">
        <v>23</v>
      </c>
      <c r="AK197" s="0" t="n">
        <v>602</v>
      </c>
      <c r="AL197" s="0" t="n">
        <v>1.24</v>
      </c>
    </row>
    <row r="198">
      <c r="A198" s="0" t="inlineStr">
        <is>
          <t>[반림동]</t>
        </is>
      </c>
      <c r="B198" s="0" t="n">
        <v>25168</v>
      </c>
      <c r="C198" s="0" t="n">
        <v>1</v>
      </c>
      <c r="D198" s="0" t="inlineStr">
        <is>
          <t>노블파크</t>
        </is>
      </c>
      <c r="E198" s="0" t="inlineStr">
        <is>
          <t>2007.12.</t>
        </is>
      </c>
      <c r="F198" s="0" t="n">
        <v>2699</v>
      </c>
      <c r="G198" s="0" t="n">
        <v>21.12</v>
      </c>
      <c r="H198" s="0" t="n">
        <v>69.81999999999999</v>
      </c>
      <c r="I198" s="0" t="n">
        <v>15.68</v>
      </c>
      <c r="J198" s="0" t="n">
        <v>51.86</v>
      </c>
      <c r="K198" s="0" t="n">
        <v>30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69</v>
      </c>
      <c r="X198" s="0" t="n">
        <v>18</v>
      </c>
      <c r="Y198" s="0" t="n">
        <v>15</v>
      </c>
      <c r="Z198" s="0" t="inlineStr">
        <is>
          <t>https://new.land.naver.com/complexes/25168?tab=detail&amp;rf=Y</t>
        </is>
      </c>
      <c r="AA198" s="0" t="inlineStr">
        <is>
          <t>경상남도 창원시 성산구 반림동 10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성산구</t>
        </is>
      </c>
      <c r="AE198" s="0" t="inlineStr">
        <is>
          <t>반림동</t>
        </is>
      </c>
      <c r="AG198" s="0" t="inlineStr">
        <is>
          <t>경상남도 창원시 성산구 원이대로 449</t>
        </is>
      </c>
      <c r="AH198" s="0" t="n">
        <v>0</v>
      </c>
      <c r="AI198" s="0" t="n">
        <v>254</v>
      </c>
      <c r="AJ198" s="0" t="n">
        <v>18</v>
      </c>
      <c r="AK198" s="0" t="n">
        <v>3139</v>
      </c>
      <c r="AL198" s="0" t="n">
        <v>1.16</v>
      </c>
    </row>
    <row r="199">
      <c r="A199" s="0" t="inlineStr">
        <is>
          <t>[반림동]</t>
        </is>
      </c>
      <c r="B199" s="0" t="n">
        <v>25168</v>
      </c>
      <c r="C199" s="0" t="n">
        <v>2</v>
      </c>
      <c r="D199" s="0" t="inlineStr">
        <is>
          <t>노블파크</t>
        </is>
      </c>
      <c r="E199" s="0" t="inlineStr">
        <is>
          <t>2007.12.</t>
        </is>
      </c>
      <c r="F199" s="0" t="n">
        <v>2699</v>
      </c>
      <c r="G199" s="0" t="n">
        <v>25.41</v>
      </c>
      <c r="H199" s="0" t="n">
        <v>84.01000000000001</v>
      </c>
      <c r="I199" s="0" t="n">
        <v>18.14</v>
      </c>
      <c r="J199" s="0" t="n">
        <v>59.98</v>
      </c>
      <c r="K199" s="0" t="n">
        <v>164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84</v>
      </c>
      <c r="X199" s="0" t="n">
        <v>18</v>
      </c>
      <c r="Y199" s="0" t="n">
        <v>15</v>
      </c>
      <c r="Z199" s="0" t="inlineStr">
        <is>
          <t>https://new.land.naver.com/complexes/25168?tab=detail&amp;rf=Y</t>
        </is>
      </c>
      <c r="AA199" s="0" t="inlineStr">
        <is>
          <t>경상남도 창원시 성산구 반림동 10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성산구</t>
        </is>
      </c>
      <c r="AE199" s="0" t="inlineStr">
        <is>
          <t>반림동</t>
        </is>
      </c>
      <c r="AG199" s="0" t="inlineStr">
        <is>
          <t>경상남도 창원시 성산구 원이대로 449</t>
        </is>
      </c>
      <c r="AH199" s="0" t="n">
        <v>0</v>
      </c>
      <c r="AI199" s="0" t="n">
        <v>254</v>
      </c>
      <c r="AJ199" s="0" t="n">
        <v>18</v>
      </c>
      <c r="AK199" s="0" t="n">
        <v>3139</v>
      </c>
      <c r="AL199" s="0" t="n">
        <v>1.16</v>
      </c>
    </row>
    <row r="200">
      <c r="A200" s="0" t="inlineStr">
        <is>
          <t>[반림동]</t>
        </is>
      </c>
      <c r="B200" s="0" t="n">
        <v>25168</v>
      </c>
      <c r="C200" s="0" t="n">
        <v>3</v>
      </c>
      <c r="D200" s="0" t="inlineStr">
        <is>
          <t>노블파크</t>
        </is>
      </c>
      <c r="E200" s="0" t="inlineStr">
        <is>
          <t>2007.12.</t>
        </is>
      </c>
      <c r="F200" s="0" t="n">
        <v>2699</v>
      </c>
      <c r="G200" s="0" t="n">
        <v>27.3</v>
      </c>
      <c r="H200" s="0" t="n">
        <v>90.28</v>
      </c>
      <c r="I200" s="0" t="n">
        <v>20.06</v>
      </c>
      <c r="J200" s="0" t="n">
        <v>66.33</v>
      </c>
      <c r="K200" s="0" t="n">
        <v>6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90</v>
      </c>
      <c r="X200" s="0" t="n">
        <v>18</v>
      </c>
      <c r="Y200" s="0" t="n">
        <v>15</v>
      </c>
      <c r="Z200" s="0" t="inlineStr">
        <is>
          <t>https://new.land.naver.com/complexes/25168?tab=detail&amp;rf=Y</t>
        </is>
      </c>
      <c r="AA200" s="0" t="inlineStr">
        <is>
          <t>경상남도 창원시 성산구 반림동 10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성산구</t>
        </is>
      </c>
      <c r="AE200" s="0" t="inlineStr">
        <is>
          <t>반림동</t>
        </is>
      </c>
      <c r="AG200" s="0" t="inlineStr">
        <is>
          <t>경상남도 창원시 성산구 원이대로 449</t>
        </is>
      </c>
      <c r="AH200" s="0" t="n">
        <v>0</v>
      </c>
      <c r="AI200" s="0" t="n">
        <v>254</v>
      </c>
      <c r="AJ200" s="0" t="n">
        <v>18</v>
      </c>
      <c r="AK200" s="0" t="n">
        <v>3139</v>
      </c>
      <c r="AL200" s="0" t="n">
        <v>1.16</v>
      </c>
    </row>
    <row r="201">
      <c r="A201" s="0" t="inlineStr">
        <is>
          <t>[반림동]</t>
        </is>
      </c>
      <c r="B201" s="0" t="n">
        <v>25168</v>
      </c>
      <c r="C201" s="0" t="n">
        <v>4</v>
      </c>
      <c r="D201" s="0" t="inlineStr">
        <is>
          <t>노블파크</t>
        </is>
      </c>
      <c r="E201" s="0" t="inlineStr">
        <is>
          <t>2007.12.</t>
        </is>
      </c>
      <c r="F201" s="0" t="n">
        <v>2699</v>
      </c>
      <c r="G201" s="0" t="n">
        <v>31.07</v>
      </c>
      <c r="H201" s="0" t="n">
        <v>102.73</v>
      </c>
      <c r="I201" s="0" t="n">
        <v>22.99</v>
      </c>
      <c r="J201" s="0" t="n">
        <v>76.03</v>
      </c>
      <c r="K201" s="0" t="n">
        <v>250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102A2</t>
        </is>
      </c>
      <c r="X201" s="0" t="n">
        <v>18</v>
      </c>
      <c r="Y201" s="0" t="n">
        <v>15</v>
      </c>
      <c r="Z201" s="0" t="inlineStr">
        <is>
          <t>https://new.land.naver.com/complexes/25168?tab=detail&amp;rf=Y</t>
        </is>
      </c>
      <c r="AA201" s="0" t="inlineStr">
        <is>
          <t>경상남도 창원시 성산구 반림동 10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성산구</t>
        </is>
      </c>
      <c r="AE201" s="0" t="inlineStr">
        <is>
          <t>반림동</t>
        </is>
      </c>
      <c r="AG201" s="0" t="inlineStr">
        <is>
          <t>경상남도 창원시 성산구 원이대로 449</t>
        </is>
      </c>
      <c r="AH201" s="0" t="n">
        <v>0</v>
      </c>
      <c r="AI201" s="0" t="n">
        <v>254</v>
      </c>
      <c r="AJ201" s="0" t="n">
        <v>18</v>
      </c>
      <c r="AK201" s="0" t="n">
        <v>3139</v>
      </c>
      <c r="AL201" s="0" t="n">
        <v>1.16</v>
      </c>
    </row>
    <row r="202">
      <c r="A202" s="0" t="inlineStr">
        <is>
          <t>[반림동]</t>
        </is>
      </c>
      <c r="B202" s="0" t="n">
        <v>25168</v>
      </c>
      <c r="C202" s="0" t="n">
        <v>5</v>
      </c>
      <c r="D202" s="0" t="inlineStr">
        <is>
          <t>노블파크</t>
        </is>
      </c>
      <c r="E202" s="0" t="inlineStr">
        <is>
          <t>2007.12.</t>
        </is>
      </c>
      <c r="F202" s="0" t="n">
        <v>2699</v>
      </c>
      <c r="G202" s="0" t="n">
        <v>31.13</v>
      </c>
      <c r="H202" s="0" t="n">
        <v>102.92</v>
      </c>
      <c r="I202" s="0" t="n">
        <v>23.04</v>
      </c>
      <c r="J202" s="0" t="n">
        <v>76.17</v>
      </c>
      <c r="K202" s="0" t="n">
        <v>166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102B</t>
        </is>
      </c>
      <c r="X202" s="0" t="n">
        <v>18</v>
      </c>
      <c r="Y202" s="0" t="n">
        <v>15</v>
      </c>
      <c r="Z202" s="0" t="inlineStr">
        <is>
          <t>https://new.land.naver.com/complexes/25168?tab=detail&amp;rf=Y</t>
        </is>
      </c>
      <c r="AA202" s="0" t="inlineStr">
        <is>
          <t>경상남도 창원시 성산구 반림동 10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성산구</t>
        </is>
      </c>
      <c r="AE202" s="0" t="inlineStr">
        <is>
          <t>반림동</t>
        </is>
      </c>
      <c r="AG202" s="0" t="inlineStr">
        <is>
          <t>경상남도 창원시 성산구 원이대로 449</t>
        </is>
      </c>
      <c r="AH202" s="0" t="n">
        <v>0</v>
      </c>
      <c r="AI202" s="0" t="n">
        <v>254</v>
      </c>
      <c r="AJ202" s="0" t="n">
        <v>18</v>
      </c>
      <c r="AK202" s="0" t="n">
        <v>3139</v>
      </c>
      <c r="AL202" s="0" t="n">
        <v>1.16</v>
      </c>
    </row>
    <row r="203">
      <c r="A203" s="0" t="inlineStr">
        <is>
          <t>[반림동]</t>
        </is>
      </c>
      <c r="B203" s="0" t="n">
        <v>25168</v>
      </c>
      <c r="C203" s="0" t="n">
        <v>6</v>
      </c>
      <c r="D203" s="0" t="inlineStr">
        <is>
          <t>노블파크</t>
        </is>
      </c>
      <c r="E203" s="0" t="inlineStr">
        <is>
          <t>2007.12.</t>
        </is>
      </c>
      <c r="F203" s="0" t="n">
        <v>2699</v>
      </c>
      <c r="G203" s="0" t="n">
        <v>31.16</v>
      </c>
      <c r="H203" s="0" t="n">
        <v>103.03</v>
      </c>
      <c r="I203" s="0" t="n">
        <v>22.98</v>
      </c>
      <c r="J203" s="0" t="n">
        <v>75.98</v>
      </c>
      <c r="K203" s="0" t="n">
        <v>176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103A1</t>
        </is>
      </c>
      <c r="X203" s="0" t="n">
        <v>18</v>
      </c>
      <c r="Y203" s="0" t="n">
        <v>15</v>
      </c>
      <c r="Z203" s="0" t="inlineStr">
        <is>
          <t>https://new.land.naver.com/complexes/25168?tab=detail&amp;rf=Y</t>
        </is>
      </c>
      <c r="AA203" s="0" t="inlineStr">
        <is>
          <t>경상남도 창원시 성산구 반림동 10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성산구</t>
        </is>
      </c>
      <c r="AE203" s="0" t="inlineStr">
        <is>
          <t>반림동</t>
        </is>
      </c>
      <c r="AG203" s="0" t="inlineStr">
        <is>
          <t>경상남도 창원시 성산구 원이대로 449</t>
        </is>
      </c>
      <c r="AH203" s="0" t="n">
        <v>0</v>
      </c>
      <c r="AI203" s="0" t="n">
        <v>254</v>
      </c>
      <c r="AJ203" s="0" t="n">
        <v>18</v>
      </c>
      <c r="AK203" s="0" t="n">
        <v>3139</v>
      </c>
      <c r="AL203" s="0" t="n">
        <v>1.16</v>
      </c>
    </row>
    <row r="204">
      <c r="A204" s="0" t="inlineStr">
        <is>
          <t>[반림동]</t>
        </is>
      </c>
      <c r="B204" s="0" t="n">
        <v>25168</v>
      </c>
      <c r="C204" s="0" t="n">
        <v>7</v>
      </c>
      <c r="D204" s="0" t="inlineStr">
        <is>
          <t>노블파크</t>
        </is>
      </c>
      <c r="E204" s="0" t="inlineStr">
        <is>
          <t>2007.12.</t>
        </is>
      </c>
      <c r="F204" s="0" t="n">
        <v>2699</v>
      </c>
      <c r="G204" s="0" t="n">
        <v>34.38</v>
      </c>
      <c r="H204" s="0" t="n">
        <v>113.67</v>
      </c>
      <c r="I204" s="0" t="n">
        <v>25.69</v>
      </c>
      <c r="J204" s="0" t="n">
        <v>84.95</v>
      </c>
      <c r="K204" s="0" t="n">
        <v>674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113A1</t>
        </is>
      </c>
      <c r="X204" s="0" t="n">
        <v>18</v>
      </c>
      <c r="Y204" s="0" t="n">
        <v>15</v>
      </c>
      <c r="Z204" s="0" t="inlineStr">
        <is>
          <t>https://new.land.naver.com/complexes/25168?tab=detail&amp;rf=Y</t>
        </is>
      </c>
      <c r="AA204" s="0" t="inlineStr">
        <is>
          <t>경상남도 창원시 성산구 반림동 10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성산구</t>
        </is>
      </c>
      <c r="AE204" s="0" t="inlineStr">
        <is>
          <t>반림동</t>
        </is>
      </c>
      <c r="AG204" s="0" t="inlineStr">
        <is>
          <t>경상남도 창원시 성산구 원이대로 449</t>
        </is>
      </c>
      <c r="AH204" s="0" t="n">
        <v>0</v>
      </c>
      <c r="AI204" s="0" t="n">
        <v>254</v>
      </c>
      <c r="AJ204" s="0" t="n">
        <v>18</v>
      </c>
      <c r="AK204" s="0" t="n">
        <v>3139</v>
      </c>
      <c r="AL204" s="0" t="n">
        <v>1.16</v>
      </c>
    </row>
    <row r="205">
      <c r="A205" s="0" t="inlineStr">
        <is>
          <t>[반림동]</t>
        </is>
      </c>
      <c r="B205" s="0" t="n">
        <v>25168</v>
      </c>
      <c r="C205" s="0" t="n">
        <v>8</v>
      </c>
      <c r="D205" s="0" t="inlineStr">
        <is>
          <t>노블파크</t>
        </is>
      </c>
      <c r="E205" s="0" t="inlineStr">
        <is>
          <t>2007.12.</t>
        </is>
      </c>
      <c r="F205" s="0" t="n">
        <v>2699</v>
      </c>
      <c r="G205" s="0" t="n">
        <v>34.39</v>
      </c>
      <c r="H205" s="0" t="n">
        <v>113.71</v>
      </c>
      <c r="I205" s="0" t="n">
        <v>25.7</v>
      </c>
      <c r="J205" s="0" t="n">
        <v>84.98</v>
      </c>
      <c r="K205" s="0" t="n">
        <v>236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113B1</t>
        </is>
      </c>
      <c r="X205" s="0" t="n">
        <v>18</v>
      </c>
      <c r="Y205" s="0" t="n">
        <v>15</v>
      </c>
      <c r="Z205" s="0" t="inlineStr">
        <is>
          <t>https://new.land.naver.com/complexes/25168?tab=detail&amp;rf=Y</t>
        </is>
      </c>
      <c r="AA205" s="0" t="inlineStr">
        <is>
          <t>경상남도 창원시 성산구 반림동 10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성산구</t>
        </is>
      </c>
      <c r="AE205" s="0" t="inlineStr">
        <is>
          <t>반림동</t>
        </is>
      </c>
      <c r="AG205" s="0" t="inlineStr">
        <is>
          <t>경상남도 창원시 성산구 원이대로 449</t>
        </is>
      </c>
      <c r="AH205" s="0" t="n">
        <v>0</v>
      </c>
      <c r="AI205" s="0" t="n">
        <v>254</v>
      </c>
      <c r="AJ205" s="0" t="n">
        <v>18</v>
      </c>
      <c r="AK205" s="0" t="n">
        <v>3139</v>
      </c>
      <c r="AL205" s="0" t="n">
        <v>1.16</v>
      </c>
    </row>
    <row r="206">
      <c r="A206" s="0" t="inlineStr">
        <is>
          <t>[반림동]</t>
        </is>
      </c>
      <c r="B206" s="0" t="n">
        <v>25168</v>
      </c>
      <c r="C206" s="0" t="n">
        <v>9</v>
      </c>
      <c r="D206" s="0" t="inlineStr">
        <is>
          <t>노블파크</t>
        </is>
      </c>
      <c r="E206" s="0" t="inlineStr">
        <is>
          <t>2007.12.</t>
        </is>
      </c>
      <c r="F206" s="0" t="n">
        <v>2699</v>
      </c>
      <c r="G206" s="0" t="n">
        <v>34.38</v>
      </c>
      <c r="H206" s="0" t="n">
        <v>113.67</v>
      </c>
      <c r="I206" s="0" t="n">
        <v>25.69</v>
      </c>
      <c r="J206" s="0" t="n">
        <v>84.95</v>
      </c>
      <c r="K206" s="0" t="n">
        <v>120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113A2</t>
        </is>
      </c>
      <c r="X206" s="0" t="n">
        <v>18</v>
      </c>
      <c r="Y206" s="0" t="n">
        <v>15</v>
      </c>
      <c r="Z206" s="0" t="inlineStr">
        <is>
          <t>https://new.land.naver.com/complexes/25168?tab=detail&amp;rf=Y</t>
        </is>
      </c>
      <c r="AA206" s="0" t="inlineStr">
        <is>
          <t>경상남도 창원시 성산구 반림동 10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성산구</t>
        </is>
      </c>
      <c r="AE206" s="0" t="inlineStr">
        <is>
          <t>반림동</t>
        </is>
      </c>
      <c r="AG206" s="0" t="inlineStr">
        <is>
          <t>경상남도 창원시 성산구 원이대로 449</t>
        </is>
      </c>
      <c r="AH206" s="0" t="n">
        <v>0</v>
      </c>
      <c r="AI206" s="0" t="n">
        <v>254</v>
      </c>
      <c r="AJ206" s="0" t="n">
        <v>18</v>
      </c>
      <c r="AK206" s="0" t="n">
        <v>3139</v>
      </c>
      <c r="AL206" s="0" t="n">
        <v>1.16</v>
      </c>
    </row>
    <row r="207">
      <c r="A207" s="0" t="inlineStr">
        <is>
          <t>[반림동]</t>
        </is>
      </c>
      <c r="B207" s="0" t="n">
        <v>25168</v>
      </c>
      <c r="C207" s="0" t="n">
        <v>10</v>
      </c>
      <c r="D207" s="0" t="inlineStr">
        <is>
          <t>노블파크</t>
        </is>
      </c>
      <c r="E207" s="0" t="inlineStr">
        <is>
          <t>2007.12.</t>
        </is>
      </c>
      <c r="F207" s="0" t="n">
        <v>2699</v>
      </c>
      <c r="G207" s="0" t="n">
        <v>34.39</v>
      </c>
      <c r="H207" s="0" t="n">
        <v>113.71</v>
      </c>
      <c r="I207" s="0" t="n">
        <v>25.7</v>
      </c>
      <c r="J207" s="0" t="n">
        <v>84.98</v>
      </c>
      <c r="K207" s="0" t="n">
        <v>118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113B2</t>
        </is>
      </c>
      <c r="X207" s="0" t="n">
        <v>18</v>
      </c>
      <c r="Y207" s="0" t="n">
        <v>15</v>
      </c>
      <c r="Z207" s="0" t="inlineStr">
        <is>
          <t>https://new.land.naver.com/complexes/25168?tab=detail&amp;rf=Y</t>
        </is>
      </c>
      <c r="AA207" s="0" t="inlineStr">
        <is>
          <t>경상남도 창원시 성산구 반림동 10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성산구</t>
        </is>
      </c>
      <c r="AE207" s="0" t="inlineStr">
        <is>
          <t>반림동</t>
        </is>
      </c>
      <c r="AG207" s="0" t="inlineStr">
        <is>
          <t>경상남도 창원시 성산구 원이대로 449</t>
        </is>
      </c>
      <c r="AH207" s="0" t="n">
        <v>0</v>
      </c>
      <c r="AI207" s="0" t="n">
        <v>254</v>
      </c>
      <c r="AJ207" s="0" t="n">
        <v>18</v>
      </c>
      <c r="AK207" s="0" t="n">
        <v>3139</v>
      </c>
      <c r="AL207" s="0" t="n">
        <v>1.16</v>
      </c>
    </row>
    <row r="208">
      <c r="A208" s="0" t="inlineStr">
        <is>
          <t>[반림동]</t>
        </is>
      </c>
      <c r="B208" s="0" t="n">
        <v>25168</v>
      </c>
      <c r="C208" s="0" t="n">
        <v>11</v>
      </c>
      <c r="D208" s="0" t="inlineStr">
        <is>
          <t>노블파크</t>
        </is>
      </c>
      <c r="E208" s="0" t="inlineStr">
        <is>
          <t>2007.12.</t>
        </is>
      </c>
      <c r="F208" s="0" t="n">
        <v>2699</v>
      </c>
      <c r="G208" s="0" t="n">
        <v>34.39</v>
      </c>
      <c r="H208" s="0" t="n">
        <v>113.71</v>
      </c>
      <c r="I208" s="0" t="n">
        <v>25.7</v>
      </c>
      <c r="J208" s="0" t="n">
        <v>84.98</v>
      </c>
      <c r="K208" s="0" t="n">
        <v>60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113B3</t>
        </is>
      </c>
      <c r="X208" s="0" t="n">
        <v>18</v>
      </c>
      <c r="Y208" s="0" t="n">
        <v>15</v>
      </c>
      <c r="Z208" s="0" t="inlineStr">
        <is>
          <t>https://new.land.naver.com/complexes/25168?tab=detail&amp;rf=Y</t>
        </is>
      </c>
      <c r="AA208" s="0" t="inlineStr">
        <is>
          <t>경상남도 창원시 성산구 반림동 10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성산구</t>
        </is>
      </c>
      <c r="AE208" s="0" t="inlineStr">
        <is>
          <t>반림동</t>
        </is>
      </c>
      <c r="AG208" s="0" t="inlineStr">
        <is>
          <t>경상남도 창원시 성산구 원이대로 449</t>
        </is>
      </c>
      <c r="AH208" s="0" t="n">
        <v>0</v>
      </c>
      <c r="AI208" s="0" t="n">
        <v>254</v>
      </c>
      <c r="AJ208" s="0" t="n">
        <v>18</v>
      </c>
      <c r="AK208" s="0" t="n">
        <v>3139</v>
      </c>
      <c r="AL208" s="0" t="n">
        <v>1.16</v>
      </c>
    </row>
    <row r="209">
      <c r="A209" s="0" t="inlineStr">
        <is>
          <t>[반림동]</t>
        </is>
      </c>
      <c r="B209" s="0" t="n">
        <v>25168</v>
      </c>
      <c r="C209" s="0" t="n">
        <v>12</v>
      </c>
      <c r="D209" s="0" t="inlineStr">
        <is>
          <t>노블파크</t>
        </is>
      </c>
      <c r="E209" s="0" t="inlineStr">
        <is>
          <t>2007.12.</t>
        </is>
      </c>
      <c r="F209" s="0" t="n">
        <v>2699</v>
      </c>
      <c r="G209" s="0" t="n">
        <v>34.4</v>
      </c>
      <c r="H209" s="0" t="n">
        <v>113.72</v>
      </c>
      <c r="I209" s="0" t="n">
        <v>25.7</v>
      </c>
      <c r="J209" s="0" t="n">
        <v>84.98999999999999</v>
      </c>
      <c r="K209" s="0" t="n">
        <v>54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113C1</t>
        </is>
      </c>
      <c r="X209" s="0" t="n">
        <v>18</v>
      </c>
      <c r="Y209" s="0" t="n">
        <v>15</v>
      </c>
      <c r="Z209" s="0" t="inlineStr">
        <is>
          <t>https://new.land.naver.com/complexes/25168?tab=detail&amp;rf=Y</t>
        </is>
      </c>
      <c r="AA209" s="0" t="inlineStr">
        <is>
          <t>경상남도 창원시 성산구 반림동 10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성산구</t>
        </is>
      </c>
      <c r="AE209" s="0" t="inlineStr">
        <is>
          <t>반림동</t>
        </is>
      </c>
      <c r="AG209" s="0" t="inlineStr">
        <is>
          <t>경상남도 창원시 성산구 원이대로 449</t>
        </is>
      </c>
      <c r="AH209" s="0" t="n">
        <v>0</v>
      </c>
      <c r="AI209" s="0" t="n">
        <v>254</v>
      </c>
      <c r="AJ209" s="0" t="n">
        <v>18</v>
      </c>
      <c r="AK209" s="0" t="n">
        <v>3139</v>
      </c>
      <c r="AL209" s="0" t="n">
        <v>1.16</v>
      </c>
    </row>
    <row r="210">
      <c r="A210" s="0" t="inlineStr">
        <is>
          <t>[반림동]</t>
        </is>
      </c>
      <c r="B210" s="0" t="n">
        <v>25168</v>
      </c>
      <c r="C210" s="0" t="n">
        <v>13</v>
      </c>
      <c r="D210" s="0" t="inlineStr">
        <is>
          <t>노블파크</t>
        </is>
      </c>
      <c r="E210" s="0" t="inlineStr">
        <is>
          <t>2007.12.</t>
        </is>
      </c>
      <c r="F210" s="0" t="n">
        <v>2699</v>
      </c>
      <c r="G210" s="0" t="n">
        <v>34.4</v>
      </c>
      <c r="H210" s="0" t="n">
        <v>113.72</v>
      </c>
      <c r="I210" s="0" t="n">
        <v>25.7</v>
      </c>
      <c r="J210" s="0" t="n">
        <v>84.98999999999999</v>
      </c>
      <c r="K210" s="0" t="n">
        <v>52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113C2</t>
        </is>
      </c>
      <c r="X210" s="0" t="n">
        <v>18</v>
      </c>
      <c r="Y210" s="0" t="n">
        <v>15</v>
      </c>
      <c r="Z210" s="0" t="inlineStr">
        <is>
          <t>https://new.land.naver.com/complexes/25168?tab=detail&amp;rf=Y</t>
        </is>
      </c>
      <c r="AA210" s="0" t="inlineStr">
        <is>
          <t>경상남도 창원시 성산구 반림동 10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성산구</t>
        </is>
      </c>
      <c r="AE210" s="0" t="inlineStr">
        <is>
          <t>반림동</t>
        </is>
      </c>
      <c r="AG210" s="0" t="inlineStr">
        <is>
          <t>경상남도 창원시 성산구 원이대로 449</t>
        </is>
      </c>
      <c r="AH210" s="0" t="n">
        <v>0</v>
      </c>
      <c r="AI210" s="0" t="n">
        <v>254</v>
      </c>
      <c r="AJ210" s="0" t="n">
        <v>18</v>
      </c>
      <c r="AK210" s="0" t="n">
        <v>3139</v>
      </c>
      <c r="AL210" s="0" t="n">
        <v>1.16</v>
      </c>
    </row>
    <row r="211">
      <c r="A211" s="0" t="inlineStr">
        <is>
          <t>[반림동]</t>
        </is>
      </c>
      <c r="B211" s="0" t="n">
        <v>25168</v>
      </c>
      <c r="C211" s="0" t="n">
        <v>14</v>
      </c>
      <c r="D211" s="0" t="inlineStr">
        <is>
          <t>노블파크</t>
        </is>
      </c>
      <c r="E211" s="0" t="inlineStr">
        <is>
          <t>2007.12.</t>
        </is>
      </c>
      <c r="F211" s="0" t="n">
        <v>2699</v>
      </c>
      <c r="G211" s="0" t="n">
        <v>34.39</v>
      </c>
      <c r="H211" s="0" t="n">
        <v>113.69</v>
      </c>
      <c r="I211" s="0" t="n">
        <v>25.7</v>
      </c>
      <c r="J211" s="0" t="n">
        <v>84.97</v>
      </c>
      <c r="K211" s="0" t="n">
        <v>36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113A3</t>
        </is>
      </c>
      <c r="X211" s="0" t="n">
        <v>18</v>
      </c>
      <c r="Y211" s="0" t="n">
        <v>15</v>
      </c>
      <c r="Z211" s="0" t="inlineStr">
        <is>
          <t>https://new.land.naver.com/complexes/25168?tab=detail&amp;rf=Y</t>
        </is>
      </c>
      <c r="AA211" s="0" t="inlineStr">
        <is>
          <t>경상남도 창원시 성산구 반림동 10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성산구</t>
        </is>
      </c>
      <c r="AE211" s="0" t="inlineStr">
        <is>
          <t>반림동</t>
        </is>
      </c>
      <c r="AG211" s="0" t="inlineStr">
        <is>
          <t>경상남도 창원시 성산구 원이대로 449</t>
        </is>
      </c>
      <c r="AH211" s="0" t="n">
        <v>0</v>
      </c>
      <c r="AI211" s="0" t="n">
        <v>254</v>
      </c>
      <c r="AJ211" s="0" t="n">
        <v>18</v>
      </c>
      <c r="AK211" s="0" t="n">
        <v>3139</v>
      </c>
      <c r="AL211" s="0" t="n">
        <v>1.16</v>
      </c>
    </row>
    <row r="212">
      <c r="A212" s="0" t="inlineStr">
        <is>
          <t>[반림동]</t>
        </is>
      </c>
      <c r="B212" s="0" t="n">
        <v>25168</v>
      </c>
      <c r="C212" s="0" t="n">
        <v>15</v>
      </c>
      <c r="D212" s="0" t="inlineStr">
        <is>
          <t>노블파크</t>
        </is>
      </c>
      <c r="E212" s="0" t="inlineStr">
        <is>
          <t>2007.12.</t>
        </is>
      </c>
      <c r="F212" s="0" t="n">
        <v>2699</v>
      </c>
      <c r="G212" s="0" t="n">
        <v>34.39</v>
      </c>
      <c r="H212" s="0" t="n">
        <v>113.69</v>
      </c>
      <c r="I212" s="0" t="n">
        <v>25.7</v>
      </c>
      <c r="J212" s="0" t="n">
        <v>84.97</v>
      </c>
      <c r="K212" s="0" t="n">
        <v>32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113D</t>
        </is>
      </c>
      <c r="X212" s="0" t="n">
        <v>18</v>
      </c>
      <c r="Y212" s="0" t="n">
        <v>15</v>
      </c>
      <c r="Z212" s="0" t="inlineStr">
        <is>
          <t>https://new.land.naver.com/complexes/25168?tab=detail&amp;rf=Y</t>
        </is>
      </c>
      <c r="AA212" s="0" t="inlineStr">
        <is>
          <t>경상남도 창원시 성산구 반림동 10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성산구</t>
        </is>
      </c>
      <c r="AE212" s="0" t="inlineStr">
        <is>
          <t>반림동</t>
        </is>
      </c>
      <c r="AG212" s="0" t="inlineStr">
        <is>
          <t>경상남도 창원시 성산구 원이대로 449</t>
        </is>
      </c>
      <c r="AH212" s="0" t="n">
        <v>0</v>
      </c>
      <c r="AI212" s="0" t="n">
        <v>254</v>
      </c>
      <c r="AJ212" s="0" t="n">
        <v>18</v>
      </c>
      <c r="AK212" s="0" t="n">
        <v>3139</v>
      </c>
      <c r="AL212" s="0" t="n">
        <v>1.16</v>
      </c>
    </row>
    <row r="213">
      <c r="A213" s="0" t="inlineStr">
        <is>
          <t>[반림동]</t>
        </is>
      </c>
      <c r="B213" s="0" t="n">
        <v>25168</v>
      </c>
      <c r="C213" s="0" t="n">
        <v>16</v>
      </c>
      <c r="D213" s="0" t="inlineStr">
        <is>
          <t>노블파크</t>
        </is>
      </c>
      <c r="E213" s="0" t="inlineStr">
        <is>
          <t>2007.12.</t>
        </is>
      </c>
      <c r="F213" s="0" t="n">
        <v>2699</v>
      </c>
      <c r="G213" s="0" t="n">
        <v>39.64</v>
      </c>
      <c r="H213" s="0" t="n">
        <v>131.07</v>
      </c>
      <c r="I213" s="0" t="n">
        <v>30.83</v>
      </c>
      <c r="J213" s="0" t="n">
        <v>101.93</v>
      </c>
      <c r="K213" s="0" t="n">
        <v>179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131A1</t>
        </is>
      </c>
      <c r="X213" s="0" t="n">
        <v>18</v>
      </c>
      <c r="Y213" s="0" t="n">
        <v>15</v>
      </c>
      <c r="Z213" s="0" t="inlineStr">
        <is>
          <t>https://new.land.naver.com/complexes/25168?tab=detail&amp;rf=Y</t>
        </is>
      </c>
      <c r="AA213" s="0" t="inlineStr">
        <is>
          <t>경상남도 창원시 성산구 반림동 10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성산구</t>
        </is>
      </c>
      <c r="AE213" s="0" t="inlineStr">
        <is>
          <t>반림동</t>
        </is>
      </c>
      <c r="AG213" s="0" t="inlineStr">
        <is>
          <t>경상남도 창원시 성산구 원이대로 449</t>
        </is>
      </c>
      <c r="AH213" s="0" t="n">
        <v>0</v>
      </c>
      <c r="AI213" s="0" t="n">
        <v>254</v>
      </c>
      <c r="AJ213" s="0" t="n">
        <v>18</v>
      </c>
      <c r="AK213" s="0" t="n">
        <v>3139</v>
      </c>
      <c r="AL213" s="0" t="n">
        <v>1.16</v>
      </c>
    </row>
    <row r="214">
      <c r="A214" s="0" t="inlineStr">
        <is>
          <t>[반림동]</t>
        </is>
      </c>
      <c r="B214" s="0" t="n">
        <v>25168</v>
      </c>
      <c r="C214" s="0" t="n">
        <v>17</v>
      </c>
      <c r="D214" s="0" t="inlineStr">
        <is>
          <t>노블파크</t>
        </is>
      </c>
      <c r="E214" s="0" t="inlineStr">
        <is>
          <t>2007.12.</t>
        </is>
      </c>
      <c r="F214" s="0" t="n">
        <v>2699</v>
      </c>
      <c r="G214" s="0" t="n">
        <v>39.64</v>
      </c>
      <c r="H214" s="0" t="n">
        <v>131.07</v>
      </c>
      <c r="I214" s="0" t="n">
        <v>30.83</v>
      </c>
      <c r="J214" s="0" t="n">
        <v>101.93</v>
      </c>
      <c r="K214" s="0" t="n">
        <v>68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131A2</t>
        </is>
      </c>
      <c r="X214" s="0" t="n">
        <v>18</v>
      </c>
      <c r="Y214" s="0" t="n">
        <v>15</v>
      </c>
      <c r="Z214" s="0" t="inlineStr">
        <is>
          <t>https://new.land.naver.com/complexes/25168?tab=detail&amp;rf=Y</t>
        </is>
      </c>
      <c r="AA214" s="0" t="inlineStr">
        <is>
          <t>경상남도 창원시 성산구 반림동 10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성산구</t>
        </is>
      </c>
      <c r="AE214" s="0" t="inlineStr">
        <is>
          <t>반림동</t>
        </is>
      </c>
      <c r="AG214" s="0" t="inlineStr">
        <is>
          <t>경상남도 창원시 성산구 원이대로 449</t>
        </is>
      </c>
      <c r="AH214" s="0" t="n">
        <v>0</v>
      </c>
      <c r="AI214" s="0" t="n">
        <v>254</v>
      </c>
      <c r="AJ214" s="0" t="n">
        <v>18</v>
      </c>
      <c r="AK214" s="0" t="n">
        <v>3139</v>
      </c>
      <c r="AL214" s="0" t="n">
        <v>1.16</v>
      </c>
    </row>
    <row r="215">
      <c r="A215" s="0" t="inlineStr">
        <is>
          <t>[반림동]</t>
        </is>
      </c>
      <c r="B215" s="0" t="n">
        <v>25168</v>
      </c>
      <c r="C215" s="0" t="n">
        <v>18</v>
      </c>
      <c r="D215" s="0" t="inlineStr">
        <is>
          <t>노블파크</t>
        </is>
      </c>
      <c r="E215" s="0" t="inlineStr">
        <is>
          <t>2007.12.</t>
        </is>
      </c>
      <c r="F215" s="0" t="n">
        <v>2699</v>
      </c>
      <c r="G215" s="0" t="n">
        <v>49.52</v>
      </c>
      <c r="H215" s="0" t="n">
        <v>163.73</v>
      </c>
      <c r="I215" s="0" t="n">
        <v>39.17</v>
      </c>
      <c r="J215" s="0" t="n">
        <v>129.52</v>
      </c>
      <c r="K215" s="0" t="n">
        <v>96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163A</t>
        </is>
      </c>
      <c r="X215" s="0" t="n">
        <v>18</v>
      </c>
      <c r="Y215" s="0" t="n">
        <v>15</v>
      </c>
      <c r="Z215" s="0" t="inlineStr">
        <is>
          <t>https://new.land.naver.com/complexes/25168?tab=detail&amp;rf=Y</t>
        </is>
      </c>
      <c r="AA215" s="0" t="inlineStr">
        <is>
          <t>경상남도 창원시 성산구 반림동 10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성산구</t>
        </is>
      </c>
      <c r="AE215" s="0" t="inlineStr">
        <is>
          <t>반림동</t>
        </is>
      </c>
      <c r="AG215" s="0" t="inlineStr">
        <is>
          <t>경상남도 창원시 성산구 원이대로 449</t>
        </is>
      </c>
      <c r="AH215" s="0" t="n">
        <v>0</v>
      </c>
      <c r="AI215" s="0" t="n">
        <v>254</v>
      </c>
      <c r="AJ215" s="0" t="n">
        <v>18</v>
      </c>
      <c r="AK215" s="0" t="n">
        <v>3139</v>
      </c>
      <c r="AL215" s="0" t="n">
        <v>1.16</v>
      </c>
    </row>
    <row r="216">
      <c r="A216" s="0" t="inlineStr">
        <is>
          <t>[반림동]</t>
        </is>
      </c>
      <c r="B216" s="0" t="n">
        <v>25168</v>
      </c>
      <c r="C216" s="0" t="n">
        <v>19</v>
      </c>
      <c r="D216" s="0" t="inlineStr">
        <is>
          <t>노블파크</t>
        </is>
      </c>
      <c r="E216" s="0" t="inlineStr">
        <is>
          <t>2007.12.</t>
        </is>
      </c>
      <c r="F216" s="0" t="n">
        <v>2699</v>
      </c>
      <c r="G216" s="0" t="n">
        <v>49.47</v>
      </c>
      <c r="H216" s="0" t="n">
        <v>163.57</v>
      </c>
      <c r="I216" s="0" t="n">
        <v>39.14</v>
      </c>
      <c r="J216" s="0" t="n">
        <v>129.4</v>
      </c>
      <c r="K216" s="0" t="n">
        <v>62</v>
      </c>
      <c r="T216" s="0" t="n">
        <v>4</v>
      </c>
      <c r="U216" s="0" t="n">
        <v>2</v>
      </c>
      <c r="V216" s="0" t="inlineStr">
        <is>
          <t>계단식</t>
        </is>
      </c>
      <c r="W216" s="0" t="inlineStr">
        <is>
          <t>163B</t>
        </is>
      </c>
      <c r="X216" s="0" t="n">
        <v>18</v>
      </c>
      <c r="Y216" s="0" t="n">
        <v>15</v>
      </c>
      <c r="Z216" s="0" t="inlineStr">
        <is>
          <t>https://new.land.naver.com/complexes/25168?tab=detail&amp;rf=Y</t>
        </is>
      </c>
      <c r="AA216" s="0" t="inlineStr">
        <is>
          <t>경상남도 창원시 성산구 반림동 10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성산구</t>
        </is>
      </c>
      <c r="AE216" s="0" t="inlineStr">
        <is>
          <t>반림동</t>
        </is>
      </c>
      <c r="AG216" s="0" t="inlineStr">
        <is>
          <t>경상남도 창원시 성산구 원이대로 449</t>
        </is>
      </c>
      <c r="AH216" s="0" t="n">
        <v>0</v>
      </c>
      <c r="AI216" s="0" t="n">
        <v>254</v>
      </c>
      <c r="AJ216" s="0" t="n">
        <v>18</v>
      </c>
      <c r="AK216" s="0" t="n">
        <v>3139</v>
      </c>
      <c r="AL216" s="0" t="n">
        <v>1.16</v>
      </c>
    </row>
    <row r="217">
      <c r="A217" s="0" t="inlineStr">
        <is>
          <t>[반림동]</t>
        </is>
      </c>
      <c r="B217" s="0" t="n">
        <v>25168</v>
      </c>
      <c r="C217" s="0" t="n">
        <v>20</v>
      </c>
      <c r="D217" s="0" t="inlineStr">
        <is>
          <t>노블파크</t>
        </is>
      </c>
      <c r="E217" s="0" t="inlineStr">
        <is>
          <t>2007.12.</t>
        </is>
      </c>
      <c r="F217" s="0" t="n">
        <v>2699</v>
      </c>
      <c r="G217" s="0" t="n">
        <v>57.82</v>
      </c>
      <c r="H217" s="0" t="n">
        <v>191.17</v>
      </c>
      <c r="I217" s="0" t="n">
        <v>44.96</v>
      </c>
      <c r="J217" s="0" t="n">
        <v>148.66</v>
      </c>
      <c r="K217" s="0" t="n">
        <v>120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191</v>
      </c>
      <c r="X217" s="0" t="n">
        <v>18</v>
      </c>
      <c r="Y217" s="0" t="n">
        <v>15</v>
      </c>
      <c r="Z217" s="0" t="inlineStr">
        <is>
          <t>https://new.land.naver.com/complexes/25168?tab=detail&amp;rf=Y</t>
        </is>
      </c>
      <c r="AA217" s="0" t="inlineStr">
        <is>
          <t>경상남도 창원시 성산구 반림동 10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성산구</t>
        </is>
      </c>
      <c r="AE217" s="0" t="inlineStr">
        <is>
          <t>반림동</t>
        </is>
      </c>
      <c r="AG217" s="0" t="inlineStr">
        <is>
          <t>경상남도 창원시 성산구 원이대로 449</t>
        </is>
      </c>
      <c r="AH217" s="0" t="n">
        <v>0</v>
      </c>
      <c r="AI217" s="0" t="n">
        <v>254</v>
      </c>
      <c r="AJ217" s="0" t="n">
        <v>18</v>
      </c>
      <c r="AK217" s="0" t="n">
        <v>3139</v>
      </c>
      <c r="AL217" s="0" t="n">
        <v>1.16</v>
      </c>
    </row>
    <row r="218">
      <c r="A218" s="0" t="inlineStr">
        <is>
          <t>[반림동]</t>
        </is>
      </c>
      <c r="B218" s="0" t="n">
        <v>15778</v>
      </c>
      <c r="C218" s="0" t="n">
        <v>1</v>
      </c>
      <c r="D218" s="0" t="inlineStr">
        <is>
          <t>반림럭키</t>
        </is>
      </c>
      <c r="E218" s="0" t="inlineStr">
        <is>
          <t>1989.01.</t>
        </is>
      </c>
      <c r="F218" s="0" t="n">
        <v>1620</v>
      </c>
      <c r="G218" s="0" t="n">
        <v>20.1</v>
      </c>
      <c r="H218" s="0" t="n">
        <v>66.47</v>
      </c>
      <c r="I218" s="0" t="n">
        <v>14.96</v>
      </c>
      <c r="J218" s="0" t="n">
        <v>49.48</v>
      </c>
      <c r="K218" s="0" t="n">
        <v>300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66</v>
      </c>
      <c r="X218" s="0" t="n">
        <v>15</v>
      </c>
      <c r="Y218" s="0" t="n">
        <v>15</v>
      </c>
      <c r="Z218" s="0" t="inlineStr">
        <is>
          <t>https://new.land.naver.com/complexes/15778?tab=detail&amp;rf=Y</t>
        </is>
      </c>
      <c r="AA218" s="0" t="inlineStr">
        <is>
          <t>경상남도 창원시 성산구 반림동 8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성산구</t>
        </is>
      </c>
      <c r="AE218" s="0" t="inlineStr">
        <is>
          <t>반림동</t>
        </is>
      </c>
      <c r="AG218" s="0" t="inlineStr">
        <is>
          <t>경상남도 창원시 성산구 반송로 105</t>
        </is>
      </c>
      <c r="AH218" s="0" t="n">
        <v>0</v>
      </c>
      <c r="AI218" s="0" t="n">
        <v>207</v>
      </c>
      <c r="AJ218" s="0" t="n">
        <v>15</v>
      </c>
      <c r="AK218" s="0" t="n">
        <v>1620</v>
      </c>
      <c r="AL218" s="0" t="n">
        <v>1</v>
      </c>
    </row>
    <row r="219">
      <c r="A219" s="0" t="inlineStr">
        <is>
          <t>[반림동]</t>
        </is>
      </c>
      <c r="B219" s="0" t="n">
        <v>15778</v>
      </c>
      <c r="C219" s="0" t="n">
        <v>2</v>
      </c>
      <c r="D219" s="0" t="inlineStr">
        <is>
          <t>반림럭키</t>
        </is>
      </c>
      <c r="E219" s="0" t="inlineStr">
        <is>
          <t>1989.01.</t>
        </is>
      </c>
      <c r="F219" s="0" t="n">
        <v>1620</v>
      </c>
      <c r="G219" s="0" t="n">
        <v>24.01</v>
      </c>
      <c r="H219" s="0" t="n">
        <v>79.39</v>
      </c>
      <c r="I219" s="0" t="n">
        <v>17.91</v>
      </c>
      <c r="J219" s="0" t="n">
        <v>59.22</v>
      </c>
      <c r="K219" s="0" t="n">
        <v>210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79</v>
      </c>
      <c r="X219" s="0" t="n">
        <v>15</v>
      </c>
      <c r="Y219" s="0" t="n">
        <v>15</v>
      </c>
      <c r="Z219" s="0" t="inlineStr">
        <is>
          <t>https://new.land.naver.com/complexes/15778?tab=detail&amp;rf=Y</t>
        </is>
      </c>
      <c r="AA219" s="0" t="inlineStr">
        <is>
          <t>경상남도 창원시 성산구 반림동 8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성산구</t>
        </is>
      </c>
      <c r="AE219" s="0" t="inlineStr">
        <is>
          <t>반림동</t>
        </is>
      </c>
      <c r="AG219" s="0" t="inlineStr">
        <is>
          <t>경상남도 창원시 성산구 반송로 105</t>
        </is>
      </c>
      <c r="AH219" s="0" t="n">
        <v>0</v>
      </c>
      <c r="AI219" s="0" t="n">
        <v>207</v>
      </c>
      <c r="AJ219" s="0" t="n">
        <v>15</v>
      </c>
      <c r="AK219" s="0" t="n">
        <v>1620</v>
      </c>
      <c r="AL219" s="0" t="n">
        <v>1</v>
      </c>
    </row>
    <row r="220">
      <c r="A220" s="0" t="inlineStr">
        <is>
          <t>[반림동]</t>
        </is>
      </c>
      <c r="B220" s="0" t="n">
        <v>15778</v>
      </c>
      <c r="C220" s="0" t="n">
        <v>3</v>
      </c>
      <c r="D220" s="0" t="inlineStr">
        <is>
          <t>반림럭키</t>
        </is>
      </c>
      <c r="E220" s="0" t="inlineStr">
        <is>
          <t>1989.01.</t>
        </is>
      </c>
      <c r="F220" s="0" t="n">
        <v>1620</v>
      </c>
      <c r="G220" s="0" t="n">
        <v>28.17</v>
      </c>
      <c r="H220" s="0" t="n">
        <v>93.13</v>
      </c>
      <c r="I220" s="0" t="n">
        <v>23.02</v>
      </c>
      <c r="J220" s="0" t="n">
        <v>76.11</v>
      </c>
      <c r="K220" s="0" t="n">
        <v>240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93A</t>
        </is>
      </c>
      <c r="X220" s="0" t="n">
        <v>15</v>
      </c>
      <c r="Y220" s="0" t="n">
        <v>15</v>
      </c>
      <c r="Z220" s="0" t="inlineStr">
        <is>
          <t>https://new.land.naver.com/complexes/15778?tab=detail&amp;rf=Y</t>
        </is>
      </c>
      <c r="AA220" s="0" t="inlineStr">
        <is>
          <t>경상남도 창원시 성산구 반림동 8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성산구</t>
        </is>
      </c>
      <c r="AE220" s="0" t="inlineStr">
        <is>
          <t>반림동</t>
        </is>
      </c>
      <c r="AG220" s="0" t="inlineStr">
        <is>
          <t>경상남도 창원시 성산구 반송로 105</t>
        </is>
      </c>
      <c r="AH220" s="0" t="n">
        <v>0</v>
      </c>
      <c r="AI220" s="0" t="n">
        <v>207</v>
      </c>
      <c r="AJ220" s="0" t="n">
        <v>15</v>
      </c>
      <c r="AK220" s="0" t="n">
        <v>1620</v>
      </c>
      <c r="AL220" s="0" t="n">
        <v>1</v>
      </c>
    </row>
    <row r="221">
      <c r="A221" s="0" t="inlineStr">
        <is>
          <t>[반림동]</t>
        </is>
      </c>
      <c r="B221" s="0" t="n">
        <v>15778</v>
      </c>
      <c r="C221" s="0" t="n">
        <v>4</v>
      </c>
      <c r="D221" s="0" t="inlineStr">
        <is>
          <t>반림럭키</t>
        </is>
      </c>
      <c r="E221" s="0" t="inlineStr">
        <is>
          <t>1989.01.</t>
        </is>
      </c>
      <c r="F221" s="0" t="n">
        <v>1620</v>
      </c>
      <c r="G221" s="0" t="n">
        <v>28.34</v>
      </c>
      <c r="H221" s="0" t="n">
        <v>93.7</v>
      </c>
      <c r="I221" s="0" t="n">
        <v>23.07</v>
      </c>
      <c r="J221" s="0" t="n">
        <v>76.29000000000001</v>
      </c>
      <c r="K221" s="0" t="n">
        <v>210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93B</t>
        </is>
      </c>
      <c r="X221" s="0" t="n">
        <v>15</v>
      </c>
      <c r="Y221" s="0" t="n">
        <v>15</v>
      </c>
      <c r="Z221" s="0" t="inlineStr">
        <is>
          <t>https://new.land.naver.com/complexes/15778?tab=detail&amp;rf=Y</t>
        </is>
      </c>
      <c r="AA221" s="0" t="inlineStr">
        <is>
          <t>경상남도 창원시 성산구 반림동 8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성산구</t>
        </is>
      </c>
      <c r="AE221" s="0" t="inlineStr">
        <is>
          <t>반림동</t>
        </is>
      </c>
      <c r="AG221" s="0" t="inlineStr">
        <is>
          <t>경상남도 창원시 성산구 반송로 105</t>
        </is>
      </c>
      <c r="AH221" s="0" t="n">
        <v>0</v>
      </c>
      <c r="AI221" s="0" t="n">
        <v>207</v>
      </c>
      <c r="AJ221" s="0" t="n">
        <v>15</v>
      </c>
      <c r="AK221" s="0" t="n">
        <v>1620</v>
      </c>
      <c r="AL221" s="0" t="n">
        <v>1</v>
      </c>
    </row>
    <row r="222">
      <c r="A222" s="0" t="inlineStr">
        <is>
          <t>[반림동]</t>
        </is>
      </c>
      <c r="B222" s="0" t="n">
        <v>15778</v>
      </c>
      <c r="C222" s="0" t="n">
        <v>5</v>
      </c>
      <c r="D222" s="0" t="inlineStr">
        <is>
          <t>반림럭키</t>
        </is>
      </c>
      <c r="E222" s="0" t="inlineStr">
        <is>
          <t>1989.01.</t>
        </is>
      </c>
      <c r="F222" s="0" t="n">
        <v>1620</v>
      </c>
      <c r="G222" s="0" t="n">
        <v>28.23</v>
      </c>
      <c r="H222" s="0" t="n">
        <v>93.34</v>
      </c>
      <c r="I222" s="0" t="n">
        <v>23.09</v>
      </c>
      <c r="J222" s="0" t="n">
        <v>76.34999999999999</v>
      </c>
      <c r="K222" s="0" t="n">
        <v>90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93C</t>
        </is>
      </c>
      <c r="X222" s="0" t="n">
        <v>15</v>
      </c>
      <c r="Y222" s="0" t="n">
        <v>15</v>
      </c>
      <c r="Z222" s="0" t="inlineStr">
        <is>
          <t>https://new.land.naver.com/complexes/15778?tab=detail&amp;rf=Y</t>
        </is>
      </c>
      <c r="AA222" s="0" t="inlineStr">
        <is>
          <t>경상남도 창원시 성산구 반림동 8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성산구</t>
        </is>
      </c>
      <c r="AE222" s="0" t="inlineStr">
        <is>
          <t>반림동</t>
        </is>
      </c>
      <c r="AG222" s="0" t="inlineStr">
        <is>
          <t>경상남도 창원시 성산구 반송로 105</t>
        </is>
      </c>
      <c r="AH222" s="0" t="n">
        <v>0</v>
      </c>
      <c r="AI222" s="0" t="n">
        <v>207</v>
      </c>
      <c r="AJ222" s="0" t="n">
        <v>15</v>
      </c>
      <c r="AK222" s="0" t="n">
        <v>1620</v>
      </c>
      <c r="AL222" s="0" t="n">
        <v>1</v>
      </c>
    </row>
    <row r="223">
      <c r="A223" s="0" t="inlineStr">
        <is>
          <t>[반림동]</t>
        </is>
      </c>
      <c r="B223" s="0" t="n">
        <v>15778</v>
      </c>
      <c r="C223" s="0" t="n">
        <v>6</v>
      </c>
      <c r="D223" s="0" t="inlineStr">
        <is>
          <t>반림럭키</t>
        </is>
      </c>
      <c r="E223" s="0" t="inlineStr">
        <is>
          <t>1989.01.</t>
        </is>
      </c>
      <c r="F223" s="0" t="n">
        <v>1620</v>
      </c>
      <c r="G223" s="0" t="n">
        <v>31.13</v>
      </c>
      <c r="H223" s="0" t="n">
        <v>102.93</v>
      </c>
      <c r="I223" s="0" t="n">
        <v>25.67</v>
      </c>
      <c r="J223" s="0" t="n">
        <v>84.87</v>
      </c>
      <c r="K223" s="0" t="n">
        <v>210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102C</t>
        </is>
      </c>
      <c r="X223" s="0" t="n">
        <v>15</v>
      </c>
      <c r="Y223" s="0" t="n">
        <v>15</v>
      </c>
      <c r="Z223" s="0" t="inlineStr">
        <is>
          <t>https://new.land.naver.com/complexes/15778?tab=detail&amp;rf=Y</t>
        </is>
      </c>
      <c r="AA223" s="0" t="inlineStr">
        <is>
          <t>경상남도 창원시 성산구 반림동 8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성산구</t>
        </is>
      </c>
      <c r="AE223" s="0" t="inlineStr">
        <is>
          <t>반림동</t>
        </is>
      </c>
      <c r="AG223" s="0" t="inlineStr">
        <is>
          <t>경상남도 창원시 성산구 반송로 105</t>
        </is>
      </c>
      <c r="AH223" s="0" t="n">
        <v>0</v>
      </c>
      <c r="AI223" s="0" t="n">
        <v>207</v>
      </c>
      <c r="AJ223" s="0" t="n">
        <v>15</v>
      </c>
      <c r="AK223" s="0" t="n">
        <v>1620</v>
      </c>
      <c r="AL223" s="0" t="n">
        <v>1</v>
      </c>
    </row>
    <row r="224">
      <c r="A224" s="0" t="inlineStr">
        <is>
          <t>[반림동]</t>
        </is>
      </c>
      <c r="B224" s="0" t="n">
        <v>15778</v>
      </c>
      <c r="C224" s="0" t="n">
        <v>7</v>
      </c>
      <c r="D224" s="0" t="inlineStr">
        <is>
          <t>반림럭키</t>
        </is>
      </c>
      <c r="E224" s="0" t="inlineStr">
        <is>
          <t>1989.01.</t>
        </is>
      </c>
      <c r="F224" s="0" t="n">
        <v>1620</v>
      </c>
      <c r="G224" s="0" t="n">
        <v>31.24</v>
      </c>
      <c r="H224" s="0" t="n">
        <v>103.28</v>
      </c>
      <c r="I224" s="0" t="n">
        <v>25.69</v>
      </c>
      <c r="J224" s="0" t="n">
        <v>84.93000000000001</v>
      </c>
      <c r="K224" s="0" t="n">
        <v>270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103B</t>
        </is>
      </c>
      <c r="X224" s="0" t="n">
        <v>15</v>
      </c>
      <c r="Y224" s="0" t="n">
        <v>15</v>
      </c>
      <c r="Z224" s="0" t="inlineStr">
        <is>
          <t>https://new.land.naver.com/complexes/15778?tab=detail&amp;rf=Y</t>
        </is>
      </c>
      <c r="AA224" s="0" t="inlineStr">
        <is>
          <t>경상남도 창원시 성산구 반림동 8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성산구</t>
        </is>
      </c>
      <c r="AE224" s="0" t="inlineStr">
        <is>
          <t>반림동</t>
        </is>
      </c>
      <c r="AG224" s="0" t="inlineStr">
        <is>
          <t>경상남도 창원시 성산구 반송로 105</t>
        </is>
      </c>
      <c r="AH224" s="0" t="n">
        <v>0</v>
      </c>
      <c r="AI224" s="0" t="n">
        <v>207</v>
      </c>
      <c r="AJ224" s="0" t="n">
        <v>15</v>
      </c>
      <c r="AK224" s="0" t="n">
        <v>1620</v>
      </c>
      <c r="AL224" s="0" t="n">
        <v>1</v>
      </c>
    </row>
    <row r="225">
      <c r="A225" s="0" t="inlineStr">
        <is>
          <t>[반림동]</t>
        </is>
      </c>
      <c r="B225" s="0" t="n">
        <v>15778</v>
      </c>
      <c r="C225" s="0" t="n">
        <v>8</v>
      </c>
      <c r="D225" s="0" t="inlineStr">
        <is>
          <t>반림럭키</t>
        </is>
      </c>
      <c r="E225" s="0" t="inlineStr">
        <is>
          <t>1989.01.</t>
        </is>
      </c>
      <c r="F225" s="0" t="n">
        <v>1620</v>
      </c>
      <c r="G225" s="0" t="n">
        <v>31.22</v>
      </c>
      <c r="H225" s="0" t="n">
        <v>103.23</v>
      </c>
      <c r="I225" s="0" t="n">
        <v>25.68</v>
      </c>
      <c r="J225" s="0" t="n">
        <v>84.92</v>
      </c>
      <c r="K225" s="0" t="n">
        <v>90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103A</t>
        </is>
      </c>
      <c r="X225" s="0" t="n">
        <v>15</v>
      </c>
      <c r="Y225" s="0" t="n">
        <v>15</v>
      </c>
      <c r="Z225" s="0" t="inlineStr">
        <is>
          <t>https://new.land.naver.com/complexes/15778?tab=detail&amp;rf=Y</t>
        </is>
      </c>
      <c r="AA225" s="0" t="inlineStr">
        <is>
          <t>경상남도 창원시 성산구 반림동 8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성산구</t>
        </is>
      </c>
      <c r="AE225" s="0" t="inlineStr">
        <is>
          <t>반림동</t>
        </is>
      </c>
      <c r="AG225" s="0" t="inlineStr">
        <is>
          <t>경상남도 창원시 성산구 반송로 105</t>
        </is>
      </c>
      <c r="AH225" s="0" t="n">
        <v>0</v>
      </c>
      <c r="AI225" s="0" t="n">
        <v>207</v>
      </c>
      <c r="AJ225" s="0" t="n">
        <v>15</v>
      </c>
      <c r="AK225" s="0" t="n">
        <v>1620</v>
      </c>
      <c r="AL225" s="0" t="n">
        <v>1</v>
      </c>
    </row>
    <row r="226">
      <c r="A226" s="0" t="inlineStr">
        <is>
          <t>[반림동]</t>
        </is>
      </c>
      <c r="B226" s="0" t="n">
        <v>19740</v>
      </c>
      <c r="C226" s="0" t="n">
        <v>1</v>
      </c>
      <c r="D226" s="0" t="inlineStr">
        <is>
          <t>트리비앙</t>
        </is>
      </c>
      <c r="E226" s="0" t="inlineStr">
        <is>
          <t>2006.10.</t>
        </is>
      </c>
      <c r="F226" s="0" t="n">
        <v>2610</v>
      </c>
      <c r="G226" s="0" t="n">
        <v>25.74</v>
      </c>
      <c r="H226" s="0" t="n">
        <v>85.11</v>
      </c>
      <c r="I226" s="0" t="n">
        <v>18.14</v>
      </c>
      <c r="J226" s="0" t="n">
        <v>59.98</v>
      </c>
      <c r="K226" s="0" t="n">
        <v>338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85</v>
      </c>
      <c r="X226" s="0" t="n">
        <v>18</v>
      </c>
      <c r="Y226" s="0" t="n">
        <v>14</v>
      </c>
      <c r="Z226" s="0" t="inlineStr">
        <is>
          <t>https://new.land.naver.com/complexes/19740?tab=detail&amp;rf=Y</t>
        </is>
      </c>
      <c r="AA226" s="0" t="inlineStr">
        <is>
          <t>경상남도 창원시 성산구 반림동 18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성산구</t>
        </is>
      </c>
      <c r="AE226" s="0" t="inlineStr">
        <is>
          <t>반림동</t>
        </is>
      </c>
      <c r="AG226" s="0" t="inlineStr">
        <is>
          <t>경상남도 창원시 성산구 원이대로 495</t>
        </is>
      </c>
      <c r="AH226" s="0" t="n">
        <v>0</v>
      </c>
      <c r="AI226" s="0" t="n">
        <v>254</v>
      </c>
      <c r="AJ226" s="0" t="n">
        <v>17</v>
      </c>
      <c r="AK226" s="0" t="n">
        <v>2891</v>
      </c>
      <c r="AL226" s="0" t="n">
        <v>1.11</v>
      </c>
    </row>
    <row r="227">
      <c r="A227" s="0" t="inlineStr">
        <is>
          <t>[반림동]</t>
        </is>
      </c>
      <c r="B227" s="0" t="n">
        <v>19740</v>
      </c>
      <c r="C227" s="0" t="n">
        <v>2</v>
      </c>
      <c r="D227" s="0" t="inlineStr">
        <is>
          <t>트리비앙</t>
        </is>
      </c>
      <c r="E227" s="0" t="inlineStr">
        <is>
          <t>2006.10.</t>
        </is>
      </c>
      <c r="F227" s="0" t="n">
        <v>2610</v>
      </c>
      <c r="G227" s="0" t="n">
        <v>27.01</v>
      </c>
      <c r="H227" s="0" t="n">
        <v>89.29000000000001</v>
      </c>
      <c r="I227" s="0" t="n">
        <v>20.06</v>
      </c>
      <c r="J227" s="0" t="n">
        <v>66.33</v>
      </c>
      <c r="K227" s="0" t="n">
        <v>4</v>
      </c>
      <c r="T227" s="0" t="n">
        <v>2</v>
      </c>
      <c r="U227" s="0" t="n">
        <v>2</v>
      </c>
      <c r="V227" s="0" t="inlineStr">
        <is>
          <t>계단식</t>
        </is>
      </c>
      <c r="W227" s="0" t="n">
        <v>89</v>
      </c>
      <c r="X227" s="0" t="n">
        <v>18</v>
      </c>
      <c r="Y227" s="0" t="n">
        <v>14</v>
      </c>
      <c r="Z227" s="0" t="inlineStr">
        <is>
          <t>https://new.land.naver.com/complexes/19740?tab=detail&amp;rf=Y</t>
        </is>
      </c>
      <c r="AA227" s="0" t="inlineStr">
        <is>
          <t>경상남도 창원시 성산구 반림동 18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성산구</t>
        </is>
      </c>
      <c r="AE227" s="0" t="inlineStr">
        <is>
          <t>반림동</t>
        </is>
      </c>
      <c r="AG227" s="0" t="inlineStr">
        <is>
          <t>경상남도 창원시 성산구 원이대로 495</t>
        </is>
      </c>
      <c r="AH227" s="0" t="n">
        <v>0</v>
      </c>
      <c r="AI227" s="0" t="n">
        <v>254</v>
      </c>
      <c r="AJ227" s="0" t="n">
        <v>17</v>
      </c>
      <c r="AK227" s="0" t="n">
        <v>2891</v>
      </c>
      <c r="AL227" s="0" t="n">
        <v>1.11</v>
      </c>
    </row>
    <row r="228">
      <c r="A228" s="0" t="inlineStr">
        <is>
          <t>[반림동]</t>
        </is>
      </c>
      <c r="B228" s="0" t="n">
        <v>19740</v>
      </c>
      <c r="C228" s="0" t="n">
        <v>3</v>
      </c>
      <c r="D228" s="0" t="inlineStr">
        <is>
          <t>트리비앙</t>
        </is>
      </c>
      <c r="E228" s="0" t="inlineStr">
        <is>
          <t>2006.10.</t>
        </is>
      </c>
      <c r="F228" s="0" t="n">
        <v>2610</v>
      </c>
      <c r="G228" s="0" t="n">
        <v>29.92</v>
      </c>
      <c r="H228" s="0" t="n">
        <v>98.92</v>
      </c>
      <c r="I228" s="0" t="n">
        <v>22.35</v>
      </c>
      <c r="J228" s="0" t="n">
        <v>73.90000000000001</v>
      </c>
      <c r="K228" s="0" t="n">
        <v>4</v>
      </c>
      <c r="T228" s="0" t="n">
        <v>2</v>
      </c>
      <c r="U228" s="0" t="n">
        <v>2</v>
      </c>
      <c r="V228" s="0" t="inlineStr">
        <is>
          <t>계단식</t>
        </is>
      </c>
      <c r="W228" s="0" t="n">
        <v>98</v>
      </c>
      <c r="X228" s="0" t="n">
        <v>18</v>
      </c>
      <c r="Y228" s="0" t="n">
        <v>14</v>
      </c>
      <c r="Z228" s="0" t="inlineStr">
        <is>
          <t>https://new.land.naver.com/complexes/19740?tab=detail&amp;rf=Y</t>
        </is>
      </c>
      <c r="AA228" s="0" t="inlineStr">
        <is>
          <t>경상남도 창원시 성산구 반림동 18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성산구</t>
        </is>
      </c>
      <c r="AE228" s="0" t="inlineStr">
        <is>
          <t>반림동</t>
        </is>
      </c>
      <c r="AG228" s="0" t="inlineStr">
        <is>
          <t>경상남도 창원시 성산구 원이대로 495</t>
        </is>
      </c>
      <c r="AH228" s="0" t="n">
        <v>0</v>
      </c>
      <c r="AI228" s="0" t="n">
        <v>254</v>
      </c>
      <c r="AJ228" s="0" t="n">
        <v>17</v>
      </c>
      <c r="AK228" s="0" t="n">
        <v>2891</v>
      </c>
      <c r="AL228" s="0" t="n">
        <v>1.11</v>
      </c>
    </row>
    <row r="229">
      <c r="A229" s="0" t="inlineStr">
        <is>
          <t>[반림동]</t>
        </is>
      </c>
      <c r="B229" s="0" t="n">
        <v>19740</v>
      </c>
      <c r="C229" s="0" t="n">
        <v>4</v>
      </c>
      <c r="D229" s="0" t="inlineStr">
        <is>
          <t>트리비앙</t>
        </is>
      </c>
      <c r="E229" s="0" t="inlineStr">
        <is>
          <t>2006.10.</t>
        </is>
      </c>
      <c r="F229" s="0" t="n">
        <v>2610</v>
      </c>
      <c r="G229" s="0" t="n">
        <v>31.15</v>
      </c>
      <c r="H229" s="0" t="n">
        <v>102.98</v>
      </c>
      <c r="I229" s="0" t="n">
        <v>22.99</v>
      </c>
      <c r="J229" s="0" t="n">
        <v>76.03</v>
      </c>
      <c r="K229" s="0" t="n">
        <v>252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102B</t>
        </is>
      </c>
      <c r="X229" s="0" t="n">
        <v>18</v>
      </c>
      <c r="Y229" s="0" t="n">
        <v>14</v>
      </c>
      <c r="Z229" s="0" t="inlineStr">
        <is>
          <t>https://new.land.naver.com/complexes/19740?tab=detail&amp;rf=Y</t>
        </is>
      </c>
      <c r="AA229" s="0" t="inlineStr">
        <is>
          <t>경상남도 창원시 성산구 반림동 18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성산구</t>
        </is>
      </c>
      <c r="AE229" s="0" t="inlineStr">
        <is>
          <t>반림동</t>
        </is>
      </c>
      <c r="AG229" s="0" t="inlineStr">
        <is>
          <t>경상남도 창원시 성산구 원이대로 495</t>
        </is>
      </c>
      <c r="AH229" s="0" t="n">
        <v>0</v>
      </c>
      <c r="AI229" s="0" t="n">
        <v>254</v>
      </c>
      <c r="AJ229" s="0" t="n">
        <v>17</v>
      </c>
      <c r="AK229" s="0" t="n">
        <v>2891</v>
      </c>
      <c r="AL229" s="0" t="n">
        <v>1.11</v>
      </c>
    </row>
    <row r="230">
      <c r="A230" s="0" t="inlineStr">
        <is>
          <t>[반림동]</t>
        </is>
      </c>
      <c r="B230" s="0" t="n">
        <v>19740</v>
      </c>
      <c r="C230" s="0" t="n">
        <v>5</v>
      </c>
      <c r="D230" s="0" t="inlineStr">
        <is>
          <t>트리비앙</t>
        </is>
      </c>
      <c r="E230" s="0" t="inlineStr">
        <is>
          <t>2006.10.</t>
        </is>
      </c>
      <c r="F230" s="0" t="n">
        <v>2610</v>
      </c>
      <c r="G230" s="0" t="n">
        <v>30.91</v>
      </c>
      <c r="H230" s="0" t="n">
        <v>102.2</v>
      </c>
      <c r="I230" s="0" t="n">
        <v>22.98</v>
      </c>
      <c r="J230" s="0" t="n">
        <v>75.98</v>
      </c>
      <c r="K230" s="0" t="n">
        <v>158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102A</t>
        </is>
      </c>
      <c r="X230" s="0" t="n">
        <v>18</v>
      </c>
      <c r="Y230" s="0" t="n">
        <v>14</v>
      </c>
      <c r="Z230" s="0" t="inlineStr">
        <is>
          <t>https://new.land.naver.com/complexes/19740?tab=detail&amp;rf=Y</t>
        </is>
      </c>
      <c r="AA230" s="0" t="inlineStr">
        <is>
          <t>경상남도 창원시 성산구 반림동 18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성산구</t>
        </is>
      </c>
      <c r="AE230" s="0" t="inlineStr">
        <is>
          <t>반림동</t>
        </is>
      </c>
      <c r="AG230" s="0" t="inlineStr">
        <is>
          <t>경상남도 창원시 성산구 원이대로 495</t>
        </is>
      </c>
      <c r="AH230" s="0" t="n">
        <v>0</v>
      </c>
      <c r="AI230" s="0" t="n">
        <v>254</v>
      </c>
      <c r="AJ230" s="0" t="n">
        <v>17</v>
      </c>
      <c r="AK230" s="0" t="n">
        <v>2891</v>
      </c>
      <c r="AL230" s="0" t="n">
        <v>1.11</v>
      </c>
    </row>
    <row r="231">
      <c r="A231" s="0" t="inlineStr">
        <is>
          <t>[반림동]</t>
        </is>
      </c>
      <c r="B231" s="0" t="n">
        <v>19740</v>
      </c>
      <c r="C231" s="0" t="n">
        <v>6</v>
      </c>
      <c r="D231" s="0" t="inlineStr">
        <is>
          <t>트리비앙</t>
        </is>
      </c>
      <c r="E231" s="0" t="inlineStr">
        <is>
          <t>2006.10.</t>
        </is>
      </c>
      <c r="F231" s="0" t="n">
        <v>2610</v>
      </c>
      <c r="G231" s="0" t="n">
        <v>30.99</v>
      </c>
      <c r="H231" s="0" t="n">
        <v>102.45</v>
      </c>
      <c r="I231" s="0" t="n">
        <v>23.04</v>
      </c>
      <c r="J231" s="0" t="n">
        <v>76.17</v>
      </c>
      <c r="K231" s="0" t="n">
        <v>149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102C</t>
        </is>
      </c>
      <c r="X231" s="0" t="n">
        <v>18</v>
      </c>
      <c r="Y231" s="0" t="n">
        <v>14</v>
      </c>
      <c r="Z231" s="0" t="inlineStr">
        <is>
          <t>https://new.land.naver.com/complexes/19740?tab=detail&amp;rf=Y</t>
        </is>
      </c>
      <c r="AA231" s="0" t="inlineStr">
        <is>
          <t>경상남도 창원시 성산구 반림동 18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성산구</t>
        </is>
      </c>
      <c r="AE231" s="0" t="inlineStr">
        <is>
          <t>반림동</t>
        </is>
      </c>
      <c r="AG231" s="0" t="inlineStr">
        <is>
          <t>경상남도 창원시 성산구 원이대로 495</t>
        </is>
      </c>
      <c r="AH231" s="0" t="n">
        <v>0</v>
      </c>
      <c r="AI231" s="0" t="n">
        <v>254</v>
      </c>
      <c r="AJ231" s="0" t="n">
        <v>17</v>
      </c>
      <c r="AK231" s="0" t="n">
        <v>2891</v>
      </c>
      <c r="AL231" s="0" t="n">
        <v>1.11</v>
      </c>
    </row>
    <row r="232">
      <c r="A232" s="0" t="inlineStr">
        <is>
          <t>[반림동]</t>
        </is>
      </c>
      <c r="B232" s="0" t="n">
        <v>19740</v>
      </c>
      <c r="C232" s="0" t="n">
        <v>7</v>
      </c>
      <c r="D232" s="0" t="inlineStr">
        <is>
          <t>트리비앙</t>
        </is>
      </c>
      <c r="E232" s="0" t="inlineStr">
        <is>
          <t>2006.10.</t>
        </is>
      </c>
      <c r="F232" s="0" t="n">
        <v>2610</v>
      </c>
      <c r="G232" s="0" t="n">
        <v>34.43</v>
      </c>
      <c r="H232" s="0" t="n">
        <v>113.84</v>
      </c>
      <c r="I232" s="0" t="n">
        <v>25.69</v>
      </c>
      <c r="J232" s="0" t="n">
        <v>84.95</v>
      </c>
      <c r="K232" s="0" t="n">
        <v>809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113A</t>
        </is>
      </c>
      <c r="X232" s="0" t="n">
        <v>18</v>
      </c>
      <c r="Y232" s="0" t="n">
        <v>14</v>
      </c>
      <c r="Z232" s="0" t="inlineStr">
        <is>
          <t>https://new.land.naver.com/complexes/19740?tab=detail&amp;rf=Y</t>
        </is>
      </c>
      <c r="AA232" s="0" t="inlineStr">
        <is>
          <t>경상남도 창원시 성산구 반림동 18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성산구</t>
        </is>
      </c>
      <c r="AE232" s="0" t="inlineStr">
        <is>
          <t>반림동</t>
        </is>
      </c>
      <c r="AG232" s="0" t="inlineStr">
        <is>
          <t>경상남도 창원시 성산구 원이대로 495</t>
        </is>
      </c>
      <c r="AH232" s="0" t="n">
        <v>0</v>
      </c>
      <c r="AI232" s="0" t="n">
        <v>254</v>
      </c>
      <c r="AJ232" s="0" t="n">
        <v>17</v>
      </c>
      <c r="AK232" s="0" t="n">
        <v>2891</v>
      </c>
      <c r="AL232" s="0" t="n">
        <v>1.11</v>
      </c>
    </row>
    <row r="233">
      <c r="A233" s="0" t="inlineStr">
        <is>
          <t>[반림동]</t>
        </is>
      </c>
      <c r="B233" s="0" t="n">
        <v>19740</v>
      </c>
      <c r="C233" s="0" t="n">
        <v>8</v>
      </c>
      <c r="D233" s="0" t="inlineStr">
        <is>
          <t>트리비앙</t>
        </is>
      </c>
      <c r="E233" s="0" t="inlineStr">
        <is>
          <t>2006.10.</t>
        </is>
      </c>
      <c r="F233" s="0" t="n">
        <v>2610</v>
      </c>
      <c r="G233" s="0" t="n">
        <v>34.46</v>
      </c>
      <c r="H233" s="0" t="n">
        <v>113.93</v>
      </c>
      <c r="I233" s="0" t="n">
        <v>25.7</v>
      </c>
      <c r="J233" s="0" t="n">
        <v>84.98999999999999</v>
      </c>
      <c r="K233" s="0" t="n">
        <v>373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113C</t>
        </is>
      </c>
      <c r="X233" s="0" t="n">
        <v>18</v>
      </c>
      <c r="Y233" s="0" t="n">
        <v>14</v>
      </c>
      <c r="Z233" s="0" t="inlineStr">
        <is>
          <t>https://new.land.naver.com/complexes/19740?tab=detail&amp;rf=Y</t>
        </is>
      </c>
      <c r="AA233" s="0" t="inlineStr">
        <is>
          <t>경상남도 창원시 성산구 반림동 18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성산구</t>
        </is>
      </c>
      <c r="AE233" s="0" t="inlineStr">
        <is>
          <t>반림동</t>
        </is>
      </c>
      <c r="AG233" s="0" t="inlineStr">
        <is>
          <t>경상남도 창원시 성산구 원이대로 495</t>
        </is>
      </c>
      <c r="AH233" s="0" t="n">
        <v>0</v>
      </c>
      <c r="AI233" s="0" t="n">
        <v>254</v>
      </c>
      <c r="AJ233" s="0" t="n">
        <v>17</v>
      </c>
      <c r="AK233" s="0" t="n">
        <v>2891</v>
      </c>
      <c r="AL233" s="0" t="n">
        <v>1.11</v>
      </c>
    </row>
    <row r="234">
      <c r="A234" s="0" t="inlineStr">
        <is>
          <t>[반림동]</t>
        </is>
      </c>
      <c r="B234" s="0" t="n">
        <v>19740</v>
      </c>
      <c r="C234" s="0" t="n">
        <v>9</v>
      </c>
      <c r="D234" s="0" t="inlineStr">
        <is>
          <t>트리비앙</t>
        </is>
      </c>
      <c r="E234" s="0" t="inlineStr">
        <is>
          <t>2006.10.</t>
        </is>
      </c>
      <c r="F234" s="0" t="n">
        <v>2610</v>
      </c>
      <c r="G234" s="0" t="n">
        <v>34.4</v>
      </c>
      <c r="H234" s="0" t="n">
        <v>113.74</v>
      </c>
      <c r="I234" s="0" t="n">
        <v>25.7</v>
      </c>
      <c r="J234" s="0" t="n">
        <v>84.98</v>
      </c>
      <c r="K234" s="0" t="n">
        <v>51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113B</t>
        </is>
      </c>
      <c r="X234" s="0" t="n">
        <v>18</v>
      </c>
      <c r="Y234" s="0" t="n">
        <v>14</v>
      </c>
      <c r="Z234" s="0" t="inlineStr">
        <is>
          <t>https://new.land.naver.com/complexes/19740?tab=detail&amp;rf=Y</t>
        </is>
      </c>
      <c r="AA234" s="0" t="inlineStr">
        <is>
          <t>경상남도 창원시 성산구 반림동 18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성산구</t>
        </is>
      </c>
      <c r="AE234" s="0" t="inlineStr">
        <is>
          <t>반림동</t>
        </is>
      </c>
      <c r="AG234" s="0" t="inlineStr">
        <is>
          <t>경상남도 창원시 성산구 원이대로 495</t>
        </is>
      </c>
      <c r="AH234" s="0" t="n">
        <v>0</v>
      </c>
      <c r="AI234" s="0" t="n">
        <v>254</v>
      </c>
      <c r="AJ234" s="0" t="n">
        <v>17</v>
      </c>
      <c r="AK234" s="0" t="n">
        <v>2891</v>
      </c>
      <c r="AL234" s="0" t="n">
        <v>1.11</v>
      </c>
    </row>
    <row r="235">
      <c r="A235" s="0" t="inlineStr">
        <is>
          <t>[반림동]</t>
        </is>
      </c>
      <c r="B235" s="0" t="n">
        <v>19740</v>
      </c>
      <c r="C235" s="0" t="n">
        <v>10</v>
      </c>
      <c r="D235" s="0" t="inlineStr">
        <is>
          <t>트리비앙</t>
        </is>
      </c>
      <c r="E235" s="0" t="inlineStr">
        <is>
          <t>2006.10.</t>
        </is>
      </c>
      <c r="F235" s="0" t="n">
        <v>2610</v>
      </c>
      <c r="G235" s="0" t="n">
        <v>39.83</v>
      </c>
      <c r="H235" s="0" t="n">
        <v>131.7</v>
      </c>
      <c r="I235" s="0" t="n">
        <v>30.83</v>
      </c>
      <c r="J235" s="0" t="n">
        <v>101.93</v>
      </c>
      <c r="K235" s="0" t="n">
        <v>235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131</v>
      </c>
      <c r="X235" s="0" t="n">
        <v>18</v>
      </c>
      <c r="Y235" s="0" t="n">
        <v>14</v>
      </c>
      <c r="Z235" s="0" t="inlineStr">
        <is>
          <t>https://new.land.naver.com/complexes/19740?tab=detail&amp;rf=Y</t>
        </is>
      </c>
      <c r="AA235" s="0" t="inlineStr">
        <is>
          <t>경상남도 창원시 성산구 반림동 18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성산구</t>
        </is>
      </c>
      <c r="AE235" s="0" t="inlineStr">
        <is>
          <t>반림동</t>
        </is>
      </c>
      <c r="AG235" s="0" t="inlineStr">
        <is>
          <t>경상남도 창원시 성산구 원이대로 495</t>
        </is>
      </c>
      <c r="AH235" s="0" t="n">
        <v>0</v>
      </c>
      <c r="AI235" s="0" t="n">
        <v>254</v>
      </c>
      <c r="AJ235" s="0" t="n">
        <v>17</v>
      </c>
      <c r="AK235" s="0" t="n">
        <v>2891</v>
      </c>
      <c r="AL235" s="0" t="n">
        <v>1.11</v>
      </c>
    </row>
    <row r="236">
      <c r="A236" s="0" t="inlineStr">
        <is>
          <t>[반림동]</t>
        </is>
      </c>
      <c r="B236" s="0" t="n">
        <v>19740</v>
      </c>
      <c r="C236" s="0" t="n">
        <v>11</v>
      </c>
      <c r="D236" s="0" t="inlineStr">
        <is>
          <t>트리비앙</t>
        </is>
      </c>
      <c r="E236" s="0" t="inlineStr">
        <is>
          <t>2006.10.</t>
        </is>
      </c>
      <c r="F236" s="0" t="n">
        <v>2610</v>
      </c>
      <c r="G236" s="0" t="n">
        <v>49.65</v>
      </c>
      <c r="H236" s="0" t="n">
        <v>164.16</v>
      </c>
      <c r="I236" s="0" t="n">
        <v>39.17</v>
      </c>
      <c r="J236" s="0" t="n">
        <v>129.52</v>
      </c>
      <c r="K236" s="0" t="n">
        <v>87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164B</t>
        </is>
      </c>
      <c r="X236" s="0" t="n">
        <v>18</v>
      </c>
      <c r="Y236" s="0" t="n">
        <v>14</v>
      </c>
      <c r="Z236" s="0" t="inlineStr">
        <is>
          <t>https://new.land.naver.com/complexes/19740?tab=detail&amp;rf=Y</t>
        </is>
      </c>
      <c r="AA236" s="0" t="inlineStr">
        <is>
          <t>경상남도 창원시 성산구 반림동 18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성산구</t>
        </is>
      </c>
      <c r="AE236" s="0" t="inlineStr">
        <is>
          <t>반림동</t>
        </is>
      </c>
      <c r="AG236" s="0" t="inlineStr">
        <is>
          <t>경상남도 창원시 성산구 원이대로 495</t>
        </is>
      </c>
      <c r="AH236" s="0" t="n">
        <v>0</v>
      </c>
      <c r="AI236" s="0" t="n">
        <v>254</v>
      </c>
      <c r="AJ236" s="0" t="n">
        <v>17</v>
      </c>
      <c r="AK236" s="0" t="n">
        <v>2891</v>
      </c>
      <c r="AL236" s="0" t="n">
        <v>1.11</v>
      </c>
    </row>
    <row r="237">
      <c r="A237" s="0" t="inlineStr">
        <is>
          <t>[반림동]</t>
        </is>
      </c>
      <c r="B237" s="0" t="n">
        <v>19740</v>
      </c>
      <c r="C237" s="0" t="n">
        <v>12</v>
      </c>
      <c r="D237" s="0" t="inlineStr">
        <is>
          <t>트리비앙</t>
        </is>
      </c>
      <c r="E237" s="0" t="inlineStr">
        <is>
          <t>2006.10.</t>
        </is>
      </c>
      <c r="F237" s="0" t="n">
        <v>2610</v>
      </c>
      <c r="G237" s="0" t="n">
        <v>49.64</v>
      </c>
      <c r="H237" s="0" t="n">
        <v>164.1</v>
      </c>
      <c r="I237" s="0" t="n">
        <v>39.14</v>
      </c>
      <c r="J237" s="0" t="n">
        <v>129.4</v>
      </c>
      <c r="K237" s="0" t="n">
        <v>60</v>
      </c>
      <c r="T237" s="0" t="n">
        <v>4</v>
      </c>
      <c r="U237" s="0" t="n">
        <v>2</v>
      </c>
      <c r="V237" s="0" t="inlineStr">
        <is>
          <t>계단식</t>
        </is>
      </c>
      <c r="W237" s="0" t="inlineStr">
        <is>
          <t>164A</t>
        </is>
      </c>
      <c r="X237" s="0" t="n">
        <v>18</v>
      </c>
      <c r="Y237" s="0" t="n">
        <v>14</v>
      </c>
      <c r="Z237" s="0" t="inlineStr">
        <is>
          <t>https://new.land.naver.com/complexes/19740?tab=detail&amp;rf=Y</t>
        </is>
      </c>
      <c r="AA237" s="0" t="inlineStr">
        <is>
          <t>경상남도 창원시 성산구 반림동 18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성산구</t>
        </is>
      </c>
      <c r="AE237" s="0" t="inlineStr">
        <is>
          <t>반림동</t>
        </is>
      </c>
      <c r="AG237" s="0" t="inlineStr">
        <is>
          <t>경상남도 창원시 성산구 원이대로 495</t>
        </is>
      </c>
      <c r="AH237" s="0" t="n">
        <v>0</v>
      </c>
      <c r="AI237" s="0" t="n">
        <v>254</v>
      </c>
      <c r="AJ237" s="0" t="n">
        <v>17</v>
      </c>
      <c r="AK237" s="0" t="n">
        <v>2891</v>
      </c>
      <c r="AL237" s="0" t="n">
        <v>1.11</v>
      </c>
    </row>
    <row r="238">
      <c r="A238" s="0" t="inlineStr">
        <is>
          <t>[반림동]</t>
        </is>
      </c>
      <c r="B238" s="0" t="n">
        <v>19740</v>
      </c>
      <c r="C238" s="0" t="n">
        <v>13</v>
      </c>
      <c r="D238" s="0" t="inlineStr">
        <is>
          <t>트리비앙</t>
        </is>
      </c>
      <c r="E238" s="0" t="inlineStr">
        <is>
          <t>2006.10.</t>
        </is>
      </c>
      <c r="F238" s="0" t="n">
        <v>2610</v>
      </c>
      <c r="G238" s="0" t="n">
        <v>56.87</v>
      </c>
      <c r="H238" s="0" t="n">
        <v>188.01</v>
      </c>
      <c r="I238" s="0" t="n">
        <v>44.96</v>
      </c>
      <c r="J238" s="0" t="n">
        <v>148.66</v>
      </c>
      <c r="K238" s="0" t="n">
        <v>90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188</v>
      </c>
      <c r="X238" s="0" t="n">
        <v>18</v>
      </c>
      <c r="Y238" s="0" t="n">
        <v>14</v>
      </c>
      <c r="Z238" s="0" t="inlineStr">
        <is>
          <t>https://new.land.naver.com/complexes/19740?tab=detail&amp;rf=Y</t>
        </is>
      </c>
      <c r="AA238" s="0" t="inlineStr">
        <is>
          <t>경상남도 창원시 성산구 반림동 18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성산구</t>
        </is>
      </c>
      <c r="AE238" s="0" t="inlineStr">
        <is>
          <t>반림동</t>
        </is>
      </c>
      <c r="AG238" s="0" t="inlineStr">
        <is>
          <t>경상남도 창원시 성산구 원이대로 495</t>
        </is>
      </c>
      <c r="AH238" s="0" t="n">
        <v>0</v>
      </c>
      <c r="AI238" s="0" t="n">
        <v>254</v>
      </c>
      <c r="AJ238" s="0" t="n">
        <v>17</v>
      </c>
      <c r="AK238" s="0" t="n">
        <v>2891</v>
      </c>
      <c r="AL238" s="0" t="n">
        <v>1.11</v>
      </c>
    </row>
    <row r="239">
      <c r="A239" s="0" t="inlineStr">
        <is>
          <t>[반림동]</t>
        </is>
      </c>
      <c r="B239" s="0" t="n">
        <v>7743</v>
      </c>
      <c r="C239" s="0" t="n">
        <v>1</v>
      </c>
      <c r="D239" s="0" t="inlineStr">
        <is>
          <t>현대</t>
        </is>
      </c>
      <c r="E239" s="0" t="inlineStr">
        <is>
          <t>1989.04.</t>
        </is>
      </c>
      <c r="F239" s="0" t="n">
        <v>1200</v>
      </c>
      <c r="G239" s="0" t="n">
        <v>25.5</v>
      </c>
      <c r="H239" s="0" t="n">
        <v>84.31999999999999</v>
      </c>
      <c r="I239" s="0" t="n">
        <v>20.79</v>
      </c>
      <c r="J239" s="0" t="n">
        <v>68.76000000000001</v>
      </c>
      <c r="K239" s="0" t="n">
        <v>390</v>
      </c>
      <c r="T239" s="0" t="n">
        <v>3</v>
      </c>
      <c r="U239" s="0" t="n">
        <v>1</v>
      </c>
      <c r="V239" s="0" t="inlineStr">
        <is>
          <t>계단식</t>
        </is>
      </c>
      <c r="W239" s="0" t="inlineStr">
        <is>
          <t>84A</t>
        </is>
      </c>
      <c r="X239" s="0" t="n">
        <v>15</v>
      </c>
      <c r="Y239" s="0" t="n">
        <v>15</v>
      </c>
      <c r="Z239" s="0" t="inlineStr">
        <is>
          <t>https://new.land.naver.com/complexes/7743?tab=detail&amp;rf=Y</t>
        </is>
      </c>
      <c r="AA239" s="0" t="inlineStr">
        <is>
          <t>경상남도 창원시 성산구 반림동 3-1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성산구</t>
        </is>
      </c>
      <c r="AE239" s="0" t="inlineStr">
        <is>
          <t>반림동</t>
        </is>
      </c>
      <c r="AG239" s="0" t="inlineStr">
        <is>
          <t>경상남도 창원시 성산구 외동반림로 219</t>
        </is>
      </c>
      <c r="AH239" s="0" t="n">
        <v>0</v>
      </c>
      <c r="AI239" s="0" t="n">
        <v>182</v>
      </c>
      <c r="AJ239" s="0" t="n">
        <v>13</v>
      </c>
      <c r="AK239" s="0" t="n">
        <v>1557</v>
      </c>
      <c r="AL239" s="0" t="n">
        <v>1.3</v>
      </c>
    </row>
    <row r="240">
      <c r="A240" s="0" t="inlineStr">
        <is>
          <t>[반림동]</t>
        </is>
      </c>
      <c r="B240" s="0" t="n">
        <v>7743</v>
      </c>
      <c r="C240" s="0" t="n">
        <v>2</v>
      </c>
      <c r="D240" s="0" t="inlineStr">
        <is>
          <t>현대</t>
        </is>
      </c>
      <c r="E240" s="0" t="inlineStr">
        <is>
          <t>1989.04.</t>
        </is>
      </c>
      <c r="F240" s="0" t="n">
        <v>1200</v>
      </c>
      <c r="G240" s="0" t="n">
        <v>25.94</v>
      </c>
      <c r="H240" s="0" t="n">
        <v>85.77</v>
      </c>
      <c r="I240" s="0" t="n">
        <v>20.82</v>
      </c>
      <c r="J240" s="0" t="n">
        <v>68.84999999999999</v>
      </c>
      <c r="K240" s="0" t="n">
        <v>90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85B</t>
        </is>
      </c>
      <c r="X240" s="0" t="n">
        <v>15</v>
      </c>
      <c r="Y240" s="0" t="n">
        <v>15</v>
      </c>
      <c r="Z240" s="0" t="inlineStr">
        <is>
          <t>https://new.land.naver.com/complexes/7743?tab=detail&amp;rf=Y</t>
        </is>
      </c>
      <c r="AA240" s="0" t="inlineStr">
        <is>
          <t>경상남도 창원시 성산구 반림동 3-1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성산구</t>
        </is>
      </c>
      <c r="AE240" s="0" t="inlineStr">
        <is>
          <t>반림동</t>
        </is>
      </c>
      <c r="AG240" s="0" t="inlineStr">
        <is>
          <t>경상남도 창원시 성산구 외동반림로 219</t>
        </is>
      </c>
      <c r="AH240" s="0" t="n">
        <v>0</v>
      </c>
      <c r="AI240" s="0" t="n">
        <v>182</v>
      </c>
      <c r="AJ240" s="0" t="n">
        <v>13</v>
      </c>
      <c r="AK240" s="0" t="n">
        <v>1557</v>
      </c>
      <c r="AL240" s="0" t="n">
        <v>1.3</v>
      </c>
    </row>
    <row r="241">
      <c r="A241" s="0" t="inlineStr">
        <is>
          <t>[반림동]</t>
        </is>
      </c>
      <c r="B241" s="0" t="n">
        <v>7743</v>
      </c>
      <c r="C241" s="0" t="n">
        <v>3</v>
      </c>
      <c r="D241" s="0" t="inlineStr">
        <is>
          <t>현대</t>
        </is>
      </c>
      <c r="E241" s="0" t="inlineStr">
        <is>
          <t>1989.04.</t>
        </is>
      </c>
      <c r="F241" s="0" t="n">
        <v>1200</v>
      </c>
      <c r="G241" s="0" t="n">
        <v>31.09</v>
      </c>
      <c r="H241" s="0" t="n">
        <v>102.79</v>
      </c>
      <c r="I241" s="0" t="n">
        <v>25.56</v>
      </c>
      <c r="J241" s="0" t="n">
        <v>84.51000000000001</v>
      </c>
      <c r="K241" s="0" t="n">
        <v>330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102B</t>
        </is>
      </c>
      <c r="X241" s="0" t="n">
        <v>15</v>
      </c>
      <c r="Y241" s="0" t="n">
        <v>15</v>
      </c>
      <c r="Z241" s="0" t="inlineStr">
        <is>
          <t>https://new.land.naver.com/complexes/7743?tab=detail&amp;rf=Y</t>
        </is>
      </c>
      <c r="AA241" s="0" t="inlineStr">
        <is>
          <t>경상남도 창원시 성산구 반림동 3-1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성산구</t>
        </is>
      </c>
      <c r="AE241" s="0" t="inlineStr">
        <is>
          <t>반림동</t>
        </is>
      </c>
      <c r="AG241" s="0" t="inlineStr">
        <is>
          <t>경상남도 창원시 성산구 외동반림로 219</t>
        </is>
      </c>
      <c r="AH241" s="0" t="n">
        <v>0</v>
      </c>
      <c r="AI241" s="0" t="n">
        <v>182</v>
      </c>
      <c r="AJ241" s="0" t="n">
        <v>13</v>
      </c>
      <c r="AK241" s="0" t="n">
        <v>1557</v>
      </c>
      <c r="AL241" s="0" t="n">
        <v>1.3</v>
      </c>
    </row>
    <row r="242">
      <c r="A242" s="0" t="inlineStr">
        <is>
          <t>[반림동]</t>
        </is>
      </c>
      <c r="B242" s="0" t="n">
        <v>7743</v>
      </c>
      <c r="C242" s="0" t="n">
        <v>4</v>
      </c>
      <c r="D242" s="0" t="inlineStr">
        <is>
          <t>현대</t>
        </is>
      </c>
      <c r="E242" s="0" t="inlineStr">
        <is>
          <t>1989.04.</t>
        </is>
      </c>
      <c r="F242" s="0" t="n">
        <v>1200</v>
      </c>
      <c r="G242" s="0" t="n">
        <v>30.97</v>
      </c>
      <c r="H242" s="0" t="n">
        <v>102.4</v>
      </c>
      <c r="I242" s="0" t="n">
        <v>25.54</v>
      </c>
      <c r="J242" s="0" t="n">
        <v>84.45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102A</t>
        </is>
      </c>
      <c r="X242" s="0" t="n">
        <v>15</v>
      </c>
      <c r="Y242" s="0" t="n">
        <v>15</v>
      </c>
      <c r="Z242" s="0" t="inlineStr">
        <is>
          <t>https://new.land.naver.com/complexes/7743?tab=detail&amp;rf=Y</t>
        </is>
      </c>
      <c r="AA242" s="0" t="inlineStr">
        <is>
          <t>경상남도 창원시 성산구 반림동 3-1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성산구</t>
        </is>
      </c>
      <c r="AE242" s="0" t="inlineStr">
        <is>
          <t>반림동</t>
        </is>
      </c>
      <c r="AG242" s="0" t="inlineStr">
        <is>
          <t>경상남도 창원시 성산구 외동반림로 219</t>
        </is>
      </c>
      <c r="AH242" s="0" t="n">
        <v>0</v>
      </c>
      <c r="AI242" s="0" t="n">
        <v>182</v>
      </c>
      <c r="AJ242" s="0" t="n">
        <v>13</v>
      </c>
      <c r="AK242" s="0" t="n">
        <v>1557</v>
      </c>
      <c r="AL242" s="0" t="n">
        <v>1.3</v>
      </c>
    </row>
    <row r="243">
      <c r="A243" s="0" t="inlineStr">
        <is>
          <t>[반림동]</t>
        </is>
      </c>
      <c r="B243" s="0" t="n">
        <v>7743</v>
      </c>
      <c r="C243" s="0" t="n">
        <v>5</v>
      </c>
      <c r="D243" s="0" t="inlineStr">
        <is>
          <t>현대</t>
        </is>
      </c>
      <c r="E243" s="0" t="inlineStr">
        <is>
          <t>1989.04.</t>
        </is>
      </c>
      <c r="F243" s="0" t="n">
        <v>1200</v>
      </c>
      <c r="G243" s="0" t="n">
        <v>37.62</v>
      </c>
      <c r="H243" s="0" t="n">
        <v>124.39</v>
      </c>
      <c r="I243" s="0" t="n">
        <v>32.15</v>
      </c>
      <c r="J243" s="0" t="n">
        <v>106.29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124</v>
      </c>
      <c r="X243" s="0" t="n">
        <v>15</v>
      </c>
      <c r="Y243" s="0" t="n">
        <v>15</v>
      </c>
      <c r="Z243" s="0" t="inlineStr">
        <is>
          <t>https://new.land.naver.com/complexes/7743?tab=detail&amp;rf=Y</t>
        </is>
      </c>
      <c r="AA243" s="0" t="inlineStr">
        <is>
          <t>경상남도 창원시 성산구 반림동 3-1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성산구</t>
        </is>
      </c>
      <c r="AE243" s="0" t="inlineStr">
        <is>
          <t>반림동</t>
        </is>
      </c>
      <c r="AG243" s="0" t="inlineStr">
        <is>
          <t>경상남도 창원시 성산구 외동반림로 219</t>
        </is>
      </c>
      <c r="AH243" s="0" t="n">
        <v>0</v>
      </c>
      <c r="AI243" s="0" t="n">
        <v>182</v>
      </c>
      <c r="AJ243" s="0" t="n">
        <v>13</v>
      </c>
      <c r="AK243" s="0" t="n">
        <v>1557</v>
      </c>
      <c r="AL243" s="0" t="n">
        <v>1.3</v>
      </c>
    </row>
    <row r="244">
      <c r="A244" s="0" t="inlineStr">
        <is>
          <t>[반림동]</t>
        </is>
      </c>
      <c r="B244" s="0" t="n">
        <v>7743</v>
      </c>
      <c r="C244" s="0" t="n">
        <v>6</v>
      </c>
      <c r="D244" s="0" t="inlineStr">
        <is>
          <t>현대</t>
        </is>
      </c>
      <c r="E244" s="0" t="inlineStr">
        <is>
          <t>1989.04.</t>
        </is>
      </c>
      <c r="F244" s="0" t="n">
        <v>1200</v>
      </c>
      <c r="G244" s="0" t="n">
        <v>44</v>
      </c>
      <c r="H244" s="0" t="n">
        <v>145.46</v>
      </c>
      <c r="I244" s="0" t="n">
        <v>37.88</v>
      </c>
      <c r="J244" s="0" t="n">
        <v>125.25</v>
      </c>
      <c r="K244" s="0" t="n">
        <v>60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145</v>
      </c>
      <c r="X244" s="0" t="n">
        <v>15</v>
      </c>
      <c r="Y244" s="0" t="n">
        <v>15</v>
      </c>
      <c r="Z244" s="0" t="inlineStr">
        <is>
          <t>https://new.land.naver.com/complexes/7743?tab=detail&amp;rf=Y</t>
        </is>
      </c>
      <c r="AA244" s="0" t="inlineStr">
        <is>
          <t>경상남도 창원시 성산구 반림동 3-1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성산구</t>
        </is>
      </c>
      <c r="AE244" s="0" t="inlineStr">
        <is>
          <t>반림동</t>
        </is>
      </c>
      <c r="AG244" s="0" t="inlineStr">
        <is>
          <t>경상남도 창원시 성산구 외동반림로 219</t>
        </is>
      </c>
      <c r="AH244" s="0" t="n">
        <v>0</v>
      </c>
      <c r="AI244" s="0" t="n">
        <v>182</v>
      </c>
      <c r="AJ244" s="0" t="n">
        <v>13</v>
      </c>
      <c r="AK244" s="0" t="n">
        <v>1557</v>
      </c>
      <c r="AL244" s="0" t="n">
        <v>1.3</v>
      </c>
    </row>
    <row r="245">
      <c r="A245" s="0" t="inlineStr">
        <is>
          <t>[반림동]</t>
        </is>
      </c>
      <c r="B245" s="0" t="n">
        <v>7743</v>
      </c>
      <c r="C245" s="0" t="n">
        <v>7</v>
      </c>
      <c r="D245" s="0" t="inlineStr">
        <is>
          <t>현대</t>
        </is>
      </c>
      <c r="E245" s="0" t="inlineStr">
        <is>
          <t>1989.04.</t>
        </is>
      </c>
      <c r="F245" s="0" t="n">
        <v>1200</v>
      </c>
      <c r="G245" s="0" t="n">
        <v>44.67</v>
      </c>
      <c r="H245" s="0" t="n">
        <v>147.69</v>
      </c>
      <c r="I245" s="0" t="n">
        <v>38.32</v>
      </c>
      <c r="J245" s="0" t="n">
        <v>126.68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147</v>
      </c>
      <c r="X245" s="0" t="n">
        <v>15</v>
      </c>
      <c r="Y245" s="0" t="n">
        <v>15</v>
      </c>
      <c r="Z245" s="0" t="inlineStr">
        <is>
          <t>https://new.land.naver.com/complexes/7743?tab=detail&amp;rf=Y</t>
        </is>
      </c>
      <c r="AA245" s="0" t="inlineStr">
        <is>
          <t>경상남도 창원시 성산구 반림동 3-1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성산구</t>
        </is>
      </c>
      <c r="AE245" s="0" t="inlineStr">
        <is>
          <t>반림동</t>
        </is>
      </c>
      <c r="AG245" s="0" t="inlineStr">
        <is>
          <t>경상남도 창원시 성산구 외동반림로 219</t>
        </is>
      </c>
      <c r="AH245" s="0" t="n">
        <v>0</v>
      </c>
      <c r="AI245" s="0" t="n">
        <v>182</v>
      </c>
      <c r="AJ245" s="0" t="n">
        <v>13</v>
      </c>
      <c r="AK245" s="0" t="n">
        <v>1557</v>
      </c>
      <c r="AL245" s="0" t="n">
        <v>1.3</v>
      </c>
    </row>
    <row r="246">
      <c r="A246" s="0" t="inlineStr">
        <is>
          <t>[반림동]</t>
        </is>
      </c>
      <c r="B246" s="0" t="n">
        <v>100902</v>
      </c>
      <c r="C246" s="0" t="n">
        <v>1</v>
      </c>
      <c r="D246" s="0" t="inlineStr">
        <is>
          <t>현대2차</t>
        </is>
      </c>
      <c r="E246" s="0" t="inlineStr">
        <is>
          <t>1989.10.</t>
        </is>
      </c>
      <c r="F246" s="0" t="n">
        <v>1395</v>
      </c>
      <c r="G246" s="0" t="n">
        <v>17.35</v>
      </c>
      <c r="H246" s="0" t="n">
        <v>57.38</v>
      </c>
      <c r="I246" s="0" t="n">
        <v>13.38</v>
      </c>
      <c r="J246" s="0" t="n">
        <v>44.24</v>
      </c>
      <c r="K246" s="0" t="n">
        <v>135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15</v>
      </c>
      <c r="Y246" s="0" t="n">
        <v>15</v>
      </c>
      <c r="Z246" s="0" t="inlineStr">
        <is>
          <t>https://new.land.naver.com/complexes/100902?tab=detail&amp;rf=Y</t>
        </is>
      </c>
      <c r="AA246" s="0" t="inlineStr">
        <is>
          <t>경상남도 창원시 성산구 반림동 4-1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성산구</t>
        </is>
      </c>
      <c r="AE246" s="0" t="inlineStr">
        <is>
          <t>반림동</t>
        </is>
      </c>
      <c r="AG246" s="0" t="inlineStr">
        <is>
          <t>경상남도 창원시 성산구 반송로 177</t>
        </is>
      </c>
      <c r="AH246" s="0" t="n">
        <v>0</v>
      </c>
      <c r="AI246" s="0" t="n">
        <v>199</v>
      </c>
      <c r="AJ246" s="0" t="n">
        <v>14</v>
      </c>
      <c r="AK246" s="0" t="n">
        <v>0</v>
      </c>
      <c r="AL246" s="0" t="n">
        <v>0</v>
      </c>
    </row>
    <row r="247">
      <c r="A247" s="0" t="inlineStr">
        <is>
          <t>[반림동]</t>
        </is>
      </c>
      <c r="B247" s="0" t="n">
        <v>100902</v>
      </c>
      <c r="C247" s="0" t="n">
        <v>2</v>
      </c>
      <c r="D247" s="0" t="inlineStr">
        <is>
          <t>현대2차</t>
        </is>
      </c>
      <c r="E247" s="0" t="inlineStr">
        <is>
          <t>1989.10.</t>
        </is>
      </c>
      <c r="F247" s="0" t="n">
        <v>1395</v>
      </c>
      <c r="G247" s="0" t="n">
        <v>26.02</v>
      </c>
      <c r="H247" s="0" t="n">
        <v>86.04000000000001</v>
      </c>
      <c r="I247" s="0" t="n">
        <v>21.12</v>
      </c>
      <c r="J247" s="0" t="n">
        <v>69.84</v>
      </c>
      <c r="K247" s="0" t="n">
        <v>510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15</v>
      </c>
      <c r="Y247" s="0" t="n">
        <v>15</v>
      </c>
      <c r="Z247" s="0" t="inlineStr">
        <is>
          <t>https://new.land.naver.com/complexes/100902?tab=detail&amp;rf=Y</t>
        </is>
      </c>
      <c r="AA247" s="0" t="inlineStr">
        <is>
          <t>경상남도 창원시 성산구 반림동 4-1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성산구</t>
        </is>
      </c>
      <c r="AE247" s="0" t="inlineStr">
        <is>
          <t>반림동</t>
        </is>
      </c>
      <c r="AG247" s="0" t="inlineStr">
        <is>
          <t>경상남도 창원시 성산구 반송로 177</t>
        </is>
      </c>
      <c r="AH247" s="0" t="n">
        <v>0</v>
      </c>
      <c r="AI247" s="0" t="n">
        <v>199</v>
      </c>
      <c r="AJ247" s="0" t="n">
        <v>14</v>
      </c>
      <c r="AK247" s="0" t="n">
        <v>0</v>
      </c>
      <c r="AL247" s="0" t="n">
        <v>0</v>
      </c>
    </row>
    <row r="248">
      <c r="A248" s="0" t="inlineStr">
        <is>
          <t>[반림동]</t>
        </is>
      </c>
      <c r="B248" s="0" t="n">
        <v>100902</v>
      </c>
      <c r="C248" s="0" t="n">
        <v>3</v>
      </c>
      <c r="D248" s="0" t="inlineStr">
        <is>
          <t>현대2차</t>
        </is>
      </c>
      <c r="E248" s="0" t="inlineStr">
        <is>
          <t>1989.10.</t>
        </is>
      </c>
      <c r="F248" s="0" t="n">
        <v>1395</v>
      </c>
      <c r="G248" s="0" t="n">
        <v>30.83</v>
      </c>
      <c r="H248" s="0" t="n">
        <v>101.92</v>
      </c>
      <c r="I248" s="0" t="n">
        <v>25.64</v>
      </c>
      <c r="J248" s="0" t="n">
        <v>84.78</v>
      </c>
      <c r="K248" s="0" t="n">
        <v>690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15</v>
      </c>
      <c r="Y248" s="0" t="n">
        <v>15</v>
      </c>
      <c r="Z248" s="0" t="inlineStr">
        <is>
          <t>https://new.land.naver.com/complexes/100902?tab=detail&amp;rf=Y</t>
        </is>
      </c>
      <c r="AA248" s="0" t="inlineStr">
        <is>
          <t>경상남도 창원시 성산구 반림동 4-1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성산구</t>
        </is>
      </c>
      <c r="AE248" s="0" t="inlineStr">
        <is>
          <t>반림동</t>
        </is>
      </c>
      <c r="AG248" s="0" t="inlineStr">
        <is>
          <t>경상남도 창원시 성산구 반송로 177</t>
        </is>
      </c>
      <c r="AH248" s="0" t="n">
        <v>0</v>
      </c>
      <c r="AI248" s="0" t="n">
        <v>199</v>
      </c>
      <c r="AJ248" s="0" t="n">
        <v>14</v>
      </c>
      <c r="AK248" s="0" t="n">
        <v>0</v>
      </c>
      <c r="AL248" s="0" t="n">
        <v>0</v>
      </c>
    </row>
    <row r="249">
      <c r="A249" s="0" t="inlineStr">
        <is>
          <t>[반림동]</t>
        </is>
      </c>
      <c r="B249" s="0" t="n">
        <v>100902</v>
      </c>
      <c r="C249" s="0" t="n">
        <v>4</v>
      </c>
      <c r="D249" s="0" t="inlineStr">
        <is>
          <t>현대2차</t>
        </is>
      </c>
      <c r="E249" s="0" t="inlineStr">
        <is>
          <t>1989.10.</t>
        </is>
      </c>
      <c r="F249" s="0" t="n">
        <v>1395</v>
      </c>
      <c r="G249" s="0" t="n">
        <v>46.35</v>
      </c>
      <c r="H249" s="0" t="n">
        <v>153.24</v>
      </c>
      <c r="I249" s="0" t="n">
        <v>40.06</v>
      </c>
      <c r="J249" s="0" t="n">
        <v>132.46</v>
      </c>
      <c r="K249" s="0" t="n">
        <v>60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153</v>
      </c>
      <c r="X249" s="0" t="n">
        <v>15</v>
      </c>
      <c r="Y249" s="0" t="n">
        <v>15</v>
      </c>
      <c r="Z249" s="0" t="inlineStr">
        <is>
          <t>https://new.land.naver.com/complexes/100902?tab=detail&amp;rf=Y</t>
        </is>
      </c>
      <c r="AA249" s="0" t="inlineStr">
        <is>
          <t>경상남도 창원시 성산구 반림동 4-1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성산구</t>
        </is>
      </c>
      <c r="AE249" s="0" t="inlineStr">
        <is>
          <t>반림동</t>
        </is>
      </c>
      <c r="AG249" s="0" t="inlineStr">
        <is>
          <t>경상남도 창원시 성산구 반송로 177</t>
        </is>
      </c>
      <c r="AH249" s="0" t="n">
        <v>0</v>
      </c>
      <c r="AI249" s="0" t="n">
        <v>199</v>
      </c>
      <c r="AJ249" s="0" t="n">
        <v>14</v>
      </c>
      <c r="AK249" s="0" t="n">
        <v>0</v>
      </c>
      <c r="AL249" s="0" t="n">
        <v>0</v>
      </c>
    </row>
    <row r="250">
      <c r="A250" s="0" t="inlineStr">
        <is>
          <t>[반지동]</t>
        </is>
      </c>
      <c r="B250" s="0" t="n">
        <v>7751</v>
      </c>
      <c r="C250" s="0" t="n">
        <v>1</v>
      </c>
      <c r="D250" s="0" t="inlineStr">
        <is>
          <t>까치1차</t>
        </is>
      </c>
      <c r="E250" s="0" t="inlineStr">
        <is>
          <t>1990.09.</t>
        </is>
      </c>
      <c r="F250" s="0" t="n">
        <v>500</v>
      </c>
      <c r="G250" s="0" t="n">
        <v>11.55</v>
      </c>
      <c r="H250" s="0" t="n">
        <v>38.19</v>
      </c>
      <c r="I250" s="0" t="n">
        <v>9.140000000000001</v>
      </c>
      <c r="J250" s="0" t="n">
        <v>30.24</v>
      </c>
      <c r="K250" s="0" t="n">
        <v>50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38</v>
      </c>
      <c r="X250" s="0" t="n">
        <v>5</v>
      </c>
      <c r="Y250" s="0" t="n">
        <v>5</v>
      </c>
      <c r="Z250" s="0" t="inlineStr">
        <is>
          <t>https://new.land.naver.com/complexes/7751?tab=detail&amp;rf=Y</t>
        </is>
      </c>
      <c r="AA250" s="0" t="inlineStr">
        <is>
          <t>경상남도 창원시 성산구 반지동 27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성산구</t>
        </is>
      </c>
      <c r="AE250" s="0" t="inlineStr">
        <is>
          <t>반지동</t>
        </is>
      </c>
      <c r="AG250" s="0" t="inlineStr">
        <is>
          <t>경상남도 창원시 성산구 창원천로 254</t>
        </is>
      </c>
      <c r="AH250" s="0" t="n">
        <v>0</v>
      </c>
      <c r="AI250" s="0" t="n">
        <v>103</v>
      </c>
      <c r="AJ250" s="0" t="n">
        <v>21</v>
      </c>
      <c r="AK250" s="0" t="n">
        <v>500</v>
      </c>
      <c r="AL250" s="0" t="n">
        <v>1</v>
      </c>
    </row>
    <row r="251">
      <c r="A251" s="0" t="inlineStr">
        <is>
          <t>[반지동]</t>
        </is>
      </c>
      <c r="B251" s="0" t="n">
        <v>7751</v>
      </c>
      <c r="C251" s="0" t="n">
        <v>2</v>
      </c>
      <c r="D251" s="0" t="inlineStr">
        <is>
          <t>까치1차</t>
        </is>
      </c>
      <c r="E251" s="0" t="inlineStr">
        <is>
          <t>1990.09.</t>
        </is>
      </c>
      <c r="F251" s="0" t="n">
        <v>500</v>
      </c>
      <c r="G251" s="0" t="n">
        <v>12.01</v>
      </c>
      <c r="H251" s="0" t="n">
        <v>39.71</v>
      </c>
      <c r="I251" s="0" t="n">
        <v>9.51</v>
      </c>
      <c r="J251" s="0" t="n">
        <v>31.45</v>
      </c>
      <c r="K251" s="0" t="n">
        <v>450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39</v>
      </c>
      <c r="X251" s="0" t="n">
        <v>5</v>
      </c>
      <c r="Y251" s="0" t="n">
        <v>5</v>
      </c>
      <c r="Z251" s="0" t="inlineStr">
        <is>
          <t>https://new.land.naver.com/complexes/7751?tab=detail&amp;rf=Y</t>
        </is>
      </c>
      <c r="AA251" s="0" t="inlineStr">
        <is>
          <t>경상남도 창원시 성산구 반지동 27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성산구</t>
        </is>
      </c>
      <c r="AE251" s="0" t="inlineStr">
        <is>
          <t>반지동</t>
        </is>
      </c>
      <c r="AG251" s="0" t="inlineStr">
        <is>
          <t>경상남도 창원시 성산구 창원천로 254</t>
        </is>
      </c>
      <c r="AH251" s="0" t="n">
        <v>0</v>
      </c>
      <c r="AI251" s="0" t="n">
        <v>103</v>
      </c>
      <c r="AJ251" s="0" t="n">
        <v>21</v>
      </c>
      <c r="AK251" s="0" t="n">
        <v>500</v>
      </c>
      <c r="AL251" s="0" t="n">
        <v>1</v>
      </c>
    </row>
    <row r="252">
      <c r="A252" s="0" t="inlineStr">
        <is>
          <t>[반지동]</t>
        </is>
      </c>
      <c r="B252" s="0" t="n">
        <v>7752</v>
      </c>
      <c r="C252" s="0" t="n">
        <v>1</v>
      </c>
      <c r="D252" s="0" t="inlineStr">
        <is>
          <t>까치2차</t>
        </is>
      </c>
      <c r="E252" s="0" t="inlineStr">
        <is>
          <t>1991.06.</t>
        </is>
      </c>
      <c r="F252" s="0" t="n">
        <v>416</v>
      </c>
      <c r="G252" s="0" t="n">
        <v>17.95</v>
      </c>
      <c r="H252" s="0" t="n">
        <v>59.36</v>
      </c>
      <c r="I252" s="0" t="n">
        <v>16.36</v>
      </c>
      <c r="J252" s="0" t="n">
        <v>54.09</v>
      </c>
      <c r="K252" s="0" t="n">
        <v>416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59</v>
      </c>
      <c r="X252" s="0" t="n">
        <v>15</v>
      </c>
      <c r="Y252" s="0" t="n">
        <v>14</v>
      </c>
      <c r="Z252" s="0" t="inlineStr">
        <is>
          <t>https://new.land.naver.com/complexes/7752?tab=detail&amp;rf=Y</t>
        </is>
      </c>
      <c r="AA252" s="0" t="inlineStr">
        <is>
          <t>경상남도 창원시 성산구 반지동 24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성산구</t>
        </is>
      </c>
      <c r="AE252" s="0" t="inlineStr">
        <is>
          <t>반지동</t>
        </is>
      </c>
      <c r="AG252" s="0" t="inlineStr">
        <is>
          <t>경상남도 창원시 성산구 창원천로 256</t>
        </is>
      </c>
      <c r="AH252" s="0" t="n">
        <v>0</v>
      </c>
      <c r="AI252" s="0" t="n">
        <v>269</v>
      </c>
      <c r="AJ252" s="0" t="n">
        <v>22</v>
      </c>
      <c r="AK252" s="0" t="n">
        <v>500</v>
      </c>
      <c r="AL252" s="0" t="n">
        <v>1.2</v>
      </c>
    </row>
    <row r="253">
      <c r="A253" s="0" t="inlineStr">
        <is>
          <t>[반지동]</t>
        </is>
      </c>
      <c r="B253" s="0" t="n">
        <v>7754</v>
      </c>
      <c r="C253" s="0" t="n">
        <v>1</v>
      </c>
      <c r="D253" s="0" t="inlineStr">
        <is>
          <t>반송대동</t>
        </is>
      </c>
      <c r="E253" s="0" t="inlineStr">
        <is>
          <t>1991.07.</t>
        </is>
      </c>
      <c r="F253" s="0" t="n">
        <v>1292</v>
      </c>
      <c r="G253" s="0" t="n">
        <v>25.22</v>
      </c>
      <c r="H253" s="0" t="n">
        <v>83.39</v>
      </c>
      <c r="I253" s="0" t="n">
        <v>21.2</v>
      </c>
      <c r="J253" s="0" t="n">
        <v>70.11</v>
      </c>
      <c r="K253" s="0" t="n">
        <v>408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83</v>
      </c>
      <c r="X253" s="0" t="n">
        <v>15</v>
      </c>
      <c r="Y253" s="0" t="n">
        <v>14</v>
      </c>
      <c r="Z253" s="0" t="inlineStr">
        <is>
          <t>https://new.land.naver.com/complexes/7754?tab=detail&amp;rf=Y</t>
        </is>
      </c>
      <c r="AA253" s="0" t="inlineStr">
        <is>
          <t>경상남도 창원시 성산구 반지동 23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성산구</t>
        </is>
      </c>
      <c r="AE253" s="0" t="inlineStr">
        <is>
          <t>반지동</t>
        </is>
      </c>
      <c r="AG253" s="0" t="inlineStr">
        <is>
          <t>경상남도 창원시 성산구 창원천로 292</t>
        </is>
      </c>
      <c r="AH253" s="0" t="n">
        <v>0</v>
      </c>
      <c r="AI253" s="0" t="n">
        <v>0</v>
      </c>
      <c r="AJ253" s="0" t="n">
        <v>0</v>
      </c>
      <c r="AK253" s="0" t="n">
        <v>1300</v>
      </c>
      <c r="AL253" s="0" t="n">
        <v>1.01</v>
      </c>
    </row>
    <row r="254">
      <c r="A254" s="0" t="inlineStr">
        <is>
          <t>[반지동]</t>
        </is>
      </c>
      <c r="B254" s="0" t="n">
        <v>7754</v>
      </c>
      <c r="C254" s="0" t="n">
        <v>2</v>
      </c>
      <c r="D254" s="0" t="inlineStr">
        <is>
          <t>반송대동</t>
        </is>
      </c>
      <c r="E254" s="0" t="inlineStr">
        <is>
          <t>1991.07.</t>
        </is>
      </c>
      <c r="F254" s="0" t="n">
        <v>1292</v>
      </c>
      <c r="G254" s="0" t="n">
        <v>30.52</v>
      </c>
      <c r="H254" s="0" t="n">
        <v>100.92</v>
      </c>
      <c r="I254" s="0" t="n">
        <v>25.66</v>
      </c>
      <c r="J254" s="0" t="n">
        <v>84.84999999999999</v>
      </c>
      <c r="K254" s="0" t="n">
        <v>262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100A</t>
        </is>
      </c>
      <c r="X254" s="0" t="n">
        <v>15</v>
      </c>
      <c r="Y254" s="0" t="n">
        <v>14</v>
      </c>
      <c r="Z254" s="0" t="inlineStr">
        <is>
          <t>https://new.land.naver.com/complexes/7754?tab=detail&amp;rf=Y</t>
        </is>
      </c>
      <c r="AA254" s="0" t="inlineStr">
        <is>
          <t>경상남도 창원시 성산구 반지동 23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성산구</t>
        </is>
      </c>
      <c r="AE254" s="0" t="inlineStr">
        <is>
          <t>반지동</t>
        </is>
      </c>
      <c r="AG254" s="0" t="inlineStr">
        <is>
          <t>경상남도 창원시 성산구 창원천로 292</t>
        </is>
      </c>
      <c r="AH254" s="0" t="n">
        <v>0</v>
      </c>
      <c r="AI254" s="0" t="n">
        <v>0</v>
      </c>
      <c r="AJ254" s="0" t="n">
        <v>0</v>
      </c>
      <c r="AK254" s="0" t="n">
        <v>1300</v>
      </c>
      <c r="AL254" s="0" t="n">
        <v>1.01</v>
      </c>
    </row>
    <row r="255">
      <c r="A255" s="0" t="inlineStr">
        <is>
          <t>[반지동]</t>
        </is>
      </c>
      <c r="B255" s="0" t="n">
        <v>7754</v>
      </c>
      <c r="C255" s="0" t="n">
        <v>3</v>
      </c>
      <c r="D255" s="0" t="inlineStr">
        <is>
          <t>반송대동</t>
        </is>
      </c>
      <c r="E255" s="0" t="inlineStr">
        <is>
          <t>1991.07.</t>
        </is>
      </c>
      <c r="F255" s="0" t="n">
        <v>1292</v>
      </c>
      <c r="G255" s="0" t="n">
        <v>30.56</v>
      </c>
      <c r="H255" s="0" t="n">
        <v>101.04</v>
      </c>
      <c r="I255" s="0" t="n">
        <v>25.69</v>
      </c>
      <c r="J255" s="0" t="n">
        <v>84.95</v>
      </c>
      <c r="K255" s="0" t="n">
        <v>472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101B</t>
        </is>
      </c>
      <c r="X255" s="0" t="n">
        <v>15</v>
      </c>
      <c r="Y255" s="0" t="n">
        <v>14</v>
      </c>
      <c r="Z255" s="0" t="inlineStr">
        <is>
          <t>https://new.land.naver.com/complexes/7754?tab=detail&amp;rf=Y</t>
        </is>
      </c>
      <c r="AA255" s="0" t="inlineStr">
        <is>
          <t>경상남도 창원시 성산구 반지동 23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성산구</t>
        </is>
      </c>
      <c r="AE255" s="0" t="inlineStr">
        <is>
          <t>반지동</t>
        </is>
      </c>
      <c r="AG255" s="0" t="inlineStr">
        <is>
          <t>경상남도 창원시 성산구 창원천로 292</t>
        </is>
      </c>
      <c r="AH255" s="0" t="n">
        <v>0</v>
      </c>
      <c r="AI255" s="0" t="n">
        <v>0</v>
      </c>
      <c r="AJ255" s="0" t="n">
        <v>0</v>
      </c>
      <c r="AK255" s="0" t="n">
        <v>1300</v>
      </c>
      <c r="AL255" s="0" t="n">
        <v>1.01</v>
      </c>
    </row>
    <row r="256">
      <c r="A256" s="0" t="inlineStr">
        <is>
          <t>[반지동]</t>
        </is>
      </c>
      <c r="B256" s="0" t="n">
        <v>7754</v>
      </c>
      <c r="C256" s="0" t="n">
        <v>4</v>
      </c>
      <c r="D256" s="0" t="inlineStr">
        <is>
          <t>반송대동</t>
        </is>
      </c>
      <c r="E256" s="0" t="inlineStr">
        <is>
          <t>1991.07.</t>
        </is>
      </c>
      <c r="F256" s="0" t="n">
        <v>1292</v>
      </c>
      <c r="G256" s="0" t="n">
        <v>43.36</v>
      </c>
      <c r="H256" s="0" t="n">
        <v>143.35</v>
      </c>
      <c r="I256" s="0" t="n">
        <v>36.49</v>
      </c>
      <c r="J256" s="0" t="n">
        <v>120.66</v>
      </c>
      <c r="K256" s="0" t="n">
        <v>60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143</v>
      </c>
      <c r="X256" s="0" t="n">
        <v>15</v>
      </c>
      <c r="Y256" s="0" t="n">
        <v>14</v>
      </c>
      <c r="Z256" s="0" t="inlineStr">
        <is>
          <t>https://new.land.naver.com/complexes/7754?tab=detail&amp;rf=Y</t>
        </is>
      </c>
      <c r="AA256" s="0" t="inlineStr">
        <is>
          <t>경상남도 창원시 성산구 반지동 23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성산구</t>
        </is>
      </c>
      <c r="AE256" s="0" t="inlineStr">
        <is>
          <t>반지동</t>
        </is>
      </c>
      <c r="AG256" s="0" t="inlineStr">
        <is>
          <t>경상남도 창원시 성산구 창원천로 292</t>
        </is>
      </c>
      <c r="AH256" s="0" t="n">
        <v>0</v>
      </c>
      <c r="AI256" s="0" t="n">
        <v>0</v>
      </c>
      <c r="AJ256" s="0" t="n">
        <v>0</v>
      </c>
      <c r="AK256" s="0" t="n">
        <v>1300</v>
      </c>
      <c r="AL256" s="0" t="n">
        <v>1.01</v>
      </c>
    </row>
    <row r="257">
      <c r="A257" s="0" t="inlineStr">
        <is>
          <t>[반지동]</t>
        </is>
      </c>
      <c r="B257" s="0" t="n">
        <v>7754</v>
      </c>
      <c r="C257" s="0" t="n">
        <v>5</v>
      </c>
      <c r="D257" s="0" t="inlineStr">
        <is>
          <t>반송대동</t>
        </is>
      </c>
      <c r="E257" s="0" t="inlineStr">
        <is>
          <t>1991.07.</t>
        </is>
      </c>
      <c r="F257" s="0" t="n">
        <v>1292</v>
      </c>
      <c r="G257" s="0" t="n">
        <v>44.49</v>
      </c>
      <c r="H257" s="0" t="n">
        <v>147.1</v>
      </c>
      <c r="I257" s="0" t="n">
        <v>37.41</v>
      </c>
      <c r="J257" s="0" t="n">
        <v>123.69</v>
      </c>
      <c r="K257" s="0" t="n">
        <v>90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147</v>
      </c>
      <c r="X257" s="0" t="n">
        <v>15</v>
      </c>
      <c r="Y257" s="0" t="n">
        <v>14</v>
      </c>
      <c r="Z257" s="0" t="inlineStr">
        <is>
          <t>https://new.land.naver.com/complexes/7754?tab=detail&amp;rf=Y</t>
        </is>
      </c>
      <c r="AA257" s="0" t="inlineStr">
        <is>
          <t>경상남도 창원시 성산구 반지동 23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성산구</t>
        </is>
      </c>
      <c r="AE257" s="0" t="inlineStr">
        <is>
          <t>반지동</t>
        </is>
      </c>
      <c r="AG257" s="0" t="inlineStr">
        <is>
          <t>경상남도 창원시 성산구 창원천로 292</t>
        </is>
      </c>
      <c r="AH257" s="0" t="n">
        <v>0</v>
      </c>
      <c r="AI257" s="0" t="n">
        <v>0</v>
      </c>
      <c r="AJ257" s="0" t="n">
        <v>0</v>
      </c>
      <c r="AK257" s="0" t="n">
        <v>1300</v>
      </c>
      <c r="AL257" s="0" t="n">
        <v>1.01</v>
      </c>
    </row>
    <row r="258">
      <c r="A258" s="0" t="inlineStr">
        <is>
          <t>[사파동]</t>
        </is>
      </c>
      <c r="B258" s="0" t="n">
        <v>7777</v>
      </c>
      <c r="C258" s="0" t="n">
        <v>1</v>
      </c>
      <c r="D258" s="0" t="inlineStr">
        <is>
          <t>동서</t>
        </is>
      </c>
      <c r="E258" s="0" t="inlineStr">
        <is>
          <t>1989.12.</t>
        </is>
      </c>
      <c r="F258" s="0" t="n">
        <v>190</v>
      </c>
      <c r="G258" s="0" t="n">
        <v>15.58</v>
      </c>
      <c r="H258" s="0" t="n">
        <v>51.51</v>
      </c>
      <c r="I258" s="0" t="n">
        <v>12.68</v>
      </c>
      <c r="J258" s="0" t="n">
        <v>41.92</v>
      </c>
      <c r="K258" s="0" t="n">
        <v>100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51</v>
      </c>
      <c r="X258" s="0" t="n">
        <v>5</v>
      </c>
      <c r="Y258" s="0" t="n">
        <v>5</v>
      </c>
      <c r="Z258" s="0" t="inlineStr">
        <is>
          <t>https://new.land.naver.com/complexes/7777?tab=detail&amp;rf=Y</t>
        </is>
      </c>
      <c r="AA258" s="0" t="inlineStr">
        <is>
          <t>경상남도 창원시 성산구 사파동 143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성산구</t>
        </is>
      </c>
      <c r="AE258" s="0" t="inlineStr">
        <is>
          <t>사파동</t>
        </is>
      </c>
      <c r="AG258" s="0" t="inlineStr">
        <is>
          <t>경상남도 창원시 성산구 신사로 116</t>
        </is>
      </c>
      <c r="AH258" s="0" t="n">
        <v>0</v>
      </c>
      <c r="AI258" s="0" t="n">
        <v>128</v>
      </c>
      <c r="AJ258" s="0" t="n">
        <v>27</v>
      </c>
      <c r="AK258" s="0" t="n">
        <v>93</v>
      </c>
      <c r="AL258" s="0" t="n">
        <v>0.49</v>
      </c>
    </row>
    <row r="259">
      <c r="A259" s="0" t="inlineStr">
        <is>
          <t>[사파동]</t>
        </is>
      </c>
      <c r="B259" s="0" t="n">
        <v>7777</v>
      </c>
      <c r="C259" s="0" t="n">
        <v>2</v>
      </c>
      <c r="D259" s="0" t="inlineStr">
        <is>
          <t>동서</t>
        </is>
      </c>
      <c r="E259" s="0" t="inlineStr">
        <is>
          <t>1989.12.</t>
        </is>
      </c>
      <c r="F259" s="0" t="n">
        <v>190</v>
      </c>
      <c r="G259" s="0" t="n">
        <v>17.74</v>
      </c>
      <c r="H259" s="0" t="n">
        <v>58.67</v>
      </c>
      <c r="I259" s="0" t="n">
        <v>14.44</v>
      </c>
      <c r="J259" s="0" t="n">
        <v>47.75</v>
      </c>
      <c r="K259" s="0" t="n">
        <v>5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58A</t>
        </is>
      </c>
      <c r="X259" s="0" t="n">
        <v>5</v>
      </c>
      <c r="Y259" s="0" t="n">
        <v>5</v>
      </c>
      <c r="Z259" s="0" t="inlineStr">
        <is>
          <t>https://new.land.naver.com/complexes/7777?tab=detail&amp;rf=Y</t>
        </is>
      </c>
      <c r="AA259" s="0" t="inlineStr">
        <is>
          <t>경상남도 창원시 성산구 사파동 143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성산구</t>
        </is>
      </c>
      <c r="AE259" s="0" t="inlineStr">
        <is>
          <t>사파동</t>
        </is>
      </c>
      <c r="AG259" s="0" t="inlineStr">
        <is>
          <t>경상남도 창원시 성산구 신사로 116</t>
        </is>
      </c>
      <c r="AH259" s="0" t="n">
        <v>0</v>
      </c>
      <c r="AI259" s="0" t="n">
        <v>128</v>
      </c>
      <c r="AJ259" s="0" t="n">
        <v>27</v>
      </c>
      <c r="AK259" s="0" t="n">
        <v>93</v>
      </c>
      <c r="AL259" s="0" t="n">
        <v>0.49</v>
      </c>
    </row>
    <row r="260">
      <c r="A260" s="0" t="inlineStr">
        <is>
          <t>[사파동]</t>
        </is>
      </c>
      <c r="B260" s="0" t="n">
        <v>7777</v>
      </c>
      <c r="C260" s="0" t="n">
        <v>3</v>
      </c>
      <c r="D260" s="0" t="inlineStr">
        <is>
          <t>동서</t>
        </is>
      </c>
      <c r="E260" s="0" t="inlineStr">
        <is>
          <t>1989.12.</t>
        </is>
      </c>
      <c r="F260" s="0" t="n">
        <v>190</v>
      </c>
      <c r="G260" s="0" t="n">
        <v>18.21</v>
      </c>
      <c r="H260" s="0" t="n">
        <v>60.2</v>
      </c>
      <c r="I260" s="0" t="n">
        <v>14.8</v>
      </c>
      <c r="J260" s="0" t="n">
        <v>48.95</v>
      </c>
      <c r="K260" s="0" t="n">
        <v>5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60B</t>
        </is>
      </c>
      <c r="X260" s="0" t="n">
        <v>5</v>
      </c>
      <c r="Y260" s="0" t="n">
        <v>5</v>
      </c>
      <c r="Z260" s="0" t="inlineStr">
        <is>
          <t>https://new.land.naver.com/complexes/7777?tab=detail&amp;rf=Y</t>
        </is>
      </c>
      <c r="AA260" s="0" t="inlineStr">
        <is>
          <t>경상남도 창원시 성산구 사파동 143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성산구</t>
        </is>
      </c>
      <c r="AE260" s="0" t="inlineStr">
        <is>
          <t>사파동</t>
        </is>
      </c>
      <c r="AG260" s="0" t="inlineStr">
        <is>
          <t>경상남도 창원시 성산구 신사로 116</t>
        </is>
      </c>
      <c r="AH260" s="0" t="n">
        <v>0</v>
      </c>
      <c r="AI260" s="0" t="n">
        <v>128</v>
      </c>
      <c r="AJ260" s="0" t="n">
        <v>27</v>
      </c>
      <c r="AK260" s="0" t="n">
        <v>93</v>
      </c>
      <c r="AL260" s="0" t="n">
        <v>0.49</v>
      </c>
    </row>
    <row r="261">
      <c r="A261" s="0" t="inlineStr">
        <is>
          <t>[사파동]</t>
        </is>
      </c>
      <c r="B261" s="0" t="n">
        <v>7777</v>
      </c>
      <c r="C261" s="0" t="n">
        <v>4</v>
      </c>
      <c r="D261" s="0" t="inlineStr">
        <is>
          <t>동서</t>
        </is>
      </c>
      <c r="E261" s="0" t="inlineStr">
        <is>
          <t>1989.12.</t>
        </is>
      </c>
      <c r="F261" s="0" t="n">
        <v>190</v>
      </c>
      <c r="G261" s="0" t="n">
        <v>19.44</v>
      </c>
      <c r="H261" s="0" t="n">
        <v>64.27</v>
      </c>
      <c r="I261" s="0" t="n">
        <v>15.82</v>
      </c>
      <c r="J261" s="0" t="n">
        <v>52.31</v>
      </c>
      <c r="K261" s="0" t="n">
        <v>80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64</v>
      </c>
      <c r="X261" s="0" t="n">
        <v>5</v>
      </c>
      <c r="Y261" s="0" t="n">
        <v>5</v>
      </c>
      <c r="Z261" s="0" t="inlineStr">
        <is>
          <t>https://new.land.naver.com/complexes/7777?tab=detail&amp;rf=Y</t>
        </is>
      </c>
      <c r="AA261" s="0" t="inlineStr">
        <is>
          <t>경상남도 창원시 성산구 사파동 143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성산구</t>
        </is>
      </c>
      <c r="AE261" s="0" t="inlineStr">
        <is>
          <t>사파동</t>
        </is>
      </c>
      <c r="AG261" s="0" t="inlineStr">
        <is>
          <t>경상남도 창원시 성산구 신사로 116</t>
        </is>
      </c>
      <c r="AH261" s="0" t="n">
        <v>0</v>
      </c>
      <c r="AI261" s="0" t="n">
        <v>128</v>
      </c>
      <c r="AJ261" s="0" t="n">
        <v>27</v>
      </c>
      <c r="AK261" s="0" t="n">
        <v>93</v>
      </c>
      <c r="AL261" s="0" t="n">
        <v>0.49</v>
      </c>
    </row>
    <row r="262">
      <c r="A262" s="0" t="inlineStr">
        <is>
          <t>[사파동]</t>
        </is>
      </c>
      <c r="B262" s="0" t="n">
        <v>7783</v>
      </c>
      <c r="C262" s="0" t="n">
        <v>1</v>
      </c>
      <c r="D262" s="0" t="inlineStr">
        <is>
          <t>삼익1차</t>
        </is>
      </c>
      <c r="E262" s="0" t="inlineStr">
        <is>
          <t>1988.09.</t>
        </is>
      </c>
      <c r="F262" s="0" t="n">
        <v>570</v>
      </c>
      <c r="G262" s="0" t="n">
        <v>14.73</v>
      </c>
      <c r="H262" s="0" t="n">
        <v>48.7</v>
      </c>
      <c r="I262" s="0" t="n">
        <v>12.07</v>
      </c>
      <c r="J262" s="0" t="n">
        <v>39.93</v>
      </c>
      <c r="K262" s="0" t="n">
        <v>120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48</v>
      </c>
      <c r="X262" s="0" t="n">
        <v>5</v>
      </c>
      <c r="Y262" s="0" t="n">
        <v>5</v>
      </c>
      <c r="Z262" s="0" t="inlineStr">
        <is>
          <t>https://new.land.naver.com/complexes/7783?tab=detail&amp;rf=Y</t>
        </is>
      </c>
      <c r="AA262" s="0" t="inlineStr">
        <is>
          <t>경상남도 창원시 성산구 사파동 147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성산구</t>
        </is>
      </c>
      <c r="AE262" s="0" t="inlineStr">
        <is>
          <t>사파동</t>
        </is>
      </c>
      <c r="AG262" s="0" t="inlineStr">
        <is>
          <t>경상남도 창원시 성산구 원이대로773번길 13</t>
        </is>
      </c>
      <c r="AH262" s="0" t="n">
        <v>0</v>
      </c>
      <c r="AI262" s="0" t="n">
        <v>0</v>
      </c>
      <c r="AJ262" s="0" t="n">
        <v>0</v>
      </c>
      <c r="AK262" s="0" t="n">
        <v>570</v>
      </c>
      <c r="AL262" s="0" t="n">
        <v>1</v>
      </c>
    </row>
    <row r="263">
      <c r="A263" s="0" t="inlineStr">
        <is>
          <t>[사파동]</t>
        </is>
      </c>
      <c r="B263" s="0" t="n">
        <v>7783</v>
      </c>
      <c r="C263" s="0" t="n">
        <v>2</v>
      </c>
      <c r="D263" s="0" t="inlineStr">
        <is>
          <t>삼익1차</t>
        </is>
      </c>
      <c r="E263" s="0" t="inlineStr">
        <is>
          <t>1988.09.</t>
        </is>
      </c>
      <c r="F263" s="0" t="n">
        <v>570</v>
      </c>
      <c r="G263" s="0" t="n">
        <v>18.1</v>
      </c>
      <c r="H263" s="0" t="n">
        <v>59.84</v>
      </c>
      <c r="I263" s="0" t="n">
        <v>15.05</v>
      </c>
      <c r="J263" s="0" t="n">
        <v>49.76</v>
      </c>
      <c r="K263" s="0" t="n">
        <v>200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59</v>
      </c>
      <c r="X263" s="0" t="n">
        <v>5</v>
      </c>
      <c r="Y263" s="0" t="n">
        <v>5</v>
      </c>
      <c r="Z263" s="0" t="inlineStr">
        <is>
          <t>https://new.land.naver.com/complexes/7783?tab=detail&amp;rf=Y</t>
        </is>
      </c>
      <c r="AA263" s="0" t="inlineStr">
        <is>
          <t>경상남도 창원시 성산구 사파동 147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성산구</t>
        </is>
      </c>
      <c r="AE263" s="0" t="inlineStr">
        <is>
          <t>사파동</t>
        </is>
      </c>
      <c r="AG263" s="0" t="inlineStr">
        <is>
          <t>경상남도 창원시 성산구 원이대로773번길 13</t>
        </is>
      </c>
      <c r="AH263" s="0" t="n">
        <v>0</v>
      </c>
      <c r="AI263" s="0" t="n">
        <v>0</v>
      </c>
      <c r="AJ263" s="0" t="n">
        <v>0</v>
      </c>
      <c r="AK263" s="0" t="n">
        <v>570</v>
      </c>
      <c r="AL263" s="0" t="n">
        <v>1</v>
      </c>
    </row>
    <row r="264">
      <c r="A264" s="0" t="inlineStr">
        <is>
          <t>[사파동]</t>
        </is>
      </c>
      <c r="B264" s="0" t="n">
        <v>7783</v>
      </c>
      <c r="C264" s="0" t="n">
        <v>3</v>
      </c>
      <c r="D264" s="0" t="inlineStr">
        <is>
          <t>삼익1차</t>
        </is>
      </c>
      <c r="E264" s="0" t="inlineStr">
        <is>
          <t>1988.09.</t>
        </is>
      </c>
      <c r="F264" s="0" t="n">
        <v>570</v>
      </c>
      <c r="G264" s="0" t="n">
        <v>21.44</v>
      </c>
      <c r="H264" s="0" t="n">
        <v>70.90000000000001</v>
      </c>
      <c r="I264" s="0" t="n">
        <v>18.13</v>
      </c>
      <c r="J264" s="0" t="n">
        <v>59.96</v>
      </c>
      <c r="K264" s="0" t="n">
        <v>220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5</v>
      </c>
      <c r="Y264" s="0" t="n">
        <v>5</v>
      </c>
      <c r="Z264" s="0" t="inlineStr">
        <is>
          <t>https://new.land.naver.com/complexes/7783?tab=detail&amp;rf=Y</t>
        </is>
      </c>
      <c r="AA264" s="0" t="inlineStr">
        <is>
          <t>경상남도 창원시 성산구 사파동 147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성산구</t>
        </is>
      </c>
      <c r="AE264" s="0" t="inlineStr">
        <is>
          <t>사파동</t>
        </is>
      </c>
      <c r="AG264" s="0" t="inlineStr">
        <is>
          <t>경상남도 창원시 성산구 원이대로773번길 13</t>
        </is>
      </c>
      <c r="AH264" s="0" t="n">
        <v>0</v>
      </c>
      <c r="AI264" s="0" t="n">
        <v>0</v>
      </c>
      <c r="AJ264" s="0" t="n">
        <v>0</v>
      </c>
      <c r="AK264" s="0" t="n">
        <v>570</v>
      </c>
      <c r="AL264" s="0" t="n">
        <v>1</v>
      </c>
    </row>
    <row r="265">
      <c r="A265" s="0" t="inlineStr">
        <is>
          <t>[사파동]</t>
        </is>
      </c>
      <c r="B265" s="0" t="n">
        <v>7783</v>
      </c>
      <c r="C265" s="0" t="n">
        <v>4</v>
      </c>
      <c r="D265" s="0" t="inlineStr">
        <is>
          <t>삼익1차</t>
        </is>
      </c>
      <c r="E265" s="0" t="inlineStr">
        <is>
          <t>1988.09.</t>
        </is>
      </c>
      <c r="F265" s="0" t="n">
        <v>570</v>
      </c>
      <c r="G265" s="0" t="n">
        <v>21.42</v>
      </c>
      <c r="H265" s="0" t="n">
        <v>70.81</v>
      </c>
      <c r="I265" s="0" t="n">
        <v>18.11</v>
      </c>
      <c r="J265" s="0" t="n">
        <v>59.88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70A</t>
        </is>
      </c>
      <c r="X265" s="0" t="n">
        <v>5</v>
      </c>
      <c r="Y265" s="0" t="n">
        <v>5</v>
      </c>
      <c r="Z265" s="0" t="inlineStr">
        <is>
          <t>https://new.land.naver.com/complexes/7783?tab=detail&amp;rf=Y</t>
        </is>
      </c>
      <c r="AA265" s="0" t="inlineStr">
        <is>
          <t>경상남도 창원시 성산구 사파동 147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성산구</t>
        </is>
      </c>
      <c r="AE265" s="0" t="inlineStr">
        <is>
          <t>사파동</t>
        </is>
      </c>
      <c r="AG265" s="0" t="inlineStr">
        <is>
          <t>경상남도 창원시 성산구 원이대로773번길 13</t>
        </is>
      </c>
      <c r="AH265" s="0" t="n">
        <v>0</v>
      </c>
      <c r="AI265" s="0" t="n">
        <v>0</v>
      </c>
      <c r="AJ265" s="0" t="n">
        <v>0</v>
      </c>
      <c r="AK265" s="0" t="n">
        <v>570</v>
      </c>
      <c r="AL265" s="0" t="n">
        <v>1</v>
      </c>
    </row>
    <row r="266">
      <c r="A266" s="0" t="inlineStr">
        <is>
          <t>[사파동]</t>
        </is>
      </c>
      <c r="B266" s="0" t="n">
        <v>7786</v>
      </c>
      <c r="C266" s="0" t="n">
        <v>1</v>
      </c>
      <c r="D266" s="0" t="inlineStr">
        <is>
          <t>삼익2차</t>
        </is>
      </c>
      <c r="E266" s="0" t="inlineStr">
        <is>
          <t>1989.01.</t>
        </is>
      </c>
      <c r="F266" s="0" t="n">
        <v>400</v>
      </c>
      <c r="G266" s="0" t="n">
        <v>15.38</v>
      </c>
      <c r="H266" s="0" t="n">
        <v>50.85</v>
      </c>
      <c r="I266" s="0" t="n">
        <v>12.68</v>
      </c>
      <c r="J266" s="0" t="n">
        <v>41.95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50</v>
      </c>
      <c r="X266" s="0" t="n">
        <v>5</v>
      </c>
      <c r="Y266" s="0" t="n">
        <v>5</v>
      </c>
      <c r="Z266" s="0" t="inlineStr">
        <is>
          <t>https://new.land.naver.com/complexes/7786?tab=detail&amp;rf=Y</t>
        </is>
      </c>
      <c r="AA266" s="0" t="inlineStr">
        <is>
          <t>경상남도 창원시 성산구 사파동 147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성산구</t>
        </is>
      </c>
      <c r="AE266" s="0" t="inlineStr">
        <is>
          <t>사파동</t>
        </is>
      </c>
      <c r="AG266" s="0" t="inlineStr">
        <is>
          <t>경상남도 창원시 성산구 원이대로773번길 13</t>
        </is>
      </c>
      <c r="AH266" s="0" t="n">
        <v>0</v>
      </c>
      <c r="AI266" s="0" t="n">
        <v>123</v>
      </c>
      <c r="AJ266" s="0" t="n">
        <v>36</v>
      </c>
      <c r="AK266" s="0" t="n">
        <v>80</v>
      </c>
      <c r="AL266" s="0" t="n">
        <v>0.2</v>
      </c>
    </row>
    <row r="267">
      <c r="A267" s="0" t="inlineStr">
        <is>
          <t>[사파동]</t>
        </is>
      </c>
      <c r="B267" s="0" t="n">
        <v>7786</v>
      </c>
      <c r="C267" s="0" t="n">
        <v>2</v>
      </c>
      <c r="D267" s="0" t="inlineStr">
        <is>
          <t>삼익2차</t>
        </is>
      </c>
      <c r="E267" s="0" t="inlineStr">
        <is>
          <t>1989.01.</t>
        </is>
      </c>
      <c r="F267" s="0" t="n">
        <v>400</v>
      </c>
      <c r="G267" s="0" t="n">
        <v>24.03</v>
      </c>
      <c r="H267" s="0" t="n">
        <v>79.45</v>
      </c>
      <c r="I267" s="0" t="n">
        <v>20.75</v>
      </c>
      <c r="J267" s="0" t="n">
        <v>68.62</v>
      </c>
      <c r="K267" s="0" t="n">
        <v>140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79</v>
      </c>
      <c r="X267" s="0" t="n">
        <v>5</v>
      </c>
      <c r="Y267" s="0" t="n">
        <v>5</v>
      </c>
      <c r="Z267" s="0" t="inlineStr">
        <is>
          <t>https://new.land.naver.com/complexes/7786?tab=detail&amp;rf=Y</t>
        </is>
      </c>
      <c r="AA267" s="0" t="inlineStr">
        <is>
          <t>경상남도 창원시 성산구 사파동 147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성산구</t>
        </is>
      </c>
      <c r="AE267" s="0" t="inlineStr">
        <is>
          <t>사파동</t>
        </is>
      </c>
      <c r="AG267" s="0" t="inlineStr">
        <is>
          <t>경상남도 창원시 성산구 원이대로773번길 13</t>
        </is>
      </c>
      <c r="AH267" s="0" t="n">
        <v>0</v>
      </c>
      <c r="AI267" s="0" t="n">
        <v>123</v>
      </c>
      <c r="AJ267" s="0" t="n">
        <v>36</v>
      </c>
      <c r="AK267" s="0" t="n">
        <v>80</v>
      </c>
      <c r="AL267" s="0" t="n">
        <v>0.2</v>
      </c>
    </row>
    <row r="268">
      <c r="A268" s="0" t="inlineStr">
        <is>
          <t>[사파동]</t>
        </is>
      </c>
      <c r="B268" s="0" t="n">
        <v>7786</v>
      </c>
      <c r="C268" s="0" t="n">
        <v>3</v>
      </c>
      <c r="D268" s="0" t="inlineStr">
        <is>
          <t>삼익2차</t>
        </is>
      </c>
      <c r="E268" s="0" t="inlineStr">
        <is>
          <t>1989.01.</t>
        </is>
      </c>
      <c r="F268" s="0" t="n">
        <v>400</v>
      </c>
      <c r="G268" s="0" t="n">
        <v>27.62</v>
      </c>
      <c r="H268" s="0" t="n">
        <v>91.31999999999999</v>
      </c>
      <c r="I268" s="0" t="n">
        <v>24.11</v>
      </c>
      <c r="J268" s="0" t="n">
        <v>79.70999999999999</v>
      </c>
      <c r="K268" s="0" t="n">
        <v>200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91</v>
      </c>
      <c r="X268" s="0" t="n">
        <v>5</v>
      </c>
      <c r="Y268" s="0" t="n">
        <v>5</v>
      </c>
      <c r="Z268" s="0" t="inlineStr">
        <is>
          <t>https://new.land.naver.com/complexes/7786?tab=detail&amp;rf=Y</t>
        </is>
      </c>
      <c r="AA268" s="0" t="inlineStr">
        <is>
          <t>경상남도 창원시 성산구 사파동 147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성산구</t>
        </is>
      </c>
      <c r="AE268" s="0" t="inlineStr">
        <is>
          <t>사파동</t>
        </is>
      </c>
      <c r="AG268" s="0" t="inlineStr">
        <is>
          <t>경상남도 창원시 성산구 원이대로773번길 13</t>
        </is>
      </c>
      <c r="AH268" s="0" t="n">
        <v>0</v>
      </c>
      <c r="AI268" s="0" t="n">
        <v>123</v>
      </c>
      <c r="AJ268" s="0" t="n">
        <v>36</v>
      </c>
      <c r="AK268" s="0" t="n">
        <v>80</v>
      </c>
      <c r="AL268" s="0" t="n">
        <v>0.2</v>
      </c>
    </row>
    <row r="269">
      <c r="A269" s="0" t="inlineStr">
        <is>
          <t>[사파동]</t>
        </is>
      </c>
      <c r="B269" s="0" t="n">
        <v>7786</v>
      </c>
      <c r="C269" s="0" t="n">
        <v>4</v>
      </c>
      <c r="D269" s="0" t="inlineStr">
        <is>
          <t>삼익2차</t>
        </is>
      </c>
      <c r="E269" s="0" t="inlineStr">
        <is>
          <t>1989.01.</t>
        </is>
      </c>
      <c r="F269" s="0" t="n">
        <v>400</v>
      </c>
      <c r="G269" s="0" t="n">
        <v>39.16</v>
      </c>
      <c r="H269" s="0" t="n">
        <v>129.48</v>
      </c>
      <c r="I269" s="0" t="n">
        <v>34.76</v>
      </c>
      <c r="J269" s="0" t="n">
        <v>114.93</v>
      </c>
      <c r="K269" s="0" t="n">
        <v>40</v>
      </c>
      <c r="T269" s="0" t="n">
        <v>4</v>
      </c>
      <c r="U269" s="0" t="n">
        <v>2</v>
      </c>
      <c r="V269" s="0" t="inlineStr">
        <is>
          <t>계단식</t>
        </is>
      </c>
      <c r="W269" s="0" t="n">
        <v>129</v>
      </c>
      <c r="X269" s="0" t="n">
        <v>5</v>
      </c>
      <c r="Y269" s="0" t="n">
        <v>5</v>
      </c>
      <c r="Z269" s="0" t="inlineStr">
        <is>
          <t>https://new.land.naver.com/complexes/7786?tab=detail&amp;rf=Y</t>
        </is>
      </c>
      <c r="AA269" s="0" t="inlineStr">
        <is>
          <t>경상남도 창원시 성산구 사파동 147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성산구</t>
        </is>
      </c>
      <c r="AE269" s="0" t="inlineStr">
        <is>
          <t>사파동</t>
        </is>
      </c>
      <c r="AG269" s="0" t="inlineStr">
        <is>
          <t>경상남도 창원시 성산구 원이대로773번길 13</t>
        </is>
      </c>
      <c r="AH269" s="0" t="n">
        <v>0</v>
      </c>
      <c r="AI269" s="0" t="n">
        <v>123</v>
      </c>
      <c r="AJ269" s="0" t="n">
        <v>36</v>
      </c>
      <c r="AK269" s="0" t="n">
        <v>80</v>
      </c>
      <c r="AL269" s="0" t="n">
        <v>0.2</v>
      </c>
    </row>
    <row r="270">
      <c r="A270" s="0" t="inlineStr">
        <is>
          <t>[사파동]</t>
        </is>
      </c>
      <c r="B270" s="0" t="n">
        <v>7779</v>
      </c>
      <c r="C270" s="0" t="n">
        <v>1</v>
      </c>
      <c r="D270" s="0" t="inlineStr">
        <is>
          <t>사파동성</t>
        </is>
      </c>
      <c r="E270" s="0" t="inlineStr">
        <is>
          <t>1992.11.</t>
        </is>
      </c>
      <c r="F270" s="0" t="n">
        <v>1986</v>
      </c>
      <c r="G270" s="0" t="n">
        <v>21.64</v>
      </c>
      <c r="H270" s="0" t="n">
        <v>71.54000000000001</v>
      </c>
      <c r="I270" s="0" t="n">
        <v>14.97</v>
      </c>
      <c r="J270" s="0" t="n">
        <v>49.5</v>
      </c>
      <c r="K270" s="0" t="n">
        <v>902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71</v>
      </c>
      <c r="X270" s="0" t="n">
        <v>25</v>
      </c>
      <c r="Y270" s="0" t="n">
        <v>13</v>
      </c>
      <c r="Z270" s="0" t="inlineStr">
        <is>
          <t>https://new.land.naver.com/complexes/7779?tab=detail&amp;rf=Y</t>
        </is>
      </c>
      <c r="AA270" s="0" t="inlineStr">
        <is>
          <t>경상남도 창원시 성산구 사파동 93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성산구</t>
        </is>
      </c>
      <c r="AE270" s="0" t="inlineStr">
        <is>
          <t>사파동</t>
        </is>
      </c>
      <c r="AG270" s="0" t="inlineStr">
        <is>
          <t>경상남도 창원시 성산구 창이대로 737</t>
        </is>
      </c>
      <c r="AH270" s="0" t="n">
        <v>0</v>
      </c>
      <c r="AI270" s="0" t="n">
        <v>289</v>
      </c>
      <c r="AJ270" s="0" t="n">
        <v>17</v>
      </c>
      <c r="AK270" s="0" t="n">
        <v>0</v>
      </c>
      <c r="AL270" s="0" t="n">
        <v>0</v>
      </c>
    </row>
    <row r="271">
      <c r="A271" s="0" t="inlineStr">
        <is>
          <t>[사파동]</t>
        </is>
      </c>
      <c r="B271" s="0" t="n">
        <v>7779</v>
      </c>
      <c r="C271" s="0" t="n">
        <v>2</v>
      </c>
      <c r="D271" s="0" t="inlineStr">
        <is>
          <t>사파동성</t>
        </is>
      </c>
      <c r="E271" s="0" t="inlineStr">
        <is>
          <t>1992.11.</t>
        </is>
      </c>
      <c r="F271" s="0" t="n">
        <v>1986</v>
      </c>
      <c r="G271" s="0" t="n">
        <v>22.87</v>
      </c>
      <c r="H271" s="0" t="n">
        <v>75.61</v>
      </c>
      <c r="I271" s="0" t="n">
        <v>18.12</v>
      </c>
      <c r="J271" s="0" t="n">
        <v>59.92</v>
      </c>
      <c r="K271" s="0" t="n">
        <v>370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75</v>
      </c>
      <c r="X271" s="0" t="n">
        <v>25</v>
      </c>
      <c r="Y271" s="0" t="n">
        <v>13</v>
      </c>
      <c r="Z271" s="0" t="inlineStr">
        <is>
          <t>https://new.land.naver.com/complexes/7779?tab=detail&amp;rf=Y</t>
        </is>
      </c>
      <c r="AA271" s="0" t="inlineStr">
        <is>
          <t>경상남도 창원시 성산구 사파동 93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성산구</t>
        </is>
      </c>
      <c r="AE271" s="0" t="inlineStr">
        <is>
          <t>사파동</t>
        </is>
      </c>
      <c r="AG271" s="0" t="inlineStr">
        <is>
          <t>경상남도 창원시 성산구 창이대로 737</t>
        </is>
      </c>
      <c r="AH271" s="0" t="n">
        <v>0</v>
      </c>
      <c r="AI271" s="0" t="n">
        <v>289</v>
      </c>
      <c r="AJ271" s="0" t="n">
        <v>17</v>
      </c>
      <c r="AK271" s="0" t="n">
        <v>0</v>
      </c>
      <c r="AL271" s="0" t="n">
        <v>0</v>
      </c>
    </row>
    <row r="272">
      <c r="A272" s="0" t="inlineStr">
        <is>
          <t>[사파동]</t>
        </is>
      </c>
      <c r="B272" s="0" t="n">
        <v>7779</v>
      </c>
      <c r="C272" s="0" t="n">
        <v>3</v>
      </c>
      <c r="D272" s="0" t="inlineStr">
        <is>
          <t>사파동성</t>
        </is>
      </c>
      <c r="E272" s="0" t="inlineStr">
        <is>
          <t>1992.11.</t>
        </is>
      </c>
      <c r="F272" s="0" t="n">
        <v>1986</v>
      </c>
      <c r="G272" s="0" t="n">
        <v>31.15</v>
      </c>
      <c r="H272" s="0" t="n">
        <v>102.98</v>
      </c>
      <c r="I272" s="0" t="n">
        <v>25.62</v>
      </c>
      <c r="J272" s="0" t="n">
        <v>84.70999999999999</v>
      </c>
      <c r="K272" s="0" t="n">
        <v>504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25</v>
      </c>
      <c r="Y272" s="0" t="n">
        <v>13</v>
      </c>
      <c r="Z272" s="0" t="inlineStr">
        <is>
          <t>https://new.land.naver.com/complexes/7779?tab=detail&amp;rf=Y</t>
        </is>
      </c>
      <c r="AA272" s="0" t="inlineStr">
        <is>
          <t>경상남도 창원시 성산구 사파동 93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성산구</t>
        </is>
      </c>
      <c r="AE272" s="0" t="inlineStr">
        <is>
          <t>사파동</t>
        </is>
      </c>
      <c r="AG272" s="0" t="inlineStr">
        <is>
          <t>경상남도 창원시 성산구 창이대로 737</t>
        </is>
      </c>
      <c r="AH272" s="0" t="n">
        <v>0</v>
      </c>
      <c r="AI272" s="0" t="n">
        <v>289</v>
      </c>
      <c r="AJ272" s="0" t="n">
        <v>17</v>
      </c>
      <c r="AK272" s="0" t="n">
        <v>0</v>
      </c>
      <c r="AL272" s="0" t="n">
        <v>0</v>
      </c>
    </row>
    <row r="273">
      <c r="A273" s="0" t="inlineStr">
        <is>
          <t>[사파동]</t>
        </is>
      </c>
      <c r="B273" s="0" t="n">
        <v>7779</v>
      </c>
      <c r="C273" s="0" t="n">
        <v>4</v>
      </c>
      <c r="D273" s="0" t="inlineStr">
        <is>
          <t>사파동성</t>
        </is>
      </c>
      <c r="E273" s="0" t="inlineStr">
        <is>
          <t>1992.11.</t>
        </is>
      </c>
      <c r="F273" s="0" t="n">
        <v>1986</v>
      </c>
      <c r="G273" s="0" t="n">
        <v>46.81</v>
      </c>
      <c r="H273" s="0" t="n">
        <v>154.76</v>
      </c>
      <c r="I273" s="0" t="n">
        <v>40.4</v>
      </c>
      <c r="J273" s="0" t="n">
        <v>133.56</v>
      </c>
      <c r="K273" s="0" t="n">
        <v>210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154</v>
      </c>
      <c r="X273" s="0" t="n">
        <v>25</v>
      </c>
      <c r="Y273" s="0" t="n">
        <v>13</v>
      </c>
      <c r="Z273" s="0" t="inlineStr">
        <is>
          <t>https://new.land.naver.com/complexes/7779?tab=detail&amp;rf=Y</t>
        </is>
      </c>
      <c r="AA273" s="0" t="inlineStr">
        <is>
          <t>경상남도 창원시 성산구 사파동 93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성산구</t>
        </is>
      </c>
      <c r="AE273" s="0" t="inlineStr">
        <is>
          <t>사파동</t>
        </is>
      </c>
      <c r="AG273" s="0" t="inlineStr">
        <is>
          <t>경상남도 창원시 성산구 창이대로 737</t>
        </is>
      </c>
      <c r="AH273" s="0" t="n">
        <v>0</v>
      </c>
      <c r="AI273" s="0" t="n">
        <v>289</v>
      </c>
      <c r="AJ273" s="0" t="n">
        <v>17</v>
      </c>
      <c r="AK273" s="0" t="n">
        <v>0</v>
      </c>
      <c r="AL273" s="0" t="n">
        <v>0</v>
      </c>
    </row>
    <row r="274">
      <c r="A274" s="0" t="inlineStr">
        <is>
          <t>[사파동]</t>
        </is>
      </c>
      <c r="B274" s="0" t="n">
        <v>7768</v>
      </c>
      <c r="C274" s="0" t="n">
        <v>1</v>
      </c>
      <c r="D274" s="0" t="inlineStr">
        <is>
          <t>대동1차</t>
        </is>
      </c>
      <c r="E274" s="0" t="inlineStr">
        <is>
          <t>1988.06.</t>
        </is>
      </c>
      <c r="F274" s="0" t="n">
        <v>400</v>
      </c>
      <c r="G274" s="0" t="n">
        <v>16.73</v>
      </c>
      <c r="H274" s="0" t="n">
        <v>55.31</v>
      </c>
      <c r="I274" s="0" t="n">
        <v>13.83</v>
      </c>
      <c r="J274" s="0" t="n">
        <v>45.72</v>
      </c>
      <c r="K274" s="0" t="n">
        <v>110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55</v>
      </c>
      <c r="X274" s="0" t="n">
        <v>5</v>
      </c>
      <c r="Y274" s="0" t="n">
        <v>5</v>
      </c>
      <c r="Z274" s="0" t="inlineStr">
        <is>
          <t>https://new.land.naver.com/complexes/7768?tab=detail&amp;rf=Y</t>
        </is>
      </c>
      <c r="AA274" s="0" t="inlineStr">
        <is>
          <t>경상남도 창원시 성산구 사파동 142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성산구</t>
        </is>
      </c>
      <c r="AE274" s="0" t="inlineStr">
        <is>
          <t>사파동</t>
        </is>
      </c>
      <c r="AG274" s="0" t="inlineStr">
        <is>
          <t>경상남도 창원시 성산구 신사로 106</t>
        </is>
      </c>
      <c r="AH274" s="0" t="n">
        <v>0</v>
      </c>
      <c r="AI274" s="0" t="n">
        <v>0</v>
      </c>
      <c r="AJ274" s="0" t="n">
        <v>29</v>
      </c>
      <c r="AK274" s="0" t="n">
        <v>162</v>
      </c>
      <c r="AL274" s="0" t="n">
        <v>0.41</v>
      </c>
    </row>
    <row r="275">
      <c r="A275" s="0" t="inlineStr">
        <is>
          <t>[사파동]</t>
        </is>
      </c>
      <c r="B275" s="0" t="n">
        <v>7768</v>
      </c>
      <c r="C275" s="0" t="n">
        <v>2</v>
      </c>
      <c r="D275" s="0" t="inlineStr">
        <is>
          <t>대동1차</t>
        </is>
      </c>
      <c r="E275" s="0" t="inlineStr">
        <is>
          <t>1988.06.</t>
        </is>
      </c>
      <c r="F275" s="0" t="n">
        <v>400</v>
      </c>
      <c r="G275" s="0" t="n">
        <v>18.36</v>
      </c>
      <c r="H275" s="0" t="n">
        <v>60.7</v>
      </c>
      <c r="I275" s="0" t="n">
        <v>15.2</v>
      </c>
      <c r="J275" s="0" t="n">
        <v>50.25</v>
      </c>
      <c r="K275" s="0" t="n">
        <v>172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60</v>
      </c>
      <c r="X275" s="0" t="n">
        <v>5</v>
      </c>
      <c r="Y275" s="0" t="n">
        <v>5</v>
      </c>
      <c r="Z275" s="0" t="inlineStr">
        <is>
          <t>https://new.land.naver.com/complexes/7768?tab=detail&amp;rf=Y</t>
        </is>
      </c>
      <c r="AA275" s="0" t="inlineStr">
        <is>
          <t>경상남도 창원시 성산구 사파동 142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성산구</t>
        </is>
      </c>
      <c r="AE275" s="0" t="inlineStr">
        <is>
          <t>사파동</t>
        </is>
      </c>
      <c r="AG275" s="0" t="inlineStr">
        <is>
          <t>경상남도 창원시 성산구 신사로 106</t>
        </is>
      </c>
      <c r="AH275" s="0" t="n">
        <v>0</v>
      </c>
      <c r="AI275" s="0" t="n">
        <v>0</v>
      </c>
      <c r="AJ275" s="0" t="n">
        <v>29</v>
      </c>
      <c r="AK275" s="0" t="n">
        <v>162</v>
      </c>
      <c r="AL275" s="0" t="n">
        <v>0.41</v>
      </c>
    </row>
    <row r="276">
      <c r="A276" s="0" t="inlineStr">
        <is>
          <t>[사파동]</t>
        </is>
      </c>
      <c r="B276" s="0" t="n">
        <v>7768</v>
      </c>
      <c r="C276" s="0" t="n">
        <v>3</v>
      </c>
      <c r="D276" s="0" t="inlineStr">
        <is>
          <t>대동1차</t>
        </is>
      </c>
      <c r="E276" s="0" t="inlineStr">
        <is>
          <t>1988.06.</t>
        </is>
      </c>
      <c r="F276" s="0" t="n">
        <v>400</v>
      </c>
      <c r="G276" s="0" t="n">
        <v>19.18</v>
      </c>
      <c r="H276" s="0" t="n">
        <v>63.43</v>
      </c>
      <c r="I276" s="0" t="n">
        <v>15.96</v>
      </c>
      <c r="J276" s="0" t="n">
        <v>52.77</v>
      </c>
      <c r="K276" s="0" t="n">
        <v>118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63</v>
      </c>
      <c r="X276" s="0" t="n">
        <v>5</v>
      </c>
      <c r="Y276" s="0" t="n">
        <v>5</v>
      </c>
      <c r="Z276" s="0" t="inlineStr">
        <is>
          <t>https://new.land.naver.com/complexes/7768?tab=detail&amp;rf=Y</t>
        </is>
      </c>
      <c r="AA276" s="0" t="inlineStr">
        <is>
          <t>경상남도 창원시 성산구 사파동 142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성산구</t>
        </is>
      </c>
      <c r="AE276" s="0" t="inlineStr">
        <is>
          <t>사파동</t>
        </is>
      </c>
      <c r="AG276" s="0" t="inlineStr">
        <is>
          <t>경상남도 창원시 성산구 신사로 106</t>
        </is>
      </c>
      <c r="AH276" s="0" t="n">
        <v>0</v>
      </c>
      <c r="AI276" s="0" t="n">
        <v>0</v>
      </c>
      <c r="AJ276" s="0" t="n">
        <v>29</v>
      </c>
      <c r="AK276" s="0" t="n">
        <v>162</v>
      </c>
      <c r="AL276" s="0" t="n">
        <v>0.41</v>
      </c>
    </row>
    <row r="277">
      <c r="A277" s="0" t="inlineStr">
        <is>
          <t>[사파동]</t>
        </is>
      </c>
      <c r="B277" s="0" t="n">
        <v>7771</v>
      </c>
      <c r="C277" s="0" t="n">
        <v>1</v>
      </c>
      <c r="D277" s="0" t="inlineStr">
        <is>
          <t>대동2차</t>
        </is>
      </c>
      <c r="E277" s="0" t="inlineStr">
        <is>
          <t>1989.09.</t>
        </is>
      </c>
      <c r="F277" s="0" t="n">
        <v>470</v>
      </c>
      <c r="G277" s="0" t="n">
        <v>16.53</v>
      </c>
      <c r="H277" s="0" t="n">
        <v>54.67</v>
      </c>
      <c r="I277" s="0" t="n">
        <v>13.32</v>
      </c>
      <c r="J277" s="0" t="n">
        <v>44.04</v>
      </c>
      <c r="K277" s="0" t="n">
        <v>50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54</v>
      </c>
      <c r="X277" s="0" t="n">
        <v>5</v>
      </c>
      <c r="Y277" s="0" t="n">
        <v>5</v>
      </c>
      <c r="Z277" s="0" t="inlineStr">
        <is>
          <t>https://new.land.naver.com/complexes/7771?tab=detail&amp;rf=Y</t>
        </is>
      </c>
      <c r="AA277" s="0" t="inlineStr">
        <is>
          <t>경상남도 창원시 성산구 사파동 142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성산구</t>
        </is>
      </c>
      <c r="AE277" s="0" t="inlineStr">
        <is>
          <t>사파동</t>
        </is>
      </c>
      <c r="AG277" s="0" t="inlineStr">
        <is>
          <t>경상남도 창원시 성산구 신사로 106</t>
        </is>
      </c>
      <c r="AH277" s="0" t="n">
        <v>0</v>
      </c>
      <c r="AI277" s="0" t="n">
        <v>140</v>
      </c>
      <c r="AJ277" s="0" t="n">
        <v>0</v>
      </c>
      <c r="AK277" s="0" t="n">
        <v>273</v>
      </c>
      <c r="AL277" s="0" t="n">
        <v>0.58</v>
      </c>
    </row>
    <row r="278">
      <c r="A278" s="0" t="inlineStr">
        <is>
          <t>[사파동]</t>
        </is>
      </c>
      <c r="B278" s="0" t="n">
        <v>7771</v>
      </c>
      <c r="C278" s="0" t="n">
        <v>2</v>
      </c>
      <c r="D278" s="0" t="inlineStr">
        <is>
          <t>대동2차</t>
        </is>
      </c>
      <c r="E278" s="0" t="inlineStr">
        <is>
          <t>1989.09.</t>
        </is>
      </c>
      <c r="F278" s="0" t="n">
        <v>470</v>
      </c>
      <c r="G278" s="0" t="n">
        <v>18.6</v>
      </c>
      <c r="H278" s="0" t="n">
        <v>61.49</v>
      </c>
      <c r="I278" s="0" t="n">
        <v>15.2</v>
      </c>
      <c r="J278" s="0" t="n">
        <v>50.25</v>
      </c>
      <c r="K278" s="0" t="n">
        <v>50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61</v>
      </c>
      <c r="X278" s="0" t="n">
        <v>5</v>
      </c>
      <c r="Y278" s="0" t="n">
        <v>5</v>
      </c>
      <c r="Z278" s="0" t="inlineStr">
        <is>
          <t>https://new.land.naver.com/complexes/7771?tab=detail&amp;rf=Y</t>
        </is>
      </c>
      <c r="AA278" s="0" t="inlineStr">
        <is>
          <t>경상남도 창원시 성산구 사파동 142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성산구</t>
        </is>
      </c>
      <c r="AE278" s="0" t="inlineStr">
        <is>
          <t>사파동</t>
        </is>
      </c>
      <c r="AG278" s="0" t="inlineStr">
        <is>
          <t>경상남도 창원시 성산구 신사로 106</t>
        </is>
      </c>
      <c r="AH278" s="0" t="n">
        <v>0</v>
      </c>
      <c r="AI278" s="0" t="n">
        <v>140</v>
      </c>
      <c r="AJ278" s="0" t="n">
        <v>0</v>
      </c>
      <c r="AK278" s="0" t="n">
        <v>273</v>
      </c>
      <c r="AL278" s="0" t="n">
        <v>0.58</v>
      </c>
    </row>
    <row r="279">
      <c r="A279" s="0" t="inlineStr">
        <is>
          <t>[사파동]</t>
        </is>
      </c>
      <c r="B279" s="0" t="n">
        <v>7771</v>
      </c>
      <c r="C279" s="0" t="n">
        <v>3</v>
      </c>
      <c r="D279" s="0" t="inlineStr">
        <is>
          <t>대동2차</t>
        </is>
      </c>
      <c r="E279" s="0" t="inlineStr">
        <is>
          <t>1989.09.</t>
        </is>
      </c>
      <c r="F279" s="0" t="n">
        <v>470</v>
      </c>
      <c r="G279" s="0" t="n">
        <v>24.93</v>
      </c>
      <c r="H279" s="0" t="n">
        <v>82.43000000000001</v>
      </c>
      <c r="I279" s="0" t="n">
        <v>20.96</v>
      </c>
      <c r="J279" s="0" t="n">
        <v>69.29000000000001</v>
      </c>
      <c r="K279" s="0" t="n">
        <v>130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82</v>
      </c>
      <c r="X279" s="0" t="n">
        <v>5</v>
      </c>
      <c r="Y279" s="0" t="n">
        <v>5</v>
      </c>
      <c r="Z279" s="0" t="inlineStr">
        <is>
          <t>https://new.land.naver.com/complexes/7771?tab=detail&amp;rf=Y</t>
        </is>
      </c>
      <c r="AA279" s="0" t="inlineStr">
        <is>
          <t>경상남도 창원시 성산구 사파동 142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성산구</t>
        </is>
      </c>
      <c r="AE279" s="0" t="inlineStr">
        <is>
          <t>사파동</t>
        </is>
      </c>
      <c r="AG279" s="0" t="inlineStr">
        <is>
          <t>경상남도 창원시 성산구 신사로 106</t>
        </is>
      </c>
      <c r="AH279" s="0" t="n">
        <v>0</v>
      </c>
      <c r="AI279" s="0" t="n">
        <v>140</v>
      </c>
      <c r="AJ279" s="0" t="n">
        <v>0</v>
      </c>
      <c r="AK279" s="0" t="n">
        <v>273</v>
      </c>
      <c r="AL279" s="0" t="n">
        <v>0.58</v>
      </c>
    </row>
    <row r="280">
      <c r="A280" s="0" t="inlineStr">
        <is>
          <t>[사파동]</t>
        </is>
      </c>
      <c r="B280" s="0" t="n">
        <v>7771</v>
      </c>
      <c r="C280" s="0" t="n">
        <v>4</v>
      </c>
      <c r="D280" s="0" t="inlineStr">
        <is>
          <t>대동2차</t>
        </is>
      </c>
      <c r="E280" s="0" t="inlineStr">
        <is>
          <t>1989.09.</t>
        </is>
      </c>
      <c r="F280" s="0" t="n">
        <v>470</v>
      </c>
      <c r="G280" s="0" t="n">
        <v>25.77</v>
      </c>
      <c r="H280" s="0" t="n">
        <v>85.20999999999999</v>
      </c>
      <c r="I280" s="0" t="n">
        <v>21.19</v>
      </c>
      <c r="J280" s="0" t="n">
        <v>70.05</v>
      </c>
      <c r="K280" s="0" t="n">
        <v>40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85</v>
      </c>
      <c r="X280" s="0" t="n">
        <v>5</v>
      </c>
      <c r="Y280" s="0" t="n">
        <v>5</v>
      </c>
      <c r="Z280" s="0" t="inlineStr">
        <is>
          <t>https://new.land.naver.com/complexes/7771?tab=detail&amp;rf=Y</t>
        </is>
      </c>
      <c r="AA280" s="0" t="inlineStr">
        <is>
          <t>경상남도 창원시 성산구 사파동 142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성산구</t>
        </is>
      </c>
      <c r="AE280" s="0" t="inlineStr">
        <is>
          <t>사파동</t>
        </is>
      </c>
      <c r="AG280" s="0" t="inlineStr">
        <is>
          <t>경상남도 창원시 성산구 신사로 106</t>
        </is>
      </c>
      <c r="AH280" s="0" t="n">
        <v>0</v>
      </c>
      <c r="AI280" s="0" t="n">
        <v>140</v>
      </c>
      <c r="AJ280" s="0" t="n">
        <v>0</v>
      </c>
      <c r="AK280" s="0" t="n">
        <v>273</v>
      </c>
      <c r="AL280" s="0" t="n">
        <v>0.58</v>
      </c>
    </row>
    <row r="281">
      <c r="A281" s="0" t="inlineStr">
        <is>
          <t>[사파동]</t>
        </is>
      </c>
      <c r="B281" s="0" t="n">
        <v>7771</v>
      </c>
      <c r="C281" s="0" t="n">
        <v>5</v>
      </c>
      <c r="D281" s="0" t="inlineStr">
        <is>
          <t>대동2차</t>
        </is>
      </c>
      <c r="E281" s="0" t="inlineStr">
        <is>
          <t>1989.09.</t>
        </is>
      </c>
      <c r="F281" s="0" t="n">
        <v>470</v>
      </c>
      <c r="G281" s="0" t="n">
        <v>27.56</v>
      </c>
      <c r="H281" s="0" t="n">
        <v>91.12</v>
      </c>
      <c r="I281" s="0" t="n">
        <v>22.77</v>
      </c>
      <c r="J281" s="0" t="n">
        <v>75.3</v>
      </c>
      <c r="K281" s="0" t="n">
        <v>40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91</v>
      </c>
      <c r="X281" s="0" t="n">
        <v>5</v>
      </c>
      <c r="Y281" s="0" t="n">
        <v>5</v>
      </c>
      <c r="Z281" s="0" t="inlineStr">
        <is>
          <t>https://new.land.naver.com/complexes/7771?tab=detail&amp;rf=Y</t>
        </is>
      </c>
      <c r="AA281" s="0" t="inlineStr">
        <is>
          <t>경상남도 창원시 성산구 사파동 142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성산구</t>
        </is>
      </c>
      <c r="AE281" s="0" t="inlineStr">
        <is>
          <t>사파동</t>
        </is>
      </c>
      <c r="AG281" s="0" t="inlineStr">
        <is>
          <t>경상남도 창원시 성산구 신사로 106</t>
        </is>
      </c>
      <c r="AH281" s="0" t="n">
        <v>0</v>
      </c>
      <c r="AI281" s="0" t="n">
        <v>140</v>
      </c>
      <c r="AJ281" s="0" t="n">
        <v>0</v>
      </c>
      <c r="AK281" s="0" t="n">
        <v>273</v>
      </c>
      <c r="AL281" s="0" t="n">
        <v>0.58</v>
      </c>
    </row>
    <row r="282">
      <c r="A282" s="0" t="inlineStr">
        <is>
          <t>[사파동]</t>
        </is>
      </c>
      <c r="B282" s="0" t="n">
        <v>7771</v>
      </c>
      <c r="C282" s="0" t="n">
        <v>6</v>
      </c>
      <c r="D282" s="0" t="inlineStr">
        <is>
          <t>대동2차</t>
        </is>
      </c>
      <c r="E282" s="0" t="inlineStr">
        <is>
          <t>1989.09.</t>
        </is>
      </c>
      <c r="F282" s="0" t="n">
        <v>470</v>
      </c>
      <c r="G282" s="0" t="n">
        <v>29.26</v>
      </c>
      <c r="H282" s="0" t="n">
        <v>96.75</v>
      </c>
      <c r="I282" s="0" t="n">
        <v>24.76</v>
      </c>
      <c r="J282" s="0" t="n">
        <v>81.88</v>
      </c>
      <c r="K282" s="0" t="n">
        <v>160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96</v>
      </c>
      <c r="X282" s="0" t="n">
        <v>5</v>
      </c>
      <c r="Y282" s="0" t="n">
        <v>5</v>
      </c>
      <c r="Z282" s="0" t="inlineStr">
        <is>
          <t>https://new.land.naver.com/complexes/7771?tab=detail&amp;rf=Y</t>
        </is>
      </c>
      <c r="AA282" s="0" t="inlineStr">
        <is>
          <t>경상남도 창원시 성산구 사파동 142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성산구</t>
        </is>
      </c>
      <c r="AE282" s="0" t="inlineStr">
        <is>
          <t>사파동</t>
        </is>
      </c>
      <c r="AG282" s="0" t="inlineStr">
        <is>
          <t>경상남도 창원시 성산구 신사로 106</t>
        </is>
      </c>
      <c r="AH282" s="0" t="n">
        <v>0</v>
      </c>
      <c r="AI282" s="0" t="n">
        <v>140</v>
      </c>
      <c r="AJ282" s="0" t="n">
        <v>0</v>
      </c>
      <c r="AK282" s="0" t="n">
        <v>273</v>
      </c>
      <c r="AL282" s="0" t="n">
        <v>0.58</v>
      </c>
    </row>
    <row r="283">
      <c r="A283" s="0" t="inlineStr">
        <is>
          <t>[사파동]</t>
        </is>
      </c>
      <c r="B283" s="0" t="n">
        <v>7781</v>
      </c>
      <c r="C283" s="0" t="n">
        <v>1</v>
      </c>
      <c r="D283" s="0" t="inlineStr">
        <is>
          <t>동양무궁화</t>
        </is>
      </c>
      <c r="E283" s="0" t="inlineStr">
        <is>
          <t>1988.02.</t>
        </is>
      </c>
      <c r="F283" s="0" t="n">
        <v>770</v>
      </c>
      <c r="G283" s="0" t="n">
        <v>18.46</v>
      </c>
      <c r="H283" s="0" t="n">
        <v>61.05</v>
      </c>
      <c r="I283" s="0" t="n">
        <v>15.59</v>
      </c>
      <c r="J283" s="0" t="n">
        <v>51.57</v>
      </c>
      <c r="K283" s="0" t="n">
        <v>550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61</v>
      </c>
      <c r="X283" s="0" t="n">
        <v>5</v>
      </c>
      <c r="Y283" s="0" t="n">
        <v>5</v>
      </c>
      <c r="Z283" s="0" t="inlineStr">
        <is>
          <t>https://new.land.naver.com/complexes/7781?tab=detail&amp;rf=Y</t>
        </is>
      </c>
      <c r="AA283" s="0" t="inlineStr">
        <is>
          <t>경상남도 창원시 성산구 사파동 148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성산구</t>
        </is>
      </c>
      <c r="AE283" s="0" t="inlineStr">
        <is>
          <t>사파동</t>
        </is>
      </c>
      <c r="AG283" s="0" t="inlineStr">
        <is>
          <t>경상남도 창원시 성산구 동산로 148</t>
        </is>
      </c>
      <c r="AH283" s="0" t="n">
        <v>0</v>
      </c>
      <c r="AI283" s="0" t="n">
        <v>142</v>
      </c>
      <c r="AJ283" s="0" t="n">
        <v>28</v>
      </c>
      <c r="AK283" s="0" t="n">
        <v>770</v>
      </c>
      <c r="AL283" s="0" t="n">
        <v>1</v>
      </c>
    </row>
    <row r="284">
      <c r="A284" s="0" t="inlineStr">
        <is>
          <t>[사파동]</t>
        </is>
      </c>
      <c r="B284" s="0" t="n">
        <v>7781</v>
      </c>
      <c r="C284" s="0" t="n">
        <v>2</v>
      </c>
      <c r="D284" s="0" t="inlineStr">
        <is>
          <t>동양무궁화</t>
        </is>
      </c>
      <c r="E284" s="0" t="inlineStr">
        <is>
          <t>1988.02.</t>
        </is>
      </c>
      <c r="F284" s="0" t="n">
        <v>770</v>
      </c>
      <c r="G284" s="0" t="n">
        <v>20.68</v>
      </c>
      <c r="H284" s="0" t="n">
        <v>68.38</v>
      </c>
      <c r="I284" s="0" t="n">
        <v>18.07</v>
      </c>
      <c r="J284" s="0" t="n">
        <v>59.76</v>
      </c>
      <c r="K284" s="0" t="n">
        <v>110</v>
      </c>
      <c r="T284" s="0" t="n">
        <v>3</v>
      </c>
      <c r="U284" s="0" t="n">
        <v>1</v>
      </c>
      <c r="V284" s="0" t="inlineStr">
        <is>
          <t>계단식</t>
        </is>
      </c>
      <c r="W284" s="0" t="inlineStr">
        <is>
          <t>68B</t>
        </is>
      </c>
      <c r="X284" s="0" t="n">
        <v>5</v>
      </c>
      <c r="Y284" s="0" t="n">
        <v>5</v>
      </c>
      <c r="Z284" s="0" t="inlineStr">
        <is>
          <t>https://new.land.naver.com/complexes/7781?tab=detail&amp;rf=Y</t>
        </is>
      </c>
      <c r="AA284" s="0" t="inlineStr">
        <is>
          <t>경상남도 창원시 성산구 사파동 148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성산구</t>
        </is>
      </c>
      <c r="AE284" s="0" t="inlineStr">
        <is>
          <t>사파동</t>
        </is>
      </c>
      <c r="AG284" s="0" t="inlineStr">
        <is>
          <t>경상남도 창원시 성산구 동산로 148</t>
        </is>
      </c>
      <c r="AH284" s="0" t="n">
        <v>0</v>
      </c>
      <c r="AI284" s="0" t="n">
        <v>142</v>
      </c>
      <c r="AJ284" s="0" t="n">
        <v>28</v>
      </c>
      <c r="AK284" s="0" t="n">
        <v>770</v>
      </c>
      <c r="AL284" s="0" t="n">
        <v>1</v>
      </c>
    </row>
    <row r="285">
      <c r="A285" s="0" t="inlineStr">
        <is>
          <t>[사파동]</t>
        </is>
      </c>
      <c r="B285" s="0" t="n">
        <v>7781</v>
      </c>
      <c r="C285" s="0" t="n">
        <v>3</v>
      </c>
      <c r="D285" s="0" t="inlineStr">
        <is>
          <t>동양무궁화</t>
        </is>
      </c>
      <c r="E285" s="0" t="inlineStr">
        <is>
          <t>1988.02.</t>
        </is>
      </c>
      <c r="F285" s="0" t="n">
        <v>770</v>
      </c>
      <c r="G285" s="0" t="n">
        <v>21.4</v>
      </c>
      <c r="H285" s="0" t="n">
        <v>70.75</v>
      </c>
      <c r="I285" s="0" t="n">
        <v>18.03</v>
      </c>
      <c r="J285" s="0" t="n">
        <v>59.61</v>
      </c>
      <c r="K285" s="0" t="n">
        <v>110</v>
      </c>
      <c r="T285" s="0" t="n">
        <v>3</v>
      </c>
      <c r="U285" s="0" t="n">
        <v>1</v>
      </c>
      <c r="V285" s="0" t="inlineStr">
        <is>
          <t>계단식</t>
        </is>
      </c>
      <c r="W285" s="0" t="inlineStr">
        <is>
          <t>70A</t>
        </is>
      </c>
      <c r="X285" s="0" t="n">
        <v>5</v>
      </c>
      <c r="Y285" s="0" t="n">
        <v>5</v>
      </c>
      <c r="Z285" s="0" t="inlineStr">
        <is>
          <t>https://new.land.naver.com/complexes/7781?tab=detail&amp;rf=Y</t>
        </is>
      </c>
      <c r="AA285" s="0" t="inlineStr">
        <is>
          <t>경상남도 창원시 성산구 사파동 148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성산구</t>
        </is>
      </c>
      <c r="AE285" s="0" t="inlineStr">
        <is>
          <t>사파동</t>
        </is>
      </c>
      <c r="AG285" s="0" t="inlineStr">
        <is>
          <t>경상남도 창원시 성산구 동산로 148</t>
        </is>
      </c>
      <c r="AH285" s="0" t="n">
        <v>0</v>
      </c>
      <c r="AI285" s="0" t="n">
        <v>142</v>
      </c>
      <c r="AJ285" s="0" t="n">
        <v>28</v>
      </c>
      <c r="AK285" s="0" t="n">
        <v>770</v>
      </c>
      <c r="AL285" s="0" t="n">
        <v>1</v>
      </c>
    </row>
    <row r="286">
      <c r="A286" s="0" t="inlineStr">
        <is>
          <t>[사파정동]</t>
        </is>
      </c>
      <c r="B286" s="0" t="n">
        <v>132290</v>
      </c>
      <c r="C286" s="0" t="n">
        <v>1</v>
      </c>
      <c r="D286" s="0" t="inlineStr">
        <is>
          <t>성산반도유보라아이비파크</t>
        </is>
      </c>
      <c r="E286" s="0" t="inlineStr">
        <is>
          <t>2022.03.</t>
        </is>
      </c>
      <c r="F286" s="0" t="n">
        <v>1045</v>
      </c>
      <c r="G286" s="0" t="n">
        <v>25.64</v>
      </c>
      <c r="H286" s="0" t="n">
        <v>84.78</v>
      </c>
      <c r="I286" s="0" t="n">
        <v>19.59</v>
      </c>
      <c r="J286" s="0" t="n">
        <v>64.77</v>
      </c>
      <c r="K286" s="0" t="n">
        <v>152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84A</t>
        </is>
      </c>
      <c r="X286" s="0" t="n">
        <v>15</v>
      </c>
      <c r="Y286" s="0" t="n">
        <v>13</v>
      </c>
      <c r="Z286" s="0" t="inlineStr">
        <is>
          <t>https://new.land.naver.com/complexes/132290?tab=detail&amp;rf=Y</t>
        </is>
      </c>
      <c r="AA286" s="0" t="inlineStr">
        <is>
          <t>경상남도 창원시 성산구 사파정동 사파지구 공1블럭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성산구</t>
        </is>
      </c>
      <c r="AE286" s="0" t="inlineStr">
        <is>
          <t>사파정동</t>
        </is>
      </c>
      <c r="AG286" s="0" t="inlineStr">
        <is>
          <t>경상남도 창원시 성산구</t>
        </is>
      </c>
      <c r="AH286" s="0" t="n">
        <v>380</v>
      </c>
      <c r="AI286" s="0" t="n">
        <v>149</v>
      </c>
      <c r="AJ286" s="0" t="n">
        <v>16</v>
      </c>
      <c r="AK286" s="0" t="n">
        <v>1464</v>
      </c>
      <c r="AL286" s="0" t="n">
        <v>1.4</v>
      </c>
    </row>
    <row r="287">
      <c r="A287" s="0" t="inlineStr">
        <is>
          <t>[사파정동]</t>
        </is>
      </c>
      <c r="B287" s="0" t="n">
        <v>132290</v>
      </c>
      <c r="C287" s="0" t="n">
        <v>2</v>
      </c>
      <c r="D287" s="0" t="inlineStr">
        <is>
          <t>성산반도유보라아이비파크</t>
        </is>
      </c>
      <c r="E287" s="0" t="inlineStr">
        <is>
          <t>2022.03.</t>
        </is>
      </c>
      <c r="F287" s="0" t="n">
        <v>1045</v>
      </c>
      <c r="G287" s="0" t="n">
        <v>25.45</v>
      </c>
      <c r="H287" s="0" t="n">
        <v>84.16</v>
      </c>
      <c r="I287" s="0" t="n">
        <v>19.43</v>
      </c>
      <c r="J287" s="0" t="n">
        <v>64.25</v>
      </c>
      <c r="K287" s="0" t="n">
        <v>66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84B</t>
        </is>
      </c>
      <c r="X287" s="0" t="n">
        <v>15</v>
      </c>
      <c r="Y287" s="0" t="n">
        <v>13</v>
      </c>
      <c r="Z287" s="0" t="inlineStr">
        <is>
          <t>https://new.land.naver.com/complexes/132290?tab=detail&amp;rf=Y</t>
        </is>
      </c>
      <c r="AA287" s="0" t="inlineStr">
        <is>
          <t>경상남도 창원시 성산구 사파정동 사파지구 공1블럭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성산구</t>
        </is>
      </c>
      <c r="AE287" s="0" t="inlineStr">
        <is>
          <t>사파정동</t>
        </is>
      </c>
      <c r="AG287" s="0" t="inlineStr">
        <is>
          <t>경상남도 창원시 성산구</t>
        </is>
      </c>
      <c r="AH287" s="0" t="n">
        <v>380</v>
      </c>
      <c r="AI287" s="0" t="n">
        <v>149</v>
      </c>
      <c r="AJ287" s="0" t="n">
        <v>16</v>
      </c>
      <c r="AK287" s="0" t="n">
        <v>1464</v>
      </c>
      <c r="AL287" s="0" t="n">
        <v>1.4</v>
      </c>
    </row>
    <row r="288">
      <c r="A288" s="0" t="inlineStr">
        <is>
          <t>[사파정동]</t>
        </is>
      </c>
      <c r="B288" s="0" t="n">
        <v>132290</v>
      </c>
      <c r="C288" s="0" t="n">
        <v>3</v>
      </c>
      <c r="D288" s="0" t="inlineStr">
        <is>
          <t>성산반도유보라아이비파크</t>
        </is>
      </c>
      <c r="E288" s="0" t="inlineStr">
        <is>
          <t>2022.03.</t>
        </is>
      </c>
      <c r="F288" s="0" t="n">
        <v>1045</v>
      </c>
      <c r="G288" s="0" t="n">
        <v>30.95</v>
      </c>
      <c r="H288" s="0" t="n">
        <v>102.32</v>
      </c>
      <c r="I288" s="0" t="n">
        <v>23.88</v>
      </c>
      <c r="J288" s="0" t="n">
        <v>78.95</v>
      </c>
      <c r="K288" s="0" t="n">
        <v>426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102</v>
      </c>
      <c r="X288" s="0" t="n">
        <v>15</v>
      </c>
      <c r="Y288" s="0" t="n">
        <v>13</v>
      </c>
      <c r="Z288" s="0" t="inlineStr">
        <is>
          <t>https://new.land.naver.com/complexes/132290?tab=detail&amp;rf=Y</t>
        </is>
      </c>
      <c r="AA288" s="0" t="inlineStr">
        <is>
          <t>경상남도 창원시 성산구 사파정동 사파지구 공1블럭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성산구</t>
        </is>
      </c>
      <c r="AE288" s="0" t="inlineStr">
        <is>
          <t>사파정동</t>
        </is>
      </c>
      <c r="AG288" s="0" t="inlineStr">
        <is>
          <t>경상남도 창원시 성산구</t>
        </is>
      </c>
      <c r="AH288" s="0" t="n">
        <v>380</v>
      </c>
      <c r="AI288" s="0" t="n">
        <v>149</v>
      </c>
      <c r="AJ288" s="0" t="n">
        <v>16</v>
      </c>
      <c r="AK288" s="0" t="n">
        <v>1464</v>
      </c>
      <c r="AL288" s="0" t="n">
        <v>1.4</v>
      </c>
    </row>
    <row r="289">
      <c r="A289" s="0" t="inlineStr">
        <is>
          <t>[사파정동]</t>
        </is>
      </c>
      <c r="B289" s="0" t="n">
        <v>132290</v>
      </c>
      <c r="C289" s="0" t="n">
        <v>4</v>
      </c>
      <c r="D289" s="0" t="inlineStr">
        <is>
          <t>성산반도유보라아이비파크</t>
        </is>
      </c>
      <c r="E289" s="0" t="inlineStr">
        <is>
          <t>2022.03.</t>
        </is>
      </c>
      <c r="F289" s="0" t="n">
        <v>1045</v>
      </c>
      <c r="G289" s="0" t="n">
        <v>35.1</v>
      </c>
      <c r="H289" s="0" t="n">
        <v>116.06</v>
      </c>
      <c r="I289" s="0" t="n">
        <v>26.13</v>
      </c>
      <c r="J289" s="0" t="n">
        <v>86.41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116P</t>
        </is>
      </c>
      <c r="X289" s="0" t="n">
        <v>15</v>
      </c>
      <c r="Y289" s="0" t="n">
        <v>13</v>
      </c>
      <c r="Z289" s="0" t="inlineStr">
        <is>
          <t>https://new.land.naver.com/complexes/132290?tab=detail&amp;rf=Y</t>
        </is>
      </c>
      <c r="AA289" s="0" t="inlineStr">
        <is>
          <t>경상남도 창원시 성산구 사파정동 사파지구 공1블럭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성산구</t>
        </is>
      </c>
      <c r="AE289" s="0" t="inlineStr">
        <is>
          <t>사파정동</t>
        </is>
      </c>
      <c r="AG289" s="0" t="inlineStr">
        <is>
          <t>경상남도 창원시 성산구</t>
        </is>
      </c>
      <c r="AH289" s="0" t="n">
        <v>380</v>
      </c>
      <c r="AI289" s="0" t="n">
        <v>149</v>
      </c>
      <c r="AJ289" s="0" t="n">
        <v>16</v>
      </c>
      <c r="AK289" s="0" t="n">
        <v>1464</v>
      </c>
      <c r="AL289" s="0" t="n">
        <v>1.4</v>
      </c>
    </row>
    <row r="290">
      <c r="A290" s="0" t="inlineStr">
        <is>
          <t>[상남동]</t>
        </is>
      </c>
      <c r="B290" s="0" t="n">
        <v>7789</v>
      </c>
      <c r="C290" s="0" t="n">
        <v>1</v>
      </c>
      <c r="D290" s="0" t="inlineStr">
        <is>
          <t>대우</t>
        </is>
      </c>
      <c r="E290" s="0" t="inlineStr">
        <is>
          <t>1985.12.</t>
        </is>
      </c>
      <c r="F290" s="0" t="n">
        <v>680</v>
      </c>
      <c r="G290" s="0" t="n">
        <v>13.41</v>
      </c>
      <c r="H290" s="0" t="n">
        <v>44.35</v>
      </c>
      <c r="I290" s="0" t="n">
        <v>10.73</v>
      </c>
      <c r="J290" s="0" t="n">
        <v>35.49</v>
      </c>
      <c r="K290" s="0" t="n">
        <v>80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44</v>
      </c>
      <c r="X290" s="0" t="n">
        <v>5</v>
      </c>
      <c r="Y290" s="0" t="n">
        <v>5</v>
      </c>
      <c r="Z290" s="0" t="inlineStr">
        <is>
          <t>https://new.land.naver.com/complexes/7789?tab=detail&amp;rf=Y</t>
        </is>
      </c>
      <c r="AA290" s="0" t="inlineStr">
        <is>
          <t>경상남도 창원시 성산구 상남동 63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성산구</t>
        </is>
      </c>
      <c r="AE290" s="0" t="inlineStr">
        <is>
          <t>상남동</t>
        </is>
      </c>
      <c r="AG290" s="0" t="inlineStr">
        <is>
          <t>경상남도 창원시 성산구 상남로 48</t>
        </is>
      </c>
      <c r="AH290" s="0" t="n">
        <v>0</v>
      </c>
      <c r="AI290" s="0" t="n">
        <v>133</v>
      </c>
      <c r="AJ290" s="0" t="n">
        <v>27</v>
      </c>
      <c r="AK290" s="0" t="n">
        <v>440</v>
      </c>
      <c r="AL290" s="0" t="n">
        <v>0.65</v>
      </c>
    </row>
    <row r="291">
      <c r="A291" s="0" t="inlineStr">
        <is>
          <t>[상남동]</t>
        </is>
      </c>
      <c r="B291" s="0" t="n">
        <v>7789</v>
      </c>
      <c r="C291" s="0" t="n">
        <v>2</v>
      </c>
      <c r="D291" s="0" t="inlineStr">
        <is>
          <t>대우</t>
        </is>
      </c>
      <c r="E291" s="0" t="inlineStr">
        <is>
          <t>1985.12.</t>
        </is>
      </c>
      <c r="F291" s="0" t="n">
        <v>680</v>
      </c>
      <c r="G291" s="0" t="n">
        <v>15.58</v>
      </c>
      <c r="H291" s="0" t="n">
        <v>51.53</v>
      </c>
      <c r="I291" s="0" t="n">
        <v>12.75</v>
      </c>
      <c r="J291" s="0" t="n">
        <v>42.17</v>
      </c>
      <c r="K291" s="0" t="n">
        <v>160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51</v>
      </c>
      <c r="X291" s="0" t="n">
        <v>5</v>
      </c>
      <c r="Y291" s="0" t="n">
        <v>5</v>
      </c>
      <c r="Z291" s="0" t="inlineStr">
        <is>
          <t>https://new.land.naver.com/complexes/7789?tab=detail&amp;rf=Y</t>
        </is>
      </c>
      <c r="AA291" s="0" t="inlineStr">
        <is>
          <t>경상남도 창원시 성산구 상남동 63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성산구</t>
        </is>
      </c>
      <c r="AE291" s="0" t="inlineStr">
        <is>
          <t>상남동</t>
        </is>
      </c>
      <c r="AG291" s="0" t="inlineStr">
        <is>
          <t>경상남도 창원시 성산구 상남로 48</t>
        </is>
      </c>
      <c r="AH291" s="0" t="n">
        <v>0</v>
      </c>
      <c r="AI291" s="0" t="n">
        <v>133</v>
      </c>
      <c r="AJ291" s="0" t="n">
        <v>27</v>
      </c>
      <c r="AK291" s="0" t="n">
        <v>440</v>
      </c>
      <c r="AL291" s="0" t="n">
        <v>0.65</v>
      </c>
    </row>
    <row r="292">
      <c r="A292" s="0" t="inlineStr">
        <is>
          <t>[상남동]</t>
        </is>
      </c>
      <c r="B292" s="0" t="n">
        <v>7789</v>
      </c>
      <c r="C292" s="0" t="n">
        <v>3</v>
      </c>
      <c r="D292" s="0" t="inlineStr">
        <is>
          <t>대우</t>
        </is>
      </c>
      <c r="E292" s="0" t="inlineStr">
        <is>
          <t>1985.12.</t>
        </is>
      </c>
      <c r="F292" s="0" t="n">
        <v>680</v>
      </c>
      <c r="G292" s="0" t="n">
        <v>17.18</v>
      </c>
      <c r="H292" s="0" t="n">
        <v>56.8</v>
      </c>
      <c r="I292" s="0" t="n">
        <v>14.83</v>
      </c>
      <c r="J292" s="0" t="n">
        <v>49.05</v>
      </c>
      <c r="K292" s="0" t="n">
        <v>100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56</v>
      </c>
      <c r="X292" s="0" t="n">
        <v>5</v>
      </c>
      <c r="Y292" s="0" t="n">
        <v>5</v>
      </c>
      <c r="Z292" s="0" t="inlineStr">
        <is>
          <t>https://new.land.naver.com/complexes/7789?tab=detail&amp;rf=Y</t>
        </is>
      </c>
      <c r="AA292" s="0" t="inlineStr">
        <is>
          <t>경상남도 창원시 성산구 상남동 63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성산구</t>
        </is>
      </c>
      <c r="AE292" s="0" t="inlineStr">
        <is>
          <t>상남동</t>
        </is>
      </c>
      <c r="AG292" s="0" t="inlineStr">
        <is>
          <t>경상남도 창원시 성산구 상남로 48</t>
        </is>
      </c>
      <c r="AH292" s="0" t="n">
        <v>0</v>
      </c>
      <c r="AI292" s="0" t="n">
        <v>133</v>
      </c>
      <c r="AJ292" s="0" t="n">
        <v>27</v>
      </c>
      <c r="AK292" s="0" t="n">
        <v>440</v>
      </c>
      <c r="AL292" s="0" t="n">
        <v>0.65</v>
      </c>
    </row>
    <row r="293">
      <c r="A293" s="0" t="inlineStr">
        <is>
          <t>[상남동]</t>
        </is>
      </c>
      <c r="B293" s="0" t="n">
        <v>7789</v>
      </c>
      <c r="C293" s="0" t="n">
        <v>4</v>
      </c>
      <c r="D293" s="0" t="inlineStr">
        <is>
          <t>대우</t>
        </is>
      </c>
      <c r="E293" s="0" t="inlineStr">
        <is>
          <t>1985.12.</t>
        </is>
      </c>
      <c r="F293" s="0" t="n">
        <v>680</v>
      </c>
      <c r="G293" s="0" t="n">
        <v>17.85</v>
      </c>
      <c r="H293" s="0" t="n">
        <v>59.03</v>
      </c>
      <c r="I293" s="0" t="n">
        <v>14.87</v>
      </c>
      <c r="J293" s="0" t="n">
        <v>49.16</v>
      </c>
      <c r="K293" s="0" t="n">
        <v>200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5</v>
      </c>
      <c r="Z293" s="0" t="inlineStr">
        <is>
          <t>https://new.land.naver.com/complexes/7789?tab=detail&amp;rf=Y</t>
        </is>
      </c>
      <c r="AA293" s="0" t="inlineStr">
        <is>
          <t>경상남도 창원시 성산구 상남동 63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성산구</t>
        </is>
      </c>
      <c r="AE293" s="0" t="inlineStr">
        <is>
          <t>상남동</t>
        </is>
      </c>
      <c r="AG293" s="0" t="inlineStr">
        <is>
          <t>경상남도 창원시 성산구 상남로 48</t>
        </is>
      </c>
      <c r="AH293" s="0" t="n">
        <v>0</v>
      </c>
      <c r="AI293" s="0" t="n">
        <v>133</v>
      </c>
      <c r="AJ293" s="0" t="n">
        <v>27</v>
      </c>
      <c r="AK293" s="0" t="n">
        <v>440</v>
      </c>
      <c r="AL293" s="0" t="n">
        <v>0.65</v>
      </c>
    </row>
    <row r="294">
      <c r="A294" s="0" t="inlineStr">
        <is>
          <t>[상남동]</t>
        </is>
      </c>
      <c r="B294" s="0" t="n">
        <v>7789</v>
      </c>
      <c r="C294" s="0" t="n">
        <v>5</v>
      </c>
      <c r="D294" s="0" t="inlineStr">
        <is>
          <t>대우</t>
        </is>
      </c>
      <c r="E294" s="0" t="inlineStr">
        <is>
          <t>1985.12.</t>
        </is>
      </c>
      <c r="F294" s="0" t="n">
        <v>680</v>
      </c>
      <c r="G294" s="0" t="n">
        <v>20.18</v>
      </c>
      <c r="H294" s="0" t="n">
        <v>66.73999999999999</v>
      </c>
      <c r="I294" s="0" t="n">
        <v>17.77</v>
      </c>
      <c r="J294" s="0" t="n">
        <v>58.77</v>
      </c>
      <c r="K294" s="0" t="n">
        <v>100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66</v>
      </c>
      <c r="X294" s="0" t="n">
        <v>5</v>
      </c>
      <c r="Y294" s="0" t="n">
        <v>5</v>
      </c>
      <c r="Z294" s="0" t="inlineStr">
        <is>
          <t>https://new.land.naver.com/complexes/7789?tab=detail&amp;rf=Y</t>
        </is>
      </c>
      <c r="AA294" s="0" t="inlineStr">
        <is>
          <t>경상남도 창원시 성산구 상남동 63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성산구</t>
        </is>
      </c>
      <c r="AE294" s="0" t="inlineStr">
        <is>
          <t>상남동</t>
        </is>
      </c>
      <c r="AG294" s="0" t="inlineStr">
        <is>
          <t>경상남도 창원시 성산구 상남로 48</t>
        </is>
      </c>
      <c r="AH294" s="0" t="n">
        <v>0</v>
      </c>
      <c r="AI294" s="0" t="n">
        <v>133</v>
      </c>
      <c r="AJ294" s="0" t="n">
        <v>27</v>
      </c>
      <c r="AK294" s="0" t="n">
        <v>440</v>
      </c>
      <c r="AL294" s="0" t="n">
        <v>0.65</v>
      </c>
    </row>
    <row r="295">
      <c r="A295" s="0" t="inlineStr">
        <is>
          <t>[상남동]</t>
        </is>
      </c>
      <c r="B295" s="0" t="n">
        <v>7789</v>
      </c>
      <c r="C295" s="0" t="n">
        <v>6</v>
      </c>
      <c r="D295" s="0" t="inlineStr">
        <is>
          <t>대우</t>
        </is>
      </c>
      <c r="E295" s="0" t="inlineStr">
        <is>
          <t>1985.12.</t>
        </is>
      </c>
      <c r="F295" s="0" t="n">
        <v>680</v>
      </c>
      <c r="G295" s="0" t="n">
        <v>24.98</v>
      </c>
      <c r="H295" s="0" t="n">
        <v>82.61</v>
      </c>
      <c r="I295" s="0" t="n">
        <v>22.22</v>
      </c>
      <c r="J295" s="0" t="n">
        <v>73.45999999999999</v>
      </c>
      <c r="K295" s="0" t="n">
        <v>30</v>
      </c>
      <c r="T295" s="0" t="n">
        <v>3</v>
      </c>
      <c r="U295" s="0" t="n">
        <v>1</v>
      </c>
      <c r="V295" s="0" t="inlineStr">
        <is>
          <t>계단식</t>
        </is>
      </c>
      <c r="W295" s="0" t="n">
        <v>82</v>
      </c>
      <c r="X295" s="0" t="n">
        <v>5</v>
      </c>
      <c r="Y295" s="0" t="n">
        <v>5</v>
      </c>
      <c r="Z295" s="0" t="inlineStr">
        <is>
          <t>https://new.land.naver.com/complexes/7789?tab=detail&amp;rf=Y</t>
        </is>
      </c>
      <c r="AA295" s="0" t="inlineStr">
        <is>
          <t>경상남도 창원시 성산구 상남동 63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성산구</t>
        </is>
      </c>
      <c r="AE295" s="0" t="inlineStr">
        <is>
          <t>상남동</t>
        </is>
      </c>
      <c r="AG295" s="0" t="inlineStr">
        <is>
          <t>경상남도 창원시 성산구 상남로 48</t>
        </is>
      </c>
      <c r="AH295" s="0" t="n">
        <v>0</v>
      </c>
      <c r="AI295" s="0" t="n">
        <v>133</v>
      </c>
      <c r="AJ295" s="0" t="n">
        <v>27</v>
      </c>
      <c r="AK295" s="0" t="n">
        <v>440</v>
      </c>
      <c r="AL295" s="0" t="n">
        <v>0.65</v>
      </c>
    </row>
    <row r="296">
      <c r="A296" s="0" t="inlineStr">
        <is>
          <t>[상남동]</t>
        </is>
      </c>
      <c r="B296" s="0" t="n">
        <v>7789</v>
      </c>
      <c r="C296" s="0" t="n">
        <v>7</v>
      </c>
      <c r="D296" s="0" t="inlineStr">
        <is>
          <t>대우</t>
        </is>
      </c>
      <c r="E296" s="0" t="inlineStr">
        <is>
          <t>1985.12.</t>
        </is>
      </c>
      <c r="F296" s="0" t="n">
        <v>680</v>
      </c>
      <c r="G296" s="0" t="n">
        <v>39.32</v>
      </c>
      <c r="H296" s="0" t="n">
        <v>130</v>
      </c>
      <c r="I296" s="0" t="n">
        <v>36.32</v>
      </c>
      <c r="J296" s="0" t="n">
        <v>120.08</v>
      </c>
      <c r="K296" s="0" t="n">
        <v>10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130</v>
      </c>
      <c r="X296" s="0" t="n">
        <v>5</v>
      </c>
      <c r="Y296" s="0" t="n">
        <v>5</v>
      </c>
      <c r="Z296" s="0" t="inlineStr">
        <is>
          <t>https://new.land.naver.com/complexes/7789?tab=detail&amp;rf=Y</t>
        </is>
      </c>
      <c r="AA296" s="0" t="inlineStr">
        <is>
          <t>경상남도 창원시 성산구 상남동 63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성산구</t>
        </is>
      </c>
      <c r="AE296" s="0" t="inlineStr">
        <is>
          <t>상남동</t>
        </is>
      </c>
      <c r="AG296" s="0" t="inlineStr">
        <is>
          <t>경상남도 창원시 성산구 상남로 48</t>
        </is>
      </c>
      <c r="AH296" s="0" t="n">
        <v>0</v>
      </c>
      <c r="AI296" s="0" t="n">
        <v>133</v>
      </c>
      <c r="AJ296" s="0" t="n">
        <v>27</v>
      </c>
      <c r="AK296" s="0" t="n">
        <v>440</v>
      </c>
      <c r="AL296" s="0" t="n">
        <v>0.65</v>
      </c>
    </row>
    <row r="297">
      <c r="A297" s="0" t="inlineStr">
        <is>
          <t>[상남동]</t>
        </is>
      </c>
      <c r="B297" s="0" t="n">
        <v>7799</v>
      </c>
      <c r="C297" s="0" t="n">
        <v>1</v>
      </c>
      <c r="D297" s="0" t="inlineStr">
        <is>
          <t>대동</t>
        </is>
      </c>
      <c r="E297" s="0" t="inlineStr">
        <is>
          <t>1994.12.</t>
        </is>
      </c>
      <c r="F297" s="0" t="n">
        <v>2810</v>
      </c>
      <c r="G297" s="0" t="n">
        <v>20.3</v>
      </c>
      <c r="H297" s="0" t="n">
        <v>67.12</v>
      </c>
      <c r="I297" s="0" t="n">
        <v>15.1</v>
      </c>
      <c r="J297" s="0" t="n">
        <v>49.95</v>
      </c>
      <c r="K297" s="0" t="n">
        <v>452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67</v>
      </c>
      <c r="X297" s="0" t="n">
        <v>25</v>
      </c>
      <c r="Y297" s="0" t="n">
        <v>15</v>
      </c>
      <c r="Z297" s="0" t="inlineStr">
        <is>
          <t>https://new.land.naver.com/complexes/7799?tab=detail&amp;rf=Y</t>
        </is>
      </c>
      <c r="AA297" s="0" t="inlineStr">
        <is>
          <t>경상남도 창원시 성산구 상남동 44-1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성산구</t>
        </is>
      </c>
      <c r="AE297" s="0" t="inlineStr">
        <is>
          <t>상남동</t>
        </is>
      </c>
      <c r="AG297" s="0" t="inlineStr">
        <is>
          <t>경상남도 창원시 성산구 동산로 115</t>
        </is>
      </c>
      <c r="AH297" s="0" t="n">
        <v>0</v>
      </c>
      <c r="AI297" s="0" t="n">
        <v>268</v>
      </c>
      <c r="AJ297" s="0" t="n">
        <v>22</v>
      </c>
      <c r="AK297" s="0" t="n">
        <v>2473</v>
      </c>
      <c r="AL297" s="0" t="n">
        <v>0.88</v>
      </c>
    </row>
    <row r="298">
      <c r="A298" s="0" t="inlineStr">
        <is>
          <t>[상남동]</t>
        </is>
      </c>
      <c r="B298" s="0" t="n">
        <v>7799</v>
      </c>
      <c r="C298" s="0" t="n">
        <v>2</v>
      </c>
      <c r="D298" s="0" t="inlineStr">
        <is>
          <t>대동</t>
        </is>
      </c>
      <c r="E298" s="0" t="inlineStr">
        <is>
          <t>1994.12.</t>
        </is>
      </c>
      <c r="F298" s="0" t="n">
        <v>2810</v>
      </c>
      <c r="G298" s="0" t="n">
        <v>23.42</v>
      </c>
      <c r="H298" s="0" t="n">
        <v>77.43000000000001</v>
      </c>
      <c r="I298" s="0" t="n">
        <v>17.93</v>
      </c>
      <c r="J298" s="0" t="n">
        <v>59.29</v>
      </c>
      <c r="K298" s="0" t="n">
        <v>210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25</v>
      </c>
      <c r="Y298" s="0" t="n">
        <v>15</v>
      </c>
      <c r="Z298" s="0" t="inlineStr">
        <is>
          <t>https://new.land.naver.com/complexes/7799?tab=detail&amp;rf=Y</t>
        </is>
      </c>
      <c r="AA298" s="0" t="inlineStr">
        <is>
          <t>경상남도 창원시 성산구 상남동 44-1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성산구</t>
        </is>
      </c>
      <c r="AE298" s="0" t="inlineStr">
        <is>
          <t>상남동</t>
        </is>
      </c>
      <c r="AG298" s="0" t="inlineStr">
        <is>
          <t>경상남도 창원시 성산구 동산로 115</t>
        </is>
      </c>
      <c r="AH298" s="0" t="n">
        <v>0</v>
      </c>
      <c r="AI298" s="0" t="n">
        <v>268</v>
      </c>
      <c r="AJ298" s="0" t="n">
        <v>22</v>
      </c>
      <c r="AK298" s="0" t="n">
        <v>2473</v>
      </c>
      <c r="AL298" s="0" t="n">
        <v>0.88</v>
      </c>
    </row>
    <row r="299">
      <c r="A299" s="0" t="inlineStr">
        <is>
          <t>[상남동]</t>
        </is>
      </c>
      <c r="B299" s="0" t="n">
        <v>7799</v>
      </c>
      <c r="C299" s="0" t="n">
        <v>3</v>
      </c>
      <c r="D299" s="0" t="inlineStr">
        <is>
          <t>대동</t>
        </is>
      </c>
      <c r="E299" s="0" t="inlineStr">
        <is>
          <t>1994.12.</t>
        </is>
      </c>
      <c r="F299" s="0" t="n">
        <v>2810</v>
      </c>
      <c r="G299" s="0" t="n">
        <v>24.32</v>
      </c>
      <c r="H299" s="0" t="n">
        <v>80.40000000000001</v>
      </c>
      <c r="I299" s="0" t="n">
        <v>18.09</v>
      </c>
      <c r="J299" s="0" t="n">
        <v>59.83</v>
      </c>
      <c r="K299" s="0" t="n">
        <v>452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80</v>
      </c>
      <c r="X299" s="0" t="n">
        <v>25</v>
      </c>
      <c r="Y299" s="0" t="n">
        <v>15</v>
      </c>
      <c r="Z299" s="0" t="inlineStr">
        <is>
          <t>https://new.land.naver.com/complexes/7799?tab=detail&amp;rf=Y</t>
        </is>
      </c>
      <c r="AA299" s="0" t="inlineStr">
        <is>
          <t>경상남도 창원시 성산구 상남동 44-1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성산구</t>
        </is>
      </c>
      <c r="AE299" s="0" t="inlineStr">
        <is>
          <t>상남동</t>
        </is>
      </c>
      <c r="AG299" s="0" t="inlineStr">
        <is>
          <t>경상남도 창원시 성산구 동산로 115</t>
        </is>
      </c>
      <c r="AH299" s="0" t="n">
        <v>0</v>
      </c>
      <c r="AI299" s="0" t="n">
        <v>268</v>
      </c>
      <c r="AJ299" s="0" t="n">
        <v>22</v>
      </c>
      <c r="AK299" s="0" t="n">
        <v>2473</v>
      </c>
      <c r="AL299" s="0" t="n">
        <v>0.88</v>
      </c>
    </row>
    <row r="300">
      <c r="A300" s="0" t="inlineStr">
        <is>
          <t>[상남동]</t>
        </is>
      </c>
      <c r="B300" s="0" t="n">
        <v>7799</v>
      </c>
      <c r="C300" s="0" t="n">
        <v>4</v>
      </c>
      <c r="D300" s="0" t="inlineStr">
        <is>
          <t>대동</t>
        </is>
      </c>
      <c r="E300" s="0" t="inlineStr">
        <is>
          <t>1994.12.</t>
        </is>
      </c>
      <c r="F300" s="0" t="n">
        <v>2810</v>
      </c>
      <c r="G300" s="0" t="n">
        <v>31.88</v>
      </c>
      <c r="H300" s="0" t="n">
        <v>105.42</v>
      </c>
      <c r="I300" s="0" t="n">
        <v>25.69</v>
      </c>
      <c r="J300" s="0" t="n">
        <v>84.94</v>
      </c>
      <c r="K300" s="0" t="n">
        <v>890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105</v>
      </c>
      <c r="X300" s="0" t="n">
        <v>25</v>
      </c>
      <c r="Y300" s="0" t="n">
        <v>15</v>
      </c>
      <c r="Z300" s="0" t="inlineStr">
        <is>
          <t>https://new.land.naver.com/complexes/7799?tab=detail&amp;rf=Y</t>
        </is>
      </c>
      <c r="AA300" s="0" t="inlineStr">
        <is>
          <t>경상남도 창원시 성산구 상남동 44-1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성산구</t>
        </is>
      </c>
      <c r="AE300" s="0" t="inlineStr">
        <is>
          <t>상남동</t>
        </is>
      </c>
      <c r="AG300" s="0" t="inlineStr">
        <is>
          <t>경상남도 창원시 성산구 동산로 115</t>
        </is>
      </c>
      <c r="AH300" s="0" t="n">
        <v>0</v>
      </c>
      <c r="AI300" s="0" t="n">
        <v>268</v>
      </c>
      <c r="AJ300" s="0" t="n">
        <v>22</v>
      </c>
      <c r="AK300" s="0" t="n">
        <v>2473</v>
      </c>
      <c r="AL300" s="0" t="n">
        <v>0.88</v>
      </c>
    </row>
    <row r="301">
      <c r="A301" s="0" t="inlineStr">
        <is>
          <t>[상남동]</t>
        </is>
      </c>
      <c r="B301" s="0" t="n">
        <v>7799</v>
      </c>
      <c r="C301" s="0" t="n">
        <v>5</v>
      </c>
      <c r="D301" s="0" t="inlineStr">
        <is>
          <t>대동</t>
        </is>
      </c>
      <c r="E301" s="0" t="inlineStr">
        <is>
          <t>1994.12.</t>
        </is>
      </c>
      <c r="F301" s="0" t="n">
        <v>2810</v>
      </c>
      <c r="G301" s="0" t="n">
        <v>42.02</v>
      </c>
      <c r="H301" s="0" t="n">
        <v>138.93</v>
      </c>
      <c r="I301" s="0" t="n">
        <v>34.79</v>
      </c>
      <c r="J301" s="0" t="n">
        <v>115.03</v>
      </c>
      <c r="K301" s="0" t="n">
        <v>306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138A</t>
        </is>
      </c>
      <c r="X301" s="0" t="n">
        <v>25</v>
      </c>
      <c r="Y301" s="0" t="n">
        <v>15</v>
      </c>
      <c r="Z301" s="0" t="inlineStr">
        <is>
          <t>https://new.land.naver.com/complexes/7799?tab=detail&amp;rf=Y</t>
        </is>
      </c>
      <c r="AA301" s="0" t="inlineStr">
        <is>
          <t>경상남도 창원시 성산구 상남동 44-1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성산구</t>
        </is>
      </c>
      <c r="AE301" s="0" t="inlineStr">
        <is>
          <t>상남동</t>
        </is>
      </c>
      <c r="AG301" s="0" t="inlineStr">
        <is>
          <t>경상남도 창원시 성산구 동산로 115</t>
        </is>
      </c>
      <c r="AH301" s="0" t="n">
        <v>0</v>
      </c>
      <c r="AI301" s="0" t="n">
        <v>268</v>
      </c>
      <c r="AJ301" s="0" t="n">
        <v>22</v>
      </c>
      <c r="AK301" s="0" t="n">
        <v>2473</v>
      </c>
      <c r="AL301" s="0" t="n">
        <v>0.88</v>
      </c>
    </row>
    <row r="302">
      <c r="A302" s="0" t="inlineStr">
        <is>
          <t>[상남동]</t>
        </is>
      </c>
      <c r="B302" s="0" t="n">
        <v>7799</v>
      </c>
      <c r="C302" s="0" t="n">
        <v>6</v>
      </c>
      <c r="D302" s="0" t="inlineStr">
        <is>
          <t>대동</t>
        </is>
      </c>
      <c r="E302" s="0" t="inlineStr">
        <is>
          <t>1994.12.</t>
        </is>
      </c>
      <c r="F302" s="0" t="n">
        <v>2810</v>
      </c>
      <c r="G302" s="0" t="n">
        <v>42.2</v>
      </c>
      <c r="H302" s="0" t="n">
        <v>139.51</v>
      </c>
      <c r="I302" s="0" t="n">
        <v>34.94</v>
      </c>
      <c r="J302" s="0" t="n">
        <v>115.51</v>
      </c>
      <c r="K302" s="0" t="n">
        <v>60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139B</t>
        </is>
      </c>
      <c r="X302" s="0" t="n">
        <v>25</v>
      </c>
      <c r="Y302" s="0" t="n">
        <v>15</v>
      </c>
      <c r="Z302" s="0" t="inlineStr">
        <is>
          <t>https://new.land.naver.com/complexes/7799?tab=detail&amp;rf=Y</t>
        </is>
      </c>
      <c r="AA302" s="0" t="inlineStr">
        <is>
          <t>경상남도 창원시 성산구 상남동 44-1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성산구</t>
        </is>
      </c>
      <c r="AE302" s="0" t="inlineStr">
        <is>
          <t>상남동</t>
        </is>
      </c>
      <c r="AG302" s="0" t="inlineStr">
        <is>
          <t>경상남도 창원시 성산구 동산로 115</t>
        </is>
      </c>
      <c r="AH302" s="0" t="n">
        <v>0</v>
      </c>
      <c r="AI302" s="0" t="n">
        <v>268</v>
      </c>
      <c r="AJ302" s="0" t="n">
        <v>22</v>
      </c>
      <c r="AK302" s="0" t="n">
        <v>2473</v>
      </c>
      <c r="AL302" s="0" t="n">
        <v>0.88</v>
      </c>
    </row>
    <row r="303">
      <c r="A303" s="0" t="inlineStr">
        <is>
          <t>[상남동]</t>
        </is>
      </c>
      <c r="B303" s="0" t="n">
        <v>7799</v>
      </c>
      <c r="C303" s="0" t="n">
        <v>7</v>
      </c>
      <c r="D303" s="0" t="inlineStr">
        <is>
          <t>대동</t>
        </is>
      </c>
      <c r="E303" s="0" t="inlineStr">
        <is>
          <t>1994.12.</t>
        </is>
      </c>
      <c r="F303" s="0" t="n">
        <v>2810</v>
      </c>
      <c r="G303" s="0" t="n">
        <v>42.58</v>
      </c>
      <c r="H303" s="0" t="n">
        <v>140.78</v>
      </c>
      <c r="I303" s="0" t="n">
        <v>35.26</v>
      </c>
      <c r="J303" s="0" t="n">
        <v>116.57</v>
      </c>
      <c r="K303" s="0" t="n">
        <v>110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140</v>
      </c>
      <c r="X303" s="0" t="n">
        <v>25</v>
      </c>
      <c r="Y303" s="0" t="n">
        <v>15</v>
      </c>
      <c r="Z303" s="0" t="inlineStr">
        <is>
          <t>https://new.land.naver.com/complexes/7799?tab=detail&amp;rf=Y</t>
        </is>
      </c>
      <c r="AA303" s="0" t="inlineStr">
        <is>
          <t>경상남도 창원시 성산구 상남동 44-1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성산구</t>
        </is>
      </c>
      <c r="AE303" s="0" t="inlineStr">
        <is>
          <t>상남동</t>
        </is>
      </c>
      <c r="AG303" s="0" t="inlineStr">
        <is>
          <t>경상남도 창원시 성산구 동산로 115</t>
        </is>
      </c>
      <c r="AH303" s="0" t="n">
        <v>0</v>
      </c>
      <c r="AI303" s="0" t="n">
        <v>268</v>
      </c>
      <c r="AJ303" s="0" t="n">
        <v>22</v>
      </c>
      <c r="AK303" s="0" t="n">
        <v>2473</v>
      </c>
      <c r="AL303" s="0" t="n">
        <v>0.88</v>
      </c>
    </row>
    <row r="304">
      <c r="A304" s="0" t="inlineStr">
        <is>
          <t>[상남동]</t>
        </is>
      </c>
      <c r="B304" s="0" t="n">
        <v>7799</v>
      </c>
      <c r="C304" s="0" t="n">
        <v>8</v>
      </c>
      <c r="D304" s="0" t="inlineStr">
        <is>
          <t>대동</t>
        </is>
      </c>
      <c r="E304" s="0" t="inlineStr">
        <is>
          <t>1994.12.</t>
        </is>
      </c>
      <c r="F304" s="0" t="n">
        <v>2810</v>
      </c>
      <c r="G304" s="0" t="n">
        <v>47.73</v>
      </c>
      <c r="H304" s="0" t="n">
        <v>157.8</v>
      </c>
      <c r="I304" s="0" t="n">
        <v>39.98</v>
      </c>
      <c r="J304" s="0" t="n">
        <v>132.18</v>
      </c>
      <c r="K304" s="0" t="n">
        <v>130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157B</t>
        </is>
      </c>
      <c r="X304" s="0" t="n">
        <v>25</v>
      </c>
      <c r="Y304" s="0" t="n">
        <v>15</v>
      </c>
      <c r="Z304" s="0" t="inlineStr">
        <is>
          <t>https://new.land.naver.com/complexes/7799?tab=detail&amp;rf=Y</t>
        </is>
      </c>
      <c r="AA304" s="0" t="inlineStr">
        <is>
          <t>경상남도 창원시 성산구 상남동 44-1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성산구</t>
        </is>
      </c>
      <c r="AE304" s="0" t="inlineStr">
        <is>
          <t>상남동</t>
        </is>
      </c>
      <c r="AG304" s="0" t="inlineStr">
        <is>
          <t>경상남도 창원시 성산구 동산로 115</t>
        </is>
      </c>
      <c r="AH304" s="0" t="n">
        <v>0</v>
      </c>
      <c r="AI304" s="0" t="n">
        <v>268</v>
      </c>
      <c r="AJ304" s="0" t="n">
        <v>22</v>
      </c>
      <c r="AK304" s="0" t="n">
        <v>2473</v>
      </c>
      <c r="AL304" s="0" t="n">
        <v>0.88</v>
      </c>
    </row>
    <row r="305">
      <c r="A305" s="0" t="inlineStr">
        <is>
          <t>[상남동]</t>
        </is>
      </c>
      <c r="B305" s="0" t="n">
        <v>7799</v>
      </c>
      <c r="C305" s="0" t="n">
        <v>9</v>
      </c>
      <c r="D305" s="0" t="inlineStr">
        <is>
          <t>대동</t>
        </is>
      </c>
      <c r="E305" s="0" t="inlineStr">
        <is>
          <t>1994.12.</t>
        </is>
      </c>
      <c r="F305" s="0" t="n">
        <v>2810</v>
      </c>
      <c r="G305" s="0" t="n">
        <v>47.73</v>
      </c>
      <c r="H305" s="0" t="n">
        <v>157.79</v>
      </c>
      <c r="I305" s="0" t="n">
        <v>39.98</v>
      </c>
      <c r="J305" s="0" t="n">
        <v>132.17</v>
      </c>
      <c r="K305" s="0" t="n">
        <v>100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157A</t>
        </is>
      </c>
      <c r="X305" s="0" t="n">
        <v>25</v>
      </c>
      <c r="Y305" s="0" t="n">
        <v>15</v>
      </c>
      <c r="Z305" s="0" t="inlineStr">
        <is>
          <t>https://new.land.naver.com/complexes/7799?tab=detail&amp;rf=Y</t>
        </is>
      </c>
      <c r="AA305" s="0" t="inlineStr">
        <is>
          <t>경상남도 창원시 성산구 상남동 44-1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성산구</t>
        </is>
      </c>
      <c r="AE305" s="0" t="inlineStr">
        <is>
          <t>상남동</t>
        </is>
      </c>
      <c r="AG305" s="0" t="inlineStr">
        <is>
          <t>경상남도 창원시 성산구 동산로 115</t>
        </is>
      </c>
      <c r="AH305" s="0" t="n">
        <v>0</v>
      </c>
      <c r="AI305" s="0" t="n">
        <v>268</v>
      </c>
      <c r="AJ305" s="0" t="n">
        <v>22</v>
      </c>
      <c r="AK305" s="0" t="n">
        <v>2473</v>
      </c>
      <c r="AL305" s="0" t="n">
        <v>0.88</v>
      </c>
    </row>
    <row r="306">
      <c r="A306" s="0" t="inlineStr">
        <is>
          <t>[상남동]</t>
        </is>
      </c>
      <c r="B306" s="0" t="n">
        <v>7799</v>
      </c>
      <c r="C306" s="0" t="n">
        <v>10</v>
      </c>
      <c r="D306" s="0" t="inlineStr">
        <is>
          <t>대동</t>
        </is>
      </c>
      <c r="E306" s="0" t="inlineStr">
        <is>
          <t>1994.12.</t>
        </is>
      </c>
      <c r="F306" s="0" t="n">
        <v>2810</v>
      </c>
      <c r="G306" s="0" t="n">
        <v>58.37</v>
      </c>
      <c r="H306" s="0" t="n">
        <v>192.98</v>
      </c>
      <c r="I306" s="0" t="n">
        <v>49.82</v>
      </c>
      <c r="J306" s="0" t="n">
        <v>164.7</v>
      </c>
      <c r="K306" s="0" t="n">
        <v>100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192</v>
      </c>
      <c r="X306" s="0" t="n">
        <v>25</v>
      </c>
      <c r="Y306" s="0" t="n">
        <v>15</v>
      </c>
      <c r="Z306" s="0" t="inlineStr">
        <is>
          <t>https://new.land.naver.com/complexes/7799?tab=detail&amp;rf=Y</t>
        </is>
      </c>
      <c r="AA306" s="0" t="inlineStr">
        <is>
          <t>경상남도 창원시 성산구 상남동 44-1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성산구</t>
        </is>
      </c>
      <c r="AE306" s="0" t="inlineStr">
        <is>
          <t>상남동</t>
        </is>
      </c>
      <c r="AG306" s="0" t="inlineStr">
        <is>
          <t>경상남도 창원시 성산구 동산로 115</t>
        </is>
      </c>
      <c r="AH306" s="0" t="n">
        <v>0</v>
      </c>
      <c r="AI306" s="0" t="n">
        <v>268</v>
      </c>
      <c r="AJ306" s="0" t="n">
        <v>22</v>
      </c>
      <c r="AK306" s="0" t="n">
        <v>2473</v>
      </c>
      <c r="AL306" s="0" t="n">
        <v>0.88</v>
      </c>
    </row>
    <row r="307">
      <c r="A307" s="0" t="inlineStr">
        <is>
          <t>[상남동]</t>
        </is>
      </c>
      <c r="B307" s="0" t="n">
        <v>7795</v>
      </c>
      <c r="C307" s="0" t="n">
        <v>1</v>
      </c>
      <c r="D307" s="0" t="inlineStr">
        <is>
          <t>상남대호타워</t>
        </is>
      </c>
      <c r="E307" s="0" t="inlineStr">
        <is>
          <t>1993.09.</t>
        </is>
      </c>
      <c r="F307" s="0" t="n">
        <v>159</v>
      </c>
      <c r="G307" s="0" t="n">
        <v>25.12</v>
      </c>
      <c r="H307" s="0" t="n">
        <v>83.06</v>
      </c>
      <c r="I307" s="0" t="n">
        <v>17.99</v>
      </c>
      <c r="J307" s="0" t="n">
        <v>59.49</v>
      </c>
      <c r="K307" s="0" t="n">
        <v>99</v>
      </c>
      <c r="T307" s="0" t="n">
        <v>2</v>
      </c>
      <c r="U307" s="0" t="n">
        <v>1</v>
      </c>
      <c r="V307" s="0" t="inlineStr">
        <is>
          <t>복도식</t>
        </is>
      </c>
      <c r="W307" s="0" t="n">
        <v>83</v>
      </c>
      <c r="X307" s="0" t="n">
        <v>20</v>
      </c>
      <c r="Y307" s="0" t="n">
        <v>14</v>
      </c>
      <c r="Z307" s="0" t="inlineStr">
        <is>
          <t>https://new.land.naver.com/complexes/7795?tab=detail&amp;rf=Y</t>
        </is>
      </c>
      <c r="AA307" s="0" t="inlineStr">
        <is>
          <t>경상남도 창원시 성산구 상남동 64-3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성산구</t>
        </is>
      </c>
      <c r="AE307" s="0" t="inlineStr">
        <is>
          <t>상남동</t>
        </is>
      </c>
      <c r="AG307" s="0" t="inlineStr">
        <is>
          <t>경상남도 창원시 성산구 상남로24번길 13</t>
        </is>
      </c>
      <c r="AH307" s="0" t="n">
        <v>0</v>
      </c>
      <c r="AI307" s="0" t="n">
        <v>383</v>
      </c>
      <c r="AJ307" s="0" t="n">
        <v>29</v>
      </c>
      <c r="AK307" s="0" t="n">
        <v>97</v>
      </c>
      <c r="AL307" s="0" t="n">
        <v>0.61</v>
      </c>
    </row>
    <row r="308">
      <c r="A308" s="0" t="inlineStr">
        <is>
          <t>[상남동]</t>
        </is>
      </c>
      <c r="B308" s="0" t="n">
        <v>7795</v>
      </c>
      <c r="C308" s="0" t="n">
        <v>2</v>
      </c>
      <c r="D308" s="0" t="inlineStr">
        <is>
          <t>상남대호타워</t>
        </is>
      </c>
      <c r="E308" s="0" t="inlineStr">
        <is>
          <t>1993.09.</t>
        </is>
      </c>
      <c r="F308" s="0" t="n">
        <v>159</v>
      </c>
      <c r="G308" s="0" t="n">
        <v>33.52</v>
      </c>
      <c r="H308" s="0" t="n">
        <v>110.84</v>
      </c>
      <c r="I308" s="0" t="n">
        <v>25.68</v>
      </c>
      <c r="J308" s="0" t="n">
        <v>84.90000000000001</v>
      </c>
      <c r="K308" s="0" t="n">
        <v>20</v>
      </c>
      <c r="T308" s="0" t="n">
        <v>3</v>
      </c>
      <c r="U308" s="0" t="n">
        <v>1</v>
      </c>
      <c r="V308" s="0" t="inlineStr">
        <is>
          <t>복도식</t>
        </is>
      </c>
      <c r="W308" s="0" t="n">
        <v>110</v>
      </c>
      <c r="X308" s="0" t="n">
        <v>20</v>
      </c>
      <c r="Y308" s="0" t="n">
        <v>14</v>
      </c>
      <c r="Z308" s="0" t="inlineStr">
        <is>
          <t>https://new.land.naver.com/complexes/7795?tab=detail&amp;rf=Y</t>
        </is>
      </c>
      <c r="AA308" s="0" t="inlineStr">
        <is>
          <t>경상남도 창원시 성산구 상남동 64-3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성산구</t>
        </is>
      </c>
      <c r="AE308" s="0" t="inlineStr">
        <is>
          <t>상남동</t>
        </is>
      </c>
      <c r="AG308" s="0" t="inlineStr">
        <is>
          <t>경상남도 창원시 성산구 상남로24번길 13</t>
        </is>
      </c>
      <c r="AH308" s="0" t="n">
        <v>0</v>
      </c>
      <c r="AI308" s="0" t="n">
        <v>383</v>
      </c>
      <c r="AJ308" s="0" t="n">
        <v>29</v>
      </c>
      <c r="AK308" s="0" t="n">
        <v>97</v>
      </c>
      <c r="AL308" s="0" t="n">
        <v>0.61</v>
      </c>
    </row>
    <row r="309">
      <c r="A309" s="0" t="inlineStr">
        <is>
          <t>[상남동]</t>
        </is>
      </c>
      <c r="B309" s="0" t="n">
        <v>7795</v>
      </c>
      <c r="C309" s="0" t="n">
        <v>3</v>
      </c>
      <c r="D309" s="0" t="inlineStr">
        <is>
          <t>상남대호타워</t>
        </is>
      </c>
      <c r="E309" s="0" t="inlineStr">
        <is>
          <t>1993.09.</t>
        </is>
      </c>
      <c r="F309" s="0" t="n">
        <v>159</v>
      </c>
      <c r="G309" s="0" t="n">
        <v>49.84</v>
      </c>
      <c r="H309" s="0" t="n">
        <v>164.77</v>
      </c>
      <c r="I309" s="0" t="n">
        <v>38.08</v>
      </c>
      <c r="J309" s="0" t="n">
        <v>125.89</v>
      </c>
      <c r="K309" s="0" t="n">
        <v>20</v>
      </c>
      <c r="T309" s="0" t="n">
        <v>4</v>
      </c>
      <c r="U309" s="0" t="n">
        <v>2</v>
      </c>
      <c r="V309" s="0" t="inlineStr">
        <is>
          <t>복도식</t>
        </is>
      </c>
      <c r="W309" s="0" t="n">
        <v>164</v>
      </c>
      <c r="X309" s="0" t="n">
        <v>20</v>
      </c>
      <c r="Y309" s="0" t="n">
        <v>14</v>
      </c>
      <c r="Z309" s="0" t="inlineStr">
        <is>
          <t>https://new.land.naver.com/complexes/7795?tab=detail&amp;rf=Y</t>
        </is>
      </c>
      <c r="AA309" s="0" t="inlineStr">
        <is>
          <t>경상남도 창원시 성산구 상남동 64-3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성산구</t>
        </is>
      </c>
      <c r="AE309" s="0" t="inlineStr">
        <is>
          <t>상남동</t>
        </is>
      </c>
      <c r="AG309" s="0" t="inlineStr">
        <is>
          <t>경상남도 창원시 성산구 상남로24번길 13</t>
        </is>
      </c>
      <c r="AH309" s="0" t="n">
        <v>0</v>
      </c>
      <c r="AI309" s="0" t="n">
        <v>383</v>
      </c>
      <c r="AJ309" s="0" t="n">
        <v>29</v>
      </c>
      <c r="AK309" s="0" t="n">
        <v>97</v>
      </c>
      <c r="AL309" s="0" t="n">
        <v>0.61</v>
      </c>
    </row>
    <row r="310">
      <c r="A310" s="0" t="inlineStr">
        <is>
          <t>[상남동]</t>
        </is>
      </c>
      <c r="B310" s="0" t="n">
        <v>7795</v>
      </c>
      <c r="C310" s="0" t="n">
        <v>4</v>
      </c>
      <c r="D310" s="0" t="inlineStr">
        <is>
          <t>상남대호타워</t>
        </is>
      </c>
      <c r="E310" s="0" t="inlineStr">
        <is>
          <t>1993.09.</t>
        </is>
      </c>
      <c r="F310" s="0" t="n">
        <v>159</v>
      </c>
      <c r="G310" s="0" t="n">
        <v>50.36</v>
      </c>
      <c r="H310" s="0" t="n">
        <v>166.49</v>
      </c>
      <c r="I310" s="0" t="n">
        <v>38.46</v>
      </c>
      <c r="J310" s="0" t="n">
        <v>127.17</v>
      </c>
      <c r="K310" s="0" t="n">
        <v>1</v>
      </c>
      <c r="T310" s="0" t="n">
        <v>4</v>
      </c>
      <c r="U310" s="0" t="n">
        <v>2</v>
      </c>
      <c r="V310" s="0" t="inlineStr">
        <is>
          <t>복도식</t>
        </is>
      </c>
      <c r="W310" s="0" t="n">
        <v>166</v>
      </c>
      <c r="X310" s="0" t="n">
        <v>20</v>
      </c>
      <c r="Y310" s="0" t="n">
        <v>14</v>
      </c>
      <c r="Z310" s="0" t="inlineStr">
        <is>
          <t>https://new.land.naver.com/complexes/7795?tab=detail&amp;rf=Y</t>
        </is>
      </c>
      <c r="AA310" s="0" t="inlineStr">
        <is>
          <t>경상남도 창원시 성산구 상남동 64-3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성산구</t>
        </is>
      </c>
      <c r="AE310" s="0" t="inlineStr">
        <is>
          <t>상남동</t>
        </is>
      </c>
      <c r="AG310" s="0" t="inlineStr">
        <is>
          <t>경상남도 창원시 성산구 상남로24번길 13</t>
        </is>
      </c>
      <c r="AH310" s="0" t="n">
        <v>0</v>
      </c>
      <c r="AI310" s="0" t="n">
        <v>383</v>
      </c>
      <c r="AJ310" s="0" t="n">
        <v>29</v>
      </c>
      <c r="AK310" s="0" t="n">
        <v>97</v>
      </c>
      <c r="AL310" s="0" t="n">
        <v>0.61</v>
      </c>
    </row>
    <row r="311">
      <c r="A311" s="0" t="inlineStr">
        <is>
          <t>[상남동]</t>
        </is>
      </c>
      <c r="B311" s="0" t="n">
        <v>7795</v>
      </c>
      <c r="C311" s="0" t="n">
        <v>5</v>
      </c>
      <c r="D311" s="0" t="inlineStr">
        <is>
          <t>상남대호타워</t>
        </is>
      </c>
      <c r="E311" s="0" t="inlineStr">
        <is>
          <t>1993.09.</t>
        </is>
      </c>
      <c r="F311" s="0" t="n">
        <v>159</v>
      </c>
      <c r="G311" s="0" t="n">
        <v>54.45</v>
      </c>
      <c r="H311" s="0" t="n">
        <v>180.03</v>
      </c>
      <c r="I311" s="0" t="n">
        <v>41.5</v>
      </c>
      <c r="J311" s="0" t="n">
        <v>137.21</v>
      </c>
      <c r="K311" s="0" t="n">
        <v>19</v>
      </c>
      <c r="T311" s="0" t="n">
        <v>4</v>
      </c>
      <c r="U311" s="0" t="n">
        <v>2</v>
      </c>
      <c r="V311" s="0" t="inlineStr">
        <is>
          <t>복도식</t>
        </is>
      </c>
      <c r="W311" s="0" t="n">
        <v>180</v>
      </c>
      <c r="X311" s="0" t="n">
        <v>20</v>
      </c>
      <c r="Y311" s="0" t="n">
        <v>14</v>
      </c>
      <c r="Z311" s="0" t="inlineStr">
        <is>
          <t>https://new.land.naver.com/complexes/7795?tab=detail&amp;rf=Y</t>
        </is>
      </c>
      <c r="AA311" s="0" t="inlineStr">
        <is>
          <t>경상남도 창원시 성산구 상남동 64-3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성산구</t>
        </is>
      </c>
      <c r="AE311" s="0" t="inlineStr">
        <is>
          <t>상남동</t>
        </is>
      </c>
      <c r="AG311" s="0" t="inlineStr">
        <is>
          <t>경상남도 창원시 성산구 상남로24번길 13</t>
        </is>
      </c>
      <c r="AH311" s="0" t="n">
        <v>0</v>
      </c>
      <c r="AI311" s="0" t="n">
        <v>383</v>
      </c>
      <c r="AJ311" s="0" t="n">
        <v>29</v>
      </c>
      <c r="AK311" s="0" t="n">
        <v>97</v>
      </c>
      <c r="AL311" s="0" t="n">
        <v>0.61</v>
      </c>
    </row>
    <row r="312">
      <c r="A312" s="0" t="inlineStr">
        <is>
          <t>[상남동]</t>
        </is>
      </c>
      <c r="B312" s="0" t="n">
        <v>105570</v>
      </c>
      <c r="C312" s="0" t="n">
        <v>1</v>
      </c>
      <c r="D312" s="0" t="inlineStr">
        <is>
          <t>상남꿈에그린</t>
        </is>
      </c>
      <c r="E312" s="0" t="inlineStr">
        <is>
          <t>2014.09.</t>
        </is>
      </c>
      <c r="F312" s="0" t="n">
        <v>812</v>
      </c>
      <c r="G312" s="0" t="n">
        <v>30.38</v>
      </c>
      <c r="H312" s="0" t="n">
        <v>100.46</v>
      </c>
      <c r="I312" s="0" t="n">
        <v>21.95</v>
      </c>
      <c r="J312" s="0" t="n">
        <v>72.56999999999999</v>
      </c>
      <c r="K312" s="0" t="n">
        <v>86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100</v>
      </c>
      <c r="X312" s="0" t="n">
        <v>26</v>
      </c>
      <c r="Y312" s="0" t="n">
        <v>18</v>
      </c>
      <c r="Z312" s="0" t="inlineStr">
        <is>
          <t>https://new.land.naver.com/complexes/105570?tab=detail&amp;rf=Y</t>
        </is>
      </c>
      <c r="AA312" s="0" t="inlineStr">
        <is>
          <t>경상남도 창원시 성산구 상남동 65-1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성산구</t>
        </is>
      </c>
      <c r="AE312" s="0" t="inlineStr">
        <is>
          <t>상남동</t>
        </is>
      </c>
      <c r="AG312" s="0" t="inlineStr">
        <is>
          <t>경상남도 창원시 성산구 토월로27번길 18</t>
        </is>
      </c>
      <c r="AH312" s="0" t="n">
        <v>0</v>
      </c>
      <c r="AI312" s="0" t="n">
        <v>205</v>
      </c>
      <c r="AJ312" s="0" t="n">
        <v>16</v>
      </c>
      <c r="AK312" s="0" t="n">
        <v>1222</v>
      </c>
      <c r="AL312" s="0" t="n">
        <v>1.5</v>
      </c>
    </row>
    <row r="313">
      <c r="A313" s="0" t="inlineStr">
        <is>
          <t>[상남동]</t>
        </is>
      </c>
      <c r="B313" s="0" t="n">
        <v>105570</v>
      </c>
      <c r="C313" s="0" t="n">
        <v>2</v>
      </c>
      <c r="D313" s="0" t="inlineStr">
        <is>
          <t>상남꿈에그린</t>
        </is>
      </c>
      <c r="E313" s="0" t="inlineStr">
        <is>
          <t>2014.09.</t>
        </is>
      </c>
      <c r="F313" s="0" t="n">
        <v>812</v>
      </c>
      <c r="G313" s="0" t="n">
        <v>34.27</v>
      </c>
      <c r="H313" s="0" t="n">
        <v>113.32</v>
      </c>
      <c r="I313" s="0" t="n">
        <v>25.68</v>
      </c>
      <c r="J313" s="0" t="n">
        <v>84.90000000000001</v>
      </c>
      <c r="K313" s="0" t="n">
        <v>252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113B</t>
        </is>
      </c>
      <c r="X313" s="0" t="n">
        <v>26</v>
      </c>
      <c r="Y313" s="0" t="n">
        <v>18</v>
      </c>
      <c r="Z313" s="0" t="inlineStr">
        <is>
          <t>https://new.land.naver.com/complexes/105570?tab=detail&amp;rf=Y</t>
        </is>
      </c>
      <c r="AA313" s="0" t="inlineStr">
        <is>
          <t>경상남도 창원시 성산구 상남동 65-1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성산구</t>
        </is>
      </c>
      <c r="AE313" s="0" t="inlineStr">
        <is>
          <t>상남동</t>
        </is>
      </c>
      <c r="AG313" s="0" t="inlineStr">
        <is>
          <t>경상남도 창원시 성산구 토월로27번길 18</t>
        </is>
      </c>
      <c r="AH313" s="0" t="n">
        <v>0</v>
      </c>
      <c r="AI313" s="0" t="n">
        <v>205</v>
      </c>
      <c r="AJ313" s="0" t="n">
        <v>16</v>
      </c>
      <c r="AK313" s="0" t="n">
        <v>1222</v>
      </c>
      <c r="AL313" s="0" t="n">
        <v>1.5</v>
      </c>
    </row>
    <row r="314">
      <c r="A314" s="0" t="inlineStr">
        <is>
          <t>[상남동]</t>
        </is>
      </c>
      <c r="B314" s="0" t="n">
        <v>105570</v>
      </c>
      <c r="C314" s="0" t="n">
        <v>3</v>
      </c>
      <c r="D314" s="0" t="inlineStr">
        <is>
          <t>상남꿈에그린</t>
        </is>
      </c>
      <c r="E314" s="0" t="inlineStr">
        <is>
          <t>2014.09.</t>
        </is>
      </c>
      <c r="F314" s="0" t="n">
        <v>812</v>
      </c>
      <c r="G314" s="0" t="n">
        <v>34.48</v>
      </c>
      <c r="H314" s="0" t="n">
        <v>114</v>
      </c>
      <c r="I314" s="0" t="n">
        <v>25.68</v>
      </c>
      <c r="J314" s="0" t="n">
        <v>84.92</v>
      </c>
      <c r="K314" s="0" t="n">
        <v>286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114A</t>
        </is>
      </c>
      <c r="X314" s="0" t="n">
        <v>26</v>
      </c>
      <c r="Y314" s="0" t="n">
        <v>18</v>
      </c>
      <c r="Z314" s="0" t="inlineStr">
        <is>
          <t>https://new.land.naver.com/complexes/105570?tab=detail&amp;rf=Y</t>
        </is>
      </c>
      <c r="AA314" s="0" t="inlineStr">
        <is>
          <t>경상남도 창원시 성산구 상남동 65-1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성산구</t>
        </is>
      </c>
      <c r="AE314" s="0" t="inlineStr">
        <is>
          <t>상남동</t>
        </is>
      </c>
      <c r="AG314" s="0" t="inlineStr">
        <is>
          <t>경상남도 창원시 성산구 토월로27번길 18</t>
        </is>
      </c>
      <c r="AH314" s="0" t="n">
        <v>0</v>
      </c>
      <c r="AI314" s="0" t="n">
        <v>205</v>
      </c>
      <c r="AJ314" s="0" t="n">
        <v>16</v>
      </c>
      <c r="AK314" s="0" t="n">
        <v>1222</v>
      </c>
      <c r="AL314" s="0" t="n">
        <v>1.5</v>
      </c>
    </row>
    <row r="315">
      <c r="A315" s="0" t="inlineStr">
        <is>
          <t>[상남동]</t>
        </is>
      </c>
      <c r="B315" s="0" t="n">
        <v>105570</v>
      </c>
      <c r="C315" s="0" t="n">
        <v>4</v>
      </c>
      <c r="D315" s="0" t="inlineStr">
        <is>
          <t>상남꿈에그린</t>
        </is>
      </c>
      <c r="E315" s="0" t="inlineStr">
        <is>
          <t>2014.09.</t>
        </is>
      </c>
      <c r="F315" s="0" t="n">
        <v>812</v>
      </c>
      <c r="G315" s="0" t="n">
        <v>39.02</v>
      </c>
      <c r="H315" s="0" t="n">
        <v>129</v>
      </c>
      <c r="I315" s="0" t="n">
        <v>30.76</v>
      </c>
      <c r="J315" s="0" t="n">
        <v>101.7</v>
      </c>
      <c r="K315" s="0" t="n">
        <v>88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129</v>
      </c>
      <c r="X315" s="0" t="n">
        <v>26</v>
      </c>
      <c r="Y315" s="0" t="n">
        <v>18</v>
      </c>
      <c r="Z315" s="0" t="inlineStr">
        <is>
          <t>https://new.land.naver.com/complexes/105570?tab=detail&amp;rf=Y</t>
        </is>
      </c>
      <c r="AA315" s="0" t="inlineStr">
        <is>
          <t>경상남도 창원시 성산구 상남동 65-1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성산구</t>
        </is>
      </c>
      <c r="AE315" s="0" t="inlineStr">
        <is>
          <t>상남동</t>
        </is>
      </c>
      <c r="AG315" s="0" t="inlineStr">
        <is>
          <t>경상남도 창원시 성산구 토월로27번길 18</t>
        </is>
      </c>
      <c r="AH315" s="0" t="n">
        <v>0</v>
      </c>
      <c r="AI315" s="0" t="n">
        <v>205</v>
      </c>
      <c r="AJ315" s="0" t="n">
        <v>16</v>
      </c>
      <c r="AK315" s="0" t="n">
        <v>1222</v>
      </c>
      <c r="AL315" s="0" t="n">
        <v>1.5</v>
      </c>
    </row>
    <row r="316">
      <c r="A316" s="0" t="inlineStr">
        <is>
          <t>[상남동]</t>
        </is>
      </c>
      <c r="B316" s="0" t="n">
        <v>105570</v>
      </c>
      <c r="C316" s="0" t="n">
        <v>5</v>
      </c>
      <c r="D316" s="0" t="inlineStr">
        <is>
          <t>상남꿈에그린</t>
        </is>
      </c>
      <c r="E316" s="0" t="inlineStr">
        <is>
          <t>2014.09.</t>
        </is>
      </c>
      <c r="F316" s="0" t="n">
        <v>812</v>
      </c>
      <c r="G316" s="0" t="n">
        <v>47.46</v>
      </c>
      <c r="H316" s="0" t="n">
        <v>156.92</v>
      </c>
      <c r="I316" s="0" t="n">
        <v>37.56</v>
      </c>
      <c r="J316" s="0" t="n">
        <v>124.18</v>
      </c>
      <c r="K316" s="0" t="n">
        <v>100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156</v>
      </c>
      <c r="X316" s="0" t="n">
        <v>26</v>
      </c>
      <c r="Y316" s="0" t="n">
        <v>18</v>
      </c>
      <c r="Z316" s="0" t="inlineStr">
        <is>
          <t>https://new.land.naver.com/complexes/105570?tab=detail&amp;rf=Y</t>
        </is>
      </c>
      <c r="AA316" s="0" t="inlineStr">
        <is>
          <t>경상남도 창원시 성산구 상남동 65-1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성산구</t>
        </is>
      </c>
      <c r="AE316" s="0" t="inlineStr">
        <is>
          <t>상남동</t>
        </is>
      </c>
      <c r="AG316" s="0" t="inlineStr">
        <is>
          <t>경상남도 창원시 성산구 토월로27번길 18</t>
        </is>
      </c>
      <c r="AH316" s="0" t="n">
        <v>0</v>
      </c>
      <c r="AI316" s="0" t="n">
        <v>205</v>
      </c>
      <c r="AJ316" s="0" t="n">
        <v>16</v>
      </c>
      <c r="AK316" s="0" t="n">
        <v>1222</v>
      </c>
      <c r="AL316" s="0" t="n">
        <v>1.5</v>
      </c>
    </row>
    <row r="317">
      <c r="A317" s="0" t="inlineStr">
        <is>
          <t>[상남동]</t>
        </is>
      </c>
      <c r="B317" s="0" t="n">
        <v>7810</v>
      </c>
      <c r="C317" s="0" t="n">
        <v>1</v>
      </c>
      <c r="D317" s="0" t="inlineStr">
        <is>
          <t>성원(토월그랜드타운)</t>
        </is>
      </c>
      <c r="E317" s="0" t="inlineStr">
        <is>
          <t>1994.06.</t>
        </is>
      </c>
      <c r="F317" s="0" t="n">
        <v>6252</v>
      </c>
      <c r="G317" s="0" t="n">
        <v>21.77</v>
      </c>
      <c r="H317" s="0" t="n">
        <v>71.98</v>
      </c>
      <c r="I317" s="0" t="n">
        <v>15.11</v>
      </c>
      <c r="J317" s="0" t="n">
        <v>49.98</v>
      </c>
      <c r="K317" s="0" t="n">
        <v>920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71</v>
      </c>
      <c r="X317" s="0" t="n">
        <v>25</v>
      </c>
      <c r="Y317" s="0" t="n">
        <v>20</v>
      </c>
      <c r="Z317" s="0" t="inlineStr">
        <is>
          <t>https://new.land.naver.com/complexes/7810?tab=detail&amp;rf=Y</t>
        </is>
      </c>
      <c r="AA317" s="0" t="inlineStr">
        <is>
          <t>경상남도 창원시 성산구 상남동 45-1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성산구</t>
        </is>
      </c>
      <c r="AE317" s="0" t="inlineStr">
        <is>
          <t>상남동</t>
        </is>
      </c>
      <c r="AG317" s="0" t="inlineStr">
        <is>
          <t>경상남도 창원시 성산구 원이대로 774</t>
        </is>
      </c>
      <c r="AH317" s="0" t="n">
        <v>0</v>
      </c>
      <c r="AI317" s="0" t="n">
        <v>364</v>
      </c>
      <c r="AJ317" s="0" t="n">
        <v>21</v>
      </c>
      <c r="AK317" s="0" t="n">
        <v>4254</v>
      </c>
      <c r="AL317" s="0" t="n">
        <v>0.68</v>
      </c>
    </row>
    <row r="318">
      <c r="A318" s="0" t="inlineStr">
        <is>
          <t>[상남동]</t>
        </is>
      </c>
      <c r="B318" s="0" t="n">
        <v>7810</v>
      </c>
      <c r="C318" s="0" t="n">
        <v>2</v>
      </c>
      <c r="D318" s="0" t="inlineStr">
        <is>
          <t>성원(토월그랜드타운)</t>
        </is>
      </c>
      <c r="E318" s="0" t="inlineStr">
        <is>
          <t>1994.06.</t>
        </is>
      </c>
      <c r="F318" s="0" t="n">
        <v>6252</v>
      </c>
      <c r="G318" s="0" t="n">
        <v>26.13</v>
      </c>
      <c r="H318" s="0" t="n">
        <v>86.39</v>
      </c>
      <c r="I318" s="0" t="n">
        <v>18.14</v>
      </c>
      <c r="J318" s="0" t="n">
        <v>59.97</v>
      </c>
      <c r="K318" s="0" t="n">
        <v>1500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86</v>
      </c>
      <c r="X318" s="0" t="n">
        <v>25</v>
      </c>
      <c r="Y318" s="0" t="n">
        <v>20</v>
      </c>
      <c r="Z318" s="0" t="inlineStr">
        <is>
          <t>https://new.land.naver.com/complexes/7810?tab=detail&amp;rf=Y</t>
        </is>
      </c>
      <c r="AA318" s="0" t="inlineStr">
        <is>
          <t>경상남도 창원시 성산구 상남동 45-1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성산구</t>
        </is>
      </c>
      <c r="AE318" s="0" t="inlineStr">
        <is>
          <t>상남동</t>
        </is>
      </c>
      <c r="AG318" s="0" t="inlineStr">
        <is>
          <t>경상남도 창원시 성산구 원이대로 774</t>
        </is>
      </c>
      <c r="AH318" s="0" t="n">
        <v>0</v>
      </c>
      <c r="AI318" s="0" t="n">
        <v>364</v>
      </c>
      <c r="AJ318" s="0" t="n">
        <v>21</v>
      </c>
      <c r="AK318" s="0" t="n">
        <v>4254</v>
      </c>
      <c r="AL318" s="0" t="n">
        <v>0.68</v>
      </c>
    </row>
    <row r="319">
      <c r="A319" s="0" t="inlineStr">
        <is>
          <t>[상남동]</t>
        </is>
      </c>
      <c r="B319" s="0" t="n">
        <v>7810</v>
      </c>
      <c r="C319" s="0" t="n">
        <v>3</v>
      </c>
      <c r="D319" s="0" t="inlineStr">
        <is>
          <t>성원(토월그랜드타운)</t>
        </is>
      </c>
      <c r="E319" s="0" t="inlineStr">
        <is>
          <t>1994.06.</t>
        </is>
      </c>
      <c r="F319" s="0" t="n">
        <v>6252</v>
      </c>
      <c r="G319" s="0" t="n">
        <v>32.41</v>
      </c>
      <c r="H319" s="0" t="n">
        <v>107.16</v>
      </c>
      <c r="I319" s="0" t="n">
        <v>25.68</v>
      </c>
      <c r="J319" s="0" t="n">
        <v>84.91</v>
      </c>
      <c r="K319" s="0" t="n">
        <v>1932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107A</t>
        </is>
      </c>
      <c r="X319" s="0" t="n">
        <v>25</v>
      </c>
      <c r="Y319" s="0" t="n">
        <v>20</v>
      </c>
      <c r="Z319" s="0" t="inlineStr">
        <is>
          <t>https://new.land.naver.com/complexes/7810?tab=detail&amp;rf=Y</t>
        </is>
      </c>
      <c r="AA319" s="0" t="inlineStr">
        <is>
          <t>경상남도 창원시 성산구 상남동 45-1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성산구</t>
        </is>
      </c>
      <c r="AE319" s="0" t="inlineStr">
        <is>
          <t>상남동</t>
        </is>
      </c>
      <c r="AG319" s="0" t="inlineStr">
        <is>
          <t>경상남도 창원시 성산구 원이대로 774</t>
        </is>
      </c>
      <c r="AH319" s="0" t="n">
        <v>0</v>
      </c>
      <c r="AI319" s="0" t="n">
        <v>364</v>
      </c>
      <c r="AJ319" s="0" t="n">
        <v>21</v>
      </c>
      <c r="AK319" s="0" t="n">
        <v>4254</v>
      </c>
      <c r="AL319" s="0" t="n">
        <v>0.68</v>
      </c>
    </row>
    <row r="320">
      <c r="A320" s="0" t="inlineStr">
        <is>
          <t>[상남동]</t>
        </is>
      </c>
      <c r="B320" s="0" t="n">
        <v>7810</v>
      </c>
      <c r="C320" s="0" t="n">
        <v>4</v>
      </c>
      <c r="D320" s="0" t="inlineStr">
        <is>
          <t>성원(토월그랜드타운)</t>
        </is>
      </c>
      <c r="E320" s="0" t="inlineStr">
        <is>
          <t>1994.06.</t>
        </is>
      </c>
      <c r="F320" s="0" t="n">
        <v>6252</v>
      </c>
      <c r="G320" s="0" t="n">
        <v>32.41</v>
      </c>
      <c r="H320" s="0" t="n">
        <v>107.17</v>
      </c>
      <c r="I320" s="0" t="n">
        <v>25.68</v>
      </c>
      <c r="J320" s="0" t="n">
        <v>84.92</v>
      </c>
      <c r="K320" s="0" t="n">
        <v>850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107B</t>
        </is>
      </c>
      <c r="X320" s="0" t="n">
        <v>25</v>
      </c>
      <c r="Y320" s="0" t="n">
        <v>20</v>
      </c>
      <c r="Z320" s="0" t="inlineStr">
        <is>
          <t>https://new.land.naver.com/complexes/7810?tab=detail&amp;rf=Y</t>
        </is>
      </c>
      <c r="AA320" s="0" t="inlineStr">
        <is>
          <t>경상남도 창원시 성산구 상남동 45-1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성산구</t>
        </is>
      </c>
      <c r="AE320" s="0" t="inlineStr">
        <is>
          <t>상남동</t>
        </is>
      </c>
      <c r="AG320" s="0" t="inlineStr">
        <is>
          <t>경상남도 창원시 성산구 원이대로 774</t>
        </is>
      </c>
      <c r="AH320" s="0" t="n">
        <v>0</v>
      </c>
      <c r="AI320" s="0" t="n">
        <v>364</v>
      </c>
      <c r="AJ320" s="0" t="n">
        <v>21</v>
      </c>
      <c r="AK320" s="0" t="n">
        <v>4254</v>
      </c>
      <c r="AL320" s="0" t="n">
        <v>0.68</v>
      </c>
    </row>
    <row r="321">
      <c r="A321" s="0" t="inlineStr">
        <is>
          <t>[상남동]</t>
        </is>
      </c>
      <c r="B321" s="0" t="n">
        <v>7810</v>
      </c>
      <c r="C321" s="0" t="n">
        <v>5</v>
      </c>
      <c r="D321" s="0" t="inlineStr">
        <is>
          <t>성원(토월그랜드타운)</t>
        </is>
      </c>
      <c r="E321" s="0" t="inlineStr">
        <is>
          <t>1994.06.</t>
        </is>
      </c>
      <c r="F321" s="0" t="n">
        <v>6252</v>
      </c>
      <c r="G321" s="0" t="n">
        <v>40.15</v>
      </c>
      <c r="H321" s="0" t="n">
        <v>132.76</v>
      </c>
      <c r="I321" s="0" t="n">
        <v>32.82</v>
      </c>
      <c r="J321" s="0" t="n">
        <v>108.5</v>
      </c>
      <c r="K321" s="0" t="n">
        <v>700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132</v>
      </c>
      <c r="X321" s="0" t="n">
        <v>25</v>
      </c>
      <c r="Y321" s="0" t="n">
        <v>20</v>
      </c>
      <c r="Z321" s="0" t="inlineStr">
        <is>
          <t>https://new.land.naver.com/complexes/7810?tab=detail&amp;rf=Y</t>
        </is>
      </c>
      <c r="AA321" s="0" t="inlineStr">
        <is>
          <t>경상남도 창원시 성산구 상남동 45-1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성산구</t>
        </is>
      </c>
      <c r="AE321" s="0" t="inlineStr">
        <is>
          <t>상남동</t>
        </is>
      </c>
      <c r="AG321" s="0" t="inlineStr">
        <is>
          <t>경상남도 창원시 성산구 원이대로 774</t>
        </is>
      </c>
      <c r="AH321" s="0" t="n">
        <v>0</v>
      </c>
      <c r="AI321" s="0" t="n">
        <v>364</v>
      </c>
      <c r="AJ321" s="0" t="n">
        <v>21</v>
      </c>
      <c r="AK321" s="0" t="n">
        <v>4254</v>
      </c>
      <c r="AL321" s="0" t="n">
        <v>0.68</v>
      </c>
    </row>
    <row r="322">
      <c r="A322" s="0" t="inlineStr">
        <is>
          <t>[상남동]</t>
        </is>
      </c>
      <c r="B322" s="0" t="n">
        <v>7810</v>
      </c>
      <c r="C322" s="0" t="n">
        <v>6</v>
      </c>
      <c r="D322" s="0" t="inlineStr">
        <is>
          <t>성원(토월그랜드타운)</t>
        </is>
      </c>
      <c r="E322" s="0" t="inlineStr">
        <is>
          <t>1994.06.</t>
        </is>
      </c>
      <c r="F322" s="0" t="n">
        <v>6252</v>
      </c>
      <c r="G322" s="0" t="n">
        <v>49.88</v>
      </c>
      <c r="H322" s="0" t="n">
        <v>164.9</v>
      </c>
      <c r="I322" s="0" t="n">
        <v>41.4</v>
      </c>
      <c r="J322" s="0" t="n">
        <v>136.86</v>
      </c>
      <c r="K322" s="0" t="n">
        <v>200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164</v>
      </c>
      <c r="X322" s="0" t="n">
        <v>25</v>
      </c>
      <c r="Y322" s="0" t="n">
        <v>20</v>
      </c>
      <c r="Z322" s="0" t="inlineStr">
        <is>
          <t>https://new.land.naver.com/complexes/7810?tab=detail&amp;rf=Y</t>
        </is>
      </c>
      <c r="AA322" s="0" t="inlineStr">
        <is>
          <t>경상남도 창원시 성산구 상남동 45-1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성산구</t>
        </is>
      </c>
      <c r="AE322" s="0" t="inlineStr">
        <is>
          <t>상남동</t>
        </is>
      </c>
      <c r="AG322" s="0" t="inlineStr">
        <is>
          <t>경상남도 창원시 성산구 원이대로 774</t>
        </is>
      </c>
      <c r="AH322" s="0" t="n">
        <v>0</v>
      </c>
      <c r="AI322" s="0" t="n">
        <v>364</v>
      </c>
      <c r="AJ322" s="0" t="n">
        <v>21</v>
      </c>
      <c r="AK322" s="0" t="n">
        <v>4254</v>
      </c>
      <c r="AL322" s="0" t="n">
        <v>0.68</v>
      </c>
    </row>
    <row r="323">
      <c r="A323" s="0" t="inlineStr">
        <is>
          <t>[상남동]</t>
        </is>
      </c>
      <c r="B323" s="0" t="n">
        <v>7810</v>
      </c>
      <c r="C323" s="0" t="n">
        <v>7</v>
      </c>
      <c r="D323" s="0" t="inlineStr">
        <is>
          <t>성원(토월그랜드타운)</t>
        </is>
      </c>
      <c r="E323" s="0" t="inlineStr">
        <is>
          <t>1994.06.</t>
        </is>
      </c>
      <c r="F323" s="0" t="n">
        <v>6252</v>
      </c>
      <c r="G323" s="0" t="n">
        <v>59.96</v>
      </c>
      <c r="H323" s="0" t="n">
        <v>198.22</v>
      </c>
      <c r="I323" s="0" t="n">
        <v>50.69</v>
      </c>
      <c r="J323" s="0" t="n">
        <v>167.58</v>
      </c>
      <c r="K323" s="0" t="n">
        <v>150</v>
      </c>
      <c r="T323" s="0" t="n">
        <v>6</v>
      </c>
      <c r="U323" s="0" t="n">
        <v>2</v>
      </c>
      <c r="V323" s="0" t="inlineStr">
        <is>
          <t>계단식</t>
        </is>
      </c>
      <c r="W323" s="0" t="n">
        <v>198</v>
      </c>
      <c r="X323" s="0" t="n">
        <v>25</v>
      </c>
      <c r="Y323" s="0" t="n">
        <v>20</v>
      </c>
      <c r="Z323" s="0" t="inlineStr">
        <is>
          <t>https://new.land.naver.com/complexes/7810?tab=detail&amp;rf=Y</t>
        </is>
      </c>
      <c r="AA323" s="0" t="inlineStr">
        <is>
          <t>경상남도 창원시 성산구 상남동 45-1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성산구</t>
        </is>
      </c>
      <c r="AE323" s="0" t="inlineStr">
        <is>
          <t>상남동</t>
        </is>
      </c>
      <c r="AG323" s="0" t="inlineStr">
        <is>
          <t>경상남도 창원시 성산구 원이대로 774</t>
        </is>
      </c>
      <c r="AH323" s="0" t="n">
        <v>0</v>
      </c>
      <c r="AI323" s="0" t="n">
        <v>364</v>
      </c>
      <c r="AJ323" s="0" t="n">
        <v>21</v>
      </c>
      <c r="AK323" s="0" t="n">
        <v>4254</v>
      </c>
      <c r="AL323" s="0" t="n">
        <v>0.68</v>
      </c>
    </row>
    <row r="324">
      <c r="A324" s="0" t="inlineStr">
        <is>
          <t>[성주동]</t>
        </is>
      </c>
      <c r="B324" s="0" t="n">
        <v>106792</v>
      </c>
      <c r="C324" s="0" t="n">
        <v>1</v>
      </c>
      <c r="D324" s="0" t="inlineStr">
        <is>
          <t>프리빌리지2차</t>
        </is>
      </c>
      <c r="E324" s="0" t="inlineStr">
        <is>
          <t>2010.12.</t>
        </is>
      </c>
      <c r="F324" s="0" t="n">
        <v>672</v>
      </c>
      <c r="G324" s="0" t="n">
        <v>33.66</v>
      </c>
      <c r="H324" s="0" t="n">
        <v>111.28</v>
      </c>
      <c r="I324" s="0" t="n">
        <v>25.7</v>
      </c>
      <c r="J324" s="0" t="n">
        <v>84.97</v>
      </c>
      <c r="K324" s="0" t="n">
        <v>206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111B</t>
        </is>
      </c>
      <c r="X324" s="0" t="n">
        <v>25</v>
      </c>
      <c r="Y324" s="0" t="n">
        <v>10</v>
      </c>
      <c r="Z324" s="0" t="inlineStr">
        <is>
          <t>https://new.land.naver.com/complexes/106792?tab=detail&amp;rf=Y</t>
        </is>
      </c>
      <c r="AA324" s="0" t="inlineStr">
        <is>
          <t>경상남도 창원시 성산구 성주동 168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성산구</t>
        </is>
      </c>
      <c r="AE324" s="0" t="inlineStr">
        <is>
          <t>성주동</t>
        </is>
      </c>
      <c r="AG324" s="0" t="inlineStr">
        <is>
          <t>경상남도 창원시 성산구 창원대로1209번길 22</t>
        </is>
      </c>
      <c r="AH324" s="0" t="n">
        <v>0</v>
      </c>
      <c r="AI324" s="0" t="n">
        <v>220</v>
      </c>
      <c r="AJ324" s="0" t="n">
        <v>17</v>
      </c>
      <c r="AK324" s="0" t="n">
        <v>1133</v>
      </c>
      <c r="AL324" s="0" t="n">
        <v>1.69</v>
      </c>
    </row>
    <row r="325">
      <c r="A325" s="0" t="inlineStr">
        <is>
          <t>[성주동]</t>
        </is>
      </c>
      <c r="B325" s="0" t="n">
        <v>106792</v>
      </c>
      <c r="C325" s="0" t="n">
        <v>2</v>
      </c>
      <c r="D325" s="0" t="inlineStr">
        <is>
          <t>프리빌리지2차</t>
        </is>
      </c>
      <c r="E325" s="0" t="inlineStr">
        <is>
          <t>2010.12.</t>
        </is>
      </c>
      <c r="F325" s="0" t="n">
        <v>672</v>
      </c>
      <c r="G325" s="0" t="n">
        <v>33.61</v>
      </c>
      <c r="H325" s="0" t="n">
        <v>111.11</v>
      </c>
      <c r="I325" s="0" t="n">
        <v>25.7</v>
      </c>
      <c r="J325" s="0" t="n">
        <v>84.95999999999999</v>
      </c>
      <c r="K325" s="0" t="n">
        <v>80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111A</t>
        </is>
      </c>
      <c r="X325" s="0" t="n">
        <v>25</v>
      </c>
      <c r="Y325" s="0" t="n">
        <v>10</v>
      </c>
      <c r="Z325" s="0" t="inlineStr">
        <is>
          <t>https://new.land.naver.com/complexes/106792?tab=detail&amp;rf=Y</t>
        </is>
      </c>
      <c r="AA325" s="0" t="inlineStr">
        <is>
          <t>경상남도 창원시 성산구 성주동 168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성산구</t>
        </is>
      </c>
      <c r="AE325" s="0" t="inlineStr">
        <is>
          <t>성주동</t>
        </is>
      </c>
      <c r="AG325" s="0" t="inlineStr">
        <is>
          <t>경상남도 창원시 성산구 창원대로1209번길 22</t>
        </is>
      </c>
      <c r="AH325" s="0" t="n">
        <v>0</v>
      </c>
      <c r="AI325" s="0" t="n">
        <v>220</v>
      </c>
      <c r="AJ325" s="0" t="n">
        <v>17</v>
      </c>
      <c r="AK325" s="0" t="n">
        <v>1133</v>
      </c>
      <c r="AL325" s="0" t="n">
        <v>1.69</v>
      </c>
    </row>
    <row r="326">
      <c r="A326" s="0" t="inlineStr">
        <is>
          <t>[성주동]</t>
        </is>
      </c>
      <c r="B326" s="0" t="n">
        <v>106792</v>
      </c>
      <c r="C326" s="0" t="n">
        <v>3</v>
      </c>
      <c r="D326" s="0" t="inlineStr">
        <is>
          <t>프리빌리지2차</t>
        </is>
      </c>
      <c r="E326" s="0" t="inlineStr">
        <is>
          <t>2010.12.</t>
        </is>
      </c>
      <c r="F326" s="0" t="n">
        <v>672</v>
      </c>
      <c r="G326" s="0" t="n">
        <v>40.08</v>
      </c>
      <c r="H326" s="0" t="n">
        <v>132.52</v>
      </c>
      <c r="I326" s="0" t="n">
        <v>30.82</v>
      </c>
      <c r="J326" s="0" t="n">
        <v>101.9</v>
      </c>
      <c r="K326" s="0" t="n">
        <v>96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132</v>
      </c>
      <c r="X326" s="0" t="n">
        <v>25</v>
      </c>
      <c r="Y326" s="0" t="n">
        <v>10</v>
      </c>
      <c r="Z326" s="0" t="inlineStr">
        <is>
          <t>https://new.land.naver.com/complexes/106792?tab=detail&amp;rf=Y</t>
        </is>
      </c>
      <c r="AA326" s="0" t="inlineStr">
        <is>
          <t>경상남도 창원시 성산구 성주동 168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성산구</t>
        </is>
      </c>
      <c r="AE326" s="0" t="inlineStr">
        <is>
          <t>성주동</t>
        </is>
      </c>
      <c r="AG326" s="0" t="inlineStr">
        <is>
          <t>경상남도 창원시 성산구 창원대로1209번길 22</t>
        </is>
      </c>
      <c r="AH326" s="0" t="n">
        <v>0</v>
      </c>
      <c r="AI326" s="0" t="n">
        <v>220</v>
      </c>
      <c r="AJ326" s="0" t="n">
        <v>17</v>
      </c>
      <c r="AK326" s="0" t="n">
        <v>1133</v>
      </c>
      <c r="AL326" s="0" t="n">
        <v>1.69</v>
      </c>
    </row>
    <row r="327">
      <c r="A327" s="0" t="inlineStr">
        <is>
          <t>[성주동]</t>
        </is>
      </c>
      <c r="B327" s="0" t="n">
        <v>106792</v>
      </c>
      <c r="C327" s="0" t="n">
        <v>4</v>
      </c>
      <c r="D327" s="0" t="inlineStr">
        <is>
          <t>프리빌리지2차</t>
        </is>
      </c>
      <c r="E327" s="0" t="inlineStr">
        <is>
          <t>2010.12.</t>
        </is>
      </c>
      <c r="F327" s="0" t="n">
        <v>672</v>
      </c>
      <c r="G327" s="0" t="n">
        <v>46</v>
      </c>
      <c r="H327" s="0" t="n">
        <v>152.07</v>
      </c>
      <c r="I327" s="0" t="n">
        <v>37.8</v>
      </c>
      <c r="J327" s="0" t="n">
        <v>124.98</v>
      </c>
      <c r="K327" s="0" t="n">
        <v>142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152</v>
      </c>
      <c r="X327" s="0" t="n">
        <v>25</v>
      </c>
      <c r="Y327" s="0" t="n">
        <v>10</v>
      </c>
      <c r="Z327" s="0" t="inlineStr">
        <is>
          <t>https://new.land.naver.com/complexes/106792?tab=detail&amp;rf=Y</t>
        </is>
      </c>
      <c r="AA327" s="0" t="inlineStr">
        <is>
          <t>경상남도 창원시 성산구 성주동 168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성산구</t>
        </is>
      </c>
      <c r="AE327" s="0" t="inlineStr">
        <is>
          <t>성주동</t>
        </is>
      </c>
      <c r="AG327" s="0" t="inlineStr">
        <is>
          <t>경상남도 창원시 성산구 창원대로1209번길 22</t>
        </is>
      </c>
      <c r="AH327" s="0" t="n">
        <v>0</v>
      </c>
      <c r="AI327" s="0" t="n">
        <v>220</v>
      </c>
      <c r="AJ327" s="0" t="n">
        <v>17</v>
      </c>
      <c r="AK327" s="0" t="n">
        <v>1133</v>
      </c>
      <c r="AL327" s="0" t="n">
        <v>1.69</v>
      </c>
    </row>
    <row r="328">
      <c r="A328" s="0" t="inlineStr">
        <is>
          <t>[성주동]</t>
        </is>
      </c>
      <c r="B328" s="0" t="n">
        <v>106792</v>
      </c>
      <c r="C328" s="0" t="n">
        <v>5</v>
      </c>
      <c r="D328" s="0" t="inlineStr">
        <is>
          <t>프리빌리지2차</t>
        </is>
      </c>
      <c r="E328" s="0" t="inlineStr">
        <is>
          <t>2010.12.</t>
        </is>
      </c>
      <c r="F328" s="0" t="n">
        <v>672</v>
      </c>
      <c r="G328" s="0" t="n">
        <v>59.33</v>
      </c>
      <c r="H328" s="0" t="n">
        <v>196.16</v>
      </c>
      <c r="I328" s="0" t="n">
        <v>48.93</v>
      </c>
      <c r="J328" s="0" t="n">
        <v>161.77</v>
      </c>
      <c r="K328" s="0" t="n">
        <v>148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196</v>
      </c>
      <c r="X328" s="0" t="n">
        <v>25</v>
      </c>
      <c r="Y328" s="0" t="n">
        <v>10</v>
      </c>
      <c r="Z328" s="0" t="inlineStr">
        <is>
          <t>https://new.land.naver.com/complexes/106792?tab=detail&amp;rf=Y</t>
        </is>
      </c>
      <c r="AA328" s="0" t="inlineStr">
        <is>
          <t>경상남도 창원시 성산구 성주동 168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성산구</t>
        </is>
      </c>
      <c r="AE328" s="0" t="inlineStr">
        <is>
          <t>성주동</t>
        </is>
      </c>
      <c r="AG328" s="0" t="inlineStr">
        <is>
          <t>경상남도 창원시 성산구 창원대로1209번길 22</t>
        </is>
      </c>
      <c r="AH328" s="0" t="n">
        <v>0</v>
      </c>
      <c r="AI328" s="0" t="n">
        <v>220</v>
      </c>
      <c r="AJ328" s="0" t="n">
        <v>17</v>
      </c>
      <c r="AK328" s="0" t="n">
        <v>1133</v>
      </c>
      <c r="AL328" s="0" t="n">
        <v>1.69</v>
      </c>
    </row>
    <row r="329">
      <c r="A329" s="0" t="inlineStr">
        <is>
          <t>[성주동]</t>
        </is>
      </c>
      <c r="B329" s="0" t="n">
        <v>105107</v>
      </c>
      <c r="C329" s="0" t="n">
        <v>1</v>
      </c>
      <c r="D329" s="0" t="inlineStr">
        <is>
          <t>성주효성해링턴코트</t>
        </is>
      </c>
      <c r="E329" s="0" t="inlineStr">
        <is>
          <t>2013.12.</t>
        </is>
      </c>
      <c r="F329" s="0" t="n">
        <v>365</v>
      </c>
      <c r="G329" s="0" t="n">
        <v>33.01</v>
      </c>
      <c r="H329" s="0" t="n">
        <v>109.14</v>
      </c>
      <c r="I329" s="0" t="n">
        <v>25.67</v>
      </c>
      <c r="J329" s="0" t="n">
        <v>84.88</v>
      </c>
      <c r="K329" s="0" t="n">
        <v>200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109A</t>
        </is>
      </c>
      <c r="X329" s="0" t="n">
        <v>4</v>
      </c>
      <c r="Y329" s="0" t="n">
        <v>3</v>
      </c>
      <c r="Z329" s="0" t="inlineStr">
        <is>
          <t>https://new.land.naver.com/complexes/105107?tab=detail&amp;rf=Y</t>
        </is>
      </c>
      <c r="AA329" s="0" t="inlineStr">
        <is>
          <t>경상남도 창원시 성산구 성주동 157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성산구</t>
        </is>
      </c>
      <c r="AE329" s="0" t="inlineStr">
        <is>
          <t>성주동</t>
        </is>
      </c>
      <c r="AG329" s="0" t="inlineStr">
        <is>
          <t>경상남도 창원시 성산구 삼정자로 78</t>
        </is>
      </c>
      <c r="AH329" s="0" t="n">
        <v>0</v>
      </c>
      <c r="AI329" s="0" t="n">
        <v>99</v>
      </c>
      <c r="AJ329" s="0" t="n">
        <v>36</v>
      </c>
      <c r="AK329" s="0" t="n">
        <v>407</v>
      </c>
      <c r="AL329" s="0" t="n">
        <v>1.12</v>
      </c>
    </row>
    <row r="330">
      <c r="A330" s="0" t="inlineStr">
        <is>
          <t>[성주동]</t>
        </is>
      </c>
      <c r="B330" s="0" t="n">
        <v>105107</v>
      </c>
      <c r="C330" s="0" t="n">
        <v>2</v>
      </c>
      <c r="D330" s="0" t="inlineStr">
        <is>
          <t>성주효성해링턴코트</t>
        </is>
      </c>
      <c r="E330" s="0" t="inlineStr">
        <is>
          <t>2013.12.</t>
        </is>
      </c>
      <c r="F330" s="0" t="n">
        <v>365</v>
      </c>
      <c r="G330" s="0" t="n">
        <v>33.01</v>
      </c>
      <c r="H330" s="0" t="n">
        <v>109.14</v>
      </c>
      <c r="I330" s="0" t="n">
        <v>25.67</v>
      </c>
      <c r="J330" s="0" t="n">
        <v>84.88</v>
      </c>
      <c r="K330" s="0" t="n">
        <v>36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109A1</t>
        </is>
      </c>
      <c r="X330" s="0" t="n">
        <v>4</v>
      </c>
      <c r="Y330" s="0" t="n">
        <v>3</v>
      </c>
      <c r="Z330" s="0" t="inlineStr">
        <is>
          <t>https://new.land.naver.com/complexes/105107?tab=detail&amp;rf=Y</t>
        </is>
      </c>
      <c r="AA330" s="0" t="inlineStr">
        <is>
          <t>경상남도 창원시 성산구 성주동 157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성산구</t>
        </is>
      </c>
      <c r="AE330" s="0" t="inlineStr">
        <is>
          <t>성주동</t>
        </is>
      </c>
      <c r="AG330" s="0" t="inlineStr">
        <is>
          <t>경상남도 창원시 성산구 삼정자로 78</t>
        </is>
      </c>
      <c r="AH330" s="0" t="n">
        <v>0</v>
      </c>
      <c r="AI330" s="0" t="n">
        <v>99</v>
      </c>
      <c r="AJ330" s="0" t="n">
        <v>36</v>
      </c>
      <c r="AK330" s="0" t="n">
        <v>407</v>
      </c>
      <c r="AL330" s="0" t="n">
        <v>1.12</v>
      </c>
    </row>
    <row r="331">
      <c r="A331" s="0" t="inlineStr">
        <is>
          <t>[성주동]</t>
        </is>
      </c>
      <c r="B331" s="0" t="n">
        <v>105107</v>
      </c>
      <c r="C331" s="0" t="n">
        <v>3</v>
      </c>
      <c r="D331" s="0" t="inlineStr">
        <is>
          <t>성주효성해링턴코트</t>
        </is>
      </c>
      <c r="E331" s="0" t="inlineStr">
        <is>
          <t>2013.12.</t>
        </is>
      </c>
      <c r="F331" s="0" t="n">
        <v>365</v>
      </c>
      <c r="G331" s="0" t="n">
        <v>33.14</v>
      </c>
      <c r="H331" s="0" t="n">
        <v>109.58</v>
      </c>
      <c r="I331" s="0" t="n">
        <v>25.48</v>
      </c>
      <c r="J331" s="0" t="n">
        <v>84.25</v>
      </c>
      <c r="K331" s="0" t="n">
        <v>24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109B</t>
        </is>
      </c>
      <c r="X331" s="0" t="n">
        <v>4</v>
      </c>
      <c r="Y331" s="0" t="n">
        <v>3</v>
      </c>
      <c r="Z331" s="0" t="inlineStr">
        <is>
          <t>https://new.land.naver.com/complexes/105107?tab=detail&amp;rf=Y</t>
        </is>
      </c>
      <c r="AA331" s="0" t="inlineStr">
        <is>
          <t>경상남도 창원시 성산구 성주동 157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성산구</t>
        </is>
      </c>
      <c r="AE331" s="0" t="inlineStr">
        <is>
          <t>성주동</t>
        </is>
      </c>
      <c r="AG331" s="0" t="inlineStr">
        <is>
          <t>경상남도 창원시 성산구 삼정자로 78</t>
        </is>
      </c>
      <c r="AH331" s="0" t="n">
        <v>0</v>
      </c>
      <c r="AI331" s="0" t="n">
        <v>99</v>
      </c>
      <c r="AJ331" s="0" t="n">
        <v>36</v>
      </c>
      <c r="AK331" s="0" t="n">
        <v>407</v>
      </c>
      <c r="AL331" s="0" t="n">
        <v>1.12</v>
      </c>
    </row>
    <row r="332">
      <c r="A332" s="0" t="inlineStr">
        <is>
          <t>[성주동]</t>
        </is>
      </c>
      <c r="B332" s="0" t="n">
        <v>105107</v>
      </c>
      <c r="C332" s="0" t="n">
        <v>4</v>
      </c>
      <c r="D332" s="0" t="inlineStr">
        <is>
          <t>성주효성해링턴코트</t>
        </is>
      </c>
      <c r="E332" s="0" t="inlineStr">
        <is>
          <t>2013.12.</t>
        </is>
      </c>
      <c r="F332" s="0" t="n">
        <v>365</v>
      </c>
      <c r="G332" s="0" t="n">
        <v>33.16</v>
      </c>
      <c r="H332" s="0" t="n">
        <v>109.64</v>
      </c>
      <c r="I332" s="0" t="n">
        <v>25.48</v>
      </c>
      <c r="J332" s="0" t="n">
        <v>84.25</v>
      </c>
      <c r="K332" s="0" t="n">
        <v>12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109C</t>
        </is>
      </c>
      <c r="X332" s="0" t="n">
        <v>4</v>
      </c>
      <c r="Y332" s="0" t="n">
        <v>3</v>
      </c>
      <c r="Z332" s="0" t="inlineStr">
        <is>
          <t>https://new.land.naver.com/complexes/105107?tab=detail&amp;rf=Y</t>
        </is>
      </c>
      <c r="AA332" s="0" t="inlineStr">
        <is>
          <t>경상남도 창원시 성산구 성주동 157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성산구</t>
        </is>
      </c>
      <c r="AE332" s="0" t="inlineStr">
        <is>
          <t>성주동</t>
        </is>
      </c>
      <c r="AG332" s="0" t="inlineStr">
        <is>
          <t>경상남도 창원시 성산구 삼정자로 78</t>
        </is>
      </c>
      <c r="AH332" s="0" t="n">
        <v>0</v>
      </c>
      <c r="AI332" s="0" t="n">
        <v>99</v>
      </c>
      <c r="AJ332" s="0" t="n">
        <v>36</v>
      </c>
      <c r="AK332" s="0" t="n">
        <v>407</v>
      </c>
      <c r="AL332" s="0" t="n">
        <v>1.12</v>
      </c>
    </row>
    <row r="333">
      <c r="A333" s="0" t="inlineStr">
        <is>
          <t>[성주동]</t>
        </is>
      </c>
      <c r="B333" s="0" t="n">
        <v>105107</v>
      </c>
      <c r="C333" s="0" t="n">
        <v>5</v>
      </c>
      <c r="D333" s="0" t="inlineStr">
        <is>
          <t>성주효성해링턴코트</t>
        </is>
      </c>
      <c r="E333" s="0" t="inlineStr">
        <is>
          <t>2013.12.</t>
        </is>
      </c>
      <c r="F333" s="0" t="n">
        <v>365</v>
      </c>
      <c r="G333" s="0" t="n">
        <v>39.13</v>
      </c>
      <c r="H333" s="0" t="n">
        <v>129.36</v>
      </c>
      <c r="I333" s="0" t="n">
        <v>30.37</v>
      </c>
      <c r="J333" s="0" t="n">
        <v>100.41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129</v>
      </c>
      <c r="X333" s="0" t="n">
        <v>4</v>
      </c>
      <c r="Y333" s="0" t="n">
        <v>3</v>
      </c>
      <c r="Z333" s="0" t="inlineStr">
        <is>
          <t>https://new.land.naver.com/complexes/105107?tab=detail&amp;rf=Y</t>
        </is>
      </c>
      <c r="AA333" s="0" t="inlineStr">
        <is>
          <t>경상남도 창원시 성산구 성주동 157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성산구</t>
        </is>
      </c>
      <c r="AE333" s="0" t="inlineStr">
        <is>
          <t>성주동</t>
        </is>
      </c>
      <c r="AG333" s="0" t="inlineStr">
        <is>
          <t>경상남도 창원시 성산구 삼정자로 78</t>
        </is>
      </c>
      <c r="AH333" s="0" t="n">
        <v>0</v>
      </c>
      <c r="AI333" s="0" t="n">
        <v>99</v>
      </c>
      <c r="AJ333" s="0" t="n">
        <v>36</v>
      </c>
      <c r="AK333" s="0" t="n">
        <v>407</v>
      </c>
      <c r="AL333" s="0" t="n">
        <v>1.12</v>
      </c>
    </row>
    <row r="334">
      <c r="A334" s="0" t="inlineStr">
        <is>
          <t>[성주동]</t>
        </is>
      </c>
      <c r="B334" s="0" t="n">
        <v>105107</v>
      </c>
      <c r="C334" s="0" t="n">
        <v>6</v>
      </c>
      <c r="D334" s="0" t="inlineStr">
        <is>
          <t>성주효성해링턴코트</t>
        </is>
      </c>
      <c r="E334" s="0" t="inlineStr">
        <is>
          <t>2013.12.</t>
        </is>
      </c>
      <c r="F334" s="0" t="n">
        <v>365</v>
      </c>
      <c r="G334" s="0" t="n">
        <v>45.82</v>
      </c>
      <c r="H334" s="0" t="n">
        <v>151.48</v>
      </c>
      <c r="I334" s="0" t="n">
        <v>35.82</v>
      </c>
      <c r="J334" s="0" t="n">
        <v>118.42</v>
      </c>
      <c r="K334" s="0" t="n">
        <v>17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151</v>
      </c>
      <c r="X334" s="0" t="n">
        <v>4</v>
      </c>
      <c r="Y334" s="0" t="n">
        <v>3</v>
      </c>
      <c r="Z334" s="0" t="inlineStr">
        <is>
          <t>https://new.land.naver.com/complexes/105107?tab=detail&amp;rf=Y</t>
        </is>
      </c>
      <c r="AA334" s="0" t="inlineStr">
        <is>
          <t>경상남도 창원시 성산구 성주동 157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성산구</t>
        </is>
      </c>
      <c r="AE334" s="0" t="inlineStr">
        <is>
          <t>성주동</t>
        </is>
      </c>
      <c r="AG334" s="0" t="inlineStr">
        <is>
          <t>경상남도 창원시 성산구 삼정자로 78</t>
        </is>
      </c>
      <c r="AH334" s="0" t="n">
        <v>0</v>
      </c>
      <c r="AI334" s="0" t="n">
        <v>99</v>
      </c>
      <c r="AJ334" s="0" t="n">
        <v>36</v>
      </c>
      <c r="AK334" s="0" t="n">
        <v>407</v>
      </c>
      <c r="AL334" s="0" t="n">
        <v>1.12</v>
      </c>
    </row>
    <row r="335">
      <c r="A335" s="0" t="inlineStr">
        <is>
          <t>[성주동]</t>
        </is>
      </c>
      <c r="B335" s="0" t="n">
        <v>17375</v>
      </c>
      <c r="C335" s="0" t="n">
        <v>1</v>
      </c>
      <c r="D335" s="0" t="inlineStr">
        <is>
          <t>유니온빌리지</t>
        </is>
      </c>
      <c r="E335" s="0" t="inlineStr">
        <is>
          <t>2005.10.</t>
        </is>
      </c>
      <c r="F335" s="0" t="n">
        <v>1360</v>
      </c>
      <c r="G335" s="0" t="n">
        <v>32.63</v>
      </c>
      <c r="H335" s="0" t="n">
        <v>107.9</v>
      </c>
      <c r="I335" s="0" t="n">
        <v>25.69</v>
      </c>
      <c r="J335" s="0" t="n">
        <v>84.94</v>
      </c>
      <c r="K335" s="0" t="n">
        <v>683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107</v>
      </c>
      <c r="X335" s="0" t="n">
        <v>20</v>
      </c>
      <c r="Y335" s="0" t="n">
        <v>15</v>
      </c>
      <c r="Z335" s="0" t="inlineStr">
        <is>
          <t>https://new.land.naver.com/complexes/17375?tab=detail&amp;rf=Y</t>
        </is>
      </c>
      <c r="AA335" s="0" t="inlineStr">
        <is>
          <t>경상남도 창원시 성산구 성주동 153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성산구</t>
        </is>
      </c>
      <c r="AE335" s="0" t="inlineStr">
        <is>
          <t>성주동</t>
        </is>
      </c>
      <c r="AG335" s="0" t="inlineStr">
        <is>
          <t>경상남도 창원시 성산구 삼정자로 79</t>
        </is>
      </c>
      <c r="AH335" s="0" t="n">
        <v>0</v>
      </c>
      <c r="AI335" s="0" t="n">
        <v>217</v>
      </c>
      <c r="AJ335" s="0" t="n">
        <v>14</v>
      </c>
      <c r="AK335" s="0" t="n">
        <v>1850</v>
      </c>
      <c r="AL335" s="0" t="n">
        <v>1.36</v>
      </c>
    </row>
    <row r="336">
      <c r="A336" s="0" t="inlineStr">
        <is>
          <t>[성주동]</t>
        </is>
      </c>
      <c r="B336" s="0" t="n">
        <v>17375</v>
      </c>
      <c r="C336" s="0" t="n">
        <v>2</v>
      </c>
      <c r="D336" s="0" t="inlineStr">
        <is>
          <t>유니온빌리지</t>
        </is>
      </c>
      <c r="E336" s="0" t="inlineStr">
        <is>
          <t>2005.10.</t>
        </is>
      </c>
      <c r="F336" s="0" t="n">
        <v>1360</v>
      </c>
      <c r="G336" s="0" t="n">
        <v>40.36</v>
      </c>
      <c r="H336" s="0" t="n">
        <v>133.43</v>
      </c>
      <c r="I336" s="0" t="n">
        <v>30.84</v>
      </c>
      <c r="J336" s="0" t="n">
        <v>101.97</v>
      </c>
      <c r="K336" s="0" t="n">
        <v>327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133</v>
      </c>
      <c r="X336" s="0" t="n">
        <v>20</v>
      </c>
      <c r="Y336" s="0" t="n">
        <v>15</v>
      </c>
      <c r="Z336" s="0" t="inlineStr">
        <is>
          <t>https://new.land.naver.com/complexes/17375?tab=detail&amp;rf=Y</t>
        </is>
      </c>
      <c r="AA336" s="0" t="inlineStr">
        <is>
          <t>경상남도 창원시 성산구 성주동 153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성산구</t>
        </is>
      </c>
      <c r="AE336" s="0" t="inlineStr">
        <is>
          <t>성주동</t>
        </is>
      </c>
      <c r="AG336" s="0" t="inlineStr">
        <is>
          <t>경상남도 창원시 성산구 삼정자로 79</t>
        </is>
      </c>
      <c r="AH336" s="0" t="n">
        <v>0</v>
      </c>
      <c r="AI336" s="0" t="n">
        <v>217</v>
      </c>
      <c r="AJ336" s="0" t="n">
        <v>14</v>
      </c>
      <c r="AK336" s="0" t="n">
        <v>1850</v>
      </c>
      <c r="AL336" s="0" t="n">
        <v>1.36</v>
      </c>
    </row>
    <row r="337">
      <c r="A337" s="0" t="inlineStr">
        <is>
          <t>[성주동]</t>
        </is>
      </c>
      <c r="B337" s="0" t="n">
        <v>17375</v>
      </c>
      <c r="C337" s="0" t="n">
        <v>3</v>
      </c>
      <c r="D337" s="0" t="inlineStr">
        <is>
          <t>유니온빌리지</t>
        </is>
      </c>
      <c r="E337" s="0" t="inlineStr">
        <is>
          <t>2005.10.</t>
        </is>
      </c>
      <c r="F337" s="0" t="n">
        <v>1360</v>
      </c>
      <c r="G337" s="0" t="n">
        <v>49.52</v>
      </c>
      <c r="H337" s="0" t="n">
        <v>163.72</v>
      </c>
      <c r="I337" s="0" t="n">
        <v>39.6</v>
      </c>
      <c r="J337" s="0" t="n">
        <v>130.91</v>
      </c>
      <c r="K337" s="0" t="n">
        <v>118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163</v>
      </c>
      <c r="X337" s="0" t="n">
        <v>20</v>
      </c>
      <c r="Y337" s="0" t="n">
        <v>15</v>
      </c>
      <c r="Z337" s="0" t="inlineStr">
        <is>
          <t>https://new.land.naver.com/complexes/17375?tab=detail&amp;rf=Y</t>
        </is>
      </c>
      <c r="AA337" s="0" t="inlineStr">
        <is>
          <t>경상남도 창원시 성산구 성주동 153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성산구</t>
        </is>
      </c>
      <c r="AE337" s="0" t="inlineStr">
        <is>
          <t>성주동</t>
        </is>
      </c>
      <c r="AG337" s="0" t="inlineStr">
        <is>
          <t>경상남도 창원시 성산구 삼정자로 79</t>
        </is>
      </c>
      <c r="AH337" s="0" t="n">
        <v>0</v>
      </c>
      <c r="AI337" s="0" t="n">
        <v>217</v>
      </c>
      <c r="AJ337" s="0" t="n">
        <v>14</v>
      </c>
      <c r="AK337" s="0" t="n">
        <v>1850</v>
      </c>
      <c r="AL337" s="0" t="n">
        <v>1.36</v>
      </c>
    </row>
    <row r="338">
      <c r="A338" s="0" t="inlineStr">
        <is>
          <t>[성주동]</t>
        </is>
      </c>
      <c r="B338" s="0" t="n">
        <v>17375</v>
      </c>
      <c r="C338" s="0" t="n">
        <v>4</v>
      </c>
      <c r="D338" s="0" t="inlineStr">
        <is>
          <t>유니온빌리지</t>
        </is>
      </c>
      <c r="E338" s="0" t="inlineStr">
        <is>
          <t>2005.10.</t>
        </is>
      </c>
      <c r="F338" s="0" t="n">
        <v>1360</v>
      </c>
      <c r="G338" s="0" t="n">
        <v>55.78</v>
      </c>
      <c r="H338" s="0" t="n">
        <v>184.4</v>
      </c>
      <c r="I338" s="0" t="n">
        <v>44.76</v>
      </c>
      <c r="J338" s="0" t="n">
        <v>147.97</v>
      </c>
      <c r="K338" s="0" t="n">
        <v>152</v>
      </c>
      <c r="T338" s="0" t="n">
        <v>4</v>
      </c>
      <c r="U338" s="0" t="n">
        <v>2</v>
      </c>
      <c r="V338" s="0" t="inlineStr">
        <is>
          <t>계단식</t>
        </is>
      </c>
      <c r="W338" s="0" t="n">
        <v>184</v>
      </c>
      <c r="X338" s="0" t="n">
        <v>20</v>
      </c>
      <c r="Y338" s="0" t="n">
        <v>15</v>
      </c>
      <c r="Z338" s="0" t="inlineStr">
        <is>
          <t>https://new.land.naver.com/complexes/17375?tab=detail&amp;rf=Y</t>
        </is>
      </c>
      <c r="AA338" s="0" t="inlineStr">
        <is>
          <t>경상남도 창원시 성산구 성주동 153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성산구</t>
        </is>
      </c>
      <c r="AE338" s="0" t="inlineStr">
        <is>
          <t>성주동</t>
        </is>
      </c>
      <c r="AG338" s="0" t="inlineStr">
        <is>
          <t>경상남도 창원시 성산구 삼정자로 79</t>
        </is>
      </c>
      <c r="AH338" s="0" t="n">
        <v>0</v>
      </c>
      <c r="AI338" s="0" t="n">
        <v>217</v>
      </c>
      <c r="AJ338" s="0" t="n">
        <v>14</v>
      </c>
      <c r="AK338" s="0" t="n">
        <v>1850</v>
      </c>
      <c r="AL338" s="0" t="n">
        <v>1.36</v>
      </c>
    </row>
    <row r="339">
      <c r="A339" s="0" t="inlineStr">
        <is>
          <t>[성주동]</t>
        </is>
      </c>
      <c r="B339" s="0" t="n">
        <v>17375</v>
      </c>
      <c r="C339" s="0" t="n">
        <v>5</v>
      </c>
      <c r="D339" s="0" t="inlineStr">
        <is>
          <t>유니온빌리지</t>
        </is>
      </c>
      <c r="E339" s="0" t="inlineStr">
        <is>
          <t>2005.10.</t>
        </is>
      </c>
      <c r="F339" s="0" t="n">
        <v>1360</v>
      </c>
      <c r="G339" s="0" t="n">
        <v>66.89</v>
      </c>
      <c r="H339" s="0" t="n">
        <v>221.13</v>
      </c>
      <c r="I339" s="0" t="n">
        <v>54.9</v>
      </c>
      <c r="J339" s="0" t="n">
        <v>181.49</v>
      </c>
      <c r="K339" s="0" t="n">
        <v>80</v>
      </c>
      <c r="T339" s="0" t="n">
        <v>5</v>
      </c>
      <c r="U339" s="0" t="n">
        <v>2</v>
      </c>
      <c r="V339" s="0" t="inlineStr">
        <is>
          <t>계단식</t>
        </is>
      </c>
      <c r="W339" s="0" t="n">
        <v>221</v>
      </c>
      <c r="X339" s="0" t="n">
        <v>20</v>
      </c>
      <c r="Y339" s="0" t="n">
        <v>15</v>
      </c>
      <c r="Z339" s="0" t="inlineStr">
        <is>
          <t>https://new.land.naver.com/complexes/17375?tab=detail&amp;rf=Y</t>
        </is>
      </c>
      <c r="AA339" s="0" t="inlineStr">
        <is>
          <t>경상남도 창원시 성산구 성주동 153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성산구</t>
        </is>
      </c>
      <c r="AE339" s="0" t="inlineStr">
        <is>
          <t>성주동</t>
        </is>
      </c>
      <c r="AG339" s="0" t="inlineStr">
        <is>
          <t>경상남도 창원시 성산구 삼정자로 79</t>
        </is>
      </c>
      <c r="AH339" s="0" t="n">
        <v>0</v>
      </c>
      <c r="AI339" s="0" t="n">
        <v>217</v>
      </c>
      <c r="AJ339" s="0" t="n">
        <v>14</v>
      </c>
      <c r="AK339" s="0" t="n">
        <v>1850</v>
      </c>
      <c r="AL339" s="0" t="n">
        <v>1.36</v>
      </c>
    </row>
    <row r="340">
      <c r="A340" s="0" t="inlineStr">
        <is>
          <t>[성주동]</t>
        </is>
      </c>
      <c r="B340" s="0" t="n">
        <v>111794</v>
      </c>
      <c r="C340" s="0" t="n">
        <v>1</v>
      </c>
      <c r="D340" s="0" t="inlineStr">
        <is>
          <t>성주중앙블루아템</t>
        </is>
      </c>
      <c r="E340" s="0" t="inlineStr">
        <is>
          <t>2015.11.</t>
        </is>
      </c>
      <c r="F340" s="0" t="n">
        <v>40</v>
      </c>
      <c r="G340" s="0" t="n">
        <v>35.75</v>
      </c>
      <c r="H340" s="0" t="n">
        <v>118.2</v>
      </c>
      <c r="I340" s="0" t="n">
        <v>25.63</v>
      </c>
      <c r="J340" s="0" t="n">
        <v>84.76000000000001</v>
      </c>
      <c r="K340" s="0" t="n">
        <v>40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118</v>
      </c>
      <c r="X340" s="0" t="n">
        <v>5</v>
      </c>
      <c r="Y340" s="0" t="n">
        <v>5</v>
      </c>
      <c r="Z340" s="0" t="inlineStr">
        <is>
          <t>https://new.land.naver.com/complexes/111794?tab=detail&amp;rf=Y</t>
        </is>
      </c>
      <c r="AA340" s="0" t="inlineStr">
        <is>
          <t>경상남도 창원시 성산구 성주동 169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성산구</t>
        </is>
      </c>
      <c r="AE340" s="0" t="inlineStr">
        <is>
          <t>성주동</t>
        </is>
      </c>
      <c r="AG340" s="0" t="inlineStr">
        <is>
          <t>경상남도 창원시 성산구 삼정자로72번길 99</t>
        </is>
      </c>
      <c r="AH340" s="0" t="n">
        <v>0</v>
      </c>
      <c r="AI340" s="0" t="n">
        <v>0</v>
      </c>
      <c r="AJ340" s="0" t="n">
        <v>0</v>
      </c>
      <c r="AK340" s="0" t="n">
        <v>58</v>
      </c>
      <c r="AL340" s="0" t="n">
        <v>1.45</v>
      </c>
    </row>
    <row r="341">
      <c r="A341" s="0" t="inlineStr">
        <is>
          <t>[성주동]</t>
        </is>
      </c>
      <c r="B341" s="0" t="n">
        <v>110336</v>
      </c>
      <c r="C341" s="0" t="n">
        <v>1</v>
      </c>
      <c r="D341" s="0" t="inlineStr">
        <is>
          <t>루이젠하우스</t>
        </is>
      </c>
      <c r="E341" s="0" t="inlineStr">
        <is>
          <t>2008.03.</t>
        </is>
      </c>
      <c r="F341" s="0" t="n">
        <v>88</v>
      </c>
      <c r="G341" s="0" t="n">
        <v>53.16</v>
      </c>
      <c r="H341" s="0" t="n">
        <v>175.75</v>
      </c>
      <c r="I341" s="0" t="n">
        <v>43.6</v>
      </c>
      <c r="J341" s="0" t="n">
        <v>144.14</v>
      </c>
      <c r="K341" s="0" t="n">
        <v>18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175</v>
      </c>
      <c r="X341" s="0" t="n">
        <v>4</v>
      </c>
      <c r="Y341" s="0" t="n">
        <v>4</v>
      </c>
      <c r="Z341" s="0" t="inlineStr">
        <is>
          <t>https://new.land.naver.com/complexes/110336?tab=detail&amp;rf=Y</t>
        </is>
      </c>
      <c r="AA341" s="0" t="inlineStr">
        <is>
          <t>경상남도 창원시 성산구 성주동 143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성산구</t>
        </is>
      </c>
      <c r="AE341" s="0" t="inlineStr">
        <is>
          <t>성주동</t>
        </is>
      </c>
      <c r="AG341" s="0" t="inlineStr">
        <is>
          <t>경상남도 창원시 성산구 창원대로1137번길 18</t>
        </is>
      </c>
      <c r="AH341" s="0" t="n">
        <v>0</v>
      </c>
      <c r="AI341" s="0" t="n">
        <v>81</v>
      </c>
      <c r="AJ341" s="0" t="n">
        <v>29</v>
      </c>
      <c r="AK341" s="0" t="n">
        <v>220</v>
      </c>
      <c r="AL341" s="0" t="n">
        <v>2.5</v>
      </c>
    </row>
    <row r="342">
      <c r="A342" s="0" t="inlineStr">
        <is>
          <t>[성주동]</t>
        </is>
      </c>
      <c r="B342" s="0" t="n">
        <v>110336</v>
      </c>
      <c r="C342" s="0" t="n">
        <v>2</v>
      </c>
      <c r="D342" s="0" t="inlineStr">
        <is>
          <t>루이젠하우스</t>
        </is>
      </c>
      <c r="E342" s="0" t="inlineStr">
        <is>
          <t>2008.03.</t>
        </is>
      </c>
      <c r="F342" s="0" t="n">
        <v>88</v>
      </c>
      <c r="G342" s="0" t="n">
        <v>53.79</v>
      </c>
      <c r="H342" s="0" t="n">
        <v>177.84</v>
      </c>
      <c r="I342" s="0" t="n">
        <v>44.11</v>
      </c>
      <c r="J342" s="0" t="n">
        <v>145.85</v>
      </c>
      <c r="K342" s="0" t="n">
        <v>6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177</v>
      </c>
      <c r="X342" s="0" t="n">
        <v>4</v>
      </c>
      <c r="Y342" s="0" t="n">
        <v>4</v>
      </c>
      <c r="Z342" s="0" t="inlineStr">
        <is>
          <t>https://new.land.naver.com/complexes/110336?tab=detail&amp;rf=Y</t>
        </is>
      </c>
      <c r="AA342" s="0" t="inlineStr">
        <is>
          <t>경상남도 창원시 성산구 성주동 143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성산구</t>
        </is>
      </c>
      <c r="AE342" s="0" t="inlineStr">
        <is>
          <t>성주동</t>
        </is>
      </c>
      <c r="AG342" s="0" t="inlineStr">
        <is>
          <t>경상남도 창원시 성산구 창원대로1137번길 18</t>
        </is>
      </c>
      <c r="AH342" s="0" t="n">
        <v>0</v>
      </c>
      <c r="AI342" s="0" t="n">
        <v>81</v>
      </c>
      <c r="AJ342" s="0" t="n">
        <v>29</v>
      </c>
      <c r="AK342" s="0" t="n">
        <v>220</v>
      </c>
      <c r="AL342" s="0" t="n">
        <v>2.5</v>
      </c>
    </row>
    <row r="343">
      <c r="A343" s="0" t="inlineStr">
        <is>
          <t>[성주동]</t>
        </is>
      </c>
      <c r="B343" s="0" t="n">
        <v>110336</v>
      </c>
      <c r="C343" s="0" t="n">
        <v>3</v>
      </c>
      <c r="D343" s="0" t="inlineStr">
        <is>
          <t>루이젠하우스</t>
        </is>
      </c>
      <c r="E343" s="0" t="inlineStr">
        <is>
          <t>2008.03.</t>
        </is>
      </c>
      <c r="F343" s="0" t="n">
        <v>88</v>
      </c>
      <c r="G343" s="0" t="n">
        <v>63.83</v>
      </c>
      <c r="H343" s="0" t="n">
        <v>211.02</v>
      </c>
      <c r="I343" s="0" t="n">
        <v>53.39</v>
      </c>
      <c r="J343" s="0" t="n">
        <v>176.52</v>
      </c>
      <c r="K343" s="0" t="n">
        <v>24</v>
      </c>
      <c r="T343" s="0" t="n">
        <v>4</v>
      </c>
      <c r="U343" s="0" t="n">
        <v>3</v>
      </c>
      <c r="V343" s="0" t="inlineStr">
        <is>
          <t>계단식</t>
        </is>
      </c>
      <c r="W343" s="0" t="inlineStr">
        <is>
          <t>211A</t>
        </is>
      </c>
      <c r="X343" s="0" t="n">
        <v>4</v>
      </c>
      <c r="Y343" s="0" t="n">
        <v>4</v>
      </c>
      <c r="Z343" s="0" t="inlineStr">
        <is>
          <t>https://new.land.naver.com/complexes/110336?tab=detail&amp;rf=Y</t>
        </is>
      </c>
      <c r="AA343" s="0" t="inlineStr">
        <is>
          <t>경상남도 창원시 성산구 성주동 143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성산구</t>
        </is>
      </c>
      <c r="AE343" s="0" t="inlineStr">
        <is>
          <t>성주동</t>
        </is>
      </c>
      <c r="AG343" s="0" t="inlineStr">
        <is>
          <t>경상남도 창원시 성산구 창원대로1137번길 18</t>
        </is>
      </c>
      <c r="AH343" s="0" t="n">
        <v>0</v>
      </c>
      <c r="AI343" s="0" t="n">
        <v>81</v>
      </c>
      <c r="AJ343" s="0" t="n">
        <v>29</v>
      </c>
      <c r="AK343" s="0" t="n">
        <v>220</v>
      </c>
      <c r="AL343" s="0" t="n">
        <v>2.5</v>
      </c>
    </row>
    <row r="344">
      <c r="A344" s="0" t="inlineStr">
        <is>
          <t>[성주동]</t>
        </is>
      </c>
      <c r="B344" s="0" t="n">
        <v>110336</v>
      </c>
      <c r="C344" s="0" t="n">
        <v>4</v>
      </c>
      <c r="D344" s="0" t="inlineStr">
        <is>
          <t>루이젠하우스</t>
        </is>
      </c>
      <c r="E344" s="0" t="inlineStr">
        <is>
          <t>2008.03.</t>
        </is>
      </c>
      <c r="F344" s="0" t="n">
        <v>88</v>
      </c>
      <c r="G344" s="0" t="n">
        <v>64.36</v>
      </c>
      <c r="H344" s="0" t="n">
        <v>212.79</v>
      </c>
      <c r="I344" s="0" t="n">
        <v>53.84</v>
      </c>
      <c r="J344" s="0" t="n">
        <v>178</v>
      </c>
      <c r="K344" s="0" t="n">
        <v>8</v>
      </c>
      <c r="T344" s="0" t="n">
        <v>4</v>
      </c>
      <c r="U344" s="0" t="n">
        <v>3</v>
      </c>
      <c r="V344" s="0" t="inlineStr">
        <is>
          <t>계단식</t>
        </is>
      </c>
      <c r="W344" s="0" t="inlineStr">
        <is>
          <t>212B</t>
        </is>
      </c>
      <c r="X344" s="0" t="n">
        <v>4</v>
      </c>
      <c r="Y344" s="0" t="n">
        <v>4</v>
      </c>
      <c r="Z344" s="0" t="inlineStr">
        <is>
          <t>https://new.land.naver.com/complexes/110336?tab=detail&amp;rf=Y</t>
        </is>
      </c>
      <c r="AA344" s="0" t="inlineStr">
        <is>
          <t>경상남도 창원시 성산구 성주동 143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성산구</t>
        </is>
      </c>
      <c r="AE344" s="0" t="inlineStr">
        <is>
          <t>성주동</t>
        </is>
      </c>
      <c r="AG344" s="0" t="inlineStr">
        <is>
          <t>경상남도 창원시 성산구 창원대로1137번길 18</t>
        </is>
      </c>
      <c r="AH344" s="0" t="n">
        <v>0</v>
      </c>
      <c r="AI344" s="0" t="n">
        <v>81</v>
      </c>
      <c r="AJ344" s="0" t="n">
        <v>29</v>
      </c>
      <c r="AK344" s="0" t="n">
        <v>220</v>
      </c>
      <c r="AL344" s="0" t="n">
        <v>2.5</v>
      </c>
    </row>
    <row r="345">
      <c r="A345" s="0" t="inlineStr">
        <is>
          <t>[성주동]</t>
        </is>
      </c>
      <c r="B345" s="0" t="n">
        <v>110336</v>
      </c>
      <c r="C345" s="0" t="n">
        <v>5</v>
      </c>
      <c r="D345" s="0" t="inlineStr">
        <is>
          <t>루이젠하우스</t>
        </is>
      </c>
      <c r="E345" s="0" t="inlineStr">
        <is>
          <t>2008.03.</t>
        </is>
      </c>
      <c r="F345" s="0" t="n">
        <v>88</v>
      </c>
      <c r="G345" s="0" t="n">
        <v>74.54000000000001</v>
      </c>
      <c r="H345" s="0" t="n">
        <v>246.44</v>
      </c>
      <c r="I345" s="0" t="n">
        <v>63.32</v>
      </c>
      <c r="J345" s="0" t="n">
        <v>209.33</v>
      </c>
      <c r="K345" s="0" t="n">
        <v>24</v>
      </c>
      <c r="T345" s="0" t="n">
        <v>5</v>
      </c>
      <c r="U345" s="0" t="n">
        <v>3</v>
      </c>
      <c r="V345" s="0" t="inlineStr">
        <is>
          <t>계단식</t>
        </is>
      </c>
      <c r="W345" s="0" t="inlineStr">
        <is>
          <t>246A</t>
        </is>
      </c>
      <c r="X345" s="0" t="n">
        <v>4</v>
      </c>
      <c r="Y345" s="0" t="n">
        <v>4</v>
      </c>
      <c r="Z345" s="0" t="inlineStr">
        <is>
          <t>https://new.land.naver.com/complexes/110336?tab=detail&amp;rf=Y</t>
        </is>
      </c>
      <c r="AA345" s="0" t="inlineStr">
        <is>
          <t>경상남도 창원시 성산구 성주동 143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성산구</t>
        </is>
      </c>
      <c r="AE345" s="0" t="inlineStr">
        <is>
          <t>성주동</t>
        </is>
      </c>
      <c r="AG345" s="0" t="inlineStr">
        <is>
          <t>경상남도 창원시 성산구 창원대로1137번길 18</t>
        </is>
      </c>
      <c r="AH345" s="0" t="n">
        <v>0</v>
      </c>
      <c r="AI345" s="0" t="n">
        <v>81</v>
      </c>
      <c r="AJ345" s="0" t="n">
        <v>29</v>
      </c>
      <c r="AK345" s="0" t="n">
        <v>220</v>
      </c>
      <c r="AL345" s="0" t="n">
        <v>2.5</v>
      </c>
    </row>
    <row r="346">
      <c r="A346" s="0" t="inlineStr">
        <is>
          <t>[성주동]</t>
        </is>
      </c>
      <c r="B346" s="0" t="n">
        <v>110336</v>
      </c>
      <c r="C346" s="0" t="n">
        <v>6</v>
      </c>
      <c r="D346" s="0" t="inlineStr">
        <is>
          <t>루이젠하우스</t>
        </is>
      </c>
      <c r="E346" s="0" t="inlineStr">
        <is>
          <t>2008.03.</t>
        </is>
      </c>
      <c r="F346" s="0" t="n">
        <v>88</v>
      </c>
      <c r="G346" s="0" t="n">
        <v>75.3</v>
      </c>
      <c r="H346" s="0" t="n">
        <v>248.95</v>
      </c>
      <c r="I346" s="0" t="n">
        <v>63.96</v>
      </c>
      <c r="J346" s="0" t="n">
        <v>211.46</v>
      </c>
      <c r="K346" s="0" t="n">
        <v>8</v>
      </c>
      <c r="T346" s="0" t="n">
        <v>5</v>
      </c>
      <c r="U346" s="0" t="n">
        <v>3</v>
      </c>
      <c r="V346" s="0" t="inlineStr">
        <is>
          <t>계단식</t>
        </is>
      </c>
      <c r="W346" s="0" t="inlineStr">
        <is>
          <t>248B</t>
        </is>
      </c>
      <c r="X346" s="0" t="n">
        <v>4</v>
      </c>
      <c r="Y346" s="0" t="n">
        <v>4</v>
      </c>
      <c r="Z346" s="0" t="inlineStr">
        <is>
          <t>https://new.land.naver.com/complexes/110336?tab=detail&amp;rf=Y</t>
        </is>
      </c>
      <c r="AA346" s="0" t="inlineStr">
        <is>
          <t>경상남도 창원시 성산구 성주동 143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성산구</t>
        </is>
      </c>
      <c r="AE346" s="0" t="inlineStr">
        <is>
          <t>성주동</t>
        </is>
      </c>
      <c r="AG346" s="0" t="inlineStr">
        <is>
          <t>경상남도 창원시 성산구 창원대로1137번길 18</t>
        </is>
      </c>
      <c r="AH346" s="0" t="n">
        <v>0</v>
      </c>
      <c r="AI346" s="0" t="n">
        <v>81</v>
      </c>
      <c r="AJ346" s="0" t="n">
        <v>29</v>
      </c>
      <c r="AK346" s="0" t="n">
        <v>220</v>
      </c>
      <c r="AL346" s="0" t="n">
        <v>2.5</v>
      </c>
    </row>
    <row r="347">
      <c r="A347" s="0" t="inlineStr">
        <is>
          <t>[성주동]</t>
        </is>
      </c>
      <c r="B347" s="0" t="n">
        <v>17376</v>
      </c>
      <c r="C347" s="0" t="n">
        <v>1</v>
      </c>
      <c r="D347" s="0" t="inlineStr">
        <is>
          <t>한림푸르지오</t>
        </is>
      </c>
      <c r="E347" s="0" t="inlineStr">
        <is>
          <t>2003.12.</t>
        </is>
      </c>
      <c r="F347" s="0" t="n">
        <v>520</v>
      </c>
      <c r="G347" s="0" t="n">
        <v>33.38</v>
      </c>
      <c r="H347" s="0" t="n">
        <v>110.38</v>
      </c>
      <c r="I347" s="0" t="n">
        <v>25.69</v>
      </c>
      <c r="J347" s="0" t="n">
        <v>84.93000000000001</v>
      </c>
      <c r="K347" s="0" t="n">
        <v>280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110</v>
      </c>
      <c r="X347" s="0" t="n">
        <v>20</v>
      </c>
      <c r="Y347" s="0" t="n">
        <v>20</v>
      </c>
      <c r="Z347" s="0" t="inlineStr">
        <is>
          <t>https://new.land.naver.com/complexes/17376?tab=detail&amp;rf=Y</t>
        </is>
      </c>
      <c r="AA347" s="0" t="inlineStr">
        <is>
          <t>경상남도 창원시 성산구 성주동 102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성산구</t>
        </is>
      </c>
      <c r="AE347" s="0" t="inlineStr">
        <is>
          <t>성주동</t>
        </is>
      </c>
      <c r="AG347" s="0" t="inlineStr">
        <is>
          <t>경상남도 창원시 성산구 외리로34번길 13</t>
        </is>
      </c>
      <c r="AH347" s="0" t="n">
        <v>0</v>
      </c>
      <c r="AI347" s="0" t="n">
        <v>219</v>
      </c>
      <c r="AJ347" s="0" t="n">
        <v>13</v>
      </c>
      <c r="AK347" s="0" t="n">
        <v>714</v>
      </c>
      <c r="AL347" s="0" t="n">
        <v>1.37</v>
      </c>
    </row>
    <row r="348">
      <c r="A348" s="0" t="inlineStr">
        <is>
          <t>[성주동]</t>
        </is>
      </c>
      <c r="B348" s="0" t="n">
        <v>17376</v>
      </c>
      <c r="C348" s="0" t="n">
        <v>2</v>
      </c>
      <c r="D348" s="0" t="inlineStr">
        <is>
          <t>한림푸르지오</t>
        </is>
      </c>
      <c r="E348" s="0" t="inlineStr">
        <is>
          <t>2003.12.</t>
        </is>
      </c>
      <c r="F348" s="0" t="n">
        <v>520</v>
      </c>
      <c r="G348" s="0" t="n">
        <v>38.11</v>
      </c>
      <c r="H348" s="0" t="n">
        <v>126.01</v>
      </c>
      <c r="I348" s="0" t="n">
        <v>30.83</v>
      </c>
      <c r="J348" s="0" t="n">
        <v>101.94</v>
      </c>
      <c r="K348" s="0" t="n">
        <v>120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126</v>
      </c>
      <c r="X348" s="0" t="n">
        <v>20</v>
      </c>
      <c r="Y348" s="0" t="n">
        <v>20</v>
      </c>
      <c r="Z348" s="0" t="inlineStr">
        <is>
          <t>https://new.land.naver.com/complexes/17376?tab=detail&amp;rf=Y</t>
        </is>
      </c>
      <c r="AA348" s="0" t="inlineStr">
        <is>
          <t>경상남도 창원시 성산구 성주동 102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성산구</t>
        </is>
      </c>
      <c r="AE348" s="0" t="inlineStr">
        <is>
          <t>성주동</t>
        </is>
      </c>
      <c r="AG348" s="0" t="inlineStr">
        <is>
          <t>경상남도 창원시 성산구 외리로34번길 13</t>
        </is>
      </c>
      <c r="AH348" s="0" t="n">
        <v>0</v>
      </c>
      <c r="AI348" s="0" t="n">
        <v>219</v>
      </c>
      <c r="AJ348" s="0" t="n">
        <v>13</v>
      </c>
      <c r="AK348" s="0" t="n">
        <v>714</v>
      </c>
      <c r="AL348" s="0" t="n">
        <v>1.37</v>
      </c>
    </row>
    <row r="349">
      <c r="A349" s="0" t="inlineStr">
        <is>
          <t>[성주동]</t>
        </is>
      </c>
      <c r="B349" s="0" t="n">
        <v>17376</v>
      </c>
      <c r="C349" s="0" t="n">
        <v>3</v>
      </c>
      <c r="D349" s="0" t="inlineStr">
        <is>
          <t>한림푸르지오</t>
        </is>
      </c>
      <c r="E349" s="0" t="inlineStr">
        <is>
          <t>2003.12.</t>
        </is>
      </c>
      <c r="F349" s="0" t="n">
        <v>520</v>
      </c>
      <c r="G349" s="0" t="n">
        <v>51.34</v>
      </c>
      <c r="H349" s="0" t="n">
        <v>169.74</v>
      </c>
      <c r="I349" s="0" t="n">
        <v>42.55</v>
      </c>
      <c r="J349" s="0" t="n">
        <v>140.67</v>
      </c>
      <c r="K349" s="0" t="n">
        <v>80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169</v>
      </c>
      <c r="X349" s="0" t="n">
        <v>20</v>
      </c>
      <c r="Y349" s="0" t="n">
        <v>20</v>
      </c>
      <c r="Z349" s="0" t="inlineStr">
        <is>
          <t>https://new.land.naver.com/complexes/17376?tab=detail&amp;rf=Y</t>
        </is>
      </c>
      <c r="AA349" s="0" t="inlineStr">
        <is>
          <t>경상남도 창원시 성산구 성주동 102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성산구</t>
        </is>
      </c>
      <c r="AE349" s="0" t="inlineStr">
        <is>
          <t>성주동</t>
        </is>
      </c>
      <c r="AG349" s="0" t="inlineStr">
        <is>
          <t>경상남도 창원시 성산구 외리로34번길 13</t>
        </is>
      </c>
      <c r="AH349" s="0" t="n">
        <v>0</v>
      </c>
      <c r="AI349" s="0" t="n">
        <v>219</v>
      </c>
      <c r="AJ349" s="0" t="n">
        <v>13</v>
      </c>
      <c r="AK349" s="0" t="n">
        <v>714</v>
      </c>
      <c r="AL349" s="0" t="n">
        <v>1.37</v>
      </c>
    </row>
    <row r="350">
      <c r="A350" s="0" t="inlineStr">
        <is>
          <t>[성주동]</t>
        </is>
      </c>
      <c r="B350" s="0" t="n">
        <v>17376</v>
      </c>
      <c r="C350" s="0" t="n">
        <v>4</v>
      </c>
      <c r="D350" s="0" t="inlineStr">
        <is>
          <t>한림푸르지오</t>
        </is>
      </c>
      <c r="E350" s="0" t="inlineStr">
        <is>
          <t>2003.12.</t>
        </is>
      </c>
      <c r="F350" s="0" t="n">
        <v>520</v>
      </c>
      <c r="G350" s="0" t="n">
        <v>65.5</v>
      </c>
      <c r="H350" s="0" t="n">
        <v>216.54</v>
      </c>
      <c r="I350" s="0" t="n">
        <v>56.3</v>
      </c>
      <c r="J350" s="0" t="n">
        <v>186.13</v>
      </c>
      <c r="K350" s="0" t="n">
        <v>40</v>
      </c>
      <c r="T350" s="0" t="n">
        <v>5</v>
      </c>
      <c r="U350" s="0" t="n">
        <v>2</v>
      </c>
      <c r="V350" s="0" t="inlineStr">
        <is>
          <t>계단식</t>
        </is>
      </c>
      <c r="W350" s="0" t="n">
        <v>216</v>
      </c>
      <c r="X350" s="0" t="n">
        <v>20</v>
      </c>
      <c r="Y350" s="0" t="n">
        <v>20</v>
      </c>
      <c r="Z350" s="0" t="inlineStr">
        <is>
          <t>https://new.land.naver.com/complexes/17376?tab=detail&amp;rf=Y</t>
        </is>
      </c>
      <c r="AA350" s="0" t="inlineStr">
        <is>
          <t>경상남도 창원시 성산구 성주동 102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성산구</t>
        </is>
      </c>
      <c r="AE350" s="0" t="inlineStr">
        <is>
          <t>성주동</t>
        </is>
      </c>
      <c r="AG350" s="0" t="inlineStr">
        <is>
          <t>경상남도 창원시 성산구 외리로34번길 13</t>
        </is>
      </c>
      <c r="AH350" s="0" t="n">
        <v>0</v>
      </c>
      <c r="AI350" s="0" t="n">
        <v>219</v>
      </c>
      <c r="AJ350" s="0" t="n">
        <v>13</v>
      </c>
      <c r="AK350" s="0" t="n">
        <v>714</v>
      </c>
      <c r="AL350" s="0" t="n">
        <v>1.37</v>
      </c>
    </row>
    <row r="351">
      <c r="A351" s="0" t="inlineStr">
        <is>
          <t>[성주동]</t>
        </is>
      </c>
      <c r="B351" s="0" t="n">
        <v>101107</v>
      </c>
      <c r="C351" s="0" t="n">
        <v>1</v>
      </c>
      <c r="D351" s="0" t="inlineStr">
        <is>
          <t>프리빌리지</t>
        </is>
      </c>
      <c r="E351" s="0" t="inlineStr">
        <is>
          <t>2003.10.</t>
        </is>
      </c>
      <c r="F351" s="0" t="n">
        <v>1062</v>
      </c>
      <c r="G351" s="0" t="n">
        <v>33.32</v>
      </c>
      <c r="H351" s="0" t="n">
        <v>110.15</v>
      </c>
      <c r="I351" s="0" t="n">
        <v>25.67</v>
      </c>
      <c r="J351" s="0" t="n">
        <v>84.87</v>
      </c>
      <c r="K351" s="0" t="n">
        <v>554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110</v>
      </c>
      <c r="X351" s="0" t="n">
        <v>20</v>
      </c>
      <c r="Y351" s="0" t="n">
        <v>14</v>
      </c>
      <c r="Z351" s="0" t="inlineStr">
        <is>
          <t>https://new.land.naver.com/complexes/101107?tab=detail&amp;rf=Y</t>
        </is>
      </c>
      <c r="AA351" s="0" t="inlineStr">
        <is>
          <t>경상남도 창원시 성산구 성주동 101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성산구</t>
        </is>
      </c>
      <c r="AE351" s="0" t="inlineStr">
        <is>
          <t>성주동</t>
        </is>
      </c>
      <c r="AG351" s="0" t="inlineStr">
        <is>
          <t>경상남도 창원시 성산구 대암로 253</t>
        </is>
      </c>
      <c r="AH351" s="0" t="n">
        <v>0</v>
      </c>
      <c r="AI351" s="0" t="n">
        <v>210</v>
      </c>
      <c r="AJ351" s="0" t="n">
        <v>13</v>
      </c>
      <c r="AK351" s="0" t="n">
        <v>1345</v>
      </c>
      <c r="AL351" s="0" t="n">
        <v>1.27</v>
      </c>
    </row>
    <row r="352">
      <c r="A352" s="0" t="inlineStr">
        <is>
          <t>[성주동]</t>
        </is>
      </c>
      <c r="B352" s="0" t="n">
        <v>101107</v>
      </c>
      <c r="C352" s="0" t="n">
        <v>2</v>
      </c>
      <c r="D352" s="0" t="inlineStr">
        <is>
          <t>프리빌리지</t>
        </is>
      </c>
      <c r="E352" s="0" t="inlineStr">
        <is>
          <t>2003.10.</t>
        </is>
      </c>
      <c r="F352" s="0" t="n">
        <v>1062</v>
      </c>
      <c r="G352" s="0" t="n">
        <v>38.94</v>
      </c>
      <c r="H352" s="0" t="n">
        <v>128.75</v>
      </c>
      <c r="I352" s="0" t="n">
        <v>30.84</v>
      </c>
      <c r="J352" s="0" t="n">
        <v>101.97</v>
      </c>
      <c r="K352" s="0" t="n">
        <v>240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128</v>
      </c>
      <c r="X352" s="0" t="n">
        <v>20</v>
      </c>
      <c r="Y352" s="0" t="n">
        <v>14</v>
      </c>
      <c r="Z352" s="0" t="inlineStr">
        <is>
          <t>https://new.land.naver.com/complexes/101107?tab=detail&amp;rf=Y</t>
        </is>
      </c>
      <c r="AA352" s="0" t="inlineStr">
        <is>
          <t>경상남도 창원시 성산구 성주동 101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성산구</t>
        </is>
      </c>
      <c r="AE352" s="0" t="inlineStr">
        <is>
          <t>성주동</t>
        </is>
      </c>
      <c r="AG352" s="0" t="inlineStr">
        <is>
          <t>경상남도 창원시 성산구 대암로 253</t>
        </is>
      </c>
      <c r="AH352" s="0" t="n">
        <v>0</v>
      </c>
      <c r="AI352" s="0" t="n">
        <v>210</v>
      </c>
      <c r="AJ352" s="0" t="n">
        <v>13</v>
      </c>
      <c r="AK352" s="0" t="n">
        <v>1345</v>
      </c>
      <c r="AL352" s="0" t="n">
        <v>1.27</v>
      </c>
    </row>
    <row r="353">
      <c r="A353" s="0" t="inlineStr">
        <is>
          <t>[성주동]</t>
        </is>
      </c>
      <c r="B353" s="0" t="n">
        <v>101107</v>
      </c>
      <c r="C353" s="0" t="n">
        <v>3</v>
      </c>
      <c r="D353" s="0" t="inlineStr">
        <is>
          <t>프리빌리지</t>
        </is>
      </c>
      <c r="E353" s="0" t="inlineStr">
        <is>
          <t>2003.10.</t>
        </is>
      </c>
      <c r="F353" s="0" t="n">
        <v>1062</v>
      </c>
      <c r="G353" s="0" t="n">
        <v>45.53</v>
      </c>
      <c r="H353" s="0" t="n">
        <v>150.53</v>
      </c>
      <c r="I353" s="0" t="n">
        <v>37.78</v>
      </c>
      <c r="J353" s="0" t="n">
        <v>124.9</v>
      </c>
      <c r="K353" s="0" t="n">
        <v>40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150</v>
      </c>
      <c r="X353" s="0" t="n">
        <v>20</v>
      </c>
      <c r="Y353" s="0" t="n">
        <v>14</v>
      </c>
      <c r="Z353" s="0" t="inlineStr">
        <is>
          <t>https://new.land.naver.com/complexes/101107?tab=detail&amp;rf=Y</t>
        </is>
      </c>
      <c r="AA353" s="0" t="inlineStr">
        <is>
          <t>경상남도 창원시 성산구 성주동 101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성산구</t>
        </is>
      </c>
      <c r="AE353" s="0" t="inlineStr">
        <is>
          <t>성주동</t>
        </is>
      </c>
      <c r="AG353" s="0" t="inlineStr">
        <is>
          <t>경상남도 창원시 성산구 대암로 253</t>
        </is>
      </c>
      <c r="AH353" s="0" t="n">
        <v>0</v>
      </c>
      <c r="AI353" s="0" t="n">
        <v>210</v>
      </c>
      <c r="AJ353" s="0" t="n">
        <v>13</v>
      </c>
      <c r="AK353" s="0" t="n">
        <v>1345</v>
      </c>
      <c r="AL353" s="0" t="n">
        <v>1.27</v>
      </c>
    </row>
    <row r="354">
      <c r="A354" s="0" t="inlineStr">
        <is>
          <t>[성주동]</t>
        </is>
      </c>
      <c r="B354" s="0" t="n">
        <v>101107</v>
      </c>
      <c r="C354" s="0" t="n">
        <v>4</v>
      </c>
      <c r="D354" s="0" t="inlineStr">
        <is>
          <t>프리빌리지</t>
        </is>
      </c>
      <c r="E354" s="0" t="inlineStr">
        <is>
          <t>2003.10.</t>
        </is>
      </c>
      <c r="F354" s="0" t="n">
        <v>1062</v>
      </c>
      <c r="G354" s="0" t="n">
        <v>50.15</v>
      </c>
      <c r="H354" s="0" t="n">
        <v>165.8</v>
      </c>
      <c r="I354" s="0" t="n">
        <v>40.81</v>
      </c>
      <c r="J354" s="0" t="n">
        <v>134.93</v>
      </c>
      <c r="K354" s="0" t="n">
        <v>188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165</v>
      </c>
      <c r="X354" s="0" t="n">
        <v>20</v>
      </c>
      <c r="Y354" s="0" t="n">
        <v>14</v>
      </c>
      <c r="Z354" s="0" t="inlineStr">
        <is>
          <t>https://new.land.naver.com/complexes/101107?tab=detail&amp;rf=Y</t>
        </is>
      </c>
      <c r="AA354" s="0" t="inlineStr">
        <is>
          <t>경상남도 창원시 성산구 성주동 101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성산구</t>
        </is>
      </c>
      <c r="AE354" s="0" t="inlineStr">
        <is>
          <t>성주동</t>
        </is>
      </c>
      <c r="AG354" s="0" t="inlineStr">
        <is>
          <t>경상남도 창원시 성산구 대암로 253</t>
        </is>
      </c>
      <c r="AH354" s="0" t="n">
        <v>0</v>
      </c>
      <c r="AI354" s="0" t="n">
        <v>210</v>
      </c>
      <c r="AJ354" s="0" t="n">
        <v>13</v>
      </c>
      <c r="AK354" s="0" t="n">
        <v>1345</v>
      </c>
      <c r="AL354" s="0" t="n">
        <v>1.27</v>
      </c>
    </row>
    <row r="355">
      <c r="A355" s="0" t="inlineStr">
        <is>
          <t>[성주동]</t>
        </is>
      </c>
      <c r="B355" s="0" t="n">
        <v>101107</v>
      </c>
      <c r="C355" s="0" t="n">
        <v>5</v>
      </c>
      <c r="D355" s="0" t="inlineStr">
        <is>
          <t>프리빌리지</t>
        </is>
      </c>
      <c r="E355" s="0" t="inlineStr">
        <is>
          <t>2003.10.</t>
        </is>
      </c>
      <c r="F355" s="0" t="n">
        <v>1062</v>
      </c>
      <c r="G355" s="0" t="n">
        <v>59.08</v>
      </c>
      <c r="H355" s="0" t="n">
        <v>195.31</v>
      </c>
      <c r="I355" s="0" t="n">
        <v>48.48</v>
      </c>
      <c r="J355" s="0" t="n">
        <v>160.28</v>
      </c>
      <c r="K355" s="0" t="n">
        <v>40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195</v>
      </c>
      <c r="X355" s="0" t="n">
        <v>20</v>
      </c>
      <c r="Y355" s="0" t="n">
        <v>14</v>
      </c>
      <c r="Z355" s="0" t="inlineStr">
        <is>
          <t>https://new.land.naver.com/complexes/101107?tab=detail&amp;rf=Y</t>
        </is>
      </c>
      <c r="AA355" s="0" t="inlineStr">
        <is>
          <t>경상남도 창원시 성산구 성주동 101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성산구</t>
        </is>
      </c>
      <c r="AE355" s="0" t="inlineStr">
        <is>
          <t>성주동</t>
        </is>
      </c>
      <c r="AG355" s="0" t="inlineStr">
        <is>
          <t>경상남도 창원시 성산구 대암로 253</t>
        </is>
      </c>
      <c r="AH355" s="0" t="n">
        <v>0</v>
      </c>
      <c r="AI355" s="0" t="n">
        <v>210</v>
      </c>
      <c r="AJ355" s="0" t="n">
        <v>13</v>
      </c>
      <c r="AK355" s="0" t="n">
        <v>1345</v>
      </c>
      <c r="AL355" s="0" t="n">
        <v>1.27</v>
      </c>
    </row>
    <row r="356">
      <c r="A356" s="0" t="inlineStr">
        <is>
          <t>[신월동]</t>
        </is>
      </c>
      <c r="B356" s="0" t="n">
        <v>7847</v>
      </c>
      <c r="C356" s="0" t="n">
        <v>1</v>
      </c>
      <c r="D356" s="0" t="inlineStr">
        <is>
          <t>은아</t>
        </is>
      </c>
      <c r="E356" s="0" t="inlineStr">
        <is>
          <t>1988.07.</t>
        </is>
      </c>
      <c r="F356" s="0" t="n">
        <v>1550</v>
      </c>
      <c r="G356" s="0" t="n">
        <v>20.8</v>
      </c>
      <c r="H356" s="0" t="n">
        <v>68.79000000000001</v>
      </c>
      <c r="I356" s="0" t="n">
        <v>17.84</v>
      </c>
      <c r="J356" s="0" t="n">
        <v>58.98</v>
      </c>
      <c r="K356" s="0" t="n">
        <v>50</v>
      </c>
      <c r="T356" s="0" t="n">
        <v>2</v>
      </c>
      <c r="U356" s="0" t="n">
        <v>1</v>
      </c>
      <c r="V356" s="0" t="inlineStr">
        <is>
          <t>계단식</t>
        </is>
      </c>
      <c r="W356" s="0" t="inlineStr">
        <is>
          <t>68A</t>
        </is>
      </c>
      <c r="X356" s="0" t="n">
        <v>5</v>
      </c>
      <c r="Y356" s="0" t="n">
        <v>5</v>
      </c>
      <c r="Z356" s="0" t="inlineStr">
        <is>
          <t>https://new.land.naver.com/complexes/7847?tab=detail&amp;rf=Y</t>
        </is>
      </c>
      <c r="AA356" s="0" t="inlineStr">
        <is>
          <t>경상남도 창원시 성산구 신월동 93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성산구</t>
        </is>
      </c>
      <c r="AE356" s="0" t="inlineStr">
        <is>
          <t>신월동</t>
        </is>
      </c>
      <c r="AG356" s="0" t="inlineStr">
        <is>
          <t>경상남도 창원시 성산구 원이대로 663</t>
        </is>
      </c>
      <c r="AH356" s="0" t="n">
        <v>0</v>
      </c>
      <c r="AI356" s="0" t="n">
        <v>132</v>
      </c>
      <c r="AJ356" s="0" t="n">
        <v>27</v>
      </c>
      <c r="AK356" s="0" t="n">
        <v>1500</v>
      </c>
      <c r="AL356" s="0" t="n">
        <v>0.97</v>
      </c>
    </row>
    <row r="357">
      <c r="A357" s="0" t="inlineStr">
        <is>
          <t>[신월동]</t>
        </is>
      </c>
      <c r="B357" s="0" t="n">
        <v>7847</v>
      </c>
      <c r="C357" s="0" t="n">
        <v>2</v>
      </c>
      <c r="D357" s="0" t="inlineStr">
        <is>
          <t>은아</t>
        </is>
      </c>
      <c r="E357" s="0" t="inlineStr">
        <is>
          <t>1988.07.</t>
        </is>
      </c>
      <c r="F357" s="0" t="n">
        <v>1550</v>
      </c>
      <c r="G357" s="0" t="n">
        <v>21.25</v>
      </c>
      <c r="H357" s="0" t="n">
        <v>70.25</v>
      </c>
      <c r="I357" s="0" t="n">
        <v>18.26</v>
      </c>
      <c r="J357" s="0" t="n">
        <v>60.38</v>
      </c>
      <c r="K357" s="0" t="n">
        <v>240</v>
      </c>
      <c r="T357" s="0" t="n">
        <v>2</v>
      </c>
      <c r="U357" s="0" t="n">
        <v>1</v>
      </c>
      <c r="V357" s="0" t="inlineStr">
        <is>
          <t>계단식</t>
        </is>
      </c>
      <c r="W357" s="0" t="inlineStr">
        <is>
          <t>70B</t>
        </is>
      </c>
      <c r="X357" s="0" t="n">
        <v>5</v>
      </c>
      <c r="Y357" s="0" t="n">
        <v>5</v>
      </c>
      <c r="Z357" s="0" t="inlineStr">
        <is>
          <t>https://new.land.naver.com/complexes/7847?tab=detail&amp;rf=Y</t>
        </is>
      </c>
      <c r="AA357" s="0" t="inlineStr">
        <is>
          <t>경상남도 창원시 성산구 신월동 93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성산구</t>
        </is>
      </c>
      <c r="AE357" s="0" t="inlineStr">
        <is>
          <t>신월동</t>
        </is>
      </c>
      <c r="AG357" s="0" t="inlineStr">
        <is>
          <t>경상남도 창원시 성산구 원이대로 663</t>
        </is>
      </c>
      <c r="AH357" s="0" t="n">
        <v>0</v>
      </c>
      <c r="AI357" s="0" t="n">
        <v>132</v>
      </c>
      <c r="AJ357" s="0" t="n">
        <v>27</v>
      </c>
      <c r="AK357" s="0" t="n">
        <v>1500</v>
      </c>
      <c r="AL357" s="0" t="n">
        <v>0.97</v>
      </c>
    </row>
    <row r="358">
      <c r="A358" s="0" t="inlineStr">
        <is>
          <t>[신월동]</t>
        </is>
      </c>
      <c r="B358" s="0" t="n">
        <v>7847</v>
      </c>
      <c r="C358" s="0" t="n">
        <v>3</v>
      </c>
      <c r="D358" s="0" t="inlineStr">
        <is>
          <t>은아</t>
        </is>
      </c>
      <c r="E358" s="0" t="inlineStr">
        <is>
          <t>1988.07.</t>
        </is>
      </c>
      <c r="F358" s="0" t="n">
        <v>1550</v>
      </c>
      <c r="G358" s="0" t="n">
        <v>25.67</v>
      </c>
      <c r="H358" s="0" t="n">
        <v>84.86</v>
      </c>
      <c r="I358" s="0" t="n">
        <v>22.43</v>
      </c>
      <c r="J358" s="0" t="n">
        <v>74.17</v>
      </c>
      <c r="K358" s="0" t="n">
        <v>220</v>
      </c>
      <c r="T358" s="0" t="n">
        <v>3</v>
      </c>
      <c r="U358" s="0" t="n">
        <v>1</v>
      </c>
      <c r="V358" s="0" t="inlineStr">
        <is>
          <t>계단식</t>
        </is>
      </c>
      <c r="W358" s="0" t="n">
        <v>84</v>
      </c>
      <c r="X358" s="0" t="n">
        <v>5</v>
      </c>
      <c r="Y358" s="0" t="n">
        <v>5</v>
      </c>
      <c r="Z358" s="0" t="inlineStr">
        <is>
          <t>https://new.land.naver.com/complexes/7847?tab=detail&amp;rf=Y</t>
        </is>
      </c>
      <c r="AA358" s="0" t="inlineStr">
        <is>
          <t>경상남도 창원시 성산구 신월동 93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성산구</t>
        </is>
      </c>
      <c r="AE358" s="0" t="inlineStr">
        <is>
          <t>신월동</t>
        </is>
      </c>
      <c r="AG358" s="0" t="inlineStr">
        <is>
          <t>경상남도 창원시 성산구 원이대로 663</t>
        </is>
      </c>
      <c r="AH358" s="0" t="n">
        <v>0</v>
      </c>
      <c r="AI358" s="0" t="n">
        <v>132</v>
      </c>
      <c r="AJ358" s="0" t="n">
        <v>27</v>
      </c>
      <c r="AK358" s="0" t="n">
        <v>1500</v>
      </c>
      <c r="AL358" s="0" t="n">
        <v>0.97</v>
      </c>
    </row>
    <row r="359">
      <c r="A359" s="0" t="inlineStr">
        <is>
          <t>[신월동]</t>
        </is>
      </c>
      <c r="B359" s="0" t="n">
        <v>7847</v>
      </c>
      <c r="C359" s="0" t="n">
        <v>4</v>
      </c>
      <c r="D359" s="0" t="inlineStr">
        <is>
          <t>은아</t>
        </is>
      </c>
      <c r="E359" s="0" t="inlineStr">
        <is>
          <t>1988.07.</t>
        </is>
      </c>
      <c r="F359" s="0" t="n">
        <v>1550</v>
      </c>
      <c r="G359" s="0" t="n">
        <v>27.51</v>
      </c>
      <c r="H359" s="0" t="n">
        <v>90.95999999999999</v>
      </c>
      <c r="I359" s="0" t="n">
        <v>24.13</v>
      </c>
      <c r="J359" s="0" t="n">
        <v>79.8</v>
      </c>
      <c r="K359" s="0" t="n">
        <v>230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90</v>
      </c>
      <c r="X359" s="0" t="n">
        <v>5</v>
      </c>
      <c r="Y359" s="0" t="n">
        <v>5</v>
      </c>
      <c r="Z359" s="0" t="inlineStr">
        <is>
          <t>https://new.land.naver.com/complexes/7847?tab=detail&amp;rf=Y</t>
        </is>
      </c>
      <c r="AA359" s="0" t="inlineStr">
        <is>
          <t>경상남도 창원시 성산구 신월동 93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성산구</t>
        </is>
      </c>
      <c r="AE359" s="0" t="inlineStr">
        <is>
          <t>신월동</t>
        </is>
      </c>
      <c r="AG359" s="0" t="inlineStr">
        <is>
          <t>경상남도 창원시 성산구 원이대로 663</t>
        </is>
      </c>
      <c r="AH359" s="0" t="n">
        <v>0</v>
      </c>
      <c r="AI359" s="0" t="n">
        <v>132</v>
      </c>
      <c r="AJ359" s="0" t="n">
        <v>27</v>
      </c>
      <c r="AK359" s="0" t="n">
        <v>1500</v>
      </c>
      <c r="AL359" s="0" t="n">
        <v>0.97</v>
      </c>
    </row>
    <row r="360">
      <c r="A360" s="0" t="inlineStr">
        <is>
          <t>[신월동]</t>
        </is>
      </c>
      <c r="B360" s="0" t="n">
        <v>7847</v>
      </c>
      <c r="C360" s="0" t="n">
        <v>5</v>
      </c>
      <c r="D360" s="0" t="inlineStr">
        <is>
          <t>은아</t>
        </is>
      </c>
      <c r="E360" s="0" t="inlineStr">
        <is>
          <t>1988.07.</t>
        </is>
      </c>
      <c r="F360" s="0" t="n">
        <v>1550</v>
      </c>
      <c r="G360" s="0" t="n">
        <v>29.26</v>
      </c>
      <c r="H360" s="0" t="n">
        <v>96.73</v>
      </c>
      <c r="I360" s="0" t="n">
        <v>25.64</v>
      </c>
      <c r="J360" s="0" t="n">
        <v>84.78</v>
      </c>
      <c r="K360" s="0" t="n">
        <v>460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96B</t>
        </is>
      </c>
      <c r="X360" s="0" t="n">
        <v>5</v>
      </c>
      <c r="Y360" s="0" t="n">
        <v>5</v>
      </c>
      <c r="Z360" s="0" t="inlineStr">
        <is>
          <t>https://new.land.naver.com/complexes/7847?tab=detail&amp;rf=Y</t>
        </is>
      </c>
      <c r="AA360" s="0" t="inlineStr">
        <is>
          <t>경상남도 창원시 성산구 신월동 93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성산구</t>
        </is>
      </c>
      <c r="AE360" s="0" t="inlineStr">
        <is>
          <t>신월동</t>
        </is>
      </c>
      <c r="AG360" s="0" t="inlineStr">
        <is>
          <t>경상남도 창원시 성산구 원이대로 663</t>
        </is>
      </c>
      <c r="AH360" s="0" t="n">
        <v>0</v>
      </c>
      <c r="AI360" s="0" t="n">
        <v>132</v>
      </c>
      <c r="AJ360" s="0" t="n">
        <v>27</v>
      </c>
      <c r="AK360" s="0" t="n">
        <v>1500</v>
      </c>
      <c r="AL360" s="0" t="n">
        <v>0.97</v>
      </c>
    </row>
    <row r="361">
      <c r="A361" s="0" t="inlineStr">
        <is>
          <t>[신월동]</t>
        </is>
      </c>
      <c r="B361" s="0" t="n">
        <v>7847</v>
      </c>
      <c r="C361" s="0" t="n">
        <v>6</v>
      </c>
      <c r="D361" s="0" t="inlineStr">
        <is>
          <t>은아</t>
        </is>
      </c>
      <c r="E361" s="0" t="inlineStr">
        <is>
          <t>1988.07.</t>
        </is>
      </c>
      <c r="F361" s="0" t="n">
        <v>1550</v>
      </c>
      <c r="G361" s="0" t="n">
        <v>29.22</v>
      </c>
      <c r="H361" s="0" t="n">
        <v>96.61</v>
      </c>
      <c r="I361" s="0" t="n">
        <v>25.54</v>
      </c>
      <c r="J361" s="0" t="n">
        <v>84.45</v>
      </c>
      <c r="K361" s="0" t="n">
        <v>120</v>
      </c>
      <c r="T361" s="0" t="n">
        <v>3</v>
      </c>
      <c r="U361" s="0" t="n">
        <v>1</v>
      </c>
      <c r="V361" s="0" t="inlineStr">
        <is>
          <t>계단식</t>
        </is>
      </c>
      <c r="W361" s="0" t="inlineStr">
        <is>
          <t>96A</t>
        </is>
      </c>
      <c r="X361" s="0" t="n">
        <v>5</v>
      </c>
      <c r="Y361" s="0" t="n">
        <v>5</v>
      </c>
      <c r="Z361" s="0" t="inlineStr">
        <is>
          <t>https://new.land.naver.com/complexes/7847?tab=detail&amp;rf=Y</t>
        </is>
      </c>
      <c r="AA361" s="0" t="inlineStr">
        <is>
          <t>경상남도 창원시 성산구 신월동 93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성산구</t>
        </is>
      </c>
      <c r="AE361" s="0" t="inlineStr">
        <is>
          <t>신월동</t>
        </is>
      </c>
      <c r="AG361" s="0" t="inlineStr">
        <is>
          <t>경상남도 창원시 성산구 원이대로 663</t>
        </is>
      </c>
      <c r="AH361" s="0" t="n">
        <v>0</v>
      </c>
      <c r="AI361" s="0" t="n">
        <v>132</v>
      </c>
      <c r="AJ361" s="0" t="n">
        <v>27</v>
      </c>
      <c r="AK361" s="0" t="n">
        <v>1500</v>
      </c>
      <c r="AL361" s="0" t="n">
        <v>0.97</v>
      </c>
    </row>
    <row r="362">
      <c r="A362" s="0" t="inlineStr">
        <is>
          <t>[신월동]</t>
        </is>
      </c>
      <c r="B362" s="0" t="n">
        <v>7847</v>
      </c>
      <c r="C362" s="0" t="n">
        <v>7</v>
      </c>
      <c r="D362" s="0" t="inlineStr">
        <is>
          <t>은아</t>
        </is>
      </c>
      <c r="E362" s="0" t="inlineStr">
        <is>
          <t>1988.07.</t>
        </is>
      </c>
      <c r="F362" s="0" t="n">
        <v>1550</v>
      </c>
      <c r="G362" s="0" t="n">
        <v>38.1</v>
      </c>
      <c r="H362" s="0" t="n">
        <v>125.97</v>
      </c>
      <c r="I362" s="0" t="n">
        <v>33.76</v>
      </c>
      <c r="J362" s="0" t="n">
        <v>111.61</v>
      </c>
      <c r="K362" s="0" t="n">
        <v>160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125</v>
      </c>
      <c r="X362" s="0" t="n">
        <v>5</v>
      </c>
      <c r="Y362" s="0" t="n">
        <v>5</v>
      </c>
      <c r="Z362" s="0" t="inlineStr">
        <is>
          <t>https://new.land.naver.com/complexes/7847?tab=detail&amp;rf=Y</t>
        </is>
      </c>
      <c r="AA362" s="0" t="inlineStr">
        <is>
          <t>경상남도 창원시 성산구 신월동 93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성산구</t>
        </is>
      </c>
      <c r="AE362" s="0" t="inlineStr">
        <is>
          <t>신월동</t>
        </is>
      </c>
      <c r="AG362" s="0" t="inlineStr">
        <is>
          <t>경상남도 창원시 성산구 원이대로 663</t>
        </is>
      </c>
      <c r="AH362" s="0" t="n">
        <v>0</v>
      </c>
      <c r="AI362" s="0" t="n">
        <v>132</v>
      </c>
      <c r="AJ362" s="0" t="n">
        <v>27</v>
      </c>
      <c r="AK362" s="0" t="n">
        <v>1500</v>
      </c>
      <c r="AL362" s="0" t="n">
        <v>0.97</v>
      </c>
    </row>
    <row r="363">
      <c r="A363" s="0" t="inlineStr">
        <is>
          <t>[신월동]</t>
        </is>
      </c>
      <c r="B363" s="0" t="n">
        <v>7847</v>
      </c>
      <c r="C363" s="0" t="n">
        <v>8</v>
      </c>
      <c r="D363" s="0" t="inlineStr">
        <is>
          <t>은아</t>
        </is>
      </c>
      <c r="E363" s="0" t="inlineStr">
        <is>
          <t>1988.07.</t>
        </is>
      </c>
      <c r="F363" s="0" t="n">
        <v>1550</v>
      </c>
      <c r="G363" s="0" t="n">
        <v>45.42</v>
      </c>
      <c r="H363" s="0" t="n">
        <v>150.18</v>
      </c>
      <c r="I363" s="0" t="n">
        <v>40.56</v>
      </c>
      <c r="J363" s="0" t="n">
        <v>134.11</v>
      </c>
      <c r="K363" s="0" t="n">
        <v>50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5</v>
      </c>
      <c r="Y363" s="0" t="n">
        <v>5</v>
      </c>
      <c r="Z363" s="0" t="inlineStr">
        <is>
          <t>https://new.land.naver.com/complexes/7847?tab=detail&amp;rf=Y</t>
        </is>
      </c>
      <c r="AA363" s="0" t="inlineStr">
        <is>
          <t>경상남도 창원시 성산구 신월동 93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성산구</t>
        </is>
      </c>
      <c r="AE363" s="0" t="inlineStr">
        <is>
          <t>신월동</t>
        </is>
      </c>
      <c r="AG363" s="0" t="inlineStr">
        <is>
          <t>경상남도 창원시 성산구 원이대로 663</t>
        </is>
      </c>
      <c r="AH363" s="0" t="n">
        <v>0</v>
      </c>
      <c r="AI363" s="0" t="n">
        <v>132</v>
      </c>
      <c r="AJ363" s="0" t="n">
        <v>27</v>
      </c>
      <c r="AK363" s="0" t="n">
        <v>1500</v>
      </c>
      <c r="AL363" s="0" t="n">
        <v>0.97</v>
      </c>
    </row>
    <row r="364">
      <c r="A364" s="0" t="inlineStr">
        <is>
          <t>[신월동]</t>
        </is>
      </c>
      <c r="B364" s="0" t="n">
        <v>7847</v>
      </c>
      <c r="C364" s="0" t="n">
        <v>9</v>
      </c>
      <c r="D364" s="0" t="inlineStr">
        <is>
          <t>은아</t>
        </is>
      </c>
      <c r="E364" s="0" t="inlineStr">
        <is>
          <t>1988.07.</t>
        </is>
      </c>
      <c r="F364" s="0" t="n">
        <v>1550</v>
      </c>
      <c r="G364" s="0" t="n">
        <v>57.2</v>
      </c>
      <c r="H364" s="0" t="n">
        <v>189.11</v>
      </c>
      <c r="I364" s="0" t="n">
        <v>51.52</v>
      </c>
      <c r="J364" s="0" t="n">
        <v>170.32</v>
      </c>
      <c r="K364" s="0" t="n">
        <v>20</v>
      </c>
      <c r="T364" s="0" t="n">
        <v>5</v>
      </c>
      <c r="U364" s="0" t="n">
        <v>2</v>
      </c>
      <c r="V364" s="0" t="inlineStr">
        <is>
          <t>계단식</t>
        </is>
      </c>
      <c r="W364" s="0" t="n">
        <v>189</v>
      </c>
      <c r="X364" s="0" t="n">
        <v>5</v>
      </c>
      <c r="Y364" s="0" t="n">
        <v>5</v>
      </c>
      <c r="Z364" s="0" t="inlineStr">
        <is>
          <t>https://new.land.naver.com/complexes/7847?tab=detail&amp;rf=Y</t>
        </is>
      </c>
      <c r="AA364" s="0" t="inlineStr">
        <is>
          <t>경상남도 창원시 성산구 신월동 93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성산구</t>
        </is>
      </c>
      <c r="AE364" s="0" t="inlineStr">
        <is>
          <t>신월동</t>
        </is>
      </c>
      <c r="AG364" s="0" t="inlineStr">
        <is>
          <t>경상남도 창원시 성산구 원이대로 663</t>
        </is>
      </c>
      <c r="AH364" s="0" t="n">
        <v>0</v>
      </c>
      <c r="AI364" s="0" t="n">
        <v>132</v>
      </c>
      <c r="AJ364" s="0" t="n">
        <v>27</v>
      </c>
      <c r="AK364" s="0" t="n">
        <v>1500</v>
      </c>
      <c r="AL364" s="0" t="n">
        <v>0.97</v>
      </c>
    </row>
    <row r="365">
      <c r="A365" s="0" t="inlineStr">
        <is>
          <t>[신월동]</t>
        </is>
      </c>
      <c r="B365" s="0" t="n">
        <v>7851</v>
      </c>
      <c r="C365" s="0" t="n">
        <v>1</v>
      </c>
      <c r="D365" s="0" t="inlineStr">
        <is>
          <t>주공</t>
        </is>
      </c>
      <c r="E365" s="0" t="inlineStr">
        <is>
          <t>1987.10.</t>
        </is>
      </c>
      <c r="F365" s="0" t="n">
        <v>1500</v>
      </c>
      <c r="G365" s="0" t="n">
        <v>13.64</v>
      </c>
      <c r="H365" s="0" t="n">
        <v>45.12</v>
      </c>
      <c r="I365" s="0" t="n">
        <v>12.01</v>
      </c>
      <c r="J365" s="0" t="n">
        <v>39.72</v>
      </c>
      <c r="K365" s="0" t="n">
        <v>870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https://new.land.naver.com/complexes/7851?tab=detail&amp;rf=Y</t>
        </is>
      </c>
      <c r="AA365" s="0" t="inlineStr">
        <is>
          <t>경상남도 창원시 성산구 신월동 90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성산구</t>
        </is>
      </c>
      <c r="AE365" s="0" t="inlineStr">
        <is>
          <t>신월동</t>
        </is>
      </c>
      <c r="AG365" s="0" t="inlineStr">
        <is>
          <t>경상남도 창원시 성산구 신사로 64</t>
        </is>
      </c>
      <c r="AH365" s="0" t="n">
        <v>0</v>
      </c>
      <c r="AI365" s="0" t="n">
        <v>91</v>
      </c>
      <c r="AJ365" s="0" t="n">
        <v>18</v>
      </c>
      <c r="AK365" s="0" t="n">
        <v>1500</v>
      </c>
      <c r="AL365" s="0" t="n">
        <v>1</v>
      </c>
    </row>
    <row r="366">
      <c r="A366" s="0" t="inlineStr">
        <is>
          <t>[신월동]</t>
        </is>
      </c>
      <c r="B366" s="0" t="n">
        <v>7851</v>
      </c>
      <c r="C366" s="0" t="n">
        <v>2</v>
      </c>
      <c r="D366" s="0" t="inlineStr">
        <is>
          <t>주공</t>
        </is>
      </c>
      <c r="E366" s="0" t="inlineStr">
        <is>
          <t>1987.10.</t>
        </is>
      </c>
      <c r="F366" s="0" t="n">
        <v>1500</v>
      </c>
      <c r="G366" s="0" t="n">
        <v>15.88</v>
      </c>
      <c r="H366" s="0" t="n">
        <v>52.5</v>
      </c>
      <c r="I366" s="0" t="n">
        <v>14.24</v>
      </c>
      <c r="J366" s="0" t="n">
        <v>47.1</v>
      </c>
      <c r="K366" s="0" t="n">
        <v>120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52B</t>
        </is>
      </c>
      <c r="X366" s="0" t="n">
        <v>5</v>
      </c>
      <c r="Y366" s="0" t="n">
        <v>5</v>
      </c>
      <c r="Z366" s="0" t="inlineStr">
        <is>
          <t>https://new.land.naver.com/complexes/7851?tab=detail&amp;rf=Y</t>
        </is>
      </c>
      <c r="AA366" s="0" t="inlineStr">
        <is>
          <t>경상남도 창원시 성산구 신월동 90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성산구</t>
        </is>
      </c>
      <c r="AE366" s="0" t="inlineStr">
        <is>
          <t>신월동</t>
        </is>
      </c>
      <c r="AG366" s="0" t="inlineStr">
        <is>
          <t>경상남도 창원시 성산구 신사로 64</t>
        </is>
      </c>
      <c r="AH366" s="0" t="n">
        <v>0</v>
      </c>
      <c r="AI366" s="0" t="n">
        <v>91</v>
      </c>
      <c r="AJ366" s="0" t="n">
        <v>18</v>
      </c>
      <c r="AK366" s="0" t="n">
        <v>1500</v>
      </c>
      <c r="AL366" s="0" t="n">
        <v>1</v>
      </c>
    </row>
    <row r="367">
      <c r="A367" s="0" t="inlineStr">
        <is>
          <t>[신월동]</t>
        </is>
      </c>
      <c r="B367" s="0" t="n">
        <v>7851</v>
      </c>
      <c r="C367" s="0" t="n">
        <v>3</v>
      </c>
      <c r="D367" s="0" t="inlineStr">
        <is>
          <t>주공</t>
        </is>
      </c>
      <c r="E367" s="0" t="inlineStr">
        <is>
          <t>1987.10.</t>
        </is>
      </c>
      <c r="F367" s="0" t="n">
        <v>1500</v>
      </c>
      <c r="G367" s="0" t="n">
        <v>15.77</v>
      </c>
      <c r="H367" s="0" t="n">
        <v>52.14</v>
      </c>
      <c r="I367" s="0" t="n">
        <v>14.13</v>
      </c>
      <c r="J367" s="0" t="n">
        <v>46.74</v>
      </c>
      <c r="K367" s="0" t="n">
        <v>110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52A</t>
        </is>
      </c>
      <c r="X367" s="0" t="n">
        <v>5</v>
      </c>
      <c r="Y367" s="0" t="n">
        <v>5</v>
      </c>
      <c r="Z367" s="0" t="inlineStr">
        <is>
          <t>https://new.land.naver.com/complexes/7851?tab=detail&amp;rf=Y</t>
        </is>
      </c>
      <c r="AA367" s="0" t="inlineStr">
        <is>
          <t>경상남도 창원시 성산구 신월동 90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성산구</t>
        </is>
      </c>
      <c r="AE367" s="0" t="inlineStr">
        <is>
          <t>신월동</t>
        </is>
      </c>
      <c r="AG367" s="0" t="inlineStr">
        <is>
          <t>경상남도 창원시 성산구 신사로 64</t>
        </is>
      </c>
      <c r="AH367" s="0" t="n">
        <v>0</v>
      </c>
      <c r="AI367" s="0" t="n">
        <v>91</v>
      </c>
      <c r="AJ367" s="0" t="n">
        <v>18</v>
      </c>
      <c r="AK367" s="0" t="n">
        <v>1500</v>
      </c>
      <c r="AL367" s="0" t="n">
        <v>1</v>
      </c>
    </row>
    <row r="368">
      <c r="A368" s="0" t="inlineStr">
        <is>
          <t>[신월동]</t>
        </is>
      </c>
      <c r="B368" s="0" t="n">
        <v>7851</v>
      </c>
      <c r="C368" s="0" t="n">
        <v>4</v>
      </c>
      <c r="D368" s="0" t="inlineStr">
        <is>
          <t>주공</t>
        </is>
      </c>
      <c r="E368" s="0" t="inlineStr">
        <is>
          <t>1987.10.</t>
        </is>
      </c>
      <c r="F368" s="0" t="n">
        <v>1500</v>
      </c>
      <c r="G368" s="0" t="n">
        <v>17.25</v>
      </c>
      <c r="H368" s="0" t="n">
        <v>57.04</v>
      </c>
      <c r="I368" s="0" t="n">
        <v>15.43</v>
      </c>
      <c r="J368" s="0" t="n">
        <v>51.02</v>
      </c>
      <c r="K368" s="0" t="n">
        <v>220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57</v>
      </c>
      <c r="X368" s="0" t="n">
        <v>5</v>
      </c>
      <c r="Y368" s="0" t="n">
        <v>5</v>
      </c>
      <c r="Z368" s="0" t="inlineStr">
        <is>
          <t>https://new.land.naver.com/complexes/7851?tab=detail&amp;rf=Y</t>
        </is>
      </c>
      <c r="AA368" s="0" t="inlineStr">
        <is>
          <t>경상남도 창원시 성산구 신월동 90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성산구</t>
        </is>
      </c>
      <c r="AE368" s="0" t="inlineStr">
        <is>
          <t>신월동</t>
        </is>
      </c>
      <c r="AG368" s="0" t="inlineStr">
        <is>
          <t>경상남도 창원시 성산구 신사로 64</t>
        </is>
      </c>
      <c r="AH368" s="0" t="n">
        <v>0</v>
      </c>
      <c r="AI368" s="0" t="n">
        <v>91</v>
      </c>
      <c r="AJ368" s="0" t="n">
        <v>18</v>
      </c>
      <c r="AK368" s="0" t="n">
        <v>1500</v>
      </c>
      <c r="AL368" s="0" t="n">
        <v>1</v>
      </c>
    </row>
    <row r="369">
      <c r="A369" s="0" t="inlineStr">
        <is>
          <t>[신월동]</t>
        </is>
      </c>
      <c r="B369" s="0" t="n">
        <v>7851</v>
      </c>
      <c r="C369" s="0" t="n">
        <v>5</v>
      </c>
      <c r="D369" s="0" t="inlineStr">
        <is>
          <t>주공</t>
        </is>
      </c>
      <c r="E369" s="0" t="inlineStr">
        <is>
          <t>1987.10.</t>
        </is>
      </c>
      <c r="F369" s="0" t="n">
        <v>1500</v>
      </c>
      <c r="G369" s="0" t="n">
        <v>19.85</v>
      </c>
      <c r="H369" s="0" t="n">
        <v>65.64</v>
      </c>
      <c r="I369" s="0" t="n">
        <v>17.88</v>
      </c>
      <c r="J369" s="0" t="n">
        <v>59.12</v>
      </c>
      <c r="K369" s="0" t="n">
        <v>180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65</v>
      </c>
      <c r="X369" s="0" t="n">
        <v>5</v>
      </c>
      <c r="Y369" s="0" t="n">
        <v>5</v>
      </c>
      <c r="Z369" s="0" t="inlineStr">
        <is>
          <t>https://new.land.naver.com/complexes/7851?tab=detail&amp;rf=Y</t>
        </is>
      </c>
      <c r="AA369" s="0" t="inlineStr">
        <is>
          <t>경상남도 창원시 성산구 신월동 90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성산구</t>
        </is>
      </c>
      <c r="AE369" s="0" t="inlineStr">
        <is>
          <t>신월동</t>
        </is>
      </c>
      <c r="AG369" s="0" t="inlineStr">
        <is>
          <t>경상남도 창원시 성산구 신사로 64</t>
        </is>
      </c>
      <c r="AH369" s="0" t="n">
        <v>0</v>
      </c>
      <c r="AI369" s="0" t="n">
        <v>91</v>
      </c>
      <c r="AJ369" s="0" t="n">
        <v>18</v>
      </c>
      <c r="AK369" s="0" t="n">
        <v>1500</v>
      </c>
      <c r="AL369" s="0" t="n">
        <v>1</v>
      </c>
    </row>
    <row r="370">
      <c r="A370" s="0" t="inlineStr">
        <is>
          <t>[신촌동]</t>
        </is>
      </c>
      <c r="B370" s="0" t="n">
        <v>101109</v>
      </c>
      <c r="C370" s="0" t="n">
        <v>1</v>
      </c>
      <c r="D370" s="0" t="inlineStr">
        <is>
          <t>문창팀버빌리지</t>
        </is>
      </c>
      <c r="E370" s="0" t="inlineStr">
        <is>
          <t>2003.12.</t>
        </is>
      </c>
      <c r="F370" s="0" t="n">
        <v>80</v>
      </c>
      <c r="G370" s="0" t="n">
        <v>20.09</v>
      </c>
      <c r="H370" s="0" t="n">
        <v>66.42</v>
      </c>
      <c r="I370" s="0" t="n">
        <v>15.79</v>
      </c>
      <c r="J370" s="0" t="n">
        <v>52.2</v>
      </c>
      <c r="K370" s="0" t="n">
        <v>2</v>
      </c>
      <c r="T370" s="0" t="n">
        <v>3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5</v>
      </c>
      <c r="Y370" s="0" t="n">
        <v>5</v>
      </c>
      <c r="Z370" s="0" t="inlineStr">
        <is>
          <t>https://new.land.naver.com/complexes/101109?tab=detail&amp;rf=Y</t>
        </is>
      </c>
      <c r="AA370" s="0" t="inlineStr">
        <is>
          <t>경상남도 창원시 성산구 신촌동 27-1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성산구</t>
        </is>
      </c>
      <c r="AE370" s="0" t="inlineStr">
        <is>
          <t>신촌동</t>
        </is>
      </c>
      <c r="AG370" s="0" t="inlineStr">
        <is>
          <t>경상남도 창원시 성산구 신촌로134번길 33</t>
        </is>
      </c>
      <c r="AH370" s="0" t="n">
        <v>0</v>
      </c>
      <c r="AI370" s="0" t="n">
        <v>134</v>
      </c>
      <c r="AJ370" s="0" t="n">
        <v>35</v>
      </c>
      <c r="AK370" s="0" t="n">
        <v>94</v>
      </c>
      <c r="AL370" s="0" t="n">
        <v>1.18</v>
      </c>
    </row>
    <row r="371">
      <c r="A371" s="0" t="inlineStr">
        <is>
          <t>[신촌동]</t>
        </is>
      </c>
      <c r="B371" s="0" t="n">
        <v>101109</v>
      </c>
      <c r="C371" s="0" t="n">
        <v>2</v>
      </c>
      <c r="D371" s="0" t="inlineStr">
        <is>
          <t>문창팀버빌리지</t>
        </is>
      </c>
      <c r="E371" s="0" t="inlineStr">
        <is>
          <t>2003.12.</t>
        </is>
      </c>
      <c r="F371" s="0" t="n">
        <v>80</v>
      </c>
      <c r="G371" s="0" t="n">
        <v>31.98</v>
      </c>
      <c r="H371" s="0" t="n">
        <v>105.73</v>
      </c>
      <c r="I371" s="0" t="n">
        <v>25.47</v>
      </c>
      <c r="J371" s="0" t="n">
        <v>84.22</v>
      </c>
      <c r="K371" s="0" t="n">
        <v>58</v>
      </c>
      <c r="T371" s="0" t="n">
        <v>3</v>
      </c>
      <c r="U371" s="0" t="n">
        <v>1</v>
      </c>
      <c r="V371" s="0" t="inlineStr">
        <is>
          <t>복도식</t>
        </is>
      </c>
      <c r="W371" s="0" t="n">
        <v>105</v>
      </c>
      <c r="X371" s="0" t="n">
        <v>5</v>
      </c>
      <c r="Y371" s="0" t="n">
        <v>5</v>
      </c>
      <c r="Z371" s="0" t="inlineStr">
        <is>
          <t>https://new.land.naver.com/complexes/101109?tab=detail&amp;rf=Y</t>
        </is>
      </c>
      <c r="AA371" s="0" t="inlineStr">
        <is>
          <t>경상남도 창원시 성산구 신촌동 27-1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성산구</t>
        </is>
      </c>
      <c r="AE371" s="0" t="inlineStr">
        <is>
          <t>신촌동</t>
        </is>
      </c>
      <c r="AG371" s="0" t="inlineStr">
        <is>
          <t>경상남도 창원시 성산구 신촌로134번길 33</t>
        </is>
      </c>
      <c r="AH371" s="0" t="n">
        <v>0</v>
      </c>
      <c r="AI371" s="0" t="n">
        <v>134</v>
      </c>
      <c r="AJ371" s="0" t="n">
        <v>35</v>
      </c>
      <c r="AK371" s="0" t="n">
        <v>94</v>
      </c>
      <c r="AL371" s="0" t="n">
        <v>1.18</v>
      </c>
    </row>
    <row r="372">
      <c r="A372" s="0" t="inlineStr">
        <is>
          <t>[신촌동]</t>
        </is>
      </c>
      <c r="B372" s="0" t="n">
        <v>101109</v>
      </c>
      <c r="C372" s="0" t="n">
        <v>3</v>
      </c>
      <c r="D372" s="0" t="inlineStr">
        <is>
          <t>문창팀버빌리지</t>
        </is>
      </c>
      <c r="E372" s="0" t="inlineStr">
        <is>
          <t>2003.12.</t>
        </is>
      </c>
      <c r="F372" s="0" t="n">
        <v>80</v>
      </c>
      <c r="G372" s="0" t="n">
        <v>42.81</v>
      </c>
      <c r="H372" s="0" t="n">
        <v>141.53</v>
      </c>
      <c r="I372" s="0" t="n">
        <v>37.06</v>
      </c>
      <c r="J372" s="0" t="n">
        <v>122.54</v>
      </c>
      <c r="K372" s="0" t="n">
        <v>20</v>
      </c>
      <c r="T372" s="0" t="n">
        <v>4</v>
      </c>
      <c r="U372" s="0" t="n">
        <v>2</v>
      </c>
      <c r="V372" s="0" t="inlineStr">
        <is>
          <t>복도식</t>
        </is>
      </c>
      <c r="W372" s="0" t="n">
        <v>141</v>
      </c>
      <c r="X372" s="0" t="n">
        <v>5</v>
      </c>
      <c r="Y372" s="0" t="n">
        <v>5</v>
      </c>
      <c r="Z372" s="0" t="inlineStr">
        <is>
          <t>https://new.land.naver.com/complexes/101109?tab=detail&amp;rf=Y</t>
        </is>
      </c>
      <c r="AA372" s="0" t="inlineStr">
        <is>
          <t>경상남도 창원시 성산구 신촌동 27-1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성산구</t>
        </is>
      </c>
      <c r="AE372" s="0" t="inlineStr">
        <is>
          <t>신촌동</t>
        </is>
      </c>
      <c r="AG372" s="0" t="inlineStr">
        <is>
          <t>경상남도 창원시 성산구 신촌로134번길 33</t>
        </is>
      </c>
      <c r="AH372" s="0" t="n">
        <v>0</v>
      </c>
      <c r="AI372" s="0" t="n">
        <v>134</v>
      </c>
      <c r="AJ372" s="0" t="n">
        <v>35</v>
      </c>
      <c r="AK372" s="0" t="n">
        <v>94</v>
      </c>
      <c r="AL372" s="0" t="n">
        <v>1.18</v>
      </c>
    </row>
    <row r="373">
      <c r="A373" s="0" t="inlineStr">
        <is>
          <t>[신촌동]</t>
        </is>
      </c>
      <c r="B373" s="0" t="n">
        <v>27288</v>
      </c>
      <c r="C373" s="0" t="n">
        <v>1</v>
      </c>
      <c r="D373" s="0" t="inlineStr">
        <is>
          <t>창원신촌동원로얄듀크</t>
        </is>
      </c>
      <c r="E373" s="0" t="inlineStr">
        <is>
          <t>2008.10.</t>
        </is>
      </c>
      <c r="F373" s="0" t="n">
        <v>225</v>
      </c>
      <c r="G373" s="0" t="n">
        <v>33.56</v>
      </c>
      <c r="H373" s="0" t="n">
        <v>110.95</v>
      </c>
      <c r="I373" s="0" t="n">
        <v>25.7</v>
      </c>
      <c r="J373" s="0" t="n">
        <v>84.98</v>
      </c>
      <c r="K373" s="0" t="n">
        <v>100</v>
      </c>
      <c r="T373" s="0" t="n">
        <v>3</v>
      </c>
      <c r="U373" s="0" t="n">
        <v>2</v>
      </c>
      <c r="V373" s="0" t="inlineStr">
        <is>
          <t>복도식</t>
        </is>
      </c>
      <c r="W373" s="0" t="inlineStr">
        <is>
          <t>110A</t>
        </is>
      </c>
      <c r="X373" s="0" t="n">
        <v>15</v>
      </c>
      <c r="Y373" s="0" t="n">
        <v>13</v>
      </c>
      <c r="Z373" s="0" t="inlineStr">
        <is>
          <t>https://new.land.naver.com/complexes/27288?tab=detail&amp;rf=Y</t>
        </is>
      </c>
      <c r="AA373" s="0" t="inlineStr">
        <is>
          <t>경상남도 창원시 성산구 신촌동 33-8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성산구</t>
        </is>
      </c>
      <c r="AE373" s="0" t="inlineStr">
        <is>
          <t>신촌동</t>
        </is>
      </c>
      <c r="AG373" s="0" t="inlineStr">
        <is>
          <t>경상남도 창원시 성산구 신촌로 130</t>
        </is>
      </c>
      <c r="AH373" s="0" t="n">
        <v>0</v>
      </c>
      <c r="AI373" s="0" t="n">
        <v>164</v>
      </c>
      <c r="AJ373" s="0" t="n">
        <v>17</v>
      </c>
      <c r="AK373" s="0" t="n">
        <v>346</v>
      </c>
      <c r="AL373" s="0" t="n">
        <v>1.54</v>
      </c>
    </row>
    <row r="374">
      <c r="A374" s="0" t="inlineStr">
        <is>
          <t>[신촌동]</t>
        </is>
      </c>
      <c r="B374" s="0" t="n">
        <v>27288</v>
      </c>
      <c r="C374" s="0" t="n">
        <v>2</v>
      </c>
      <c r="D374" s="0" t="inlineStr">
        <is>
          <t>창원신촌동원로얄듀크</t>
        </is>
      </c>
      <c r="E374" s="0" t="inlineStr">
        <is>
          <t>2008.10.</t>
        </is>
      </c>
      <c r="F374" s="0" t="n">
        <v>225</v>
      </c>
      <c r="G374" s="0" t="n">
        <v>33.56</v>
      </c>
      <c r="H374" s="0" t="n">
        <v>110.95</v>
      </c>
      <c r="I374" s="0" t="n">
        <v>25.7</v>
      </c>
      <c r="J374" s="0" t="n">
        <v>84.98</v>
      </c>
      <c r="K374" s="0" t="n">
        <v>45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110B</t>
        </is>
      </c>
      <c r="X374" s="0" t="n">
        <v>15</v>
      </c>
      <c r="Y374" s="0" t="n">
        <v>13</v>
      </c>
      <c r="Z374" s="0" t="inlineStr">
        <is>
          <t>https://new.land.naver.com/complexes/27288?tab=detail&amp;rf=Y</t>
        </is>
      </c>
      <c r="AA374" s="0" t="inlineStr">
        <is>
          <t>경상남도 창원시 성산구 신촌동 33-8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성산구</t>
        </is>
      </c>
      <c r="AE374" s="0" t="inlineStr">
        <is>
          <t>신촌동</t>
        </is>
      </c>
      <c r="AG374" s="0" t="inlineStr">
        <is>
          <t>경상남도 창원시 성산구 신촌로 130</t>
        </is>
      </c>
      <c r="AH374" s="0" t="n">
        <v>0</v>
      </c>
      <c r="AI374" s="0" t="n">
        <v>164</v>
      </c>
      <c r="AJ374" s="0" t="n">
        <v>17</v>
      </c>
      <c r="AK374" s="0" t="n">
        <v>346</v>
      </c>
      <c r="AL374" s="0" t="n">
        <v>1.54</v>
      </c>
    </row>
    <row r="375">
      <c r="A375" s="0" t="inlineStr">
        <is>
          <t>[신촌동]</t>
        </is>
      </c>
      <c r="B375" s="0" t="n">
        <v>27288</v>
      </c>
      <c r="C375" s="0" t="n">
        <v>3</v>
      </c>
      <c r="D375" s="0" t="inlineStr">
        <is>
          <t>창원신촌동원로얄듀크</t>
        </is>
      </c>
      <c r="E375" s="0" t="inlineStr">
        <is>
          <t>2008.10.</t>
        </is>
      </c>
      <c r="F375" s="0" t="n">
        <v>225</v>
      </c>
      <c r="G375" s="0" t="n">
        <v>45.04</v>
      </c>
      <c r="H375" s="0" t="n">
        <v>148.9</v>
      </c>
      <c r="I375" s="0" t="n">
        <v>36.79</v>
      </c>
      <c r="J375" s="0" t="n">
        <v>121.63</v>
      </c>
      <c r="K375" s="0" t="n">
        <v>60</v>
      </c>
      <c r="T375" s="0" t="n">
        <v>4</v>
      </c>
      <c r="U375" s="0" t="n">
        <v>2</v>
      </c>
      <c r="V375" s="0" t="inlineStr">
        <is>
          <t>복도식</t>
        </is>
      </c>
      <c r="W375" s="0" t="inlineStr">
        <is>
          <t>148C</t>
        </is>
      </c>
      <c r="X375" s="0" t="n">
        <v>15</v>
      </c>
      <c r="Y375" s="0" t="n">
        <v>13</v>
      </c>
      <c r="Z375" s="0" t="inlineStr">
        <is>
          <t>https://new.land.naver.com/complexes/27288?tab=detail&amp;rf=Y</t>
        </is>
      </c>
      <c r="AA375" s="0" t="inlineStr">
        <is>
          <t>경상남도 창원시 성산구 신촌동 33-8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성산구</t>
        </is>
      </c>
      <c r="AE375" s="0" t="inlineStr">
        <is>
          <t>신촌동</t>
        </is>
      </c>
      <c r="AG375" s="0" t="inlineStr">
        <is>
          <t>경상남도 창원시 성산구 신촌로 130</t>
        </is>
      </c>
      <c r="AH375" s="0" t="n">
        <v>0</v>
      </c>
      <c r="AI375" s="0" t="n">
        <v>164</v>
      </c>
      <c r="AJ375" s="0" t="n">
        <v>17</v>
      </c>
      <c r="AK375" s="0" t="n">
        <v>346</v>
      </c>
      <c r="AL375" s="0" t="n">
        <v>1.54</v>
      </c>
    </row>
    <row r="376">
      <c r="A376" s="0" t="inlineStr">
        <is>
          <t>[신촌동]</t>
        </is>
      </c>
      <c r="B376" s="0" t="n">
        <v>27288</v>
      </c>
      <c r="C376" s="0" t="n">
        <v>4</v>
      </c>
      <c r="D376" s="0" t="inlineStr">
        <is>
          <t>창원신촌동원로얄듀크</t>
        </is>
      </c>
      <c r="E376" s="0" t="inlineStr">
        <is>
          <t>2008.10.</t>
        </is>
      </c>
      <c r="F376" s="0" t="n">
        <v>225</v>
      </c>
      <c r="G376" s="0" t="n">
        <v>45.04</v>
      </c>
      <c r="H376" s="0" t="n">
        <v>148.9</v>
      </c>
      <c r="I376" s="0" t="n">
        <v>36.79</v>
      </c>
      <c r="J376" s="0" t="n">
        <v>121.63</v>
      </c>
      <c r="K376" s="0" t="n">
        <v>20</v>
      </c>
      <c r="T376" s="0" t="n">
        <v>4</v>
      </c>
      <c r="U376" s="0" t="n">
        <v>2</v>
      </c>
      <c r="V376" s="0" t="inlineStr">
        <is>
          <t>복도식</t>
        </is>
      </c>
      <c r="W376" s="0" t="inlineStr">
        <is>
          <t>148D</t>
        </is>
      </c>
      <c r="X376" s="0" t="n">
        <v>15</v>
      </c>
      <c r="Y376" s="0" t="n">
        <v>13</v>
      </c>
      <c r="Z376" s="0" t="inlineStr">
        <is>
          <t>https://new.land.naver.com/complexes/27288?tab=detail&amp;rf=Y</t>
        </is>
      </c>
      <c r="AA376" s="0" t="inlineStr">
        <is>
          <t>경상남도 창원시 성산구 신촌동 33-8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성산구</t>
        </is>
      </c>
      <c r="AE376" s="0" t="inlineStr">
        <is>
          <t>신촌동</t>
        </is>
      </c>
      <c r="AG376" s="0" t="inlineStr">
        <is>
          <t>경상남도 창원시 성산구 신촌로 130</t>
        </is>
      </c>
      <c r="AH376" s="0" t="n">
        <v>0</v>
      </c>
      <c r="AI376" s="0" t="n">
        <v>164</v>
      </c>
      <c r="AJ376" s="0" t="n">
        <v>17</v>
      </c>
      <c r="AK376" s="0" t="n">
        <v>346</v>
      </c>
      <c r="AL376" s="0" t="n">
        <v>1.54</v>
      </c>
    </row>
    <row r="377">
      <c r="A377" s="0" t="inlineStr">
        <is>
          <t>[신촌동]</t>
        </is>
      </c>
      <c r="B377" s="0" t="n">
        <v>112009</v>
      </c>
      <c r="C377" s="0" t="n">
        <v>1</v>
      </c>
      <c r="D377" s="0" t="inlineStr">
        <is>
          <t>창원신촌동원로얄듀크2차</t>
        </is>
      </c>
      <c r="E377" s="0" t="inlineStr">
        <is>
          <t>2009.02.</t>
        </is>
      </c>
      <c r="F377" s="0" t="n">
        <v>31</v>
      </c>
      <c r="G377" s="0" t="n">
        <v>38.77</v>
      </c>
      <c r="H377" s="0" t="n">
        <v>128.19</v>
      </c>
      <c r="I377" s="0" t="n">
        <v>32.49</v>
      </c>
      <c r="J377" s="0" t="n">
        <v>107.43</v>
      </c>
      <c r="K377" s="0" t="n">
        <v>31</v>
      </c>
      <c r="T377" s="0" t="n">
        <v>4</v>
      </c>
      <c r="U377" s="0" t="n">
        <v>2</v>
      </c>
      <c r="V377" s="0" t="inlineStr">
        <is>
          <t>복도식</t>
        </is>
      </c>
      <c r="W377" s="0" t="n">
        <v>128</v>
      </c>
      <c r="X377" s="0" t="n">
        <v>8</v>
      </c>
      <c r="Y377" s="0" t="n">
        <v>8</v>
      </c>
      <c r="Z377" s="0" t="inlineStr">
        <is>
          <t>https://new.land.naver.com/complexes/112009?tab=detail&amp;rf=Y</t>
        </is>
      </c>
      <c r="AA377" s="0" t="inlineStr">
        <is>
          <t>경상남도 창원시 성산구 신촌동 33-10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성산구</t>
        </is>
      </c>
      <c r="AE377" s="0" t="inlineStr">
        <is>
          <t>신촌동</t>
        </is>
      </c>
      <c r="AG377" s="0" t="inlineStr">
        <is>
          <t>경상남도 창원시 성산구 신촌로 130</t>
        </is>
      </c>
      <c r="AH377" s="0" t="n">
        <v>0</v>
      </c>
      <c r="AI377" s="0" t="n">
        <v>151</v>
      </c>
      <c r="AJ377" s="0" t="n">
        <v>22</v>
      </c>
      <c r="AK377" s="0" t="n">
        <v>46</v>
      </c>
      <c r="AL377" s="0" t="n">
        <v>1.48</v>
      </c>
    </row>
    <row r="378">
      <c r="A378" s="0" t="inlineStr">
        <is>
          <t>[신촌동]</t>
        </is>
      </c>
      <c r="B378" s="0" t="n">
        <v>7854</v>
      </c>
      <c r="C378" s="0" t="n">
        <v>1</v>
      </c>
      <c r="D378" s="0" t="inlineStr">
        <is>
          <t>동성2차(21-6)</t>
        </is>
      </c>
      <c r="E378" s="0" t="inlineStr">
        <is>
          <t>1987.08.</t>
        </is>
      </c>
      <c r="F378" s="0" t="n">
        <v>300</v>
      </c>
      <c r="G378" s="0" t="n">
        <v>20.14</v>
      </c>
      <c r="H378" s="0" t="n">
        <v>66.58</v>
      </c>
      <c r="I378" s="0" t="n">
        <v>18.14</v>
      </c>
      <c r="J378" s="0" t="n">
        <v>59.97</v>
      </c>
      <c r="K378" s="0" t="n">
        <v>250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66B</t>
        </is>
      </c>
      <c r="X378" s="0" t="n">
        <v>5</v>
      </c>
      <c r="Y378" s="0" t="n">
        <v>5</v>
      </c>
      <c r="Z378" s="0" t="inlineStr">
        <is>
          <t>https://new.land.naver.com/complexes/7854?tab=detail&amp;rf=Y</t>
        </is>
      </c>
      <c r="AA378" s="0" t="inlineStr">
        <is>
          <t>경상남도 창원시 성산구 신촌동 21-6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성산구</t>
        </is>
      </c>
      <c r="AE378" s="0" t="inlineStr">
        <is>
          <t>신촌동</t>
        </is>
      </c>
      <c r="AG378" s="0" t="inlineStr">
        <is>
          <t>경상남도 창원시 성산구 신촌로 63</t>
        </is>
      </c>
      <c r="AH378" s="0" t="n">
        <v>0</v>
      </c>
      <c r="AI378" s="0" t="n">
        <v>131</v>
      </c>
      <c r="AJ378" s="0" t="n">
        <v>61</v>
      </c>
      <c r="AK378" s="0" t="n">
        <v>0</v>
      </c>
      <c r="AL378" s="0" t="n">
        <v>0</v>
      </c>
    </row>
    <row r="379">
      <c r="A379" s="0" t="inlineStr">
        <is>
          <t>[신촌동]</t>
        </is>
      </c>
      <c r="B379" s="0" t="n">
        <v>7854</v>
      </c>
      <c r="C379" s="0" t="n">
        <v>2</v>
      </c>
      <c r="D379" s="0" t="inlineStr">
        <is>
          <t>동성2차(21-6)</t>
        </is>
      </c>
      <c r="E379" s="0" t="inlineStr">
        <is>
          <t>1987.08.</t>
        </is>
      </c>
      <c r="F379" s="0" t="n">
        <v>300</v>
      </c>
      <c r="G379" s="0" t="n">
        <v>20.06</v>
      </c>
      <c r="H379" s="0" t="n">
        <v>66.34</v>
      </c>
      <c r="I379" s="0" t="n">
        <v>18.06</v>
      </c>
      <c r="J379" s="0" t="n">
        <v>59.73</v>
      </c>
      <c r="K379" s="0" t="n">
        <v>50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66A</t>
        </is>
      </c>
      <c r="X379" s="0" t="n">
        <v>5</v>
      </c>
      <c r="Y379" s="0" t="n">
        <v>5</v>
      </c>
      <c r="Z379" s="0" t="inlineStr">
        <is>
          <t>https://new.land.naver.com/complexes/7854?tab=detail&amp;rf=Y</t>
        </is>
      </c>
      <c r="AA379" s="0" t="inlineStr">
        <is>
          <t>경상남도 창원시 성산구 신촌동 21-6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성산구</t>
        </is>
      </c>
      <c r="AE379" s="0" t="inlineStr">
        <is>
          <t>신촌동</t>
        </is>
      </c>
      <c r="AG379" s="0" t="inlineStr">
        <is>
          <t>경상남도 창원시 성산구 신촌로 63</t>
        </is>
      </c>
      <c r="AH379" s="0" t="n">
        <v>0</v>
      </c>
      <c r="AI379" s="0" t="n">
        <v>131</v>
      </c>
      <c r="AJ379" s="0" t="n">
        <v>61</v>
      </c>
      <c r="AK379" s="0" t="n">
        <v>0</v>
      </c>
      <c r="AL379" s="0" t="n">
        <v>0</v>
      </c>
    </row>
    <row r="380">
      <c r="A380" s="0" t="inlineStr">
        <is>
          <t>[신촌동]</t>
        </is>
      </c>
      <c r="B380" s="0" t="n">
        <v>7856</v>
      </c>
      <c r="C380" s="0" t="n">
        <v>1</v>
      </c>
      <c r="D380" s="0" t="inlineStr">
        <is>
          <t>양곡상가</t>
        </is>
      </c>
      <c r="E380" s="0" t="inlineStr">
        <is>
          <t>1979.09.</t>
        </is>
      </c>
      <c r="F380" s="0" t="n">
        <v>330</v>
      </c>
      <c r="G380" s="0" t="n">
        <v>25</v>
      </c>
      <c r="H380" s="0" t="n">
        <v>82.65000000000001</v>
      </c>
      <c r="I380" s="0" t="n">
        <v>18.95</v>
      </c>
      <c r="J380" s="0" t="n">
        <v>62.65</v>
      </c>
      <c r="K380" s="0" t="n">
        <v>264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82</v>
      </c>
      <c r="X380" s="0" t="n">
        <v>12</v>
      </c>
      <c r="Y380" s="0" t="n">
        <v>12</v>
      </c>
      <c r="Z380" s="0" t="inlineStr">
        <is>
          <t>https://new.land.naver.com/complexes/7856?tab=detail&amp;rf=Y</t>
        </is>
      </c>
      <c r="AA380" s="0" t="inlineStr">
        <is>
          <t>경상남도 창원시 성산구 신촌동 22-1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성산구</t>
        </is>
      </c>
      <c r="AE380" s="0" t="inlineStr">
        <is>
          <t>신촌동</t>
        </is>
      </c>
      <c r="AG380" s="0" t="inlineStr">
        <is>
          <t>경상남도 창원시 성산구 신촌로 83</t>
        </is>
      </c>
      <c r="AH380" s="0" t="n">
        <v>0</v>
      </c>
      <c r="AI380" s="0" t="n">
        <v>0</v>
      </c>
      <c r="AJ380" s="0" t="n">
        <v>0</v>
      </c>
      <c r="AK380" s="0" t="n">
        <v>330</v>
      </c>
      <c r="AL380" s="0" t="n">
        <v>1</v>
      </c>
    </row>
    <row r="381">
      <c r="A381" s="0" t="inlineStr">
        <is>
          <t>[신촌동]</t>
        </is>
      </c>
      <c r="B381" s="0" t="n">
        <v>7856</v>
      </c>
      <c r="C381" s="0" t="n">
        <v>2</v>
      </c>
      <c r="D381" s="0" t="inlineStr">
        <is>
          <t>양곡상가</t>
        </is>
      </c>
      <c r="E381" s="0" t="inlineStr">
        <is>
          <t>1979.09.</t>
        </is>
      </c>
      <c r="F381" s="0" t="n">
        <v>330</v>
      </c>
      <c r="G381" s="0" t="n">
        <v>32</v>
      </c>
      <c r="H381" s="0" t="n">
        <v>105.79</v>
      </c>
      <c r="I381" s="0" t="n">
        <v>24.87</v>
      </c>
      <c r="J381" s="0" t="n">
        <v>82.22</v>
      </c>
      <c r="K381" s="0" t="n">
        <v>66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105</v>
      </c>
      <c r="X381" s="0" t="n">
        <v>12</v>
      </c>
      <c r="Y381" s="0" t="n">
        <v>12</v>
      </c>
      <c r="Z381" s="0" t="inlineStr">
        <is>
          <t>https://new.land.naver.com/complexes/7856?tab=detail&amp;rf=Y</t>
        </is>
      </c>
      <c r="AA381" s="0" t="inlineStr">
        <is>
          <t>경상남도 창원시 성산구 신촌동 22-1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성산구</t>
        </is>
      </c>
      <c r="AE381" s="0" t="inlineStr">
        <is>
          <t>신촌동</t>
        </is>
      </c>
      <c r="AG381" s="0" t="inlineStr">
        <is>
          <t>경상남도 창원시 성산구 신촌로 83</t>
        </is>
      </c>
      <c r="AH381" s="0" t="n">
        <v>0</v>
      </c>
      <c r="AI381" s="0" t="n">
        <v>0</v>
      </c>
      <c r="AJ381" s="0" t="n">
        <v>0</v>
      </c>
      <c r="AK381" s="0" t="n">
        <v>330</v>
      </c>
      <c r="AL381" s="0" t="n">
        <v>1</v>
      </c>
    </row>
    <row r="382">
      <c r="A382" s="0" t="inlineStr">
        <is>
          <t>[신촌동]</t>
        </is>
      </c>
      <c r="B382" s="0" t="n">
        <v>16831</v>
      </c>
      <c r="C382" s="0" t="n">
        <v>1</v>
      </c>
      <c r="D382" s="0" t="inlineStr">
        <is>
          <t>영흥철강(주)사원</t>
        </is>
      </c>
      <c r="E382" s="0" t="inlineStr">
        <is>
          <t>1981.07.</t>
        </is>
      </c>
      <c r="F382" s="0" t="n">
        <v>100</v>
      </c>
      <c r="G382" s="0" t="n">
        <v>14.52</v>
      </c>
      <c r="H382" s="0" t="n">
        <v>48</v>
      </c>
      <c r="I382" s="0" t="n">
        <v>12.59</v>
      </c>
      <c r="J382" s="0" t="n">
        <v>41.65</v>
      </c>
      <c r="K382" s="0" t="n">
        <v>100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48</v>
      </c>
      <c r="X382" s="0" t="n">
        <v>5</v>
      </c>
      <c r="Y382" s="0" t="n">
        <v>5</v>
      </c>
      <c r="Z382" s="0" t="inlineStr">
        <is>
          <t>https://new.land.naver.com/complexes/16831?tab=detail&amp;rf=Y</t>
        </is>
      </c>
      <c r="AA382" s="0" t="inlineStr">
        <is>
          <t>경상남도 창원시 성산구 신촌동 23-1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성산구</t>
        </is>
      </c>
      <c r="AE382" s="0" t="inlineStr">
        <is>
          <t>신촌동</t>
        </is>
      </c>
      <c r="AG382" s="0" t="inlineStr">
        <is>
          <t>경상남도 창원시 성산구 신촌로 107</t>
        </is>
      </c>
      <c r="AH382" s="0" t="n">
        <v>0</v>
      </c>
      <c r="AI382" s="0" t="n">
        <v>101</v>
      </c>
      <c r="AJ382" s="0" t="n">
        <v>20</v>
      </c>
      <c r="AK382" s="0" t="n">
        <v>0</v>
      </c>
      <c r="AL382" s="0" t="n">
        <v>0</v>
      </c>
    </row>
    <row r="383">
      <c r="A383" s="0" t="inlineStr">
        <is>
          <t>[신촌동]</t>
        </is>
      </c>
      <c r="B383" s="0" t="n">
        <v>100915</v>
      </c>
      <c r="C383" s="0" t="n">
        <v>1</v>
      </c>
      <c r="D383" s="0" t="inlineStr">
        <is>
          <t>동성맨션</t>
        </is>
      </c>
      <c r="E383" s="0" t="inlineStr">
        <is>
          <t>1987.06.</t>
        </is>
      </c>
      <c r="F383" s="0" t="n">
        <v>80</v>
      </c>
      <c r="G383" s="0" t="n">
        <v>24.94</v>
      </c>
      <c r="H383" s="0" t="n">
        <v>82.45999999999999</v>
      </c>
      <c r="I383" s="0" t="n">
        <v>22.85</v>
      </c>
      <c r="J383" s="0" t="n">
        <v>75.56999999999999</v>
      </c>
      <c r="K383" s="0" t="n">
        <v>80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82</v>
      </c>
      <c r="X383" s="0" t="n">
        <v>5</v>
      </c>
      <c r="Y383" s="0" t="n">
        <v>5</v>
      </c>
      <c r="Z383" s="0" t="inlineStr">
        <is>
          <t>https://new.land.naver.com/complexes/100915?tab=detail&amp;rf=Y</t>
        </is>
      </c>
      <c r="AA383" s="0" t="inlineStr">
        <is>
          <t>경상남도 창원시 성산구 신촌동 23-5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성산구</t>
        </is>
      </c>
      <c r="AE383" s="0" t="inlineStr">
        <is>
          <t>신촌동</t>
        </is>
      </c>
      <c r="AG383" s="0" t="inlineStr">
        <is>
          <t>경상남도 창원시 성산구 신촌로 113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[신촌동]</t>
        </is>
      </c>
      <c r="B384" s="0" t="n">
        <v>15796</v>
      </c>
      <c r="C384" s="0" t="n">
        <v>1</v>
      </c>
      <c r="D384" s="0" t="inlineStr">
        <is>
          <t>동성2차(21-5)</t>
        </is>
      </c>
      <c r="E384" s="0" t="inlineStr">
        <is>
          <t>1989.03.</t>
        </is>
      </c>
      <c r="F384" s="0" t="n">
        <v>130</v>
      </c>
      <c r="G384" s="0" t="n">
        <v>29.78</v>
      </c>
      <c r="H384" s="0" t="n">
        <v>98.45</v>
      </c>
      <c r="I384" s="0" t="n">
        <v>25.6</v>
      </c>
      <c r="J384" s="0" t="n">
        <v>84.65000000000001</v>
      </c>
      <c r="K384" s="0" t="n">
        <v>30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98</v>
      </c>
      <c r="X384" s="0" t="n">
        <v>5</v>
      </c>
      <c r="Y384" s="0" t="n">
        <v>5</v>
      </c>
      <c r="Z384" s="0" t="inlineStr">
        <is>
          <t>https://new.land.naver.com/complexes/15796?tab=detail&amp;rf=Y</t>
        </is>
      </c>
      <c r="AA384" s="0" t="inlineStr">
        <is>
          <t>경상남도 창원시 성산구 신촌동 21-5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성산구</t>
        </is>
      </c>
      <c r="AE384" s="0" t="inlineStr">
        <is>
          <t>신촌동</t>
        </is>
      </c>
      <c r="AG384" s="0" t="inlineStr">
        <is>
          <t>경상남도 창원시 성산구 신촌로 43</t>
        </is>
      </c>
      <c r="AH384" s="0" t="n">
        <v>0</v>
      </c>
      <c r="AI384" s="0" t="n">
        <v>145</v>
      </c>
      <c r="AJ384" s="0" t="n">
        <v>29</v>
      </c>
      <c r="AK384" s="0" t="n">
        <v>0</v>
      </c>
      <c r="AL384" s="0" t="n">
        <v>0</v>
      </c>
    </row>
    <row r="385">
      <c r="A385" s="0" t="inlineStr">
        <is>
          <t>[신촌동]</t>
        </is>
      </c>
      <c r="B385" s="0" t="n">
        <v>15796</v>
      </c>
      <c r="C385" s="0" t="n">
        <v>2</v>
      </c>
      <c r="D385" s="0" t="inlineStr">
        <is>
          <t>동성2차(21-5)</t>
        </is>
      </c>
      <c r="E385" s="0" t="inlineStr">
        <is>
          <t>1989.03.</t>
        </is>
      </c>
      <c r="F385" s="0" t="n">
        <v>130</v>
      </c>
      <c r="G385" s="0" t="n">
        <v>43.39</v>
      </c>
      <c r="H385" s="0" t="n">
        <v>143.45</v>
      </c>
      <c r="I385" s="0" t="n">
        <v>38.18</v>
      </c>
      <c r="J385" s="0" t="n">
        <v>126.24</v>
      </c>
      <c r="K385" s="0" t="n">
        <v>80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143</v>
      </c>
      <c r="X385" s="0" t="n">
        <v>5</v>
      </c>
      <c r="Y385" s="0" t="n">
        <v>5</v>
      </c>
      <c r="Z385" s="0" t="inlineStr">
        <is>
          <t>https://new.land.naver.com/complexes/15796?tab=detail&amp;rf=Y</t>
        </is>
      </c>
      <c r="AA385" s="0" t="inlineStr">
        <is>
          <t>경상남도 창원시 성산구 신촌동 21-5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성산구</t>
        </is>
      </c>
      <c r="AE385" s="0" t="inlineStr">
        <is>
          <t>신촌동</t>
        </is>
      </c>
      <c r="AG385" s="0" t="inlineStr">
        <is>
          <t>경상남도 창원시 성산구 신촌로 43</t>
        </is>
      </c>
      <c r="AH385" s="0" t="n">
        <v>0</v>
      </c>
      <c r="AI385" s="0" t="n">
        <v>145</v>
      </c>
      <c r="AJ385" s="0" t="n">
        <v>29</v>
      </c>
      <c r="AK385" s="0" t="n">
        <v>0</v>
      </c>
      <c r="AL385" s="0" t="n">
        <v>0</v>
      </c>
    </row>
    <row r="386">
      <c r="A386" s="0" t="inlineStr">
        <is>
          <t>[신촌동]</t>
        </is>
      </c>
      <c r="B386" s="0" t="n">
        <v>15796</v>
      </c>
      <c r="C386" s="0" t="n">
        <v>3</v>
      </c>
      <c r="D386" s="0" t="inlineStr">
        <is>
          <t>동성2차(21-5)</t>
        </is>
      </c>
      <c r="E386" s="0" t="inlineStr">
        <is>
          <t>1989.03.</t>
        </is>
      </c>
      <c r="F386" s="0" t="n">
        <v>130</v>
      </c>
      <c r="G386" s="0" t="n">
        <v>54.42</v>
      </c>
      <c r="H386" s="0" t="n">
        <v>179.92</v>
      </c>
      <c r="I386" s="0" t="n">
        <v>48.02</v>
      </c>
      <c r="J386" s="0" t="n">
        <v>158.76</v>
      </c>
      <c r="K386" s="0" t="n">
        <v>20</v>
      </c>
      <c r="T386" s="0" t="n">
        <v>5</v>
      </c>
      <c r="U386" s="0" t="n">
        <v>2</v>
      </c>
      <c r="V386" s="0" t="inlineStr">
        <is>
          <t>계단식</t>
        </is>
      </c>
      <c r="W386" s="0" t="n">
        <v>179</v>
      </c>
      <c r="X386" s="0" t="n">
        <v>5</v>
      </c>
      <c r="Y386" s="0" t="n">
        <v>5</v>
      </c>
      <c r="Z386" s="0" t="inlineStr">
        <is>
          <t>https://new.land.naver.com/complexes/15796?tab=detail&amp;rf=Y</t>
        </is>
      </c>
      <c r="AA386" s="0" t="inlineStr">
        <is>
          <t>경상남도 창원시 성산구 신촌동 21-5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성산구</t>
        </is>
      </c>
      <c r="AE386" s="0" t="inlineStr">
        <is>
          <t>신촌동</t>
        </is>
      </c>
      <c r="AG386" s="0" t="inlineStr">
        <is>
          <t>경상남도 창원시 성산구 신촌로 43</t>
        </is>
      </c>
      <c r="AH386" s="0" t="n">
        <v>0</v>
      </c>
      <c r="AI386" s="0" t="n">
        <v>145</v>
      </c>
      <c r="AJ386" s="0" t="n">
        <v>29</v>
      </c>
      <c r="AK386" s="0" t="n">
        <v>0</v>
      </c>
      <c r="AL386" s="0" t="n">
        <v>0</v>
      </c>
    </row>
    <row r="387">
      <c r="A387" s="0" t="inlineStr">
        <is>
          <t>[신촌동]</t>
        </is>
      </c>
      <c r="B387" s="0" t="n">
        <v>111980</v>
      </c>
      <c r="C387" s="0" t="n">
        <v>1</v>
      </c>
      <c r="D387" s="0" t="inlineStr">
        <is>
          <t>대원하일라맨션</t>
        </is>
      </c>
      <c r="E387" s="0" t="inlineStr">
        <is>
          <t>1991.01.</t>
        </is>
      </c>
      <c r="F387" s="0" t="n">
        <v>30</v>
      </c>
      <c r="G387" s="0" t="n">
        <v>50.01</v>
      </c>
      <c r="H387" s="0" t="n">
        <v>165.35</v>
      </c>
      <c r="I387" s="0" t="n">
        <v>39.27</v>
      </c>
      <c r="J387" s="0" t="n">
        <v>129.84</v>
      </c>
      <c r="K387" s="0" t="n">
        <v>30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165</v>
      </c>
      <c r="X387" s="0" t="n">
        <v>5</v>
      </c>
      <c r="Y387" s="0" t="n">
        <v>5</v>
      </c>
      <c r="Z387" s="0" t="inlineStr">
        <is>
          <t>https://new.land.naver.com/complexes/111980?tab=detail&amp;rf=Y</t>
        </is>
      </c>
      <c r="AA387" s="0" t="inlineStr">
        <is>
          <t>경상남도 창원시 성산구 신촌동 26-2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성산구</t>
        </is>
      </c>
      <c r="AE387" s="0" t="inlineStr">
        <is>
          <t>신촌동</t>
        </is>
      </c>
      <c r="AG387" s="0" t="inlineStr">
        <is>
          <t>경상남도 창원시 성산구 신촌로 144</t>
        </is>
      </c>
      <c r="AH387" s="0" t="n">
        <v>0</v>
      </c>
      <c r="AI387" s="0" t="n">
        <v>103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[신촌동]</t>
        </is>
      </c>
      <c r="B388" s="0" t="n">
        <v>15798</v>
      </c>
      <c r="C388" s="0" t="n">
        <v>1</v>
      </c>
      <c r="D388" s="0" t="inlineStr">
        <is>
          <t>상림</t>
        </is>
      </c>
      <c r="E388" s="0" t="inlineStr">
        <is>
          <t>1984.02.</t>
        </is>
      </c>
      <c r="F388" s="0" t="n">
        <v>120</v>
      </c>
      <c r="G388" s="0" t="n">
        <v>18.23</v>
      </c>
      <c r="H388" s="0" t="n">
        <v>60.29</v>
      </c>
      <c r="I388" s="0" t="n">
        <v>14.4</v>
      </c>
      <c r="J388" s="0" t="n">
        <v>47.61</v>
      </c>
      <c r="K388" s="0" t="n">
        <v>30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60</v>
      </c>
      <c r="X388" s="0" t="n">
        <v>5</v>
      </c>
      <c r="Y388" s="0" t="n">
        <v>5</v>
      </c>
      <c r="Z388" s="0" t="inlineStr">
        <is>
          <t>https://new.land.naver.com/complexes/15798?tab=detail&amp;rf=Y</t>
        </is>
      </c>
      <c r="AA388" s="0" t="inlineStr">
        <is>
          <t>경상남도 창원시 성산구 신촌동 21-3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성산구</t>
        </is>
      </c>
      <c r="AE388" s="0" t="inlineStr">
        <is>
          <t>신촌동</t>
        </is>
      </c>
      <c r="AG388" s="0" t="inlineStr">
        <is>
          <t>경상남도 창원시 성산구 신촌로 77</t>
        </is>
      </c>
      <c r="AH388" s="0" t="n">
        <v>0</v>
      </c>
      <c r="AI388" s="0" t="n">
        <v>130</v>
      </c>
      <c r="AJ388" s="0" t="n">
        <v>26</v>
      </c>
      <c r="AK388" s="0" t="n">
        <v>0</v>
      </c>
      <c r="AL388" s="0" t="n">
        <v>0</v>
      </c>
    </row>
    <row r="389">
      <c r="A389" s="0" t="inlineStr">
        <is>
          <t>[신촌동]</t>
        </is>
      </c>
      <c r="B389" s="0" t="n">
        <v>15798</v>
      </c>
      <c r="C389" s="0" t="n">
        <v>2</v>
      </c>
      <c r="D389" s="0" t="inlineStr">
        <is>
          <t>상림</t>
        </is>
      </c>
      <c r="E389" s="0" t="inlineStr">
        <is>
          <t>1984.02.</t>
        </is>
      </c>
      <c r="F389" s="0" t="n">
        <v>120</v>
      </c>
      <c r="G389" s="0" t="n">
        <v>21.38</v>
      </c>
      <c r="H389" s="0" t="n">
        <v>70.68000000000001</v>
      </c>
      <c r="I389" s="0" t="n">
        <v>17.26</v>
      </c>
      <c r="J389" s="0" t="n">
        <v>57.06</v>
      </c>
      <c r="K389" s="0" t="n">
        <v>30</v>
      </c>
      <c r="T389" s="0" t="n">
        <v>3</v>
      </c>
      <c r="U389" s="0" t="n">
        <v>1</v>
      </c>
      <c r="V389" s="0" t="inlineStr">
        <is>
          <t>복도식</t>
        </is>
      </c>
      <c r="W389" s="0" t="n">
        <v>70</v>
      </c>
      <c r="X389" s="0" t="n">
        <v>5</v>
      </c>
      <c r="Y389" s="0" t="n">
        <v>5</v>
      </c>
      <c r="Z389" s="0" t="inlineStr">
        <is>
          <t>https://new.land.naver.com/complexes/15798?tab=detail&amp;rf=Y</t>
        </is>
      </c>
      <c r="AA389" s="0" t="inlineStr">
        <is>
          <t>경상남도 창원시 성산구 신촌동 21-3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성산구</t>
        </is>
      </c>
      <c r="AE389" s="0" t="inlineStr">
        <is>
          <t>신촌동</t>
        </is>
      </c>
      <c r="AG389" s="0" t="inlineStr">
        <is>
          <t>경상남도 창원시 성산구 신촌로 77</t>
        </is>
      </c>
      <c r="AH389" s="0" t="n">
        <v>0</v>
      </c>
      <c r="AI389" s="0" t="n">
        <v>130</v>
      </c>
      <c r="AJ389" s="0" t="n">
        <v>26</v>
      </c>
      <c r="AK389" s="0" t="n">
        <v>0</v>
      </c>
      <c r="AL389" s="0" t="n">
        <v>0</v>
      </c>
    </row>
    <row r="390">
      <c r="A390" s="0" t="inlineStr">
        <is>
          <t>[신촌동]</t>
        </is>
      </c>
      <c r="B390" s="0" t="n">
        <v>15798</v>
      </c>
      <c r="C390" s="0" t="n">
        <v>3</v>
      </c>
      <c r="D390" s="0" t="inlineStr">
        <is>
          <t>상림</t>
        </is>
      </c>
      <c r="E390" s="0" t="inlineStr">
        <is>
          <t>1984.02.</t>
        </is>
      </c>
      <c r="F390" s="0" t="n">
        <v>120</v>
      </c>
      <c r="G390" s="0" t="n">
        <v>21.94</v>
      </c>
      <c r="H390" s="0" t="n">
        <v>72.56</v>
      </c>
      <c r="I390" s="0" t="n">
        <v>17.77</v>
      </c>
      <c r="J390" s="0" t="n">
        <v>58.77</v>
      </c>
      <c r="K390" s="0" t="n">
        <v>60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72</v>
      </c>
      <c r="X390" s="0" t="n">
        <v>5</v>
      </c>
      <c r="Y390" s="0" t="n">
        <v>5</v>
      </c>
      <c r="Z390" s="0" t="inlineStr">
        <is>
          <t>https://new.land.naver.com/complexes/15798?tab=detail&amp;rf=Y</t>
        </is>
      </c>
      <c r="AA390" s="0" t="inlineStr">
        <is>
          <t>경상남도 창원시 성산구 신촌동 21-3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성산구</t>
        </is>
      </c>
      <c r="AE390" s="0" t="inlineStr">
        <is>
          <t>신촌동</t>
        </is>
      </c>
      <c r="AG390" s="0" t="inlineStr">
        <is>
          <t>경상남도 창원시 성산구 신촌로 77</t>
        </is>
      </c>
      <c r="AH390" s="0" t="n">
        <v>0</v>
      </c>
      <c r="AI390" s="0" t="n">
        <v>130</v>
      </c>
      <c r="AJ390" s="0" t="n">
        <v>26</v>
      </c>
      <c r="AK390" s="0" t="n">
        <v>0</v>
      </c>
      <c r="AL390" s="0" t="n">
        <v>0</v>
      </c>
    </row>
    <row r="391">
      <c r="A391" s="0" t="inlineStr">
        <is>
          <t>[신촌동]</t>
        </is>
      </c>
      <c r="B391" s="0" t="n">
        <v>15799</v>
      </c>
      <c r="C391" s="0" t="n">
        <v>1</v>
      </c>
      <c r="D391" s="0" t="inlineStr">
        <is>
          <t>양곡</t>
        </is>
      </c>
      <c r="E391" s="0" t="inlineStr">
        <is>
          <t>1978.11.</t>
        </is>
      </c>
      <c r="F391" s="0" t="n">
        <v>130</v>
      </c>
      <c r="G391" s="0" t="n">
        <v>30.53</v>
      </c>
      <c r="H391" s="0" t="n">
        <v>100.94</v>
      </c>
      <c r="I391" s="0" t="n">
        <v>27.39</v>
      </c>
      <c r="J391" s="0" t="n">
        <v>90.55</v>
      </c>
      <c r="K391" s="0" t="n">
        <v>60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100</v>
      </c>
      <c r="X391" s="0" t="n">
        <v>5</v>
      </c>
      <c r="Y391" s="0" t="n">
        <v>5</v>
      </c>
      <c r="Z391" s="0" t="inlineStr">
        <is>
          <t>https://new.land.naver.com/complexes/15799?tab=detail&amp;rf=Y</t>
        </is>
      </c>
      <c r="AA391" s="0" t="inlineStr">
        <is>
          <t>경상남도 창원시 성산구 신촌동 34-1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성산구</t>
        </is>
      </c>
      <c r="AE391" s="0" t="inlineStr">
        <is>
          <t>신촌동</t>
        </is>
      </c>
      <c r="AG391" s="0" t="inlineStr">
        <is>
          <t>경상남도 창원시 성산구 신촌로 62</t>
        </is>
      </c>
      <c r="AH391" s="0" t="n">
        <v>0</v>
      </c>
      <c r="AI391" s="0" t="n">
        <v>113</v>
      </c>
      <c r="AJ391" s="0" t="n">
        <v>24</v>
      </c>
      <c r="AK391" s="0" t="n">
        <v>0</v>
      </c>
      <c r="AL391" s="0" t="n">
        <v>0</v>
      </c>
    </row>
    <row r="392">
      <c r="A392" s="0" t="inlineStr">
        <is>
          <t>[신촌동]</t>
        </is>
      </c>
      <c r="B392" s="0" t="n">
        <v>15799</v>
      </c>
      <c r="C392" s="0" t="n">
        <v>2</v>
      </c>
      <c r="D392" s="0" t="inlineStr">
        <is>
          <t>양곡</t>
        </is>
      </c>
      <c r="E392" s="0" t="inlineStr">
        <is>
          <t>1978.11.</t>
        </is>
      </c>
      <c r="F392" s="0" t="n">
        <v>130</v>
      </c>
      <c r="G392" s="0" t="n">
        <v>36.82</v>
      </c>
      <c r="H392" s="0" t="n">
        <v>121.73</v>
      </c>
      <c r="I392" s="0" t="n">
        <v>33.85</v>
      </c>
      <c r="J392" s="0" t="n">
        <v>111.93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121A</t>
        </is>
      </c>
      <c r="X392" s="0" t="n">
        <v>5</v>
      </c>
      <c r="Y392" s="0" t="n">
        <v>5</v>
      </c>
      <c r="Z392" s="0" t="inlineStr">
        <is>
          <t>https://new.land.naver.com/complexes/15799?tab=detail&amp;rf=Y</t>
        </is>
      </c>
      <c r="AA392" s="0" t="inlineStr">
        <is>
          <t>경상남도 창원시 성산구 신촌동 34-1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성산구</t>
        </is>
      </c>
      <c r="AE392" s="0" t="inlineStr">
        <is>
          <t>신촌동</t>
        </is>
      </c>
      <c r="AG392" s="0" t="inlineStr">
        <is>
          <t>경상남도 창원시 성산구 신촌로 62</t>
        </is>
      </c>
      <c r="AH392" s="0" t="n">
        <v>0</v>
      </c>
      <c r="AI392" s="0" t="n">
        <v>113</v>
      </c>
      <c r="AJ392" s="0" t="n">
        <v>24</v>
      </c>
      <c r="AK392" s="0" t="n">
        <v>0</v>
      </c>
      <c r="AL392" s="0" t="n">
        <v>0</v>
      </c>
    </row>
    <row r="393">
      <c r="A393" s="0" t="inlineStr">
        <is>
          <t>[신촌동]</t>
        </is>
      </c>
      <c r="B393" s="0" t="n">
        <v>15799</v>
      </c>
      <c r="C393" s="0" t="n">
        <v>3</v>
      </c>
      <c r="D393" s="0" t="inlineStr">
        <is>
          <t>양곡</t>
        </is>
      </c>
      <c r="E393" s="0" t="inlineStr">
        <is>
          <t>1978.11.</t>
        </is>
      </c>
      <c r="F393" s="0" t="n">
        <v>130</v>
      </c>
      <c r="G393" s="0" t="n">
        <v>36.83</v>
      </c>
      <c r="H393" s="0" t="n">
        <v>121.78</v>
      </c>
      <c r="I393" s="0" t="n">
        <v>33.97</v>
      </c>
      <c r="J393" s="0" t="n">
        <v>112.32</v>
      </c>
      <c r="K393" s="0" t="n">
        <v>20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121B</t>
        </is>
      </c>
      <c r="X393" s="0" t="n">
        <v>5</v>
      </c>
      <c r="Y393" s="0" t="n">
        <v>5</v>
      </c>
      <c r="Z393" s="0" t="inlineStr">
        <is>
          <t>https://new.land.naver.com/complexes/15799?tab=detail&amp;rf=Y</t>
        </is>
      </c>
      <c r="AA393" s="0" t="inlineStr">
        <is>
          <t>경상남도 창원시 성산구 신촌동 34-1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성산구</t>
        </is>
      </c>
      <c r="AE393" s="0" t="inlineStr">
        <is>
          <t>신촌동</t>
        </is>
      </c>
      <c r="AG393" s="0" t="inlineStr">
        <is>
          <t>경상남도 창원시 성산구 신촌로 62</t>
        </is>
      </c>
      <c r="AH393" s="0" t="n">
        <v>0</v>
      </c>
      <c r="AI393" s="0" t="n">
        <v>113</v>
      </c>
      <c r="AJ393" s="0" t="n">
        <v>24</v>
      </c>
      <c r="AK393" s="0" t="n">
        <v>0</v>
      </c>
      <c r="AL393" s="0" t="n">
        <v>0</v>
      </c>
    </row>
    <row r="394">
      <c r="A394" s="0" t="inlineStr">
        <is>
          <t>[신촌동]</t>
        </is>
      </c>
      <c r="B394" s="0" t="n">
        <v>7853</v>
      </c>
      <c r="C394" s="0" t="n">
        <v>1</v>
      </c>
      <c r="D394" s="0" t="inlineStr">
        <is>
          <t>동성1차</t>
        </is>
      </c>
      <c r="E394" s="0" t="inlineStr">
        <is>
          <t>1986.10.</t>
        </is>
      </c>
      <c r="F394" s="0" t="n">
        <v>240</v>
      </c>
      <c r="G394" s="0" t="n">
        <v>21.06</v>
      </c>
      <c r="H394" s="0" t="n">
        <v>69.65000000000001</v>
      </c>
      <c r="I394" s="0" t="n">
        <v>18.07</v>
      </c>
      <c r="J394" s="0" t="n">
        <v>59.76</v>
      </c>
      <c r="K394" s="0" t="n">
        <v>240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69</v>
      </c>
      <c r="X394" s="0" t="n">
        <v>5</v>
      </c>
      <c r="Y394" s="0" t="n">
        <v>5</v>
      </c>
      <c r="Z394" s="0" t="inlineStr">
        <is>
          <t>https://new.land.naver.com/complexes/7853?tab=detail&amp;rf=Y</t>
        </is>
      </c>
      <c r="AA394" s="0" t="inlineStr">
        <is>
          <t>경상남도 창원시 성산구 신촌동 22-4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성산구</t>
        </is>
      </c>
      <c r="AE394" s="0" t="inlineStr">
        <is>
          <t>신촌동</t>
        </is>
      </c>
      <c r="AG394" s="0" t="inlineStr">
        <is>
          <t>경상남도 창원시 성산구 신촌로 95</t>
        </is>
      </c>
      <c r="AH394" s="0" t="n">
        <v>0</v>
      </c>
      <c r="AI394" s="0" t="n">
        <v>123</v>
      </c>
      <c r="AJ394" s="0" t="n">
        <v>24</v>
      </c>
      <c r="AK394" s="0" t="n">
        <v>0</v>
      </c>
      <c r="AL394" s="0" t="n">
        <v>0</v>
      </c>
    </row>
    <row r="395">
      <c r="A395" s="0" t="inlineStr">
        <is>
          <t>[신촌동]</t>
        </is>
      </c>
      <c r="B395" s="0" t="n">
        <v>104867</v>
      </c>
      <c r="C395" s="0" t="n">
        <v>1</v>
      </c>
      <c r="D395" s="0" t="inlineStr">
        <is>
          <t>삼미특수강(신촌)</t>
        </is>
      </c>
      <c r="E395" s="0" t="inlineStr">
        <is>
          <t>1984.01.</t>
        </is>
      </c>
      <c r="F395" s="0" t="n">
        <v>80</v>
      </c>
      <c r="G395" s="0" t="n">
        <v>18.63</v>
      </c>
      <c r="H395" s="0" t="n">
        <v>61.6</v>
      </c>
      <c r="I395" s="0" t="n">
        <v>15.82</v>
      </c>
      <c r="J395" s="0" t="n">
        <v>52.33</v>
      </c>
      <c r="K395" s="0" t="n">
        <v>80</v>
      </c>
      <c r="T395" s="0" t="n">
        <v>2</v>
      </c>
      <c r="U395" s="0" t="n">
        <v>1</v>
      </c>
      <c r="V395" s="0" t="inlineStr">
        <is>
          <t>계단식</t>
        </is>
      </c>
      <c r="W395" s="0" t="n">
        <v>61</v>
      </c>
      <c r="X395" s="0" t="n">
        <v>5</v>
      </c>
      <c r="Y395" s="0" t="n">
        <v>5</v>
      </c>
      <c r="Z395" s="0" t="inlineStr">
        <is>
          <t>https://new.land.naver.com/complexes/104867?tab=detail&amp;rf=Y</t>
        </is>
      </c>
      <c r="AA395" s="0" t="inlineStr">
        <is>
          <t>경상남도 창원시 성산구 신촌동 21-2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성산구</t>
        </is>
      </c>
      <c r="AE395" s="0" t="inlineStr">
        <is>
          <t>신촌동</t>
        </is>
      </c>
      <c r="AG395" s="0" t="inlineStr">
        <is>
          <t>경상남도 창원시 성산구 신촌로 51</t>
        </is>
      </c>
      <c r="AH395" s="0" t="n">
        <v>0</v>
      </c>
      <c r="AI395" s="0" t="n">
        <v>92</v>
      </c>
      <c r="AJ395" s="0" t="n">
        <v>17</v>
      </c>
      <c r="AK395" s="0" t="n">
        <v>0</v>
      </c>
      <c r="AL395" s="0" t="n">
        <v>0</v>
      </c>
    </row>
    <row r="396">
      <c r="A396" s="0" t="inlineStr">
        <is>
          <t>[신촌동]</t>
        </is>
      </c>
      <c r="B396" s="0" t="n">
        <v>100919</v>
      </c>
      <c r="C396" s="0" t="n">
        <v>1</v>
      </c>
      <c r="D396" s="0" t="inlineStr">
        <is>
          <t>삼성</t>
        </is>
      </c>
      <c r="E396" s="0" t="inlineStr">
        <is>
          <t>1990.02.</t>
        </is>
      </c>
      <c r="F396" s="0" t="n">
        <v>90</v>
      </c>
      <c r="G396" s="0" t="n">
        <v>24.8</v>
      </c>
      <c r="H396" s="0" t="n">
        <v>82.01000000000001</v>
      </c>
      <c r="I396" s="0" t="n">
        <v>21.05</v>
      </c>
      <c r="J396" s="0" t="n">
        <v>69.59999999999999</v>
      </c>
      <c r="K396" s="0" t="n">
        <v>30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82</v>
      </c>
      <c r="X396" s="0" t="n">
        <v>5</v>
      </c>
      <c r="Y396" s="0" t="n">
        <v>5</v>
      </c>
      <c r="Z396" s="0" t="inlineStr">
        <is>
          <t>https://new.land.naver.com/complexes/100919?tab=detail&amp;rf=Y</t>
        </is>
      </c>
      <c r="AA396" s="0" t="inlineStr">
        <is>
          <t>경상남도 창원시 성산구 신촌동 27-3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성산구</t>
        </is>
      </c>
      <c r="AE396" s="0" t="inlineStr">
        <is>
          <t>신촌동</t>
        </is>
      </c>
      <c r="AG396" s="0" t="inlineStr">
        <is>
          <t>경상남도 창원시 성산구 신촌로134번길 23</t>
        </is>
      </c>
      <c r="AH396" s="0" t="n">
        <v>0</v>
      </c>
      <c r="AI396" s="0" t="n">
        <v>103</v>
      </c>
      <c r="AJ396" s="0" t="n">
        <v>20</v>
      </c>
      <c r="AK396" s="0" t="n">
        <v>0</v>
      </c>
      <c r="AL396" s="0" t="n">
        <v>0</v>
      </c>
    </row>
    <row r="397">
      <c r="A397" s="0" t="inlineStr">
        <is>
          <t>[신촌동]</t>
        </is>
      </c>
      <c r="B397" s="0" t="n">
        <v>100919</v>
      </c>
      <c r="C397" s="0" t="n">
        <v>2</v>
      </c>
      <c r="D397" s="0" t="inlineStr">
        <is>
          <t>삼성</t>
        </is>
      </c>
      <c r="E397" s="0" t="inlineStr">
        <is>
          <t>1990.02.</t>
        </is>
      </c>
      <c r="F397" s="0" t="n">
        <v>90</v>
      </c>
      <c r="G397" s="0" t="n">
        <v>26.49</v>
      </c>
      <c r="H397" s="0" t="n">
        <v>87.59999999999999</v>
      </c>
      <c r="I397" s="0" t="n">
        <v>22.63</v>
      </c>
      <c r="J397" s="0" t="n">
        <v>74.81999999999999</v>
      </c>
      <c r="K397" s="0" t="n">
        <v>60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87</v>
      </c>
      <c r="X397" s="0" t="n">
        <v>5</v>
      </c>
      <c r="Y397" s="0" t="n">
        <v>5</v>
      </c>
      <c r="Z397" s="0" t="inlineStr">
        <is>
          <t>https://new.land.naver.com/complexes/100919?tab=detail&amp;rf=Y</t>
        </is>
      </c>
      <c r="AA397" s="0" t="inlineStr">
        <is>
          <t>경상남도 창원시 성산구 신촌동 27-3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성산구</t>
        </is>
      </c>
      <c r="AE397" s="0" t="inlineStr">
        <is>
          <t>신촌동</t>
        </is>
      </c>
      <c r="AG397" s="0" t="inlineStr">
        <is>
          <t>경상남도 창원시 성산구 신촌로134번길 23</t>
        </is>
      </c>
      <c r="AH397" s="0" t="n">
        <v>0</v>
      </c>
      <c r="AI397" s="0" t="n">
        <v>103</v>
      </c>
      <c r="AJ397" s="0" t="n">
        <v>20</v>
      </c>
      <c r="AK397" s="0" t="n">
        <v>0</v>
      </c>
      <c r="AL397" s="0" t="n">
        <v>0</v>
      </c>
    </row>
    <row r="398">
      <c r="A398" s="0" t="inlineStr">
        <is>
          <t>[신촌동]</t>
        </is>
      </c>
      <c r="B398" s="0" t="n">
        <v>112005</v>
      </c>
      <c r="C398" s="0" t="n">
        <v>1</v>
      </c>
      <c r="D398" s="0" t="inlineStr">
        <is>
          <t>유신</t>
        </is>
      </c>
      <c r="E398" s="0" t="inlineStr">
        <is>
          <t>1980.09.</t>
        </is>
      </c>
      <c r="F398" s="0" t="n">
        <v>80</v>
      </c>
      <c r="G398" s="0" t="n">
        <v>15.36</v>
      </c>
      <c r="H398" s="0" t="n">
        <v>50.79</v>
      </c>
      <c r="I398" s="0" t="n">
        <v>13.04</v>
      </c>
      <c r="J398" s="0" t="n">
        <v>43.14</v>
      </c>
      <c r="K398" s="0" t="n">
        <v>80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50</v>
      </c>
      <c r="X398" s="0" t="n">
        <v>5</v>
      </c>
      <c r="Y398" s="0" t="n">
        <v>5</v>
      </c>
      <c r="Z398" s="0" t="inlineStr">
        <is>
          <t>https://new.land.naver.com/complexes/112005?tab=detail&amp;rf=Y</t>
        </is>
      </c>
      <c r="AA398" s="0" t="inlineStr">
        <is>
          <t>경상남도 창원시 성산구 신촌동 15-1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성산구</t>
        </is>
      </c>
      <c r="AE398" s="0" t="inlineStr">
        <is>
          <t>신촌동</t>
        </is>
      </c>
      <c r="AG398" s="0" t="inlineStr">
        <is>
          <t>경상남도 창원시 성산구 신촌로 7</t>
        </is>
      </c>
      <c r="AH398" s="0" t="n">
        <v>0</v>
      </c>
      <c r="AI398" s="0" t="n">
        <v>87</v>
      </c>
      <c r="AJ398" s="0" t="n">
        <v>18</v>
      </c>
      <c r="AK398" s="0" t="n">
        <v>0</v>
      </c>
      <c r="AL398" s="0" t="n">
        <v>0</v>
      </c>
    </row>
    <row r="399">
      <c r="A399" s="0" t="inlineStr">
        <is>
          <t>[신촌동]</t>
        </is>
      </c>
      <c r="B399" s="0" t="n">
        <v>100912</v>
      </c>
      <c r="C399" s="0" t="n">
        <v>1</v>
      </c>
      <c r="D399" s="0" t="inlineStr">
        <is>
          <t>디에스아이존빌</t>
        </is>
      </c>
      <c r="E399" s="0" t="inlineStr">
        <is>
          <t>2005.12.</t>
        </is>
      </c>
      <c r="F399" s="0" t="n">
        <v>195</v>
      </c>
      <c r="G399" s="0" t="n">
        <v>32.57</v>
      </c>
      <c r="H399" s="0" t="n">
        <v>107.67</v>
      </c>
      <c r="I399" s="0" t="n">
        <v>25.34</v>
      </c>
      <c r="J399" s="0" t="n">
        <v>83.77</v>
      </c>
      <c r="K399" s="0" t="n">
        <v>84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107A</t>
        </is>
      </c>
      <c r="X399" s="0" t="n">
        <v>16</v>
      </c>
      <c r="Y399" s="0" t="n">
        <v>13</v>
      </c>
      <c r="Z399" s="0" t="inlineStr">
        <is>
          <t>https://new.land.naver.com/complexes/100912?tab=detail&amp;rf=Y</t>
        </is>
      </c>
      <c r="AA399" s="0" t="inlineStr">
        <is>
          <t>경상남도 창원시 성산구 신촌동 33-1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성산구</t>
        </is>
      </c>
      <c r="AE399" s="0" t="inlineStr">
        <is>
          <t>신촌동</t>
        </is>
      </c>
      <c r="AG399" s="0" t="inlineStr">
        <is>
          <t>경상남도 창원시 성산구 신촌로 94</t>
        </is>
      </c>
      <c r="AH399" s="0" t="n">
        <v>0</v>
      </c>
      <c r="AI399" s="0" t="n">
        <v>0</v>
      </c>
      <c r="AJ399" s="0" t="n">
        <v>0</v>
      </c>
      <c r="AK399" s="0" t="n">
        <v>140</v>
      </c>
      <c r="AL399" s="0" t="n">
        <v>0.72</v>
      </c>
    </row>
    <row r="400">
      <c r="A400" s="0" t="inlineStr">
        <is>
          <t>[신촌동]</t>
        </is>
      </c>
      <c r="B400" s="0" t="n">
        <v>100912</v>
      </c>
      <c r="C400" s="0" t="n">
        <v>2</v>
      </c>
      <c r="D400" s="0" t="inlineStr">
        <is>
          <t>디에스아이존빌</t>
        </is>
      </c>
      <c r="E400" s="0" t="inlineStr">
        <is>
          <t>2005.12.</t>
        </is>
      </c>
      <c r="F400" s="0" t="n">
        <v>195</v>
      </c>
      <c r="G400" s="0" t="n">
        <v>33.2</v>
      </c>
      <c r="H400" s="0" t="n">
        <v>109.76</v>
      </c>
      <c r="I400" s="0" t="n">
        <v>25.34</v>
      </c>
      <c r="J400" s="0" t="n">
        <v>83.77</v>
      </c>
      <c r="K400" s="0" t="n">
        <v>111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109B</t>
        </is>
      </c>
      <c r="X400" s="0" t="n">
        <v>16</v>
      </c>
      <c r="Y400" s="0" t="n">
        <v>13</v>
      </c>
      <c r="Z400" s="0" t="inlineStr">
        <is>
          <t>https://new.land.naver.com/complexes/100912?tab=detail&amp;rf=Y</t>
        </is>
      </c>
      <c r="AA400" s="0" t="inlineStr">
        <is>
          <t>경상남도 창원시 성산구 신촌동 33-1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성산구</t>
        </is>
      </c>
      <c r="AE400" s="0" t="inlineStr">
        <is>
          <t>신촌동</t>
        </is>
      </c>
      <c r="AG400" s="0" t="inlineStr">
        <is>
          <t>경상남도 창원시 성산구 신촌로 94</t>
        </is>
      </c>
      <c r="AH400" s="0" t="n">
        <v>0</v>
      </c>
      <c r="AI400" s="0" t="n">
        <v>0</v>
      </c>
      <c r="AJ400" s="0" t="n">
        <v>0</v>
      </c>
      <c r="AK400" s="0" t="n">
        <v>140</v>
      </c>
      <c r="AL400" s="0" t="n">
        <v>0.72</v>
      </c>
    </row>
    <row r="401">
      <c r="A401" s="0" t="inlineStr">
        <is>
          <t>[신촌동]</t>
        </is>
      </c>
      <c r="B401" s="0" t="n">
        <v>16828</v>
      </c>
      <c r="C401" s="0" t="n">
        <v>1</v>
      </c>
      <c r="D401" s="0" t="inlineStr">
        <is>
          <t>성원</t>
        </is>
      </c>
      <c r="E401" s="0" t="inlineStr">
        <is>
          <t>1987.06.</t>
        </is>
      </c>
      <c r="F401" s="0" t="n">
        <v>410</v>
      </c>
      <c r="G401" s="0" t="n">
        <v>17.2</v>
      </c>
      <c r="H401" s="0" t="n">
        <v>56.89</v>
      </c>
      <c r="I401" s="0" t="n">
        <v>15.4</v>
      </c>
      <c r="J401" s="0" t="n">
        <v>50.91</v>
      </c>
      <c r="K401" s="0" t="n">
        <v>90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56A</t>
        </is>
      </c>
      <c r="X401" s="0" t="n">
        <v>5</v>
      </c>
      <c r="Y401" s="0" t="n">
        <v>5</v>
      </c>
      <c r="Z401" s="0" t="inlineStr">
        <is>
          <t>https://new.land.naver.com/complexes/16828?tab=detail&amp;rf=Y</t>
        </is>
      </c>
      <c r="AA401" s="0" t="inlineStr">
        <is>
          <t>경상남도 창원시 성산구 신촌동 23-2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성산구</t>
        </is>
      </c>
      <c r="AE401" s="0" t="inlineStr">
        <is>
          <t>신촌동</t>
        </is>
      </c>
      <c r="AG401" s="0" t="inlineStr">
        <is>
          <t>경상남도 창원시 성산구 신촌로 123</t>
        </is>
      </c>
      <c r="AH401" s="0" t="n">
        <v>0</v>
      </c>
      <c r="AI401" s="0" t="n">
        <v>298</v>
      </c>
      <c r="AJ401" s="0" t="n">
        <v>59</v>
      </c>
      <c r="AK401" s="0" t="n">
        <v>0</v>
      </c>
      <c r="AL401" s="0" t="n">
        <v>0</v>
      </c>
    </row>
    <row r="402">
      <c r="A402" s="0" t="inlineStr">
        <is>
          <t>[신촌동]</t>
        </is>
      </c>
      <c r="B402" s="0" t="n">
        <v>16828</v>
      </c>
      <c r="C402" s="0" t="n">
        <v>2</v>
      </c>
      <c r="D402" s="0" t="inlineStr">
        <is>
          <t>성원</t>
        </is>
      </c>
      <c r="E402" s="0" t="inlineStr">
        <is>
          <t>1987.06.</t>
        </is>
      </c>
      <c r="F402" s="0" t="n">
        <v>410</v>
      </c>
      <c r="G402" s="0" t="n">
        <v>17.27</v>
      </c>
      <c r="H402" s="0" t="n">
        <v>57.1</v>
      </c>
      <c r="I402" s="0" t="n">
        <v>15.5</v>
      </c>
      <c r="J402" s="0" t="n">
        <v>51.24</v>
      </c>
      <c r="K402" s="0" t="n">
        <v>90</v>
      </c>
      <c r="T402" s="0" t="n">
        <v>2</v>
      </c>
      <c r="U402" s="0" t="n">
        <v>1</v>
      </c>
      <c r="V402" s="0" t="inlineStr">
        <is>
          <t>계단식</t>
        </is>
      </c>
      <c r="W402" s="0" t="inlineStr">
        <is>
          <t>57B</t>
        </is>
      </c>
      <c r="X402" s="0" t="n">
        <v>5</v>
      </c>
      <c r="Y402" s="0" t="n">
        <v>5</v>
      </c>
      <c r="Z402" s="0" t="inlineStr">
        <is>
          <t>https://new.land.naver.com/complexes/16828?tab=detail&amp;rf=Y</t>
        </is>
      </c>
      <c r="AA402" s="0" t="inlineStr">
        <is>
          <t>경상남도 창원시 성산구 신촌동 23-2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성산구</t>
        </is>
      </c>
      <c r="AE402" s="0" t="inlineStr">
        <is>
          <t>신촌동</t>
        </is>
      </c>
      <c r="AG402" s="0" t="inlineStr">
        <is>
          <t>경상남도 창원시 성산구 신촌로 123</t>
        </is>
      </c>
      <c r="AH402" s="0" t="n">
        <v>0</v>
      </c>
      <c r="AI402" s="0" t="n">
        <v>298</v>
      </c>
      <c r="AJ402" s="0" t="n">
        <v>59</v>
      </c>
      <c r="AK402" s="0" t="n">
        <v>0</v>
      </c>
      <c r="AL402" s="0" t="n">
        <v>0</v>
      </c>
    </row>
    <row r="403">
      <c r="A403" s="0" t="inlineStr">
        <is>
          <t>[신촌동]</t>
        </is>
      </c>
      <c r="B403" s="0" t="n">
        <v>16828</v>
      </c>
      <c r="C403" s="0" t="n">
        <v>3</v>
      </c>
      <c r="D403" s="0" t="inlineStr">
        <is>
          <t>성원</t>
        </is>
      </c>
      <c r="E403" s="0" t="inlineStr">
        <is>
          <t>1987.06.</t>
        </is>
      </c>
      <c r="F403" s="0" t="n">
        <v>410</v>
      </c>
      <c r="G403" s="0" t="n">
        <v>17.9</v>
      </c>
      <c r="H403" s="0" t="n">
        <v>59.19</v>
      </c>
      <c r="I403" s="0" t="n">
        <v>15.94</v>
      </c>
      <c r="J403" s="0" t="n">
        <v>52.71</v>
      </c>
      <c r="K403" s="0" t="n">
        <v>90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59</v>
      </c>
      <c r="X403" s="0" t="n">
        <v>5</v>
      </c>
      <c r="Y403" s="0" t="n">
        <v>5</v>
      </c>
      <c r="Z403" s="0" t="inlineStr">
        <is>
          <t>https://new.land.naver.com/complexes/16828?tab=detail&amp;rf=Y</t>
        </is>
      </c>
      <c r="AA403" s="0" t="inlineStr">
        <is>
          <t>경상남도 창원시 성산구 신촌동 23-2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성산구</t>
        </is>
      </c>
      <c r="AE403" s="0" t="inlineStr">
        <is>
          <t>신촌동</t>
        </is>
      </c>
      <c r="AG403" s="0" t="inlineStr">
        <is>
          <t>경상남도 창원시 성산구 신촌로 123</t>
        </is>
      </c>
      <c r="AH403" s="0" t="n">
        <v>0</v>
      </c>
      <c r="AI403" s="0" t="n">
        <v>298</v>
      </c>
      <c r="AJ403" s="0" t="n">
        <v>59</v>
      </c>
      <c r="AK403" s="0" t="n">
        <v>0</v>
      </c>
      <c r="AL403" s="0" t="n">
        <v>0</v>
      </c>
    </row>
    <row r="404">
      <c r="A404" s="0" t="inlineStr">
        <is>
          <t>[신촌동]</t>
        </is>
      </c>
      <c r="B404" s="0" t="n">
        <v>16828</v>
      </c>
      <c r="C404" s="0" t="n">
        <v>4</v>
      </c>
      <c r="D404" s="0" t="inlineStr">
        <is>
          <t>성원</t>
        </is>
      </c>
      <c r="E404" s="0" t="inlineStr">
        <is>
          <t>1987.06.</t>
        </is>
      </c>
      <c r="F404" s="0" t="n">
        <v>410</v>
      </c>
      <c r="G404" s="0" t="n">
        <v>19.76</v>
      </c>
      <c r="H404" s="0" t="n">
        <v>65.33</v>
      </c>
      <c r="I404" s="0" t="n">
        <v>17.89</v>
      </c>
      <c r="J404" s="0" t="n">
        <v>59.16</v>
      </c>
      <c r="K404" s="0" t="n">
        <v>140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65</v>
      </c>
      <c r="X404" s="0" t="n">
        <v>5</v>
      </c>
      <c r="Y404" s="0" t="n">
        <v>5</v>
      </c>
      <c r="Z404" s="0" t="inlineStr">
        <is>
          <t>https://new.land.naver.com/complexes/16828?tab=detail&amp;rf=Y</t>
        </is>
      </c>
      <c r="AA404" s="0" t="inlineStr">
        <is>
          <t>경상남도 창원시 성산구 신촌동 23-2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성산구</t>
        </is>
      </c>
      <c r="AE404" s="0" t="inlineStr">
        <is>
          <t>신촌동</t>
        </is>
      </c>
      <c r="AG404" s="0" t="inlineStr">
        <is>
          <t>경상남도 창원시 성산구 신촌로 123</t>
        </is>
      </c>
      <c r="AH404" s="0" t="n">
        <v>0</v>
      </c>
      <c r="AI404" s="0" t="n">
        <v>298</v>
      </c>
      <c r="AJ404" s="0" t="n">
        <v>59</v>
      </c>
      <c r="AK404" s="0" t="n">
        <v>0</v>
      </c>
      <c r="AL404" s="0" t="n">
        <v>0</v>
      </c>
    </row>
    <row r="405">
      <c r="A405" s="0" t="inlineStr">
        <is>
          <t>[신촌동]</t>
        </is>
      </c>
      <c r="B405" s="0" t="n">
        <v>15801</v>
      </c>
      <c r="C405" s="0" t="n">
        <v>1</v>
      </c>
      <c r="D405" s="0" t="inlineStr">
        <is>
          <t>형진</t>
        </is>
      </c>
      <c r="E405" s="0" t="inlineStr">
        <is>
          <t>1989.04.</t>
        </is>
      </c>
      <c r="F405" s="0" t="n">
        <v>80</v>
      </c>
      <c r="G405" s="0" t="n">
        <v>19.89</v>
      </c>
      <c r="H405" s="0" t="n">
        <v>65.76000000000001</v>
      </c>
      <c r="I405" s="0" t="n">
        <v>16.52</v>
      </c>
      <c r="J405" s="0" t="n">
        <v>54.63</v>
      </c>
      <c r="K405" s="0" t="n">
        <v>20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65</v>
      </c>
      <c r="X405" s="0" t="n">
        <v>5</v>
      </c>
      <c r="Y405" s="0" t="n">
        <v>5</v>
      </c>
      <c r="Z405" s="0" t="inlineStr">
        <is>
          <t>https://new.land.naver.com/complexes/15801?tab=detail&amp;rf=Y</t>
        </is>
      </c>
      <c r="AA405" s="0" t="inlineStr">
        <is>
          <t>경상남도 창원시 성산구 신촌동 22-5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성산구</t>
        </is>
      </c>
      <c r="AE405" s="0" t="inlineStr">
        <is>
          <t>신촌동</t>
        </is>
      </c>
      <c r="AG405" s="0" t="inlineStr">
        <is>
          <t>경상남도 창원시 성산구 신촌로 79</t>
        </is>
      </c>
      <c r="AH405" s="0" t="n">
        <v>0</v>
      </c>
      <c r="AI405" s="0" t="n">
        <v>143</v>
      </c>
      <c r="AJ405" s="0" t="n">
        <v>28</v>
      </c>
      <c r="AK405" s="0" t="n">
        <v>0</v>
      </c>
      <c r="AL405" s="0" t="n">
        <v>0</v>
      </c>
    </row>
    <row r="406">
      <c r="A406" s="0" t="inlineStr">
        <is>
          <t>[신촌동]</t>
        </is>
      </c>
      <c r="B406" s="0" t="n">
        <v>15801</v>
      </c>
      <c r="C406" s="0" t="n">
        <v>2</v>
      </c>
      <c r="D406" s="0" t="inlineStr">
        <is>
          <t>형진</t>
        </is>
      </c>
      <c r="E406" s="0" t="inlineStr">
        <is>
          <t>1989.04.</t>
        </is>
      </c>
      <c r="F406" s="0" t="n">
        <v>80</v>
      </c>
      <c r="G406" s="0" t="n">
        <v>20.76</v>
      </c>
      <c r="H406" s="0" t="n">
        <v>68.64</v>
      </c>
      <c r="I406" s="0" t="n">
        <v>17.39</v>
      </c>
      <c r="J406" s="0" t="n">
        <v>57.51</v>
      </c>
      <c r="K406" s="0" t="n">
        <v>60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68</v>
      </c>
      <c r="X406" s="0" t="n">
        <v>5</v>
      </c>
      <c r="Y406" s="0" t="n">
        <v>5</v>
      </c>
      <c r="Z406" s="0" t="inlineStr">
        <is>
          <t>https://new.land.naver.com/complexes/15801?tab=detail&amp;rf=Y</t>
        </is>
      </c>
      <c r="AA406" s="0" t="inlineStr">
        <is>
          <t>경상남도 창원시 성산구 신촌동 22-5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성산구</t>
        </is>
      </c>
      <c r="AE406" s="0" t="inlineStr">
        <is>
          <t>신촌동</t>
        </is>
      </c>
      <c r="AG406" s="0" t="inlineStr">
        <is>
          <t>경상남도 창원시 성산구 신촌로 79</t>
        </is>
      </c>
      <c r="AH406" s="0" t="n">
        <v>0</v>
      </c>
      <c r="AI406" s="0" t="n">
        <v>143</v>
      </c>
      <c r="AJ406" s="0" t="n">
        <v>28</v>
      </c>
      <c r="AK406" s="0" t="n">
        <v>0</v>
      </c>
      <c r="AL406" s="0" t="n">
        <v>0</v>
      </c>
    </row>
    <row r="407">
      <c r="A407" s="0" t="inlineStr">
        <is>
          <t>[신촌동]</t>
        </is>
      </c>
      <c r="B407" s="0" t="n">
        <v>16832</v>
      </c>
      <c r="C407" s="0" t="n">
        <v>1</v>
      </c>
      <c r="D407" s="0" t="inlineStr">
        <is>
          <t>효성가든</t>
        </is>
      </c>
      <c r="E407" s="0" t="inlineStr">
        <is>
          <t>1984.08.</t>
        </is>
      </c>
      <c r="F407" s="0" t="n">
        <v>110</v>
      </c>
      <c r="G407" s="0" t="n">
        <v>16.42</v>
      </c>
      <c r="H407" s="0" t="n">
        <v>54.29</v>
      </c>
      <c r="I407" s="0" t="n">
        <v>12.94</v>
      </c>
      <c r="J407" s="0" t="n">
        <v>42.8</v>
      </c>
      <c r="K407" s="0" t="n">
        <v>60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54</v>
      </c>
      <c r="X407" s="0" t="n">
        <v>5</v>
      </c>
      <c r="Y407" s="0" t="n">
        <v>5</v>
      </c>
      <c r="Z407" s="0" t="inlineStr">
        <is>
          <t>https://new.land.naver.com/complexes/16832?tab=detail&amp;rf=Y</t>
        </is>
      </c>
      <c r="AA407" s="0" t="inlineStr">
        <is>
          <t>경상남도 창원시 성산구 신촌동 26-1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성산구</t>
        </is>
      </c>
      <c r="AE407" s="0" t="inlineStr">
        <is>
          <t>신촌동</t>
        </is>
      </c>
      <c r="AG407" s="0" t="inlineStr">
        <is>
          <t>경상남도 창원시 성산구 신촌로134번길 5</t>
        </is>
      </c>
      <c r="AH407" s="0" t="n">
        <v>0</v>
      </c>
      <c r="AI407" s="0" t="n">
        <v>142</v>
      </c>
      <c r="AJ407" s="0" t="n">
        <v>29</v>
      </c>
      <c r="AK407" s="0" t="n">
        <v>0</v>
      </c>
      <c r="AL407" s="0" t="n">
        <v>0</v>
      </c>
    </row>
    <row r="408">
      <c r="A408" s="0" t="inlineStr">
        <is>
          <t>[신촌동]</t>
        </is>
      </c>
      <c r="B408" s="0" t="n">
        <v>16832</v>
      </c>
      <c r="C408" s="0" t="n">
        <v>2</v>
      </c>
      <c r="D408" s="0" t="inlineStr">
        <is>
          <t>효성가든</t>
        </is>
      </c>
      <c r="E408" s="0" t="inlineStr">
        <is>
          <t>1984.08.</t>
        </is>
      </c>
      <c r="F408" s="0" t="n">
        <v>110</v>
      </c>
      <c r="G408" s="0" t="n">
        <v>21.86</v>
      </c>
      <c r="H408" s="0" t="n">
        <v>72.27</v>
      </c>
      <c r="I408" s="0" t="n">
        <v>17.76</v>
      </c>
      <c r="J408" s="0" t="n">
        <v>58.74</v>
      </c>
      <c r="K408" s="0" t="n">
        <v>30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72</v>
      </c>
      <c r="X408" s="0" t="n">
        <v>5</v>
      </c>
      <c r="Y408" s="0" t="n">
        <v>5</v>
      </c>
      <c r="Z408" s="0" t="inlineStr">
        <is>
          <t>https://new.land.naver.com/complexes/16832?tab=detail&amp;rf=Y</t>
        </is>
      </c>
      <c r="AA408" s="0" t="inlineStr">
        <is>
          <t>경상남도 창원시 성산구 신촌동 26-1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성산구</t>
        </is>
      </c>
      <c r="AE408" s="0" t="inlineStr">
        <is>
          <t>신촌동</t>
        </is>
      </c>
      <c r="AG408" s="0" t="inlineStr">
        <is>
          <t>경상남도 창원시 성산구 신촌로134번길 5</t>
        </is>
      </c>
      <c r="AH408" s="0" t="n">
        <v>0</v>
      </c>
      <c r="AI408" s="0" t="n">
        <v>142</v>
      </c>
      <c r="AJ408" s="0" t="n">
        <v>29</v>
      </c>
      <c r="AK408" s="0" t="n">
        <v>0</v>
      </c>
      <c r="AL408" s="0" t="n">
        <v>0</v>
      </c>
    </row>
    <row r="409">
      <c r="A409" s="0" t="inlineStr">
        <is>
          <t>[신촌동]</t>
        </is>
      </c>
      <c r="B409" s="0" t="n">
        <v>16832</v>
      </c>
      <c r="C409" s="0" t="n">
        <v>3</v>
      </c>
      <c r="D409" s="0" t="inlineStr">
        <is>
          <t>효성가든</t>
        </is>
      </c>
      <c r="E409" s="0" t="inlineStr">
        <is>
          <t>1984.08.</t>
        </is>
      </c>
      <c r="F409" s="0" t="n">
        <v>110</v>
      </c>
      <c r="G409" s="0" t="n">
        <v>27.45</v>
      </c>
      <c r="H409" s="0" t="n">
        <v>90.75</v>
      </c>
      <c r="I409" s="0" t="n">
        <v>22.82</v>
      </c>
      <c r="J409" s="0" t="n">
        <v>75.45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90</v>
      </c>
      <c r="X409" s="0" t="n">
        <v>5</v>
      </c>
      <c r="Y409" s="0" t="n">
        <v>5</v>
      </c>
      <c r="Z409" s="0" t="inlineStr">
        <is>
          <t>https://new.land.naver.com/complexes/16832?tab=detail&amp;rf=Y</t>
        </is>
      </c>
      <c r="AA409" s="0" t="inlineStr">
        <is>
          <t>경상남도 창원시 성산구 신촌동 26-1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성산구</t>
        </is>
      </c>
      <c r="AE409" s="0" t="inlineStr">
        <is>
          <t>신촌동</t>
        </is>
      </c>
      <c r="AG409" s="0" t="inlineStr">
        <is>
          <t>경상남도 창원시 성산구 신촌로134번길 5</t>
        </is>
      </c>
      <c r="AH409" s="0" t="n">
        <v>0</v>
      </c>
      <c r="AI409" s="0" t="n">
        <v>142</v>
      </c>
      <c r="AJ409" s="0" t="n">
        <v>29</v>
      </c>
      <c r="AK409" s="0" t="n">
        <v>0</v>
      </c>
      <c r="AL409" s="0" t="n">
        <v>0</v>
      </c>
    </row>
    <row r="410">
      <c r="A410" s="0" t="inlineStr">
        <is>
          <t>[안민동]</t>
        </is>
      </c>
      <c r="B410" s="0" t="n">
        <v>7858</v>
      </c>
      <c r="C410" s="0" t="n">
        <v>1</v>
      </c>
      <c r="D410" s="0" t="inlineStr">
        <is>
          <t>안민청솔마을대동</t>
        </is>
      </c>
      <c r="E410" s="0" t="inlineStr">
        <is>
          <t>1999.06.</t>
        </is>
      </c>
      <c r="F410" s="0" t="n">
        <v>920</v>
      </c>
      <c r="G410" s="0" t="n">
        <v>24.07</v>
      </c>
      <c r="H410" s="0" t="n">
        <v>79.59</v>
      </c>
      <c r="I410" s="0" t="n">
        <v>18.14</v>
      </c>
      <c r="J410" s="0" t="n">
        <v>59.99</v>
      </c>
      <c r="K410" s="0" t="n">
        <v>217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79</v>
      </c>
      <c r="X410" s="0" t="n">
        <v>23</v>
      </c>
      <c r="Y410" s="0" t="n">
        <v>11</v>
      </c>
      <c r="Z410" s="0" t="inlineStr">
        <is>
          <t>https://new.land.naver.com/complexes/7858?tab=detail&amp;rf=Y</t>
        </is>
      </c>
      <c r="AA410" s="0" t="inlineStr">
        <is>
          <t>경상남도 창원시 성산구 안민동 197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성산구</t>
        </is>
      </c>
      <c r="AE410" s="0" t="inlineStr">
        <is>
          <t>안민동</t>
        </is>
      </c>
      <c r="AG410" s="0" t="inlineStr">
        <is>
          <t>경상남도 창원시 성산구 안민로101번길 29</t>
        </is>
      </c>
      <c r="AH410" s="0" t="n">
        <v>0</v>
      </c>
      <c r="AI410" s="0" t="n">
        <v>263</v>
      </c>
      <c r="AJ410" s="0" t="n">
        <v>35</v>
      </c>
      <c r="AK410" s="0" t="n">
        <v>943</v>
      </c>
      <c r="AL410" s="0" t="n">
        <v>1.02</v>
      </c>
    </row>
    <row r="411">
      <c r="A411" s="0" t="inlineStr">
        <is>
          <t>[안민동]</t>
        </is>
      </c>
      <c r="B411" s="0" t="n">
        <v>7858</v>
      </c>
      <c r="C411" s="0" t="n">
        <v>2</v>
      </c>
      <c r="D411" s="0" t="inlineStr">
        <is>
          <t>안민청솔마을대동</t>
        </is>
      </c>
      <c r="E411" s="0" t="inlineStr">
        <is>
          <t>1999.06.</t>
        </is>
      </c>
      <c r="F411" s="0" t="n">
        <v>920</v>
      </c>
      <c r="G411" s="0" t="n">
        <v>32.48</v>
      </c>
      <c r="H411" s="0" t="n">
        <v>107.38</v>
      </c>
      <c r="I411" s="0" t="n">
        <v>25.71</v>
      </c>
      <c r="J411" s="0" t="n">
        <v>85</v>
      </c>
      <c r="K411" s="0" t="n">
        <v>537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23</v>
      </c>
      <c r="Y411" s="0" t="n">
        <v>11</v>
      </c>
      <c r="Z411" s="0" t="inlineStr">
        <is>
          <t>https://new.land.naver.com/complexes/7858?tab=detail&amp;rf=Y</t>
        </is>
      </c>
      <c r="AA411" s="0" t="inlineStr">
        <is>
          <t>경상남도 창원시 성산구 안민동 197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성산구</t>
        </is>
      </c>
      <c r="AE411" s="0" t="inlineStr">
        <is>
          <t>안민동</t>
        </is>
      </c>
      <c r="AG411" s="0" t="inlineStr">
        <is>
          <t>경상남도 창원시 성산구 안민로101번길 29</t>
        </is>
      </c>
      <c r="AH411" s="0" t="n">
        <v>0</v>
      </c>
      <c r="AI411" s="0" t="n">
        <v>263</v>
      </c>
      <c r="AJ411" s="0" t="n">
        <v>35</v>
      </c>
      <c r="AK411" s="0" t="n">
        <v>943</v>
      </c>
      <c r="AL411" s="0" t="n">
        <v>1.02</v>
      </c>
    </row>
    <row r="412">
      <c r="A412" s="0" t="inlineStr">
        <is>
          <t>[안민동]</t>
        </is>
      </c>
      <c r="B412" s="0" t="n">
        <v>7858</v>
      </c>
      <c r="C412" s="0" t="n">
        <v>3</v>
      </c>
      <c r="D412" s="0" t="inlineStr">
        <is>
          <t>안민청솔마을대동</t>
        </is>
      </c>
      <c r="E412" s="0" t="inlineStr">
        <is>
          <t>1999.06.</t>
        </is>
      </c>
      <c r="F412" s="0" t="n">
        <v>920</v>
      </c>
      <c r="G412" s="0" t="n">
        <v>44.72</v>
      </c>
      <c r="H412" s="0" t="n">
        <v>147.85</v>
      </c>
      <c r="I412" s="0" t="n">
        <v>36.2</v>
      </c>
      <c r="J412" s="0" t="n">
        <v>119.7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147</v>
      </c>
      <c r="X412" s="0" t="n">
        <v>23</v>
      </c>
      <c r="Y412" s="0" t="n">
        <v>11</v>
      </c>
      <c r="Z412" s="0" t="inlineStr">
        <is>
          <t>https://new.land.naver.com/complexes/7858?tab=detail&amp;rf=Y</t>
        </is>
      </c>
      <c r="AA412" s="0" t="inlineStr">
        <is>
          <t>경상남도 창원시 성산구 안민동 197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성산구</t>
        </is>
      </c>
      <c r="AE412" s="0" t="inlineStr">
        <is>
          <t>안민동</t>
        </is>
      </c>
      <c r="AG412" s="0" t="inlineStr">
        <is>
          <t>경상남도 창원시 성산구 안민로101번길 29</t>
        </is>
      </c>
      <c r="AH412" s="0" t="n">
        <v>0</v>
      </c>
      <c r="AI412" s="0" t="n">
        <v>263</v>
      </c>
      <c r="AJ412" s="0" t="n">
        <v>35</v>
      </c>
      <c r="AK412" s="0" t="n">
        <v>943</v>
      </c>
      <c r="AL412" s="0" t="n">
        <v>1.02</v>
      </c>
    </row>
    <row r="413">
      <c r="A413" s="0" t="inlineStr">
        <is>
          <t>[안민동]</t>
        </is>
      </c>
      <c r="B413" s="0" t="n">
        <v>7858</v>
      </c>
      <c r="C413" s="0" t="n">
        <v>4</v>
      </c>
      <c r="D413" s="0" t="inlineStr">
        <is>
          <t>안민청솔마을대동</t>
        </is>
      </c>
      <c r="E413" s="0" t="inlineStr">
        <is>
          <t>1999.06.</t>
        </is>
      </c>
      <c r="F413" s="0" t="n">
        <v>920</v>
      </c>
      <c r="G413" s="0" t="n">
        <v>54.76</v>
      </c>
      <c r="H413" s="0" t="n">
        <v>181.05</v>
      </c>
      <c r="I413" s="0" t="n">
        <v>45.31</v>
      </c>
      <c r="J413" s="0" t="n">
        <v>149.81</v>
      </c>
      <c r="K413" s="0" t="n">
        <v>98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181</v>
      </c>
      <c r="X413" s="0" t="n">
        <v>23</v>
      </c>
      <c r="Y413" s="0" t="n">
        <v>11</v>
      </c>
      <c r="Z413" s="0" t="inlineStr">
        <is>
          <t>https://new.land.naver.com/complexes/7858?tab=detail&amp;rf=Y</t>
        </is>
      </c>
      <c r="AA413" s="0" t="inlineStr">
        <is>
          <t>경상남도 창원시 성산구 안민동 197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성산구</t>
        </is>
      </c>
      <c r="AE413" s="0" t="inlineStr">
        <is>
          <t>안민동</t>
        </is>
      </c>
      <c r="AG413" s="0" t="inlineStr">
        <is>
          <t>경상남도 창원시 성산구 안민로101번길 29</t>
        </is>
      </c>
      <c r="AH413" s="0" t="n">
        <v>0</v>
      </c>
      <c r="AI413" s="0" t="n">
        <v>263</v>
      </c>
      <c r="AJ413" s="0" t="n">
        <v>35</v>
      </c>
      <c r="AK413" s="0" t="n">
        <v>943</v>
      </c>
      <c r="AL413" s="0" t="n">
        <v>1.02</v>
      </c>
    </row>
    <row r="414">
      <c r="A414" s="0" t="inlineStr">
        <is>
          <t>[안민동]</t>
        </is>
      </c>
      <c r="B414" s="0" t="n">
        <v>115826</v>
      </c>
      <c r="C414" s="0" t="n">
        <v>1</v>
      </c>
      <c r="D414" s="0" t="inlineStr">
        <is>
          <t>안민동위드필하임</t>
        </is>
      </c>
      <c r="E414" s="0" t="inlineStr">
        <is>
          <t>2019.02.</t>
        </is>
      </c>
      <c r="F414" s="0" t="n">
        <v>172</v>
      </c>
      <c r="G414" s="0" t="n">
        <v>24.27</v>
      </c>
      <c r="H414" s="0" t="n">
        <v>80.23999999999999</v>
      </c>
      <c r="I414" s="0" t="n">
        <v>18.14</v>
      </c>
      <c r="J414" s="0" t="n">
        <v>59.97</v>
      </c>
      <c r="K414" s="0" t="n">
        <v>172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80</v>
      </c>
      <c r="X414" s="0" t="n">
        <v>23</v>
      </c>
      <c r="Y414" s="0" t="n">
        <v>21</v>
      </c>
      <c r="Z414" s="0" t="inlineStr">
        <is>
          <t>https://new.land.naver.com/complexes/115826?tab=detail&amp;rf=Y</t>
        </is>
      </c>
      <c r="AA414" s="0" t="inlineStr">
        <is>
          <t>경상남도 창원시 성산구 안민동 196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성산구</t>
        </is>
      </c>
      <c r="AE414" s="0" t="inlineStr">
        <is>
          <t>안민동</t>
        </is>
      </c>
      <c r="AG414" s="0" t="inlineStr">
        <is>
          <t>경상남도 창원시 성산구 안민로 49-6</t>
        </is>
      </c>
      <c r="AH414" s="0" t="n">
        <v>0</v>
      </c>
      <c r="AI414" s="0" t="n">
        <v>198</v>
      </c>
      <c r="AJ414" s="0" t="n">
        <v>18</v>
      </c>
      <c r="AK414" s="0" t="n">
        <v>213</v>
      </c>
      <c r="AL414" s="0" t="n">
        <v>1.24</v>
      </c>
    </row>
    <row r="415">
      <c r="A415" s="0" t="inlineStr">
        <is>
          <t>[안민동]</t>
        </is>
      </c>
      <c r="B415" s="0" t="n">
        <v>141478</v>
      </c>
      <c r="C415" s="0" t="n">
        <v>1</v>
      </c>
      <c r="D415" s="0" t="inlineStr">
        <is>
          <t>성산삼정그린코아포레스트1단지</t>
        </is>
      </c>
      <c r="E415" s="0" t="inlineStr">
        <is>
          <t>2024.05.</t>
        </is>
      </c>
      <c r="F415" s="0" t="n">
        <v>401</v>
      </c>
      <c r="G415" s="0" t="n">
        <v>30.41</v>
      </c>
      <c r="H415" s="0" t="n">
        <v>100.56</v>
      </c>
      <c r="I415" s="0" t="n">
        <v>22.76</v>
      </c>
      <c r="J415" s="0" t="n">
        <v>75.23999999999999</v>
      </c>
      <c r="K415" s="0" t="n">
        <v>195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100</v>
      </c>
      <c r="X415" s="0" t="n">
        <v>26</v>
      </c>
      <c r="Y415" s="0" t="n">
        <v>24</v>
      </c>
      <c r="Z415" s="0" t="inlineStr">
        <is>
          <t>https://new.land.naver.com/complexes/141478?tab=detail&amp;rf=Y</t>
        </is>
      </c>
      <c r="AA415" s="0" t="inlineStr">
        <is>
          <t>경상남도 창원시 성산구 안민동 산 35외 9필지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성산구</t>
        </is>
      </c>
      <c r="AE415" s="0" t="inlineStr">
        <is>
          <t>안민동</t>
        </is>
      </c>
      <c r="AG415" s="0" t="inlineStr">
        <is>
          <t>경상남도 창원시 성산구</t>
        </is>
      </c>
      <c r="AH415" s="0" t="n">
        <v>0</v>
      </c>
      <c r="AI415" s="0" t="n">
        <v>0</v>
      </c>
      <c r="AJ415" s="0" t="n">
        <v>0</v>
      </c>
      <c r="AK415" s="0" t="n">
        <v>501</v>
      </c>
      <c r="AL415" s="0" t="n">
        <v>1.25</v>
      </c>
    </row>
    <row r="416">
      <c r="A416" s="0" t="inlineStr">
        <is>
          <t>[안민동]</t>
        </is>
      </c>
      <c r="B416" s="0" t="n">
        <v>141478</v>
      </c>
      <c r="C416" s="0" t="n">
        <v>2</v>
      </c>
      <c r="D416" s="0" t="inlineStr">
        <is>
          <t>성산삼정그린코아포레스트1단지</t>
        </is>
      </c>
      <c r="E416" s="0" t="inlineStr">
        <is>
          <t>2024.05.</t>
        </is>
      </c>
      <c r="F416" s="0" t="n">
        <v>401</v>
      </c>
      <c r="G416" s="0" t="n">
        <v>32.96</v>
      </c>
      <c r="H416" s="0" t="n">
        <v>108.97</v>
      </c>
      <c r="I416" s="0" t="n">
        <v>25.62</v>
      </c>
      <c r="J416" s="0" t="n">
        <v>84.72</v>
      </c>
      <c r="K416" s="0" t="n">
        <v>154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108A</t>
        </is>
      </c>
      <c r="X416" s="0" t="n">
        <v>26</v>
      </c>
      <c r="Y416" s="0" t="n">
        <v>24</v>
      </c>
      <c r="Z416" s="0" t="inlineStr">
        <is>
          <t>https://new.land.naver.com/complexes/141478?tab=detail&amp;rf=Y</t>
        </is>
      </c>
      <c r="AA416" s="0" t="inlineStr">
        <is>
          <t>경상남도 창원시 성산구 안민동 산 35외 9필지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성산구</t>
        </is>
      </c>
      <c r="AE416" s="0" t="inlineStr">
        <is>
          <t>안민동</t>
        </is>
      </c>
      <c r="AG416" s="0" t="inlineStr">
        <is>
          <t>경상남도 창원시 성산구</t>
        </is>
      </c>
      <c r="AH416" s="0" t="n">
        <v>0</v>
      </c>
      <c r="AI416" s="0" t="n">
        <v>0</v>
      </c>
      <c r="AJ416" s="0" t="n">
        <v>0</v>
      </c>
      <c r="AK416" s="0" t="n">
        <v>501</v>
      </c>
      <c r="AL416" s="0" t="n">
        <v>1.25</v>
      </c>
    </row>
    <row r="417">
      <c r="A417" s="0" t="inlineStr">
        <is>
          <t>[안민동]</t>
        </is>
      </c>
      <c r="B417" s="0" t="n">
        <v>141478</v>
      </c>
      <c r="C417" s="0" t="n">
        <v>3</v>
      </c>
      <c r="D417" s="0" t="inlineStr">
        <is>
          <t>성산삼정그린코아포레스트1단지</t>
        </is>
      </c>
      <c r="E417" s="0" t="inlineStr">
        <is>
          <t>2024.05.</t>
        </is>
      </c>
      <c r="F417" s="0" t="n">
        <v>401</v>
      </c>
      <c r="G417" s="0" t="n">
        <v>33.41</v>
      </c>
      <c r="H417" s="0" t="n">
        <v>110.47</v>
      </c>
      <c r="I417" s="0" t="n">
        <v>25.67</v>
      </c>
      <c r="J417" s="0" t="n">
        <v>84.88</v>
      </c>
      <c r="K417" s="0" t="n">
        <v>52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110B</t>
        </is>
      </c>
      <c r="X417" s="0" t="n">
        <v>26</v>
      </c>
      <c r="Y417" s="0" t="n">
        <v>24</v>
      </c>
      <c r="Z417" s="0" t="inlineStr">
        <is>
          <t>https://new.land.naver.com/complexes/141478?tab=detail&amp;rf=Y</t>
        </is>
      </c>
      <c r="AA417" s="0" t="inlineStr">
        <is>
          <t>경상남도 창원시 성산구 안민동 산 35외 9필지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성산구</t>
        </is>
      </c>
      <c r="AE417" s="0" t="inlineStr">
        <is>
          <t>안민동</t>
        </is>
      </c>
      <c r="AG417" s="0" t="inlineStr">
        <is>
          <t>경상남도 창원시 성산구</t>
        </is>
      </c>
      <c r="AH417" s="0" t="n">
        <v>0</v>
      </c>
      <c r="AI417" s="0" t="n">
        <v>0</v>
      </c>
      <c r="AJ417" s="0" t="n">
        <v>0</v>
      </c>
      <c r="AK417" s="0" t="n">
        <v>501</v>
      </c>
      <c r="AL417" s="0" t="n">
        <v>1.25</v>
      </c>
    </row>
    <row r="418">
      <c r="A418" s="0" t="inlineStr">
        <is>
          <t>[안민동]</t>
        </is>
      </c>
      <c r="B418" s="0" t="n">
        <v>19741</v>
      </c>
      <c r="C418" s="0" t="n">
        <v>1</v>
      </c>
      <c r="D418" s="0" t="inlineStr">
        <is>
          <t>안민한스빌</t>
        </is>
      </c>
      <c r="E418" s="0" t="inlineStr">
        <is>
          <t>2005.01.</t>
        </is>
      </c>
      <c r="F418" s="0" t="n">
        <v>71</v>
      </c>
      <c r="G418" s="0" t="n">
        <v>32.38</v>
      </c>
      <c r="H418" s="0" t="n">
        <v>107.05</v>
      </c>
      <c r="I418" s="0" t="n">
        <v>25.7</v>
      </c>
      <c r="J418" s="0" t="n">
        <v>84.98</v>
      </c>
      <c r="K418" s="0" t="n">
        <v>71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107</v>
      </c>
      <c r="X418" s="0" t="n">
        <v>19</v>
      </c>
      <c r="Y418" s="0" t="n">
        <v>16</v>
      </c>
      <c r="Z418" s="0" t="inlineStr">
        <is>
          <t>https://new.land.naver.com/complexes/19741?tab=detail&amp;rf=Y</t>
        </is>
      </c>
      <c r="AA418" s="0" t="inlineStr">
        <is>
          <t>경상남도 창원시 성산구 안민동 150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성산구</t>
        </is>
      </c>
      <c r="AE418" s="0" t="inlineStr">
        <is>
          <t>안민동</t>
        </is>
      </c>
      <c r="AG418" s="0" t="inlineStr">
        <is>
          <t>경상남도 창원시 성산구 안민안길 1</t>
        </is>
      </c>
      <c r="AH418" s="0" t="n">
        <v>0</v>
      </c>
      <c r="AI418" s="0" t="n">
        <v>226</v>
      </c>
      <c r="AJ418" s="0" t="n">
        <v>14</v>
      </c>
      <c r="AK418" s="0" t="n">
        <v>73</v>
      </c>
      <c r="AL418" s="0" t="n">
        <v>1.03</v>
      </c>
    </row>
    <row r="419">
      <c r="A419" s="0" t="inlineStr">
        <is>
          <t>[안민동]</t>
        </is>
      </c>
      <c r="B419" s="0" t="n">
        <v>7865</v>
      </c>
      <c r="C419" s="0" t="n">
        <v>1</v>
      </c>
      <c r="D419" s="0" t="inlineStr">
        <is>
          <t>신우에이스타운</t>
        </is>
      </c>
      <c r="E419" s="0" t="inlineStr">
        <is>
          <t>1999.02.</t>
        </is>
      </c>
      <c r="F419" s="0" t="n">
        <v>170</v>
      </c>
      <c r="G419" s="0" t="n">
        <v>23.91</v>
      </c>
      <c r="H419" s="0" t="n">
        <v>79.06999999999999</v>
      </c>
      <c r="I419" s="0" t="n">
        <v>18.07</v>
      </c>
      <c r="J419" s="0" t="n">
        <v>59.76</v>
      </c>
      <c r="K419" s="0" t="n">
        <v>110</v>
      </c>
      <c r="T419" s="0" t="n">
        <v>3</v>
      </c>
      <c r="U419" s="0" t="n">
        <v>1</v>
      </c>
      <c r="V419" s="0" t="inlineStr">
        <is>
          <t>복도식</t>
        </is>
      </c>
      <c r="W419" s="0" t="n">
        <v>79</v>
      </c>
      <c r="X419" s="0" t="n">
        <v>15</v>
      </c>
      <c r="Y419" s="0" t="n">
        <v>13</v>
      </c>
      <c r="Z419" s="0" t="inlineStr">
        <is>
          <t>https://new.land.naver.com/complexes/7865?tab=detail&amp;rf=Y</t>
        </is>
      </c>
      <c r="AA419" s="0" t="inlineStr">
        <is>
          <t>경상남도 창원시 성산구 안민동 143-7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성산구</t>
        </is>
      </c>
      <c r="AE419" s="0" t="inlineStr">
        <is>
          <t>안민동</t>
        </is>
      </c>
      <c r="AG419" s="0" t="inlineStr">
        <is>
          <t>경상남도 창원시 성산구 안민안길 8</t>
        </is>
      </c>
      <c r="AH419" s="0" t="n">
        <v>0</v>
      </c>
      <c r="AI419" s="0" t="n">
        <v>341</v>
      </c>
      <c r="AJ419" s="0" t="n">
        <v>29</v>
      </c>
      <c r="AK419" s="0" t="n">
        <v>155</v>
      </c>
      <c r="AL419" s="0" t="n">
        <v>0.91</v>
      </c>
    </row>
    <row r="420">
      <c r="A420" s="0" t="inlineStr">
        <is>
          <t>[안민동]</t>
        </is>
      </c>
      <c r="B420" s="0" t="n">
        <v>7865</v>
      </c>
      <c r="C420" s="0" t="n">
        <v>2</v>
      </c>
      <c r="D420" s="0" t="inlineStr">
        <is>
          <t>신우에이스타운</t>
        </is>
      </c>
      <c r="E420" s="0" t="inlineStr">
        <is>
          <t>1999.02.</t>
        </is>
      </c>
      <c r="F420" s="0" t="n">
        <v>170</v>
      </c>
      <c r="G420" s="0" t="n">
        <v>29.68</v>
      </c>
      <c r="H420" s="0" t="n">
        <v>98.13</v>
      </c>
      <c r="I420" s="0" t="n">
        <v>25.69</v>
      </c>
      <c r="J420" s="0" t="n">
        <v>84.93000000000001</v>
      </c>
      <c r="K420" s="0" t="n">
        <v>60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98</v>
      </c>
      <c r="X420" s="0" t="n">
        <v>15</v>
      </c>
      <c r="Y420" s="0" t="n">
        <v>13</v>
      </c>
      <c r="Z420" s="0" t="inlineStr">
        <is>
          <t>https://new.land.naver.com/complexes/7865?tab=detail&amp;rf=Y</t>
        </is>
      </c>
      <c r="AA420" s="0" t="inlineStr">
        <is>
          <t>경상남도 창원시 성산구 안민동 143-7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성산구</t>
        </is>
      </c>
      <c r="AE420" s="0" t="inlineStr">
        <is>
          <t>안민동</t>
        </is>
      </c>
      <c r="AG420" s="0" t="inlineStr">
        <is>
          <t>경상남도 창원시 성산구 안민안길 8</t>
        </is>
      </c>
      <c r="AH420" s="0" t="n">
        <v>0</v>
      </c>
      <c r="AI420" s="0" t="n">
        <v>341</v>
      </c>
      <c r="AJ420" s="0" t="n">
        <v>29</v>
      </c>
      <c r="AK420" s="0" t="n">
        <v>155</v>
      </c>
      <c r="AL420" s="0" t="n">
        <v>0.91</v>
      </c>
    </row>
    <row r="421">
      <c r="A421" s="0" t="inlineStr">
        <is>
          <t>[안민동]</t>
        </is>
      </c>
      <c r="B421" s="0" t="n">
        <v>7862</v>
      </c>
      <c r="C421" s="0" t="n">
        <v>1</v>
      </c>
      <c r="D421" s="0" t="inlineStr">
        <is>
          <t>한솔마을대동</t>
        </is>
      </c>
      <c r="E421" s="0" t="inlineStr">
        <is>
          <t>1999.05.</t>
        </is>
      </c>
      <c r="F421" s="0" t="n">
        <v>640</v>
      </c>
      <c r="G421" s="0" t="n">
        <v>22.77</v>
      </c>
      <c r="H421" s="0" t="n">
        <v>75.28</v>
      </c>
      <c r="I421" s="0" t="n">
        <v>17.89</v>
      </c>
      <c r="J421" s="0" t="n">
        <v>59.17</v>
      </c>
      <c r="K421" s="0" t="n">
        <v>120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75</v>
      </c>
      <c r="X421" s="0" t="n">
        <v>20</v>
      </c>
      <c r="Y421" s="0" t="n">
        <v>20</v>
      </c>
      <c r="Z421" s="0" t="inlineStr">
        <is>
          <t>https://new.land.naver.com/complexes/7862?tab=detail&amp;rf=Y</t>
        </is>
      </c>
      <c r="AA421" s="0" t="inlineStr">
        <is>
          <t>경상남도 창원시 성산구 안민동 108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성산구</t>
        </is>
      </c>
      <c r="AE421" s="0" t="inlineStr">
        <is>
          <t>안민동</t>
        </is>
      </c>
      <c r="AG421" s="0" t="inlineStr">
        <is>
          <t>경상남도 창원시 성산구 안민로 161</t>
        </is>
      </c>
      <c r="AH421" s="0" t="n">
        <v>0</v>
      </c>
      <c r="AI421" s="0" t="n">
        <v>208</v>
      </c>
      <c r="AJ421" s="0" t="n">
        <v>15</v>
      </c>
      <c r="AK421" s="0" t="n">
        <v>661</v>
      </c>
      <c r="AL421" s="0" t="n">
        <v>1.03</v>
      </c>
    </row>
    <row r="422">
      <c r="A422" s="0" t="inlineStr">
        <is>
          <t>[안민동]</t>
        </is>
      </c>
      <c r="B422" s="0" t="n">
        <v>7862</v>
      </c>
      <c r="C422" s="0" t="n">
        <v>2</v>
      </c>
      <c r="D422" s="0" t="inlineStr">
        <is>
          <t>한솔마을대동</t>
        </is>
      </c>
      <c r="E422" s="0" t="inlineStr">
        <is>
          <t>1999.05.</t>
        </is>
      </c>
      <c r="F422" s="0" t="n">
        <v>640</v>
      </c>
      <c r="G422" s="0" t="n">
        <v>23.08</v>
      </c>
      <c r="H422" s="0" t="n">
        <v>76.3</v>
      </c>
      <c r="I422" s="0" t="n">
        <v>18.14</v>
      </c>
      <c r="J422" s="0" t="n">
        <v>59.97</v>
      </c>
      <c r="K422" s="0" t="n">
        <v>20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76</v>
      </c>
      <c r="X422" s="0" t="n">
        <v>20</v>
      </c>
      <c r="Y422" s="0" t="n">
        <v>20</v>
      </c>
      <c r="Z422" s="0" t="inlineStr">
        <is>
          <t>https://new.land.naver.com/complexes/7862?tab=detail&amp;rf=Y</t>
        </is>
      </c>
      <c r="AA422" s="0" t="inlineStr">
        <is>
          <t>경상남도 창원시 성산구 안민동 108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성산구</t>
        </is>
      </c>
      <c r="AE422" s="0" t="inlineStr">
        <is>
          <t>안민동</t>
        </is>
      </c>
      <c r="AG422" s="0" t="inlineStr">
        <is>
          <t>경상남도 창원시 성산구 안민로 161</t>
        </is>
      </c>
      <c r="AH422" s="0" t="n">
        <v>0</v>
      </c>
      <c r="AI422" s="0" t="n">
        <v>208</v>
      </c>
      <c r="AJ422" s="0" t="n">
        <v>15</v>
      </c>
      <c r="AK422" s="0" t="n">
        <v>661</v>
      </c>
      <c r="AL422" s="0" t="n">
        <v>1.03</v>
      </c>
    </row>
    <row r="423">
      <c r="A423" s="0" t="inlineStr">
        <is>
          <t>[안민동]</t>
        </is>
      </c>
      <c r="B423" s="0" t="n">
        <v>7862</v>
      </c>
      <c r="C423" s="0" t="n">
        <v>3</v>
      </c>
      <c r="D423" s="0" t="inlineStr">
        <is>
          <t>한솔마을대동</t>
        </is>
      </c>
      <c r="E423" s="0" t="inlineStr">
        <is>
          <t>1999.05.</t>
        </is>
      </c>
      <c r="F423" s="0" t="n">
        <v>640</v>
      </c>
      <c r="G423" s="0" t="n">
        <v>32.7</v>
      </c>
      <c r="H423" s="0" t="n">
        <v>108.12</v>
      </c>
      <c r="I423" s="0" t="n">
        <v>25.7</v>
      </c>
      <c r="J423" s="0" t="n">
        <v>84.98</v>
      </c>
      <c r="K423" s="0" t="n">
        <v>500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108</v>
      </c>
      <c r="X423" s="0" t="n">
        <v>20</v>
      </c>
      <c r="Y423" s="0" t="n">
        <v>20</v>
      </c>
      <c r="Z423" s="0" t="inlineStr">
        <is>
          <t>https://new.land.naver.com/complexes/7862?tab=detail&amp;rf=Y</t>
        </is>
      </c>
      <c r="AA423" s="0" t="inlineStr">
        <is>
          <t>경상남도 창원시 성산구 안민동 108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성산구</t>
        </is>
      </c>
      <c r="AE423" s="0" t="inlineStr">
        <is>
          <t>안민동</t>
        </is>
      </c>
      <c r="AG423" s="0" t="inlineStr">
        <is>
          <t>경상남도 창원시 성산구 안민로 161</t>
        </is>
      </c>
      <c r="AH423" s="0" t="n">
        <v>0</v>
      </c>
      <c r="AI423" s="0" t="n">
        <v>208</v>
      </c>
      <c r="AJ423" s="0" t="n">
        <v>15</v>
      </c>
      <c r="AK423" s="0" t="n">
        <v>661</v>
      </c>
      <c r="AL423" s="0" t="n">
        <v>1.03</v>
      </c>
    </row>
    <row r="424">
      <c r="A424" s="0" t="inlineStr">
        <is>
          <t>[안민동]</t>
        </is>
      </c>
      <c r="B424" s="0" t="n">
        <v>15802</v>
      </c>
      <c r="C424" s="0" t="n">
        <v>1</v>
      </c>
      <c r="D424" s="0" t="inlineStr">
        <is>
          <t>동부산아이존빌</t>
        </is>
      </c>
      <c r="E424" s="0" t="inlineStr">
        <is>
          <t>2002.03.</t>
        </is>
      </c>
      <c r="F424" s="0" t="n">
        <v>262</v>
      </c>
      <c r="G424" s="0" t="n">
        <v>24.66</v>
      </c>
      <c r="H424" s="0" t="n">
        <v>81.55</v>
      </c>
      <c r="I424" s="0" t="n">
        <v>18.14</v>
      </c>
      <c r="J424" s="0" t="n">
        <v>59.98</v>
      </c>
      <c r="K424" s="0" t="n">
        <v>55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81B</t>
        </is>
      </c>
      <c r="X424" s="0" t="n">
        <v>23</v>
      </c>
      <c r="Y424" s="0" t="n">
        <v>16</v>
      </c>
      <c r="Z424" s="0" t="inlineStr">
        <is>
          <t>https://new.land.naver.com/complexes/15802?tab=detail&amp;rf=Y</t>
        </is>
      </c>
      <c r="AA424" s="0" t="inlineStr">
        <is>
          <t>경상남도 창원시 성산구 안민동 188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성산구</t>
        </is>
      </c>
      <c r="AE424" s="0" t="inlineStr">
        <is>
          <t>안민동</t>
        </is>
      </c>
      <c r="AG424" s="0" t="inlineStr">
        <is>
          <t>경상남도 창원시 성산구 안민로117번길 3</t>
        </is>
      </c>
      <c r="AH424" s="0" t="n">
        <v>0</v>
      </c>
      <c r="AI424" s="0" t="n">
        <v>282</v>
      </c>
      <c r="AJ424" s="0" t="n">
        <v>15</v>
      </c>
      <c r="AK424" s="0" t="n">
        <v>229</v>
      </c>
      <c r="AL424" s="0" t="n">
        <v>0.87</v>
      </c>
    </row>
    <row r="425">
      <c r="A425" s="0" t="inlineStr">
        <is>
          <t>[안민동]</t>
        </is>
      </c>
      <c r="B425" s="0" t="n">
        <v>15802</v>
      </c>
      <c r="C425" s="0" t="n">
        <v>2</v>
      </c>
      <c r="D425" s="0" t="inlineStr">
        <is>
          <t>동부산아이존빌</t>
        </is>
      </c>
      <c r="E425" s="0" t="inlineStr">
        <is>
          <t>2002.03.</t>
        </is>
      </c>
      <c r="F425" s="0" t="n">
        <v>262</v>
      </c>
      <c r="G425" s="0" t="n">
        <v>24.9</v>
      </c>
      <c r="H425" s="0" t="n">
        <v>82.31999999999999</v>
      </c>
      <c r="I425" s="0" t="n">
        <v>18.07</v>
      </c>
      <c r="J425" s="0" t="n">
        <v>59.75</v>
      </c>
      <c r="K425" s="0" t="n">
        <v>115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82A</t>
        </is>
      </c>
      <c r="X425" s="0" t="n">
        <v>23</v>
      </c>
      <c r="Y425" s="0" t="n">
        <v>16</v>
      </c>
      <c r="Z425" s="0" t="inlineStr">
        <is>
          <t>https://new.land.naver.com/complexes/15802?tab=detail&amp;rf=Y</t>
        </is>
      </c>
      <c r="AA425" s="0" t="inlineStr">
        <is>
          <t>경상남도 창원시 성산구 안민동 188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성산구</t>
        </is>
      </c>
      <c r="AE425" s="0" t="inlineStr">
        <is>
          <t>안민동</t>
        </is>
      </c>
      <c r="AG425" s="0" t="inlineStr">
        <is>
          <t>경상남도 창원시 성산구 안민로117번길 3</t>
        </is>
      </c>
      <c r="AH425" s="0" t="n">
        <v>0</v>
      </c>
      <c r="AI425" s="0" t="n">
        <v>282</v>
      </c>
      <c r="AJ425" s="0" t="n">
        <v>15</v>
      </c>
      <c r="AK425" s="0" t="n">
        <v>229</v>
      </c>
      <c r="AL425" s="0" t="n">
        <v>0.87</v>
      </c>
    </row>
    <row r="426">
      <c r="A426" s="0" t="inlineStr">
        <is>
          <t>[안민동]</t>
        </is>
      </c>
      <c r="B426" s="0" t="n">
        <v>15802</v>
      </c>
      <c r="C426" s="0" t="n">
        <v>3</v>
      </c>
      <c r="D426" s="0" t="inlineStr">
        <is>
          <t>동부산아이존빌</t>
        </is>
      </c>
      <c r="E426" s="0" t="inlineStr">
        <is>
          <t>2002.03.</t>
        </is>
      </c>
      <c r="F426" s="0" t="n">
        <v>262</v>
      </c>
      <c r="G426" s="0" t="n">
        <v>34.65</v>
      </c>
      <c r="H426" s="0" t="n">
        <v>114.55</v>
      </c>
      <c r="I426" s="0" t="n">
        <v>25.68</v>
      </c>
      <c r="J426" s="0" t="n">
        <v>84.92</v>
      </c>
      <c r="K426" s="0" t="n">
        <v>92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114</v>
      </c>
      <c r="X426" s="0" t="n">
        <v>23</v>
      </c>
      <c r="Y426" s="0" t="n">
        <v>16</v>
      </c>
      <c r="Z426" s="0" t="inlineStr">
        <is>
          <t>https://new.land.naver.com/complexes/15802?tab=detail&amp;rf=Y</t>
        </is>
      </c>
      <c r="AA426" s="0" t="inlineStr">
        <is>
          <t>경상남도 창원시 성산구 안민동 188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성산구</t>
        </is>
      </c>
      <c r="AE426" s="0" t="inlineStr">
        <is>
          <t>안민동</t>
        </is>
      </c>
      <c r="AG426" s="0" t="inlineStr">
        <is>
          <t>경상남도 창원시 성산구 안민로117번길 3</t>
        </is>
      </c>
      <c r="AH426" s="0" t="n">
        <v>0</v>
      </c>
      <c r="AI426" s="0" t="n">
        <v>282</v>
      </c>
      <c r="AJ426" s="0" t="n">
        <v>15</v>
      </c>
      <c r="AK426" s="0" t="n">
        <v>229</v>
      </c>
      <c r="AL426" s="0" t="n">
        <v>0.87</v>
      </c>
    </row>
    <row r="427">
      <c r="A427" s="0" t="inlineStr">
        <is>
          <t>[안민동]</t>
        </is>
      </c>
      <c r="B427" s="0" t="n">
        <v>104822</v>
      </c>
      <c r="C427" s="0" t="n">
        <v>1</v>
      </c>
      <c r="D427" s="0" t="inlineStr">
        <is>
          <t>삼성그렌드</t>
        </is>
      </c>
      <c r="E427" s="0" t="inlineStr">
        <is>
          <t>2004.12.</t>
        </is>
      </c>
      <c r="F427" s="0" t="n">
        <v>68</v>
      </c>
      <c r="G427" s="0" t="n">
        <v>32.44</v>
      </c>
      <c r="H427" s="0" t="n">
        <v>107.25</v>
      </c>
      <c r="I427" s="0" t="n">
        <v>25.45</v>
      </c>
      <c r="J427" s="0" t="n">
        <v>84.16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107</v>
      </c>
      <c r="X427" s="0" t="n">
        <v>12</v>
      </c>
      <c r="Y427" s="0" t="n">
        <v>11</v>
      </c>
      <c r="Z427" s="0" t="inlineStr">
        <is>
          <t>https://new.land.naver.com/complexes/104822?tab=detail&amp;rf=Y</t>
        </is>
      </c>
      <c r="AA427" s="0" t="inlineStr">
        <is>
          <t>경상남도 창원시 성산구 안민동 56-1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성산구</t>
        </is>
      </c>
      <c r="AE427" s="0" t="inlineStr">
        <is>
          <t>안민동</t>
        </is>
      </c>
      <c r="AG427" s="0" t="inlineStr">
        <is>
          <t>경상남도 창원시 성산구 안민안길 42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[외동]</t>
        </is>
      </c>
      <c r="B428" s="0" t="n">
        <v>15804</v>
      </c>
      <c r="C428" s="0" t="n">
        <v>1</v>
      </c>
      <c r="D428" s="0" t="inlineStr">
        <is>
          <t>대동</t>
        </is>
      </c>
      <c r="E428" s="0" t="inlineStr">
        <is>
          <t>1997.11.</t>
        </is>
      </c>
      <c r="F428" s="0" t="n">
        <v>120</v>
      </c>
      <c r="G428" s="0" t="n">
        <v>23.28</v>
      </c>
      <c r="H428" s="0" t="n">
        <v>76.97</v>
      </c>
      <c r="I428" s="0" t="n">
        <v>18.11</v>
      </c>
      <c r="J428" s="0" t="n">
        <v>59.89</v>
      </c>
      <c r="K428" s="0" t="n">
        <v>24</v>
      </c>
      <c r="T428" s="0" t="n">
        <v>2</v>
      </c>
      <c r="U428" s="0" t="n">
        <v>1</v>
      </c>
      <c r="V428" s="0" t="inlineStr">
        <is>
          <t>계단식</t>
        </is>
      </c>
      <c r="W428" s="0" t="n">
        <v>76</v>
      </c>
      <c r="X428" s="0" t="n">
        <v>12</v>
      </c>
      <c r="Y428" s="0" t="n">
        <v>12</v>
      </c>
      <c r="Z428" s="0" t="inlineStr">
        <is>
          <t>https://new.land.naver.com/complexes/15804?tab=detail&amp;rf=Y</t>
        </is>
      </c>
      <c r="AA428" s="0" t="inlineStr">
        <is>
          <t>경상남도 창원시 성산구 외동 853-35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성산구</t>
        </is>
      </c>
      <c r="AE428" s="0" t="inlineStr">
        <is>
          <t>외동</t>
        </is>
      </c>
      <c r="AG428" s="0" t="inlineStr">
        <is>
          <t>경상남도 창원시 성산구 창원대로780번길 47</t>
        </is>
      </c>
      <c r="AH428" s="0" t="n">
        <v>0</v>
      </c>
      <c r="AI428" s="0" t="n">
        <v>313</v>
      </c>
      <c r="AJ428" s="0" t="n">
        <v>36</v>
      </c>
      <c r="AK428" s="0" t="n">
        <v>111</v>
      </c>
      <c r="AL428" s="0" t="n">
        <v>0.93</v>
      </c>
    </row>
    <row r="429">
      <c r="A429" s="0" t="inlineStr">
        <is>
          <t>[외동]</t>
        </is>
      </c>
      <c r="B429" s="0" t="n">
        <v>15804</v>
      </c>
      <c r="C429" s="0" t="n">
        <v>2</v>
      </c>
      <c r="D429" s="0" t="inlineStr">
        <is>
          <t>대동</t>
        </is>
      </c>
      <c r="E429" s="0" t="inlineStr">
        <is>
          <t>1997.11.</t>
        </is>
      </c>
      <c r="F429" s="0" t="n">
        <v>120</v>
      </c>
      <c r="G429" s="0" t="n">
        <v>31.5</v>
      </c>
      <c r="H429" s="0" t="n">
        <v>104.14</v>
      </c>
      <c r="I429" s="0" t="n">
        <v>25.7</v>
      </c>
      <c r="J429" s="0" t="n">
        <v>84.98999999999999</v>
      </c>
      <c r="K429" s="0" t="n">
        <v>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12</v>
      </c>
      <c r="Y429" s="0" t="n">
        <v>12</v>
      </c>
      <c r="Z429" s="0" t="inlineStr">
        <is>
          <t>https://new.land.naver.com/complexes/15804?tab=detail&amp;rf=Y</t>
        </is>
      </c>
      <c r="AA429" s="0" t="inlineStr">
        <is>
          <t>경상남도 창원시 성산구 외동 853-35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성산구</t>
        </is>
      </c>
      <c r="AE429" s="0" t="inlineStr">
        <is>
          <t>외동</t>
        </is>
      </c>
      <c r="AG429" s="0" t="inlineStr">
        <is>
          <t>경상남도 창원시 성산구 창원대로780번길 47</t>
        </is>
      </c>
      <c r="AH429" s="0" t="n">
        <v>0</v>
      </c>
      <c r="AI429" s="0" t="n">
        <v>313</v>
      </c>
      <c r="AJ429" s="0" t="n">
        <v>36</v>
      </c>
      <c r="AK429" s="0" t="n">
        <v>111</v>
      </c>
      <c r="AL429" s="0" t="n">
        <v>0.93</v>
      </c>
    </row>
    <row r="430">
      <c r="A430" s="0" t="inlineStr">
        <is>
          <t>[외동]</t>
        </is>
      </c>
      <c r="B430" s="0" t="n">
        <v>100926</v>
      </c>
      <c r="C430" s="0" t="n">
        <v>1</v>
      </c>
      <c r="D430" s="0" t="inlineStr">
        <is>
          <t>한일유앤아이오르젠</t>
        </is>
      </c>
      <c r="E430" s="0" t="inlineStr">
        <is>
          <t>2003.11.</t>
        </is>
      </c>
      <c r="F430" s="0" t="n">
        <v>120</v>
      </c>
      <c r="G430" s="0" t="n">
        <v>23.61</v>
      </c>
      <c r="H430" s="0" t="n">
        <v>78.06999999999999</v>
      </c>
      <c r="I430" s="0" t="n">
        <v>18.13</v>
      </c>
      <c r="J430" s="0" t="n">
        <v>59.95</v>
      </c>
      <c r="K430" s="0" t="n">
        <v>72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78</v>
      </c>
      <c r="X430" s="0" t="n">
        <v>13</v>
      </c>
      <c r="Y430" s="0" t="n">
        <v>13</v>
      </c>
      <c r="Z430" s="0" t="inlineStr">
        <is>
          <t>https://new.land.naver.com/complexes/100926?tab=detail&amp;rf=Y</t>
        </is>
      </c>
      <c r="AA430" s="0" t="inlineStr">
        <is>
          <t>경상남도 창원시 성산구 외동 853-36</t>
        </is>
      </c>
      <c r="AB430" s="0" t="inlineStr">
        <is>
          <t>경상남도</t>
        </is>
      </c>
      <c r="AC430" s="0" t="inlineStr">
        <is>
          <t>창원시</t>
        </is>
      </c>
      <c r="AD430" s="0" t="inlineStr">
        <is>
          <t>성산구</t>
        </is>
      </c>
      <c r="AE430" s="0" t="inlineStr">
        <is>
          <t>외동</t>
        </is>
      </c>
      <c r="AG430" s="0" t="inlineStr">
        <is>
          <t>경상남도 창원시 성산구 창원대로780번길 93</t>
        </is>
      </c>
      <c r="AH430" s="0" t="n">
        <v>0</v>
      </c>
      <c r="AI430" s="0" t="n">
        <v>299</v>
      </c>
      <c r="AJ430" s="0" t="n">
        <v>28</v>
      </c>
      <c r="AK430" s="0" t="n">
        <v>120</v>
      </c>
      <c r="AL430" s="0" t="n">
        <v>1</v>
      </c>
    </row>
    <row r="431">
      <c r="A431" s="0" t="inlineStr">
        <is>
          <t>[외동]</t>
        </is>
      </c>
      <c r="B431" s="0" t="n">
        <v>100926</v>
      </c>
      <c r="C431" s="0" t="n">
        <v>2</v>
      </c>
      <c r="D431" s="0" t="inlineStr">
        <is>
          <t>한일유앤아이오르젠</t>
        </is>
      </c>
      <c r="E431" s="0" t="inlineStr">
        <is>
          <t>2003.11.</t>
        </is>
      </c>
      <c r="F431" s="0" t="n">
        <v>120</v>
      </c>
      <c r="G431" s="0" t="n">
        <v>30.55</v>
      </c>
      <c r="H431" s="0" t="n">
        <v>101</v>
      </c>
      <c r="I431" s="0" t="n">
        <v>23.67</v>
      </c>
      <c r="J431" s="0" t="n">
        <v>78.26000000000001</v>
      </c>
      <c r="K431" s="0" t="n">
        <v>48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101</v>
      </c>
      <c r="X431" s="0" t="n">
        <v>13</v>
      </c>
      <c r="Y431" s="0" t="n">
        <v>13</v>
      </c>
      <c r="Z431" s="0" t="inlineStr">
        <is>
          <t>https://new.land.naver.com/complexes/100926?tab=detail&amp;rf=Y</t>
        </is>
      </c>
      <c r="AA431" s="0" t="inlineStr">
        <is>
          <t>경상남도 창원시 성산구 외동 853-36</t>
        </is>
      </c>
      <c r="AB431" s="0" t="inlineStr">
        <is>
          <t>경상남도</t>
        </is>
      </c>
      <c r="AC431" s="0" t="inlineStr">
        <is>
          <t>창원시</t>
        </is>
      </c>
      <c r="AD431" s="0" t="inlineStr">
        <is>
          <t>성산구</t>
        </is>
      </c>
      <c r="AE431" s="0" t="inlineStr">
        <is>
          <t>외동</t>
        </is>
      </c>
      <c r="AG431" s="0" t="inlineStr">
        <is>
          <t>경상남도 창원시 성산구 창원대로780번길 93</t>
        </is>
      </c>
      <c r="AH431" s="0" t="n">
        <v>0</v>
      </c>
      <c r="AI431" s="0" t="n">
        <v>299</v>
      </c>
      <c r="AJ431" s="0" t="n">
        <v>28</v>
      </c>
      <c r="AK431" s="0" t="n">
        <v>120</v>
      </c>
      <c r="AL431" s="0" t="n">
        <v>1</v>
      </c>
    </row>
    <row r="432">
      <c r="A432" s="0" t="inlineStr">
        <is>
          <t>[외동]</t>
        </is>
      </c>
      <c r="B432" s="0" t="n">
        <v>16834</v>
      </c>
      <c r="C432" s="0" t="n">
        <v>1</v>
      </c>
      <c r="D432" s="0" t="inlineStr">
        <is>
          <t>경남</t>
        </is>
      </c>
      <c r="E432" s="0" t="inlineStr">
        <is>
          <t>1983.11.</t>
        </is>
      </c>
      <c r="F432" s="0" t="n">
        <v>110</v>
      </c>
      <c r="G432" s="0" t="n">
        <v>19.54</v>
      </c>
      <c r="H432" s="0" t="n">
        <v>64.62</v>
      </c>
      <c r="I432" s="0" t="n">
        <v>17.32</v>
      </c>
      <c r="J432" s="0" t="n">
        <v>57.27</v>
      </c>
      <c r="K432" s="0" t="n">
        <v>50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5</v>
      </c>
      <c r="Y432" s="0" t="n">
        <v>5</v>
      </c>
      <c r="Z432" s="0" t="inlineStr">
        <is>
          <t>https://new.land.naver.com/complexes/16834?tab=detail&amp;rf=Y</t>
        </is>
      </c>
      <c r="AA432" s="0" t="inlineStr">
        <is>
          <t>경상남도 창원시 성산구 외동 853-20</t>
        </is>
      </c>
      <c r="AB432" s="0" t="inlineStr">
        <is>
          <t>경상남도</t>
        </is>
      </c>
      <c r="AC432" s="0" t="inlineStr">
        <is>
          <t>창원시</t>
        </is>
      </c>
      <c r="AD432" s="0" t="inlineStr">
        <is>
          <t>성산구</t>
        </is>
      </c>
      <c r="AE432" s="0" t="inlineStr">
        <is>
          <t>외동</t>
        </is>
      </c>
      <c r="AG432" s="0" t="inlineStr">
        <is>
          <t>경상남도 창원시 성산구 창원대로780번길 48</t>
        </is>
      </c>
      <c r="AH432" s="0" t="n">
        <v>0</v>
      </c>
      <c r="AI432" s="0" t="n">
        <v>161</v>
      </c>
      <c r="AJ432" s="0" t="n">
        <v>32</v>
      </c>
      <c r="AK432" s="0" t="n">
        <v>0</v>
      </c>
      <c r="AL432" s="0" t="n">
        <v>0</v>
      </c>
    </row>
    <row r="433">
      <c r="A433" s="0" t="inlineStr">
        <is>
          <t>[외동]</t>
        </is>
      </c>
      <c r="B433" s="0" t="n">
        <v>16834</v>
      </c>
      <c r="C433" s="0" t="n">
        <v>2</v>
      </c>
      <c r="D433" s="0" t="inlineStr">
        <is>
          <t>경남</t>
        </is>
      </c>
      <c r="E433" s="0" t="inlineStr">
        <is>
          <t>1983.11.</t>
        </is>
      </c>
      <c r="F433" s="0" t="n">
        <v>110</v>
      </c>
      <c r="G433" s="0" t="n">
        <v>21.32</v>
      </c>
      <c r="H433" s="0" t="n">
        <v>70.5</v>
      </c>
      <c r="I433" s="0" t="n">
        <v>19.1</v>
      </c>
      <c r="J433" s="0" t="n">
        <v>63.15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70</v>
      </c>
      <c r="X433" s="0" t="n">
        <v>5</v>
      </c>
      <c r="Y433" s="0" t="n">
        <v>5</v>
      </c>
      <c r="Z433" s="0" t="inlineStr">
        <is>
          <t>https://new.land.naver.com/complexes/16834?tab=detail&amp;rf=Y</t>
        </is>
      </c>
      <c r="AA433" s="0" t="inlineStr">
        <is>
          <t>경상남도 창원시 성산구 외동 853-20</t>
        </is>
      </c>
      <c r="AB433" s="0" t="inlineStr">
        <is>
          <t>경상남도</t>
        </is>
      </c>
      <c r="AC433" s="0" t="inlineStr">
        <is>
          <t>창원시</t>
        </is>
      </c>
      <c r="AD433" s="0" t="inlineStr">
        <is>
          <t>성산구</t>
        </is>
      </c>
      <c r="AE433" s="0" t="inlineStr">
        <is>
          <t>외동</t>
        </is>
      </c>
      <c r="AG433" s="0" t="inlineStr">
        <is>
          <t>경상남도 창원시 성산구 창원대로780번길 48</t>
        </is>
      </c>
      <c r="AH433" s="0" t="n">
        <v>0</v>
      </c>
      <c r="AI433" s="0" t="n">
        <v>161</v>
      </c>
      <c r="AJ433" s="0" t="n">
        <v>32</v>
      </c>
      <c r="AK433" s="0" t="n">
        <v>0</v>
      </c>
      <c r="AL433" s="0" t="n">
        <v>0</v>
      </c>
    </row>
    <row r="434">
      <c r="A434" s="0" t="inlineStr">
        <is>
          <t>[외동]</t>
        </is>
      </c>
      <c r="B434" s="0" t="n">
        <v>101485</v>
      </c>
      <c r="C434" s="0" t="n">
        <v>1</v>
      </c>
      <c r="D434" s="0" t="inlineStr">
        <is>
          <t>월드메르디앙이스턴애비뉴</t>
        </is>
      </c>
      <c r="E434" s="0" t="inlineStr">
        <is>
          <t>2009.01.</t>
        </is>
      </c>
      <c r="F434" s="0" t="n">
        <v>439</v>
      </c>
      <c r="G434" s="0" t="n">
        <v>23.45</v>
      </c>
      <c r="H434" s="0" t="n">
        <v>77.55</v>
      </c>
      <c r="I434" s="0" t="n">
        <v>18.12</v>
      </c>
      <c r="J434" s="0" t="n">
        <v>59.92</v>
      </c>
      <c r="K434" s="0" t="n">
        <v>150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77</v>
      </c>
      <c r="X434" s="0" t="n">
        <v>15</v>
      </c>
      <c r="Y434" s="0" t="n">
        <v>14</v>
      </c>
      <c r="Z434" s="0" t="inlineStr">
        <is>
          <t>https://new.land.naver.com/complexes/101485?tab=detail&amp;rf=Y</t>
        </is>
      </c>
      <c r="AA434" s="0" t="inlineStr">
        <is>
          <t>경상남도 창원시 성산구 외동 853-16</t>
        </is>
      </c>
      <c r="AB434" s="0" t="inlineStr">
        <is>
          <t>경상남도</t>
        </is>
      </c>
      <c r="AC434" s="0" t="inlineStr">
        <is>
          <t>창원시</t>
        </is>
      </c>
      <c r="AD434" s="0" t="inlineStr">
        <is>
          <t>성산구</t>
        </is>
      </c>
      <c r="AE434" s="0" t="inlineStr">
        <is>
          <t>외동</t>
        </is>
      </c>
      <c r="AG434" s="0" t="inlineStr">
        <is>
          <t>경상남도 창원시 성산구 창원대로780번길 34</t>
        </is>
      </c>
      <c r="AH434" s="0" t="n">
        <v>0</v>
      </c>
      <c r="AI434" s="0" t="n">
        <v>242</v>
      </c>
      <c r="AJ434" s="0" t="n">
        <v>21</v>
      </c>
      <c r="AK434" s="0" t="n">
        <v>523</v>
      </c>
      <c r="AL434" s="0" t="n">
        <v>1.19</v>
      </c>
    </row>
    <row r="435">
      <c r="A435" s="0" t="inlineStr">
        <is>
          <t>[외동]</t>
        </is>
      </c>
      <c r="B435" s="0" t="n">
        <v>101485</v>
      </c>
      <c r="C435" s="0" t="n">
        <v>2</v>
      </c>
      <c r="D435" s="0" t="inlineStr">
        <is>
          <t>월드메르디앙이스턴애비뉴</t>
        </is>
      </c>
      <c r="E435" s="0" t="inlineStr">
        <is>
          <t>2009.01.</t>
        </is>
      </c>
      <c r="F435" s="0" t="n">
        <v>439</v>
      </c>
      <c r="G435" s="0" t="n">
        <v>32.56</v>
      </c>
      <c r="H435" s="0" t="n">
        <v>107.65</v>
      </c>
      <c r="I435" s="0" t="n">
        <v>25.57</v>
      </c>
      <c r="J435" s="0" t="n">
        <v>84.55</v>
      </c>
      <c r="K435" s="0" t="n">
        <v>130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15</v>
      </c>
      <c r="Y435" s="0" t="n">
        <v>14</v>
      </c>
      <c r="Z435" s="0" t="inlineStr">
        <is>
          <t>https://new.land.naver.com/complexes/101485?tab=detail&amp;rf=Y</t>
        </is>
      </c>
      <c r="AA435" s="0" t="inlineStr">
        <is>
          <t>경상남도 창원시 성산구 외동 853-16</t>
        </is>
      </c>
      <c r="AB435" s="0" t="inlineStr">
        <is>
          <t>경상남도</t>
        </is>
      </c>
      <c r="AC435" s="0" t="inlineStr">
        <is>
          <t>창원시</t>
        </is>
      </c>
      <c r="AD435" s="0" t="inlineStr">
        <is>
          <t>성산구</t>
        </is>
      </c>
      <c r="AE435" s="0" t="inlineStr">
        <is>
          <t>외동</t>
        </is>
      </c>
      <c r="AG435" s="0" t="inlineStr">
        <is>
          <t>경상남도 창원시 성산구 창원대로780번길 34</t>
        </is>
      </c>
      <c r="AH435" s="0" t="n">
        <v>0</v>
      </c>
      <c r="AI435" s="0" t="n">
        <v>242</v>
      </c>
      <c r="AJ435" s="0" t="n">
        <v>21</v>
      </c>
      <c r="AK435" s="0" t="n">
        <v>523</v>
      </c>
      <c r="AL435" s="0" t="n">
        <v>1.19</v>
      </c>
    </row>
    <row r="436">
      <c r="A436" s="0" t="inlineStr">
        <is>
          <t>[외동]</t>
        </is>
      </c>
      <c r="B436" s="0" t="n">
        <v>101485</v>
      </c>
      <c r="C436" s="0" t="n">
        <v>3</v>
      </c>
      <c r="D436" s="0" t="inlineStr">
        <is>
          <t>월드메르디앙이스턴애비뉴</t>
        </is>
      </c>
      <c r="E436" s="0" t="inlineStr">
        <is>
          <t>2009.01.</t>
        </is>
      </c>
      <c r="F436" s="0" t="n">
        <v>439</v>
      </c>
      <c r="G436" s="0" t="n">
        <v>32.89</v>
      </c>
      <c r="H436" s="0" t="n">
        <v>108.74</v>
      </c>
      <c r="I436" s="0" t="n">
        <v>25.67</v>
      </c>
      <c r="J436" s="0" t="n">
        <v>84.88</v>
      </c>
      <c r="K436" s="0" t="n">
        <v>75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108B</t>
        </is>
      </c>
      <c r="X436" s="0" t="n">
        <v>15</v>
      </c>
      <c r="Y436" s="0" t="n">
        <v>14</v>
      </c>
      <c r="Z436" s="0" t="inlineStr">
        <is>
          <t>https://new.land.naver.com/complexes/101485?tab=detail&amp;rf=Y</t>
        </is>
      </c>
      <c r="AA436" s="0" t="inlineStr">
        <is>
          <t>경상남도 창원시 성산구 외동 853-16</t>
        </is>
      </c>
      <c r="AB436" s="0" t="inlineStr">
        <is>
          <t>경상남도</t>
        </is>
      </c>
      <c r="AC436" s="0" t="inlineStr">
        <is>
          <t>창원시</t>
        </is>
      </c>
      <c r="AD436" s="0" t="inlineStr">
        <is>
          <t>성산구</t>
        </is>
      </c>
      <c r="AE436" s="0" t="inlineStr">
        <is>
          <t>외동</t>
        </is>
      </c>
      <c r="AG436" s="0" t="inlineStr">
        <is>
          <t>경상남도 창원시 성산구 창원대로780번길 34</t>
        </is>
      </c>
      <c r="AH436" s="0" t="n">
        <v>0</v>
      </c>
      <c r="AI436" s="0" t="n">
        <v>242</v>
      </c>
      <c r="AJ436" s="0" t="n">
        <v>21</v>
      </c>
      <c r="AK436" s="0" t="n">
        <v>523</v>
      </c>
      <c r="AL436" s="0" t="n">
        <v>1.19</v>
      </c>
    </row>
    <row r="437">
      <c r="A437" s="0" t="inlineStr">
        <is>
          <t>[외동]</t>
        </is>
      </c>
      <c r="B437" s="0" t="n">
        <v>101485</v>
      </c>
      <c r="C437" s="0" t="n">
        <v>4</v>
      </c>
      <c r="D437" s="0" t="inlineStr">
        <is>
          <t>월드메르디앙이스턴애비뉴</t>
        </is>
      </c>
      <c r="E437" s="0" t="inlineStr">
        <is>
          <t>2009.01.</t>
        </is>
      </c>
      <c r="F437" s="0" t="n">
        <v>439</v>
      </c>
      <c r="G437" s="0" t="n">
        <v>43.51</v>
      </c>
      <c r="H437" s="0" t="n">
        <v>143.84</v>
      </c>
      <c r="I437" s="0" t="n">
        <v>34.91</v>
      </c>
      <c r="J437" s="0" t="n">
        <v>115.43</v>
      </c>
      <c r="K437" s="0" t="n">
        <v>84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143</v>
      </c>
      <c r="X437" s="0" t="n">
        <v>15</v>
      </c>
      <c r="Y437" s="0" t="n">
        <v>14</v>
      </c>
      <c r="Z437" s="0" t="inlineStr">
        <is>
          <t>https://new.land.naver.com/complexes/101485?tab=detail&amp;rf=Y</t>
        </is>
      </c>
      <c r="AA437" s="0" t="inlineStr">
        <is>
          <t>경상남도 창원시 성산구 외동 853-16</t>
        </is>
      </c>
      <c r="AB437" s="0" t="inlineStr">
        <is>
          <t>경상남도</t>
        </is>
      </c>
      <c r="AC437" s="0" t="inlineStr">
        <is>
          <t>창원시</t>
        </is>
      </c>
      <c r="AD437" s="0" t="inlineStr">
        <is>
          <t>성산구</t>
        </is>
      </c>
      <c r="AE437" s="0" t="inlineStr">
        <is>
          <t>외동</t>
        </is>
      </c>
      <c r="AG437" s="0" t="inlineStr">
        <is>
          <t>경상남도 창원시 성산구 창원대로780번길 34</t>
        </is>
      </c>
      <c r="AH437" s="0" t="n">
        <v>0</v>
      </c>
      <c r="AI437" s="0" t="n">
        <v>242</v>
      </c>
      <c r="AJ437" s="0" t="n">
        <v>21</v>
      </c>
      <c r="AK437" s="0" t="n">
        <v>523</v>
      </c>
      <c r="AL437" s="0" t="n">
        <v>1.19</v>
      </c>
    </row>
    <row r="438">
      <c r="A438" s="0" t="inlineStr">
        <is>
          <t>[외동]</t>
        </is>
      </c>
      <c r="B438" s="0" t="n">
        <v>117518</v>
      </c>
      <c r="C438" s="0" t="n">
        <v>1</v>
      </c>
      <c r="D438" s="0" t="inlineStr">
        <is>
          <t>에코센트럴빌</t>
        </is>
      </c>
      <c r="E438" s="0" t="inlineStr">
        <is>
          <t>2013.11.</t>
        </is>
      </c>
      <c r="F438" s="0" t="n">
        <v>52</v>
      </c>
      <c r="G438" s="0" t="n">
        <v>24.7</v>
      </c>
      <c r="H438" s="0" t="n">
        <v>81.68000000000001</v>
      </c>
      <c r="I438" s="0" t="n">
        <v>19.11</v>
      </c>
      <c r="J438" s="0" t="n">
        <v>63.18</v>
      </c>
      <c r="K438" s="0" t="n">
        <v>52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81</v>
      </c>
      <c r="X438" s="0" t="n">
        <v>14</v>
      </c>
      <c r="Y438" s="0" t="n">
        <v>14</v>
      </c>
      <c r="Z438" s="0" t="inlineStr">
        <is>
          <t>https://new.land.naver.com/complexes/117518?tab=detail&amp;rf=Y</t>
        </is>
      </c>
      <c r="AA438" s="0" t="inlineStr">
        <is>
          <t>경상남도 창원시 성산구 외동 853-17</t>
        </is>
      </c>
      <c r="AB438" s="0" t="inlineStr">
        <is>
          <t>경상남도</t>
        </is>
      </c>
      <c r="AC438" s="0" t="inlineStr">
        <is>
          <t>창원시</t>
        </is>
      </c>
      <c r="AD438" s="0" t="inlineStr">
        <is>
          <t>성산구</t>
        </is>
      </c>
      <c r="AE438" s="0" t="inlineStr">
        <is>
          <t>외동</t>
        </is>
      </c>
      <c r="AG438" s="0" t="inlineStr">
        <is>
          <t>경상남도 창원시 성산구 창원대로780번길 41</t>
        </is>
      </c>
      <c r="AH438" s="0" t="n">
        <v>0</v>
      </c>
      <c r="AI438" s="0" t="n">
        <v>247</v>
      </c>
      <c r="AJ438" s="0" t="n">
        <v>24</v>
      </c>
      <c r="AK438" s="0" t="n">
        <v>52</v>
      </c>
      <c r="AL438" s="0" t="n">
        <v>1</v>
      </c>
    </row>
    <row r="439">
      <c r="A439" s="0" t="inlineStr">
        <is>
          <t>[외동]</t>
        </is>
      </c>
      <c r="B439" s="0" t="n">
        <v>106411</v>
      </c>
      <c r="C439" s="0" t="n">
        <v>1</v>
      </c>
      <c r="D439" s="0" t="inlineStr">
        <is>
          <t>두산</t>
        </is>
      </c>
      <c r="E439" s="0" t="inlineStr">
        <is>
          <t>1993.11.</t>
        </is>
      </c>
      <c r="F439" s="0" t="n">
        <v>132</v>
      </c>
      <c r="G439" s="0" t="n">
        <v>18.74</v>
      </c>
      <c r="H439" s="0" t="n">
        <v>61.97</v>
      </c>
      <c r="I439" s="0" t="n">
        <v>14.82</v>
      </c>
      <c r="J439" s="0" t="n">
        <v>49.02</v>
      </c>
      <c r="K439" s="0" t="n">
        <v>55</v>
      </c>
      <c r="T439" s="0" t="n">
        <v>2</v>
      </c>
      <c r="U439" s="0" t="n">
        <v>1</v>
      </c>
      <c r="V439" s="0" t="inlineStr">
        <is>
          <t>복도식</t>
        </is>
      </c>
      <c r="W439" s="0" t="n">
        <v>61</v>
      </c>
      <c r="X439" s="0" t="n">
        <v>12</v>
      </c>
      <c r="Y439" s="0" t="n">
        <v>12</v>
      </c>
      <c r="Z439" s="0" t="inlineStr">
        <is>
          <t>https://new.land.naver.com/complexes/106411?tab=detail&amp;rf=Y</t>
        </is>
      </c>
      <c r="AA439" s="0" t="inlineStr">
        <is>
          <t>경상남도 창원시 성산구 외동 853-33</t>
        </is>
      </c>
      <c r="AB439" s="0" t="inlineStr">
        <is>
          <t>경상남도</t>
        </is>
      </c>
      <c r="AC439" s="0" t="inlineStr">
        <is>
          <t>창원시</t>
        </is>
      </c>
      <c r="AD439" s="0" t="inlineStr">
        <is>
          <t>성산구</t>
        </is>
      </c>
      <c r="AE439" s="0" t="inlineStr">
        <is>
          <t>외동</t>
        </is>
      </c>
      <c r="AG439" s="0" t="inlineStr">
        <is>
          <t>경상남도 창원시 성산구 창원대로780번길 23</t>
        </is>
      </c>
      <c r="AH439" s="0" t="n">
        <v>77</v>
      </c>
      <c r="AI439" s="0" t="n">
        <v>220</v>
      </c>
      <c r="AJ439" s="0" t="n">
        <v>20</v>
      </c>
      <c r="AK439" s="0" t="n">
        <v>48</v>
      </c>
      <c r="AL439" s="0" t="n">
        <v>0.36</v>
      </c>
    </row>
    <row r="440">
      <c r="A440" s="0" t="inlineStr">
        <is>
          <t>[외동]</t>
        </is>
      </c>
      <c r="B440" s="0" t="n">
        <v>104823</v>
      </c>
      <c r="C440" s="0" t="n">
        <v>1</v>
      </c>
      <c r="D440" s="0" t="inlineStr">
        <is>
          <t>광득미지루</t>
        </is>
      </c>
      <c r="E440" s="0" t="inlineStr">
        <is>
          <t>1991.12.</t>
        </is>
      </c>
      <c r="F440" s="0" t="n">
        <v>96</v>
      </c>
      <c r="G440" s="0" t="n">
        <v>19.17</v>
      </c>
      <c r="H440" s="0" t="n">
        <v>63.39</v>
      </c>
      <c r="I440" s="0" t="n">
        <v>13.36</v>
      </c>
      <c r="J440" s="0" t="n">
        <v>44.19</v>
      </c>
      <c r="K440" s="0" t="n">
        <v>96</v>
      </c>
      <c r="T440" s="0" t="n">
        <v>2</v>
      </c>
      <c r="U440" s="0" t="n">
        <v>1</v>
      </c>
      <c r="V440" s="0" t="inlineStr">
        <is>
          <t>계단식</t>
        </is>
      </c>
      <c r="W440" s="0" t="n">
        <v>63</v>
      </c>
      <c r="X440" s="0" t="n">
        <v>12</v>
      </c>
      <c r="Y440" s="0" t="n">
        <v>12</v>
      </c>
      <c r="Z440" s="0" t="inlineStr">
        <is>
          <t>https://new.land.naver.com/complexes/104823?tab=detail&amp;rf=Y</t>
        </is>
      </c>
      <c r="AA440" s="0" t="inlineStr">
        <is>
          <t>경상남도 창원시 성산구 외동 853-22</t>
        </is>
      </c>
      <c r="AB440" s="0" t="inlineStr">
        <is>
          <t>경상남도</t>
        </is>
      </c>
      <c r="AC440" s="0" t="inlineStr">
        <is>
          <t>창원시</t>
        </is>
      </c>
      <c r="AD440" s="0" t="inlineStr">
        <is>
          <t>성산구</t>
        </is>
      </c>
      <c r="AE440" s="0" t="inlineStr">
        <is>
          <t>외동</t>
        </is>
      </c>
      <c r="AG440" s="0" t="inlineStr">
        <is>
          <t>경상남도 창원시 성산구 창원대로780번길 77</t>
        </is>
      </c>
      <c r="AH440" s="0" t="n">
        <v>0</v>
      </c>
      <c r="AI440" s="0" t="n">
        <v>207</v>
      </c>
      <c r="AJ440" s="0" t="n">
        <v>19</v>
      </c>
      <c r="AK440" s="0" t="n">
        <v>53</v>
      </c>
      <c r="AL440" s="0" t="n">
        <v>0.55</v>
      </c>
    </row>
    <row r="441">
      <c r="A441" s="0" t="inlineStr">
        <is>
          <t>[용호동]</t>
        </is>
      </c>
      <c r="B441" s="0" t="n">
        <v>16836</v>
      </c>
      <c r="C441" s="0" t="n">
        <v>1</v>
      </c>
      <c r="D441" s="0" t="inlineStr">
        <is>
          <t>용지무학</t>
        </is>
      </c>
      <c r="E441" s="0" t="inlineStr">
        <is>
          <t>1987.10.</t>
        </is>
      </c>
      <c r="F441" s="0" t="n">
        <v>1040</v>
      </c>
      <c r="G441" s="0" t="n">
        <v>18.28</v>
      </c>
      <c r="H441" s="0" t="n">
        <v>60.44</v>
      </c>
      <c r="I441" s="0" t="n">
        <v>15.27</v>
      </c>
      <c r="J441" s="0" t="n">
        <v>50.48</v>
      </c>
      <c r="K441" s="0" t="n">
        <v>150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60B</t>
        </is>
      </c>
      <c r="X441" s="0" t="n">
        <v>5</v>
      </c>
      <c r="Y441" s="0" t="n">
        <v>5</v>
      </c>
      <c r="Z441" s="0" t="inlineStr">
        <is>
          <t>https://new.land.naver.com/complexes/16836?tab=detail&amp;rf=Y</t>
        </is>
      </c>
      <c r="AA441" s="0" t="inlineStr">
        <is>
          <t>경상남도 창원시 성산구 용호동 67-2</t>
        </is>
      </c>
      <c r="AB441" s="0" t="inlineStr">
        <is>
          <t>경상남도</t>
        </is>
      </c>
      <c r="AC441" s="0" t="inlineStr">
        <is>
          <t>창원시</t>
        </is>
      </c>
      <c r="AD441" s="0" t="inlineStr">
        <is>
          <t>성산구</t>
        </is>
      </c>
      <c r="AE441" s="0" t="inlineStr">
        <is>
          <t>용호동</t>
        </is>
      </c>
      <c r="AG441" s="0" t="inlineStr">
        <is>
          <t>경상남도 창원시 성산구 외동반림로 200</t>
        </is>
      </c>
      <c r="AH441" s="0" t="n">
        <v>0</v>
      </c>
      <c r="AI441" s="0" t="n">
        <v>132</v>
      </c>
      <c r="AJ441" s="0" t="n">
        <v>26</v>
      </c>
      <c r="AK441" s="0" t="n">
        <v>832</v>
      </c>
      <c r="AL441" s="0" t="n">
        <v>0.8</v>
      </c>
    </row>
    <row r="442">
      <c r="A442" s="0" t="inlineStr">
        <is>
          <t>[용호동]</t>
        </is>
      </c>
      <c r="B442" s="0" t="n">
        <v>16836</v>
      </c>
      <c r="C442" s="0" t="n">
        <v>2</v>
      </c>
      <c r="D442" s="0" t="inlineStr">
        <is>
          <t>용지무학</t>
        </is>
      </c>
      <c r="E442" s="0" t="inlineStr">
        <is>
          <t>1987.10.</t>
        </is>
      </c>
      <c r="F442" s="0" t="n">
        <v>1040</v>
      </c>
      <c r="G442" s="0" t="n">
        <v>18.23</v>
      </c>
      <c r="H442" s="0" t="n">
        <v>60.29</v>
      </c>
      <c r="I442" s="0" t="n">
        <v>15.21</v>
      </c>
      <c r="J442" s="0" t="n">
        <v>50.29</v>
      </c>
      <c r="K442" s="0" t="n">
        <v>80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60A</t>
        </is>
      </c>
      <c r="X442" s="0" t="n">
        <v>5</v>
      </c>
      <c r="Y442" s="0" t="n">
        <v>5</v>
      </c>
      <c r="Z442" s="0" t="inlineStr">
        <is>
          <t>https://new.land.naver.com/complexes/16836?tab=detail&amp;rf=Y</t>
        </is>
      </c>
      <c r="AA442" s="0" t="inlineStr">
        <is>
          <t>경상남도 창원시 성산구 용호동 67-2</t>
        </is>
      </c>
      <c r="AB442" s="0" t="inlineStr">
        <is>
          <t>경상남도</t>
        </is>
      </c>
      <c r="AC442" s="0" t="inlineStr">
        <is>
          <t>창원시</t>
        </is>
      </c>
      <c r="AD442" s="0" t="inlineStr">
        <is>
          <t>성산구</t>
        </is>
      </c>
      <c r="AE442" s="0" t="inlineStr">
        <is>
          <t>용호동</t>
        </is>
      </c>
      <c r="AG442" s="0" t="inlineStr">
        <is>
          <t>경상남도 창원시 성산구 외동반림로 200</t>
        </is>
      </c>
      <c r="AH442" s="0" t="n">
        <v>0</v>
      </c>
      <c r="AI442" s="0" t="n">
        <v>132</v>
      </c>
      <c r="AJ442" s="0" t="n">
        <v>26</v>
      </c>
      <c r="AK442" s="0" t="n">
        <v>832</v>
      </c>
      <c r="AL442" s="0" t="n">
        <v>0.8</v>
      </c>
    </row>
    <row r="443">
      <c r="A443" s="0" t="inlineStr">
        <is>
          <t>[용호동]</t>
        </is>
      </c>
      <c r="B443" s="0" t="n">
        <v>16836</v>
      </c>
      <c r="C443" s="0" t="n">
        <v>3</v>
      </c>
      <c r="D443" s="0" t="inlineStr">
        <is>
          <t>용지무학</t>
        </is>
      </c>
      <c r="E443" s="0" t="inlineStr">
        <is>
          <t>1987.10.</t>
        </is>
      </c>
      <c r="F443" s="0" t="n">
        <v>1040</v>
      </c>
      <c r="G443" s="0" t="n">
        <v>20.22</v>
      </c>
      <c r="H443" s="0" t="n">
        <v>66.86</v>
      </c>
      <c r="I443" s="0" t="n">
        <v>17.07</v>
      </c>
      <c r="J443" s="0" t="n">
        <v>56.43</v>
      </c>
      <c r="K443" s="0" t="n">
        <v>810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66</v>
      </c>
      <c r="X443" s="0" t="n">
        <v>5</v>
      </c>
      <c r="Y443" s="0" t="n">
        <v>5</v>
      </c>
      <c r="Z443" s="0" t="inlineStr">
        <is>
          <t>https://new.land.naver.com/complexes/16836?tab=detail&amp;rf=Y</t>
        </is>
      </c>
      <c r="AA443" s="0" t="inlineStr">
        <is>
          <t>경상남도 창원시 성산구 용호동 67-2</t>
        </is>
      </c>
      <c r="AB443" s="0" t="inlineStr">
        <is>
          <t>경상남도</t>
        </is>
      </c>
      <c r="AC443" s="0" t="inlineStr">
        <is>
          <t>창원시</t>
        </is>
      </c>
      <c r="AD443" s="0" t="inlineStr">
        <is>
          <t>성산구</t>
        </is>
      </c>
      <c r="AE443" s="0" t="inlineStr">
        <is>
          <t>용호동</t>
        </is>
      </c>
      <c r="AG443" s="0" t="inlineStr">
        <is>
          <t>경상남도 창원시 성산구 외동반림로 200</t>
        </is>
      </c>
      <c r="AH443" s="0" t="n">
        <v>0</v>
      </c>
      <c r="AI443" s="0" t="n">
        <v>132</v>
      </c>
      <c r="AJ443" s="0" t="n">
        <v>26</v>
      </c>
      <c r="AK443" s="0" t="n">
        <v>832</v>
      </c>
      <c r="AL443" s="0" t="n">
        <v>0.8</v>
      </c>
    </row>
    <row r="444">
      <c r="A444" s="0" t="inlineStr">
        <is>
          <t>[용호동]</t>
        </is>
      </c>
      <c r="B444" s="0" t="n">
        <v>112307</v>
      </c>
      <c r="C444" s="0" t="n">
        <v>1</v>
      </c>
      <c r="D444" s="0" t="inlineStr">
        <is>
          <t>용지더샵레이크파크</t>
        </is>
      </c>
      <c r="E444" s="0" t="inlineStr">
        <is>
          <t>2017.11.</t>
        </is>
      </c>
      <c r="F444" s="0" t="n">
        <v>883</v>
      </c>
      <c r="G444" s="0" t="n">
        <v>25.97</v>
      </c>
      <c r="H444" s="0" t="n">
        <v>85.88</v>
      </c>
      <c r="I444" s="0" t="n">
        <v>18.14</v>
      </c>
      <c r="J444" s="0" t="n">
        <v>59.99</v>
      </c>
      <c r="K444" s="0" t="n">
        <v>196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85</v>
      </c>
      <c r="X444" s="0" t="n">
        <v>29</v>
      </c>
      <c r="Y444" s="0" t="n">
        <v>25</v>
      </c>
      <c r="Z444" s="0" t="inlineStr">
        <is>
          <t>https://new.land.naver.com/complexes/112307?tab=detail&amp;rf=Y</t>
        </is>
      </c>
      <c r="AA444" s="0" t="inlineStr">
        <is>
          <t>경상남도 창원시 성산구 용호동 69</t>
        </is>
      </c>
      <c r="AB444" s="0" t="inlineStr">
        <is>
          <t>경상남도</t>
        </is>
      </c>
      <c r="AC444" s="0" t="inlineStr">
        <is>
          <t>창원시</t>
        </is>
      </c>
      <c r="AD444" s="0" t="inlineStr">
        <is>
          <t>성산구</t>
        </is>
      </c>
      <c r="AE444" s="0" t="inlineStr">
        <is>
          <t>용호동</t>
        </is>
      </c>
      <c r="AG444" s="0" t="inlineStr">
        <is>
          <t>경상남도 창원시 성산구 외동반림로 156</t>
        </is>
      </c>
      <c r="AH444" s="0" t="n">
        <v>0</v>
      </c>
      <c r="AI444" s="0" t="n">
        <v>210</v>
      </c>
      <c r="AJ444" s="0" t="n">
        <v>13</v>
      </c>
      <c r="AK444" s="0" t="n">
        <v>1531</v>
      </c>
      <c r="AL444" s="0" t="n">
        <v>1.73</v>
      </c>
    </row>
    <row r="445">
      <c r="A445" s="0" t="inlineStr">
        <is>
          <t>[용호동]</t>
        </is>
      </c>
      <c r="B445" s="0" t="n">
        <v>112307</v>
      </c>
      <c r="C445" s="0" t="n">
        <v>2</v>
      </c>
      <c r="D445" s="0" t="inlineStr">
        <is>
          <t>용지더샵레이크파크</t>
        </is>
      </c>
      <c r="E445" s="0" t="inlineStr">
        <is>
          <t>2017.11.</t>
        </is>
      </c>
      <c r="F445" s="0" t="n">
        <v>883</v>
      </c>
      <c r="G445" s="0" t="n">
        <v>34.1</v>
      </c>
      <c r="H445" s="0" t="n">
        <v>112.74</v>
      </c>
      <c r="I445" s="0" t="n">
        <v>25.55</v>
      </c>
      <c r="J445" s="0" t="n">
        <v>84.47</v>
      </c>
      <c r="K445" s="0" t="n">
        <v>412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112A</t>
        </is>
      </c>
      <c r="X445" s="0" t="n">
        <v>29</v>
      </c>
      <c r="Y445" s="0" t="n">
        <v>25</v>
      </c>
      <c r="Z445" s="0" t="inlineStr">
        <is>
          <t>https://new.land.naver.com/complexes/112307?tab=detail&amp;rf=Y</t>
        </is>
      </c>
      <c r="AA445" s="0" t="inlineStr">
        <is>
          <t>경상남도 창원시 성산구 용호동 69</t>
        </is>
      </c>
      <c r="AB445" s="0" t="inlineStr">
        <is>
          <t>경상남도</t>
        </is>
      </c>
      <c r="AC445" s="0" t="inlineStr">
        <is>
          <t>창원시</t>
        </is>
      </c>
      <c r="AD445" s="0" t="inlineStr">
        <is>
          <t>성산구</t>
        </is>
      </c>
      <c r="AE445" s="0" t="inlineStr">
        <is>
          <t>용호동</t>
        </is>
      </c>
      <c r="AG445" s="0" t="inlineStr">
        <is>
          <t>경상남도 창원시 성산구 외동반림로 156</t>
        </is>
      </c>
      <c r="AH445" s="0" t="n">
        <v>0</v>
      </c>
      <c r="AI445" s="0" t="n">
        <v>210</v>
      </c>
      <c r="AJ445" s="0" t="n">
        <v>13</v>
      </c>
      <c r="AK445" s="0" t="n">
        <v>1531</v>
      </c>
      <c r="AL445" s="0" t="n">
        <v>1.73</v>
      </c>
    </row>
    <row r="446">
      <c r="A446" s="0" t="inlineStr">
        <is>
          <t>[용호동]</t>
        </is>
      </c>
      <c r="B446" s="0" t="n">
        <v>112307</v>
      </c>
      <c r="C446" s="0" t="n">
        <v>3</v>
      </c>
      <c r="D446" s="0" t="inlineStr">
        <is>
          <t>용지더샵레이크파크</t>
        </is>
      </c>
      <c r="E446" s="0" t="inlineStr">
        <is>
          <t>2017.11.</t>
        </is>
      </c>
      <c r="F446" s="0" t="n">
        <v>883</v>
      </c>
      <c r="G446" s="0" t="n">
        <v>34.39</v>
      </c>
      <c r="H446" s="0" t="n">
        <v>113.71</v>
      </c>
      <c r="I446" s="0" t="n">
        <v>25.69</v>
      </c>
      <c r="J446" s="0" t="n">
        <v>84.95</v>
      </c>
      <c r="K446" s="0" t="n">
        <v>104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113B</t>
        </is>
      </c>
      <c r="X446" s="0" t="n">
        <v>29</v>
      </c>
      <c r="Y446" s="0" t="n">
        <v>25</v>
      </c>
      <c r="Z446" s="0" t="inlineStr">
        <is>
          <t>https://new.land.naver.com/complexes/112307?tab=detail&amp;rf=Y</t>
        </is>
      </c>
      <c r="AA446" s="0" t="inlineStr">
        <is>
          <t>경상남도 창원시 성산구 용호동 69</t>
        </is>
      </c>
      <c r="AB446" s="0" t="inlineStr">
        <is>
          <t>경상남도</t>
        </is>
      </c>
      <c r="AC446" s="0" t="inlineStr">
        <is>
          <t>창원시</t>
        </is>
      </c>
      <c r="AD446" s="0" t="inlineStr">
        <is>
          <t>성산구</t>
        </is>
      </c>
      <c r="AE446" s="0" t="inlineStr">
        <is>
          <t>용호동</t>
        </is>
      </c>
      <c r="AG446" s="0" t="inlineStr">
        <is>
          <t>경상남도 창원시 성산구 외동반림로 156</t>
        </is>
      </c>
      <c r="AH446" s="0" t="n">
        <v>0</v>
      </c>
      <c r="AI446" s="0" t="n">
        <v>210</v>
      </c>
      <c r="AJ446" s="0" t="n">
        <v>13</v>
      </c>
      <c r="AK446" s="0" t="n">
        <v>1531</v>
      </c>
      <c r="AL446" s="0" t="n">
        <v>1.73</v>
      </c>
    </row>
    <row r="447">
      <c r="A447" s="0" t="inlineStr">
        <is>
          <t>[용호동]</t>
        </is>
      </c>
      <c r="B447" s="0" t="n">
        <v>112307</v>
      </c>
      <c r="C447" s="0" t="n">
        <v>4</v>
      </c>
      <c r="D447" s="0" t="inlineStr">
        <is>
          <t>용지더샵레이크파크</t>
        </is>
      </c>
      <c r="E447" s="0" t="inlineStr">
        <is>
          <t>2017.11.</t>
        </is>
      </c>
      <c r="F447" s="0" t="n">
        <v>883</v>
      </c>
      <c r="G447" s="0" t="n">
        <v>39.37</v>
      </c>
      <c r="H447" s="0" t="n">
        <v>130.18</v>
      </c>
      <c r="I447" s="0" t="n">
        <v>30.82</v>
      </c>
      <c r="J447" s="0" t="n">
        <v>101.9</v>
      </c>
      <c r="K447" s="0" t="n">
        <v>114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130</v>
      </c>
      <c r="X447" s="0" t="n">
        <v>29</v>
      </c>
      <c r="Y447" s="0" t="n">
        <v>25</v>
      </c>
      <c r="Z447" s="0" t="inlineStr">
        <is>
          <t>https://new.land.naver.com/complexes/112307?tab=detail&amp;rf=Y</t>
        </is>
      </c>
      <c r="AA447" s="0" t="inlineStr">
        <is>
          <t>경상남도 창원시 성산구 용호동 69</t>
        </is>
      </c>
      <c r="AB447" s="0" t="inlineStr">
        <is>
          <t>경상남도</t>
        </is>
      </c>
      <c r="AC447" s="0" t="inlineStr">
        <is>
          <t>창원시</t>
        </is>
      </c>
      <c r="AD447" s="0" t="inlineStr">
        <is>
          <t>성산구</t>
        </is>
      </c>
      <c r="AE447" s="0" t="inlineStr">
        <is>
          <t>용호동</t>
        </is>
      </c>
      <c r="AG447" s="0" t="inlineStr">
        <is>
          <t>경상남도 창원시 성산구 외동반림로 156</t>
        </is>
      </c>
      <c r="AH447" s="0" t="n">
        <v>0</v>
      </c>
      <c r="AI447" s="0" t="n">
        <v>210</v>
      </c>
      <c r="AJ447" s="0" t="n">
        <v>13</v>
      </c>
      <c r="AK447" s="0" t="n">
        <v>1531</v>
      </c>
      <c r="AL447" s="0" t="n">
        <v>1.73</v>
      </c>
    </row>
    <row r="448">
      <c r="A448" s="0" t="inlineStr">
        <is>
          <t>[용호동]</t>
        </is>
      </c>
      <c r="B448" s="0" t="n">
        <v>112307</v>
      </c>
      <c r="C448" s="0" t="n">
        <v>5</v>
      </c>
      <c r="D448" s="0" t="inlineStr">
        <is>
          <t>용지더샵레이크파크</t>
        </is>
      </c>
      <c r="E448" s="0" t="inlineStr">
        <is>
          <t>2017.11.</t>
        </is>
      </c>
      <c r="F448" s="0" t="n">
        <v>883</v>
      </c>
      <c r="G448" s="0" t="n">
        <v>44.57</v>
      </c>
      <c r="H448" s="0" t="n">
        <v>147.36</v>
      </c>
      <c r="I448" s="0" t="n">
        <v>36.07</v>
      </c>
      <c r="J448" s="0" t="n">
        <v>119.24</v>
      </c>
      <c r="K448" s="0" t="n">
        <v>57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147</v>
      </c>
      <c r="X448" s="0" t="n">
        <v>29</v>
      </c>
      <c r="Y448" s="0" t="n">
        <v>25</v>
      </c>
      <c r="Z448" s="0" t="inlineStr">
        <is>
          <t>https://new.land.naver.com/complexes/112307?tab=detail&amp;rf=Y</t>
        </is>
      </c>
      <c r="AA448" s="0" t="inlineStr">
        <is>
          <t>경상남도 창원시 성산구 용호동 69</t>
        </is>
      </c>
      <c r="AB448" s="0" t="inlineStr">
        <is>
          <t>경상남도</t>
        </is>
      </c>
      <c r="AC448" s="0" t="inlineStr">
        <is>
          <t>창원시</t>
        </is>
      </c>
      <c r="AD448" s="0" t="inlineStr">
        <is>
          <t>성산구</t>
        </is>
      </c>
      <c r="AE448" s="0" t="inlineStr">
        <is>
          <t>용호동</t>
        </is>
      </c>
      <c r="AG448" s="0" t="inlineStr">
        <is>
          <t>경상남도 창원시 성산구 외동반림로 156</t>
        </is>
      </c>
      <c r="AH448" s="0" t="n">
        <v>0</v>
      </c>
      <c r="AI448" s="0" t="n">
        <v>210</v>
      </c>
      <c r="AJ448" s="0" t="n">
        <v>13</v>
      </c>
      <c r="AK448" s="0" t="n">
        <v>1531</v>
      </c>
      <c r="AL448" s="0" t="n">
        <v>1.73</v>
      </c>
    </row>
    <row r="449">
      <c r="A449" s="0" t="inlineStr">
        <is>
          <t>[용호동]</t>
        </is>
      </c>
      <c r="B449" s="0" t="n">
        <v>11007</v>
      </c>
      <c r="C449" s="0" t="n">
        <v>1</v>
      </c>
      <c r="D449" s="0" t="inlineStr">
        <is>
          <t>일동</t>
        </is>
      </c>
      <c r="E449" s="0" t="inlineStr">
        <is>
          <t>1986.10.</t>
        </is>
      </c>
      <c r="F449" s="0" t="n">
        <v>810</v>
      </c>
      <c r="G449" s="0" t="n">
        <v>17.45</v>
      </c>
      <c r="H449" s="0" t="n">
        <v>57.71</v>
      </c>
      <c r="I449" s="0" t="n">
        <v>15.42</v>
      </c>
      <c r="J449" s="0" t="n">
        <v>50.99</v>
      </c>
      <c r="K449" s="0" t="n">
        <v>400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57</v>
      </c>
      <c r="X449" s="0" t="n">
        <v>5</v>
      </c>
      <c r="Y449" s="0" t="n">
        <v>5</v>
      </c>
      <c r="Z449" s="0" t="inlineStr">
        <is>
          <t>https://new.land.naver.com/complexes/11007?tab=detail&amp;rf=Y</t>
        </is>
      </c>
      <c r="AA449" s="0" t="inlineStr">
        <is>
          <t>경상남도 창원시 성산구 용호동 66</t>
        </is>
      </c>
      <c r="AB449" s="0" t="inlineStr">
        <is>
          <t>경상남도</t>
        </is>
      </c>
      <c r="AC449" s="0" t="inlineStr">
        <is>
          <t>창원시</t>
        </is>
      </c>
      <c r="AD449" s="0" t="inlineStr">
        <is>
          <t>성산구</t>
        </is>
      </c>
      <c r="AE449" s="0" t="inlineStr">
        <is>
          <t>용호동</t>
        </is>
      </c>
      <c r="AG449" s="0" t="inlineStr">
        <is>
          <t>경상남도 창원시 성산구 외동반림로 216</t>
        </is>
      </c>
      <c r="AH449" s="0" t="n">
        <v>0</v>
      </c>
      <c r="AI449" s="0" t="n">
        <v>0</v>
      </c>
      <c r="AJ449" s="0" t="n">
        <v>0</v>
      </c>
      <c r="AK449" s="0" t="n">
        <v>648</v>
      </c>
      <c r="AL449" s="0" t="n">
        <v>0.8</v>
      </c>
    </row>
    <row r="450">
      <c r="A450" s="0" t="inlineStr">
        <is>
          <t>[용호동]</t>
        </is>
      </c>
      <c r="B450" s="0" t="n">
        <v>11007</v>
      </c>
      <c r="C450" s="0" t="n">
        <v>2</v>
      </c>
      <c r="D450" s="0" t="inlineStr">
        <is>
          <t>일동</t>
        </is>
      </c>
      <c r="E450" s="0" t="inlineStr">
        <is>
          <t>1986.10.</t>
        </is>
      </c>
      <c r="F450" s="0" t="n">
        <v>810</v>
      </c>
      <c r="G450" s="0" t="n">
        <v>20.06</v>
      </c>
      <c r="H450" s="0" t="n">
        <v>66.34</v>
      </c>
      <c r="I450" s="0" t="n">
        <v>18.03</v>
      </c>
      <c r="J450" s="0" t="n">
        <v>59.61</v>
      </c>
      <c r="K450" s="0" t="n">
        <v>410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66</v>
      </c>
      <c r="X450" s="0" t="n">
        <v>5</v>
      </c>
      <c r="Y450" s="0" t="n">
        <v>5</v>
      </c>
      <c r="Z450" s="0" t="inlineStr">
        <is>
          <t>https://new.land.naver.com/complexes/11007?tab=detail&amp;rf=Y</t>
        </is>
      </c>
      <c r="AA450" s="0" t="inlineStr">
        <is>
          <t>경상남도 창원시 성산구 용호동 66</t>
        </is>
      </c>
      <c r="AB450" s="0" t="inlineStr">
        <is>
          <t>경상남도</t>
        </is>
      </c>
      <c r="AC450" s="0" t="inlineStr">
        <is>
          <t>창원시</t>
        </is>
      </c>
      <c r="AD450" s="0" t="inlineStr">
        <is>
          <t>성산구</t>
        </is>
      </c>
      <c r="AE450" s="0" t="inlineStr">
        <is>
          <t>용호동</t>
        </is>
      </c>
      <c r="AG450" s="0" t="inlineStr">
        <is>
          <t>경상남도 창원시 성산구 외동반림로 216</t>
        </is>
      </c>
      <c r="AH450" s="0" t="n">
        <v>0</v>
      </c>
      <c r="AI450" s="0" t="n">
        <v>0</v>
      </c>
      <c r="AJ450" s="0" t="n">
        <v>0</v>
      </c>
      <c r="AK450" s="0" t="n">
        <v>648</v>
      </c>
      <c r="AL450" s="0" t="n">
        <v>0.8</v>
      </c>
    </row>
    <row r="451">
      <c r="A451" s="0" t="inlineStr">
        <is>
          <t>[용호동]</t>
        </is>
      </c>
      <c r="B451" s="0" t="n">
        <v>141629</v>
      </c>
      <c r="C451" s="0" t="n">
        <v>1</v>
      </c>
      <c r="D451" s="0" t="inlineStr">
        <is>
          <t>롯데맨션2단지</t>
        </is>
      </c>
      <c r="E451" s="0" t="inlineStr">
        <is>
          <t>1988.09.</t>
        </is>
      </c>
      <c r="F451" s="0" t="n">
        <v>320</v>
      </c>
      <c r="G451" s="0" t="n">
        <v>18.33</v>
      </c>
      <c r="H451" s="0" t="n">
        <v>60.62</v>
      </c>
      <c r="I451" s="0" t="n">
        <v>16.83</v>
      </c>
      <c r="J451" s="0" t="n">
        <v>55.65</v>
      </c>
      <c r="K451" s="0" t="n">
        <v>90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60</v>
      </c>
      <c r="X451" s="0" t="n">
        <v>5</v>
      </c>
      <c r="Y451" s="0" t="n">
        <v>5</v>
      </c>
      <c r="Z451" s="0" t="inlineStr">
        <is>
          <t>https://new.land.naver.com/complexes/141629?tab=detail&amp;rf=Y</t>
        </is>
      </c>
      <c r="AA451" s="0" t="inlineStr">
        <is>
          <t>경상남도 창원시 성산구 용호동 62</t>
        </is>
      </c>
      <c r="AB451" s="0" t="inlineStr">
        <is>
          <t>경상남도</t>
        </is>
      </c>
      <c r="AC451" s="0" t="inlineStr">
        <is>
          <t>창원시</t>
        </is>
      </c>
      <c r="AD451" s="0" t="inlineStr">
        <is>
          <t>성산구</t>
        </is>
      </c>
      <c r="AE451" s="0" t="inlineStr">
        <is>
          <t>용호동</t>
        </is>
      </c>
      <c r="AG451" s="0" t="inlineStr">
        <is>
          <t>경상남도 창원시 성산구 용지로239번길 19-30</t>
        </is>
      </c>
      <c r="AH451" s="0" t="n">
        <v>0</v>
      </c>
      <c r="AI451" s="0" t="n">
        <v>115</v>
      </c>
      <c r="AJ451" s="0" t="n">
        <v>23</v>
      </c>
      <c r="AK451" s="0" t="n">
        <v>0</v>
      </c>
      <c r="AL451" s="0" t="n">
        <v>0</v>
      </c>
    </row>
    <row r="452">
      <c r="A452" s="0" t="inlineStr">
        <is>
          <t>[용호동]</t>
        </is>
      </c>
      <c r="B452" s="0" t="n">
        <v>141629</v>
      </c>
      <c r="C452" s="0" t="n">
        <v>2</v>
      </c>
      <c r="D452" s="0" t="inlineStr">
        <is>
          <t>롯데맨션2단지</t>
        </is>
      </c>
      <c r="E452" s="0" t="inlineStr">
        <is>
          <t>1988.09.</t>
        </is>
      </c>
      <c r="F452" s="0" t="n">
        <v>320</v>
      </c>
      <c r="G452" s="0" t="n">
        <v>22.75</v>
      </c>
      <c r="H452" s="0" t="n">
        <v>75.22</v>
      </c>
      <c r="I452" s="0" t="n">
        <v>20.72</v>
      </c>
      <c r="J452" s="0" t="n">
        <v>68.5</v>
      </c>
      <c r="K452" s="0" t="n">
        <v>50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75</v>
      </c>
      <c r="X452" s="0" t="n">
        <v>5</v>
      </c>
      <c r="Y452" s="0" t="n">
        <v>5</v>
      </c>
      <c r="Z452" s="0" t="inlineStr">
        <is>
          <t>https://new.land.naver.com/complexes/141629?tab=detail&amp;rf=Y</t>
        </is>
      </c>
      <c r="AA452" s="0" t="inlineStr">
        <is>
          <t>경상남도 창원시 성산구 용호동 62</t>
        </is>
      </c>
      <c r="AB452" s="0" t="inlineStr">
        <is>
          <t>경상남도</t>
        </is>
      </c>
      <c r="AC452" s="0" t="inlineStr">
        <is>
          <t>창원시</t>
        </is>
      </c>
      <c r="AD452" s="0" t="inlineStr">
        <is>
          <t>성산구</t>
        </is>
      </c>
      <c r="AE452" s="0" t="inlineStr">
        <is>
          <t>용호동</t>
        </is>
      </c>
      <c r="AG452" s="0" t="inlineStr">
        <is>
          <t>경상남도 창원시 성산구 용지로239번길 19-30</t>
        </is>
      </c>
      <c r="AH452" s="0" t="n">
        <v>0</v>
      </c>
      <c r="AI452" s="0" t="n">
        <v>115</v>
      </c>
      <c r="AJ452" s="0" t="n">
        <v>23</v>
      </c>
      <c r="AK452" s="0" t="n">
        <v>0</v>
      </c>
      <c r="AL452" s="0" t="n">
        <v>0</v>
      </c>
    </row>
    <row r="453">
      <c r="A453" s="0" t="inlineStr">
        <is>
          <t>[용호동]</t>
        </is>
      </c>
      <c r="B453" s="0" t="n">
        <v>141629</v>
      </c>
      <c r="C453" s="0" t="n">
        <v>3</v>
      </c>
      <c r="D453" s="0" t="inlineStr">
        <is>
          <t>롯데맨션2단지</t>
        </is>
      </c>
      <c r="E453" s="0" t="inlineStr">
        <is>
          <t>1988.09.</t>
        </is>
      </c>
      <c r="F453" s="0" t="n">
        <v>320</v>
      </c>
      <c r="G453" s="0" t="n">
        <v>26.14</v>
      </c>
      <c r="H453" s="0" t="n">
        <v>86.42</v>
      </c>
      <c r="I453" s="0" t="n">
        <v>24.96</v>
      </c>
      <c r="J453" s="0" t="n">
        <v>82.53</v>
      </c>
      <c r="K453" s="0" t="n">
        <v>20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86</v>
      </c>
      <c r="X453" s="0" t="n">
        <v>5</v>
      </c>
      <c r="Y453" s="0" t="n">
        <v>5</v>
      </c>
      <c r="Z453" s="0" t="inlineStr">
        <is>
          <t>https://new.land.naver.com/complexes/141629?tab=detail&amp;rf=Y</t>
        </is>
      </c>
      <c r="AA453" s="0" t="inlineStr">
        <is>
          <t>경상남도 창원시 성산구 용호동 62</t>
        </is>
      </c>
      <c r="AB453" s="0" t="inlineStr">
        <is>
          <t>경상남도</t>
        </is>
      </c>
      <c r="AC453" s="0" t="inlineStr">
        <is>
          <t>창원시</t>
        </is>
      </c>
      <c r="AD453" s="0" t="inlineStr">
        <is>
          <t>성산구</t>
        </is>
      </c>
      <c r="AE453" s="0" t="inlineStr">
        <is>
          <t>용호동</t>
        </is>
      </c>
      <c r="AG453" s="0" t="inlineStr">
        <is>
          <t>경상남도 창원시 성산구 용지로239번길 19-30</t>
        </is>
      </c>
      <c r="AH453" s="0" t="n">
        <v>0</v>
      </c>
      <c r="AI453" s="0" t="n">
        <v>115</v>
      </c>
      <c r="AJ453" s="0" t="n">
        <v>23</v>
      </c>
      <c r="AK453" s="0" t="n">
        <v>0</v>
      </c>
      <c r="AL453" s="0" t="n">
        <v>0</v>
      </c>
    </row>
    <row r="454">
      <c r="A454" s="0" t="inlineStr">
        <is>
          <t>[용호동]</t>
        </is>
      </c>
      <c r="B454" s="0" t="n">
        <v>141629</v>
      </c>
      <c r="C454" s="0" t="n">
        <v>4</v>
      </c>
      <c r="D454" s="0" t="inlineStr">
        <is>
          <t>롯데맨션2단지</t>
        </is>
      </c>
      <c r="E454" s="0" t="inlineStr">
        <is>
          <t>1988.09.</t>
        </is>
      </c>
      <c r="F454" s="0" t="n">
        <v>320</v>
      </c>
      <c r="G454" s="0" t="n">
        <v>34.43</v>
      </c>
      <c r="H454" s="0" t="n">
        <v>113.82</v>
      </c>
      <c r="I454" s="0" t="n">
        <v>32.27</v>
      </c>
      <c r="J454" s="0" t="n">
        <v>106.68</v>
      </c>
      <c r="K454" s="0" t="n">
        <v>40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113</v>
      </c>
      <c r="X454" s="0" t="n">
        <v>5</v>
      </c>
      <c r="Y454" s="0" t="n">
        <v>5</v>
      </c>
      <c r="Z454" s="0" t="inlineStr">
        <is>
          <t>https://new.land.naver.com/complexes/141629?tab=detail&amp;rf=Y</t>
        </is>
      </c>
      <c r="AA454" s="0" t="inlineStr">
        <is>
          <t>경상남도 창원시 성산구 용호동 62</t>
        </is>
      </c>
      <c r="AB454" s="0" t="inlineStr">
        <is>
          <t>경상남도</t>
        </is>
      </c>
      <c r="AC454" s="0" t="inlineStr">
        <is>
          <t>창원시</t>
        </is>
      </c>
      <c r="AD454" s="0" t="inlineStr">
        <is>
          <t>성산구</t>
        </is>
      </c>
      <c r="AE454" s="0" t="inlineStr">
        <is>
          <t>용호동</t>
        </is>
      </c>
      <c r="AG454" s="0" t="inlineStr">
        <is>
          <t>경상남도 창원시 성산구 용지로239번길 19-30</t>
        </is>
      </c>
      <c r="AH454" s="0" t="n">
        <v>0</v>
      </c>
      <c r="AI454" s="0" t="n">
        <v>115</v>
      </c>
      <c r="AJ454" s="0" t="n">
        <v>23</v>
      </c>
      <c r="AK454" s="0" t="n">
        <v>0</v>
      </c>
      <c r="AL454" s="0" t="n">
        <v>0</v>
      </c>
    </row>
    <row r="455">
      <c r="A455" s="0" t="inlineStr">
        <is>
          <t>[용호동]</t>
        </is>
      </c>
      <c r="B455" s="0" t="n">
        <v>141629</v>
      </c>
      <c r="C455" s="0" t="n">
        <v>5</v>
      </c>
      <c r="D455" s="0" t="inlineStr">
        <is>
          <t>롯데맨션2단지</t>
        </is>
      </c>
      <c r="E455" s="0" t="inlineStr">
        <is>
          <t>1988.09.</t>
        </is>
      </c>
      <c r="F455" s="0" t="n">
        <v>320</v>
      </c>
      <c r="G455" s="0" t="n">
        <v>36.33</v>
      </c>
      <c r="H455" s="0" t="n">
        <v>120.12</v>
      </c>
      <c r="I455" s="0" t="n">
        <v>34.17</v>
      </c>
      <c r="J455" s="0" t="n">
        <v>112.98</v>
      </c>
      <c r="K455" s="0" t="n">
        <v>60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120</v>
      </c>
      <c r="X455" s="0" t="n">
        <v>5</v>
      </c>
      <c r="Y455" s="0" t="n">
        <v>5</v>
      </c>
      <c r="Z455" s="0" t="inlineStr">
        <is>
          <t>https://new.land.naver.com/complexes/141629?tab=detail&amp;rf=Y</t>
        </is>
      </c>
      <c r="AA455" s="0" t="inlineStr">
        <is>
          <t>경상남도 창원시 성산구 용호동 62</t>
        </is>
      </c>
      <c r="AB455" s="0" t="inlineStr">
        <is>
          <t>경상남도</t>
        </is>
      </c>
      <c r="AC455" s="0" t="inlineStr">
        <is>
          <t>창원시</t>
        </is>
      </c>
      <c r="AD455" s="0" t="inlineStr">
        <is>
          <t>성산구</t>
        </is>
      </c>
      <c r="AE455" s="0" t="inlineStr">
        <is>
          <t>용호동</t>
        </is>
      </c>
      <c r="AG455" s="0" t="inlineStr">
        <is>
          <t>경상남도 창원시 성산구 용지로239번길 19-30</t>
        </is>
      </c>
      <c r="AH455" s="0" t="n">
        <v>0</v>
      </c>
      <c r="AI455" s="0" t="n">
        <v>115</v>
      </c>
      <c r="AJ455" s="0" t="n">
        <v>23</v>
      </c>
      <c r="AK455" s="0" t="n">
        <v>0</v>
      </c>
      <c r="AL455" s="0" t="n">
        <v>0</v>
      </c>
    </row>
    <row r="456">
      <c r="A456" s="0" t="inlineStr">
        <is>
          <t>[용호동]</t>
        </is>
      </c>
      <c r="B456" s="0" t="n">
        <v>141629</v>
      </c>
      <c r="C456" s="0" t="n">
        <v>6</v>
      </c>
      <c r="D456" s="0" t="inlineStr">
        <is>
          <t>롯데맨션2단지</t>
        </is>
      </c>
      <c r="E456" s="0" t="inlineStr">
        <is>
          <t>1988.09.</t>
        </is>
      </c>
      <c r="F456" s="0" t="n">
        <v>320</v>
      </c>
      <c r="G456" s="0" t="n">
        <v>45.03</v>
      </c>
      <c r="H456" s="0" t="n">
        <v>148.86</v>
      </c>
      <c r="I456" s="0" t="n">
        <v>42.87</v>
      </c>
      <c r="J456" s="0" t="n">
        <v>141.72</v>
      </c>
      <c r="K456" s="0" t="n">
        <v>40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148</v>
      </c>
      <c r="X456" s="0" t="n">
        <v>5</v>
      </c>
      <c r="Y456" s="0" t="n">
        <v>5</v>
      </c>
      <c r="Z456" s="0" t="inlineStr">
        <is>
          <t>https://new.land.naver.com/complexes/141629?tab=detail&amp;rf=Y</t>
        </is>
      </c>
      <c r="AA456" s="0" t="inlineStr">
        <is>
          <t>경상남도 창원시 성산구 용호동 62</t>
        </is>
      </c>
      <c r="AB456" s="0" t="inlineStr">
        <is>
          <t>경상남도</t>
        </is>
      </c>
      <c r="AC456" s="0" t="inlineStr">
        <is>
          <t>창원시</t>
        </is>
      </c>
      <c r="AD456" s="0" t="inlineStr">
        <is>
          <t>성산구</t>
        </is>
      </c>
      <c r="AE456" s="0" t="inlineStr">
        <is>
          <t>용호동</t>
        </is>
      </c>
      <c r="AG456" s="0" t="inlineStr">
        <is>
          <t>경상남도 창원시 성산구 용지로239번길 19-30</t>
        </is>
      </c>
      <c r="AH456" s="0" t="n">
        <v>0</v>
      </c>
      <c r="AI456" s="0" t="n">
        <v>115</v>
      </c>
      <c r="AJ456" s="0" t="n">
        <v>23</v>
      </c>
      <c r="AK456" s="0" t="n">
        <v>0</v>
      </c>
      <c r="AL456" s="0" t="n">
        <v>0</v>
      </c>
    </row>
    <row r="457">
      <c r="A457" s="0" t="inlineStr">
        <is>
          <t>[용호동]</t>
        </is>
      </c>
      <c r="B457" s="0" t="n">
        <v>141629</v>
      </c>
      <c r="C457" s="0" t="n">
        <v>7</v>
      </c>
      <c r="D457" s="0" t="inlineStr">
        <is>
          <t>롯데맨션2단지</t>
        </is>
      </c>
      <c r="E457" s="0" t="inlineStr">
        <is>
          <t>1988.09.</t>
        </is>
      </c>
      <c r="F457" s="0" t="n">
        <v>320</v>
      </c>
      <c r="G457" s="0" t="n">
        <v>58.68</v>
      </c>
      <c r="H457" s="0" t="n">
        <v>194.01</v>
      </c>
      <c r="I457" s="0" t="n">
        <v>56.51</v>
      </c>
      <c r="J457" s="0" t="n">
        <v>186.81</v>
      </c>
      <c r="K457" s="0" t="n">
        <v>20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194</v>
      </c>
      <c r="X457" s="0" t="n">
        <v>5</v>
      </c>
      <c r="Y457" s="0" t="n">
        <v>5</v>
      </c>
      <c r="Z457" s="0" t="inlineStr">
        <is>
          <t>https://new.land.naver.com/complexes/141629?tab=detail&amp;rf=Y</t>
        </is>
      </c>
      <c r="AA457" s="0" t="inlineStr">
        <is>
          <t>경상남도 창원시 성산구 용호동 62</t>
        </is>
      </c>
      <c r="AB457" s="0" t="inlineStr">
        <is>
          <t>경상남도</t>
        </is>
      </c>
      <c r="AC457" s="0" t="inlineStr">
        <is>
          <t>창원시</t>
        </is>
      </c>
      <c r="AD457" s="0" t="inlineStr">
        <is>
          <t>성산구</t>
        </is>
      </c>
      <c r="AE457" s="0" t="inlineStr">
        <is>
          <t>용호동</t>
        </is>
      </c>
      <c r="AG457" s="0" t="inlineStr">
        <is>
          <t>경상남도 창원시 성산구 용지로239번길 19-30</t>
        </is>
      </c>
      <c r="AH457" s="0" t="n">
        <v>0</v>
      </c>
      <c r="AI457" s="0" t="n">
        <v>115</v>
      </c>
      <c r="AJ457" s="0" t="n">
        <v>23</v>
      </c>
      <c r="AK457" s="0" t="n">
        <v>0</v>
      </c>
      <c r="AL457" s="0" t="n">
        <v>0</v>
      </c>
    </row>
    <row r="458">
      <c r="A458" s="0" t="inlineStr">
        <is>
          <t>[용호동]</t>
        </is>
      </c>
      <c r="B458" s="0" t="n">
        <v>14858</v>
      </c>
      <c r="C458" s="0" t="n">
        <v>1</v>
      </c>
      <c r="D458" s="0" t="inlineStr">
        <is>
          <t>롯데맨션1단지</t>
        </is>
      </c>
      <c r="E458" s="0" t="inlineStr">
        <is>
          <t>1984.11.</t>
        </is>
      </c>
      <c r="F458" s="0" t="n">
        <v>600</v>
      </c>
      <c r="G458" s="0" t="n">
        <v>22.43</v>
      </c>
      <c r="H458" s="0" t="n">
        <v>74.18000000000001</v>
      </c>
      <c r="I458" s="0" t="n">
        <v>20.4</v>
      </c>
      <c r="J458" s="0" t="n">
        <v>67.45999999999999</v>
      </c>
      <c r="K458" s="0" t="n">
        <v>160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74</v>
      </c>
      <c r="X458" s="0" t="n">
        <v>5</v>
      </c>
      <c r="Y458" s="0" t="n">
        <v>5</v>
      </c>
      <c r="Z458" s="0" t="inlineStr">
        <is>
          <t>https://new.land.naver.com/complexes/14858?tab=detail&amp;rf=Y</t>
        </is>
      </c>
      <c r="AA458" s="0" t="inlineStr">
        <is>
          <t>경상남도 창원시 성산구 용호동 63</t>
        </is>
      </c>
      <c r="AB458" s="0" t="inlineStr">
        <is>
          <t>경상남도</t>
        </is>
      </c>
      <c r="AC458" s="0" t="inlineStr">
        <is>
          <t>창원시</t>
        </is>
      </c>
      <c r="AD458" s="0" t="inlineStr">
        <is>
          <t>성산구</t>
        </is>
      </c>
      <c r="AE458" s="0" t="inlineStr">
        <is>
          <t>용호동</t>
        </is>
      </c>
      <c r="AG458" s="0" t="inlineStr">
        <is>
          <t>경상남도 창원시 성산구 용지로 229</t>
        </is>
      </c>
      <c r="AH458" s="0" t="n">
        <v>0</v>
      </c>
      <c r="AI458" s="0" t="n">
        <v>0</v>
      </c>
      <c r="AJ458" s="0" t="n">
        <v>0</v>
      </c>
      <c r="AK458" s="0" t="n">
        <v>920</v>
      </c>
      <c r="AL458" s="0" t="n">
        <v>1.53</v>
      </c>
    </row>
    <row r="459">
      <c r="A459" s="0" t="inlineStr">
        <is>
          <t>[용호동]</t>
        </is>
      </c>
      <c r="B459" s="0" t="n">
        <v>14858</v>
      </c>
      <c r="C459" s="0" t="n">
        <v>2</v>
      </c>
      <c r="D459" s="0" t="inlineStr">
        <is>
          <t>롯데맨션1단지</t>
        </is>
      </c>
      <c r="E459" s="0" t="inlineStr">
        <is>
          <t>1984.11.</t>
        </is>
      </c>
      <c r="F459" s="0" t="n">
        <v>600</v>
      </c>
      <c r="G459" s="0" t="n">
        <v>26.21</v>
      </c>
      <c r="H459" s="0" t="n">
        <v>86.67</v>
      </c>
      <c r="I459" s="0" t="n">
        <v>24.18</v>
      </c>
      <c r="J459" s="0" t="n">
        <v>79.95</v>
      </c>
      <c r="K459" s="0" t="n">
        <v>210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86A</t>
        </is>
      </c>
      <c r="X459" s="0" t="n">
        <v>5</v>
      </c>
      <c r="Y459" s="0" t="n">
        <v>5</v>
      </c>
      <c r="Z459" s="0" t="inlineStr">
        <is>
          <t>https://new.land.naver.com/complexes/14858?tab=detail&amp;rf=Y</t>
        </is>
      </c>
      <c r="AA459" s="0" t="inlineStr">
        <is>
          <t>경상남도 창원시 성산구 용호동 63</t>
        </is>
      </c>
      <c r="AB459" s="0" t="inlineStr">
        <is>
          <t>경상남도</t>
        </is>
      </c>
      <c r="AC459" s="0" t="inlineStr">
        <is>
          <t>창원시</t>
        </is>
      </c>
      <c r="AD459" s="0" t="inlineStr">
        <is>
          <t>성산구</t>
        </is>
      </c>
      <c r="AE459" s="0" t="inlineStr">
        <is>
          <t>용호동</t>
        </is>
      </c>
      <c r="AG459" s="0" t="inlineStr">
        <is>
          <t>경상남도 창원시 성산구 용지로 229</t>
        </is>
      </c>
      <c r="AH459" s="0" t="n">
        <v>0</v>
      </c>
      <c r="AI459" s="0" t="n">
        <v>0</v>
      </c>
      <c r="AJ459" s="0" t="n">
        <v>0</v>
      </c>
      <c r="AK459" s="0" t="n">
        <v>920</v>
      </c>
      <c r="AL459" s="0" t="n">
        <v>1.53</v>
      </c>
    </row>
    <row r="460">
      <c r="A460" s="0" t="inlineStr">
        <is>
          <t>[용호동]</t>
        </is>
      </c>
      <c r="B460" s="0" t="n">
        <v>14858</v>
      </c>
      <c r="C460" s="0" t="n">
        <v>3</v>
      </c>
      <c r="D460" s="0" t="inlineStr">
        <is>
          <t>롯데맨션1단지</t>
        </is>
      </c>
      <c r="E460" s="0" t="inlineStr">
        <is>
          <t>1984.11.</t>
        </is>
      </c>
      <c r="F460" s="0" t="n">
        <v>600</v>
      </c>
      <c r="G460" s="0" t="n">
        <v>26.14</v>
      </c>
      <c r="H460" s="0" t="n">
        <v>86.42</v>
      </c>
      <c r="I460" s="0" t="n">
        <v>24.96</v>
      </c>
      <c r="J460" s="0" t="n">
        <v>82.53</v>
      </c>
      <c r="K460" s="0" t="n">
        <v>80</v>
      </c>
      <c r="T460" s="0" t="n">
        <v>3</v>
      </c>
      <c r="U460" s="0" t="n">
        <v>1</v>
      </c>
      <c r="V460" s="0" t="inlineStr">
        <is>
          <t>계단식</t>
        </is>
      </c>
      <c r="W460" s="0" t="inlineStr">
        <is>
          <t>86B</t>
        </is>
      </c>
      <c r="X460" s="0" t="n">
        <v>5</v>
      </c>
      <c r="Y460" s="0" t="n">
        <v>5</v>
      </c>
      <c r="Z460" s="0" t="inlineStr">
        <is>
          <t>https://new.land.naver.com/complexes/14858?tab=detail&amp;rf=Y</t>
        </is>
      </c>
      <c r="AA460" s="0" t="inlineStr">
        <is>
          <t>경상남도 창원시 성산구 용호동 63</t>
        </is>
      </c>
      <c r="AB460" s="0" t="inlineStr">
        <is>
          <t>경상남도</t>
        </is>
      </c>
      <c r="AC460" s="0" t="inlineStr">
        <is>
          <t>창원시</t>
        </is>
      </c>
      <c r="AD460" s="0" t="inlineStr">
        <is>
          <t>성산구</t>
        </is>
      </c>
      <c r="AE460" s="0" t="inlineStr">
        <is>
          <t>용호동</t>
        </is>
      </c>
      <c r="AG460" s="0" t="inlineStr">
        <is>
          <t>경상남도 창원시 성산구 용지로 229</t>
        </is>
      </c>
      <c r="AH460" s="0" t="n">
        <v>0</v>
      </c>
      <c r="AI460" s="0" t="n">
        <v>0</v>
      </c>
      <c r="AJ460" s="0" t="n">
        <v>0</v>
      </c>
      <c r="AK460" s="0" t="n">
        <v>920</v>
      </c>
      <c r="AL460" s="0" t="n">
        <v>1.53</v>
      </c>
    </row>
    <row r="461">
      <c r="A461" s="0" t="inlineStr">
        <is>
          <t>[용호동]</t>
        </is>
      </c>
      <c r="B461" s="0" t="n">
        <v>14858</v>
      </c>
      <c r="C461" s="0" t="n">
        <v>4</v>
      </c>
      <c r="D461" s="0" t="inlineStr">
        <is>
          <t>롯데맨션1단지</t>
        </is>
      </c>
      <c r="E461" s="0" t="inlineStr">
        <is>
          <t>1984.11.</t>
        </is>
      </c>
      <c r="F461" s="0" t="n">
        <v>600</v>
      </c>
      <c r="G461" s="0" t="n">
        <v>32.06</v>
      </c>
      <c r="H461" s="0" t="n">
        <v>105.99</v>
      </c>
      <c r="I461" s="0" t="n">
        <v>29.98</v>
      </c>
      <c r="J461" s="0" t="n">
        <v>99.13</v>
      </c>
      <c r="K461" s="0" t="n">
        <v>30</v>
      </c>
      <c r="T461" s="0" t="n">
        <v>4</v>
      </c>
      <c r="U461" s="0" t="n">
        <v>1</v>
      </c>
      <c r="V461" s="0" t="inlineStr">
        <is>
          <t>계단식</t>
        </is>
      </c>
      <c r="W461" s="0" t="n">
        <v>105</v>
      </c>
      <c r="X461" s="0" t="n">
        <v>5</v>
      </c>
      <c r="Y461" s="0" t="n">
        <v>5</v>
      </c>
      <c r="Z461" s="0" t="inlineStr">
        <is>
          <t>https://new.land.naver.com/complexes/14858?tab=detail&amp;rf=Y</t>
        </is>
      </c>
      <c r="AA461" s="0" t="inlineStr">
        <is>
          <t>경상남도 창원시 성산구 용호동 63</t>
        </is>
      </c>
      <c r="AB461" s="0" t="inlineStr">
        <is>
          <t>경상남도</t>
        </is>
      </c>
      <c r="AC461" s="0" t="inlineStr">
        <is>
          <t>창원시</t>
        </is>
      </c>
      <c r="AD461" s="0" t="inlineStr">
        <is>
          <t>성산구</t>
        </is>
      </c>
      <c r="AE461" s="0" t="inlineStr">
        <is>
          <t>용호동</t>
        </is>
      </c>
      <c r="AG461" s="0" t="inlineStr">
        <is>
          <t>경상남도 창원시 성산구 용지로 229</t>
        </is>
      </c>
      <c r="AH461" s="0" t="n">
        <v>0</v>
      </c>
      <c r="AI461" s="0" t="n">
        <v>0</v>
      </c>
      <c r="AJ461" s="0" t="n">
        <v>0</v>
      </c>
      <c r="AK461" s="0" t="n">
        <v>920</v>
      </c>
      <c r="AL461" s="0" t="n">
        <v>1.53</v>
      </c>
    </row>
    <row r="462">
      <c r="A462" s="0" t="inlineStr">
        <is>
          <t>[용호동]</t>
        </is>
      </c>
      <c r="B462" s="0" t="n">
        <v>14858</v>
      </c>
      <c r="C462" s="0" t="n">
        <v>5</v>
      </c>
      <c r="D462" s="0" t="inlineStr">
        <is>
          <t>롯데맨션1단지</t>
        </is>
      </c>
      <c r="E462" s="0" t="inlineStr">
        <is>
          <t>1984.11.</t>
        </is>
      </c>
      <c r="F462" s="0" t="n">
        <v>600</v>
      </c>
      <c r="G462" s="0" t="n">
        <v>36.33</v>
      </c>
      <c r="H462" s="0" t="n">
        <v>120.1</v>
      </c>
      <c r="I462" s="0" t="n">
        <v>34.29</v>
      </c>
      <c r="J462" s="0" t="n">
        <v>113.38</v>
      </c>
      <c r="K462" s="0" t="n">
        <v>30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120B</t>
        </is>
      </c>
      <c r="X462" s="0" t="n">
        <v>5</v>
      </c>
      <c r="Y462" s="0" t="n">
        <v>5</v>
      </c>
      <c r="Z462" s="0" t="inlineStr">
        <is>
          <t>https://new.land.naver.com/complexes/14858?tab=detail&amp;rf=Y</t>
        </is>
      </c>
      <c r="AA462" s="0" t="inlineStr">
        <is>
          <t>경상남도 창원시 성산구 용호동 63</t>
        </is>
      </c>
      <c r="AB462" s="0" t="inlineStr">
        <is>
          <t>경상남도</t>
        </is>
      </c>
      <c r="AC462" s="0" t="inlineStr">
        <is>
          <t>창원시</t>
        </is>
      </c>
      <c r="AD462" s="0" t="inlineStr">
        <is>
          <t>성산구</t>
        </is>
      </c>
      <c r="AE462" s="0" t="inlineStr">
        <is>
          <t>용호동</t>
        </is>
      </c>
      <c r="AG462" s="0" t="inlineStr">
        <is>
          <t>경상남도 창원시 성산구 용지로 229</t>
        </is>
      </c>
      <c r="AH462" s="0" t="n">
        <v>0</v>
      </c>
      <c r="AI462" s="0" t="n">
        <v>0</v>
      </c>
      <c r="AJ462" s="0" t="n">
        <v>0</v>
      </c>
      <c r="AK462" s="0" t="n">
        <v>920</v>
      </c>
      <c r="AL462" s="0" t="n">
        <v>1.53</v>
      </c>
    </row>
    <row r="463">
      <c r="A463" s="0" t="inlineStr">
        <is>
          <t>[용호동]</t>
        </is>
      </c>
      <c r="B463" s="0" t="n">
        <v>14858</v>
      </c>
      <c r="C463" s="0" t="n">
        <v>6</v>
      </c>
      <c r="D463" s="0" t="inlineStr">
        <is>
          <t>롯데맨션1단지</t>
        </is>
      </c>
      <c r="E463" s="0" t="inlineStr">
        <is>
          <t>1984.11.</t>
        </is>
      </c>
      <c r="F463" s="0" t="n">
        <v>600</v>
      </c>
      <c r="G463" s="0" t="n">
        <v>36.33</v>
      </c>
      <c r="H463" s="0" t="n">
        <v>120.12</v>
      </c>
      <c r="I463" s="0" t="n">
        <v>34.17</v>
      </c>
      <c r="J463" s="0" t="n">
        <v>112.98</v>
      </c>
      <c r="K463" s="0" t="n">
        <v>30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120C</t>
        </is>
      </c>
      <c r="X463" s="0" t="n">
        <v>5</v>
      </c>
      <c r="Y463" s="0" t="n">
        <v>5</v>
      </c>
      <c r="Z463" s="0" t="inlineStr">
        <is>
          <t>https://new.land.naver.com/complexes/14858?tab=detail&amp;rf=Y</t>
        </is>
      </c>
      <c r="AA463" s="0" t="inlineStr">
        <is>
          <t>경상남도 창원시 성산구 용호동 63</t>
        </is>
      </c>
      <c r="AB463" s="0" t="inlineStr">
        <is>
          <t>경상남도</t>
        </is>
      </c>
      <c r="AC463" s="0" t="inlineStr">
        <is>
          <t>창원시</t>
        </is>
      </c>
      <c r="AD463" s="0" t="inlineStr">
        <is>
          <t>성산구</t>
        </is>
      </c>
      <c r="AE463" s="0" t="inlineStr">
        <is>
          <t>용호동</t>
        </is>
      </c>
      <c r="AG463" s="0" t="inlineStr">
        <is>
          <t>경상남도 창원시 성산구 용지로 229</t>
        </is>
      </c>
      <c r="AH463" s="0" t="n">
        <v>0</v>
      </c>
      <c r="AI463" s="0" t="n">
        <v>0</v>
      </c>
      <c r="AJ463" s="0" t="n">
        <v>0</v>
      </c>
      <c r="AK463" s="0" t="n">
        <v>920</v>
      </c>
      <c r="AL463" s="0" t="n">
        <v>1.53</v>
      </c>
    </row>
    <row r="464">
      <c r="A464" s="0" t="inlineStr">
        <is>
          <t>[용호동]</t>
        </is>
      </c>
      <c r="B464" s="0" t="n">
        <v>14858</v>
      </c>
      <c r="C464" s="0" t="n">
        <v>7</v>
      </c>
      <c r="D464" s="0" t="inlineStr">
        <is>
          <t>롯데맨션1단지</t>
        </is>
      </c>
      <c r="E464" s="0" t="inlineStr">
        <is>
          <t>1984.11.</t>
        </is>
      </c>
      <c r="F464" s="0" t="n">
        <v>600</v>
      </c>
      <c r="G464" s="0" t="n">
        <v>42.17</v>
      </c>
      <c r="H464" s="0" t="n">
        <v>139.43</v>
      </c>
      <c r="I464" s="0" t="n">
        <v>40.1</v>
      </c>
      <c r="J464" s="0" t="n">
        <v>132.57</v>
      </c>
      <c r="K464" s="0" t="n">
        <v>30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139</v>
      </c>
      <c r="X464" s="0" t="n">
        <v>5</v>
      </c>
      <c r="Y464" s="0" t="n">
        <v>5</v>
      </c>
      <c r="Z464" s="0" t="inlineStr">
        <is>
          <t>https://new.land.naver.com/complexes/14858?tab=detail&amp;rf=Y</t>
        </is>
      </c>
      <c r="AA464" s="0" t="inlineStr">
        <is>
          <t>경상남도 창원시 성산구 용호동 63</t>
        </is>
      </c>
      <c r="AB464" s="0" t="inlineStr">
        <is>
          <t>경상남도</t>
        </is>
      </c>
      <c r="AC464" s="0" t="inlineStr">
        <is>
          <t>창원시</t>
        </is>
      </c>
      <c r="AD464" s="0" t="inlineStr">
        <is>
          <t>성산구</t>
        </is>
      </c>
      <c r="AE464" s="0" t="inlineStr">
        <is>
          <t>용호동</t>
        </is>
      </c>
      <c r="AG464" s="0" t="inlineStr">
        <is>
          <t>경상남도 창원시 성산구 용지로 229</t>
        </is>
      </c>
      <c r="AH464" s="0" t="n">
        <v>0</v>
      </c>
      <c r="AI464" s="0" t="n">
        <v>0</v>
      </c>
      <c r="AJ464" s="0" t="n">
        <v>0</v>
      </c>
      <c r="AK464" s="0" t="n">
        <v>920</v>
      </c>
      <c r="AL464" s="0" t="n">
        <v>1.53</v>
      </c>
    </row>
    <row r="465">
      <c r="A465" s="0" t="inlineStr">
        <is>
          <t>[용호동]</t>
        </is>
      </c>
      <c r="B465" s="0" t="n">
        <v>14858</v>
      </c>
      <c r="C465" s="0" t="n">
        <v>8</v>
      </c>
      <c r="D465" s="0" t="inlineStr">
        <is>
          <t>롯데맨션1단지</t>
        </is>
      </c>
      <c r="E465" s="0" t="inlineStr">
        <is>
          <t>1984.11.</t>
        </is>
      </c>
      <c r="F465" s="0" t="n">
        <v>600</v>
      </c>
      <c r="G465" s="0" t="n">
        <v>45.03</v>
      </c>
      <c r="H465" s="0" t="n">
        <v>148.86</v>
      </c>
      <c r="I465" s="0" t="n">
        <v>42.87</v>
      </c>
      <c r="J465" s="0" t="n">
        <v>141.72</v>
      </c>
      <c r="K465" s="0" t="n">
        <v>30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148A</t>
        </is>
      </c>
      <c r="X465" s="0" t="n">
        <v>5</v>
      </c>
      <c r="Y465" s="0" t="n">
        <v>5</v>
      </c>
      <c r="Z465" s="0" t="inlineStr">
        <is>
          <t>https://new.land.naver.com/complexes/14858?tab=detail&amp;rf=Y</t>
        </is>
      </c>
      <c r="AA465" s="0" t="inlineStr">
        <is>
          <t>경상남도 창원시 성산구 용호동 63</t>
        </is>
      </c>
      <c r="AB465" s="0" t="inlineStr">
        <is>
          <t>경상남도</t>
        </is>
      </c>
      <c r="AC465" s="0" t="inlineStr">
        <is>
          <t>창원시</t>
        </is>
      </c>
      <c r="AD465" s="0" t="inlineStr">
        <is>
          <t>성산구</t>
        </is>
      </c>
      <c r="AE465" s="0" t="inlineStr">
        <is>
          <t>용호동</t>
        </is>
      </c>
      <c r="AG465" s="0" t="inlineStr">
        <is>
          <t>경상남도 창원시 성산구 용지로 229</t>
        </is>
      </c>
      <c r="AH465" s="0" t="n">
        <v>0</v>
      </c>
      <c r="AI465" s="0" t="n">
        <v>0</v>
      </c>
      <c r="AJ465" s="0" t="n">
        <v>0</v>
      </c>
      <c r="AK465" s="0" t="n">
        <v>920</v>
      </c>
      <c r="AL465" s="0" t="n">
        <v>1.53</v>
      </c>
    </row>
    <row r="466">
      <c r="A466" s="0" t="inlineStr">
        <is>
          <t>[용호동]</t>
        </is>
      </c>
      <c r="B466" s="0" t="n">
        <v>109465</v>
      </c>
      <c r="C466" s="0" t="n">
        <v>1</v>
      </c>
      <c r="D466" s="0" t="inlineStr">
        <is>
          <t>용지아이파크</t>
        </is>
      </c>
      <c r="E466" s="0" t="inlineStr">
        <is>
          <t>2017.06.</t>
        </is>
      </c>
      <c r="F466" s="0" t="n">
        <v>1036</v>
      </c>
      <c r="G466" s="0" t="n">
        <v>25.79</v>
      </c>
      <c r="H466" s="0" t="n">
        <v>85.28</v>
      </c>
      <c r="I466" s="0" t="n">
        <v>17.98</v>
      </c>
      <c r="J466" s="0" t="n">
        <v>59.45</v>
      </c>
      <c r="K466" s="0" t="n">
        <v>11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85</v>
      </c>
      <c r="X466" s="0" t="n">
        <v>28</v>
      </c>
      <c r="Y466" s="0" t="n">
        <v>22</v>
      </c>
      <c r="Z466" s="0" t="inlineStr">
        <is>
          <t>https://new.land.naver.com/complexes/109465?tab=detail&amp;rf=Y</t>
        </is>
      </c>
      <c r="AA466" s="0" t="inlineStr">
        <is>
          <t>경상남도 창원시 성산구 용호동 70</t>
        </is>
      </c>
      <c r="AB466" s="0" t="inlineStr">
        <is>
          <t>경상남도</t>
        </is>
      </c>
      <c r="AC466" s="0" t="inlineStr">
        <is>
          <t>창원시</t>
        </is>
      </c>
      <c r="AD466" s="0" t="inlineStr">
        <is>
          <t>성산구</t>
        </is>
      </c>
      <c r="AE466" s="0" t="inlineStr">
        <is>
          <t>용호동</t>
        </is>
      </c>
      <c r="AG466" s="0" t="inlineStr">
        <is>
          <t>경상남도 창원시 성산구 원이대로579번길 13</t>
        </is>
      </c>
      <c r="AH466" s="0" t="n">
        <v>89</v>
      </c>
      <c r="AI466" s="0" t="n">
        <v>209</v>
      </c>
      <c r="AJ466" s="0" t="n">
        <v>12</v>
      </c>
      <c r="AK466" s="0" t="n">
        <v>1666</v>
      </c>
      <c r="AL466" s="0" t="n">
        <v>1.61</v>
      </c>
    </row>
    <row r="467">
      <c r="A467" s="0" t="inlineStr">
        <is>
          <t>[용호동]</t>
        </is>
      </c>
      <c r="B467" s="0" t="n">
        <v>109465</v>
      </c>
      <c r="C467" s="0" t="n">
        <v>2</v>
      </c>
      <c r="D467" s="0" t="inlineStr">
        <is>
          <t>용지아이파크</t>
        </is>
      </c>
      <c r="E467" s="0" t="inlineStr">
        <is>
          <t>2017.06.</t>
        </is>
      </c>
      <c r="F467" s="0" t="n">
        <v>1036</v>
      </c>
      <c r="G467" s="0" t="n">
        <v>34.45</v>
      </c>
      <c r="H467" s="0" t="n">
        <v>113.9</v>
      </c>
      <c r="I467" s="0" t="n">
        <v>25.63</v>
      </c>
      <c r="J467" s="0" t="n">
        <v>84.73</v>
      </c>
      <c r="K467" s="0" t="n">
        <v>421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113B</t>
        </is>
      </c>
      <c r="X467" s="0" t="n">
        <v>28</v>
      </c>
      <c r="Y467" s="0" t="n">
        <v>22</v>
      </c>
      <c r="Z467" s="0" t="inlineStr">
        <is>
          <t>https://new.land.naver.com/complexes/109465?tab=detail&amp;rf=Y</t>
        </is>
      </c>
      <c r="AA467" s="0" t="inlineStr">
        <is>
          <t>경상남도 창원시 성산구 용호동 70</t>
        </is>
      </c>
      <c r="AB467" s="0" t="inlineStr">
        <is>
          <t>경상남도</t>
        </is>
      </c>
      <c r="AC467" s="0" t="inlineStr">
        <is>
          <t>창원시</t>
        </is>
      </c>
      <c r="AD467" s="0" t="inlineStr">
        <is>
          <t>성산구</t>
        </is>
      </c>
      <c r="AE467" s="0" t="inlineStr">
        <is>
          <t>용호동</t>
        </is>
      </c>
      <c r="AG467" s="0" t="inlineStr">
        <is>
          <t>경상남도 창원시 성산구 원이대로579번길 13</t>
        </is>
      </c>
      <c r="AH467" s="0" t="n">
        <v>89</v>
      </c>
      <c r="AI467" s="0" t="n">
        <v>209</v>
      </c>
      <c r="AJ467" s="0" t="n">
        <v>12</v>
      </c>
      <c r="AK467" s="0" t="n">
        <v>1666</v>
      </c>
      <c r="AL467" s="0" t="n">
        <v>1.61</v>
      </c>
    </row>
    <row r="468">
      <c r="A468" s="0" t="inlineStr">
        <is>
          <t>[용호동]</t>
        </is>
      </c>
      <c r="B468" s="0" t="n">
        <v>109465</v>
      </c>
      <c r="C468" s="0" t="n">
        <v>3</v>
      </c>
      <c r="D468" s="0" t="inlineStr">
        <is>
          <t>용지아이파크</t>
        </is>
      </c>
      <c r="E468" s="0" t="inlineStr">
        <is>
          <t>2017.06.</t>
        </is>
      </c>
      <c r="F468" s="0" t="n">
        <v>1036</v>
      </c>
      <c r="G468" s="0" t="n">
        <v>34.36</v>
      </c>
      <c r="H468" s="0" t="n">
        <v>113.61</v>
      </c>
      <c r="I468" s="0" t="n">
        <v>25.62</v>
      </c>
      <c r="J468" s="0" t="n">
        <v>84.72</v>
      </c>
      <c r="K468" s="0" t="n">
        <v>221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113A</t>
        </is>
      </c>
      <c r="X468" s="0" t="n">
        <v>28</v>
      </c>
      <c r="Y468" s="0" t="n">
        <v>22</v>
      </c>
      <c r="Z468" s="0" t="inlineStr">
        <is>
          <t>https://new.land.naver.com/complexes/109465?tab=detail&amp;rf=Y</t>
        </is>
      </c>
      <c r="AA468" s="0" t="inlineStr">
        <is>
          <t>경상남도 창원시 성산구 용호동 70</t>
        </is>
      </c>
      <c r="AB468" s="0" t="inlineStr">
        <is>
          <t>경상남도</t>
        </is>
      </c>
      <c r="AC468" s="0" t="inlineStr">
        <is>
          <t>창원시</t>
        </is>
      </c>
      <c r="AD468" s="0" t="inlineStr">
        <is>
          <t>성산구</t>
        </is>
      </c>
      <c r="AE468" s="0" t="inlineStr">
        <is>
          <t>용호동</t>
        </is>
      </c>
      <c r="AG468" s="0" t="inlineStr">
        <is>
          <t>경상남도 창원시 성산구 원이대로579번길 13</t>
        </is>
      </c>
      <c r="AH468" s="0" t="n">
        <v>89</v>
      </c>
      <c r="AI468" s="0" t="n">
        <v>209</v>
      </c>
      <c r="AJ468" s="0" t="n">
        <v>12</v>
      </c>
      <c r="AK468" s="0" t="n">
        <v>1666</v>
      </c>
      <c r="AL468" s="0" t="n">
        <v>1.61</v>
      </c>
    </row>
    <row r="469">
      <c r="A469" s="0" t="inlineStr">
        <is>
          <t>[용호동]</t>
        </is>
      </c>
      <c r="B469" s="0" t="n">
        <v>109465</v>
      </c>
      <c r="C469" s="0" t="n">
        <v>4</v>
      </c>
      <c r="D469" s="0" t="inlineStr">
        <is>
          <t>용지아이파크</t>
        </is>
      </c>
      <c r="E469" s="0" t="inlineStr">
        <is>
          <t>2017.06.</t>
        </is>
      </c>
      <c r="F469" s="0" t="n">
        <v>1036</v>
      </c>
      <c r="G469" s="0" t="n">
        <v>39.33</v>
      </c>
      <c r="H469" s="0" t="n">
        <v>130.04</v>
      </c>
      <c r="I469" s="0" t="n">
        <v>30.3</v>
      </c>
      <c r="J469" s="0" t="n">
        <v>100.19</v>
      </c>
      <c r="K469" s="0" t="n">
        <v>140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130</v>
      </c>
      <c r="X469" s="0" t="n">
        <v>28</v>
      </c>
      <c r="Y469" s="0" t="n">
        <v>22</v>
      </c>
      <c r="Z469" s="0" t="inlineStr">
        <is>
          <t>https://new.land.naver.com/complexes/109465?tab=detail&amp;rf=Y</t>
        </is>
      </c>
      <c r="AA469" s="0" t="inlineStr">
        <is>
          <t>경상남도 창원시 성산구 용호동 70</t>
        </is>
      </c>
      <c r="AB469" s="0" t="inlineStr">
        <is>
          <t>경상남도</t>
        </is>
      </c>
      <c r="AC469" s="0" t="inlineStr">
        <is>
          <t>창원시</t>
        </is>
      </c>
      <c r="AD469" s="0" t="inlineStr">
        <is>
          <t>성산구</t>
        </is>
      </c>
      <c r="AE469" s="0" t="inlineStr">
        <is>
          <t>용호동</t>
        </is>
      </c>
      <c r="AG469" s="0" t="inlineStr">
        <is>
          <t>경상남도 창원시 성산구 원이대로579번길 13</t>
        </is>
      </c>
      <c r="AH469" s="0" t="n">
        <v>89</v>
      </c>
      <c r="AI469" s="0" t="n">
        <v>209</v>
      </c>
      <c r="AJ469" s="0" t="n">
        <v>12</v>
      </c>
      <c r="AK469" s="0" t="n">
        <v>1666</v>
      </c>
      <c r="AL469" s="0" t="n">
        <v>1.61</v>
      </c>
    </row>
    <row r="470">
      <c r="A470" s="0" t="inlineStr">
        <is>
          <t>[용호동]</t>
        </is>
      </c>
      <c r="B470" s="0" t="n">
        <v>109465</v>
      </c>
      <c r="C470" s="0" t="n">
        <v>5</v>
      </c>
      <c r="D470" s="0" t="inlineStr">
        <is>
          <t>용지아이파크</t>
        </is>
      </c>
      <c r="E470" s="0" t="inlineStr">
        <is>
          <t>2017.06.</t>
        </is>
      </c>
      <c r="F470" s="0" t="n">
        <v>1036</v>
      </c>
      <c r="G470" s="0" t="n">
        <v>43.76</v>
      </c>
      <c r="H470" s="0" t="n">
        <v>144.67</v>
      </c>
      <c r="I470" s="0" t="n">
        <v>34.72</v>
      </c>
      <c r="J470" s="0" t="n">
        <v>114.8</v>
      </c>
      <c r="K470" s="0" t="n">
        <v>98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144</v>
      </c>
      <c r="X470" s="0" t="n">
        <v>28</v>
      </c>
      <c r="Y470" s="0" t="n">
        <v>22</v>
      </c>
      <c r="Z470" s="0" t="inlineStr">
        <is>
          <t>https://new.land.naver.com/complexes/109465?tab=detail&amp;rf=Y</t>
        </is>
      </c>
      <c r="AA470" s="0" t="inlineStr">
        <is>
          <t>경상남도 창원시 성산구 용호동 70</t>
        </is>
      </c>
      <c r="AB470" s="0" t="inlineStr">
        <is>
          <t>경상남도</t>
        </is>
      </c>
      <c r="AC470" s="0" t="inlineStr">
        <is>
          <t>창원시</t>
        </is>
      </c>
      <c r="AD470" s="0" t="inlineStr">
        <is>
          <t>성산구</t>
        </is>
      </c>
      <c r="AE470" s="0" t="inlineStr">
        <is>
          <t>용호동</t>
        </is>
      </c>
      <c r="AG470" s="0" t="inlineStr">
        <is>
          <t>경상남도 창원시 성산구 원이대로579번길 13</t>
        </is>
      </c>
      <c r="AH470" s="0" t="n">
        <v>89</v>
      </c>
      <c r="AI470" s="0" t="n">
        <v>209</v>
      </c>
      <c r="AJ470" s="0" t="n">
        <v>12</v>
      </c>
      <c r="AK470" s="0" t="n">
        <v>1666</v>
      </c>
      <c r="AL470" s="0" t="n">
        <v>1.61</v>
      </c>
    </row>
    <row r="471">
      <c r="A471" s="0" t="inlineStr">
        <is>
          <t>[용호동]</t>
        </is>
      </c>
      <c r="B471" s="0" t="n">
        <v>109465</v>
      </c>
      <c r="C471" s="0" t="n">
        <v>6</v>
      </c>
      <c r="D471" s="0" t="inlineStr">
        <is>
          <t>용지아이파크</t>
        </is>
      </c>
      <c r="E471" s="0" t="inlineStr">
        <is>
          <t>2017.06.</t>
        </is>
      </c>
      <c r="F471" s="0" t="n">
        <v>1036</v>
      </c>
      <c r="G471" s="0" t="n">
        <v>47.77</v>
      </c>
      <c r="H471" s="0" t="n">
        <v>157.94</v>
      </c>
      <c r="I471" s="0" t="n">
        <v>38.52</v>
      </c>
      <c r="J471" s="0" t="n">
        <v>127.36</v>
      </c>
      <c r="K471" s="0" t="n">
        <v>56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157</v>
      </c>
      <c r="X471" s="0" t="n">
        <v>28</v>
      </c>
      <c r="Y471" s="0" t="n">
        <v>22</v>
      </c>
      <c r="Z471" s="0" t="inlineStr">
        <is>
          <t>https://new.land.naver.com/complexes/109465?tab=detail&amp;rf=Y</t>
        </is>
      </c>
      <c r="AA471" s="0" t="inlineStr">
        <is>
          <t>경상남도 창원시 성산구 용호동 70</t>
        </is>
      </c>
      <c r="AB471" s="0" t="inlineStr">
        <is>
          <t>경상남도</t>
        </is>
      </c>
      <c r="AC471" s="0" t="inlineStr">
        <is>
          <t>창원시</t>
        </is>
      </c>
      <c r="AD471" s="0" t="inlineStr">
        <is>
          <t>성산구</t>
        </is>
      </c>
      <c r="AE471" s="0" t="inlineStr">
        <is>
          <t>용호동</t>
        </is>
      </c>
      <c r="AG471" s="0" t="inlineStr">
        <is>
          <t>경상남도 창원시 성산구 원이대로579번길 13</t>
        </is>
      </c>
      <c r="AH471" s="0" t="n">
        <v>89</v>
      </c>
      <c r="AI471" s="0" t="n">
        <v>209</v>
      </c>
      <c r="AJ471" s="0" t="n">
        <v>12</v>
      </c>
      <c r="AK471" s="0" t="n">
        <v>1666</v>
      </c>
      <c r="AL471" s="0" t="n">
        <v>1.61</v>
      </c>
    </row>
    <row r="472">
      <c r="A472" s="0" t="inlineStr">
        <is>
          <t>[천선동]</t>
        </is>
      </c>
      <c r="B472" s="0" t="n">
        <v>16841</v>
      </c>
      <c r="C472" s="0" t="n">
        <v>1</v>
      </c>
      <c r="D472" s="0" t="inlineStr">
        <is>
          <t>서광파크빌</t>
        </is>
      </c>
      <c r="E472" s="0" t="inlineStr">
        <is>
          <t>2002.11.</t>
        </is>
      </c>
      <c r="F472" s="0" t="n">
        <v>180</v>
      </c>
      <c r="G472" s="0" t="n">
        <v>32.25</v>
      </c>
      <c r="H472" s="0" t="n">
        <v>106.62</v>
      </c>
      <c r="I472" s="0" t="n">
        <v>25.66</v>
      </c>
      <c r="J472" s="0" t="n">
        <v>84.84</v>
      </c>
      <c r="K472" s="0" t="n">
        <v>180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106</v>
      </c>
      <c r="X472" s="0" t="n">
        <v>15</v>
      </c>
      <c r="Y472" s="0" t="n">
        <v>15</v>
      </c>
      <c r="Z472" s="0" t="inlineStr">
        <is>
          <t>https://new.land.naver.com/complexes/16841?tab=detail&amp;rf=Y</t>
        </is>
      </c>
      <c r="AA472" s="0" t="inlineStr">
        <is>
          <t>경상남도 창원시 성산구 천선동 1142</t>
        </is>
      </c>
      <c r="AB472" s="0" t="inlineStr">
        <is>
          <t>경상남도</t>
        </is>
      </c>
      <c r="AC472" s="0" t="inlineStr">
        <is>
          <t>창원시</t>
        </is>
      </c>
      <c r="AD472" s="0" t="inlineStr">
        <is>
          <t>성산구</t>
        </is>
      </c>
      <c r="AE472" s="0" t="inlineStr">
        <is>
          <t>천선동</t>
        </is>
      </c>
      <c r="AG472" s="0" t="inlineStr">
        <is>
          <t>경상남도 창원시 성산구 안민안길 50</t>
        </is>
      </c>
      <c r="AH472" s="0" t="n">
        <v>0</v>
      </c>
      <c r="AI472" s="0" t="n">
        <v>219</v>
      </c>
      <c r="AJ472" s="0" t="n">
        <v>18</v>
      </c>
      <c r="AK472" s="0" t="n">
        <v>182</v>
      </c>
      <c r="AL472" s="0" t="n">
        <v>1.01</v>
      </c>
    </row>
    <row r="473">
      <c r="A473" s="0" t="inlineStr">
        <is>
          <t>[천선동]</t>
        </is>
      </c>
      <c r="B473" s="0" t="n">
        <v>19742</v>
      </c>
      <c r="C473" s="0" t="n">
        <v>1</v>
      </c>
      <c r="D473" s="0" t="inlineStr">
        <is>
          <t>조광하우젠</t>
        </is>
      </c>
      <c r="E473" s="0" t="inlineStr">
        <is>
          <t>2005.04.</t>
        </is>
      </c>
      <c r="F473" s="0" t="n">
        <v>60</v>
      </c>
      <c r="G473" s="0" t="n">
        <v>33.7</v>
      </c>
      <c r="H473" s="0" t="n">
        <v>111.42</v>
      </c>
      <c r="I473" s="0" t="n">
        <v>25.7</v>
      </c>
      <c r="J473" s="0" t="n">
        <v>84.95999999999999</v>
      </c>
      <c r="K473" s="0" t="n">
        <v>60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15</v>
      </c>
      <c r="Y473" s="0" t="n">
        <v>15</v>
      </c>
      <c r="Z473" s="0" t="inlineStr">
        <is>
          <t>https://new.land.naver.com/complexes/19742?tab=detail&amp;rf=Y</t>
        </is>
      </c>
      <c r="AA473" s="0" t="inlineStr">
        <is>
          <t>경상남도 창원시 성산구 천선동 1157</t>
        </is>
      </c>
      <c r="AB473" s="0" t="inlineStr">
        <is>
          <t>경상남도</t>
        </is>
      </c>
      <c r="AC473" s="0" t="inlineStr">
        <is>
          <t>창원시</t>
        </is>
      </c>
      <c r="AD473" s="0" t="inlineStr">
        <is>
          <t>성산구</t>
        </is>
      </c>
      <c r="AE473" s="0" t="inlineStr">
        <is>
          <t>천선동</t>
        </is>
      </c>
      <c r="AG473" s="0" t="inlineStr">
        <is>
          <t>경상남도 창원시 성산구 안민로159번길 10</t>
        </is>
      </c>
      <c r="AH473" s="0" t="n">
        <v>0</v>
      </c>
      <c r="AI473" s="0" t="n">
        <v>0</v>
      </c>
      <c r="AJ473" s="0" t="n">
        <v>0</v>
      </c>
      <c r="AK473" s="0" t="n">
        <v>63</v>
      </c>
      <c r="AL473" s="0" t="n">
        <v>1.05</v>
      </c>
    </row>
    <row r="474">
      <c r="A474" s="0" t="inlineStr">
        <is>
          <t>[천선동]</t>
        </is>
      </c>
      <c r="B474" s="0" t="n">
        <v>7835</v>
      </c>
      <c r="C474" s="0" t="n">
        <v>1</v>
      </c>
      <c r="D474" s="0" t="inlineStr">
        <is>
          <t>삼성황토방그린빌</t>
        </is>
      </c>
      <c r="E474" s="0" t="inlineStr">
        <is>
          <t>2000.12.</t>
        </is>
      </c>
      <c r="F474" s="0" t="n">
        <v>88</v>
      </c>
      <c r="G474" s="0" t="n">
        <v>32.93</v>
      </c>
      <c r="H474" s="0" t="n">
        <v>108.86</v>
      </c>
      <c r="I474" s="0" t="n">
        <v>25.39</v>
      </c>
      <c r="J474" s="0" t="n">
        <v>83.94</v>
      </c>
      <c r="K474" s="0" t="n">
        <v>73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108A</t>
        </is>
      </c>
      <c r="X474" s="0" t="n">
        <v>15</v>
      </c>
      <c r="Y474" s="0" t="n">
        <v>14</v>
      </c>
      <c r="Z474" s="0" t="inlineStr">
        <is>
          <t>https://new.land.naver.com/complexes/7835?tab=detail&amp;rf=Y</t>
        </is>
      </c>
      <c r="AA474" s="0" t="inlineStr">
        <is>
          <t>경상남도 창원시 성산구 천선동 1155-13</t>
        </is>
      </c>
      <c r="AB474" s="0" t="inlineStr">
        <is>
          <t>경상남도</t>
        </is>
      </c>
      <c r="AC474" s="0" t="inlineStr">
        <is>
          <t>창원시</t>
        </is>
      </c>
      <c r="AD474" s="0" t="inlineStr">
        <is>
          <t>성산구</t>
        </is>
      </c>
      <c r="AE474" s="0" t="inlineStr">
        <is>
          <t>천선동</t>
        </is>
      </c>
      <c r="AG474" s="0" t="inlineStr">
        <is>
          <t>경상남도 창원시 성산구 안민로 177</t>
        </is>
      </c>
      <c r="AH474" s="0" t="n">
        <v>0</v>
      </c>
      <c r="AI474" s="0" t="n">
        <v>299</v>
      </c>
      <c r="AJ474" s="0" t="n">
        <v>22</v>
      </c>
      <c r="AK474" s="0" t="n">
        <v>88</v>
      </c>
      <c r="AL474" s="0" t="n">
        <v>1</v>
      </c>
    </row>
    <row r="475">
      <c r="A475" s="0" t="inlineStr">
        <is>
          <t>[천선동]</t>
        </is>
      </c>
      <c r="B475" s="0" t="n">
        <v>7835</v>
      </c>
      <c r="C475" s="0" t="n">
        <v>2</v>
      </c>
      <c r="D475" s="0" t="inlineStr">
        <is>
          <t>삼성황토방그린빌</t>
        </is>
      </c>
      <c r="E475" s="0" t="inlineStr">
        <is>
          <t>2000.12.</t>
        </is>
      </c>
      <c r="F475" s="0" t="n">
        <v>88</v>
      </c>
      <c r="G475" s="0" t="n">
        <v>33.08</v>
      </c>
      <c r="H475" s="0" t="n">
        <v>109.36</v>
      </c>
      <c r="I475" s="0" t="n">
        <v>25.55</v>
      </c>
      <c r="J475" s="0" t="n">
        <v>84.48999999999999</v>
      </c>
      <c r="K475" s="0" t="n">
        <v>15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109B</t>
        </is>
      </c>
      <c r="X475" s="0" t="n">
        <v>15</v>
      </c>
      <c r="Y475" s="0" t="n">
        <v>14</v>
      </c>
      <c r="Z475" s="0" t="inlineStr">
        <is>
          <t>https://new.land.naver.com/complexes/7835?tab=detail&amp;rf=Y</t>
        </is>
      </c>
      <c r="AA475" s="0" t="inlineStr">
        <is>
          <t>경상남도 창원시 성산구 천선동 1155-13</t>
        </is>
      </c>
      <c r="AB475" s="0" t="inlineStr">
        <is>
          <t>경상남도</t>
        </is>
      </c>
      <c r="AC475" s="0" t="inlineStr">
        <is>
          <t>창원시</t>
        </is>
      </c>
      <c r="AD475" s="0" t="inlineStr">
        <is>
          <t>성산구</t>
        </is>
      </c>
      <c r="AE475" s="0" t="inlineStr">
        <is>
          <t>천선동</t>
        </is>
      </c>
      <c r="AG475" s="0" t="inlineStr">
        <is>
          <t>경상남도 창원시 성산구 안민로 177</t>
        </is>
      </c>
      <c r="AH475" s="0" t="n">
        <v>0</v>
      </c>
      <c r="AI475" s="0" t="n">
        <v>299</v>
      </c>
      <c r="AJ475" s="0" t="n">
        <v>22</v>
      </c>
      <c r="AK475" s="0" t="n">
        <v>88</v>
      </c>
      <c r="AL475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창원가음정한림풀에버</t>
        </is>
      </c>
      <c r="B6" s="10" t="inlineStr">
        <is>
          <t>'14.07.</t>
        </is>
      </c>
      <c r="C6" s="132" t="n">
        <v>266</v>
      </c>
      <c r="D6" s="130" t="n">
        <v>90.09999999999999</v>
      </c>
      <c r="E6" s="131" t="n">
        <v>27</v>
      </c>
      <c r="F6" s="130" t="n">
        <v>64.8</v>
      </c>
      <c r="G6" s="17" t="n">
        <v>20</v>
      </c>
      <c r="H6" s="132" t="n">
        <v>39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90A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창원가음정한림풀에버</t>
        </is>
      </c>
      <c r="B7" s="10" t="inlineStr">
        <is>
          <t>'14.07.</t>
        </is>
      </c>
      <c r="C7" s="132" t="n">
        <v>266</v>
      </c>
      <c r="D7" s="130" t="n">
        <v>90.5</v>
      </c>
      <c r="E7" s="131" t="n">
        <v>27</v>
      </c>
      <c r="F7" s="130" t="n">
        <v>64.8</v>
      </c>
      <c r="G7" s="17" t="n">
        <v>20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90B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창원가음정한림풀에버</t>
        </is>
      </c>
      <c r="B8" s="10" t="inlineStr">
        <is>
          <t>'14.07.</t>
        </is>
      </c>
      <c r="C8" s="132" t="n">
        <v>266</v>
      </c>
      <c r="D8" s="130" t="n">
        <v>112.4</v>
      </c>
      <c r="E8" s="131" t="n">
        <v>34</v>
      </c>
      <c r="F8" s="130" t="n">
        <v>85</v>
      </c>
      <c r="G8" s="17" t="n">
        <v>26</v>
      </c>
      <c r="H8" s="132" t="n">
        <v>94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창원가음정한림풀에버</t>
        </is>
      </c>
      <c r="B9" s="10" t="inlineStr">
        <is>
          <t>'14.07.</t>
        </is>
      </c>
      <c r="C9" s="132" t="n">
        <v>266</v>
      </c>
      <c r="D9" s="130" t="n">
        <v>112.8</v>
      </c>
      <c r="E9" s="131" t="n">
        <v>34</v>
      </c>
      <c r="F9" s="130" t="n">
        <v>84.90000000000001</v>
      </c>
      <c r="G9" s="17" t="n">
        <v>26</v>
      </c>
      <c r="H9" s="132" t="n">
        <v>94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럭키</t>
        </is>
      </c>
      <c r="B11" s="10" t="inlineStr">
        <is>
          <t>'80.02.</t>
        </is>
      </c>
      <c r="C11" s="132" t="n">
        <v>330</v>
      </c>
      <c r="D11" s="130" t="n">
        <v>56.2</v>
      </c>
      <c r="E11" s="131" t="n">
        <v>17</v>
      </c>
      <c r="F11" s="130" t="n">
        <v>43.4</v>
      </c>
      <c r="G11" s="17" t="n">
        <v>13</v>
      </c>
      <c r="H11" s="132" t="n">
        <v>100</v>
      </c>
      <c r="I11" s="133" t="n">
        <v>39000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럭키</t>
        </is>
      </c>
      <c r="B12" s="10" t="inlineStr">
        <is>
          <t>'80.02.</t>
        </is>
      </c>
      <c r="C12" s="132" t="n">
        <v>330</v>
      </c>
      <c r="D12" s="130" t="n">
        <v>61.4</v>
      </c>
      <c r="E12" s="131" t="n">
        <v>19</v>
      </c>
      <c r="F12" s="130" t="n">
        <v>43.4</v>
      </c>
      <c r="G12" s="17" t="n">
        <v>13</v>
      </c>
      <c r="H12" s="132" t="n">
        <v>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n">
        <v>61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럭키</t>
        </is>
      </c>
      <c r="B13" s="10" t="inlineStr">
        <is>
          <t>'80.02.</t>
        </is>
      </c>
      <c r="C13" s="132" t="n">
        <v>330</v>
      </c>
      <c r="D13" s="130" t="n">
        <v>64.8</v>
      </c>
      <c r="E13" s="131" t="n">
        <v>20</v>
      </c>
      <c r="F13" s="130" t="n">
        <v>49.4</v>
      </c>
      <c r="G13" s="17" t="n">
        <v>15</v>
      </c>
      <c r="H13" s="132" t="n">
        <v>190</v>
      </c>
      <c r="I13" s="133" t="n">
        <v>36000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창원센텀푸르지오</t>
        </is>
      </c>
      <c r="B15" s="10" t="inlineStr">
        <is>
          <t>'18.01.</t>
        </is>
      </c>
      <c r="C15" s="132" t="n">
        <v>975</v>
      </c>
      <c r="D15" s="130" t="n">
        <v>84.40000000000001</v>
      </c>
      <c r="E15" s="131" t="n">
        <v>26</v>
      </c>
      <c r="F15" s="130" t="n">
        <v>60</v>
      </c>
      <c r="G15" s="17" t="n">
        <v>18</v>
      </c>
      <c r="H15" s="132" t="n">
        <v>224</v>
      </c>
      <c r="I15" s="133" t="n">
        <v>58000</v>
      </c>
      <c r="J15" s="133" t="inlineStr">
        <is>
          <t>고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창원센텀푸르지오</t>
        </is>
      </c>
      <c r="B16" s="10" t="inlineStr">
        <is>
          <t>'18.01.</t>
        </is>
      </c>
      <c r="C16" s="132" t="n">
        <v>975</v>
      </c>
      <c r="D16" s="130" t="n">
        <v>99</v>
      </c>
      <c r="E16" s="131" t="n">
        <v>30</v>
      </c>
      <c r="F16" s="130" t="n">
        <v>73.7</v>
      </c>
      <c r="G16" s="17" t="n">
        <v>22</v>
      </c>
      <c r="H16" s="132" t="n">
        <v>216</v>
      </c>
      <c r="I16" s="133" t="n">
        <v>64500</v>
      </c>
      <c r="J16" s="133" t="inlineStr">
        <is>
          <t>9</t>
        </is>
      </c>
      <c r="K16" s="133" t="n">
        <v>48000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창원센텀푸르지오</t>
        </is>
      </c>
      <c r="B17" s="10" t="inlineStr">
        <is>
          <t>'18.01.</t>
        </is>
      </c>
      <c r="C17" s="132" t="n">
        <v>975</v>
      </c>
      <c r="D17" s="130" t="n">
        <v>111.7</v>
      </c>
      <c r="E17" s="131" t="n">
        <v>34</v>
      </c>
      <c r="F17" s="130" t="n">
        <v>84.90000000000001</v>
      </c>
      <c r="G17" s="17" t="n">
        <v>26</v>
      </c>
      <c r="H17" s="132" t="n">
        <v>208</v>
      </c>
      <c r="I17" s="133" t="n">
        <v>74000</v>
      </c>
      <c r="J17" s="133" t="inlineStr">
        <is>
          <t>8</t>
        </is>
      </c>
      <c r="K17" s="133" t="n">
        <v>52000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창원센텀푸르지오</t>
        </is>
      </c>
      <c r="B18" s="10" t="inlineStr">
        <is>
          <t>'18.01.</t>
        </is>
      </c>
      <c r="C18" s="132" t="n">
        <v>975</v>
      </c>
      <c r="D18" s="130" t="n">
        <v>111.2</v>
      </c>
      <c r="E18" s="131" t="n">
        <v>34</v>
      </c>
      <c r="F18" s="130" t="n">
        <v>85</v>
      </c>
      <c r="G18" s="17" t="n">
        <v>26</v>
      </c>
      <c r="H18" s="132" t="n">
        <v>191</v>
      </c>
      <c r="I18" s="133" t="n">
        <v>72000</v>
      </c>
      <c r="J18" s="133" t="inlineStr">
        <is>
          <t>중</t>
        </is>
      </c>
      <c r="K18" s="133" t="n">
        <v>52000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111B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창원센텀푸르지오</t>
        </is>
      </c>
      <c r="B19" s="10" t="inlineStr">
        <is>
          <t>'18.01.</t>
        </is>
      </c>
      <c r="C19" s="132" t="n">
        <v>975</v>
      </c>
      <c r="D19" s="130" t="n">
        <v>111.4</v>
      </c>
      <c r="E19" s="131" t="n">
        <v>34</v>
      </c>
      <c r="F19" s="130" t="n">
        <v>85</v>
      </c>
      <c r="G19" s="17" t="n">
        <v>26</v>
      </c>
      <c r="H19" s="132" t="n">
        <v>92</v>
      </c>
      <c r="I19" s="133" t="n">
        <v>74000</v>
      </c>
      <c r="J19" s="133" t="inlineStr">
        <is>
          <t>17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창원센텀푸르지오</t>
        </is>
      </c>
      <c r="B20" s="10" t="inlineStr">
        <is>
          <t>'18.01.</t>
        </is>
      </c>
      <c r="C20" s="132" t="n">
        <v>975</v>
      </c>
      <c r="D20" s="130" t="n">
        <v>131.5</v>
      </c>
      <c r="E20" s="131" t="n">
        <v>40</v>
      </c>
      <c r="F20" s="130" t="n">
        <v>101.9</v>
      </c>
      <c r="G20" s="17" t="n">
        <v>31</v>
      </c>
      <c r="H20" s="132" t="n">
        <v>44</v>
      </c>
      <c r="I20" s="133" t="n">
        <v>95000</v>
      </c>
      <c r="J20" s="133" t="inlineStr">
        <is>
          <t>고</t>
        </is>
      </c>
      <c r="K20" s="133" t="n">
        <v>62000</v>
      </c>
      <c r="L20" s="133" t="inlineStr">
        <is>
          <t>16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131C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창원더샵센트럴파크2단지</t>
        </is>
      </c>
      <c r="B22" s="10" t="inlineStr">
        <is>
          <t>'17.04.</t>
        </is>
      </c>
      <c r="C22" s="132" t="n">
        <v>624</v>
      </c>
      <c r="D22" s="130" t="n">
        <v>79</v>
      </c>
      <c r="E22" s="131" t="n">
        <v>24</v>
      </c>
      <c r="F22" s="130" t="n">
        <v>59.8</v>
      </c>
      <c r="G22" s="17" t="n">
        <v>18</v>
      </c>
      <c r="H22" s="132" t="n">
        <v>50</v>
      </c>
      <c r="I22" s="133" t="n">
        <v>55000</v>
      </c>
      <c r="J22" s="133" t="inlineStr">
        <is>
          <t>20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78A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창원더샵센트럴파크2단지</t>
        </is>
      </c>
      <c r="B23" s="10" t="inlineStr">
        <is>
          <t>'17.04.</t>
        </is>
      </c>
      <c r="C23" s="132" t="n">
        <v>624</v>
      </c>
      <c r="D23" s="130" t="n">
        <v>80.59999999999999</v>
      </c>
      <c r="E23" s="131" t="n">
        <v>24</v>
      </c>
      <c r="F23" s="130" t="n">
        <v>59.8</v>
      </c>
      <c r="G23" s="17" t="n">
        <v>18</v>
      </c>
      <c r="H23" s="132" t="n">
        <v>50</v>
      </c>
      <c r="I23" s="133" t="n">
        <v>56000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창원더샵센트럴파크2단지</t>
        </is>
      </c>
      <c r="B24" s="10" t="inlineStr">
        <is>
          <t>'17.04.</t>
        </is>
      </c>
      <c r="C24" s="132" t="n">
        <v>624</v>
      </c>
      <c r="D24" s="130" t="n">
        <v>110.9</v>
      </c>
      <c r="E24" s="131" t="n">
        <v>34</v>
      </c>
      <c r="F24" s="130" t="n">
        <v>84.90000000000001</v>
      </c>
      <c r="G24" s="17" t="n">
        <v>26</v>
      </c>
      <c r="H24" s="132" t="n">
        <v>224</v>
      </c>
      <c r="I24" s="133" t="n">
        <v>70000</v>
      </c>
      <c r="J24" s="133" t="inlineStr">
        <is>
          <t>20</t>
        </is>
      </c>
      <c r="K24" s="133" t="n">
        <v>49000</v>
      </c>
      <c r="L24" s="133" t="inlineStr">
        <is>
          <t>24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창원더샵센트럴파크2단지</t>
        </is>
      </c>
      <c r="B25" s="10" t="inlineStr">
        <is>
          <t>'17.04.</t>
        </is>
      </c>
      <c r="C25" s="132" t="n">
        <v>624</v>
      </c>
      <c r="D25" s="130" t="n">
        <v>110.7</v>
      </c>
      <c r="E25" s="131" t="n">
        <v>33</v>
      </c>
      <c r="F25" s="130" t="n">
        <v>84.8</v>
      </c>
      <c r="G25" s="17" t="n">
        <v>26</v>
      </c>
      <c r="H25" s="132" t="n">
        <v>150</v>
      </c>
      <c r="I25" s="133" t="n">
        <v>65000</v>
      </c>
      <c r="J25" s="133" t="inlineStr">
        <is>
          <t>14</t>
        </is>
      </c>
      <c r="K25" s="133" t="n">
        <v>50000</v>
      </c>
      <c r="L25" s="133" t="inlineStr">
        <is>
          <t>17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창원더샵센트럴파크2단지</t>
        </is>
      </c>
      <c r="B26" s="10" t="inlineStr">
        <is>
          <t>'17.04.</t>
        </is>
      </c>
      <c r="C26" s="132" t="n">
        <v>624</v>
      </c>
      <c r="D26" s="130" t="n">
        <v>111</v>
      </c>
      <c r="E26" s="131" t="n">
        <v>34</v>
      </c>
      <c r="F26" s="130" t="n">
        <v>84.8</v>
      </c>
      <c r="G26" s="17" t="n">
        <v>26</v>
      </c>
      <c r="H26" s="132" t="n">
        <v>50</v>
      </c>
      <c r="I26" s="133" t="n">
        <v>70000</v>
      </c>
      <c r="J26" s="133" t="inlineStr">
        <is>
          <t>17</t>
        </is>
      </c>
      <c r="K26" s="133" t="n">
        <v>53000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110C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창원더샵센트럴파크2단지</t>
        </is>
      </c>
      <c r="B27" s="10" t="inlineStr">
        <is>
          <t>'17.04.</t>
        </is>
      </c>
      <c r="C27" s="132" t="n">
        <v>624</v>
      </c>
      <c r="D27" s="130" t="n">
        <v>129.6</v>
      </c>
      <c r="E27" s="131" t="n">
        <v>39</v>
      </c>
      <c r="F27" s="130" t="n">
        <v>98.8</v>
      </c>
      <c r="G27" s="17" t="n">
        <v>30</v>
      </c>
      <c r="H27" s="132" t="n">
        <v>100</v>
      </c>
      <c r="I27" s="133" t="n">
        <v>78000</v>
      </c>
      <c r="J27" s="133" t="inlineStr">
        <is>
          <t>고</t>
        </is>
      </c>
      <c r="K27" s="133" t="n">
        <v>60000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129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창원더샵센트럴파크1단지</t>
        </is>
      </c>
      <c r="B29" s="10" t="inlineStr">
        <is>
          <t>'17.04.</t>
        </is>
      </c>
      <c r="C29" s="132" t="n">
        <v>386</v>
      </c>
      <c r="D29" s="130" t="n">
        <v>107.5</v>
      </c>
      <c r="E29" s="131" t="n">
        <v>33</v>
      </c>
      <c r="F29" s="130" t="n">
        <v>84.8</v>
      </c>
      <c r="G29" s="17" t="n">
        <v>26</v>
      </c>
      <c r="H29" s="132" t="n">
        <v>146</v>
      </c>
      <c r="I29" s="133" t="n">
        <v>65000</v>
      </c>
      <c r="J29" s="133" t="inlineStr">
        <is>
          <t>고</t>
        </is>
      </c>
      <c r="K29" s="133" t="n">
        <v>50000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107B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창원더샵센트럴파크1단지</t>
        </is>
      </c>
      <c r="B30" s="10" t="inlineStr">
        <is>
          <t>'17.04.</t>
        </is>
      </c>
      <c r="C30" s="132" t="n">
        <v>386</v>
      </c>
      <c r="D30" s="130" t="n">
        <v>107.8</v>
      </c>
      <c r="E30" s="131" t="n">
        <v>33</v>
      </c>
      <c r="F30" s="130" t="n">
        <v>84.8</v>
      </c>
      <c r="G30" s="17" t="n">
        <v>26</v>
      </c>
      <c r="H30" s="132" t="n">
        <v>50</v>
      </c>
      <c r="I30" s="133" t="n">
        <v>68000</v>
      </c>
      <c r="J30" s="133" t="inlineStr">
        <is>
          <t>10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창원더샵센트럴파크1단지</t>
        </is>
      </c>
      <c r="B31" s="10" t="inlineStr">
        <is>
          <t>'17.04.</t>
        </is>
      </c>
      <c r="C31" s="132" t="n">
        <v>386</v>
      </c>
      <c r="D31" s="130" t="n">
        <v>125.9</v>
      </c>
      <c r="E31" s="131" t="n">
        <v>38</v>
      </c>
      <c r="F31" s="130" t="n">
        <v>98.8</v>
      </c>
      <c r="G31" s="17" t="n">
        <v>30</v>
      </c>
      <c r="H31" s="132" t="n">
        <v>98</v>
      </c>
      <c r="I31" s="133" t="n">
        <v>76000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창원더샵센트럴파크1단지</t>
        </is>
      </c>
      <c r="B32" s="10" t="inlineStr">
        <is>
          <t>'17.04.</t>
        </is>
      </c>
      <c r="C32" s="132" t="n">
        <v>386</v>
      </c>
      <c r="D32" s="130" t="n">
        <v>147.9</v>
      </c>
      <c r="E32" s="131" t="n">
        <v>45</v>
      </c>
      <c r="F32" s="130" t="n">
        <v>117.7</v>
      </c>
      <c r="G32" s="17" t="n">
        <v>36</v>
      </c>
      <c r="H32" s="132" t="n">
        <v>46</v>
      </c>
      <c r="I32" s="133" t="n">
        <v>95000</v>
      </c>
      <c r="J32" s="133" t="inlineStr">
        <is>
          <t>중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inlineStr">
        <is>
          <t>147A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창원더샵센트럴파크1단지</t>
        </is>
      </c>
      <c r="B33" s="10" t="inlineStr">
        <is>
          <t>'17.04.</t>
        </is>
      </c>
      <c r="C33" s="132" t="n">
        <v>386</v>
      </c>
      <c r="D33" s="130" t="n">
        <v>149.2</v>
      </c>
      <c r="E33" s="131" t="n">
        <v>45</v>
      </c>
      <c r="F33" s="130" t="n">
        <v>117.9</v>
      </c>
      <c r="G33" s="17" t="n">
        <v>36</v>
      </c>
      <c r="H33" s="132" t="n">
        <v>46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inlineStr">
        <is>
          <t>149B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창원가음한화꿈에그린</t>
        </is>
      </c>
      <c r="B35" s="10" t="inlineStr">
        <is>
          <t>'17.08.</t>
        </is>
      </c>
      <c r="C35" s="132" t="n">
        <v>749</v>
      </c>
      <c r="D35" s="130" t="n">
        <v>79.90000000000001</v>
      </c>
      <c r="E35" s="131" t="n">
        <v>24</v>
      </c>
      <c r="F35" s="130" t="n">
        <v>60</v>
      </c>
      <c r="G35" s="17" t="n">
        <v>18</v>
      </c>
      <c r="H35" s="132" t="n">
        <v>88</v>
      </c>
      <c r="I35" s="133" t="n">
        <v>55000</v>
      </c>
      <c r="J35" s="133" t="inlineStr">
        <is>
          <t>13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79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창원가음한화꿈에그린</t>
        </is>
      </c>
      <c r="B36" s="10" t="inlineStr">
        <is>
          <t>'17.08.</t>
        </is>
      </c>
      <c r="C36" s="132" t="n">
        <v>749</v>
      </c>
      <c r="D36" s="130" t="n">
        <v>94.8</v>
      </c>
      <c r="E36" s="131" t="n">
        <v>29</v>
      </c>
      <c r="F36" s="130" t="n">
        <v>70.90000000000001</v>
      </c>
      <c r="G36" s="17" t="n">
        <v>21</v>
      </c>
      <c r="H36" s="132" t="n">
        <v>54</v>
      </c>
      <c r="I36" s="133" t="n">
        <v>62000</v>
      </c>
      <c r="J36" s="133" t="inlineStr">
        <is>
          <t>25</t>
        </is>
      </c>
      <c r="K36" s="133" t="n">
        <v>46000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94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창원가음한화꿈에그린</t>
        </is>
      </c>
      <c r="B37" s="10" t="inlineStr">
        <is>
          <t>'17.08.</t>
        </is>
      </c>
      <c r="C37" s="132" t="n">
        <v>749</v>
      </c>
      <c r="D37" s="130" t="n">
        <v>112.4</v>
      </c>
      <c r="E37" s="131" t="n">
        <v>34</v>
      </c>
      <c r="F37" s="130" t="n">
        <v>85</v>
      </c>
      <c r="G37" s="17" t="n">
        <v>26</v>
      </c>
      <c r="H37" s="132" t="n">
        <v>377</v>
      </c>
      <c r="I37" s="133" t="n">
        <v>67000</v>
      </c>
      <c r="J37" s="133" t="inlineStr">
        <is>
          <t>7</t>
        </is>
      </c>
      <c r="K37" s="133" t="n">
        <v>50000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112A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창원가음한화꿈에그린</t>
        </is>
      </c>
      <c r="B38" s="10" t="inlineStr">
        <is>
          <t>'17.08.</t>
        </is>
      </c>
      <c r="C38" s="132" t="n">
        <v>749</v>
      </c>
      <c r="D38" s="130" t="n">
        <v>112</v>
      </c>
      <c r="E38" s="131" t="n">
        <v>34</v>
      </c>
      <c r="F38" s="130" t="n">
        <v>85</v>
      </c>
      <c r="G38" s="17" t="n">
        <v>26</v>
      </c>
      <c r="H38" s="132" t="n">
        <v>110</v>
      </c>
      <c r="I38" s="133" t="n">
        <v>68000</v>
      </c>
      <c r="J38" s="133" t="inlineStr">
        <is>
          <t>고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112B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창원가음한화꿈에그린</t>
        </is>
      </c>
      <c r="B39" s="10" t="inlineStr">
        <is>
          <t>'17.08.</t>
        </is>
      </c>
      <c r="C39" s="132" t="n">
        <v>749</v>
      </c>
      <c r="D39" s="130" t="n">
        <v>112.4</v>
      </c>
      <c r="E39" s="131" t="n">
        <v>34</v>
      </c>
      <c r="F39" s="130" t="n">
        <v>85</v>
      </c>
      <c r="G39" s="17" t="n">
        <v>26</v>
      </c>
      <c r="H39" s="132" t="n">
        <v>8</v>
      </c>
      <c r="I39" s="133" t="n">
        <v>67000</v>
      </c>
      <c r="J39" s="133" t="inlineStr">
        <is>
          <t>7</t>
        </is>
      </c>
      <c r="K39" s="133" t="n">
        <v>50000</v>
      </c>
      <c r="L39" s="133" t="inlineStr">
        <is>
          <t>15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112A2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창원가음한화꿈에그린</t>
        </is>
      </c>
      <c r="B40" s="10" t="inlineStr">
        <is>
          <t>'17.08.</t>
        </is>
      </c>
      <c r="C40" s="132" t="n">
        <v>749</v>
      </c>
      <c r="D40" s="130" t="n">
        <v>131.9</v>
      </c>
      <c r="E40" s="131" t="n">
        <v>40</v>
      </c>
      <c r="F40" s="130" t="n">
        <v>100.6</v>
      </c>
      <c r="G40" s="17" t="n">
        <v>30</v>
      </c>
      <c r="H40" s="132" t="n">
        <v>85</v>
      </c>
      <c r="I40" s="133" t="n">
        <v>83000</v>
      </c>
      <c r="J40" s="133" t="inlineStr">
        <is>
          <t>6</t>
        </is>
      </c>
      <c r="K40" s="133" t="n">
        <v>64000</v>
      </c>
      <c r="L40" s="133" t="inlineStr">
        <is>
          <t>30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131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창원가음한화꿈에그린</t>
        </is>
      </c>
      <c r="B41" s="10" t="inlineStr">
        <is>
          <t>'17.08.</t>
        </is>
      </c>
      <c r="C41" s="132" t="n">
        <v>749</v>
      </c>
      <c r="D41" s="130" t="n">
        <v>144.8</v>
      </c>
      <c r="E41" s="131" t="n">
        <v>44</v>
      </c>
      <c r="F41" s="130" t="n">
        <v>110.9</v>
      </c>
      <c r="G41" s="17" t="n">
        <v>34</v>
      </c>
      <c r="H41" s="132" t="n">
        <v>27</v>
      </c>
      <c r="I41" s="133" t="n">
        <v>97000</v>
      </c>
      <c r="J41" s="133" t="inlineStr">
        <is>
          <t>중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5</v>
      </c>
      <c r="R41" s="120" t="n">
        <v>2</v>
      </c>
      <c r="S41" s="120" t="inlineStr">
        <is>
          <t>계</t>
        </is>
      </c>
      <c r="T41" s="5" t="n">
        <v>144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창원더샵센트럴파크3단지</t>
        </is>
      </c>
      <c r="B43" s="10" t="inlineStr">
        <is>
          <t>'17.04.</t>
        </is>
      </c>
      <c r="C43" s="132" t="n">
        <v>448</v>
      </c>
      <c r="D43" s="130" t="n">
        <v>93.90000000000001</v>
      </c>
      <c r="E43" s="131" t="n">
        <v>28</v>
      </c>
      <c r="F43" s="130" t="n">
        <v>71.90000000000001</v>
      </c>
      <c r="G43" s="17" t="n">
        <v>22</v>
      </c>
      <c r="H43" s="132" t="n">
        <v>160</v>
      </c>
      <c r="I43" s="133" t="n">
        <v>58000</v>
      </c>
      <c r="J43" s="133" t="inlineStr">
        <is>
          <t>13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93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창원더샵센트럴파크3단지</t>
        </is>
      </c>
      <c r="B44" s="10" t="inlineStr">
        <is>
          <t>'17.04.</t>
        </is>
      </c>
      <c r="C44" s="132" t="n">
        <v>448</v>
      </c>
      <c r="D44" s="130" t="n">
        <v>110.3</v>
      </c>
      <c r="E44" s="131" t="n">
        <v>33</v>
      </c>
      <c r="F44" s="130" t="n">
        <v>84.8</v>
      </c>
      <c r="G44" s="17" t="n">
        <v>26</v>
      </c>
      <c r="H44" s="132" t="n">
        <v>104</v>
      </c>
      <c r="I44" s="133" t="n">
        <v>68000</v>
      </c>
      <c r="J44" s="133" t="inlineStr">
        <is>
          <t>16</t>
        </is>
      </c>
      <c r="K44" s="133" t="n">
        <v>52000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110B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창원더샵센트럴파크3단지</t>
        </is>
      </c>
      <c r="B45" s="10" t="inlineStr">
        <is>
          <t>'17.04.</t>
        </is>
      </c>
      <c r="C45" s="132" t="n">
        <v>448</v>
      </c>
      <c r="D45" s="130" t="n">
        <v>110.5</v>
      </c>
      <c r="E45" s="131" t="n">
        <v>33</v>
      </c>
      <c r="F45" s="130" t="n">
        <v>84.90000000000001</v>
      </c>
      <c r="G45" s="17" t="n">
        <v>26</v>
      </c>
      <c r="H45" s="132" t="n">
        <v>80</v>
      </c>
      <c r="I45" s="133" t="n">
        <v>65000</v>
      </c>
      <c r="J45" s="133" t="inlineStr">
        <is>
          <t>19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110A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창원더샵센트럴파크3단지</t>
        </is>
      </c>
      <c r="B46" s="10" t="inlineStr">
        <is>
          <t>'17.04.</t>
        </is>
      </c>
      <c r="C46" s="132" t="n">
        <v>448</v>
      </c>
      <c r="D46" s="130" t="n">
        <v>110.6</v>
      </c>
      <c r="E46" s="131" t="n">
        <v>33</v>
      </c>
      <c r="F46" s="130" t="n">
        <v>84.8</v>
      </c>
      <c r="G46" s="17" t="n">
        <v>26</v>
      </c>
      <c r="H46" s="132" t="n">
        <v>52</v>
      </c>
      <c r="I46" s="133" t="n">
        <v>67000</v>
      </c>
      <c r="J46" s="133" t="inlineStr">
        <is>
          <t>23</t>
        </is>
      </c>
      <c r="K46" s="133" t="n">
        <v>55000</v>
      </c>
      <c r="L46" s="133" t="inlineStr">
        <is>
          <t>9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110C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창원더샵센트럴파크3단지</t>
        </is>
      </c>
      <c r="B47" s="10" t="inlineStr">
        <is>
          <t>'17.04.</t>
        </is>
      </c>
      <c r="C47" s="132" t="n">
        <v>448</v>
      </c>
      <c r="D47" s="130" t="n">
        <v>129.1</v>
      </c>
      <c r="E47" s="131" t="n">
        <v>39</v>
      </c>
      <c r="F47" s="130" t="n">
        <v>98.8</v>
      </c>
      <c r="G47" s="17" t="n">
        <v>30</v>
      </c>
      <c r="H47" s="132" t="n">
        <v>52</v>
      </c>
      <c r="I47" s="133" t="n">
        <v>83000</v>
      </c>
      <c r="J47" s="133" t="inlineStr">
        <is>
          <t>고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129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은아</t>
        </is>
      </c>
      <c r="B49" s="10" t="inlineStr">
        <is>
          <t>'87.12.</t>
        </is>
      </c>
      <c r="C49" s="132" t="n">
        <v>500</v>
      </c>
      <c r="D49" s="130" t="n">
        <v>59.4</v>
      </c>
      <c r="E49" s="131" t="n">
        <v>18</v>
      </c>
      <c r="F49" s="130" t="n">
        <v>49.8</v>
      </c>
      <c r="G49" s="17" t="n">
        <v>15</v>
      </c>
      <c r="H49" s="132" t="n">
        <v>350</v>
      </c>
      <c r="I49" s="133" t="n">
        <v>25000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은아</t>
        </is>
      </c>
      <c r="B50" s="10" t="inlineStr">
        <is>
          <t>'87.12.</t>
        </is>
      </c>
      <c r="C50" s="132" t="n">
        <v>500</v>
      </c>
      <c r="D50" s="130" t="n">
        <v>59.4</v>
      </c>
      <c r="E50" s="131" t="n">
        <v>18</v>
      </c>
      <c r="F50" s="130" t="n">
        <v>49.9</v>
      </c>
      <c r="G50" s="17" t="n">
        <v>15</v>
      </c>
      <c r="H50" s="132" t="n">
        <v>150</v>
      </c>
      <c r="I50" s="133" t="n">
        <v>27000</v>
      </c>
      <c r="J50" s="133" t="inlineStr">
        <is>
          <t>고</t>
        </is>
      </c>
      <c r="K50" s="133" t="n">
        <v>12000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59B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 N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1">
    <cfRule type="expression" priority="675" dxfId="23">
      <formula>AV11="X"</formula>
    </cfRule>
    <cfRule type="expression" priority="676" dxfId="22">
      <formula>AV11="후보"</formula>
    </cfRule>
  </conditionalFormatting>
  <conditionalFormatting sqref="AC1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">
    <cfRule type="expression" priority="666" dxfId="3">
      <formula>AND(IF(OR($Q11=1,$Q11=2),1,0),IF($X11&lt;=20,1,0))</formula>
    </cfRule>
    <cfRule type="expression" priority="667" dxfId="2">
      <formula>AND(IF($Q11=2,1,0),IF($X11&lt;30,1,0))</formula>
    </cfRule>
    <cfRule type="expression" priority="668" dxfId="1">
      <formula>AND(IF($Q11=3,1,0),IF($X11&lt;30,1,0))</formula>
    </cfRule>
    <cfRule type="expression" priority="669" dxfId="0">
      <formula>AND(IF($Q11=3,1,IF($Q11=4,1,0)),IF($F11&lt;=85,1,0))</formula>
    </cfRule>
  </conditionalFormatting>
  <conditionalFormatting sqref="X11">
    <cfRule type="expression" priority="662" dxfId="3">
      <formula>AND(IF(OR($Q11=1,$Q11=2),1,0),IF($X11&lt;=20,1,0))</formula>
    </cfRule>
    <cfRule type="expression" priority="663" dxfId="2">
      <formula>AND(IF($Q11=2,1,0),IF($X11&lt;30,1,0))</formula>
    </cfRule>
    <cfRule type="expression" priority="664" dxfId="1">
      <formula>AND(IF($Q11=3,1,0),IF($X11&lt;30,1,0))</formula>
    </cfRule>
    <cfRule type="expression" priority="665" dxfId="0">
      <formula>AND(IF($Q11=3,1,IF($Q11=4,1,0)),IF($F11&lt;=85,1,0))</formula>
    </cfRule>
  </conditionalFormatting>
  <conditionalFormatting sqref="AI11">
    <cfRule type="expression" priority="658" dxfId="3">
      <formula>AND(IF(OR($Q11=1,$Q11=2),1,0),IF($X11&lt;=20,1,0))</formula>
    </cfRule>
    <cfRule type="expression" priority="659" dxfId="2">
      <formula>AND(IF($Q11=2,1,0),IF($X11&lt;30,1,0))</formula>
    </cfRule>
    <cfRule type="expression" priority="660" dxfId="1">
      <formula>AND(IF($Q11=3,1,0),IF($X11&lt;30,1,0))</formula>
    </cfRule>
    <cfRule type="expression" priority="661" dxfId="0">
      <formula>AND(IF($Q11=3,1,IF($Q11=4,1,0)),IF($F11&lt;=85,1,0))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 N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15">
    <cfRule type="expression" priority="613" dxfId="23">
      <formula>AV15="X"</formula>
    </cfRule>
    <cfRule type="expression" priority="614" dxfId="22">
      <formula>AV15="후보"</formula>
    </cfRule>
  </conditionalFormatting>
  <conditionalFormatting sqref="AC15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5">
    <cfRule type="expression" priority="604" dxfId="3">
      <formula>AND(IF(OR($Q15=1,$Q15=2),1,0),IF($X15&lt;=20,1,0))</formula>
    </cfRule>
    <cfRule type="expression" priority="605" dxfId="2">
      <formula>AND(IF($Q15=2,1,0),IF($X15&lt;30,1,0))</formula>
    </cfRule>
    <cfRule type="expression" priority="606" dxfId="1">
      <formula>AND(IF($Q15=3,1,0),IF($X15&lt;30,1,0))</formula>
    </cfRule>
    <cfRule type="expression" priority="607" dxfId="0">
      <formula>AND(IF($Q15=3,1,IF($Q15=4,1,0)),IF($F15&lt;=85,1,0))</formula>
    </cfRule>
  </conditionalFormatting>
  <conditionalFormatting sqref="X15">
    <cfRule type="expression" priority="600" dxfId="3">
      <formula>AND(IF(OR($Q15=1,$Q15=2),1,0),IF($X15&lt;=20,1,0))</formula>
    </cfRule>
    <cfRule type="expression" priority="601" dxfId="2">
      <formula>AND(IF($Q15=2,1,0),IF($X15&lt;30,1,0))</formula>
    </cfRule>
    <cfRule type="expression" priority="602" dxfId="1">
      <formula>AND(IF($Q15=3,1,0),IF($X15&lt;30,1,0))</formula>
    </cfRule>
    <cfRule type="expression" priority="603" dxfId="0">
      <formula>AND(IF($Q15=3,1,IF($Q15=4,1,0)),IF($F15&lt;=85,1,0))</formula>
    </cfRule>
  </conditionalFormatting>
  <conditionalFormatting sqref="AI15">
    <cfRule type="expression" priority="596" dxfId="3">
      <formula>AND(IF(OR($Q15=1,$Q15=2),1,0),IF($X15&lt;=20,1,0))</formula>
    </cfRule>
    <cfRule type="expression" priority="597" dxfId="2">
      <formula>AND(IF($Q15=2,1,0),IF($X15&lt;30,1,0))</formula>
    </cfRule>
    <cfRule type="expression" priority="598" dxfId="1">
      <formula>AND(IF($Q15=3,1,0),IF($X15&lt;30,1,0))</formula>
    </cfRule>
    <cfRule type="expression" priority="599" dxfId="0">
      <formula>AND(IF($Q15=3,1,IF($Q15=4,1,0)),IF($F15&lt;=85,1,0))</formula>
    </cfRule>
  </conditionalFormatting>
  <conditionalFormatting sqref="AV16">
    <cfRule type="expression" priority="594" dxfId="23">
      <formula>AV16="X"</formula>
    </cfRule>
    <cfRule type="expression" priority="595" dxfId="22">
      <formula>AV16="후보"</formula>
    </cfRule>
  </conditionalFormatting>
  <conditionalFormatting sqref="AC1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6">
    <cfRule type="expression" priority="585" dxfId="3">
      <formula>AND(IF(OR($Q16=1,$Q16=2),1,0),IF($X16&lt;=20,1,0))</formula>
    </cfRule>
    <cfRule type="expression" priority="586" dxfId="2">
      <formula>AND(IF($Q16=2,1,0),IF($X16&lt;30,1,0))</formula>
    </cfRule>
    <cfRule type="expression" priority="587" dxfId="1">
      <formula>AND(IF($Q16=3,1,0),IF($X16&lt;30,1,0))</formula>
    </cfRule>
    <cfRule type="expression" priority="588" dxfId="0">
      <formula>AND(IF($Q16=3,1,IF($Q16=4,1,0)),IF($F16&lt;=85,1,0))</formula>
    </cfRule>
  </conditionalFormatting>
  <conditionalFormatting sqref="X16">
    <cfRule type="expression" priority="581" dxfId="3">
      <formula>AND(IF(OR($Q16=1,$Q16=2),1,0),IF($X16&lt;=20,1,0))</formula>
    </cfRule>
    <cfRule type="expression" priority="582" dxfId="2">
      <formula>AND(IF($Q16=2,1,0),IF($X16&lt;30,1,0))</formula>
    </cfRule>
    <cfRule type="expression" priority="583" dxfId="1">
      <formula>AND(IF($Q16=3,1,0),IF($X16&lt;30,1,0))</formula>
    </cfRule>
    <cfRule type="expression" priority="584" dxfId="0">
      <formula>AND(IF($Q16=3,1,IF($Q16=4,1,0)),IF($F16&lt;=85,1,0))</formula>
    </cfRule>
  </conditionalFormatting>
  <conditionalFormatting sqref="AI16">
    <cfRule type="expression" priority="577" dxfId="3">
      <formula>AND(IF(OR($Q16=1,$Q16=2),1,0),IF($X16&lt;=20,1,0))</formula>
    </cfRule>
    <cfRule type="expression" priority="578" dxfId="2">
      <formula>AND(IF($Q16=2,1,0),IF($X16&lt;30,1,0))</formula>
    </cfRule>
    <cfRule type="expression" priority="579" dxfId="1">
      <formula>AND(IF($Q16=3,1,0),IF($X16&lt;30,1,0))</formula>
    </cfRule>
    <cfRule type="expression" priority="580" dxfId="0">
      <formula>AND(IF($Q16=3,1,IF($Q16=4,1,0)),IF($F16&lt;=85,1,0))</formula>
    </cfRule>
  </conditionalFormatting>
  <conditionalFormatting sqref="AV17">
    <cfRule type="expression" priority="575" dxfId="23">
      <formula>AV17="X"</formula>
    </cfRule>
    <cfRule type="expression" priority="576" dxfId="22">
      <formula>AV17="후보"</formula>
    </cfRule>
  </conditionalFormatting>
  <conditionalFormatting sqref="AC1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7">
    <cfRule type="expression" priority="566" dxfId="3">
      <formula>AND(IF(OR($Q17=1,$Q17=2),1,0),IF($X17&lt;=20,1,0))</formula>
    </cfRule>
    <cfRule type="expression" priority="567" dxfId="2">
      <formula>AND(IF($Q17=2,1,0),IF($X17&lt;30,1,0))</formula>
    </cfRule>
    <cfRule type="expression" priority="568" dxfId="1">
      <formula>AND(IF($Q17=3,1,0),IF($X17&lt;30,1,0))</formula>
    </cfRule>
    <cfRule type="expression" priority="569" dxfId="0">
      <formula>AND(IF($Q17=3,1,IF($Q17=4,1,0)),IF($F17&lt;=85,1,0))</formula>
    </cfRule>
  </conditionalFormatting>
  <conditionalFormatting sqref="X17">
    <cfRule type="expression" priority="562" dxfId="3">
      <formula>AND(IF(OR($Q17=1,$Q17=2),1,0),IF($X17&lt;=20,1,0))</formula>
    </cfRule>
    <cfRule type="expression" priority="563" dxfId="2">
      <formula>AND(IF($Q17=2,1,0),IF($X17&lt;30,1,0))</formula>
    </cfRule>
    <cfRule type="expression" priority="564" dxfId="1">
      <formula>AND(IF($Q17=3,1,0),IF($X17&lt;30,1,0))</formula>
    </cfRule>
    <cfRule type="expression" priority="565" dxfId="0">
      <formula>AND(IF($Q17=3,1,IF($Q17=4,1,0)),IF($F17&lt;=85,1,0))</formula>
    </cfRule>
  </conditionalFormatting>
  <conditionalFormatting sqref="AI17">
    <cfRule type="expression" priority="558" dxfId="3">
      <formula>AND(IF(OR($Q17=1,$Q17=2),1,0),IF($X17&lt;=20,1,0))</formula>
    </cfRule>
    <cfRule type="expression" priority="559" dxfId="2">
      <formula>AND(IF($Q17=2,1,0),IF($X17&lt;30,1,0))</formula>
    </cfRule>
    <cfRule type="expression" priority="560" dxfId="1">
      <formula>AND(IF($Q17=3,1,0),IF($X17&lt;30,1,0))</formula>
    </cfRule>
    <cfRule type="expression" priority="561" dxfId="0">
      <formula>AND(IF($Q17=3,1,IF($Q17=4,1,0)),IF($F17&lt;=85,1,0))</formula>
    </cfRule>
  </conditionalFormatting>
  <conditionalFormatting sqref="AV18">
    <cfRule type="expression" priority="556" dxfId="23">
      <formula>AV18="X"</formula>
    </cfRule>
    <cfRule type="expression" priority="557" dxfId="22">
      <formula>AV18="후보"</formula>
    </cfRule>
  </conditionalFormatting>
  <conditionalFormatting sqref="AC1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8">
    <cfRule type="expression" priority="547" dxfId="3">
      <formula>AND(IF(OR($Q18=1,$Q18=2),1,0),IF($X18&lt;=20,1,0))</formula>
    </cfRule>
    <cfRule type="expression" priority="548" dxfId="2">
      <formula>AND(IF($Q18=2,1,0),IF($X18&lt;30,1,0))</formula>
    </cfRule>
    <cfRule type="expression" priority="549" dxfId="1">
      <formula>AND(IF($Q18=3,1,0),IF($X18&lt;30,1,0))</formula>
    </cfRule>
    <cfRule type="expression" priority="550" dxfId="0">
      <formula>AND(IF($Q18=3,1,IF($Q18=4,1,0)),IF($F18&lt;=85,1,0))</formula>
    </cfRule>
  </conditionalFormatting>
  <conditionalFormatting sqref="X18">
    <cfRule type="expression" priority="543" dxfId="3">
      <formula>AND(IF(OR($Q18=1,$Q18=2),1,0),IF($X18&lt;=20,1,0))</formula>
    </cfRule>
    <cfRule type="expression" priority="544" dxfId="2">
      <formula>AND(IF($Q18=2,1,0),IF($X18&lt;30,1,0))</formula>
    </cfRule>
    <cfRule type="expression" priority="545" dxfId="1">
      <formula>AND(IF($Q18=3,1,0),IF($X18&lt;30,1,0))</formula>
    </cfRule>
    <cfRule type="expression" priority="546" dxfId="0">
      <formula>AND(IF($Q18=3,1,IF($Q18=4,1,0)),IF($F18&lt;=85,1,0))</formula>
    </cfRule>
  </conditionalFormatting>
  <conditionalFormatting sqref="AI18">
    <cfRule type="expression" priority="539" dxfId="3">
      <formula>AND(IF(OR($Q18=1,$Q18=2),1,0),IF($X18&lt;=20,1,0))</formula>
    </cfRule>
    <cfRule type="expression" priority="540" dxfId="2">
      <formula>AND(IF($Q18=2,1,0),IF($X18&lt;30,1,0))</formula>
    </cfRule>
    <cfRule type="expression" priority="541" dxfId="1">
      <formula>AND(IF($Q18=3,1,0),IF($X18&lt;30,1,0))</formula>
    </cfRule>
    <cfRule type="expression" priority="542" dxfId="0">
      <formula>AND(IF($Q18=3,1,IF($Q18=4,1,0)),IF($F18&lt;=85,1,0))</formula>
    </cfRule>
  </conditionalFormatting>
  <conditionalFormatting sqref="AV19">
    <cfRule type="expression" priority="537" dxfId="23">
      <formula>AV19="X"</formula>
    </cfRule>
    <cfRule type="expression" priority="538" dxfId="22">
      <formula>AV19="후보"</formula>
    </cfRule>
  </conditionalFormatting>
  <conditionalFormatting sqref="AC1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9">
    <cfRule type="expression" priority="528" dxfId="3">
      <formula>AND(IF(OR($Q19=1,$Q19=2),1,0),IF($X19&lt;=20,1,0))</formula>
    </cfRule>
    <cfRule type="expression" priority="529" dxfId="2">
      <formula>AND(IF($Q19=2,1,0),IF($X19&lt;30,1,0))</formula>
    </cfRule>
    <cfRule type="expression" priority="530" dxfId="1">
      <formula>AND(IF($Q19=3,1,0),IF($X19&lt;30,1,0))</formula>
    </cfRule>
    <cfRule type="expression" priority="531" dxfId="0">
      <formula>AND(IF($Q19=3,1,IF($Q19=4,1,0)),IF($F19&lt;=85,1,0))</formula>
    </cfRule>
  </conditionalFormatting>
  <conditionalFormatting sqref="X19">
    <cfRule type="expression" priority="524" dxfId="3">
      <formula>AND(IF(OR($Q19=1,$Q19=2),1,0),IF($X19&lt;=20,1,0))</formula>
    </cfRule>
    <cfRule type="expression" priority="525" dxfId="2">
      <formula>AND(IF($Q19=2,1,0),IF($X19&lt;30,1,0))</formula>
    </cfRule>
    <cfRule type="expression" priority="526" dxfId="1">
      <formula>AND(IF($Q19=3,1,0),IF($X19&lt;30,1,0))</formula>
    </cfRule>
    <cfRule type="expression" priority="527" dxfId="0">
      <formula>AND(IF($Q19=3,1,IF($Q19=4,1,0)),IF($F19&lt;=85,1,0))</formula>
    </cfRule>
  </conditionalFormatting>
  <conditionalFormatting sqref="AI19">
    <cfRule type="expression" priority="520" dxfId="3">
      <formula>AND(IF(OR($Q19=1,$Q19=2),1,0),IF($X19&lt;=20,1,0))</formula>
    </cfRule>
    <cfRule type="expression" priority="521" dxfId="2">
      <formula>AND(IF($Q19=2,1,0),IF($X19&lt;30,1,0))</formula>
    </cfRule>
    <cfRule type="expression" priority="522" dxfId="1">
      <formula>AND(IF($Q19=3,1,0),IF($X19&lt;30,1,0))</formula>
    </cfRule>
    <cfRule type="expression" priority="523" dxfId="0">
      <formula>AND(IF($Q19=3,1,IF($Q19=4,1,0)),IF($F19&lt;=85,1,0))</formula>
    </cfRule>
  </conditionalFormatting>
  <conditionalFormatting sqref="AV20">
    <cfRule type="expression" priority="518" dxfId="23">
      <formula>AV20="X"</formula>
    </cfRule>
    <cfRule type="expression" priority="519" dxfId="22">
      <formula>AV20="후보"</formula>
    </cfRule>
  </conditionalFormatting>
  <conditionalFormatting sqref="AC2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0">
    <cfRule type="expression" priority="509" dxfId="3">
      <formula>AND(IF(OR($Q20=1,$Q20=2),1,0),IF($X20&lt;=20,1,0))</formula>
    </cfRule>
    <cfRule type="expression" priority="510" dxfId="2">
      <formula>AND(IF($Q20=2,1,0),IF($X20&lt;30,1,0))</formula>
    </cfRule>
    <cfRule type="expression" priority="511" dxfId="1">
      <formula>AND(IF($Q20=3,1,0),IF($X20&lt;30,1,0))</formula>
    </cfRule>
    <cfRule type="expression" priority="512" dxfId="0">
      <formula>AND(IF($Q20=3,1,IF($Q20=4,1,0)),IF($F20&lt;=85,1,0))</formula>
    </cfRule>
  </conditionalFormatting>
  <conditionalFormatting sqref="X20">
    <cfRule type="expression" priority="505" dxfId="3">
      <formula>AND(IF(OR($Q20=1,$Q20=2),1,0),IF($X20&lt;=20,1,0))</formula>
    </cfRule>
    <cfRule type="expression" priority="506" dxfId="2">
      <formula>AND(IF($Q20=2,1,0),IF($X20&lt;30,1,0))</formula>
    </cfRule>
    <cfRule type="expression" priority="507" dxfId="1">
      <formula>AND(IF($Q20=3,1,0),IF($X20&lt;30,1,0))</formula>
    </cfRule>
    <cfRule type="expression" priority="508" dxfId="0">
      <formula>AND(IF($Q20=3,1,IF($Q20=4,1,0)),IF($F20&lt;=85,1,0))</formula>
    </cfRule>
  </conditionalFormatting>
  <conditionalFormatting sqref="AI20">
    <cfRule type="expression" priority="501" dxfId="3">
      <formula>AND(IF(OR($Q20=1,$Q20=2),1,0),IF($X20&lt;=20,1,0))</formula>
    </cfRule>
    <cfRule type="expression" priority="502" dxfId="2">
      <formula>AND(IF($Q20=2,1,0),IF($X20&lt;30,1,0))</formula>
    </cfRule>
    <cfRule type="expression" priority="503" dxfId="1">
      <formula>AND(IF($Q20=3,1,0),IF($X20&lt;30,1,0))</formula>
    </cfRule>
    <cfRule type="expression" priority="504" dxfId="0">
      <formula>AND(IF($Q20=3,1,IF($Q20=4,1,0)),IF($F20&lt;=85,1,0))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 N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2">
    <cfRule type="expression" priority="494" dxfId="23">
      <formula>AV22="X"</formula>
    </cfRule>
    <cfRule type="expression" priority="495" dxfId="22">
      <formula>AV22="후보"</formula>
    </cfRule>
  </conditionalFormatting>
  <conditionalFormatting sqref="AC2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2">
    <cfRule type="expression" priority="485" dxfId="3">
      <formula>AND(IF(OR($Q22=1,$Q22=2),1,0),IF($X22&lt;=20,1,0))</formula>
    </cfRule>
    <cfRule type="expression" priority="486" dxfId="2">
      <formula>AND(IF($Q22=2,1,0),IF($X22&lt;30,1,0))</formula>
    </cfRule>
    <cfRule type="expression" priority="487" dxfId="1">
      <formula>AND(IF($Q22=3,1,0),IF($X22&lt;30,1,0))</formula>
    </cfRule>
    <cfRule type="expression" priority="488" dxfId="0">
      <formula>AND(IF($Q22=3,1,IF($Q22=4,1,0)),IF($F22&lt;=85,1,0))</formula>
    </cfRule>
  </conditionalFormatting>
  <conditionalFormatting sqref="X22">
    <cfRule type="expression" priority="481" dxfId="3">
      <formula>AND(IF(OR($Q22=1,$Q22=2),1,0),IF($X22&lt;=20,1,0))</formula>
    </cfRule>
    <cfRule type="expression" priority="482" dxfId="2">
      <formula>AND(IF($Q22=2,1,0),IF($X22&lt;30,1,0))</formula>
    </cfRule>
    <cfRule type="expression" priority="483" dxfId="1">
      <formula>AND(IF($Q22=3,1,0),IF($X22&lt;30,1,0))</formula>
    </cfRule>
    <cfRule type="expression" priority="484" dxfId="0">
      <formula>AND(IF($Q22=3,1,IF($Q22=4,1,0)),IF($F22&lt;=85,1,0))</formula>
    </cfRule>
  </conditionalFormatting>
  <conditionalFormatting sqref="AI22">
    <cfRule type="expression" priority="477" dxfId="3">
      <formula>AND(IF(OR($Q22=1,$Q22=2),1,0),IF($X22&lt;=20,1,0))</formula>
    </cfRule>
    <cfRule type="expression" priority="478" dxfId="2">
      <formula>AND(IF($Q22=2,1,0),IF($X22&lt;30,1,0))</formula>
    </cfRule>
    <cfRule type="expression" priority="479" dxfId="1">
      <formula>AND(IF($Q22=3,1,0),IF($X22&lt;30,1,0))</formula>
    </cfRule>
    <cfRule type="expression" priority="480" dxfId="0">
      <formula>AND(IF($Q22=3,1,IF($Q22=4,1,0)),IF($F22&lt;=85,1,0))</formula>
    </cfRule>
  </conditionalFormatting>
  <conditionalFormatting sqref="AV23">
    <cfRule type="expression" priority="475" dxfId="23">
      <formula>AV23="X"</formula>
    </cfRule>
    <cfRule type="expression" priority="476" dxfId="22">
      <formula>AV23="후보"</formula>
    </cfRule>
  </conditionalFormatting>
  <conditionalFormatting sqref="AC2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3">
    <cfRule type="expression" priority="466" dxfId="3">
      <formula>AND(IF(OR($Q23=1,$Q23=2),1,0),IF($X23&lt;=20,1,0))</formula>
    </cfRule>
    <cfRule type="expression" priority="467" dxfId="2">
      <formula>AND(IF($Q23=2,1,0),IF($X23&lt;30,1,0))</formula>
    </cfRule>
    <cfRule type="expression" priority="468" dxfId="1">
      <formula>AND(IF($Q23=3,1,0),IF($X23&lt;30,1,0))</formula>
    </cfRule>
    <cfRule type="expression" priority="469" dxfId="0">
      <formula>AND(IF($Q23=3,1,IF($Q23=4,1,0)),IF($F23&lt;=85,1,0))</formula>
    </cfRule>
  </conditionalFormatting>
  <conditionalFormatting sqref="X23">
    <cfRule type="expression" priority="462" dxfId="3">
      <formula>AND(IF(OR($Q23=1,$Q23=2),1,0),IF($X23&lt;=20,1,0))</formula>
    </cfRule>
    <cfRule type="expression" priority="463" dxfId="2">
      <formula>AND(IF($Q23=2,1,0),IF($X23&lt;30,1,0))</formula>
    </cfRule>
    <cfRule type="expression" priority="464" dxfId="1">
      <formula>AND(IF($Q23=3,1,0),IF($X23&lt;30,1,0))</formula>
    </cfRule>
    <cfRule type="expression" priority="465" dxfId="0">
      <formula>AND(IF($Q23=3,1,IF($Q23=4,1,0)),IF($F23&lt;=85,1,0))</formula>
    </cfRule>
  </conditionalFormatting>
  <conditionalFormatting sqref="AI23">
    <cfRule type="expression" priority="458" dxfId="3">
      <formula>AND(IF(OR($Q23=1,$Q23=2),1,0),IF($X23&lt;=20,1,0))</formula>
    </cfRule>
    <cfRule type="expression" priority="459" dxfId="2">
      <formula>AND(IF($Q23=2,1,0),IF($X23&lt;30,1,0))</formula>
    </cfRule>
    <cfRule type="expression" priority="460" dxfId="1">
      <formula>AND(IF($Q23=3,1,0),IF($X23&lt;30,1,0))</formula>
    </cfRule>
    <cfRule type="expression" priority="461" dxfId="0">
      <formula>AND(IF($Q23=3,1,IF($Q23=4,1,0)),IF($F23&lt;=85,1,0))</formula>
    </cfRule>
  </conditionalFormatting>
  <conditionalFormatting sqref="AV24">
    <cfRule type="expression" priority="456" dxfId="23">
      <formula>AV24="X"</formula>
    </cfRule>
    <cfRule type="expression" priority="457" dxfId="22">
      <formula>AV24="후보"</formula>
    </cfRule>
  </conditionalFormatting>
  <conditionalFormatting sqref="AC2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4">
    <cfRule type="expression" priority="447" dxfId="3">
      <formula>AND(IF(OR($Q24=1,$Q24=2),1,0),IF($X24&lt;=20,1,0))</formula>
    </cfRule>
    <cfRule type="expression" priority="448" dxfId="2">
      <formula>AND(IF($Q24=2,1,0),IF($X24&lt;30,1,0))</formula>
    </cfRule>
    <cfRule type="expression" priority="449" dxfId="1">
      <formula>AND(IF($Q24=3,1,0),IF($X24&lt;30,1,0))</formula>
    </cfRule>
    <cfRule type="expression" priority="450" dxfId="0">
      <formula>AND(IF($Q24=3,1,IF($Q24=4,1,0)),IF($F24&lt;=85,1,0))</formula>
    </cfRule>
  </conditionalFormatting>
  <conditionalFormatting sqref="X24">
    <cfRule type="expression" priority="443" dxfId="3">
      <formula>AND(IF(OR($Q24=1,$Q24=2),1,0),IF($X24&lt;=20,1,0))</formula>
    </cfRule>
    <cfRule type="expression" priority="444" dxfId="2">
      <formula>AND(IF($Q24=2,1,0),IF($X24&lt;30,1,0))</formula>
    </cfRule>
    <cfRule type="expression" priority="445" dxfId="1">
      <formula>AND(IF($Q24=3,1,0),IF($X24&lt;30,1,0))</formula>
    </cfRule>
    <cfRule type="expression" priority="446" dxfId="0">
      <formula>AND(IF($Q24=3,1,IF($Q24=4,1,0)),IF($F24&lt;=85,1,0))</formula>
    </cfRule>
  </conditionalFormatting>
  <conditionalFormatting sqref="AI24">
    <cfRule type="expression" priority="439" dxfId="3">
      <formula>AND(IF(OR($Q24=1,$Q24=2),1,0),IF($X24&lt;=20,1,0))</formula>
    </cfRule>
    <cfRule type="expression" priority="440" dxfId="2">
      <formula>AND(IF($Q24=2,1,0),IF($X24&lt;30,1,0))</formula>
    </cfRule>
    <cfRule type="expression" priority="441" dxfId="1">
      <formula>AND(IF($Q24=3,1,0),IF($X24&lt;30,1,0))</formula>
    </cfRule>
    <cfRule type="expression" priority="442" dxfId="0">
      <formula>AND(IF($Q24=3,1,IF($Q24=4,1,0)),IF($F24&lt;=85,1,0))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 N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9">
    <cfRule type="expression" priority="375" dxfId="23">
      <formula>AV29="X"</formula>
    </cfRule>
    <cfRule type="expression" priority="376" dxfId="22">
      <formula>AV29="후보"</formula>
    </cfRule>
  </conditionalFormatting>
  <conditionalFormatting sqref="AC2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9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9">
    <cfRule type="expression" priority="366" dxfId="3">
      <formula>AND(IF(OR($Q29=1,$Q29=2),1,0),IF($X29&lt;=20,1,0))</formula>
    </cfRule>
    <cfRule type="expression" priority="367" dxfId="2">
      <formula>AND(IF($Q29=2,1,0),IF($X29&lt;30,1,0))</formula>
    </cfRule>
    <cfRule type="expression" priority="368" dxfId="1">
      <formula>AND(IF($Q29=3,1,0),IF($X29&lt;30,1,0))</formula>
    </cfRule>
    <cfRule type="expression" priority="369" dxfId="0">
      <formula>AND(IF($Q29=3,1,IF($Q29=4,1,0)),IF($F29&lt;=85,1,0))</formula>
    </cfRule>
  </conditionalFormatting>
  <conditionalFormatting sqref="X29">
    <cfRule type="expression" priority="362" dxfId="3">
      <formula>AND(IF(OR($Q29=1,$Q29=2),1,0),IF($X29&lt;=20,1,0))</formula>
    </cfRule>
    <cfRule type="expression" priority="363" dxfId="2">
      <formula>AND(IF($Q29=2,1,0),IF($X29&lt;30,1,0))</formula>
    </cfRule>
    <cfRule type="expression" priority="364" dxfId="1">
      <formula>AND(IF($Q29=3,1,0),IF($X29&lt;30,1,0))</formula>
    </cfRule>
    <cfRule type="expression" priority="365" dxfId="0">
      <formula>AND(IF($Q29=3,1,IF($Q29=4,1,0)),IF($F29&lt;=85,1,0))</formula>
    </cfRule>
  </conditionalFormatting>
  <conditionalFormatting sqref="AI29">
    <cfRule type="expression" priority="358" dxfId="3">
      <formula>AND(IF(OR($Q29=1,$Q29=2),1,0),IF($X29&lt;=20,1,0))</formula>
    </cfRule>
    <cfRule type="expression" priority="359" dxfId="2">
      <formula>AND(IF($Q29=2,1,0),IF($X29&lt;30,1,0))</formula>
    </cfRule>
    <cfRule type="expression" priority="360" dxfId="1">
      <formula>AND(IF($Q29=3,1,0),IF($X29&lt;30,1,0))</formula>
    </cfRule>
    <cfRule type="expression" priority="361" dxfId="0">
      <formula>AND(IF($Q29=3,1,IF($Q29=4,1,0)),IF($F29&lt;=85,1,0))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3">
    <cfRule type="expression" priority="290" dxfId="3">
      <formula>AND(IF(OR($Q33=1,$Q33=2),1,0),IF($X33&lt;=20,1,0))</formula>
    </cfRule>
    <cfRule type="expression" priority="291" dxfId="2">
      <formula>AND(IF($Q33=2,1,0),IF($X33&lt;30,1,0))</formula>
    </cfRule>
    <cfRule type="expression" priority="292" dxfId="1">
      <formula>AND(IF($Q33=3,1,0),IF($X33&lt;30,1,0))</formula>
    </cfRule>
    <cfRule type="expression" priority="293" dxfId="0">
      <formula>AND(IF($Q33=3,1,IF($Q33=4,1,0)),IF($F33&lt;=85,1,0))</formula>
    </cfRule>
  </conditionalFormatting>
  <conditionalFormatting sqref="X33">
    <cfRule type="expression" priority="286" dxfId="3">
      <formula>AND(IF(OR($Q33=1,$Q33=2),1,0),IF($X33&lt;=20,1,0))</formula>
    </cfRule>
    <cfRule type="expression" priority="287" dxfId="2">
      <formula>AND(IF($Q33=2,1,0),IF($X33&lt;30,1,0))</formula>
    </cfRule>
    <cfRule type="expression" priority="288" dxfId="1">
      <formula>AND(IF($Q33=3,1,0),IF($X33&lt;30,1,0))</formula>
    </cfRule>
    <cfRule type="expression" priority="289" dxfId="0">
      <formula>AND(IF($Q33=3,1,IF($Q33=4,1,0)),IF($F33&lt;=85,1,0))</formula>
    </cfRule>
  </conditionalFormatting>
  <conditionalFormatting sqref="AI33">
    <cfRule type="expression" priority="282" dxfId="3">
      <formula>AND(IF(OR($Q33=1,$Q33=2),1,0),IF($X33&lt;=20,1,0))</formula>
    </cfRule>
    <cfRule type="expression" priority="283" dxfId="2">
      <formula>AND(IF($Q33=2,1,0),IF($X33&lt;30,1,0))</formula>
    </cfRule>
    <cfRule type="expression" priority="284" dxfId="1">
      <formula>AND(IF($Q33=3,1,0),IF($X33&lt;30,1,0))</formula>
    </cfRule>
    <cfRule type="expression" priority="285" dxfId="0">
      <formula>AND(IF($Q33=3,1,IF($Q33=4,1,0)),IF($F33&lt;=85,1,0))</formula>
    </cfRule>
  </conditionalFormatting>
  <conditionalFormatting sqref="AV34">
    <cfRule type="expression" priority="280" dxfId="23">
      <formula>AV34="X"</formula>
    </cfRule>
    <cfRule type="expression" priority="281" dxfId="22">
      <formula>AV34="후보"</formula>
    </cfRule>
  </conditionalFormatting>
  <conditionalFormatting sqref="AC34 N3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 N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3">
    <cfRule type="expression" priority="137" dxfId="23">
      <formula>AV43="X"</formula>
    </cfRule>
    <cfRule type="expression" priority="138" dxfId="22">
      <formula>AV43="후보"</formula>
    </cfRule>
  </conditionalFormatting>
  <conditionalFormatting sqref="AC4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23">
      <formula>AV44="X"</formula>
    </cfRule>
    <cfRule type="expression" priority="119" dxfId="22">
      <formula>AV44="후보"</formula>
    </cfRule>
  </conditionalFormatting>
  <conditionalFormatting sqref="AC4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7">
    <cfRule type="expression" priority="52" dxfId="3">
      <formula>AND(IF(OR($Q47=1,$Q47=2),1,0),IF($X47&lt;=20,1,0))</formula>
    </cfRule>
    <cfRule type="expression" priority="53" dxfId="2">
      <formula>AND(IF($Q47=2,1,0),IF($X47&lt;30,1,0))</formula>
    </cfRule>
    <cfRule type="expression" priority="54" dxfId="1">
      <formula>AND(IF($Q47=3,1,0),IF($X47&lt;30,1,0))</formula>
    </cfRule>
    <cfRule type="expression" priority="55" dxfId="0">
      <formula>AND(IF($Q47=3,1,IF($Q47=4,1,0)),IF($F47&lt;=85,1,0))</formula>
    </cfRule>
  </conditionalFormatting>
  <conditionalFormatting sqref="X47">
    <cfRule type="expression" priority="48" dxfId="3">
      <formula>AND(IF(OR($Q47=1,$Q47=2),1,0),IF($X47&lt;=20,1,0))</formula>
    </cfRule>
    <cfRule type="expression" priority="49" dxfId="2">
      <formula>AND(IF($Q47=2,1,0),IF($X47&lt;30,1,0))</formula>
    </cfRule>
    <cfRule type="expression" priority="50" dxfId="1">
      <formula>AND(IF($Q47=3,1,0),IF($X47&lt;30,1,0))</formula>
    </cfRule>
    <cfRule type="expression" priority="51" dxfId="0">
      <formula>AND(IF($Q47=3,1,IF($Q47=4,1,0)),IF($F47&lt;=85,1,0))</formula>
    </cfRule>
  </conditionalFormatting>
  <conditionalFormatting sqref="AI47">
    <cfRule type="expression" priority="44" dxfId="3">
      <formula>AND(IF(OR($Q47=1,$Q47=2),1,0),IF($X47&lt;=20,1,0))</formula>
    </cfRule>
    <cfRule type="expression" priority="45" dxfId="2">
      <formula>AND(IF($Q47=2,1,0),IF($X47&lt;30,1,0))</formula>
    </cfRule>
    <cfRule type="expression" priority="46" dxfId="1">
      <formula>AND(IF($Q47=3,1,0),IF($X47&lt;30,1,0))</formula>
    </cfRule>
    <cfRule type="expression" priority="47" dxfId="0">
      <formula>AND(IF($Q47=3,1,IF($Q47=4,1,0)),IF($F47&lt;=85,1,0))</formula>
    </cfRule>
  </conditionalFormatting>
  <conditionalFormatting sqref="AV48">
    <cfRule type="expression" priority="42" dxfId="23">
      <formula>AV48="X"</formula>
    </cfRule>
    <cfRule type="expression" priority="43" dxfId="22">
      <formula>AV48="후보"</formula>
    </cfRule>
  </conditionalFormatting>
  <conditionalFormatting sqref="AC48 N4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소라</t>
        </is>
      </c>
      <c r="B6" s="10" t="inlineStr">
        <is>
          <t>'90.01.</t>
        </is>
      </c>
      <c r="C6" s="132" t="n">
        <v>348</v>
      </c>
      <c r="D6" s="130" t="n">
        <v>83.3</v>
      </c>
      <c r="E6" s="131" t="n">
        <v>25</v>
      </c>
      <c r="F6" s="130" t="n">
        <v>59.9</v>
      </c>
      <c r="G6" s="17" t="n">
        <v>18</v>
      </c>
      <c r="H6" s="132" t="n">
        <v>252</v>
      </c>
      <c r="I6" s="133" t="n">
        <v>11800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83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소라</t>
        </is>
      </c>
      <c r="B7" s="10" t="inlineStr">
        <is>
          <t>'90.01.</t>
        </is>
      </c>
      <c r="C7" s="132" t="n">
        <v>348</v>
      </c>
      <c r="D7" s="130" t="n">
        <v>102.1</v>
      </c>
      <c r="E7" s="131" t="n">
        <v>31</v>
      </c>
      <c r="F7" s="130" t="n">
        <v>84.8</v>
      </c>
      <c r="G7" s="17" t="n">
        <v>26</v>
      </c>
      <c r="H7" s="132" t="n">
        <v>96</v>
      </c>
      <c r="I7" s="133" t="n">
        <v>18000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남산동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한양</t>
        </is>
      </c>
      <c r="B6" s="10" t="inlineStr">
        <is>
          <t>'86.05.</t>
        </is>
      </c>
      <c r="C6" s="132" t="n">
        <v>332</v>
      </c>
      <c r="D6" s="130" t="n">
        <v>59.5</v>
      </c>
      <c r="E6" s="131" t="n">
        <v>18</v>
      </c>
      <c r="F6" s="130" t="n">
        <v>43.6</v>
      </c>
      <c r="G6" s="17" t="n">
        <v>13</v>
      </c>
      <c r="H6" s="132" t="n">
        <v>70</v>
      </c>
      <c r="I6" s="133" t="n">
        <v>8500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한양</t>
        </is>
      </c>
      <c r="B7" s="10" t="inlineStr">
        <is>
          <t>'86.05.</t>
        </is>
      </c>
      <c r="C7" s="132" t="n">
        <v>332</v>
      </c>
      <c r="D7" s="130" t="n">
        <v>87.5</v>
      </c>
      <c r="E7" s="131" t="n">
        <v>26</v>
      </c>
      <c r="F7" s="130" t="n">
        <v>63.7</v>
      </c>
      <c r="G7" s="17" t="n">
        <v>19</v>
      </c>
      <c r="H7" s="132" t="n">
        <v>48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87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한양</t>
        </is>
      </c>
      <c r="B8" s="10" t="inlineStr">
        <is>
          <t>'86.05.</t>
        </is>
      </c>
      <c r="C8" s="132" t="n">
        <v>332</v>
      </c>
      <c r="D8" s="130" t="n">
        <v>116.4</v>
      </c>
      <c r="E8" s="131" t="n">
        <v>35</v>
      </c>
      <c r="F8" s="130" t="n">
        <v>84.8</v>
      </c>
      <c r="G8" s="17" t="n">
        <v>26</v>
      </c>
      <c r="H8" s="132" t="n">
        <v>48</v>
      </c>
      <c r="I8" s="133" t="n">
        <v>19000</v>
      </c>
      <c r="J8" s="133" t="inlineStr">
        <is>
          <t>중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116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대우2차</t>
        </is>
      </c>
      <c r="B10" s="10" t="inlineStr">
        <is>
          <t>'91.09.</t>
        </is>
      </c>
      <c r="C10" s="132" t="n">
        <v>408</v>
      </c>
      <c r="D10" s="130" t="n">
        <v>65.09999999999999</v>
      </c>
      <c r="E10" s="131" t="n">
        <v>20</v>
      </c>
      <c r="F10" s="130" t="n">
        <v>48.8</v>
      </c>
      <c r="G10" s="17" t="n">
        <v>15</v>
      </c>
      <c r="H10" s="132" t="n">
        <v>192</v>
      </c>
      <c r="I10" s="133" t="n">
        <v>11000</v>
      </c>
      <c r="J10" s="133" t="inlineStr">
        <is>
          <t>10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65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대우2차</t>
        </is>
      </c>
      <c r="B11" s="10" t="inlineStr">
        <is>
          <t>'91.09.</t>
        </is>
      </c>
      <c r="C11" s="132" t="n">
        <v>408</v>
      </c>
      <c r="D11" s="130" t="n">
        <v>83.90000000000001</v>
      </c>
      <c r="E11" s="131" t="n">
        <v>25</v>
      </c>
      <c r="F11" s="130" t="n">
        <v>67.8</v>
      </c>
      <c r="G11" s="17" t="n">
        <v>20</v>
      </c>
      <c r="H11" s="132" t="n">
        <v>72</v>
      </c>
      <c r="I11" s="133" t="n">
        <v>15000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대우2차</t>
        </is>
      </c>
      <c r="B12" s="10" t="inlineStr">
        <is>
          <t>'91.09.</t>
        </is>
      </c>
      <c r="C12" s="132" t="n">
        <v>408</v>
      </c>
      <c r="D12" s="130" t="n">
        <v>84.59999999999999</v>
      </c>
      <c r="E12" s="131" t="n">
        <v>26</v>
      </c>
      <c r="F12" s="130" t="n">
        <v>68.09999999999999</v>
      </c>
      <c r="G12" s="17" t="n">
        <v>21</v>
      </c>
      <c r="H12" s="132" t="n">
        <v>72</v>
      </c>
      <c r="I12" s="133" t="n">
        <v>15500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대우2차</t>
        </is>
      </c>
      <c r="B13" s="10" t="inlineStr">
        <is>
          <t>'91.09.</t>
        </is>
      </c>
      <c r="C13" s="132" t="n">
        <v>408</v>
      </c>
      <c r="D13" s="130" t="n">
        <v>96.8</v>
      </c>
      <c r="E13" s="131" t="n">
        <v>29</v>
      </c>
      <c r="F13" s="130" t="n">
        <v>79</v>
      </c>
      <c r="G13" s="17" t="n">
        <v>24</v>
      </c>
      <c r="H13" s="132" t="n">
        <v>24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96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대우2차</t>
        </is>
      </c>
      <c r="B14" s="10" t="inlineStr">
        <is>
          <t>'91.09.</t>
        </is>
      </c>
      <c r="C14" s="132" t="n">
        <v>408</v>
      </c>
      <c r="D14" s="130" t="n">
        <v>98.2</v>
      </c>
      <c r="E14" s="131" t="n">
        <v>30</v>
      </c>
      <c r="F14" s="130" t="n">
        <v>80.90000000000001</v>
      </c>
      <c r="G14" s="17" t="n">
        <v>24</v>
      </c>
      <c r="H14" s="132" t="n">
        <v>48</v>
      </c>
      <c r="I14" s="133" t="n">
        <v>18700</v>
      </c>
      <c r="J14" s="133" t="inlineStr">
        <is>
          <t>6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98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대우1차</t>
        </is>
      </c>
      <c r="B16" s="10" t="inlineStr">
        <is>
          <t>'91.09.</t>
        </is>
      </c>
      <c r="C16" s="132" t="n">
        <v>636</v>
      </c>
      <c r="D16" s="130" t="n">
        <v>51.1</v>
      </c>
      <c r="E16" s="131" t="n">
        <v>15</v>
      </c>
      <c r="F16" s="130" t="n">
        <v>37.7</v>
      </c>
      <c r="G16" s="17" t="n">
        <v>11</v>
      </c>
      <c r="H16" s="132" t="n">
        <v>60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51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대우1차</t>
        </is>
      </c>
      <c r="B17" s="10" t="inlineStr">
        <is>
          <t>'91.09.</t>
        </is>
      </c>
      <c r="C17" s="132" t="n">
        <v>636</v>
      </c>
      <c r="D17" s="130" t="n">
        <v>66.2</v>
      </c>
      <c r="E17" s="131" t="n">
        <v>20</v>
      </c>
      <c r="F17" s="130" t="n">
        <v>48.8</v>
      </c>
      <c r="G17" s="17" t="n">
        <v>15</v>
      </c>
      <c r="H17" s="132" t="n">
        <v>60</v>
      </c>
      <c r="I17" s="133" t="n">
        <v>11000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복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남산효성해링턴플레이스</t>
        </is>
      </c>
      <c r="B19" s="10" t="inlineStr">
        <is>
          <t>'18.06.</t>
        </is>
      </c>
      <c r="C19" s="132" t="n">
        <v>460</v>
      </c>
      <c r="D19" s="130" t="n">
        <v>79.59999999999999</v>
      </c>
      <c r="E19" s="131" t="n">
        <v>24</v>
      </c>
      <c r="F19" s="130" t="n">
        <v>59.9</v>
      </c>
      <c r="G19" s="17" t="n">
        <v>18</v>
      </c>
      <c r="H19" s="132" t="n">
        <v>140</v>
      </c>
      <c r="I19" s="133" t="n">
        <v>26000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79A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남산효성해링턴플레이스</t>
        </is>
      </c>
      <c r="B20" s="10" t="inlineStr">
        <is>
          <t>'18.06.</t>
        </is>
      </c>
      <c r="C20" s="132" t="n">
        <v>460</v>
      </c>
      <c r="D20" s="130" t="n">
        <v>81.59999999999999</v>
      </c>
      <c r="E20" s="131" t="n">
        <v>25</v>
      </c>
      <c r="F20" s="130" t="n">
        <v>59.9</v>
      </c>
      <c r="G20" s="17" t="n">
        <v>18</v>
      </c>
      <c r="H20" s="132" t="n">
        <v>82</v>
      </c>
      <c r="I20" s="133" t="n">
        <v>28500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남산효성해링턴플레이스</t>
        </is>
      </c>
      <c r="B21" s="10" t="inlineStr">
        <is>
          <t>'18.06.</t>
        </is>
      </c>
      <c r="C21" s="132" t="n">
        <v>460</v>
      </c>
      <c r="D21" s="130" t="n">
        <v>101.5</v>
      </c>
      <c r="E21" s="131" t="n">
        <v>31</v>
      </c>
      <c r="F21" s="130" t="n">
        <v>79.40000000000001</v>
      </c>
      <c r="G21" s="17" t="n">
        <v>24</v>
      </c>
      <c r="H21" s="132" t="n">
        <v>112</v>
      </c>
      <c r="I21" s="133" t="n">
        <v>30000</v>
      </c>
      <c r="J21" s="133" t="inlineStr">
        <is>
          <t>12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남산효성해링턴플레이스</t>
        </is>
      </c>
      <c r="B22" s="10" t="inlineStr">
        <is>
          <t>'18.06.</t>
        </is>
      </c>
      <c r="C22" s="132" t="n">
        <v>460</v>
      </c>
      <c r="D22" s="130" t="n">
        <v>108</v>
      </c>
      <c r="E22" s="131" t="n">
        <v>33</v>
      </c>
      <c r="F22" s="130" t="n">
        <v>84.90000000000001</v>
      </c>
      <c r="G22" s="17" t="n">
        <v>26</v>
      </c>
      <c r="H22" s="132" t="n">
        <v>56</v>
      </c>
      <c r="I22" s="133" t="n">
        <v>34000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남산효성해링턴플레이스</t>
        </is>
      </c>
      <c r="B23" s="10" t="inlineStr">
        <is>
          <t>'18.06.</t>
        </is>
      </c>
      <c r="C23" s="132" t="n">
        <v>460</v>
      </c>
      <c r="D23" s="130" t="n">
        <v>110.1</v>
      </c>
      <c r="E23" s="131" t="n">
        <v>33</v>
      </c>
      <c r="F23" s="130" t="n">
        <v>84.90000000000001</v>
      </c>
      <c r="G23" s="17" t="n">
        <v>26</v>
      </c>
      <c r="H23" s="132" t="n">
        <v>70</v>
      </c>
      <c r="I23" s="133" t="n">
        <v>32000</v>
      </c>
      <c r="J23" s="133" t="inlineStr">
        <is>
          <t>고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01" dxfId="23">
      <formula>AV4="X"</formula>
    </cfRule>
    <cfRule type="expression" priority="302" dxfId="22">
      <formula>AV4="후보"</formula>
    </cfRule>
  </conditionalFormatting>
  <conditionalFormatting sqref="AC1:AC2 AC4:AC6 N4:N5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N1:N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">
    <cfRule type="expression" priority="290" dxfId="3">
      <formula>AND(IF(OR($Q6=1,$Q6=2),1,0),IF($X6&lt;=20,1,0))</formula>
    </cfRule>
    <cfRule type="expression" priority="291" dxfId="2">
      <formula>AND(IF($Q6=2,1,0),IF($X6&lt;30,1,0))</formula>
    </cfRule>
    <cfRule type="expression" priority="292" dxfId="1">
      <formula>AND(IF($Q6=3,1,0),IF($X6&lt;30,1,0))</formula>
    </cfRule>
    <cfRule type="expression" priority="293" dxfId="0">
      <formula>AND(IF($Q6=3,1,IF($Q6=4,1,0)),IF($F6&lt;=85,1,0))</formula>
    </cfRule>
  </conditionalFormatting>
  <conditionalFormatting sqref="X6">
    <cfRule type="expression" priority="286" dxfId="3">
      <formula>AND(IF(OR($Q6=1,$Q6=2),1,0),IF($X6&lt;=20,1,0))</formula>
    </cfRule>
    <cfRule type="expression" priority="287" dxfId="2">
      <formula>AND(IF($Q6=2,1,0),IF($X6&lt;30,1,0))</formula>
    </cfRule>
    <cfRule type="expression" priority="288" dxfId="1">
      <formula>AND(IF($Q6=3,1,0),IF($X6&lt;30,1,0))</formula>
    </cfRule>
    <cfRule type="expression" priority="289" dxfId="0">
      <formula>AND(IF($Q6=3,1,IF($Q6=4,1,0)),IF($F6&lt;=85,1,0))</formula>
    </cfRule>
  </conditionalFormatting>
  <conditionalFormatting sqref="AI6">
    <cfRule type="expression" priority="282" dxfId="3">
      <formula>AND(IF(OR($Q6=1,$Q6=2),1,0),IF($X6&lt;=20,1,0))</formula>
    </cfRule>
    <cfRule type="expression" priority="283" dxfId="2">
      <formula>AND(IF($Q6=2,1,0),IF($X6&lt;30,1,0))</formula>
    </cfRule>
    <cfRule type="expression" priority="284" dxfId="1">
      <formula>AND(IF($Q6=3,1,0),IF($X6&lt;30,1,0))</formula>
    </cfRule>
    <cfRule type="expression" priority="285" dxfId="0">
      <formula>AND(IF($Q6=3,1,IF($Q6=4,1,0)),IF($F6&lt;=85,1,0))</formula>
    </cfRule>
  </conditionalFormatting>
  <conditionalFormatting sqref="AV7">
    <cfRule type="expression" priority="280" dxfId="23">
      <formula>AV7="X"</formula>
    </cfRule>
    <cfRule type="expression" priority="281" dxfId="22">
      <formula>AV7="후보"</formula>
    </cfRule>
  </conditionalFormatting>
  <conditionalFormatting sqref="AC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">
    <cfRule type="expression" priority="271" dxfId="3">
      <formula>AND(IF(OR($Q7=1,$Q7=2),1,0),IF($X7&lt;=20,1,0))</formula>
    </cfRule>
    <cfRule type="expression" priority="272" dxfId="2">
      <formula>AND(IF($Q7=2,1,0),IF($X7&lt;30,1,0))</formula>
    </cfRule>
    <cfRule type="expression" priority="273" dxfId="1">
      <formula>AND(IF($Q7=3,1,0),IF($X7&lt;30,1,0))</formula>
    </cfRule>
    <cfRule type="expression" priority="274" dxfId="0">
      <formula>AND(IF($Q7=3,1,IF($Q7=4,1,0)),IF($F7&lt;=85,1,0))</formula>
    </cfRule>
  </conditionalFormatting>
  <conditionalFormatting sqref="X7">
    <cfRule type="expression" priority="267" dxfId="3">
      <formula>AND(IF(OR($Q7=1,$Q7=2),1,0),IF($X7&lt;=20,1,0))</formula>
    </cfRule>
    <cfRule type="expression" priority="268" dxfId="2">
      <formula>AND(IF($Q7=2,1,0),IF($X7&lt;30,1,0))</formula>
    </cfRule>
    <cfRule type="expression" priority="269" dxfId="1">
      <formula>AND(IF($Q7=3,1,0),IF($X7&lt;30,1,0))</formula>
    </cfRule>
    <cfRule type="expression" priority="270" dxfId="0">
      <formula>AND(IF($Q7=3,1,IF($Q7=4,1,0)),IF($F7&lt;=85,1,0))</formula>
    </cfRule>
  </conditionalFormatting>
  <conditionalFormatting sqref="AI7">
    <cfRule type="expression" priority="263" dxfId="3">
      <formula>AND(IF(OR($Q7=1,$Q7=2),1,0),IF($X7&lt;=20,1,0))</formula>
    </cfRule>
    <cfRule type="expression" priority="264" dxfId="2">
      <formula>AND(IF($Q7=2,1,0),IF($X7&lt;30,1,0))</formula>
    </cfRule>
    <cfRule type="expression" priority="265" dxfId="1">
      <formula>AND(IF($Q7=3,1,0),IF($X7&lt;30,1,0))</formula>
    </cfRule>
    <cfRule type="expression" priority="266" dxfId="0">
      <formula>AND(IF($Q7=3,1,IF($Q7=4,1,0)),IF($F7&lt;=85,1,0))</formula>
    </cfRule>
  </conditionalFormatting>
  <conditionalFormatting sqref="AV8">
    <cfRule type="expression" priority="261" dxfId="23">
      <formula>AV8="X"</formula>
    </cfRule>
    <cfRule type="expression" priority="262" dxfId="22">
      <formula>AV8="후보"</formula>
    </cfRule>
  </conditionalFormatting>
  <conditionalFormatting sqref="AC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">
    <cfRule type="expression" priority="252" dxfId="3">
      <formula>AND(IF(OR($Q8=1,$Q8=2),1,0),IF($X8&lt;=20,1,0))</formula>
    </cfRule>
    <cfRule type="expression" priority="253" dxfId="2">
      <formula>AND(IF($Q8=2,1,0),IF($X8&lt;30,1,0))</formula>
    </cfRule>
    <cfRule type="expression" priority="254" dxfId="1">
      <formula>AND(IF($Q8=3,1,0),IF($X8&lt;30,1,0))</formula>
    </cfRule>
    <cfRule type="expression" priority="255" dxfId="0">
      <formula>AND(IF($Q8=3,1,IF($Q8=4,1,0)),IF($F8&lt;=85,1,0))</formula>
    </cfRule>
  </conditionalFormatting>
  <conditionalFormatting sqref="X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AI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 N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23">
      <formula>AV11="X"</formula>
    </cfRule>
    <cfRule type="expression" priority="219" dxfId="22">
      <formula>AV11="후보"</formula>
    </cfRule>
  </conditionalFormatting>
  <conditionalFormatting sqref="AC1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23">
      <formula>AV12="X"</formula>
    </cfRule>
    <cfRule type="expression" priority="200" dxfId="22">
      <formula>AV12="후보"</formula>
    </cfRule>
  </conditionalFormatting>
  <conditionalFormatting sqref="AC1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23">
      <formula>AV13="X"</formula>
    </cfRule>
    <cfRule type="expression" priority="181" dxfId="22">
      <formula>AV13="후보"</formula>
    </cfRule>
  </conditionalFormatting>
  <conditionalFormatting sqref="AC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 N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위드파크</t>
        </is>
      </c>
      <c r="B6" s="10" t="inlineStr">
        <is>
          <t>'98.05.</t>
        </is>
      </c>
      <c r="C6" s="132" t="n">
        <v>960</v>
      </c>
      <c r="D6" s="130" t="n">
        <v>69.90000000000001</v>
      </c>
      <c r="E6" s="131" t="n">
        <v>21</v>
      </c>
      <c r="F6" s="130" t="n">
        <v>51.5</v>
      </c>
      <c r="G6" s="17" t="n">
        <v>16</v>
      </c>
      <c r="H6" s="132" t="n">
        <v>120</v>
      </c>
      <c r="I6" s="133" t="n">
        <v>19100</v>
      </c>
      <c r="J6" s="133" t="inlineStr">
        <is>
          <t>10</t>
        </is>
      </c>
      <c r="K6" s="133" t="n">
        <v>17000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위드파크</t>
        </is>
      </c>
      <c r="B7" s="10" t="inlineStr">
        <is>
          <t>'98.05.</t>
        </is>
      </c>
      <c r="C7" s="132" t="n">
        <v>960</v>
      </c>
      <c r="D7" s="130" t="n">
        <v>70.5</v>
      </c>
      <c r="E7" s="131" t="n">
        <v>21</v>
      </c>
      <c r="F7" s="130" t="n">
        <v>53.8</v>
      </c>
      <c r="G7" s="17" t="n">
        <v>16</v>
      </c>
      <c r="H7" s="132" t="n">
        <v>390</v>
      </c>
      <c r="I7" s="133" t="n">
        <v>22000</v>
      </c>
      <c r="J7" s="133" t="inlineStr">
        <is>
          <t>11</t>
        </is>
      </c>
      <c r="K7" s="133" t="n">
        <v>19000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복</t>
        </is>
      </c>
      <c r="T7" s="5" t="n">
        <v>70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위드파크</t>
        </is>
      </c>
      <c r="B8" s="10" t="inlineStr">
        <is>
          <t>'98.05.</t>
        </is>
      </c>
      <c r="C8" s="132" t="n">
        <v>960</v>
      </c>
      <c r="D8" s="130" t="n">
        <v>76.5</v>
      </c>
      <c r="E8" s="131" t="n">
        <v>23</v>
      </c>
      <c r="F8" s="130" t="n">
        <v>58.5</v>
      </c>
      <c r="G8" s="17" t="n">
        <v>18</v>
      </c>
      <c r="H8" s="132" t="n">
        <v>360</v>
      </c>
      <c r="I8" s="133" t="n">
        <v>24000</v>
      </c>
      <c r="J8" s="133" t="inlineStr">
        <is>
          <t>15</t>
        </is>
      </c>
      <c r="K8" s="133" t="n">
        <v>22000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복</t>
        </is>
      </c>
      <c r="T8" s="5" t="n">
        <v>76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위드파크</t>
        </is>
      </c>
      <c r="B9" s="10" t="inlineStr">
        <is>
          <t>'98.05.</t>
        </is>
      </c>
      <c r="C9" s="132" t="n">
        <v>960</v>
      </c>
      <c r="D9" s="130" t="n">
        <v>78.09999999999999</v>
      </c>
      <c r="E9" s="131" t="n">
        <v>24</v>
      </c>
      <c r="F9" s="130" t="n">
        <v>59.7</v>
      </c>
      <c r="G9" s="17" t="n">
        <v>18</v>
      </c>
      <c r="H9" s="132" t="n">
        <v>60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1</v>
      </c>
      <c r="S9" s="120" t="inlineStr">
        <is>
          <t>복</t>
        </is>
      </c>
      <c r="T9" s="5" t="n">
        <v>78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위드파크</t>
        </is>
      </c>
      <c r="B10" s="10" t="inlineStr">
        <is>
          <t>'98.05.</t>
        </is>
      </c>
      <c r="C10" s="132" t="n">
        <v>960</v>
      </c>
      <c r="D10" s="130" t="n">
        <v>78.2</v>
      </c>
      <c r="E10" s="131" t="n">
        <v>24</v>
      </c>
      <c r="F10" s="130" t="n">
        <v>59.7</v>
      </c>
      <c r="G10" s="17" t="n">
        <v>18</v>
      </c>
      <c r="H10" s="132" t="n">
        <v>30</v>
      </c>
      <c r="I10" s="133" t="n">
        <v>27000</v>
      </c>
      <c r="J10" s="133" t="inlineStr">
        <is>
          <t>14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inlineStr">
        <is>
          <t>78E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롯데</t>
        </is>
      </c>
      <c r="B12" s="10" t="inlineStr">
        <is>
          <t>'90.09.</t>
        </is>
      </c>
      <c r="C12" s="132" t="n">
        <v>450</v>
      </c>
      <c r="D12" s="130" t="n">
        <v>87.3</v>
      </c>
      <c r="E12" s="131" t="n">
        <v>26</v>
      </c>
      <c r="F12" s="130" t="n">
        <v>71.59999999999999</v>
      </c>
      <c r="G12" s="17" t="n">
        <v>22</v>
      </c>
      <c r="H12" s="132" t="n">
        <v>150</v>
      </c>
      <c r="I12" s="133" t="n">
        <v>27500</v>
      </c>
      <c r="J12" s="133" t="inlineStr">
        <is>
          <t>13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87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롯데</t>
        </is>
      </c>
      <c r="B13" s="10" t="inlineStr">
        <is>
          <t>'90.09.</t>
        </is>
      </c>
      <c r="C13" s="132" t="n">
        <v>450</v>
      </c>
      <c r="D13" s="130" t="n">
        <v>102.2</v>
      </c>
      <c r="E13" s="131" t="n">
        <v>31</v>
      </c>
      <c r="F13" s="130" t="n">
        <v>84.7</v>
      </c>
      <c r="G13" s="17" t="n">
        <v>26</v>
      </c>
      <c r="H13" s="132" t="n">
        <v>180</v>
      </c>
      <c r="I13" s="133" t="n">
        <v>31000</v>
      </c>
      <c r="J13" s="133" t="inlineStr">
        <is>
          <t>10</t>
        </is>
      </c>
      <c r="K13" s="133" t="n">
        <v>28000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102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롯데</t>
        </is>
      </c>
      <c r="B14" s="10" t="inlineStr">
        <is>
          <t>'90.09.</t>
        </is>
      </c>
      <c r="C14" s="132" t="n">
        <v>450</v>
      </c>
      <c r="D14" s="130" t="n">
        <v>149.4</v>
      </c>
      <c r="E14" s="131" t="n">
        <v>45</v>
      </c>
      <c r="F14" s="130" t="n">
        <v>129.9</v>
      </c>
      <c r="G14" s="17" t="n">
        <v>39</v>
      </c>
      <c r="H14" s="132" t="n">
        <v>120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상남동성(남양동성)</t>
        </is>
      </c>
      <c r="B16" s="10" t="inlineStr">
        <is>
          <t>'90.09.</t>
        </is>
      </c>
      <c r="C16" s="132" t="n">
        <v>540</v>
      </c>
      <c r="D16" s="130" t="n">
        <v>93.7</v>
      </c>
      <c r="E16" s="131" t="n">
        <v>28</v>
      </c>
      <c r="F16" s="130" t="n">
        <v>77.7</v>
      </c>
      <c r="G16" s="17" t="n">
        <v>24</v>
      </c>
      <c r="H16" s="132" t="n">
        <v>180</v>
      </c>
      <c r="I16" s="133" t="n">
        <v>28500</v>
      </c>
      <c r="J16" s="133" t="inlineStr">
        <is>
          <t>10</t>
        </is>
      </c>
      <c r="K16" s="133" t="n">
        <v>24000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93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상남동성(남양동성)</t>
        </is>
      </c>
      <c r="B17" s="10" t="inlineStr">
        <is>
          <t>'90.09.</t>
        </is>
      </c>
      <c r="C17" s="132" t="n">
        <v>540</v>
      </c>
      <c r="D17" s="130" t="n">
        <v>101.6</v>
      </c>
      <c r="E17" s="131" t="n">
        <v>31</v>
      </c>
      <c r="F17" s="130" t="n">
        <v>84.90000000000001</v>
      </c>
      <c r="G17" s="17" t="n">
        <v>26</v>
      </c>
      <c r="H17" s="132" t="n">
        <v>180</v>
      </c>
      <c r="I17" s="133" t="n">
        <v>29500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상남동성(남양동성)</t>
        </is>
      </c>
      <c r="B18" s="10" t="inlineStr">
        <is>
          <t>'90.09.</t>
        </is>
      </c>
      <c r="C18" s="132" t="n">
        <v>540</v>
      </c>
      <c r="D18" s="130" t="n">
        <v>155.3</v>
      </c>
      <c r="E18" s="131" t="n">
        <v>47</v>
      </c>
      <c r="F18" s="130" t="n">
        <v>135.1</v>
      </c>
      <c r="G18" s="17" t="n">
        <v>41</v>
      </c>
      <c r="H18" s="132" t="n">
        <v>180</v>
      </c>
      <c r="I18" s="133" t="n">
        <v>38000</v>
      </c>
      <c r="J18" s="133" t="inlineStr">
        <is>
          <t>13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우성</t>
        </is>
      </c>
      <c r="B20" s="10" t="inlineStr">
        <is>
          <t>'89.12.</t>
        </is>
      </c>
      <c r="C20" s="132" t="n">
        <v>750</v>
      </c>
      <c r="D20" s="130" t="n">
        <v>83.40000000000001</v>
      </c>
      <c r="E20" s="131" t="n">
        <v>25</v>
      </c>
      <c r="F20" s="130" t="n">
        <v>68.2</v>
      </c>
      <c r="G20" s="17" t="n">
        <v>21</v>
      </c>
      <c r="H20" s="132" t="n">
        <v>90</v>
      </c>
      <c r="I20" s="133" t="n">
        <v>37500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우성</t>
        </is>
      </c>
      <c r="B21" s="10" t="inlineStr">
        <is>
          <t>'89.12.</t>
        </is>
      </c>
      <c r="C21" s="132" t="n">
        <v>750</v>
      </c>
      <c r="D21" s="130" t="n">
        <v>89</v>
      </c>
      <c r="E21" s="131" t="n">
        <v>27</v>
      </c>
      <c r="F21" s="130" t="n">
        <v>73.40000000000001</v>
      </c>
      <c r="G21" s="17" t="n">
        <v>22</v>
      </c>
      <c r="H21" s="132" t="n">
        <v>270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우성</t>
        </is>
      </c>
      <c r="B22" s="10" t="inlineStr">
        <is>
          <t>'89.12.</t>
        </is>
      </c>
      <c r="C22" s="132" t="n">
        <v>750</v>
      </c>
      <c r="D22" s="130" t="n">
        <v>99.8</v>
      </c>
      <c r="E22" s="131" t="n">
        <v>30</v>
      </c>
      <c r="F22" s="130" t="n">
        <v>83.5</v>
      </c>
      <c r="G22" s="17" t="n">
        <v>25</v>
      </c>
      <c r="H22" s="132" t="n">
        <v>390</v>
      </c>
      <c r="I22" s="133" t="n">
        <v>39000</v>
      </c>
      <c r="J22" s="133" t="inlineStr">
        <is>
          <t>13</t>
        </is>
      </c>
      <c r="K22" s="133" t="n">
        <v>30000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피오르빌</t>
        </is>
      </c>
      <c r="B24" s="10" t="inlineStr">
        <is>
          <t>'95.07.</t>
        </is>
      </c>
      <c r="C24" s="132" t="n">
        <v>1560</v>
      </c>
      <c r="D24" s="130" t="n">
        <v>52.9</v>
      </c>
      <c r="E24" s="131" t="n">
        <v>16</v>
      </c>
      <c r="F24" s="130" t="n">
        <v>39.7</v>
      </c>
      <c r="G24" s="17" t="n">
        <v>12</v>
      </c>
      <c r="H24" s="132" t="n">
        <v>540</v>
      </c>
      <c r="I24" s="133" t="n">
        <v>15000</v>
      </c>
      <c r="J24" s="133" t="inlineStr">
        <is>
          <t>15</t>
        </is>
      </c>
      <c r="K24" s="133" t="n">
        <v>13000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복</t>
        </is>
      </c>
      <c r="T24" s="5" t="n">
        <v>52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피오르빌</t>
        </is>
      </c>
      <c r="B25" s="10" t="inlineStr">
        <is>
          <t>'95.07.</t>
        </is>
      </c>
      <c r="C25" s="132" t="n">
        <v>1560</v>
      </c>
      <c r="D25" s="130" t="n">
        <v>66</v>
      </c>
      <c r="E25" s="131" t="n">
        <v>20</v>
      </c>
      <c r="F25" s="130" t="n">
        <v>49.5</v>
      </c>
      <c r="G25" s="17" t="n">
        <v>15</v>
      </c>
      <c r="H25" s="132" t="n">
        <v>1020</v>
      </c>
      <c r="I25" s="133" t="n">
        <v>19300</v>
      </c>
      <c r="J25" s="133" t="inlineStr">
        <is>
          <t>10</t>
        </is>
      </c>
      <c r="K25" s="133" t="n">
        <v>15000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복</t>
        </is>
      </c>
      <c r="T25" s="5" t="n">
        <v>66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한림엘리시온</t>
        </is>
      </c>
      <c r="B27" s="10" t="inlineStr">
        <is>
          <t>'02.05.</t>
        </is>
      </c>
      <c r="C27" s="132" t="n">
        <v>210</v>
      </c>
      <c r="D27" s="130" t="n">
        <v>109.1</v>
      </c>
      <c r="E27" s="131" t="n">
        <v>33</v>
      </c>
      <c r="F27" s="130" t="n">
        <v>84.90000000000001</v>
      </c>
      <c r="G27" s="17" t="n">
        <v>26</v>
      </c>
      <c r="H27" s="132" t="n">
        <v>210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성원2차</t>
        </is>
      </c>
      <c r="B29" s="10" t="inlineStr">
        <is>
          <t>'92.02.</t>
        </is>
      </c>
      <c r="C29" s="132" t="n">
        <v>1404</v>
      </c>
      <c r="D29" s="130" t="n">
        <v>96.5</v>
      </c>
      <c r="E29" s="131" t="n">
        <v>29</v>
      </c>
      <c r="F29" s="130" t="n">
        <v>79.7</v>
      </c>
      <c r="G29" s="17" t="n">
        <v>24</v>
      </c>
      <c r="H29" s="132" t="n">
        <v>144</v>
      </c>
      <c r="I29" s="133" t="n">
        <v>30000</v>
      </c>
      <c r="J29" s="133" t="inlineStr">
        <is>
          <t>중</t>
        </is>
      </c>
      <c r="K29" s="133" t="n">
        <v>27000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성원2차</t>
        </is>
      </c>
      <c r="B30" s="10" t="inlineStr">
        <is>
          <t>'92.02.</t>
        </is>
      </c>
      <c r="C30" s="132" t="n">
        <v>1404</v>
      </c>
      <c r="D30" s="130" t="n">
        <v>102.1</v>
      </c>
      <c r="E30" s="131" t="n">
        <v>31</v>
      </c>
      <c r="F30" s="130" t="n">
        <v>84.90000000000001</v>
      </c>
      <c r="G30" s="17" t="n">
        <v>26</v>
      </c>
      <c r="H30" s="132" t="n">
        <v>1020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성원2차</t>
        </is>
      </c>
      <c r="B31" s="10" t="inlineStr">
        <is>
          <t>'92.02.</t>
        </is>
      </c>
      <c r="C31" s="132" t="n">
        <v>1404</v>
      </c>
      <c r="D31" s="130" t="n">
        <v>115.5</v>
      </c>
      <c r="E31" s="131" t="n">
        <v>35</v>
      </c>
      <c r="F31" s="130" t="n">
        <v>97</v>
      </c>
      <c r="G31" s="17" t="n">
        <v>29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115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성원2차</t>
        </is>
      </c>
      <c r="B32" s="10" t="inlineStr">
        <is>
          <t>'92.02.</t>
        </is>
      </c>
      <c r="C32" s="132" t="n">
        <v>1404</v>
      </c>
      <c r="D32" s="130" t="n">
        <v>131.6</v>
      </c>
      <c r="E32" s="131" t="n">
        <v>40</v>
      </c>
      <c r="F32" s="130" t="n">
        <v>112.8</v>
      </c>
      <c r="G32" s="17" t="n">
        <v>34</v>
      </c>
      <c r="H32" s="132" t="n">
        <v>30</v>
      </c>
      <c r="I32" s="133" t="n">
        <v>40000</v>
      </c>
      <c r="J32" s="133" t="inlineStr">
        <is>
          <t>고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131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성원2차</t>
        </is>
      </c>
      <c r="B33" s="10" t="inlineStr">
        <is>
          <t>'92.02.</t>
        </is>
      </c>
      <c r="C33" s="132" t="n">
        <v>1404</v>
      </c>
      <c r="D33" s="130" t="n">
        <v>136.6</v>
      </c>
      <c r="E33" s="131" t="n">
        <v>41</v>
      </c>
      <c r="F33" s="130" t="n">
        <v>118.1</v>
      </c>
      <c r="G33" s="17" t="n">
        <v>36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성원2차</t>
        </is>
      </c>
      <c r="B34" s="10" t="inlineStr">
        <is>
          <t>'92.02.</t>
        </is>
      </c>
      <c r="C34" s="132" t="n">
        <v>1404</v>
      </c>
      <c r="D34" s="130" t="n">
        <v>175.3</v>
      </c>
      <c r="E34" s="131" t="n">
        <v>53</v>
      </c>
      <c r="F34" s="130" t="n">
        <v>153.1</v>
      </c>
      <c r="G34" s="17" t="n">
        <v>46</v>
      </c>
      <c r="H34" s="132" t="n">
        <v>60</v>
      </c>
      <c r="I34" s="133" t="n">
        <v>44000</v>
      </c>
      <c r="J34" s="133" t="inlineStr">
        <is>
          <t>10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5</v>
      </c>
      <c r="R34" s="120" t="n">
        <v>2</v>
      </c>
      <c r="S34" s="120" t="inlineStr">
        <is>
          <t>계</t>
        </is>
      </c>
      <c r="T34" s="5" t="n">
        <v>175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성원2차</t>
        </is>
      </c>
      <c r="B35" s="10" t="inlineStr">
        <is>
          <t>'92.02.</t>
        </is>
      </c>
      <c r="C35" s="132" t="n">
        <v>1404</v>
      </c>
      <c r="D35" s="130" t="n">
        <v>218.1</v>
      </c>
      <c r="E35" s="131" t="n">
        <v>66</v>
      </c>
      <c r="F35" s="130" t="n">
        <v>192.5</v>
      </c>
      <c r="G35" s="17" t="n">
        <v>58</v>
      </c>
      <c r="H35" s="132" t="n">
        <v>30</v>
      </c>
      <c r="I35" s="133" t="n">
        <v>49000</v>
      </c>
      <c r="J35" s="133" t="inlineStr">
        <is>
          <t>중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6</v>
      </c>
      <c r="R35" s="120" t="n">
        <v>3</v>
      </c>
      <c r="S35" s="120" t="inlineStr">
        <is>
          <t>계</t>
        </is>
      </c>
      <c r="T35" s="5" t="n">
        <v>218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성원1차(그랜드타운남산)</t>
        </is>
      </c>
      <c r="B37" s="10" t="inlineStr">
        <is>
          <t>'91.01.</t>
        </is>
      </c>
      <c r="C37" s="132" t="n">
        <v>1350</v>
      </c>
      <c r="D37" s="130" t="n">
        <v>95.7</v>
      </c>
      <c r="E37" s="131" t="n">
        <v>29</v>
      </c>
      <c r="F37" s="130" t="n">
        <v>79.7</v>
      </c>
      <c r="G37" s="17" t="n">
        <v>24</v>
      </c>
      <c r="H37" s="132" t="n">
        <v>180</v>
      </c>
      <c r="I37" s="133" t="n">
        <v>30000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95A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성원1차(그랜드타운남산)</t>
        </is>
      </c>
      <c r="B38" s="10" t="inlineStr">
        <is>
          <t>'91.01.</t>
        </is>
      </c>
      <c r="C38" s="132" t="n">
        <v>1350</v>
      </c>
      <c r="D38" s="130" t="n">
        <v>95.7</v>
      </c>
      <c r="E38" s="131" t="n">
        <v>29</v>
      </c>
      <c r="F38" s="130" t="n">
        <v>79.8</v>
      </c>
      <c r="G38" s="17" t="n">
        <v>24</v>
      </c>
      <c r="H38" s="132" t="n">
        <v>180</v>
      </c>
      <c r="I38" s="133" t="n">
        <v>28500</v>
      </c>
      <c r="J38" s="133" t="inlineStr">
        <is>
          <t>고</t>
        </is>
      </c>
      <c r="K38" s="133" t="n">
        <v>20000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inlineStr">
        <is>
          <t>95B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성원1차(그랜드타운남산)</t>
        </is>
      </c>
      <c r="B39" s="10" t="inlineStr">
        <is>
          <t>'91.01.</t>
        </is>
      </c>
      <c r="C39" s="132" t="n">
        <v>1350</v>
      </c>
      <c r="D39" s="130" t="n">
        <v>102.9</v>
      </c>
      <c r="E39" s="131" t="n">
        <v>31</v>
      </c>
      <c r="F39" s="130" t="n">
        <v>85</v>
      </c>
      <c r="G39" s="17" t="n">
        <v>26</v>
      </c>
      <c r="H39" s="132" t="n">
        <v>510</v>
      </c>
      <c r="I39" s="133" t="n">
        <v>30000</v>
      </c>
      <c r="J39" s="133" t="inlineStr">
        <is>
          <t>15</t>
        </is>
      </c>
      <c r="K39" s="133" t="n">
        <v>28000</v>
      </c>
      <c r="L39" s="133" t="inlineStr">
        <is>
          <t>14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성원1차(그랜드타운남산)</t>
        </is>
      </c>
      <c r="B40" s="10" t="inlineStr">
        <is>
          <t>'91.01.</t>
        </is>
      </c>
      <c r="C40" s="132" t="n">
        <v>1350</v>
      </c>
      <c r="D40" s="130" t="n">
        <v>102.9</v>
      </c>
      <c r="E40" s="131" t="n">
        <v>31</v>
      </c>
      <c r="F40" s="130" t="n">
        <v>84.7</v>
      </c>
      <c r="G40" s="17" t="n">
        <v>26</v>
      </c>
      <c r="H40" s="132" t="n">
        <v>255</v>
      </c>
      <c r="I40" s="133" t="n">
        <v>33000</v>
      </c>
      <c r="J40" s="133" t="inlineStr">
        <is>
          <t>10</t>
        </is>
      </c>
      <c r="K40" s="133" t="n">
        <v>31000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성원1차(그랜드타운남산)</t>
        </is>
      </c>
      <c r="B41" s="10" t="inlineStr">
        <is>
          <t>'91.01.</t>
        </is>
      </c>
      <c r="C41" s="132" t="n">
        <v>1350</v>
      </c>
      <c r="D41" s="130" t="n">
        <v>116.5</v>
      </c>
      <c r="E41" s="131" t="n">
        <v>35</v>
      </c>
      <c r="F41" s="130" t="n">
        <v>96.7</v>
      </c>
      <c r="G41" s="17" t="n">
        <v>29</v>
      </c>
      <c r="H41" s="132" t="n">
        <v>15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116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성원1차(그랜드타운남산)</t>
        </is>
      </c>
      <c r="B42" s="10" t="inlineStr">
        <is>
          <t>'91.01.</t>
        </is>
      </c>
      <c r="C42" s="132" t="n">
        <v>1350</v>
      </c>
      <c r="D42" s="130" t="n">
        <v>139.2</v>
      </c>
      <c r="E42" s="131" t="n">
        <v>42</v>
      </c>
      <c r="F42" s="130" t="n">
        <v>119</v>
      </c>
      <c r="G42" s="17" t="n">
        <v>36</v>
      </c>
      <c r="H42" s="132" t="n">
        <v>150</v>
      </c>
      <c r="I42" s="133" t="n">
        <v>42000</v>
      </c>
      <c r="J42" s="133" t="inlineStr">
        <is>
          <t>7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139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성원1차(그랜드타운남산)</t>
        </is>
      </c>
      <c r="B43" s="10" t="inlineStr">
        <is>
          <t>'91.01.</t>
        </is>
      </c>
      <c r="C43" s="132" t="n">
        <v>1350</v>
      </c>
      <c r="D43" s="130" t="n">
        <v>163</v>
      </c>
      <c r="E43" s="131" t="n">
        <v>49</v>
      </c>
      <c r="F43" s="130" t="n">
        <v>140.8</v>
      </c>
      <c r="G43" s="17" t="n">
        <v>43</v>
      </c>
      <c r="H43" s="132" t="n">
        <v>60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163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 N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">
    <cfRule type="expression" priority="514" dxfId="3">
      <formula>AND(IF(OR($Q12=1,$Q12=2),1,0),IF($X12&lt;=20,1,0))</formula>
    </cfRule>
    <cfRule type="expression" priority="515" dxfId="2">
      <formula>AND(IF($Q12=2,1,0),IF($X12&lt;30,1,0))</formula>
    </cfRule>
    <cfRule type="expression" priority="516" dxfId="1">
      <formula>AND(IF($Q12=3,1,0),IF($X12&lt;30,1,0))</formula>
    </cfRule>
    <cfRule type="expression" priority="517" dxfId="0">
      <formula>AND(IF($Q12=3,1,IF($Q12=4,1,0)),IF($F12&lt;=85,1,0))</formula>
    </cfRule>
  </conditionalFormatting>
  <conditionalFormatting sqref="X12">
    <cfRule type="expression" priority="510" dxfId="3">
      <formula>AND(IF(OR($Q12=1,$Q12=2),1,0),IF($X12&lt;=20,1,0))</formula>
    </cfRule>
    <cfRule type="expression" priority="511" dxfId="2">
      <formula>AND(IF($Q12=2,1,0),IF($X12&lt;30,1,0))</formula>
    </cfRule>
    <cfRule type="expression" priority="512" dxfId="1">
      <formula>AND(IF($Q12=3,1,0),IF($X12&lt;30,1,0))</formula>
    </cfRule>
    <cfRule type="expression" priority="513" dxfId="0">
      <formula>AND(IF($Q12=3,1,IF($Q12=4,1,0)),IF($F12&lt;=85,1,0))</formula>
    </cfRule>
  </conditionalFormatting>
  <conditionalFormatting sqref="AI12">
    <cfRule type="expression" priority="506" dxfId="3">
      <formula>AND(IF(OR($Q12=1,$Q12=2),1,0),IF($X12&lt;=20,1,0))</formula>
    </cfRule>
    <cfRule type="expression" priority="507" dxfId="2">
      <formula>AND(IF($Q12=2,1,0),IF($X12&lt;30,1,0))</formula>
    </cfRule>
    <cfRule type="expression" priority="508" dxfId="1">
      <formula>AND(IF($Q12=3,1,0),IF($X12&lt;30,1,0))</formula>
    </cfRule>
    <cfRule type="expression" priority="509" dxfId="0">
      <formula>AND(IF($Q12=3,1,IF($Q12=4,1,0)),IF($F12&lt;=85,1,0))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 N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 N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0">
    <cfRule type="expression" priority="399" dxfId="23">
      <formula>AV20="X"</formula>
    </cfRule>
    <cfRule type="expression" priority="400" dxfId="22">
      <formula>AV20="후보"</formula>
    </cfRule>
  </conditionalFormatting>
  <conditionalFormatting sqref="AC2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0">
    <cfRule type="expression" priority="390" dxfId="3">
      <formula>AND(IF(OR($Q20=1,$Q20=2),1,0),IF($X20&lt;=20,1,0))</formula>
    </cfRule>
    <cfRule type="expression" priority="391" dxfId="2">
      <formula>AND(IF($Q20=2,1,0),IF($X20&lt;30,1,0))</formula>
    </cfRule>
    <cfRule type="expression" priority="392" dxfId="1">
      <formula>AND(IF($Q20=3,1,0),IF($X20&lt;30,1,0))</formula>
    </cfRule>
    <cfRule type="expression" priority="393" dxfId="0">
      <formula>AND(IF($Q20=3,1,IF($Q20=4,1,0)),IF($F20&lt;=85,1,0))</formula>
    </cfRule>
  </conditionalFormatting>
  <conditionalFormatting sqref="X20">
    <cfRule type="expression" priority="386" dxfId="3">
      <formula>AND(IF(OR($Q20=1,$Q20=2),1,0),IF($X20&lt;=20,1,0))</formula>
    </cfRule>
    <cfRule type="expression" priority="387" dxfId="2">
      <formula>AND(IF($Q20=2,1,0),IF($X20&lt;30,1,0))</formula>
    </cfRule>
    <cfRule type="expression" priority="388" dxfId="1">
      <formula>AND(IF($Q20=3,1,0),IF($X20&lt;30,1,0))</formula>
    </cfRule>
    <cfRule type="expression" priority="389" dxfId="0">
      <formula>AND(IF($Q20=3,1,IF($Q20=4,1,0)),IF($F20&lt;=85,1,0))</formula>
    </cfRule>
  </conditionalFormatting>
  <conditionalFormatting sqref="AI20">
    <cfRule type="expression" priority="382" dxfId="3">
      <formula>AND(IF(OR($Q20=1,$Q20=2),1,0),IF($X20&lt;=20,1,0))</formula>
    </cfRule>
    <cfRule type="expression" priority="383" dxfId="2">
      <formula>AND(IF($Q20=2,1,0),IF($X20&lt;30,1,0))</formula>
    </cfRule>
    <cfRule type="expression" priority="384" dxfId="1">
      <formula>AND(IF($Q20=3,1,0),IF($X20&lt;30,1,0))</formula>
    </cfRule>
    <cfRule type="expression" priority="385" dxfId="0">
      <formula>AND(IF($Q20=3,1,IF($Q20=4,1,0)),IF($F20&lt;=85,1,0))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 N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24">
    <cfRule type="expression" priority="337" dxfId="23">
      <formula>AV24="X"</formula>
    </cfRule>
    <cfRule type="expression" priority="338" dxfId="22">
      <formula>AV24="후보"</formula>
    </cfRule>
  </conditionalFormatting>
  <conditionalFormatting sqref="AC2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4">
    <cfRule type="expression" priority="328" dxfId="3">
      <formula>AND(IF(OR($Q24=1,$Q24=2),1,0),IF($X24&lt;=20,1,0))</formula>
    </cfRule>
    <cfRule type="expression" priority="329" dxfId="2">
      <formula>AND(IF($Q24=2,1,0),IF($X24&lt;30,1,0))</formula>
    </cfRule>
    <cfRule type="expression" priority="330" dxfId="1">
      <formula>AND(IF($Q24=3,1,0),IF($X24&lt;30,1,0))</formula>
    </cfRule>
    <cfRule type="expression" priority="331" dxfId="0">
      <formula>AND(IF($Q24=3,1,IF($Q24=4,1,0)),IF($F24&lt;=85,1,0))</formula>
    </cfRule>
  </conditionalFormatting>
  <conditionalFormatting sqref="X24">
    <cfRule type="expression" priority="324" dxfId="3">
      <formula>AND(IF(OR($Q24=1,$Q24=2),1,0),IF($X24&lt;=20,1,0))</formula>
    </cfRule>
    <cfRule type="expression" priority="325" dxfId="2">
      <formula>AND(IF($Q24=2,1,0),IF($X24&lt;30,1,0))</formula>
    </cfRule>
    <cfRule type="expression" priority="326" dxfId="1">
      <formula>AND(IF($Q24=3,1,0),IF($X24&lt;30,1,0))</formula>
    </cfRule>
    <cfRule type="expression" priority="327" dxfId="0">
      <formula>AND(IF($Q24=3,1,IF($Q24=4,1,0)),IF($F24&lt;=85,1,0))</formula>
    </cfRule>
  </conditionalFormatting>
  <conditionalFormatting sqref="AI24">
    <cfRule type="expression" priority="320" dxfId="3">
      <formula>AND(IF(OR($Q24=1,$Q24=2),1,0),IF($X24&lt;=20,1,0))</formula>
    </cfRule>
    <cfRule type="expression" priority="321" dxfId="2">
      <formula>AND(IF($Q24=2,1,0),IF($X24&lt;30,1,0))</formula>
    </cfRule>
    <cfRule type="expression" priority="322" dxfId="1">
      <formula>AND(IF($Q24=3,1,0),IF($X24&lt;30,1,0))</formula>
    </cfRule>
    <cfRule type="expression" priority="323" dxfId="0">
      <formula>AND(IF($Q24=3,1,IF($Q24=4,1,0)),IF($F24&lt;=85,1,0))</formula>
    </cfRule>
  </conditionalFormatting>
  <conditionalFormatting sqref="AV25">
    <cfRule type="expression" priority="318" dxfId="23">
      <formula>AV25="X"</formula>
    </cfRule>
    <cfRule type="expression" priority="319" dxfId="22">
      <formula>AV25="후보"</formula>
    </cfRule>
  </conditionalFormatting>
  <conditionalFormatting sqref="AC2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5">
    <cfRule type="expression" priority="309" dxfId="3">
      <formula>AND(IF(OR($Q25=1,$Q25=2),1,0),IF($X25&lt;=20,1,0))</formula>
    </cfRule>
    <cfRule type="expression" priority="310" dxfId="2">
      <formula>AND(IF($Q25=2,1,0),IF($X25&lt;30,1,0))</formula>
    </cfRule>
    <cfRule type="expression" priority="311" dxfId="1">
      <formula>AND(IF($Q25=3,1,0),IF($X25&lt;30,1,0))</formula>
    </cfRule>
    <cfRule type="expression" priority="312" dxfId="0">
      <formula>AND(IF($Q25=3,1,IF($Q25=4,1,0)),IF($F25&lt;=85,1,0))</formula>
    </cfRule>
  </conditionalFormatting>
  <conditionalFormatting sqref="X25">
    <cfRule type="expression" priority="305" dxfId="3">
      <formula>AND(IF(OR($Q25=1,$Q25=2),1,0),IF($X25&lt;=20,1,0))</formula>
    </cfRule>
    <cfRule type="expression" priority="306" dxfId="2">
      <formula>AND(IF($Q25=2,1,0),IF($X25&lt;30,1,0))</formula>
    </cfRule>
    <cfRule type="expression" priority="307" dxfId="1">
      <formula>AND(IF($Q25=3,1,0),IF($X25&lt;30,1,0))</formula>
    </cfRule>
    <cfRule type="expression" priority="308" dxfId="0">
      <formula>AND(IF($Q25=3,1,IF($Q25=4,1,0)),IF($F25&lt;=85,1,0))</formula>
    </cfRule>
  </conditionalFormatting>
  <conditionalFormatting sqref="AI25">
    <cfRule type="expression" priority="301" dxfId="3">
      <formula>AND(IF(OR($Q25=1,$Q25=2),1,0),IF($X25&lt;=20,1,0))</formula>
    </cfRule>
    <cfRule type="expression" priority="302" dxfId="2">
      <formula>AND(IF($Q25=2,1,0),IF($X25&lt;30,1,0))</formula>
    </cfRule>
    <cfRule type="expression" priority="303" dxfId="1">
      <formula>AND(IF($Q25=3,1,0),IF($X25&lt;30,1,0))</formula>
    </cfRule>
    <cfRule type="expression" priority="304" dxfId="0">
      <formula>AND(IF($Q25=3,1,IF($Q25=4,1,0)),IF($F25&lt;=85,1,0))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 N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7">
    <cfRule type="expression" priority="294" dxfId="23">
      <formula>AV27="X"</formula>
    </cfRule>
    <cfRule type="expression" priority="295" dxfId="22">
      <formula>AV27="후보"</formula>
    </cfRule>
  </conditionalFormatting>
  <conditionalFormatting sqref="AC2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23">
      <formula>AV28="X"</formula>
    </cfRule>
    <cfRule type="expression" priority="276" dxfId="22">
      <formula>AV28="후보"</formula>
    </cfRule>
  </conditionalFormatting>
  <conditionalFormatting sqref="AC28 N2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9">
    <cfRule type="expression" priority="270" dxfId="23">
      <formula>AV29="X"</formula>
    </cfRule>
    <cfRule type="expression" priority="271" dxfId="22">
      <formula>AV29="후보"</formula>
    </cfRule>
  </conditionalFormatting>
  <conditionalFormatting sqref="AC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9">
    <cfRule type="expression" priority="261" dxfId="3">
      <formula>AND(IF(OR($Q29=1,$Q29=2),1,0),IF($X29&lt;=20,1,0))</formula>
    </cfRule>
    <cfRule type="expression" priority="262" dxfId="2">
      <formula>AND(IF($Q29=2,1,0),IF($X29&lt;30,1,0))</formula>
    </cfRule>
    <cfRule type="expression" priority="263" dxfId="1">
      <formula>AND(IF($Q29=3,1,0),IF($X29&lt;30,1,0))</formula>
    </cfRule>
    <cfRule type="expression" priority="264" dxfId="0">
      <formula>AND(IF($Q29=3,1,IF($Q29=4,1,0)),IF($F29&lt;=85,1,0))</formula>
    </cfRule>
  </conditionalFormatting>
  <conditionalFormatting sqref="X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AI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V30">
    <cfRule type="expression" priority="251" dxfId="23">
      <formula>AV30="X"</formula>
    </cfRule>
    <cfRule type="expression" priority="252" dxfId="22">
      <formula>AV30="후보"</formula>
    </cfRule>
  </conditionalFormatting>
  <conditionalFormatting sqref="AC3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0">
    <cfRule type="expression" priority="242" dxfId="3">
      <formula>AND(IF(OR($Q30=1,$Q30=2),1,0),IF($X30&lt;=20,1,0))</formula>
    </cfRule>
    <cfRule type="expression" priority="243" dxfId="2">
      <formula>AND(IF($Q30=2,1,0),IF($X30&lt;30,1,0))</formula>
    </cfRule>
    <cfRule type="expression" priority="244" dxfId="1">
      <formula>AND(IF($Q30=3,1,0),IF($X30&lt;30,1,0))</formula>
    </cfRule>
    <cfRule type="expression" priority="245" dxfId="0">
      <formula>AND(IF($Q30=3,1,IF($Q30=4,1,0)),IF($F30&lt;=85,1,0))</formula>
    </cfRule>
  </conditionalFormatting>
  <conditionalFormatting sqref="X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AI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V31">
    <cfRule type="expression" priority="232" dxfId="23">
      <formula>AV31="X"</formula>
    </cfRule>
    <cfRule type="expression" priority="233" dxfId="22">
      <formula>AV31="후보"</formula>
    </cfRule>
  </conditionalFormatting>
  <conditionalFormatting sqref="AC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23">
      <formula>AV32="X"</formula>
    </cfRule>
    <cfRule type="expression" priority="214" dxfId="22">
      <formula>AV32="후보"</formula>
    </cfRule>
  </conditionalFormatting>
  <conditionalFormatting sqref="AC3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23">
      <formula>AV33="X"</formula>
    </cfRule>
    <cfRule type="expression" priority="195" dxfId="22">
      <formula>AV33="후보"</formula>
    </cfRule>
  </conditionalFormatting>
  <conditionalFormatting sqref="AC3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 N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7">
    <cfRule type="expression" priority="132" dxfId="23">
      <formula>AV37="X"</formula>
    </cfRule>
    <cfRule type="expression" priority="133" dxfId="22">
      <formula>AV37="후보"</formula>
    </cfRule>
  </conditionalFormatting>
  <conditionalFormatting sqref="AC3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23">
      <formula>AV38="X"</formula>
    </cfRule>
    <cfRule type="expression" priority="114" dxfId="22">
      <formula>AV38="후보"</formula>
    </cfRule>
  </conditionalFormatting>
  <conditionalFormatting sqref="AC3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23">
      <formula>AV39="X"</formula>
    </cfRule>
    <cfRule type="expression" priority="95" dxfId="22">
      <formula>AV39="후보"</formula>
    </cfRule>
  </conditionalFormatting>
  <conditionalFormatting sqref="AC3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일성그라미</t>
        </is>
      </c>
      <c r="B6" s="10" t="inlineStr">
        <is>
          <t>'90.03.</t>
        </is>
      </c>
      <c r="C6" s="132" t="n">
        <v>240</v>
      </c>
      <c r="D6" s="130" t="n">
        <v>87.5</v>
      </c>
      <c r="E6" s="131" t="n">
        <v>26</v>
      </c>
      <c r="F6" s="130" t="n">
        <v>72</v>
      </c>
      <c r="G6" s="17" t="n">
        <v>22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일성그라미</t>
        </is>
      </c>
      <c r="B7" s="10" t="inlineStr">
        <is>
          <t>'90.03.</t>
        </is>
      </c>
      <c r="C7" s="132" t="n">
        <v>240</v>
      </c>
      <c r="D7" s="130" t="n">
        <v>96.59999999999999</v>
      </c>
      <c r="E7" s="131" t="n">
        <v>29</v>
      </c>
      <c r="F7" s="130" t="n">
        <v>80.3</v>
      </c>
      <c r="G7" s="17" t="n">
        <v>24</v>
      </c>
      <c r="H7" s="132" t="n">
        <v>120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목련</t>
        </is>
      </c>
      <c r="B9" s="10" t="inlineStr">
        <is>
          <t>'79.09.</t>
        </is>
      </c>
      <c r="C9" s="132" t="n">
        <v>239</v>
      </c>
      <c r="D9" s="130" t="n">
        <v>52.9</v>
      </c>
      <c r="E9" s="131" t="n">
        <v>16</v>
      </c>
      <c r="F9" s="130" t="n">
        <v>41.2</v>
      </c>
      <c r="G9" s="17" t="n">
        <v>12</v>
      </c>
      <c r="H9" s="132" t="n">
        <v>179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목련</t>
        </is>
      </c>
      <c r="B10" s="10" t="inlineStr">
        <is>
          <t>'79.09.</t>
        </is>
      </c>
      <c r="C10" s="132" t="n">
        <v>239</v>
      </c>
      <c r="D10" s="130" t="n">
        <v>76</v>
      </c>
      <c r="E10" s="131" t="n">
        <v>23</v>
      </c>
      <c r="F10" s="130" t="n">
        <v>59.7</v>
      </c>
      <c r="G10" s="17" t="n">
        <v>18</v>
      </c>
      <c r="H10" s="132" t="n">
        <v>20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복</t>
        </is>
      </c>
      <c r="T10" s="5" t="n">
        <v>76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목련</t>
        </is>
      </c>
      <c r="B11" s="10" t="inlineStr">
        <is>
          <t>'79.09.</t>
        </is>
      </c>
      <c r="C11" s="132" t="n">
        <v>239</v>
      </c>
      <c r="D11" s="130" t="n">
        <v>82.7</v>
      </c>
      <c r="E11" s="131" t="n">
        <v>25</v>
      </c>
      <c r="F11" s="130" t="n">
        <v>64</v>
      </c>
      <c r="G11" s="17" t="n">
        <v>19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복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목련</t>
        </is>
      </c>
      <c r="B12" s="10" t="inlineStr">
        <is>
          <t>'79.09.</t>
        </is>
      </c>
      <c r="C12" s="132" t="n">
        <v>239</v>
      </c>
      <c r="D12" s="130" t="n">
        <v>102.5</v>
      </c>
      <c r="E12" s="131" t="n">
        <v>31</v>
      </c>
      <c r="F12" s="130" t="n">
        <v>81.7</v>
      </c>
      <c r="G12" s="17" t="n">
        <v>25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목련</t>
        </is>
      </c>
      <c r="B13" s="10" t="inlineStr">
        <is>
          <t>'79.09.</t>
        </is>
      </c>
      <c r="C13" s="132" t="n">
        <v>239</v>
      </c>
      <c r="D13" s="130" t="n">
        <v>105.8</v>
      </c>
      <c r="E13" s="131" t="n">
        <v>32</v>
      </c>
      <c r="F13" s="130" t="n">
        <v>84.3</v>
      </c>
      <c r="G13" s="17" t="n">
        <v>25</v>
      </c>
      <c r="H13" s="132" t="n">
        <v>10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복</t>
        </is>
      </c>
      <c r="T13" s="5" t="n">
        <v>105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내동주공1단지</t>
        </is>
      </c>
      <c r="B15" s="10" t="inlineStr">
        <is>
          <t>'77.01.</t>
        </is>
      </c>
      <c r="C15" s="132" t="n">
        <v>200</v>
      </c>
      <c r="D15" s="130" t="n">
        <v>50.2</v>
      </c>
      <c r="E15" s="131" t="n">
        <v>15</v>
      </c>
      <c r="F15" s="130" t="n">
        <v>49.5</v>
      </c>
      <c r="G15" s="17" t="n">
        <v>15</v>
      </c>
      <c r="H15" s="132" t="n">
        <v>200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50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창원월드메르디앙웨스턴애비뉴</t>
        </is>
      </c>
      <c r="B17" s="10" t="inlineStr">
        <is>
          <t>'09.02.</t>
        </is>
      </c>
      <c r="C17" s="132" t="n">
        <v>504</v>
      </c>
      <c r="D17" s="130" t="n">
        <v>77.59999999999999</v>
      </c>
      <c r="E17" s="131" t="n">
        <v>23</v>
      </c>
      <c r="F17" s="130" t="n">
        <v>59.9</v>
      </c>
      <c r="G17" s="17" t="n">
        <v>18</v>
      </c>
      <c r="H17" s="132" t="n">
        <v>180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77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창원월드메르디앙웨스턴애비뉴</t>
        </is>
      </c>
      <c r="B18" s="10" t="inlineStr">
        <is>
          <t>'09.02.</t>
        </is>
      </c>
      <c r="C18" s="132" t="n">
        <v>504</v>
      </c>
      <c r="D18" s="130" t="n">
        <v>107.7</v>
      </c>
      <c r="E18" s="131" t="n">
        <v>33</v>
      </c>
      <c r="F18" s="130" t="n">
        <v>84.59999999999999</v>
      </c>
      <c r="G18" s="17" t="n">
        <v>26</v>
      </c>
      <c r="H18" s="132" t="n">
        <v>182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창원월드메르디앙웨스턴애비뉴</t>
        </is>
      </c>
      <c r="B19" s="10" t="inlineStr">
        <is>
          <t>'09.02.</t>
        </is>
      </c>
      <c r="C19" s="132" t="n">
        <v>504</v>
      </c>
      <c r="D19" s="130" t="n">
        <v>108.7</v>
      </c>
      <c r="E19" s="131" t="n">
        <v>33</v>
      </c>
      <c r="F19" s="130" t="n">
        <v>84.90000000000001</v>
      </c>
      <c r="G19" s="17" t="n">
        <v>26</v>
      </c>
      <c r="H19" s="132" t="n">
        <v>90</v>
      </c>
      <c r="I19" s="133" t="n">
        <v>30000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창원월드메르디앙웨스턴애비뉴</t>
        </is>
      </c>
      <c r="B20" s="10" t="inlineStr">
        <is>
          <t>'09.02.</t>
        </is>
      </c>
      <c r="C20" s="132" t="n">
        <v>504</v>
      </c>
      <c r="D20" s="130" t="n">
        <v>143.9</v>
      </c>
      <c r="E20" s="131" t="n">
        <v>44</v>
      </c>
      <c r="F20" s="130" t="n">
        <v>115.4</v>
      </c>
      <c r="G20" s="17" t="n">
        <v>35</v>
      </c>
      <c r="H20" s="132" t="n">
        <v>52</v>
      </c>
      <c r="I20" s="133" t="n">
        <v>35000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23">
      <formula>AV12="X"</formula>
    </cfRule>
    <cfRule type="expression" priority="143" dxfId="22">
      <formula>AV12="후보"</formula>
    </cfRule>
  </conditionalFormatting>
  <conditionalFormatting sqref="AC1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23">
      <formula>AV13="X"</formula>
    </cfRule>
    <cfRule type="expression" priority="124" dxfId="22">
      <formula>AV13="후보"</formula>
    </cfRule>
  </conditionalFormatting>
  <conditionalFormatting sqref="AC1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23">
      <formula>AV14="X"</formula>
    </cfRule>
    <cfRule type="expression" priority="105" dxfId="22">
      <formula>AV14="후보"</formula>
    </cfRule>
  </conditionalFormatting>
  <conditionalFormatting sqref="AC14 N1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 N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대방동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대방덕산타운2차</t>
        </is>
      </c>
      <c r="B6" s="10" t="inlineStr">
        <is>
          <t>'96.02.</t>
        </is>
      </c>
      <c r="C6" s="132" t="n">
        <v>586</v>
      </c>
      <c r="D6" s="130" t="n">
        <v>78.7</v>
      </c>
      <c r="E6" s="131" t="n">
        <v>24</v>
      </c>
      <c r="F6" s="130" t="n">
        <v>59.9</v>
      </c>
      <c r="G6" s="17" t="n">
        <v>18</v>
      </c>
      <c r="H6" s="132" t="n">
        <v>238</v>
      </c>
      <c r="I6" s="133" t="n">
        <v>26500</v>
      </c>
      <c r="J6" s="133" t="inlineStr">
        <is>
          <t>13</t>
        </is>
      </c>
      <c r="K6" s="133" t="n">
        <v>24000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대방덕산타운2차</t>
        </is>
      </c>
      <c r="B7" s="10" t="inlineStr">
        <is>
          <t>'96.02.</t>
        </is>
      </c>
      <c r="C7" s="132" t="n">
        <v>586</v>
      </c>
      <c r="D7" s="130" t="n">
        <v>91.3</v>
      </c>
      <c r="E7" s="131" t="n">
        <v>28</v>
      </c>
      <c r="F7" s="130" t="n">
        <v>71.8</v>
      </c>
      <c r="G7" s="17" t="n">
        <v>22</v>
      </c>
      <c r="H7" s="132" t="n">
        <v>120</v>
      </c>
      <c r="I7" s="133" t="n">
        <v>30000</v>
      </c>
      <c r="J7" s="133" t="inlineStr">
        <is>
          <t>19</t>
        </is>
      </c>
      <c r="K7" s="133" t="n">
        <v>27000</v>
      </c>
      <c r="L7" s="133" t="inlineStr">
        <is>
          <t>20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91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대방덕산타운2차</t>
        </is>
      </c>
      <c r="B8" s="10" t="inlineStr">
        <is>
          <t>'96.02.</t>
        </is>
      </c>
      <c r="C8" s="132" t="n">
        <v>586</v>
      </c>
      <c r="D8" s="130" t="n">
        <v>105.6</v>
      </c>
      <c r="E8" s="131" t="n">
        <v>32</v>
      </c>
      <c r="F8" s="130" t="n">
        <v>84.90000000000001</v>
      </c>
      <c r="G8" s="17" t="n">
        <v>26</v>
      </c>
      <c r="H8" s="132" t="n">
        <v>228</v>
      </c>
      <c r="I8" s="133" t="n">
        <v>35500</v>
      </c>
      <c r="J8" s="133" t="inlineStr">
        <is>
          <t>8</t>
        </is>
      </c>
      <c r="K8" s="133" t="n">
        <v>34000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대방그린빌</t>
        </is>
      </c>
      <c r="B10" s="10" t="inlineStr">
        <is>
          <t>'96.06.</t>
        </is>
      </c>
      <c r="C10" s="132" t="n">
        <v>834</v>
      </c>
      <c r="D10" s="130" t="n">
        <v>54.5</v>
      </c>
      <c r="E10" s="131" t="n">
        <v>16</v>
      </c>
      <c r="F10" s="130" t="n">
        <v>39.7</v>
      </c>
      <c r="G10" s="17" t="n">
        <v>12</v>
      </c>
      <c r="H10" s="132" t="n">
        <v>426</v>
      </c>
      <c r="I10" s="133" t="n">
        <v>14500</v>
      </c>
      <c r="J10" s="133" t="inlineStr">
        <is>
          <t>20</t>
        </is>
      </c>
      <c r="K10" s="133" t="n">
        <v>13000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대방그린빌</t>
        </is>
      </c>
      <c r="B11" s="10" t="inlineStr">
        <is>
          <t>'96.06.</t>
        </is>
      </c>
      <c r="C11" s="132" t="n">
        <v>834</v>
      </c>
      <c r="D11" s="130" t="n">
        <v>68.40000000000001</v>
      </c>
      <c r="E11" s="131" t="n">
        <v>21</v>
      </c>
      <c r="F11" s="130" t="n">
        <v>49.9</v>
      </c>
      <c r="G11" s="17" t="n">
        <v>15</v>
      </c>
      <c r="H11" s="132" t="n">
        <v>408</v>
      </c>
      <c r="I11" s="133" t="n">
        <v>17500</v>
      </c>
      <c r="J11" s="133" t="inlineStr">
        <is>
          <t>18</t>
        </is>
      </c>
      <c r="K11" s="133" t="n">
        <v>17000</v>
      </c>
      <c r="L11" s="133" t="inlineStr">
        <is>
          <t>17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68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대방덕산타운</t>
        </is>
      </c>
      <c r="B13" s="10" t="inlineStr">
        <is>
          <t>'92.07.</t>
        </is>
      </c>
      <c r="C13" s="132" t="n">
        <v>920</v>
      </c>
      <c r="D13" s="130" t="n">
        <v>69.5</v>
      </c>
      <c r="E13" s="131" t="n">
        <v>21</v>
      </c>
      <c r="F13" s="130" t="n">
        <v>49.9</v>
      </c>
      <c r="G13" s="17" t="n">
        <v>15</v>
      </c>
      <c r="H13" s="132" t="n">
        <v>380</v>
      </c>
      <c r="I13" s="133" t="n">
        <v>17500</v>
      </c>
      <c r="J13" s="133" t="inlineStr">
        <is>
          <t>12</t>
        </is>
      </c>
      <c r="K13" s="133" t="n">
        <v>14000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n">
        <v>69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대방덕산타운</t>
        </is>
      </c>
      <c r="B14" s="10" t="inlineStr">
        <is>
          <t>'92.07.</t>
        </is>
      </c>
      <c r="C14" s="132" t="n">
        <v>920</v>
      </c>
      <c r="D14" s="130" t="n">
        <v>74.5</v>
      </c>
      <c r="E14" s="131" t="n">
        <v>23</v>
      </c>
      <c r="F14" s="130" t="n">
        <v>60</v>
      </c>
      <c r="G14" s="17" t="n">
        <v>18</v>
      </c>
      <c r="H14" s="132" t="n">
        <v>150</v>
      </c>
      <c r="I14" s="133" t="n"/>
      <c r="J14" s="133" t="n"/>
      <c r="K14" s="133" t="n">
        <v>22000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계</t>
        </is>
      </c>
      <c r="T14" s="5" t="inlineStr">
        <is>
          <t>74A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대방덕산타운</t>
        </is>
      </c>
      <c r="B15" s="10" t="inlineStr">
        <is>
          <t>'92.07.</t>
        </is>
      </c>
      <c r="C15" s="132" t="n">
        <v>920</v>
      </c>
      <c r="D15" s="130" t="n">
        <v>75.40000000000001</v>
      </c>
      <c r="E15" s="131" t="n">
        <v>23</v>
      </c>
      <c r="F15" s="130" t="n">
        <v>60</v>
      </c>
      <c r="G15" s="17" t="n">
        <v>18</v>
      </c>
      <c r="H15" s="132" t="n">
        <v>90</v>
      </c>
      <c r="I15" s="133" t="n">
        <v>24000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75B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대방덕산타운</t>
        </is>
      </c>
      <c r="B16" s="10" t="inlineStr">
        <is>
          <t>'92.07.</t>
        </is>
      </c>
      <c r="C16" s="132" t="n">
        <v>920</v>
      </c>
      <c r="D16" s="130" t="n">
        <v>101.9</v>
      </c>
      <c r="E16" s="131" t="n">
        <v>31</v>
      </c>
      <c r="F16" s="130" t="n">
        <v>85</v>
      </c>
      <c r="G16" s="17" t="n">
        <v>26</v>
      </c>
      <c r="H16" s="132" t="n">
        <v>240</v>
      </c>
      <c r="I16" s="133" t="n">
        <v>30500</v>
      </c>
      <c r="J16" s="133" t="inlineStr">
        <is>
          <t>고</t>
        </is>
      </c>
      <c r="K16" s="133" t="n">
        <v>28000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101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대방덕산타운</t>
        </is>
      </c>
      <c r="B17" s="10" t="inlineStr">
        <is>
          <t>'92.07.</t>
        </is>
      </c>
      <c r="C17" s="132" t="n">
        <v>920</v>
      </c>
      <c r="D17" s="130" t="n">
        <v>153.6</v>
      </c>
      <c r="E17" s="131" t="n">
        <v>46</v>
      </c>
      <c r="F17" s="130" t="n">
        <v>131.7</v>
      </c>
      <c r="G17" s="17" t="n">
        <v>40</v>
      </c>
      <c r="H17" s="132" t="n">
        <v>60</v>
      </c>
      <c r="I17" s="133" t="n">
        <v>39000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153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성원남산3차(301~308동)</t>
        </is>
      </c>
      <c r="B19" s="10" t="inlineStr">
        <is>
          <t>'92.11.</t>
        </is>
      </c>
      <c r="C19" s="132" t="n">
        <v>1397</v>
      </c>
      <c r="D19" s="130" t="n">
        <v>68.8</v>
      </c>
      <c r="E19" s="131" t="n">
        <v>21</v>
      </c>
      <c r="F19" s="130" t="n">
        <v>49.7</v>
      </c>
      <c r="G19" s="17" t="n">
        <v>15</v>
      </c>
      <c r="H19" s="132" t="n">
        <v>159</v>
      </c>
      <c r="I19" s="133" t="n">
        <v>16000</v>
      </c>
      <c r="J19" s="133" t="inlineStr">
        <is>
          <t>7</t>
        </is>
      </c>
      <c r="K19" s="133" t="n">
        <v>15500</v>
      </c>
      <c r="L19" s="133" t="inlineStr">
        <is>
          <t>20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복</t>
        </is>
      </c>
      <c r="T19" s="5" t="n">
        <v>68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성원남산3차(301~308동)</t>
        </is>
      </c>
      <c r="B20" s="10" t="inlineStr">
        <is>
          <t>'92.11.</t>
        </is>
      </c>
      <c r="C20" s="132" t="n">
        <v>1397</v>
      </c>
      <c r="D20" s="130" t="n">
        <v>80.3</v>
      </c>
      <c r="E20" s="131" t="n">
        <v>24</v>
      </c>
      <c r="F20" s="130" t="n">
        <v>59.3</v>
      </c>
      <c r="G20" s="17" t="n">
        <v>18</v>
      </c>
      <c r="H20" s="132" t="n">
        <v>479</v>
      </c>
      <c r="I20" s="133" t="n">
        <v>19500</v>
      </c>
      <c r="J20" s="133" t="inlineStr">
        <is>
          <t>10</t>
        </is>
      </c>
      <c r="K20" s="133" t="n">
        <v>18500</v>
      </c>
      <c r="L20" s="133" t="inlineStr">
        <is>
          <t>9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복</t>
        </is>
      </c>
      <c r="T20" s="5" t="n">
        <v>80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성원남산3차(301~308동)</t>
        </is>
      </c>
      <c r="B21" s="10" t="inlineStr">
        <is>
          <t>'92.11.</t>
        </is>
      </c>
      <c r="C21" s="132" t="n">
        <v>1397</v>
      </c>
      <c r="D21" s="130" t="n">
        <v>105.9</v>
      </c>
      <c r="E21" s="131" t="n">
        <v>32</v>
      </c>
      <c r="F21" s="130" t="n">
        <v>85</v>
      </c>
      <c r="G21" s="17" t="n">
        <v>26</v>
      </c>
      <c r="H21" s="132" t="n">
        <v>759</v>
      </c>
      <c r="I21" s="133" t="n">
        <v>28000</v>
      </c>
      <c r="J21" s="133" t="inlineStr">
        <is>
          <t>20</t>
        </is>
      </c>
      <c r="K21" s="133" t="n">
        <v>29000</v>
      </c>
      <c r="L21" s="133" t="inlineStr">
        <is>
          <t>19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105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대방대동</t>
        </is>
      </c>
      <c r="B23" s="10" t="inlineStr">
        <is>
          <t>'92.09.</t>
        </is>
      </c>
      <c r="C23" s="132" t="n">
        <v>1835</v>
      </c>
      <c r="D23" s="130" t="n">
        <v>68.7</v>
      </c>
      <c r="E23" s="131" t="n">
        <v>21</v>
      </c>
      <c r="F23" s="130" t="n">
        <v>49.9</v>
      </c>
      <c r="G23" s="17" t="n">
        <v>15</v>
      </c>
      <c r="H23" s="132" t="n">
        <v>767</v>
      </c>
      <c r="I23" s="133" t="n">
        <v>18500</v>
      </c>
      <c r="J23" s="133" t="inlineStr">
        <is>
          <t>7</t>
        </is>
      </c>
      <c r="K23" s="133" t="n">
        <v>15500</v>
      </c>
      <c r="L23" s="133" t="inlineStr">
        <is>
          <t>14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복</t>
        </is>
      </c>
      <c r="T23" s="5" t="n">
        <v>68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대방대동</t>
        </is>
      </c>
      <c r="B24" s="10" t="inlineStr">
        <is>
          <t>'92.09.</t>
        </is>
      </c>
      <c r="C24" s="132" t="n">
        <v>1835</v>
      </c>
      <c r="D24" s="130" t="n">
        <v>76.7</v>
      </c>
      <c r="E24" s="131" t="n">
        <v>23</v>
      </c>
      <c r="F24" s="130" t="n">
        <v>60</v>
      </c>
      <c r="G24" s="17" t="n">
        <v>18</v>
      </c>
      <c r="H24" s="132" t="n">
        <v>408</v>
      </c>
      <c r="I24" s="133" t="n">
        <v>23800</v>
      </c>
      <c r="J24" s="133" t="inlineStr">
        <is>
          <t>15</t>
        </is>
      </c>
      <c r="K24" s="133" t="n">
        <v>21000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76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대방대동</t>
        </is>
      </c>
      <c r="B25" s="10" t="inlineStr">
        <is>
          <t>'92.09.</t>
        </is>
      </c>
      <c r="C25" s="132" t="n">
        <v>1835</v>
      </c>
      <c r="D25" s="130" t="n">
        <v>100.9</v>
      </c>
      <c r="E25" s="131" t="n">
        <v>31</v>
      </c>
      <c r="F25" s="130" t="n">
        <v>85</v>
      </c>
      <c r="G25" s="17" t="n">
        <v>26</v>
      </c>
      <c r="H25" s="132" t="n">
        <v>360</v>
      </c>
      <c r="I25" s="133" t="n">
        <v>35000</v>
      </c>
      <c r="J25" s="133" t="inlineStr">
        <is>
          <t>고</t>
        </is>
      </c>
      <c r="K25" s="133" t="n">
        <v>32000</v>
      </c>
      <c r="L25" s="133" t="inlineStr">
        <is>
          <t>12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100A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대방대동</t>
        </is>
      </c>
      <c r="B26" s="10" t="inlineStr">
        <is>
          <t>'92.09.</t>
        </is>
      </c>
      <c r="C26" s="132" t="n">
        <v>1835</v>
      </c>
      <c r="D26" s="130" t="n">
        <v>100.9</v>
      </c>
      <c r="E26" s="131" t="n">
        <v>31</v>
      </c>
      <c r="F26" s="130" t="n">
        <v>84.90000000000001</v>
      </c>
      <c r="G26" s="17" t="n">
        <v>26</v>
      </c>
      <c r="H26" s="132" t="n">
        <v>210</v>
      </c>
      <c r="I26" s="133" t="n">
        <v>39000</v>
      </c>
      <c r="J26" s="133" t="inlineStr">
        <is>
          <t>8</t>
        </is>
      </c>
      <c r="K26" s="133" t="n">
        <v>34000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100B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대방대동</t>
        </is>
      </c>
      <c r="B27" s="10" t="inlineStr">
        <is>
          <t>'92.09.</t>
        </is>
      </c>
      <c r="C27" s="132" t="n">
        <v>1835</v>
      </c>
      <c r="D27" s="130" t="n">
        <v>146.4</v>
      </c>
      <c r="E27" s="131" t="n">
        <v>44</v>
      </c>
      <c r="F27" s="130" t="n">
        <v>126.4</v>
      </c>
      <c r="G27" s="17" t="n">
        <v>38</v>
      </c>
      <c r="H27" s="132" t="n">
        <v>90</v>
      </c>
      <c r="I27" s="133" t="n">
        <v>42500</v>
      </c>
      <c r="J27" s="133" t="inlineStr">
        <is>
          <t>중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146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대동디지털황토</t>
        </is>
      </c>
      <c r="B29" s="10" t="inlineStr">
        <is>
          <t>'01.09.</t>
        </is>
      </c>
      <c r="C29" s="132" t="n">
        <v>704</v>
      </c>
      <c r="D29" s="130" t="n">
        <v>85.09999999999999</v>
      </c>
      <c r="E29" s="131" t="n">
        <v>26</v>
      </c>
      <c r="F29" s="130" t="n">
        <v>59.8</v>
      </c>
      <c r="G29" s="17" t="n">
        <v>18</v>
      </c>
      <c r="H29" s="132" t="n">
        <v>228</v>
      </c>
      <c r="I29" s="133" t="n">
        <v>32000</v>
      </c>
      <c r="J29" s="133" t="inlineStr">
        <is>
          <t>14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85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대동디지털황토</t>
        </is>
      </c>
      <c r="B30" s="10" t="inlineStr">
        <is>
          <t>'01.09.</t>
        </is>
      </c>
      <c r="C30" s="132" t="n">
        <v>704</v>
      </c>
      <c r="D30" s="130" t="n">
        <v>114.5</v>
      </c>
      <c r="E30" s="131" t="n">
        <v>35</v>
      </c>
      <c r="F30" s="130" t="n">
        <v>84.90000000000001</v>
      </c>
      <c r="G30" s="17" t="n">
        <v>26</v>
      </c>
      <c r="H30" s="132" t="n">
        <v>356</v>
      </c>
      <c r="I30" s="133" t="n">
        <v>42000</v>
      </c>
      <c r="J30" s="133" t="inlineStr">
        <is>
          <t>20</t>
        </is>
      </c>
      <c r="K30" s="133" t="n">
        <v>38000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대동디지털황토</t>
        </is>
      </c>
      <c r="B31" s="10" t="inlineStr">
        <is>
          <t>'01.09.</t>
        </is>
      </c>
      <c r="C31" s="132" t="n">
        <v>704</v>
      </c>
      <c r="D31" s="130" t="n">
        <v>148.2</v>
      </c>
      <c r="E31" s="131" t="n">
        <v>45</v>
      </c>
      <c r="F31" s="130" t="n">
        <v>114.9</v>
      </c>
      <c r="G31" s="17" t="n">
        <v>35</v>
      </c>
      <c r="H31" s="132" t="n">
        <v>120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148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대방동성</t>
        </is>
      </c>
      <c r="B33" s="10" t="inlineStr">
        <is>
          <t>'96.05.</t>
        </is>
      </c>
      <c r="C33" s="132" t="n">
        <v>556</v>
      </c>
      <c r="D33" s="130" t="n">
        <v>76.3</v>
      </c>
      <c r="E33" s="131" t="n">
        <v>23</v>
      </c>
      <c r="F33" s="130" t="n">
        <v>60</v>
      </c>
      <c r="G33" s="17" t="n">
        <v>18</v>
      </c>
      <c r="H33" s="132" t="n">
        <v>238</v>
      </c>
      <c r="I33" s="133" t="n">
        <v>26000</v>
      </c>
      <c r="J33" s="133" t="inlineStr">
        <is>
          <t>11</t>
        </is>
      </c>
      <c r="K33" s="133" t="n">
        <v>26000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대방동성</t>
        </is>
      </c>
      <c r="B34" s="10" t="inlineStr">
        <is>
          <t>'96.05.</t>
        </is>
      </c>
      <c r="C34" s="132" t="n">
        <v>556</v>
      </c>
      <c r="D34" s="130" t="n">
        <v>108</v>
      </c>
      <c r="E34" s="131" t="n">
        <v>33</v>
      </c>
      <c r="F34" s="130" t="n">
        <v>85</v>
      </c>
      <c r="G34" s="17" t="n">
        <v>26</v>
      </c>
      <c r="H34" s="132" t="n">
        <v>198</v>
      </c>
      <c r="I34" s="133" t="n">
        <v>37000</v>
      </c>
      <c r="J34" s="133" t="inlineStr">
        <is>
          <t>20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대방동성</t>
        </is>
      </c>
      <c r="B35" s="10" t="inlineStr">
        <is>
          <t>'96.05.</t>
        </is>
      </c>
      <c r="C35" s="132" t="n">
        <v>556</v>
      </c>
      <c r="D35" s="130" t="n">
        <v>129.5</v>
      </c>
      <c r="E35" s="131" t="n">
        <v>39</v>
      </c>
      <c r="F35" s="130" t="n">
        <v>101.9</v>
      </c>
      <c r="G35" s="17" t="n">
        <v>31</v>
      </c>
      <c r="H35" s="132" t="n">
        <v>120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129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대방대동황토방</t>
        </is>
      </c>
      <c r="B37" s="10" t="inlineStr">
        <is>
          <t>'01.05.</t>
        </is>
      </c>
      <c r="C37" s="132" t="n">
        <v>708</v>
      </c>
      <c r="D37" s="130" t="n">
        <v>84.3</v>
      </c>
      <c r="E37" s="131" t="n">
        <v>25</v>
      </c>
      <c r="F37" s="130" t="n">
        <v>59.2</v>
      </c>
      <c r="G37" s="17" t="n">
        <v>18</v>
      </c>
      <c r="H37" s="132" t="n">
        <v>312</v>
      </c>
      <c r="I37" s="133" t="n">
        <v>30000</v>
      </c>
      <c r="J37" s="133" t="inlineStr">
        <is>
          <t>중</t>
        </is>
      </c>
      <c r="K37" s="133" t="n">
        <v>24000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n">
        <v>84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대방대동황토방</t>
        </is>
      </c>
      <c r="B38" s="10" t="inlineStr">
        <is>
          <t>'01.05.</t>
        </is>
      </c>
      <c r="C38" s="132" t="n">
        <v>708</v>
      </c>
      <c r="D38" s="130" t="n">
        <v>112.8</v>
      </c>
      <c r="E38" s="131" t="n">
        <v>34</v>
      </c>
      <c r="F38" s="130" t="n">
        <v>84.09999999999999</v>
      </c>
      <c r="G38" s="17" t="n">
        <v>25</v>
      </c>
      <c r="H38" s="132" t="n">
        <v>324</v>
      </c>
      <c r="I38" s="133" t="n">
        <v>44000</v>
      </c>
      <c r="J38" s="133" t="inlineStr">
        <is>
          <t>중</t>
        </is>
      </c>
      <c r="K38" s="133" t="n">
        <v>42000</v>
      </c>
      <c r="L38" s="133" t="inlineStr">
        <is>
          <t>15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112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대방대동황토방</t>
        </is>
      </c>
      <c r="B39" s="10" t="inlineStr">
        <is>
          <t>'01.05.</t>
        </is>
      </c>
      <c r="C39" s="132" t="n">
        <v>708</v>
      </c>
      <c r="D39" s="130" t="n">
        <v>148.4</v>
      </c>
      <c r="E39" s="131" t="n">
        <v>45</v>
      </c>
      <c r="F39" s="130" t="n">
        <v>115</v>
      </c>
      <c r="G39" s="17" t="n">
        <v>35</v>
      </c>
      <c r="H39" s="132" t="n">
        <v>72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148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대방개나리1차</t>
        </is>
      </c>
      <c r="B41" s="10" t="inlineStr">
        <is>
          <t>'92.09.</t>
        </is>
      </c>
      <c r="C41" s="132" t="n">
        <v>1005</v>
      </c>
      <c r="D41" s="130" t="n">
        <v>57.1</v>
      </c>
      <c r="E41" s="131" t="n">
        <v>17</v>
      </c>
      <c r="F41" s="130" t="n">
        <v>42.2</v>
      </c>
      <c r="G41" s="17" t="n">
        <v>13</v>
      </c>
      <c r="H41" s="132" t="n">
        <v>600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복</t>
        </is>
      </c>
      <c r="T41" s="5" t="n">
        <v>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대방개나리1차</t>
        </is>
      </c>
      <c r="B42" s="10" t="inlineStr">
        <is>
          <t>'92.09.</t>
        </is>
      </c>
      <c r="C42" s="132" t="n">
        <v>1005</v>
      </c>
      <c r="D42" s="130" t="n">
        <v>68.2</v>
      </c>
      <c r="E42" s="131" t="n">
        <v>21</v>
      </c>
      <c r="F42" s="130" t="n">
        <v>49.4</v>
      </c>
      <c r="G42" s="17" t="n">
        <v>15</v>
      </c>
      <c r="H42" s="132" t="n">
        <v>405</v>
      </c>
      <c r="I42" s="133" t="n">
        <v>19000</v>
      </c>
      <c r="J42" s="133" t="inlineStr">
        <is>
          <t>11</t>
        </is>
      </c>
      <c r="K42" s="133" t="n">
        <v>14000</v>
      </c>
      <c r="L42" s="133" t="inlineStr">
        <is>
          <t>11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복</t>
        </is>
      </c>
      <c r="T42" s="5" t="n">
        <v>68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성원남산3차(309~311동)</t>
        </is>
      </c>
      <c r="B44" s="10" t="inlineStr">
        <is>
          <t>'92.11.</t>
        </is>
      </c>
      <c r="C44" s="132" t="n">
        <v>1017</v>
      </c>
      <c r="D44" s="130" t="n">
        <v>62.4</v>
      </c>
      <c r="E44" s="131" t="n">
        <v>19</v>
      </c>
      <c r="F44" s="130" t="n">
        <v>48</v>
      </c>
      <c r="G44" s="17" t="n">
        <v>15</v>
      </c>
      <c r="H44" s="132" t="n">
        <v>1017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62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16" dxfId="23">
      <formula>AV4="X"</formula>
    </cfRule>
    <cfRule type="expression" priority="617" dxfId="22">
      <formula>AV4="후보"</formula>
    </cfRule>
  </conditionalFormatting>
  <conditionalFormatting sqref="AC1:AC2 AC4:AC6 N4:N5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N1:N2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X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I6">
    <cfRule type="expression" priority="597" dxfId="3">
      <formula>AND(IF(OR($Q6=1,$Q6=2),1,0),IF($X6&lt;=20,1,0))</formula>
    </cfRule>
    <cfRule type="expression" priority="598" dxfId="2">
      <formula>AND(IF($Q6=2,1,0),IF($X6&lt;30,1,0))</formula>
    </cfRule>
    <cfRule type="expression" priority="599" dxfId="1">
      <formula>AND(IF($Q6=3,1,0),IF($X6&lt;30,1,0))</formula>
    </cfRule>
    <cfRule type="expression" priority="600" dxfId="0">
      <formula>AND(IF($Q6=3,1,IF($Q6=4,1,0)),IF($F6&lt;=85,1,0))</formula>
    </cfRule>
  </conditionalFormatting>
  <conditionalFormatting sqref="AV7">
    <cfRule type="expression" priority="595" dxfId="23">
      <formula>AV7="X"</formula>
    </cfRule>
    <cfRule type="expression" priority="596" dxfId="22">
      <formula>AV7="후보"</formula>
    </cfRule>
  </conditionalFormatting>
  <conditionalFormatting sqref="AC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X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I7">
    <cfRule type="expression" priority="578" dxfId="3">
      <formula>AND(IF(OR($Q7=1,$Q7=2),1,0),IF($X7&lt;=20,1,0))</formula>
    </cfRule>
    <cfRule type="expression" priority="579" dxfId="2">
      <formula>AND(IF($Q7=2,1,0),IF($X7&lt;30,1,0))</formula>
    </cfRule>
    <cfRule type="expression" priority="580" dxfId="1">
      <formula>AND(IF($Q7=3,1,0),IF($X7&lt;30,1,0))</formula>
    </cfRule>
    <cfRule type="expression" priority="581" dxfId="0">
      <formula>AND(IF($Q7=3,1,IF($Q7=4,1,0)),IF($F7&lt;=85,1,0))</formula>
    </cfRule>
  </conditionalFormatting>
  <conditionalFormatting sqref="AV8">
    <cfRule type="expression" priority="576" dxfId="23">
      <formula>AV8="X"</formula>
    </cfRule>
    <cfRule type="expression" priority="577" dxfId="22">
      <formula>AV8="후보"</formula>
    </cfRule>
  </conditionalFormatting>
  <conditionalFormatting sqref="AC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X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I8">
    <cfRule type="expression" priority="559" dxfId="3">
      <formula>AND(IF(OR($Q8=1,$Q8=2),1,0),IF($X8&lt;=20,1,0))</formula>
    </cfRule>
    <cfRule type="expression" priority="560" dxfId="2">
      <formula>AND(IF($Q8=2,1,0),IF($X8&lt;30,1,0))</formula>
    </cfRule>
    <cfRule type="expression" priority="561" dxfId="1">
      <formula>AND(IF($Q8=3,1,0),IF($X8&lt;30,1,0))</formula>
    </cfRule>
    <cfRule type="expression" priority="562" dxfId="0">
      <formula>AND(IF($Q8=3,1,IF($Q8=4,1,0)),IF($F8&lt;=85,1,0))</formula>
    </cfRule>
  </conditionalFormatting>
  <conditionalFormatting sqref="AV9">
    <cfRule type="expression" priority="557" dxfId="23">
      <formula>AV9="X"</formula>
    </cfRule>
    <cfRule type="expression" priority="558" dxfId="22">
      <formula>AV9="후보"</formula>
    </cfRule>
  </conditionalFormatting>
  <conditionalFormatting sqref="AC9 N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X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I10">
    <cfRule type="expression" priority="535" dxfId="3">
      <formula>AND(IF(OR($Q10=1,$Q10=2),1,0),IF($X10&lt;=20,1,0))</formula>
    </cfRule>
    <cfRule type="expression" priority="536" dxfId="2">
      <formula>AND(IF($Q10=2,1,0),IF($X10&lt;30,1,0))</formula>
    </cfRule>
    <cfRule type="expression" priority="537" dxfId="1">
      <formula>AND(IF($Q10=3,1,0),IF($X10&lt;30,1,0))</formula>
    </cfRule>
    <cfRule type="expression" priority="538" dxfId="0">
      <formula>AND(IF($Q10=3,1,IF($Q10=4,1,0)),IF($F10&lt;=85,1,0))</formula>
    </cfRule>
  </conditionalFormatting>
  <conditionalFormatting sqref="AV11">
    <cfRule type="expression" priority="533" dxfId="23">
      <formula>AV11="X"</formula>
    </cfRule>
    <cfRule type="expression" priority="534" dxfId="22">
      <formula>AV11="후보"</formula>
    </cfRule>
  </conditionalFormatting>
  <conditionalFormatting sqref="AC1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X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I11">
    <cfRule type="expression" priority="516" dxfId="3">
      <formula>AND(IF(OR($Q11=1,$Q11=2),1,0),IF($X11&lt;=20,1,0))</formula>
    </cfRule>
    <cfRule type="expression" priority="517" dxfId="2">
      <formula>AND(IF($Q11=2,1,0),IF($X11&lt;30,1,0))</formula>
    </cfRule>
    <cfRule type="expression" priority="518" dxfId="1">
      <formula>AND(IF($Q11=3,1,0),IF($X11&lt;30,1,0))</formula>
    </cfRule>
    <cfRule type="expression" priority="519" dxfId="0">
      <formula>AND(IF($Q11=3,1,IF($Q11=4,1,0)),IF($F11&lt;=85,1,0))</formula>
    </cfRule>
  </conditionalFormatting>
  <conditionalFormatting sqref="AV12">
    <cfRule type="expression" priority="514" dxfId="23">
      <formula>AV12="X"</formula>
    </cfRule>
    <cfRule type="expression" priority="515" dxfId="22">
      <formula>AV12="후보"</formula>
    </cfRule>
  </conditionalFormatting>
  <conditionalFormatting sqref="AC12 N1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X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I15">
    <cfRule type="expression" priority="454" dxfId="3">
      <formula>AND(IF(OR($Q15=1,$Q15=2),1,0),IF($X15&lt;=20,1,0))</formula>
    </cfRule>
    <cfRule type="expression" priority="455" dxfId="2">
      <formula>AND(IF($Q15=2,1,0),IF($X15&lt;30,1,0))</formula>
    </cfRule>
    <cfRule type="expression" priority="456" dxfId="1">
      <formula>AND(IF($Q15=3,1,0),IF($X15&lt;30,1,0))</formula>
    </cfRule>
    <cfRule type="expression" priority="457" dxfId="0">
      <formula>AND(IF($Q15=3,1,IF($Q15=4,1,0)),IF($F15&lt;=85,1,0))</formula>
    </cfRule>
  </conditionalFormatting>
  <conditionalFormatting sqref="AV16">
    <cfRule type="expression" priority="452" dxfId="23">
      <formula>AV16="X"</formula>
    </cfRule>
    <cfRule type="expression" priority="453" dxfId="22">
      <formula>AV16="후보"</formula>
    </cfRule>
  </conditionalFormatting>
  <conditionalFormatting sqref="AC1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X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I16">
    <cfRule type="expression" priority="435" dxfId="3">
      <formula>AND(IF(OR($Q16=1,$Q16=2),1,0),IF($X16&lt;=20,1,0))</formula>
    </cfRule>
    <cfRule type="expression" priority="436" dxfId="2">
      <formula>AND(IF($Q16=2,1,0),IF($X16&lt;30,1,0))</formula>
    </cfRule>
    <cfRule type="expression" priority="437" dxfId="1">
      <formula>AND(IF($Q16=3,1,0),IF($X16&lt;30,1,0))</formula>
    </cfRule>
    <cfRule type="expression" priority="438" dxfId="0">
      <formula>AND(IF($Q16=3,1,IF($Q16=4,1,0)),IF($F16&lt;=85,1,0))</formula>
    </cfRule>
  </conditionalFormatting>
  <conditionalFormatting sqref="AV17">
    <cfRule type="expression" priority="433" dxfId="23">
      <formula>AV17="X"</formula>
    </cfRule>
    <cfRule type="expression" priority="434" dxfId="22">
      <formula>AV17="후보"</formula>
    </cfRule>
  </conditionalFormatting>
  <conditionalFormatting sqref="AC1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X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I17">
    <cfRule type="expression" priority="416" dxfId="3">
      <formula>AND(IF(OR($Q17=1,$Q17=2),1,0),IF($X17&lt;=20,1,0))</formula>
    </cfRule>
    <cfRule type="expression" priority="417" dxfId="2">
      <formula>AND(IF($Q17=2,1,0),IF($X17&lt;30,1,0))</formula>
    </cfRule>
    <cfRule type="expression" priority="418" dxfId="1">
      <formula>AND(IF($Q17=3,1,0),IF($X17&lt;30,1,0))</formula>
    </cfRule>
    <cfRule type="expression" priority="419" dxfId="0">
      <formula>AND(IF($Q17=3,1,IF($Q17=4,1,0)),IF($F17&lt;=85,1,0))</formula>
    </cfRule>
  </conditionalFormatting>
  <conditionalFormatting sqref="AV18">
    <cfRule type="expression" priority="414" dxfId="23">
      <formula>AV18="X"</formula>
    </cfRule>
    <cfRule type="expression" priority="415" dxfId="22">
      <formula>AV18="후보"</formula>
    </cfRule>
  </conditionalFormatting>
  <conditionalFormatting sqref="AC18 N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X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I20">
    <cfRule type="expression" priority="373" dxfId="3">
      <formula>AND(IF(OR($Q20=1,$Q20=2),1,0),IF($X20&lt;=20,1,0))</formula>
    </cfRule>
    <cfRule type="expression" priority="374" dxfId="2">
      <formula>AND(IF($Q20=2,1,0),IF($X20&lt;30,1,0))</formula>
    </cfRule>
    <cfRule type="expression" priority="375" dxfId="1">
      <formula>AND(IF($Q20=3,1,0),IF($X20&lt;30,1,0))</formula>
    </cfRule>
    <cfRule type="expression" priority="376" dxfId="0">
      <formula>AND(IF($Q20=3,1,IF($Q20=4,1,0)),IF($F20&lt;=85,1,0))</formula>
    </cfRule>
  </conditionalFormatting>
  <conditionalFormatting sqref="AV21">
    <cfRule type="expression" priority="371" dxfId="23">
      <formula>AV21="X"</formula>
    </cfRule>
    <cfRule type="expression" priority="372" dxfId="22">
      <formula>AV21="후보"</formula>
    </cfRule>
  </conditionalFormatting>
  <conditionalFormatting sqref="AC2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1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1">
    <cfRule type="expression" priority="362" dxfId="3">
      <formula>AND(IF(OR($Q21=1,$Q21=2),1,0),IF($X21&lt;=20,1,0))</formula>
    </cfRule>
    <cfRule type="expression" priority="363" dxfId="2">
      <formula>AND(IF($Q21=2,1,0),IF($X21&lt;30,1,0))</formula>
    </cfRule>
    <cfRule type="expression" priority="364" dxfId="1">
      <formula>AND(IF($Q21=3,1,0),IF($X21&lt;30,1,0))</formula>
    </cfRule>
    <cfRule type="expression" priority="365" dxfId="0">
      <formula>AND(IF($Q21=3,1,IF($Q21=4,1,0)),IF($F21&lt;=85,1,0))</formula>
    </cfRule>
  </conditionalFormatting>
  <conditionalFormatting sqref="X21">
    <cfRule type="expression" priority="358" dxfId="3">
      <formula>AND(IF(OR($Q21=1,$Q21=2),1,0),IF($X21&lt;=20,1,0))</formula>
    </cfRule>
    <cfRule type="expression" priority="359" dxfId="2">
      <formula>AND(IF($Q21=2,1,0),IF($X21&lt;30,1,0))</formula>
    </cfRule>
    <cfRule type="expression" priority="360" dxfId="1">
      <formula>AND(IF($Q21=3,1,0),IF($X21&lt;30,1,0))</formula>
    </cfRule>
    <cfRule type="expression" priority="361" dxfId="0">
      <formula>AND(IF($Q21=3,1,IF($Q21=4,1,0)),IF($F21&lt;=85,1,0))</formula>
    </cfRule>
  </conditionalFormatting>
  <conditionalFormatting sqref="AI21">
    <cfRule type="expression" priority="354" dxfId="3">
      <formula>AND(IF(OR($Q21=1,$Q21=2),1,0),IF($X21&lt;=20,1,0))</formula>
    </cfRule>
    <cfRule type="expression" priority="355" dxfId="2">
      <formula>AND(IF($Q21=2,1,0),IF($X21&lt;30,1,0))</formula>
    </cfRule>
    <cfRule type="expression" priority="356" dxfId="1">
      <formula>AND(IF($Q21=3,1,0),IF($X21&lt;30,1,0))</formula>
    </cfRule>
    <cfRule type="expression" priority="357" dxfId="0">
      <formula>AND(IF($Q21=3,1,IF($Q21=4,1,0)),IF($F21&lt;=85,1,0))</formula>
    </cfRule>
  </conditionalFormatting>
  <conditionalFormatting sqref="AV22">
    <cfRule type="expression" priority="352" dxfId="23">
      <formula>AV22="X"</formula>
    </cfRule>
    <cfRule type="expression" priority="353" dxfId="22">
      <formula>AV22="후보"</formula>
    </cfRule>
  </conditionalFormatting>
  <conditionalFormatting sqref="AC22 N22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X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I23">
    <cfRule type="expression" priority="330" dxfId="3">
      <formula>AND(IF(OR($Q23=1,$Q23=2),1,0),IF($X23&lt;=20,1,0))</formula>
    </cfRule>
    <cfRule type="expression" priority="331" dxfId="2">
      <formula>AND(IF($Q23=2,1,0),IF($X23&lt;30,1,0))</formula>
    </cfRule>
    <cfRule type="expression" priority="332" dxfId="1">
      <formula>AND(IF($Q23=3,1,0),IF($X23&lt;30,1,0))</formula>
    </cfRule>
    <cfRule type="expression" priority="333" dxfId="0">
      <formula>AND(IF($Q23=3,1,IF($Q23=4,1,0)),IF($F23&lt;=85,1,0))</formula>
    </cfRule>
  </conditionalFormatting>
  <conditionalFormatting sqref="AV24">
    <cfRule type="expression" priority="328" dxfId="23">
      <formula>AV24="X"</formula>
    </cfRule>
    <cfRule type="expression" priority="329" dxfId="22">
      <formula>AV24="후보"</formula>
    </cfRule>
  </conditionalFormatting>
  <conditionalFormatting sqref="AC2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X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I24">
    <cfRule type="expression" priority="311" dxfId="3">
      <formula>AND(IF(OR($Q24=1,$Q24=2),1,0),IF($X24&lt;=20,1,0))</formula>
    </cfRule>
    <cfRule type="expression" priority="312" dxfId="2">
      <formula>AND(IF($Q24=2,1,0),IF($X24&lt;30,1,0))</formula>
    </cfRule>
    <cfRule type="expression" priority="313" dxfId="1">
      <formula>AND(IF($Q24=3,1,0),IF($X24&lt;30,1,0))</formula>
    </cfRule>
    <cfRule type="expression" priority="314" dxfId="0">
      <formula>AND(IF($Q24=3,1,IF($Q24=4,1,0)),IF($F24&lt;=85,1,0))</formula>
    </cfRule>
  </conditionalFormatting>
  <conditionalFormatting sqref="AV25">
    <cfRule type="expression" priority="309" dxfId="23">
      <formula>AV25="X"</formula>
    </cfRule>
    <cfRule type="expression" priority="310" dxfId="22">
      <formula>AV25="후보"</formula>
    </cfRule>
  </conditionalFormatting>
  <conditionalFormatting sqref="AC2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X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I25">
    <cfRule type="expression" priority="292" dxfId="3">
      <formula>AND(IF(OR($Q25=1,$Q25=2),1,0),IF($X25&lt;=20,1,0))</formula>
    </cfRule>
    <cfRule type="expression" priority="293" dxfId="2">
      <formula>AND(IF($Q25=2,1,0),IF($X25&lt;30,1,0))</formula>
    </cfRule>
    <cfRule type="expression" priority="294" dxfId="1">
      <formula>AND(IF($Q25=3,1,0),IF($X25&lt;30,1,0))</formula>
    </cfRule>
    <cfRule type="expression" priority="295" dxfId="0">
      <formula>AND(IF($Q25=3,1,IF($Q25=4,1,0)),IF($F25&lt;=85,1,0))</formula>
    </cfRule>
  </conditionalFormatting>
  <conditionalFormatting sqref="AV26">
    <cfRule type="expression" priority="290" dxfId="23">
      <formula>AV26="X"</formula>
    </cfRule>
    <cfRule type="expression" priority="291" dxfId="22">
      <formula>AV26="후보"</formula>
    </cfRule>
  </conditionalFormatting>
  <conditionalFormatting sqref="AC2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X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I26">
    <cfRule type="expression" priority="273" dxfId="3">
      <formula>AND(IF(OR($Q26=1,$Q26=2),1,0),IF($X26&lt;=20,1,0))</formula>
    </cfRule>
    <cfRule type="expression" priority="274" dxfId="2">
      <formula>AND(IF($Q26=2,1,0),IF($X26&lt;30,1,0))</formula>
    </cfRule>
    <cfRule type="expression" priority="275" dxfId="1">
      <formula>AND(IF($Q26=3,1,0),IF($X26&lt;30,1,0))</formula>
    </cfRule>
    <cfRule type="expression" priority="276" dxfId="0">
      <formula>AND(IF($Q26=3,1,IF($Q26=4,1,0)),IF($F26&lt;=85,1,0))</formula>
    </cfRule>
  </conditionalFormatting>
  <conditionalFormatting sqref="AV27">
    <cfRule type="expression" priority="271" dxfId="23">
      <formula>AV27="X"</formula>
    </cfRule>
    <cfRule type="expression" priority="272" dxfId="22">
      <formula>AV27="후보"</formula>
    </cfRule>
  </conditionalFormatting>
  <conditionalFormatting sqref="AC2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2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X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I27">
    <cfRule type="expression" priority="254" dxfId="3">
      <formula>AND(IF(OR($Q27=1,$Q27=2),1,0),IF($X27&lt;=20,1,0))</formula>
    </cfRule>
    <cfRule type="expression" priority="255" dxfId="2">
      <formula>AND(IF($Q27=2,1,0),IF($X27&lt;30,1,0))</formula>
    </cfRule>
    <cfRule type="expression" priority="256" dxfId="1">
      <formula>AND(IF($Q27=3,1,0),IF($X27&lt;30,1,0))</formula>
    </cfRule>
    <cfRule type="expression" priority="257" dxfId="0">
      <formula>AND(IF($Q27=3,1,IF($Q27=4,1,0)),IF($F27&lt;=85,1,0))</formula>
    </cfRule>
  </conditionalFormatting>
  <conditionalFormatting sqref="AV28">
    <cfRule type="expression" priority="252" dxfId="23">
      <formula>AV28="X"</formula>
    </cfRule>
    <cfRule type="expression" priority="253" dxfId="22">
      <formula>AV28="후보"</formula>
    </cfRule>
  </conditionalFormatting>
  <conditionalFormatting sqref="AC28 N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29">
    <cfRule type="expression" priority="247" dxfId="23">
      <formula>AV29="X"</formula>
    </cfRule>
    <cfRule type="expression" priority="248" dxfId="22">
      <formula>AV29="후보"</formula>
    </cfRule>
  </conditionalFormatting>
  <conditionalFormatting sqref="AC2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9">
    <cfRule type="expression" priority="238" dxfId="3">
      <formula>AND(IF(OR($Q29=1,$Q29=2),1,0),IF($X29&lt;=20,1,0))</formula>
    </cfRule>
    <cfRule type="expression" priority="239" dxfId="2">
      <formula>AND(IF($Q29=2,1,0),IF($X29&lt;30,1,0))</formula>
    </cfRule>
    <cfRule type="expression" priority="240" dxfId="1">
      <formula>AND(IF($Q29=3,1,0),IF($X29&lt;30,1,0))</formula>
    </cfRule>
    <cfRule type="expression" priority="241" dxfId="0">
      <formula>AND(IF($Q29=3,1,IF($Q29=4,1,0)),IF($F29&lt;=85,1,0))</formula>
    </cfRule>
  </conditionalFormatting>
  <conditionalFormatting sqref="X29">
    <cfRule type="expression" priority="234" dxfId="3">
      <formula>AND(IF(OR($Q29=1,$Q29=2),1,0),IF($X29&lt;=20,1,0))</formula>
    </cfRule>
    <cfRule type="expression" priority="235" dxfId="2">
      <formula>AND(IF($Q29=2,1,0),IF($X29&lt;30,1,0))</formula>
    </cfRule>
    <cfRule type="expression" priority="236" dxfId="1">
      <formula>AND(IF($Q29=3,1,0),IF($X29&lt;30,1,0))</formula>
    </cfRule>
    <cfRule type="expression" priority="237" dxfId="0">
      <formula>AND(IF($Q29=3,1,IF($Q29=4,1,0)),IF($F29&lt;=85,1,0))</formula>
    </cfRule>
  </conditionalFormatting>
  <conditionalFormatting sqref="AI29">
    <cfRule type="expression" priority="230" dxfId="3">
      <formula>AND(IF(OR($Q29=1,$Q29=2),1,0),IF($X29&lt;=20,1,0))</formula>
    </cfRule>
    <cfRule type="expression" priority="231" dxfId="2">
      <formula>AND(IF($Q29=2,1,0),IF($X29&lt;30,1,0))</formula>
    </cfRule>
    <cfRule type="expression" priority="232" dxfId="1">
      <formula>AND(IF($Q29=3,1,0),IF($X29&lt;30,1,0))</formula>
    </cfRule>
    <cfRule type="expression" priority="233" dxfId="0">
      <formula>AND(IF($Q29=3,1,IF($Q29=4,1,0)),IF($F29&lt;=85,1,0))</formula>
    </cfRule>
  </conditionalFormatting>
  <conditionalFormatting sqref="AV30">
    <cfRule type="expression" priority="228" dxfId="23">
      <formula>AV30="X"</formula>
    </cfRule>
    <cfRule type="expression" priority="229" dxfId="22">
      <formula>AV30="후보"</formula>
    </cfRule>
  </conditionalFormatting>
  <conditionalFormatting sqref="AC3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X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I30">
    <cfRule type="expression" priority="211" dxfId="3">
      <formula>AND(IF(OR($Q30=1,$Q30=2),1,0),IF($X30&lt;=20,1,0))</formula>
    </cfRule>
    <cfRule type="expression" priority="212" dxfId="2">
      <formula>AND(IF($Q30=2,1,0),IF($X30&lt;30,1,0))</formula>
    </cfRule>
    <cfRule type="expression" priority="213" dxfId="1">
      <formula>AND(IF($Q30=3,1,0),IF($X30&lt;30,1,0))</formula>
    </cfRule>
    <cfRule type="expression" priority="214" dxfId="0">
      <formula>AND(IF($Q30=3,1,IF($Q30=4,1,0)),IF($F30&lt;=85,1,0))</formula>
    </cfRule>
  </conditionalFormatting>
  <conditionalFormatting sqref="AV31">
    <cfRule type="expression" priority="209" dxfId="23">
      <formula>AV31="X"</formula>
    </cfRule>
    <cfRule type="expression" priority="210" dxfId="22">
      <formula>AV31="후보"</formula>
    </cfRule>
  </conditionalFormatting>
  <conditionalFormatting sqref="AC3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X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I31">
    <cfRule type="expression" priority="192" dxfId="3">
      <formula>AND(IF(OR($Q31=1,$Q31=2),1,0),IF($X31&lt;=20,1,0))</formula>
    </cfRule>
    <cfRule type="expression" priority="193" dxfId="2">
      <formula>AND(IF($Q31=2,1,0),IF($X31&lt;30,1,0))</formula>
    </cfRule>
    <cfRule type="expression" priority="194" dxfId="1">
      <formula>AND(IF($Q31=3,1,0),IF($X31&lt;30,1,0))</formula>
    </cfRule>
    <cfRule type="expression" priority="195" dxfId="0">
      <formula>AND(IF($Q31=3,1,IF($Q31=4,1,0)),IF($F31&lt;=85,1,0))</formula>
    </cfRule>
  </conditionalFormatting>
  <conditionalFormatting sqref="AV32">
    <cfRule type="expression" priority="190" dxfId="23">
      <formula>AV32="X"</formula>
    </cfRule>
    <cfRule type="expression" priority="191" dxfId="22">
      <formula>AV32="후보"</formula>
    </cfRule>
  </conditionalFormatting>
  <conditionalFormatting sqref="AC32 N3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2">
    <cfRule type="expression" priority="33" dxfId="3">
      <formula>AND(IF(OR($Q42=1,$Q42=2),1,0),IF($X42&lt;=20,1,0))</formula>
    </cfRule>
    <cfRule type="expression" priority="34" dxfId="2">
      <formula>AND(IF($Q42=2,1,0),IF($X42&lt;30,1,0))</formula>
    </cfRule>
    <cfRule type="expression" priority="35" dxfId="1">
      <formula>AND(IF($Q42=3,1,0),IF($X42&lt;30,1,0))</formula>
    </cfRule>
    <cfRule type="expression" priority="36" dxfId="0">
      <formula>AND(IF($Q42=3,1,IF($Q42=4,1,0)),IF($F42&lt;=85,1,0))</formula>
    </cfRule>
  </conditionalFormatting>
  <conditionalFormatting sqref="X42">
    <cfRule type="expression" priority="29" dxfId="3">
      <formula>AND(IF(OR($Q42=1,$Q42=2),1,0),IF($X42&lt;=20,1,0))</formula>
    </cfRule>
    <cfRule type="expression" priority="30" dxfId="2">
      <formula>AND(IF($Q42=2,1,0),IF($X42&lt;30,1,0))</formula>
    </cfRule>
    <cfRule type="expression" priority="31" dxfId="1">
      <formula>AND(IF($Q42=3,1,0),IF($X42&lt;30,1,0))</formula>
    </cfRule>
    <cfRule type="expression" priority="32" dxfId="0">
      <formula>AND(IF($Q42=3,1,IF($Q42=4,1,0)),IF($F42&lt;=85,1,0))</formula>
    </cfRule>
  </conditionalFormatting>
  <conditionalFormatting sqref="AI42">
    <cfRule type="expression" priority="25" dxfId="3">
      <formula>AND(IF(OR($Q42=1,$Q42=2),1,0),IF($X42&lt;=20,1,0))</formula>
    </cfRule>
    <cfRule type="expression" priority="26" dxfId="2">
      <formula>AND(IF($Q42=2,1,0),IF($X42&lt;30,1,0))</formula>
    </cfRule>
    <cfRule type="expression" priority="27" dxfId="1">
      <formula>AND(IF($Q42=3,1,0),IF($X42&lt;30,1,0))</formula>
    </cfRule>
    <cfRule type="expression" priority="28" dxfId="0">
      <formula>AND(IF($Q42=3,1,IF($Q42=4,1,0)),IF($F42&lt;=85,1,0))</formula>
    </cfRule>
  </conditionalFormatting>
  <conditionalFormatting sqref="AV43">
    <cfRule type="expression" priority="23" dxfId="23">
      <formula>AV43="X"</formula>
    </cfRule>
    <cfRule type="expression" priority="24" dxfId="22">
      <formula>AV43="후보"</formula>
    </cfRule>
  </conditionalFormatting>
  <conditionalFormatting sqref="AC43 N4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대원파크빌</t>
        </is>
      </c>
      <c r="B6" s="10" t="inlineStr">
        <is>
          <t>'97.12.</t>
        </is>
      </c>
      <c r="C6" s="132" t="n">
        <v>603</v>
      </c>
      <c r="D6" s="130" t="n">
        <v>65</v>
      </c>
      <c r="E6" s="131" t="n">
        <v>20</v>
      </c>
      <c r="F6" s="130" t="n">
        <v>52.9</v>
      </c>
      <c r="G6" s="17" t="n">
        <v>16</v>
      </c>
      <c r="H6" s="132" t="n">
        <v>603</v>
      </c>
      <c r="I6" s="133" t="n">
        <v>12100</v>
      </c>
      <c r="J6" s="133" t="inlineStr">
        <is>
          <t>중</t>
        </is>
      </c>
      <c r="K6" s="133" t="n">
        <v>12200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복</t>
        </is>
      </c>
      <c r="T6" s="5" t="n">
        <v>64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현대</t>
        </is>
      </c>
      <c r="B8" s="10" t="inlineStr">
        <is>
          <t>'79.10.</t>
        </is>
      </c>
      <c r="C8" s="132" t="n">
        <v>630</v>
      </c>
      <c r="D8" s="130" t="n">
        <v>50.4</v>
      </c>
      <c r="E8" s="131" t="n">
        <v>15</v>
      </c>
      <c r="F8" s="130" t="n">
        <v>50.4</v>
      </c>
      <c r="G8" s="17" t="n">
        <v>15</v>
      </c>
      <c r="H8" s="132" t="n">
        <v>80</v>
      </c>
      <c r="I8" s="133" t="n">
        <v>30450</v>
      </c>
      <c r="J8" s="133" t="inlineStr">
        <is>
          <t>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현대</t>
        </is>
      </c>
      <c r="B9" s="10" t="inlineStr">
        <is>
          <t>'79.10.</t>
        </is>
      </c>
      <c r="C9" s="132" t="n">
        <v>630</v>
      </c>
      <c r="D9" s="130" t="n">
        <v>54.2</v>
      </c>
      <c r="E9" s="131" t="n">
        <v>16</v>
      </c>
      <c r="F9" s="130" t="n">
        <v>54.2</v>
      </c>
      <c r="G9" s="17" t="n">
        <v>16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54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현대</t>
        </is>
      </c>
      <c r="B10" s="10" t="inlineStr">
        <is>
          <t>'79.10.</t>
        </is>
      </c>
      <c r="C10" s="132" t="n">
        <v>630</v>
      </c>
      <c r="D10" s="130" t="n">
        <v>57.1</v>
      </c>
      <c r="E10" s="131" t="n">
        <v>17</v>
      </c>
      <c r="F10" s="130" t="n">
        <v>47</v>
      </c>
      <c r="G10" s="17" t="n">
        <v>14</v>
      </c>
      <c r="H10" s="132" t="n">
        <v>210</v>
      </c>
      <c r="I10" s="133" t="n">
        <v>32950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복</t>
        </is>
      </c>
      <c r="T10" s="5" t="n">
        <v>57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현대</t>
        </is>
      </c>
      <c r="B11" s="10" t="inlineStr">
        <is>
          <t>'79.10.</t>
        </is>
      </c>
      <c r="C11" s="132" t="n">
        <v>630</v>
      </c>
      <c r="D11" s="130" t="n">
        <v>61.9</v>
      </c>
      <c r="E11" s="131" t="n">
        <v>19</v>
      </c>
      <c r="F11" s="130" t="n">
        <v>55.8</v>
      </c>
      <c r="G11" s="17" t="n">
        <v>17</v>
      </c>
      <c r="H11" s="132" t="n">
        <v>100</v>
      </c>
      <c r="I11" s="133" t="n">
        <v>37100</v>
      </c>
      <c r="J11" s="133" t="inlineStr">
        <is>
          <t>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61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현대</t>
        </is>
      </c>
      <c r="B12" s="10" t="inlineStr">
        <is>
          <t>'79.10.</t>
        </is>
      </c>
      <c r="C12" s="132" t="n">
        <v>630</v>
      </c>
      <c r="D12" s="130" t="n">
        <v>62.6</v>
      </c>
      <c r="E12" s="131" t="n">
        <v>19</v>
      </c>
      <c r="F12" s="130" t="n">
        <v>56.5</v>
      </c>
      <c r="G12" s="17" t="n">
        <v>17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62B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현대</t>
        </is>
      </c>
      <c r="B13" s="10" t="inlineStr">
        <is>
          <t>'79.10.</t>
        </is>
      </c>
      <c r="C13" s="132" t="n">
        <v>630</v>
      </c>
      <c r="D13" s="130" t="n">
        <v>75.7</v>
      </c>
      <c r="E13" s="131" t="n">
        <v>23</v>
      </c>
      <c r="F13" s="130" t="n">
        <v>75.7</v>
      </c>
      <c r="G13" s="17" t="n">
        <v>23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75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'79.10.</t>
        </is>
      </c>
      <c r="C14" s="132" t="n">
        <v>630</v>
      </c>
      <c r="D14" s="130" t="n">
        <v>102.9</v>
      </c>
      <c r="E14" s="131" t="n">
        <v>31</v>
      </c>
      <c r="F14" s="130" t="n">
        <v>102.9</v>
      </c>
      <c r="G14" s="17" t="n">
        <v>31</v>
      </c>
      <c r="H14" s="132" t="n">
        <v>20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포레나대원</t>
        </is>
      </c>
      <c r="B16" s="10" t="inlineStr">
        <is>
          <t>'18.12.</t>
        </is>
      </c>
      <c r="C16" s="132" t="n">
        <v>1530</v>
      </c>
      <c r="D16" s="130" t="n">
        <v>82.3</v>
      </c>
      <c r="E16" s="131" t="n">
        <v>25</v>
      </c>
      <c r="F16" s="130" t="n">
        <v>59.1</v>
      </c>
      <c r="G16" s="17" t="n">
        <v>18</v>
      </c>
      <c r="H16" s="132" t="n">
        <v>296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82A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포레나대원</t>
        </is>
      </c>
      <c r="B17" s="10" t="inlineStr">
        <is>
          <t>'18.12.</t>
        </is>
      </c>
      <c r="C17" s="132" t="n">
        <v>1530</v>
      </c>
      <c r="D17" s="130" t="n">
        <v>82.8</v>
      </c>
      <c r="E17" s="131" t="n">
        <v>25</v>
      </c>
      <c r="F17" s="130" t="n">
        <v>59.3</v>
      </c>
      <c r="G17" s="17" t="n">
        <v>18</v>
      </c>
      <c r="H17" s="132" t="n">
        <v>219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82B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포레나대원</t>
        </is>
      </c>
      <c r="B18" s="10" t="inlineStr">
        <is>
          <t>'18.12.</t>
        </is>
      </c>
      <c r="C18" s="132" t="n">
        <v>1530</v>
      </c>
      <c r="D18" s="130" t="n">
        <v>94.90000000000001</v>
      </c>
      <c r="E18" s="131" t="n">
        <v>29</v>
      </c>
      <c r="F18" s="130" t="n">
        <v>68.2</v>
      </c>
      <c r="G18" s="17" t="n">
        <v>21</v>
      </c>
      <c r="H18" s="132" t="n">
        <v>194</v>
      </c>
      <c r="I18" s="133" t="n">
        <v>64000</v>
      </c>
      <c r="J18" s="133" t="inlineStr">
        <is>
          <t>7</t>
        </is>
      </c>
      <c r="K18" s="133" t="n">
        <v>45000</v>
      </c>
      <c r="L18" s="133" t="inlineStr">
        <is>
          <t>13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94A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포레나대원</t>
        </is>
      </c>
      <c r="B19" s="10" t="inlineStr">
        <is>
          <t>'18.12.</t>
        </is>
      </c>
      <c r="C19" s="132" t="n">
        <v>1530</v>
      </c>
      <c r="D19" s="130" t="n">
        <v>95.2</v>
      </c>
      <c r="E19" s="131" t="n">
        <v>29</v>
      </c>
      <c r="F19" s="130" t="n">
        <v>68.2</v>
      </c>
      <c r="G19" s="17" t="n">
        <v>21</v>
      </c>
      <c r="H19" s="132" t="n">
        <v>171</v>
      </c>
      <c r="I19" s="133" t="n">
        <v>63500</v>
      </c>
      <c r="J19" s="133" t="inlineStr">
        <is>
          <t>22</t>
        </is>
      </c>
      <c r="K19" s="133" t="n">
        <v>48000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95B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포레나대원</t>
        </is>
      </c>
      <c r="B20" s="10" t="inlineStr">
        <is>
          <t>'18.12.</t>
        </is>
      </c>
      <c r="C20" s="132" t="n">
        <v>1530</v>
      </c>
      <c r="D20" s="130" t="n">
        <v>116.6</v>
      </c>
      <c r="E20" s="131" t="n">
        <v>35</v>
      </c>
      <c r="F20" s="130" t="n">
        <v>84.3</v>
      </c>
      <c r="G20" s="17" t="n">
        <v>25</v>
      </c>
      <c r="H20" s="132" t="n">
        <v>148</v>
      </c>
      <c r="I20" s="133" t="n">
        <v>73000</v>
      </c>
      <c r="J20" s="133" t="inlineStr">
        <is>
          <t>15</t>
        </is>
      </c>
      <c r="K20" s="133" t="n">
        <v>52000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포레나대원</t>
        </is>
      </c>
      <c r="B21" s="10" t="inlineStr">
        <is>
          <t>'18.12.</t>
        </is>
      </c>
      <c r="C21" s="132" t="n">
        <v>1530</v>
      </c>
      <c r="D21" s="130" t="n">
        <v>116.5</v>
      </c>
      <c r="E21" s="131" t="n">
        <v>35</v>
      </c>
      <c r="F21" s="130" t="n">
        <v>84.40000000000001</v>
      </c>
      <c r="G21" s="17" t="n">
        <v>26</v>
      </c>
      <c r="H21" s="132" t="n">
        <v>148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포레나대원</t>
        </is>
      </c>
      <c r="B22" s="10" t="inlineStr">
        <is>
          <t>'18.12.</t>
        </is>
      </c>
      <c r="C22" s="132" t="n">
        <v>1530</v>
      </c>
      <c r="D22" s="130" t="n">
        <v>116.8</v>
      </c>
      <c r="E22" s="131" t="n">
        <v>35</v>
      </c>
      <c r="F22" s="130" t="n">
        <v>84.40000000000001</v>
      </c>
      <c r="G22" s="17" t="n">
        <v>26</v>
      </c>
      <c r="H22" s="132" t="n">
        <v>132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116Bb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포레나대원</t>
        </is>
      </c>
      <c r="B23" s="10" t="inlineStr">
        <is>
          <t>'18.12.</t>
        </is>
      </c>
      <c r="C23" s="132" t="n">
        <v>1530</v>
      </c>
      <c r="D23" s="130" t="n">
        <v>116.7</v>
      </c>
      <c r="E23" s="131" t="n">
        <v>35</v>
      </c>
      <c r="F23" s="130" t="n">
        <v>84.40000000000001</v>
      </c>
      <c r="G23" s="17" t="n">
        <v>26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116C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포레나대원</t>
        </is>
      </c>
      <c r="B24" s="10" t="inlineStr">
        <is>
          <t>'18.12.</t>
        </is>
      </c>
      <c r="C24" s="132" t="n">
        <v>1530</v>
      </c>
      <c r="D24" s="130" t="n">
        <v>117.4</v>
      </c>
      <c r="E24" s="131" t="n">
        <v>36</v>
      </c>
      <c r="F24" s="130" t="n">
        <v>84.40000000000001</v>
      </c>
      <c r="G24" s="17" t="n">
        <v>26</v>
      </c>
      <c r="H24" s="132" t="n">
        <v>66</v>
      </c>
      <c r="I24" s="133" t="n">
        <v>70000</v>
      </c>
      <c r="J24" s="133" t="inlineStr">
        <is>
          <t>9</t>
        </is>
      </c>
      <c r="K24" s="133" t="n">
        <v>50000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117D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포레나대원</t>
        </is>
      </c>
      <c r="B25" s="10" t="inlineStr">
        <is>
          <t>'18.12.</t>
        </is>
      </c>
      <c r="C25" s="132" t="n">
        <v>1530</v>
      </c>
      <c r="D25" s="130" t="n">
        <v>117.2</v>
      </c>
      <c r="E25" s="131" t="n">
        <v>35</v>
      </c>
      <c r="F25" s="130" t="n">
        <v>84.40000000000001</v>
      </c>
      <c r="G25" s="17" t="n">
        <v>26</v>
      </c>
      <c r="H25" s="132" t="n">
        <v>48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117Ba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포레나대원</t>
        </is>
      </c>
      <c r="B26" s="10" t="inlineStr">
        <is>
          <t>'18.12.</t>
        </is>
      </c>
      <c r="C26" s="132" t="n">
        <v>1530</v>
      </c>
      <c r="D26" s="130" t="n">
        <v>147.1</v>
      </c>
      <c r="E26" s="131" t="n">
        <v>44</v>
      </c>
      <c r="F26" s="130" t="n">
        <v>108.3</v>
      </c>
      <c r="G26" s="17" t="n">
        <v>33</v>
      </c>
      <c r="H26" s="132" t="n">
        <v>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대원대동황토방1차</t>
        </is>
      </c>
      <c r="B28" s="10" t="inlineStr">
        <is>
          <t>'99.04.</t>
        </is>
      </c>
      <c r="C28" s="132" t="n">
        <v>486</v>
      </c>
      <c r="D28" s="130" t="n">
        <v>104.1</v>
      </c>
      <c r="E28" s="131" t="n">
        <v>31</v>
      </c>
      <c r="F28" s="130" t="n">
        <v>84.90000000000001</v>
      </c>
      <c r="G28" s="17" t="n">
        <v>26</v>
      </c>
      <c r="H28" s="132" t="n">
        <v>330</v>
      </c>
      <c r="I28" s="133" t="n">
        <v>25500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104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대원대동황토방1차</t>
        </is>
      </c>
      <c r="B29" s="10" t="inlineStr">
        <is>
          <t>'99.04.</t>
        </is>
      </c>
      <c r="C29" s="132" t="n">
        <v>486</v>
      </c>
      <c r="D29" s="130" t="n">
        <v>143.4</v>
      </c>
      <c r="E29" s="131" t="n">
        <v>43</v>
      </c>
      <c r="F29" s="130" t="n">
        <v>120.9</v>
      </c>
      <c r="G29" s="17" t="n">
        <v>37</v>
      </c>
      <c r="H29" s="132" t="n">
        <v>156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143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 N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노블파크</t>
        </is>
      </c>
      <c r="B6" s="10" t="inlineStr">
        <is>
          <t>'07.12.</t>
        </is>
      </c>
      <c r="C6" s="132" t="n">
        <v>2699</v>
      </c>
      <c r="D6" s="130" t="n">
        <v>69.8</v>
      </c>
      <c r="E6" s="131" t="n">
        <v>21</v>
      </c>
      <c r="F6" s="130" t="n">
        <v>51.9</v>
      </c>
      <c r="G6" s="17" t="n">
        <v>16</v>
      </c>
      <c r="H6" s="132" t="n">
        <v>30</v>
      </c>
      <c r="I6" s="133" t="n">
        <v>37000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노블파크</t>
        </is>
      </c>
      <c r="B7" s="10" t="inlineStr">
        <is>
          <t>'07.12.</t>
        </is>
      </c>
      <c r="C7" s="132" t="n">
        <v>2699</v>
      </c>
      <c r="D7" s="130" t="n">
        <v>84</v>
      </c>
      <c r="E7" s="131" t="n">
        <v>25</v>
      </c>
      <c r="F7" s="130" t="n">
        <v>60</v>
      </c>
      <c r="G7" s="17" t="n">
        <v>18</v>
      </c>
      <c r="H7" s="132" t="n">
        <v>164</v>
      </c>
      <c r="I7" s="133" t="n">
        <v>49000</v>
      </c>
      <c r="J7" s="133" t="inlineStr">
        <is>
          <t>8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노블파크</t>
        </is>
      </c>
      <c r="B8" s="10" t="inlineStr">
        <is>
          <t>'07.12.</t>
        </is>
      </c>
      <c r="C8" s="132" t="n">
        <v>2699</v>
      </c>
      <c r="D8" s="130" t="n">
        <v>90.3</v>
      </c>
      <c r="E8" s="131" t="n">
        <v>27</v>
      </c>
      <c r="F8" s="130" t="n">
        <v>66.3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90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노블파크</t>
        </is>
      </c>
      <c r="B9" s="10" t="inlineStr">
        <is>
          <t>'07.12.</t>
        </is>
      </c>
      <c r="C9" s="132" t="n">
        <v>2699</v>
      </c>
      <c r="D9" s="130" t="n">
        <v>102.7</v>
      </c>
      <c r="E9" s="131" t="n">
        <v>31</v>
      </c>
      <c r="F9" s="130" t="n">
        <v>76</v>
      </c>
      <c r="G9" s="17" t="n">
        <v>23</v>
      </c>
      <c r="H9" s="132" t="n">
        <v>250</v>
      </c>
      <c r="I9" s="133" t="n">
        <v>56500</v>
      </c>
      <c r="J9" s="133" t="inlineStr">
        <is>
          <t>10</t>
        </is>
      </c>
      <c r="K9" s="133" t="n">
        <v>43000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102A2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노블파크</t>
        </is>
      </c>
      <c r="B10" s="10" t="inlineStr">
        <is>
          <t>'07.12.</t>
        </is>
      </c>
      <c r="C10" s="132" t="n">
        <v>2699</v>
      </c>
      <c r="D10" s="130" t="n">
        <v>102.9</v>
      </c>
      <c r="E10" s="131" t="n">
        <v>31</v>
      </c>
      <c r="F10" s="130" t="n">
        <v>76.2</v>
      </c>
      <c r="G10" s="17" t="n">
        <v>23</v>
      </c>
      <c r="H10" s="132" t="n">
        <v>166</v>
      </c>
      <c r="I10" s="133" t="n">
        <v>60000</v>
      </c>
      <c r="J10" s="133" t="inlineStr">
        <is>
          <t>12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노블파크</t>
        </is>
      </c>
      <c r="B11" s="10" t="inlineStr">
        <is>
          <t>'07.12.</t>
        </is>
      </c>
      <c r="C11" s="132" t="n">
        <v>2699</v>
      </c>
      <c r="D11" s="130" t="n">
        <v>103</v>
      </c>
      <c r="E11" s="131" t="n">
        <v>31</v>
      </c>
      <c r="F11" s="130" t="n">
        <v>76</v>
      </c>
      <c r="G11" s="17" t="n">
        <v>23</v>
      </c>
      <c r="H11" s="132" t="n">
        <v>176</v>
      </c>
      <c r="I11" s="133" t="n">
        <v>56000</v>
      </c>
      <c r="J11" s="133" t="inlineStr">
        <is>
          <t>11</t>
        </is>
      </c>
      <c r="K11" s="133" t="n">
        <v>43500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103A1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노블파크</t>
        </is>
      </c>
      <c r="B12" s="10" t="inlineStr">
        <is>
          <t>'07.12.</t>
        </is>
      </c>
      <c r="C12" s="132" t="n">
        <v>2699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674</v>
      </c>
      <c r="I12" s="133" t="n">
        <v>67000</v>
      </c>
      <c r="J12" s="133" t="inlineStr">
        <is>
          <t>고</t>
        </is>
      </c>
      <c r="K12" s="133" t="n">
        <v>47000</v>
      </c>
      <c r="L12" s="133" t="inlineStr">
        <is>
          <t>18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113A1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노블파크</t>
        </is>
      </c>
      <c r="B13" s="10" t="inlineStr">
        <is>
          <t>'07.12.</t>
        </is>
      </c>
      <c r="C13" s="132" t="n">
        <v>2699</v>
      </c>
      <c r="D13" s="130" t="n">
        <v>113.7</v>
      </c>
      <c r="E13" s="131" t="n">
        <v>34</v>
      </c>
      <c r="F13" s="130" t="n">
        <v>85</v>
      </c>
      <c r="G13" s="17" t="n">
        <v>26</v>
      </c>
      <c r="H13" s="132" t="n">
        <v>236</v>
      </c>
      <c r="I13" s="133" t="n">
        <v>67000</v>
      </c>
      <c r="J13" s="133" t="inlineStr">
        <is>
          <t>고</t>
        </is>
      </c>
      <c r="K13" s="133" t="n">
        <v>47000</v>
      </c>
      <c r="L13" s="133" t="inlineStr">
        <is>
          <t>18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113B1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노블파크</t>
        </is>
      </c>
      <c r="B14" s="10" t="inlineStr">
        <is>
          <t>'07.12.</t>
        </is>
      </c>
      <c r="C14" s="132" t="n">
        <v>2699</v>
      </c>
      <c r="D14" s="130" t="n">
        <v>113.7</v>
      </c>
      <c r="E14" s="131" t="n">
        <v>34</v>
      </c>
      <c r="F14" s="130" t="n">
        <v>85</v>
      </c>
      <c r="G14" s="17" t="n">
        <v>26</v>
      </c>
      <c r="H14" s="132" t="n">
        <v>120</v>
      </c>
      <c r="I14" s="133" t="n">
        <v>67000</v>
      </c>
      <c r="J14" s="133" t="inlineStr">
        <is>
          <t>고</t>
        </is>
      </c>
      <c r="K14" s="133" t="n">
        <v>47000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113A2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노블파크</t>
        </is>
      </c>
      <c r="B15" s="10" t="inlineStr">
        <is>
          <t>'07.12.</t>
        </is>
      </c>
      <c r="C15" s="132" t="n">
        <v>2699</v>
      </c>
      <c r="D15" s="130" t="n">
        <v>113.7</v>
      </c>
      <c r="E15" s="131" t="n">
        <v>34</v>
      </c>
      <c r="F15" s="130" t="n">
        <v>85</v>
      </c>
      <c r="G15" s="17" t="n">
        <v>26</v>
      </c>
      <c r="H15" s="132" t="n">
        <v>118</v>
      </c>
      <c r="I15" s="133" t="n">
        <v>67000</v>
      </c>
      <c r="J15" s="133" t="inlineStr">
        <is>
          <t>고</t>
        </is>
      </c>
      <c r="K15" s="133" t="n">
        <v>47000</v>
      </c>
      <c r="L15" s="133" t="inlineStr">
        <is>
          <t>18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113B2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노블파크</t>
        </is>
      </c>
      <c r="B16" s="10" t="inlineStr">
        <is>
          <t>'07.12.</t>
        </is>
      </c>
      <c r="C16" s="132" t="n">
        <v>2699</v>
      </c>
      <c r="D16" s="130" t="n">
        <v>113.7</v>
      </c>
      <c r="E16" s="131" t="n">
        <v>34</v>
      </c>
      <c r="F16" s="130" t="n">
        <v>85</v>
      </c>
      <c r="G16" s="17" t="n">
        <v>26</v>
      </c>
      <c r="H16" s="132" t="n">
        <v>60</v>
      </c>
      <c r="I16" s="133" t="n">
        <v>67000</v>
      </c>
      <c r="J16" s="133" t="inlineStr">
        <is>
          <t>고</t>
        </is>
      </c>
      <c r="K16" s="133" t="n">
        <v>47000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113B3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노블파크</t>
        </is>
      </c>
      <c r="B17" s="10" t="inlineStr">
        <is>
          <t>'07.12.</t>
        </is>
      </c>
      <c r="C17" s="132" t="n">
        <v>2699</v>
      </c>
      <c r="D17" s="130" t="n">
        <v>113.7</v>
      </c>
      <c r="E17" s="131" t="n">
        <v>34</v>
      </c>
      <c r="F17" s="130" t="n">
        <v>85</v>
      </c>
      <c r="G17" s="17" t="n">
        <v>26</v>
      </c>
      <c r="H17" s="132" t="n">
        <v>54</v>
      </c>
      <c r="I17" s="133" t="n">
        <v>67000</v>
      </c>
      <c r="J17" s="133" t="inlineStr">
        <is>
          <t>고</t>
        </is>
      </c>
      <c r="K17" s="133" t="n">
        <v>47000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노블파크</t>
        </is>
      </c>
      <c r="B18" s="10" t="inlineStr">
        <is>
          <t>'07.12.</t>
        </is>
      </c>
      <c r="C18" s="132" t="n">
        <v>2699</v>
      </c>
      <c r="D18" s="130" t="n">
        <v>113.7</v>
      </c>
      <c r="E18" s="131" t="n">
        <v>34</v>
      </c>
      <c r="F18" s="130" t="n">
        <v>85</v>
      </c>
      <c r="G18" s="17" t="n">
        <v>26</v>
      </c>
      <c r="H18" s="132" t="n">
        <v>52</v>
      </c>
      <c r="I18" s="133" t="n">
        <v>67000</v>
      </c>
      <c r="J18" s="133" t="inlineStr">
        <is>
          <t>고</t>
        </is>
      </c>
      <c r="K18" s="133" t="n">
        <v>47000</v>
      </c>
      <c r="L18" s="133" t="inlineStr">
        <is>
          <t>18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노블파크</t>
        </is>
      </c>
      <c r="B19" s="10" t="inlineStr">
        <is>
          <t>'07.12.</t>
        </is>
      </c>
      <c r="C19" s="132" t="n">
        <v>2699</v>
      </c>
      <c r="D19" s="130" t="n">
        <v>113.7</v>
      </c>
      <c r="E19" s="131" t="n">
        <v>34</v>
      </c>
      <c r="F19" s="130" t="n">
        <v>85</v>
      </c>
      <c r="G19" s="17" t="n">
        <v>26</v>
      </c>
      <c r="H19" s="132" t="n">
        <v>36</v>
      </c>
      <c r="I19" s="133" t="n">
        <v>67000</v>
      </c>
      <c r="J19" s="133" t="inlineStr">
        <is>
          <t>고</t>
        </is>
      </c>
      <c r="K19" s="133" t="n">
        <v>47000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113A3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노블파크</t>
        </is>
      </c>
      <c r="B20" s="10" t="inlineStr">
        <is>
          <t>'07.12.</t>
        </is>
      </c>
      <c r="C20" s="132" t="n">
        <v>2699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67000</v>
      </c>
      <c r="J20" s="133" t="inlineStr">
        <is>
          <t>고</t>
        </is>
      </c>
      <c r="K20" s="133" t="n">
        <v>47000</v>
      </c>
      <c r="L20" s="133" t="inlineStr">
        <is>
          <t>18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113D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노블파크</t>
        </is>
      </c>
      <c r="B21" s="10" t="inlineStr">
        <is>
          <t>'07.12.</t>
        </is>
      </c>
      <c r="C21" s="132" t="n">
        <v>2699</v>
      </c>
      <c r="D21" s="130" t="n">
        <v>131.1</v>
      </c>
      <c r="E21" s="131" t="n">
        <v>40</v>
      </c>
      <c r="F21" s="130" t="n">
        <v>101.9</v>
      </c>
      <c r="G21" s="17" t="n">
        <v>31</v>
      </c>
      <c r="H21" s="132" t="n">
        <v>179</v>
      </c>
      <c r="I21" s="133" t="n">
        <v>65000</v>
      </c>
      <c r="J21" s="133" t="inlineStr">
        <is>
          <t>중</t>
        </is>
      </c>
      <c r="K21" s="133" t="n">
        <v>50000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131A1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노블파크</t>
        </is>
      </c>
      <c r="B22" s="10" t="inlineStr">
        <is>
          <t>'07.12.</t>
        </is>
      </c>
      <c r="C22" s="132" t="n">
        <v>2699</v>
      </c>
      <c r="D22" s="130" t="n">
        <v>131.1</v>
      </c>
      <c r="E22" s="131" t="n">
        <v>40</v>
      </c>
      <c r="F22" s="130" t="n">
        <v>101.9</v>
      </c>
      <c r="G22" s="17" t="n">
        <v>31</v>
      </c>
      <c r="H22" s="132" t="n">
        <v>68</v>
      </c>
      <c r="I22" s="133" t="n">
        <v>65000</v>
      </c>
      <c r="J22" s="133" t="inlineStr">
        <is>
          <t>중</t>
        </is>
      </c>
      <c r="K22" s="133" t="n">
        <v>50000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131A2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노블파크</t>
        </is>
      </c>
      <c r="B23" s="10" t="inlineStr">
        <is>
          <t>'07.12.</t>
        </is>
      </c>
      <c r="C23" s="132" t="n">
        <v>2699</v>
      </c>
      <c r="D23" s="130" t="n">
        <v>163.7</v>
      </c>
      <c r="E23" s="131" t="n">
        <v>50</v>
      </c>
      <c r="F23" s="130" t="n">
        <v>129.5</v>
      </c>
      <c r="G23" s="17" t="n">
        <v>39</v>
      </c>
      <c r="H23" s="132" t="n">
        <v>96</v>
      </c>
      <c r="I23" s="133" t="n">
        <v>87000</v>
      </c>
      <c r="J23" s="133" t="inlineStr">
        <is>
          <t>11</t>
        </is>
      </c>
      <c r="K23" s="133" t="n">
        <v>70000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inlineStr">
        <is>
          <t>163A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노블파크</t>
        </is>
      </c>
      <c r="B24" s="10" t="inlineStr">
        <is>
          <t>'07.12.</t>
        </is>
      </c>
      <c r="C24" s="132" t="n">
        <v>2699</v>
      </c>
      <c r="D24" s="130" t="n">
        <v>163.6</v>
      </c>
      <c r="E24" s="131" t="n">
        <v>49</v>
      </c>
      <c r="F24" s="130" t="n">
        <v>129.4</v>
      </c>
      <c r="G24" s="17" t="n">
        <v>39</v>
      </c>
      <c r="H24" s="132" t="n">
        <v>62</v>
      </c>
      <c r="I24" s="133" t="n">
        <v>94000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163B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노블파크</t>
        </is>
      </c>
      <c r="B25" s="10" t="inlineStr">
        <is>
          <t>'07.12.</t>
        </is>
      </c>
      <c r="C25" s="132" t="n">
        <v>2699</v>
      </c>
      <c r="D25" s="130" t="n">
        <v>191.2</v>
      </c>
      <c r="E25" s="131" t="n">
        <v>58</v>
      </c>
      <c r="F25" s="130" t="n">
        <v>148.7</v>
      </c>
      <c r="G25" s="17" t="n">
        <v>45</v>
      </c>
      <c r="H25" s="132" t="n">
        <v>120</v>
      </c>
      <c r="I25" s="133" t="n">
        <v>102000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191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반림럭키</t>
        </is>
      </c>
      <c r="B27" s="10" t="inlineStr">
        <is>
          <t>'89.01.</t>
        </is>
      </c>
      <c r="C27" s="132" t="n">
        <v>1620</v>
      </c>
      <c r="D27" s="130" t="n">
        <v>66.5</v>
      </c>
      <c r="E27" s="131" t="n">
        <v>20</v>
      </c>
      <c r="F27" s="130" t="n">
        <v>49.5</v>
      </c>
      <c r="G27" s="17" t="n">
        <v>15</v>
      </c>
      <c r="H27" s="132" t="n">
        <v>300</v>
      </c>
      <c r="I27" s="133" t="n">
        <v>21500</v>
      </c>
      <c r="J27" s="133" t="inlineStr">
        <is>
          <t>13</t>
        </is>
      </c>
      <c r="K27" s="133" t="n">
        <v>16000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복</t>
        </is>
      </c>
      <c r="T27" s="5" t="n">
        <v>66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반림럭키</t>
        </is>
      </c>
      <c r="B28" s="10" t="inlineStr">
        <is>
          <t>'89.01.</t>
        </is>
      </c>
      <c r="C28" s="132" t="n">
        <v>1620</v>
      </c>
      <c r="D28" s="130" t="n">
        <v>79.40000000000001</v>
      </c>
      <c r="E28" s="131" t="n">
        <v>24</v>
      </c>
      <c r="F28" s="130" t="n">
        <v>59.2</v>
      </c>
      <c r="G28" s="17" t="n">
        <v>18</v>
      </c>
      <c r="H28" s="132" t="n">
        <v>210</v>
      </c>
      <c r="I28" s="133" t="n">
        <v>27000</v>
      </c>
      <c r="J28" s="133" t="inlineStr">
        <is>
          <t>8</t>
        </is>
      </c>
      <c r="K28" s="133" t="n">
        <v>22000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복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반림럭키</t>
        </is>
      </c>
      <c r="B29" s="10" t="inlineStr">
        <is>
          <t>'89.01.</t>
        </is>
      </c>
      <c r="C29" s="132" t="n">
        <v>1620</v>
      </c>
      <c r="D29" s="130" t="n">
        <v>93.09999999999999</v>
      </c>
      <c r="E29" s="131" t="n">
        <v>28</v>
      </c>
      <c r="F29" s="130" t="n">
        <v>76.09999999999999</v>
      </c>
      <c r="G29" s="17" t="n">
        <v>23</v>
      </c>
      <c r="H29" s="132" t="n">
        <v>240</v>
      </c>
      <c r="I29" s="133" t="n">
        <v>39000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93A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반림럭키</t>
        </is>
      </c>
      <c r="B30" s="10" t="inlineStr">
        <is>
          <t>'89.01.</t>
        </is>
      </c>
      <c r="C30" s="132" t="n">
        <v>1620</v>
      </c>
      <c r="D30" s="130" t="n">
        <v>93.7</v>
      </c>
      <c r="E30" s="131" t="n">
        <v>28</v>
      </c>
      <c r="F30" s="130" t="n">
        <v>76.3</v>
      </c>
      <c r="G30" s="17" t="n">
        <v>23</v>
      </c>
      <c r="H30" s="132" t="n">
        <v>210</v>
      </c>
      <c r="I30" s="133" t="n">
        <v>36500</v>
      </c>
      <c r="J30" s="133" t="inlineStr">
        <is>
          <t>고</t>
        </is>
      </c>
      <c r="K30" s="133" t="n">
        <v>28000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93B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반림럭키</t>
        </is>
      </c>
      <c r="B31" s="10" t="inlineStr">
        <is>
          <t>'89.01.</t>
        </is>
      </c>
      <c r="C31" s="132" t="n">
        <v>1620</v>
      </c>
      <c r="D31" s="130" t="n">
        <v>93.3</v>
      </c>
      <c r="E31" s="131" t="n">
        <v>28</v>
      </c>
      <c r="F31" s="130" t="n">
        <v>76.40000000000001</v>
      </c>
      <c r="G31" s="17" t="n">
        <v>23</v>
      </c>
      <c r="H31" s="132" t="n">
        <v>90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93C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반림럭키</t>
        </is>
      </c>
      <c r="B32" s="10" t="inlineStr">
        <is>
          <t>'89.01.</t>
        </is>
      </c>
      <c r="C32" s="132" t="n">
        <v>1620</v>
      </c>
      <c r="D32" s="130" t="n">
        <v>102.9</v>
      </c>
      <c r="E32" s="131" t="n">
        <v>31</v>
      </c>
      <c r="F32" s="130" t="n">
        <v>84.90000000000001</v>
      </c>
      <c r="G32" s="17" t="n">
        <v>26</v>
      </c>
      <c r="H32" s="132" t="n">
        <v>210</v>
      </c>
      <c r="I32" s="133" t="n">
        <v>42000</v>
      </c>
      <c r="J32" s="133" t="inlineStr">
        <is>
          <t>11</t>
        </is>
      </c>
      <c r="K32" s="133" t="n">
        <v>23000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102C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반림럭키</t>
        </is>
      </c>
      <c r="B33" s="10" t="inlineStr">
        <is>
          <t>'89.01.</t>
        </is>
      </c>
      <c r="C33" s="132" t="n">
        <v>1620</v>
      </c>
      <c r="D33" s="130" t="n">
        <v>103.3</v>
      </c>
      <c r="E33" s="131" t="n">
        <v>31</v>
      </c>
      <c r="F33" s="130" t="n">
        <v>84.90000000000001</v>
      </c>
      <c r="G33" s="17" t="n">
        <v>26</v>
      </c>
      <c r="H33" s="132" t="n">
        <v>270</v>
      </c>
      <c r="I33" s="133" t="n">
        <v>40000</v>
      </c>
      <c r="J33" s="133" t="inlineStr">
        <is>
          <t>중</t>
        </is>
      </c>
      <c r="K33" s="133" t="n">
        <v>28000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반림럭키</t>
        </is>
      </c>
      <c r="B34" s="10" t="inlineStr">
        <is>
          <t>'89.01.</t>
        </is>
      </c>
      <c r="C34" s="132" t="n">
        <v>1620</v>
      </c>
      <c r="D34" s="130" t="n">
        <v>103.2</v>
      </c>
      <c r="E34" s="131" t="n">
        <v>31</v>
      </c>
      <c r="F34" s="130" t="n">
        <v>84.90000000000001</v>
      </c>
      <c r="G34" s="17" t="n">
        <v>26</v>
      </c>
      <c r="H34" s="132" t="n">
        <v>90</v>
      </c>
      <c r="I34" s="133" t="n">
        <v>43000</v>
      </c>
      <c r="J34" s="133" t="inlineStr">
        <is>
          <t>6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103A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트리비앙</t>
        </is>
      </c>
      <c r="B36" s="10" t="inlineStr">
        <is>
          <t>'06.10.</t>
        </is>
      </c>
      <c r="C36" s="132" t="n">
        <v>2610</v>
      </c>
      <c r="D36" s="130" t="n">
        <v>85.09999999999999</v>
      </c>
      <c r="E36" s="131" t="n">
        <v>26</v>
      </c>
      <c r="F36" s="130" t="n">
        <v>60</v>
      </c>
      <c r="G36" s="17" t="n">
        <v>18</v>
      </c>
      <c r="H36" s="132" t="n">
        <v>338</v>
      </c>
      <c r="I36" s="133" t="n">
        <v>43000</v>
      </c>
      <c r="J36" s="133" t="inlineStr">
        <is>
          <t>10</t>
        </is>
      </c>
      <c r="K36" s="133" t="n">
        <v>37000</v>
      </c>
      <c r="L36" s="133" t="inlineStr">
        <is>
          <t>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트리비앙</t>
        </is>
      </c>
      <c r="B37" s="10" t="inlineStr">
        <is>
          <t>'06.10.</t>
        </is>
      </c>
      <c r="C37" s="132" t="n">
        <v>2610</v>
      </c>
      <c r="D37" s="130" t="n">
        <v>89.3</v>
      </c>
      <c r="E37" s="131" t="n">
        <v>27</v>
      </c>
      <c r="F37" s="130" t="n">
        <v>66.3</v>
      </c>
      <c r="G37" s="17" t="n">
        <v>20</v>
      </c>
      <c r="H37" s="132" t="n">
        <v>4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2</v>
      </c>
      <c r="S37" s="120" t="inlineStr">
        <is>
          <t>계</t>
        </is>
      </c>
      <c r="T37" s="5" t="n">
        <v>89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트리비앙</t>
        </is>
      </c>
      <c r="B38" s="10" t="inlineStr">
        <is>
          <t>'06.10.</t>
        </is>
      </c>
      <c r="C38" s="132" t="n">
        <v>2610</v>
      </c>
      <c r="D38" s="130" t="n">
        <v>98.90000000000001</v>
      </c>
      <c r="E38" s="131" t="n">
        <v>30</v>
      </c>
      <c r="F38" s="130" t="n">
        <v>73.90000000000001</v>
      </c>
      <c r="G38" s="17" t="n">
        <v>22</v>
      </c>
      <c r="H38" s="132" t="n">
        <v>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2</v>
      </c>
      <c r="S38" s="120" t="inlineStr">
        <is>
          <t>계</t>
        </is>
      </c>
      <c r="T38" s="5" t="n">
        <v>98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트리비앙</t>
        </is>
      </c>
      <c r="B39" s="10" t="inlineStr">
        <is>
          <t>'06.10.</t>
        </is>
      </c>
      <c r="C39" s="132" t="n">
        <v>2610</v>
      </c>
      <c r="D39" s="130" t="n">
        <v>103</v>
      </c>
      <c r="E39" s="131" t="n">
        <v>31</v>
      </c>
      <c r="F39" s="130" t="n">
        <v>76</v>
      </c>
      <c r="G39" s="17" t="n">
        <v>23</v>
      </c>
      <c r="H39" s="132" t="n">
        <v>252</v>
      </c>
      <c r="I39" s="133" t="n">
        <v>58000</v>
      </c>
      <c r="J39" s="133" t="inlineStr">
        <is>
          <t>15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트리비앙</t>
        </is>
      </c>
      <c r="B40" s="10" t="inlineStr">
        <is>
          <t>'06.10.</t>
        </is>
      </c>
      <c r="C40" s="132" t="n">
        <v>2610</v>
      </c>
      <c r="D40" s="130" t="n">
        <v>102.2</v>
      </c>
      <c r="E40" s="131" t="n">
        <v>31</v>
      </c>
      <c r="F40" s="130" t="n">
        <v>76</v>
      </c>
      <c r="G40" s="17" t="n">
        <v>23</v>
      </c>
      <c r="H40" s="132" t="n">
        <v>158</v>
      </c>
      <c r="I40" s="133" t="n">
        <v>58000</v>
      </c>
      <c r="J40" s="133" t="inlineStr">
        <is>
          <t>15</t>
        </is>
      </c>
      <c r="K40" s="133" t="n">
        <v>46000</v>
      </c>
      <c r="L40" s="133" t="inlineStr">
        <is>
          <t>11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102A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트리비앙</t>
        </is>
      </c>
      <c r="B41" s="10" t="inlineStr">
        <is>
          <t>'06.10.</t>
        </is>
      </c>
      <c r="C41" s="132" t="n">
        <v>2610</v>
      </c>
      <c r="D41" s="130" t="n">
        <v>102.5</v>
      </c>
      <c r="E41" s="131" t="n">
        <v>31</v>
      </c>
      <c r="F41" s="130" t="n">
        <v>76.2</v>
      </c>
      <c r="G41" s="17" t="n">
        <v>23</v>
      </c>
      <c r="H41" s="132" t="n">
        <v>149</v>
      </c>
      <c r="I41" s="133" t="n">
        <v>60500</v>
      </c>
      <c r="J41" s="133" t="inlineStr">
        <is>
          <t>10</t>
        </is>
      </c>
      <c r="K41" s="133" t="n">
        <v>47000</v>
      </c>
      <c r="L41" s="133" t="inlineStr">
        <is>
          <t>14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102C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트리비앙</t>
        </is>
      </c>
      <c r="B42" s="10" t="inlineStr">
        <is>
          <t>'06.10.</t>
        </is>
      </c>
      <c r="C42" s="132" t="n">
        <v>2610</v>
      </c>
      <c r="D42" s="130" t="n">
        <v>113.8</v>
      </c>
      <c r="E42" s="131" t="n">
        <v>34</v>
      </c>
      <c r="F42" s="130" t="n">
        <v>85</v>
      </c>
      <c r="G42" s="17" t="n">
        <v>26</v>
      </c>
      <c r="H42" s="132" t="n">
        <v>809</v>
      </c>
      <c r="I42" s="133" t="n">
        <v>61000</v>
      </c>
      <c r="J42" s="133" t="inlineStr">
        <is>
          <t>중</t>
        </is>
      </c>
      <c r="K42" s="133" t="n">
        <v>48000</v>
      </c>
      <c r="L42" s="133" t="inlineStr">
        <is>
          <t>11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트리비앙</t>
        </is>
      </c>
      <c r="B43" s="10" t="inlineStr">
        <is>
          <t>'06.10.</t>
        </is>
      </c>
      <c r="C43" s="132" t="n">
        <v>2610</v>
      </c>
      <c r="D43" s="130" t="n">
        <v>113.9</v>
      </c>
      <c r="E43" s="131" t="n">
        <v>34</v>
      </c>
      <c r="F43" s="130" t="n">
        <v>85</v>
      </c>
      <c r="G43" s="17" t="n">
        <v>26</v>
      </c>
      <c r="H43" s="132" t="n">
        <v>373</v>
      </c>
      <c r="I43" s="133" t="n">
        <v>62800</v>
      </c>
      <c r="J43" s="133" t="inlineStr">
        <is>
          <t>7</t>
        </is>
      </c>
      <c r="K43" s="133" t="n">
        <v>50000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113C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트리비앙</t>
        </is>
      </c>
      <c r="B44" s="10" t="inlineStr">
        <is>
          <t>'06.10.</t>
        </is>
      </c>
      <c r="C44" s="132" t="n">
        <v>2610</v>
      </c>
      <c r="D44" s="130" t="n">
        <v>113.7</v>
      </c>
      <c r="E44" s="131" t="n">
        <v>34</v>
      </c>
      <c r="F44" s="130" t="n">
        <v>85</v>
      </c>
      <c r="G44" s="17" t="n">
        <v>26</v>
      </c>
      <c r="H44" s="132" t="n">
        <v>51</v>
      </c>
      <c r="I44" s="133" t="n">
        <v>64000</v>
      </c>
      <c r="J44" s="133" t="inlineStr">
        <is>
          <t>고</t>
        </is>
      </c>
      <c r="K44" s="133" t="n">
        <v>52000</v>
      </c>
      <c r="L44" s="133" t="inlineStr">
        <is>
          <t>11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113B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트리비앙</t>
        </is>
      </c>
      <c r="B45" s="10" t="inlineStr">
        <is>
          <t>'06.10.</t>
        </is>
      </c>
      <c r="C45" s="132" t="n">
        <v>2610</v>
      </c>
      <c r="D45" s="130" t="n">
        <v>131.7</v>
      </c>
      <c r="E45" s="131" t="n">
        <v>40</v>
      </c>
      <c r="F45" s="130" t="n">
        <v>101.9</v>
      </c>
      <c r="G45" s="17" t="n">
        <v>31</v>
      </c>
      <c r="H45" s="132" t="n">
        <v>235</v>
      </c>
      <c r="I45" s="133" t="n">
        <v>80000</v>
      </c>
      <c r="J45" s="133" t="inlineStr">
        <is>
          <t>5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131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트리비앙</t>
        </is>
      </c>
      <c r="B46" s="10" t="inlineStr">
        <is>
          <t>'06.10.</t>
        </is>
      </c>
      <c r="C46" s="132" t="n">
        <v>2610</v>
      </c>
      <c r="D46" s="130" t="n">
        <v>164.2</v>
      </c>
      <c r="E46" s="131" t="n">
        <v>50</v>
      </c>
      <c r="F46" s="130" t="n">
        <v>129.5</v>
      </c>
      <c r="G46" s="17" t="n">
        <v>39</v>
      </c>
      <c r="H46" s="132" t="n">
        <v>87</v>
      </c>
      <c r="I46" s="133" t="n">
        <v>93000</v>
      </c>
      <c r="J46" s="133" t="inlineStr">
        <is>
          <t>11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inlineStr">
        <is>
          <t>164B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트리비앙</t>
        </is>
      </c>
      <c r="B47" s="10" t="inlineStr">
        <is>
          <t>'06.10.</t>
        </is>
      </c>
      <c r="C47" s="132" t="n">
        <v>2610</v>
      </c>
      <c r="D47" s="130" t="n">
        <v>164.1</v>
      </c>
      <c r="E47" s="131" t="n">
        <v>50</v>
      </c>
      <c r="F47" s="130" t="n">
        <v>129.4</v>
      </c>
      <c r="G47" s="17" t="n">
        <v>39</v>
      </c>
      <c r="H47" s="132" t="n">
        <v>60</v>
      </c>
      <c r="I47" s="133" t="n">
        <v>93000</v>
      </c>
      <c r="J47" s="133" t="inlineStr">
        <is>
          <t>고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164A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트리비앙</t>
        </is>
      </c>
      <c r="B48" s="10" t="inlineStr">
        <is>
          <t>'06.10.</t>
        </is>
      </c>
      <c r="C48" s="132" t="n">
        <v>2610</v>
      </c>
      <c r="D48" s="130" t="n">
        <v>188</v>
      </c>
      <c r="E48" s="131" t="n">
        <v>57</v>
      </c>
      <c r="F48" s="130" t="n">
        <v>148.7</v>
      </c>
      <c r="G48" s="17" t="n">
        <v>45</v>
      </c>
      <c r="H48" s="132" t="n">
        <v>90</v>
      </c>
      <c r="I48" s="133" t="n">
        <v>107000</v>
      </c>
      <c r="J48" s="133" t="inlineStr">
        <is>
          <t>12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188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n"/>
      <c r="B49" s="120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5">
        <f>IF(E49="","",E49)</f>
        <v/>
      </c>
      <c r="AJ49" s="120" t="n"/>
      <c r="AK49" s="120" t="n"/>
      <c r="AL49" s="120" t="n"/>
      <c r="AM49" s="120" t="n"/>
      <c r="AN49" s="120" t="n"/>
      <c r="AO49" s="120" t="n"/>
      <c r="AP49" s="120" t="n"/>
      <c r="AQ49" s="120" t="n"/>
      <c r="AR49" s="120" t="n"/>
      <c r="AS49" s="120" t="n"/>
      <c r="AT49" s="120" t="n"/>
      <c r="AU49" s="120" t="n"/>
      <c r="AV49" s="120" t="n"/>
    </row>
    <row r="50">
      <c r="A50" s="9" t="inlineStr">
        <is>
          <t>현대</t>
        </is>
      </c>
      <c r="B50" s="10" t="inlineStr">
        <is>
          <t>'89.04.</t>
        </is>
      </c>
      <c r="C50" s="132" t="n">
        <v>1200</v>
      </c>
      <c r="D50" s="130" t="n">
        <v>84.3</v>
      </c>
      <c r="E50" s="131" t="n">
        <v>26</v>
      </c>
      <c r="F50" s="130" t="n">
        <v>68.8</v>
      </c>
      <c r="G50" s="17" t="n">
        <v>21</v>
      </c>
      <c r="H50" s="132" t="n">
        <v>390</v>
      </c>
      <c r="I50" s="133" t="n">
        <v>37000</v>
      </c>
      <c r="J50" s="133" t="inlineStr">
        <is>
          <t>고</t>
        </is>
      </c>
      <c r="K50" s="133" t="n">
        <v>30000</v>
      </c>
      <c r="L50" s="133" t="inlineStr">
        <is>
          <t>13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1</v>
      </c>
      <c r="S50" s="120" t="inlineStr">
        <is>
          <t>계</t>
        </is>
      </c>
      <c r="T50" s="5" t="inlineStr">
        <is>
          <t>84A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'89.04.</t>
        </is>
      </c>
      <c r="C51" s="132" t="n">
        <v>1200</v>
      </c>
      <c r="D51" s="130" t="n">
        <v>85.8</v>
      </c>
      <c r="E51" s="131" t="n">
        <v>26</v>
      </c>
      <c r="F51" s="130" t="n">
        <v>68.90000000000001</v>
      </c>
      <c r="G51" s="17" t="n">
        <v>21</v>
      </c>
      <c r="H51" s="132" t="n">
        <v>90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85B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'89.04.</t>
        </is>
      </c>
      <c r="C52" s="132" t="n">
        <v>1200</v>
      </c>
      <c r="D52" s="130" t="n">
        <v>102.8</v>
      </c>
      <c r="E52" s="131" t="n">
        <v>31</v>
      </c>
      <c r="F52" s="130" t="n">
        <v>84.5</v>
      </c>
      <c r="G52" s="17" t="n">
        <v>26</v>
      </c>
      <c r="H52" s="132" t="n">
        <v>330</v>
      </c>
      <c r="I52" s="133" t="n">
        <v>48000</v>
      </c>
      <c r="J52" s="133" t="inlineStr">
        <is>
          <t>5</t>
        </is>
      </c>
      <c r="K52" s="133" t="n">
        <v>33000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'89.04.</t>
        </is>
      </c>
      <c r="C53" s="132" t="n">
        <v>1200</v>
      </c>
      <c r="D53" s="130" t="n">
        <v>102.4</v>
      </c>
      <c r="E53" s="131" t="n">
        <v>31</v>
      </c>
      <c r="F53" s="130" t="n">
        <v>84.5</v>
      </c>
      <c r="G53" s="17" t="n">
        <v>26</v>
      </c>
      <c r="H53" s="132" t="n">
        <v>150</v>
      </c>
      <c r="I53" s="133" t="n">
        <v>49000</v>
      </c>
      <c r="J53" s="133" t="inlineStr">
        <is>
          <t>10</t>
        </is>
      </c>
      <c r="K53" s="133" t="n">
        <v>32000</v>
      </c>
      <c r="L53" s="133" t="inlineStr">
        <is>
          <t>14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'89.04.</t>
        </is>
      </c>
      <c r="C54" s="132" t="n">
        <v>1200</v>
      </c>
      <c r="D54" s="130" t="n">
        <v>124.4</v>
      </c>
      <c r="E54" s="131" t="n">
        <v>38</v>
      </c>
      <c r="F54" s="130" t="n">
        <v>106.3</v>
      </c>
      <c r="G54" s="17" t="n">
        <v>32</v>
      </c>
      <c r="H54" s="132" t="n">
        <v>120</v>
      </c>
      <c r="I54" s="133" t="n">
        <v>58000</v>
      </c>
      <c r="J54" s="133" t="inlineStr">
        <is>
          <t>13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124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'89.04.</t>
        </is>
      </c>
      <c r="C55" s="132" t="n">
        <v>1200</v>
      </c>
      <c r="D55" s="130" t="n">
        <v>145.5</v>
      </c>
      <c r="E55" s="131" t="n">
        <v>44</v>
      </c>
      <c r="F55" s="130" t="n">
        <v>125.3</v>
      </c>
      <c r="G55" s="17" t="n">
        <v>38</v>
      </c>
      <c r="H55" s="132" t="n">
        <v>60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145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'89.04.</t>
        </is>
      </c>
      <c r="C56" s="132" t="n">
        <v>1200</v>
      </c>
      <c r="D56" s="130" t="n">
        <v>147.7</v>
      </c>
      <c r="E56" s="131" t="n">
        <v>45</v>
      </c>
      <c r="F56" s="130" t="n">
        <v>126.7</v>
      </c>
      <c r="G56" s="17" t="n">
        <v>38</v>
      </c>
      <c r="H56" s="132" t="n">
        <v>60</v>
      </c>
      <c r="I56" s="133" t="n">
        <v>65000</v>
      </c>
      <c r="J56" s="133" t="inlineStr">
        <is>
          <t>중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147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현대2차</t>
        </is>
      </c>
      <c r="B58" s="10" t="inlineStr">
        <is>
          <t>'89.10.</t>
        </is>
      </c>
      <c r="C58" s="132" t="n">
        <v>1395</v>
      </c>
      <c r="D58" s="130" t="n">
        <v>57.4</v>
      </c>
      <c r="E58" s="131" t="n">
        <v>17</v>
      </c>
      <c r="F58" s="130" t="n">
        <v>44.2</v>
      </c>
      <c r="G58" s="17" t="n">
        <v>13</v>
      </c>
      <c r="H58" s="132" t="n">
        <v>135</v>
      </c>
      <c r="I58" s="133" t="n">
        <v>22000</v>
      </c>
      <c r="J58" s="133" t="inlineStr">
        <is>
          <t>고</t>
        </is>
      </c>
      <c r="K58" s="133" t="n">
        <v>15000</v>
      </c>
      <c r="L58" s="133" t="inlineStr">
        <is>
          <t>13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57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현대2차</t>
        </is>
      </c>
      <c r="B59" s="10" t="inlineStr">
        <is>
          <t>'89.10.</t>
        </is>
      </c>
      <c r="C59" s="132" t="n">
        <v>1395</v>
      </c>
      <c r="D59" s="130" t="n">
        <v>86</v>
      </c>
      <c r="E59" s="131" t="n">
        <v>26</v>
      </c>
      <c r="F59" s="130" t="n">
        <v>69.8</v>
      </c>
      <c r="G59" s="17" t="n">
        <v>21</v>
      </c>
      <c r="H59" s="132" t="n">
        <v>510</v>
      </c>
      <c r="I59" s="133" t="n">
        <v>39000</v>
      </c>
      <c r="J59" s="133" t="inlineStr">
        <is>
          <t>11</t>
        </is>
      </c>
      <c r="K59" s="133" t="n">
        <v>27000</v>
      </c>
      <c r="L59" s="133" t="inlineStr">
        <is>
          <t>12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1</v>
      </c>
      <c r="S59" s="120" t="inlineStr">
        <is>
          <t>계</t>
        </is>
      </c>
      <c r="T59" s="5" t="n">
        <v>86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inlineStr">
        <is>
          <t>현대2차</t>
        </is>
      </c>
      <c r="B60" s="10" t="inlineStr">
        <is>
          <t>'89.10.</t>
        </is>
      </c>
      <c r="C60" s="132" t="n">
        <v>1395</v>
      </c>
      <c r="D60" s="130" t="n">
        <v>101.9</v>
      </c>
      <c r="E60" s="131" t="n">
        <v>31</v>
      </c>
      <c r="F60" s="130" t="n">
        <v>84.8</v>
      </c>
      <c r="G60" s="17" t="n">
        <v>26</v>
      </c>
      <c r="H60" s="132" t="n">
        <v>690</v>
      </c>
      <c r="I60" s="133" t="n">
        <v>47000</v>
      </c>
      <c r="J60" s="133" t="inlineStr">
        <is>
          <t>10</t>
        </is>
      </c>
      <c r="K60" s="133" t="n">
        <v>33000</v>
      </c>
      <c r="L60" s="133" t="inlineStr">
        <is>
          <t>15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현대2차</t>
        </is>
      </c>
      <c r="B61" s="10" t="inlineStr">
        <is>
          <t>'89.10.</t>
        </is>
      </c>
      <c r="C61" s="132" t="n">
        <v>1395</v>
      </c>
      <c r="D61" s="130" t="n">
        <v>153.2</v>
      </c>
      <c r="E61" s="131" t="n">
        <v>46</v>
      </c>
      <c r="F61" s="130" t="n">
        <v>132.5</v>
      </c>
      <c r="G61" s="17" t="n">
        <v>40</v>
      </c>
      <c r="H61" s="132" t="n">
        <v>60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153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1009" dxfId="23">
      <formula>AV4="X"</formula>
    </cfRule>
    <cfRule type="expression" priority="1010" dxfId="22">
      <formula>AV4="후보"</formula>
    </cfRule>
  </conditionalFormatting>
  <conditionalFormatting sqref="AC1:AC2 AC4:AC6 N4:N5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1:N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N6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E6">
    <cfRule type="expression" priority="998" dxfId="3">
      <formula>AND(IF(OR($Q6=1,$Q6=2),1,0),IF($X6&lt;=20,1,0))</formula>
    </cfRule>
    <cfRule type="expression" priority="999" dxfId="2">
      <formula>AND(IF($Q6=2,1,0),IF($X6&lt;30,1,0))</formula>
    </cfRule>
    <cfRule type="expression" priority="1000" dxfId="1">
      <formula>AND(IF($Q6=3,1,0),IF($X6&lt;30,1,0))</formula>
    </cfRule>
    <cfRule type="expression" priority="1001" dxfId="0">
      <formula>AND(IF($Q6=3,1,IF($Q6=4,1,0)),IF($F6&lt;=85,1,0))</formula>
    </cfRule>
  </conditionalFormatting>
  <conditionalFormatting sqref="X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AI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V7">
    <cfRule type="expression" priority="988" dxfId="23">
      <formula>AV7="X"</formula>
    </cfRule>
    <cfRule type="expression" priority="989" dxfId="22">
      <formula>AV7="후보"</formula>
    </cfRule>
  </conditionalFormatting>
  <conditionalFormatting sqref="AC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7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E7">
    <cfRule type="expression" priority="979" dxfId="3">
      <formula>AND(IF(OR($Q7=1,$Q7=2),1,0),IF($X7&lt;=20,1,0))</formula>
    </cfRule>
    <cfRule type="expression" priority="980" dxfId="2">
      <formula>AND(IF($Q7=2,1,0),IF($X7&lt;30,1,0))</formula>
    </cfRule>
    <cfRule type="expression" priority="981" dxfId="1">
      <formula>AND(IF($Q7=3,1,0),IF($X7&lt;30,1,0))</formula>
    </cfRule>
    <cfRule type="expression" priority="982" dxfId="0">
      <formula>AND(IF($Q7=3,1,IF($Q7=4,1,0)),IF($F7&lt;=85,1,0))</formula>
    </cfRule>
  </conditionalFormatting>
  <conditionalFormatting sqref="X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AI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V8">
    <cfRule type="expression" priority="969" dxfId="23">
      <formula>AV8="X"</formula>
    </cfRule>
    <cfRule type="expression" priority="970" dxfId="22">
      <formula>AV8="후보"</formula>
    </cfRule>
  </conditionalFormatting>
  <conditionalFormatting sqref="AC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N8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E8">
    <cfRule type="expression" priority="960" dxfId="3">
      <formula>AND(IF(OR($Q8=1,$Q8=2),1,0),IF($X8&lt;=20,1,0))</formula>
    </cfRule>
    <cfRule type="expression" priority="961" dxfId="2">
      <formula>AND(IF($Q8=2,1,0),IF($X8&lt;30,1,0))</formula>
    </cfRule>
    <cfRule type="expression" priority="962" dxfId="1">
      <formula>AND(IF($Q8=3,1,0),IF($X8&lt;30,1,0))</formula>
    </cfRule>
    <cfRule type="expression" priority="963" dxfId="0">
      <formula>AND(IF($Q8=3,1,IF($Q8=4,1,0)),IF($F8&lt;=85,1,0))</formula>
    </cfRule>
  </conditionalFormatting>
  <conditionalFormatting sqref="X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AI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V9">
    <cfRule type="expression" priority="950" dxfId="23">
      <formula>AV9="X"</formula>
    </cfRule>
    <cfRule type="expression" priority="951" dxfId="22">
      <formula>AV9="후보"</formula>
    </cfRule>
  </conditionalFormatting>
  <conditionalFormatting sqref="AC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N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E9">
    <cfRule type="expression" priority="941" dxfId="3">
      <formula>AND(IF(OR($Q9=1,$Q9=2),1,0),IF($X9&lt;=20,1,0))</formula>
    </cfRule>
    <cfRule type="expression" priority="942" dxfId="2">
      <formula>AND(IF($Q9=2,1,0),IF($X9&lt;30,1,0))</formula>
    </cfRule>
    <cfRule type="expression" priority="943" dxfId="1">
      <formula>AND(IF($Q9=3,1,0),IF($X9&lt;30,1,0))</formula>
    </cfRule>
    <cfRule type="expression" priority="944" dxfId="0">
      <formula>AND(IF($Q9=3,1,IF($Q9=4,1,0)),IF($F9&lt;=85,1,0))</formula>
    </cfRule>
  </conditionalFormatting>
  <conditionalFormatting sqref="X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AI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V10">
    <cfRule type="expression" priority="931" dxfId="23">
      <formula>AV10="X"</formula>
    </cfRule>
    <cfRule type="expression" priority="932" dxfId="22">
      <formula>AV10="후보"</formula>
    </cfRule>
  </conditionalFormatting>
  <conditionalFormatting sqref="AC1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N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E10">
    <cfRule type="expression" priority="922" dxfId="3">
      <formula>AND(IF(OR($Q10=1,$Q10=2),1,0),IF($X10&lt;=20,1,0))</formula>
    </cfRule>
    <cfRule type="expression" priority="923" dxfId="2">
      <formula>AND(IF($Q10=2,1,0),IF($X10&lt;30,1,0))</formula>
    </cfRule>
    <cfRule type="expression" priority="924" dxfId="1">
      <formula>AND(IF($Q10=3,1,0),IF($X10&lt;30,1,0))</formula>
    </cfRule>
    <cfRule type="expression" priority="925" dxfId="0">
      <formula>AND(IF($Q10=3,1,IF($Q10=4,1,0)),IF($F10&lt;=85,1,0))</formula>
    </cfRule>
  </conditionalFormatting>
  <conditionalFormatting sqref="X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AI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V11">
    <cfRule type="expression" priority="912" dxfId="23">
      <formula>AV11="X"</formula>
    </cfRule>
    <cfRule type="expression" priority="913" dxfId="22">
      <formula>AV11="후보"</formula>
    </cfRule>
  </conditionalFormatting>
  <conditionalFormatting sqref="AC1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E11">
    <cfRule type="expression" priority="903" dxfId="3">
      <formula>AND(IF(OR($Q11=1,$Q11=2),1,0),IF($X11&lt;=20,1,0))</formula>
    </cfRule>
    <cfRule type="expression" priority="904" dxfId="2">
      <formula>AND(IF($Q11=2,1,0),IF($X11&lt;30,1,0))</formula>
    </cfRule>
    <cfRule type="expression" priority="905" dxfId="1">
      <formula>AND(IF($Q11=3,1,0),IF($X11&lt;30,1,0))</formula>
    </cfRule>
    <cfRule type="expression" priority="906" dxfId="0">
      <formula>AND(IF($Q11=3,1,IF($Q11=4,1,0)),IF($F11&lt;=85,1,0))</formula>
    </cfRule>
  </conditionalFormatting>
  <conditionalFormatting sqref="X11">
    <cfRule type="expression" priority="899" dxfId="3">
      <formula>AND(IF(OR($Q11=1,$Q11=2),1,0),IF($X11&lt;=20,1,0))</formula>
    </cfRule>
    <cfRule type="expression" priority="900" dxfId="2">
      <formula>AND(IF($Q11=2,1,0),IF($X11&lt;30,1,0))</formula>
    </cfRule>
    <cfRule type="expression" priority="901" dxfId="1">
      <formula>AND(IF($Q11=3,1,0),IF($X11&lt;30,1,0))</formula>
    </cfRule>
    <cfRule type="expression" priority="902" dxfId="0">
      <formula>AND(IF($Q11=3,1,IF($Q11=4,1,0)),IF($F11&lt;=85,1,0))</formula>
    </cfRule>
  </conditionalFormatting>
  <conditionalFormatting sqref="AI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AV12">
    <cfRule type="expression" priority="893" dxfId="23">
      <formula>AV12="X"</formula>
    </cfRule>
    <cfRule type="expression" priority="894" dxfId="22">
      <formula>AV12="후보"</formula>
    </cfRule>
  </conditionalFormatting>
  <conditionalFormatting sqref="AC1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12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12">
    <cfRule type="expression" priority="884" dxfId="3">
      <formula>AND(IF(OR($Q12=1,$Q12=2),1,0),IF($X12&lt;=20,1,0))</formula>
    </cfRule>
    <cfRule type="expression" priority="885" dxfId="2">
      <formula>AND(IF($Q12=2,1,0),IF($X12&lt;30,1,0))</formula>
    </cfRule>
    <cfRule type="expression" priority="886" dxfId="1">
      <formula>AND(IF($Q12=3,1,0),IF($X12&lt;30,1,0))</formula>
    </cfRule>
    <cfRule type="expression" priority="887" dxfId="0">
      <formula>AND(IF($Q12=3,1,IF($Q12=4,1,0)),IF($F12&lt;=85,1,0))</formula>
    </cfRule>
  </conditionalFormatting>
  <conditionalFormatting sqref="X12">
    <cfRule type="expression" priority="880" dxfId="3">
      <formula>AND(IF(OR($Q12=1,$Q12=2),1,0),IF($X12&lt;=20,1,0))</formula>
    </cfRule>
    <cfRule type="expression" priority="881" dxfId="2">
      <formula>AND(IF($Q12=2,1,0),IF($X12&lt;30,1,0))</formula>
    </cfRule>
    <cfRule type="expression" priority="882" dxfId="1">
      <formula>AND(IF($Q12=3,1,0),IF($X12&lt;30,1,0))</formula>
    </cfRule>
    <cfRule type="expression" priority="883" dxfId="0">
      <formula>AND(IF($Q12=3,1,IF($Q12=4,1,0)),IF($F12&lt;=85,1,0))</formula>
    </cfRule>
  </conditionalFormatting>
  <conditionalFormatting sqref="AI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AV13">
    <cfRule type="expression" priority="874" dxfId="23">
      <formula>AV13="X"</formula>
    </cfRule>
    <cfRule type="expression" priority="875" dxfId="22">
      <formula>AV13="후보"</formula>
    </cfRule>
  </conditionalFormatting>
  <conditionalFormatting sqref="AC1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3">
    <cfRule type="expression" priority="865" dxfId="3">
      <formula>AND(IF(OR($Q13=1,$Q13=2),1,0),IF($X13&lt;=20,1,0))</formula>
    </cfRule>
    <cfRule type="expression" priority="866" dxfId="2">
      <formula>AND(IF($Q13=2,1,0),IF($X13&lt;30,1,0))</formula>
    </cfRule>
    <cfRule type="expression" priority="867" dxfId="1">
      <formula>AND(IF($Q13=3,1,0),IF($X13&lt;30,1,0))</formula>
    </cfRule>
    <cfRule type="expression" priority="868" dxfId="0">
      <formula>AND(IF($Q13=3,1,IF($Q13=4,1,0)),IF($F13&lt;=85,1,0))</formula>
    </cfRule>
  </conditionalFormatting>
  <conditionalFormatting sqref="X13">
    <cfRule type="expression" priority="861" dxfId="3">
      <formula>AND(IF(OR($Q13=1,$Q13=2),1,0),IF($X13&lt;=20,1,0))</formula>
    </cfRule>
    <cfRule type="expression" priority="862" dxfId="2">
      <formula>AND(IF($Q13=2,1,0),IF($X13&lt;30,1,0))</formula>
    </cfRule>
    <cfRule type="expression" priority="863" dxfId="1">
      <formula>AND(IF($Q13=3,1,0),IF($X13&lt;30,1,0))</formula>
    </cfRule>
    <cfRule type="expression" priority="864" dxfId="0">
      <formula>AND(IF($Q13=3,1,IF($Q13=4,1,0)),IF($F13&lt;=85,1,0))</formula>
    </cfRule>
  </conditionalFormatting>
  <conditionalFormatting sqref="AI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AV14">
    <cfRule type="expression" priority="855" dxfId="23">
      <formula>AV14="X"</formula>
    </cfRule>
    <cfRule type="expression" priority="856" dxfId="22">
      <formula>AV14="후보"</formula>
    </cfRule>
  </conditionalFormatting>
  <conditionalFormatting sqref="AC1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4">
    <cfRule type="expression" priority="846" dxfId="3">
      <formula>AND(IF(OR($Q14=1,$Q14=2),1,0),IF($X14&lt;=20,1,0))</formula>
    </cfRule>
    <cfRule type="expression" priority="847" dxfId="2">
      <formula>AND(IF($Q14=2,1,0),IF($X14&lt;30,1,0))</formula>
    </cfRule>
    <cfRule type="expression" priority="848" dxfId="1">
      <formula>AND(IF($Q14=3,1,0),IF($X14&lt;30,1,0))</formula>
    </cfRule>
    <cfRule type="expression" priority="849" dxfId="0">
      <formula>AND(IF($Q14=3,1,IF($Q14=4,1,0)),IF($F14&lt;=85,1,0))</formula>
    </cfRule>
  </conditionalFormatting>
  <conditionalFormatting sqref="X14">
    <cfRule type="expression" priority="842" dxfId="3">
      <formula>AND(IF(OR($Q14=1,$Q14=2),1,0),IF($X14&lt;=20,1,0))</formula>
    </cfRule>
    <cfRule type="expression" priority="843" dxfId="2">
      <formula>AND(IF($Q14=2,1,0),IF($X14&lt;30,1,0))</formula>
    </cfRule>
    <cfRule type="expression" priority="844" dxfId="1">
      <formula>AND(IF($Q14=3,1,0),IF($X14&lt;30,1,0))</formula>
    </cfRule>
    <cfRule type="expression" priority="845" dxfId="0">
      <formula>AND(IF($Q14=3,1,IF($Q14=4,1,0)),IF($F14&lt;=85,1,0))</formula>
    </cfRule>
  </conditionalFormatting>
  <conditionalFormatting sqref="AI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AV15">
    <cfRule type="expression" priority="836" dxfId="23">
      <formula>AV15="X"</formula>
    </cfRule>
    <cfRule type="expression" priority="837" dxfId="22">
      <formula>AV15="후보"</formula>
    </cfRule>
  </conditionalFormatting>
  <conditionalFormatting sqref="AC15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5">
    <cfRule type="expression" priority="827" dxfId="3">
      <formula>AND(IF(OR($Q15=1,$Q15=2),1,0),IF($X15&lt;=20,1,0))</formula>
    </cfRule>
    <cfRule type="expression" priority="828" dxfId="2">
      <formula>AND(IF($Q15=2,1,0),IF($X15&lt;30,1,0))</formula>
    </cfRule>
    <cfRule type="expression" priority="829" dxfId="1">
      <formula>AND(IF($Q15=3,1,0),IF($X15&lt;30,1,0))</formula>
    </cfRule>
    <cfRule type="expression" priority="830" dxfId="0">
      <formula>AND(IF($Q15=3,1,IF($Q15=4,1,0)),IF($F15&lt;=85,1,0))</formula>
    </cfRule>
  </conditionalFormatting>
  <conditionalFormatting sqref="X15">
    <cfRule type="expression" priority="823" dxfId="3">
      <formula>AND(IF(OR($Q15=1,$Q15=2),1,0),IF($X15&lt;=20,1,0))</formula>
    </cfRule>
    <cfRule type="expression" priority="824" dxfId="2">
      <formula>AND(IF($Q15=2,1,0),IF($X15&lt;30,1,0))</formula>
    </cfRule>
    <cfRule type="expression" priority="825" dxfId="1">
      <formula>AND(IF($Q15=3,1,0),IF($X15&lt;30,1,0))</formula>
    </cfRule>
    <cfRule type="expression" priority="826" dxfId="0">
      <formula>AND(IF($Q15=3,1,IF($Q15=4,1,0)),IF($F15&lt;=85,1,0))</formula>
    </cfRule>
  </conditionalFormatting>
  <conditionalFormatting sqref="AI15">
    <cfRule type="expression" priority="819" dxfId="3">
      <formula>AND(IF(OR($Q15=1,$Q15=2),1,0),IF($X15&lt;=20,1,0))</formula>
    </cfRule>
    <cfRule type="expression" priority="820" dxfId="2">
      <formula>AND(IF($Q15=2,1,0),IF($X15&lt;30,1,0))</formula>
    </cfRule>
    <cfRule type="expression" priority="821" dxfId="1">
      <formula>AND(IF($Q15=3,1,0),IF($X15&lt;30,1,0))</formula>
    </cfRule>
    <cfRule type="expression" priority="822" dxfId="0">
      <formula>AND(IF($Q15=3,1,IF($Q15=4,1,0)),IF($F15&lt;=85,1,0))</formula>
    </cfRule>
  </conditionalFormatting>
  <conditionalFormatting sqref="AV16">
    <cfRule type="expression" priority="817" dxfId="23">
      <formula>AV16="X"</formula>
    </cfRule>
    <cfRule type="expression" priority="818" dxfId="22">
      <formula>AV16="후보"</formula>
    </cfRule>
  </conditionalFormatting>
  <conditionalFormatting sqref="AC16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1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16">
    <cfRule type="expression" priority="808" dxfId="3">
      <formula>AND(IF(OR($Q16=1,$Q16=2),1,0),IF($X16&lt;=20,1,0))</formula>
    </cfRule>
    <cfRule type="expression" priority="809" dxfId="2">
      <formula>AND(IF($Q16=2,1,0),IF($X16&lt;30,1,0))</formula>
    </cfRule>
    <cfRule type="expression" priority="810" dxfId="1">
      <formula>AND(IF($Q16=3,1,0),IF($X16&lt;30,1,0))</formula>
    </cfRule>
    <cfRule type="expression" priority="811" dxfId="0">
      <formula>AND(IF($Q16=3,1,IF($Q16=4,1,0)),IF($F16&lt;=85,1,0))</formula>
    </cfRule>
  </conditionalFormatting>
  <conditionalFormatting sqref="X16">
    <cfRule type="expression" priority="804" dxfId="3">
      <formula>AND(IF(OR($Q16=1,$Q16=2),1,0),IF($X16&lt;=20,1,0))</formula>
    </cfRule>
    <cfRule type="expression" priority="805" dxfId="2">
      <formula>AND(IF($Q16=2,1,0),IF($X16&lt;30,1,0))</formula>
    </cfRule>
    <cfRule type="expression" priority="806" dxfId="1">
      <formula>AND(IF($Q16=3,1,0),IF($X16&lt;30,1,0))</formula>
    </cfRule>
    <cfRule type="expression" priority="807" dxfId="0">
      <formula>AND(IF($Q16=3,1,IF($Q16=4,1,0)),IF($F16&lt;=85,1,0))</formula>
    </cfRule>
  </conditionalFormatting>
  <conditionalFormatting sqref="AI16">
    <cfRule type="expression" priority="800" dxfId="3">
      <formula>AND(IF(OR($Q16=1,$Q16=2),1,0),IF($X16&lt;=20,1,0))</formula>
    </cfRule>
    <cfRule type="expression" priority="801" dxfId="2">
      <formula>AND(IF($Q16=2,1,0),IF($X16&lt;30,1,0))</formula>
    </cfRule>
    <cfRule type="expression" priority="802" dxfId="1">
      <formula>AND(IF($Q16=3,1,0),IF($X16&lt;30,1,0))</formula>
    </cfRule>
    <cfRule type="expression" priority="803" dxfId="0">
      <formula>AND(IF($Q16=3,1,IF($Q16=4,1,0)),IF($F16&lt;=85,1,0))</formula>
    </cfRule>
  </conditionalFormatting>
  <conditionalFormatting sqref="AV17">
    <cfRule type="expression" priority="798" dxfId="23">
      <formula>AV17="X"</formula>
    </cfRule>
    <cfRule type="expression" priority="799" dxfId="22">
      <formula>AV17="후보"</formula>
    </cfRule>
  </conditionalFormatting>
  <conditionalFormatting sqref="AC1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1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17">
    <cfRule type="expression" priority="789" dxfId="3">
      <formula>AND(IF(OR($Q17=1,$Q17=2),1,0),IF($X17&lt;=20,1,0))</formula>
    </cfRule>
    <cfRule type="expression" priority="790" dxfId="2">
      <formula>AND(IF($Q17=2,1,0),IF($X17&lt;30,1,0))</formula>
    </cfRule>
    <cfRule type="expression" priority="791" dxfId="1">
      <formula>AND(IF($Q17=3,1,0),IF($X17&lt;30,1,0))</formula>
    </cfRule>
    <cfRule type="expression" priority="792" dxfId="0">
      <formula>AND(IF($Q17=3,1,IF($Q17=4,1,0)),IF($F17&lt;=85,1,0))</formula>
    </cfRule>
  </conditionalFormatting>
  <conditionalFormatting sqref="X17">
    <cfRule type="expression" priority="785" dxfId="3">
      <formula>AND(IF(OR($Q17=1,$Q17=2),1,0),IF($X17&lt;=20,1,0))</formula>
    </cfRule>
    <cfRule type="expression" priority="786" dxfId="2">
      <formula>AND(IF($Q17=2,1,0),IF($X17&lt;30,1,0))</formula>
    </cfRule>
    <cfRule type="expression" priority="787" dxfId="1">
      <formula>AND(IF($Q17=3,1,0),IF($X17&lt;30,1,0))</formula>
    </cfRule>
    <cfRule type="expression" priority="788" dxfId="0">
      <formula>AND(IF($Q17=3,1,IF($Q17=4,1,0)),IF($F17&lt;=85,1,0))</formula>
    </cfRule>
  </conditionalFormatting>
  <conditionalFormatting sqref="AI17">
    <cfRule type="expression" priority="781" dxfId="3">
      <formula>AND(IF(OR($Q17=1,$Q17=2),1,0),IF($X17&lt;=20,1,0))</formula>
    </cfRule>
    <cfRule type="expression" priority="782" dxfId="2">
      <formula>AND(IF($Q17=2,1,0),IF($X17&lt;30,1,0))</formula>
    </cfRule>
    <cfRule type="expression" priority="783" dxfId="1">
      <formula>AND(IF($Q17=3,1,0),IF($X17&lt;30,1,0))</formula>
    </cfRule>
    <cfRule type="expression" priority="784" dxfId="0">
      <formula>AND(IF($Q17=3,1,IF($Q17=4,1,0)),IF($F17&lt;=85,1,0))</formula>
    </cfRule>
  </conditionalFormatting>
  <conditionalFormatting sqref="AV18">
    <cfRule type="expression" priority="779" dxfId="23">
      <formula>AV18="X"</formula>
    </cfRule>
    <cfRule type="expression" priority="780" dxfId="22">
      <formula>AV18="후보"</formula>
    </cfRule>
  </conditionalFormatting>
  <conditionalFormatting sqref="AC1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18">
    <cfRule type="expression" priority="770" dxfId="3">
      <formula>AND(IF(OR($Q18=1,$Q18=2),1,0),IF($X18&lt;=20,1,0))</formula>
    </cfRule>
    <cfRule type="expression" priority="771" dxfId="2">
      <formula>AND(IF($Q18=2,1,0),IF($X18&lt;30,1,0))</formula>
    </cfRule>
    <cfRule type="expression" priority="772" dxfId="1">
      <formula>AND(IF($Q18=3,1,0),IF($X18&lt;30,1,0))</formula>
    </cfRule>
    <cfRule type="expression" priority="773" dxfId="0">
      <formula>AND(IF($Q18=3,1,IF($Q18=4,1,0)),IF($F18&lt;=85,1,0))</formula>
    </cfRule>
  </conditionalFormatting>
  <conditionalFormatting sqref="X18">
    <cfRule type="expression" priority="766" dxfId="3">
      <formula>AND(IF(OR($Q18=1,$Q18=2),1,0),IF($X18&lt;=20,1,0))</formula>
    </cfRule>
    <cfRule type="expression" priority="767" dxfId="2">
      <formula>AND(IF($Q18=2,1,0),IF($X18&lt;30,1,0))</formula>
    </cfRule>
    <cfRule type="expression" priority="768" dxfId="1">
      <formula>AND(IF($Q18=3,1,0),IF($X18&lt;30,1,0))</formula>
    </cfRule>
    <cfRule type="expression" priority="769" dxfId="0">
      <formula>AND(IF($Q18=3,1,IF($Q18=4,1,0)),IF($F18&lt;=85,1,0))</formula>
    </cfRule>
  </conditionalFormatting>
  <conditionalFormatting sqref="AI18">
    <cfRule type="expression" priority="762" dxfId="3">
      <formula>AND(IF(OR($Q18=1,$Q18=2),1,0),IF($X18&lt;=20,1,0))</formula>
    </cfRule>
    <cfRule type="expression" priority="763" dxfId="2">
      <formula>AND(IF($Q18=2,1,0),IF($X18&lt;30,1,0))</formula>
    </cfRule>
    <cfRule type="expression" priority="764" dxfId="1">
      <formula>AND(IF($Q18=3,1,0),IF($X18&lt;30,1,0))</formula>
    </cfRule>
    <cfRule type="expression" priority="765" dxfId="0">
      <formula>AND(IF($Q18=3,1,IF($Q18=4,1,0)),IF($F18&lt;=85,1,0))</formula>
    </cfRule>
  </conditionalFormatting>
  <conditionalFormatting sqref="AV19">
    <cfRule type="expression" priority="760" dxfId="23">
      <formula>AV19="X"</formula>
    </cfRule>
    <cfRule type="expression" priority="761" dxfId="22">
      <formula>AV19="후보"</formula>
    </cfRule>
  </conditionalFormatting>
  <conditionalFormatting sqref="AC1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1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19">
    <cfRule type="expression" priority="751" dxfId="3">
      <formula>AND(IF(OR($Q19=1,$Q19=2),1,0),IF($X19&lt;=20,1,0))</formula>
    </cfRule>
    <cfRule type="expression" priority="752" dxfId="2">
      <formula>AND(IF($Q19=2,1,0),IF($X19&lt;30,1,0))</formula>
    </cfRule>
    <cfRule type="expression" priority="753" dxfId="1">
      <formula>AND(IF($Q19=3,1,0),IF($X19&lt;30,1,0))</formula>
    </cfRule>
    <cfRule type="expression" priority="754" dxfId="0">
      <formula>AND(IF($Q19=3,1,IF($Q19=4,1,0)),IF($F19&lt;=85,1,0))</formula>
    </cfRule>
  </conditionalFormatting>
  <conditionalFormatting sqref="X19">
    <cfRule type="expression" priority="747" dxfId="3">
      <formula>AND(IF(OR($Q19=1,$Q19=2),1,0),IF($X19&lt;=20,1,0))</formula>
    </cfRule>
    <cfRule type="expression" priority="748" dxfId="2">
      <formula>AND(IF($Q19=2,1,0),IF($X19&lt;30,1,0))</formula>
    </cfRule>
    <cfRule type="expression" priority="749" dxfId="1">
      <formula>AND(IF($Q19=3,1,0),IF($X19&lt;30,1,0))</formula>
    </cfRule>
    <cfRule type="expression" priority="750" dxfId="0">
      <formula>AND(IF($Q19=3,1,IF($Q19=4,1,0)),IF($F19&lt;=85,1,0))</formula>
    </cfRule>
  </conditionalFormatting>
  <conditionalFormatting sqref="AI19">
    <cfRule type="expression" priority="743" dxfId="3">
      <formula>AND(IF(OR($Q19=1,$Q19=2),1,0),IF($X19&lt;=20,1,0))</formula>
    </cfRule>
    <cfRule type="expression" priority="744" dxfId="2">
      <formula>AND(IF($Q19=2,1,0),IF($X19&lt;30,1,0))</formula>
    </cfRule>
    <cfRule type="expression" priority="745" dxfId="1">
      <formula>AND(IF($Q19=3,1,0),IF($X19&lt;30,1,0))</formula>
    </cfRule>
    <cfRule type="expression" priority="746" dxfId="0">
      <formula>AND(IF($Q19=3,1,IF($Q19=4,1,0)),IF($F19&lt;=85,1,0))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2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2">
    <cfRule type="expression" priority="694" dxfId="3">
      <formula>AND(IF(OR($Q22=1,$Q22=2),1,0),IF($X22&lt;=20,1,0))</formula>
    </cfRule>
    <cfRule type="expression" priority="695" dxfId="2">
      <formula>AND(IF($Q22=2,1,0),IF($X22&lt;30,1,0))</formula>
    </cfRule>
    <cfRule type="expression" priority="696" dxfId="1">
      <formula>AND(IF($Q22=3,1,0),IF($X22&lt;30,1,0))</formula>
    </cfRule>
    <cfRule type="expression" priority="697" dxfId="0">
      <formula>AND(IF($Q22=3,1,IF($Q22=4,1,0)),IF($F22&lt;=85,1,0))</formula>
    </cfRule>
  </conditionalFormatting>
  <conditionalFormatting sqref="X22">
    <cfRule type="expression" priority="690" dxfId="3">
      <formula>AND(IF(OR($Q22=1,$Q22=2),1,0),IF($X22&lt;=20,1,0))</formula>
    </cfRule>
    <cfRule type="expression" priority="691" dxfId="2">
      <formula>AND(IF($Q22=2,1,0),IF($X22&lt;30,1,0))</formula>
    </cfRule>
    <cfRule type="expression" priority="692" dxfId="1">
      <formula>AND(IF($Q22=3,1,0),IF($X22&lt;30,1,0))</formula>
    </cfRule>
    <cfRule type="expression" priority="693" dxfId="0">
      <formula>AND(IF($Q22=3,1,IF($Q22=4,1,0)),IF($F22&lt;=85,1,0))</formula>
    </cfRule>
  </conditionalFormatting>
  <conditionalFormatting sqref="AI22">
    <cfRule type="expression" priority="686" dxfId="3">
      <formula>AND(IF(OR($Q22=1,$Q22=2),1,0),IF($X22&lt;=20,1,0))</formula>
    </cfRule>
    <cfRule type="expression" priority="687" dxfId="2">
      <formula>AND(IF($Q22=2,1,0),IF($X22&lt;30,1,0))</formula>
    </cfRule>
    <cfRule type="expression" priority="688" dxfId="1">
      <formula>AND(IF($Q22=3,1,0),IF($X22&lt;30,1,0))</formula>
    </cfRule>
    <cfRule type="expression" priority="689" dxfId="0">
      <formula>AND(IF($Q22=3,1,IF($Q22=4,1,0)),IF($F22&lt;=85,1,0))</formula>
    </cfRule>
  </conditionalFormatting>
  <conditionalFormatting sqref="AV23">
    <cfRule type="expression" priority="684" dxfId="23">
      <formula>AV23="X"</formula>
    </cfRule>
    <cfRule type="expression" priority="685" dxfId="22">
      <formula>AV23="후보"</formula>
    </cfRule>
  </conditionalFormatting>
  <conditionalFormatting sqref="AC2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3">
    <cfRule type="expression" priority="675" dxfId="3">
      <formula>AND(IF(OR($Q23=1,$Q23=2),1,0),IF($X23&lt;=20,1,0))</formula>
    </cfRule>
    <cfRule type="expression" priority="676" dxfId="2">
      <formula>AND(IF($Q23=2,1,0),IF($X23&lt;30,1,0))</formula>
    </cfRule>
    <cfRule type="expression" priority="677" dxfId="1">
      <formula>AND(IF($Q23=3,1,0),IF($X23&lt;30,1,0))</formula>
    </cfRule>
    <cfRule type="expression" priority="678" dxfId="0">
      <formula>AND(IF($Q23=3,1,IF($Q23=4,1,0)),IF($F23&lt;=85,1,0))</formula>
    </cfRule>
  </conditionalFormatting>
  <conditionalFormatting sqref="X23">
    <cfRule type="expression" priority="671" dxfId="3">
      <formula>AND(IF(OR($Q23=1,$Q23=2),1,0),IF($X23&lt;=20,1,0))</formula>
    </cfRule>
    <cfRule type="expression" priority="672" dxfId="2">
      <formula>AND(IF($Q23=2,1,0),IF($X23&lt;30,1,0))</formula>
    </cfRule>
    <cfRule type="expression" priority="673" dxfId="1">
      <formula>AND(IF($Q23=3,1,0),IF($X23&lt;30,1,0))</formula>
    </cfRule>
    <cfRule type="expression" priority="674" dxfId="0">
      <formula>AND(IF($Q23=3,1,IF($Q23=4,1,0)),IF($F23&lt;=85,1,0))</formula>
    </cfRule>
  </conditionalFormatting>
  <conditionalFormatting sqref="AI23">
    <cfRule type="expression" priority="667" dxfId="3">
      <formula>AND(IF(OR($Q23=1,$Q23=2),1,0),IF($X23&lt;=20,1,0))</formula>
    </cfRule>
    <cfRule type="expression" priority="668" dxfId="2">
      <formula>AND(IF($Q23=2,1,0),IF($X23&lt;30,1,0))</formula>
    </cfRule>
    <cfRule type="expression" priority="669" dxfId="1">
      <formula>AND(IF($Q23=3,1,0),IF($X23&lt;30,1,0))</formula>
    </cfRule>
    <cfRule type="expression" priority="670" dxfId="0">
      <formula>AND(IF($Q23=3,1,IF($Q23=4,1,0)),IF($F23&lt;=85,1,0))</formula>
    </cfRule>
  </conditionalFormatting>
  <conditionalFormatting sqref="AV24">
    <cfRule type="expression" priority="665" dxfId="23">
      <formula>AV24="X"</formula>
    </cfRule>
    <cfRule type="expression" priority="666" dxfId="22">
      <formula>AV24="후보"</formula>
    </cfRule>
  </conditionalFormatting>
  <conditionalFormatting sqref="AC2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4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4">
    <cfRule type="expression" priority="656" dxfId="3">
      <formula>AND(IF(OR($Q24=1,$Q24=2),1,0),IF($X24&lt;=20,1,0))</formula>
    </cfRule>
    <cfRule type="expression" priority="657" dxfId="2">
      <formula>AND(IF($Q24=2,1,0),IF($X24&lt;30,1,0))</formula>
    </cfRule>
    <cfRule type="expression" priority="658" dxfId="1">
      <formula>AND(IF($Q24=3,1,0),IF($X24&lt;30,1,0))</formula>
    </cfRule>
    <cfRule type="expression" priority="659" dxfId="0">
      <formula>AND(IF($Q24=3,1,IF($Q24=4,1,0)),IF($F24&lt;=85,1,0))</formula>
    </cfRule>
  </conditionalFormatting>
  <conditionalFormatting sqref="X24">
    <cfRule type="expression" priority="652" dxfId="3">
      <formula>AND(IF(OR($Q24=1,$Q24=2),1,0),IF($X24&lt;=20,1,0))</formula>
    </cfRule>
    <cfRule type="expression" priority="653" dxfId="2">
      <formula>AND(IF($Q24=2,1,0),IF($X24&lt;30,1,0))</formula>
    </cfRule>
    <cfRule type="expression" priority="654" dxfId="1">
      <formula>AND(IF($Q24=3,1,0),IF($X24&lt;30,1,0))</formula>
    </cfRule>
    <cfRule type="expression" priority="655" dxfId="0">
      <formula>AND(IF($Q24=3,1,IF($Q24=4,1,0)),IF($F24&lt;=85,1,0))</formula>
    </cfRule>
  </conditionalFormatting>
  <conditionalFormatting sqref="AI24">
    <cfRule type="expression" priority="648" dxfId="3">
      <formula>AND(IF(OR($Q24=1,$Q24=2),1,0),IF($X24&lt;=20,1,0))</formula>
    </cfRule>
    <cfRule type="expression" priority="649" dxfId="2">
      <formula>AND(IF($Q24=2,1,0),IF($X24&lt;30,1,0))</formula>
    </cfRule>
    <cfRule type="expression" priority="650" dxfId="1">
      <formula>AND(IF($Q24=3,1,0),IF($X24&lt;30,1,0))</formula>
    </cfRule>
    <cfRule type="expression" priority="651" dxfId="0">
      <formula>AND(IF($Q24=3,1,IF($Q24=4,1,0)),IF($F24&lt;=85,1,0))</formula>
    </cfRule>
  </conditionalFormatting>
  <conditionalFormatting sqref="AV25">
    <cfRule type="expression" priority="646" dxfId="23">
      <formula>AV25="X"</formula>
    </cfRule>
    <cfRule type="expression" priority="647" dxfId="22">
      <formula>AV25="후보"</formula>
    </cfRule>
  </conditionalFormatting>
  <conditionalFormatting sqref="AC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5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5">
    <cfRule type="expression" priority="637" dxfId="3">
      <formula>AND(IF(OR($Q25=1,$Q25=2),1,0),IF($X25&lt;=20,1,0))</formula>
    </cfRule>
    <cfRule type="expression" priority="638" dxfId="2">
      <formula>AND(IF($Q25=2,1,0),IF($X25&lt;30,1,0))</formula>
    </cfRule>
    <cfRule type="expression" priority="639" dxfId="1">
      <formula>AND(IF($Q25=3,1,0),IF($X25&lt;30,1,0))</formula>
    </cfRule>
    <cfRule type="expression" priority="640" dxfId="0">
      <formula>AND(IF($Q25=3,1,IF($Q25=4,1,0)),IF($F25&lt;=85,1,0))</formula>
    </cfRule>
  </conditionalFormatting>
  <conditionalFormatting sqref="X25">
    <cfRule type="expression" priority="633" dxfId="3">
      <formula>AND(IF(OR($Q25=1,$Q25=2),1,0),IF($X25&lt;=20,1,0))</formula>
    </cfRule>
    <cfRule type="expression" priority="634" dxfId="2">
      <formula>AND(IF($Q25=2,1,0),IF($X25&lt;30,1,0))</formula>
    </cfRule>
    <cfRule type="expression" priority="635" dxfId="1">
      <formula>AND(IF($Q25=3,1,0),IF($X25&lt;30,1,0))</formula>
    </cfRule>
    <cfRule type="expression" priority="636" dxfId="0">
      <formula>AND(IF($Q25=3,1,IF($Q25=4,1,0)),IF($F25&lt;=85,1,0))</formula>
    </cfRule>
  </conditionalFormatting>
  <conditionalFormatting sqref="AI25">
    <cfRule type="expression" priority="629" dxfId="3">
      <formula>AND(IF(OR($Q25=1,$Q25=2),1,0),IF($X25&lt;=20,1,0))</formula>
    </cfRule>
    <cfRule type="expression" priority="630" dxfId="2">
      <formula>AND(IF($Q25=2,1,0),IF($X25&lt;30,1,0))</formula>
    </cfRule>
    <cfRule type="expression" priority="631" dxfId="1">
      <formula>AND(IF($Q25=3,1,0),IF($X25&lt;30,1,0))</formula>
    </cfRule>
    <cfRule type="expression" priority="632" dxfId="0">
      <formula>AND(IF($Q25=3,1,IF($Q25=4,1,0)),IF($F25&lt;=85,1,0))</formula>
    </cfRule>
  </conditionalFormatting>
  <conditionalFormatting sqref="AV26">
    <cfRule type="expression" priority="627" dxfId="23">
      <formula>AV26="X"</formula>
    </cfRule>
    <cfRule type="expression" priority="628" dxfId="22">
      <formula>AV26="후보"</formula>
    </cfRule>
  </conditionalFormatting>
  <conditionalFormatting sqref="AC26 N26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7">
    <cfRule type="expression" priority="613" dxfId="3">
      <formula>AND(IF(OR($Q27=1,$Q27=2),1,0),IF($X27&lt;=20,1,0))</formula>
    </cfRule>
    <cfRule type="expression" priority="614" dxfId="2">
      <formula>AND(IF($Q27=2,1,0),IF($X27&lt;30,1,0))</formula>
    </cfRule>
    <cfRule type="expression" priority="615" dxfId="1">
      <formula>AND(IF($Q27=3,1,0),IF($X27&lt;30,1,0))</formula>
    </cfRule>
    <cfRule type="expression" priority="616" dxfId="0">
      <formula>AND(IF($Q27=3,1,IF($Q27=4,1,0)),IF($F27&lt;=85,1,0))</formula>
    </cfRule>
  </conditionalFormatting>
  <conditionalFormatting sqref="X27">
    <cfRule type="expression" priority="609" dxfId="3">
      <formula>AND(IF(OR($Q27=1,$Q27=2),1,0),IF($X27&lt;=20,1,0))</formula>
    </cfRule>
    <cfRule type="expression" priority="610" dxfId="2">
      <formula>AND(IF($Q27=2,1,0),IF($X27&lt;30,1,0))</formula>
    </cfRule>
    <cfRule type="expression" priority="611" dxfId="1">
      <formula>AND(IF($Q27=3,1,0),IF($X27&lt;30,1,0))</formula>
    </cfRule>
    <cfRule type="expression" priority="612" dxfId="0">
      <formula>AND(IF($Q27=3,1,IF($Q27=4,1,0)),IF($F27&lt;=85,1,0))</formula>
    </cfRule>
  </conditionalFormatting>
  <conditionalFormatting sqref="AI27">
    <cfRule type="expression" priority="605" dxfId="3">
      <formula>AND(IF(OR($Q27=1,$Q27=2),1,0),IF($X27&lt;=20,1,0))</formula>
    </cfRule>
    <cfRule type="expression" priority="606" dxfId="2">
      <formula>AND(IF($Q27=2,1,0),IF($X27&lt;30,1,0))</formula>
    </cfRule>
    <cfRule type="expression" priority="607" dxfId="1">
      <formula>AND(IF($Q27=3,1,0),IF($X27&lt;30,1,0))</formula>
    </cfRule>
    <cfRule type="expression" priority="608" dxfId="0">
      <formula>AND(IF($Q27=3,1,IF($Q27=4,1,0)),IF($F27&lt;=85,1,0))</formula>
    </cfRule>
  </conditionalFormatting>
  <conditionalFormatting sqref="AV28">
    <cfRule type="expression" priority="603" dxfId="23">
      <formula>AV28="X"</formula>
    </cfRule>
    <cfRule type="expression" priority="604" dxfId="22">
      <formula>AV28="후보"</formula>
    </cfRule>
  </conditionalFormatting>
  <conditionalFormatting sqref="AC2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8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8">
    <cfRule type="expression" priority="594" dxfId="3">
      <formula>AND(IF(OR($Q28=1,$Q28=2),1,0),IF($X28&lt;=20,1,0))</formula>
    </cfRule>
    <cfRule type="expression" priority="595" dxfId="2">
      <formula>AND(IF($Q28=2,1,0),IF($X28&lt;30,1,0))</formula>
    </cfRule>
    <cfRule type="expression" priority="596" dxfId="1">
      <formula>AND(IF($Q28=3,1,0),IF($X28&lt;30,1,0))</formula>
    </cfRule>
    <cfRule type="expression" priority="597" dxfId="0">
      <formula>AND(IF($Q28=3,1,IF($Q28=4,1,0)),IF($F28&lt;=85,1,0))</formula>
    </cfRule>
  </conditionalFormatting>
  <conditionalFormatting sqref="X28">
    <cfRule type="expression" priority="590" dxfId="3">
      <formula>AND(IF(OR($Q28=1,$Q28=2),1,0),IF($X28&lt;=20,1,0))</formula>
    </cfRule>
    <cfRule type="expression" priority="591" dxfId="2">
      <formula>AND(IF($Q28=2,1,0),IF($X28&lt;30,1,0))</formula>
    </cfRule>
    <cfRule type="expression" priority="592" dxfId="1">
      <formula>AND(IF($Q28=3,1,0),IF($X28&lt;30,1,0))</formula>
    </cfRule>
    <cfRule type="expression" priority="593" dxfId="0">
      <formula>AND(IF($Q28=3,1,IF($Q28=4,1,0)),IF($F28&lt;=85,1,0))</formula>
    </cfRule>
  </conditionalFormatting>
  <conditionalFormatting sqref="AI28">
    <cfRule type="expression" priority="586" dxfId="3">
      <formula>AND(IF(OR($Q28=1,$Q28=2),1,0),IF($X28&lt;=20,1,0))</formula>
    </cfRule>
    <cfRule type="expression" priority="587" dxfId="2">
      <formula>AND(IF($Q28=2,1,0),IF($X28&lt;30,1,0))</formula>
    </cfRule>
    <cfRule type="expression" priority="588" dxfId="1">
      <formula>AND(IF($Q28=3,1,0),IF($X28&lt;30,1,0))</formula>
    </cfRule>
    <cfRule type="expression" priority="589" dxfId="0">
      <formula>AND(IF($Q28=3,1,IF($Q28=4,1,0)),IF($F28&lt;=85,1,0))</formula>
    </cfRule>
  </conditionalFormatting>
  <conditionalFormatting sqref="AV29">
    <cfRule type="expression" priority="584" dxfId="23">
      <formula>AV29="X"</formula>
    </cfRule>
    <cfRule type="expression" priority="585" dxfId="22">
      <formula>AV29="후보"</formula>
    </cfRule>
  </conditionalFormatting>
  <conditionalFormatting sqref="AC2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29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29">
    <cfRule type="expression" priority="575" dxfId="3">
      <formula>AND(IF(OR($Q29=1,$Q29=2),1,0),IF($X29&lt;=20,1,0))</formula>
    </cfRule>
    <cfRule type="expression" priority="576" dxfId="2">
      <formula>AND(IF($Q29=2,1,0),IF($X29&lt;30,1,0))</formula>
    </cfRule>
    <cfRule type="expression" priority="577" dxfId="1">
      <formula>AND(IF($Q29=3,1,0),IF($X29&lt;30,1,0))</formula>
    </cfRule>
    <cfRule type="expression" priority="578" dxfId="0">
      <formula>AND(IF($Q29=3,1,IF($Q29=4,1,0)),IF($F29&lt;=85,1,0))</formula>
    </cfRule>
  </conditionalFormatting>
  <conditionalFormatting sqref="X29">
    <cfRule type="expression" priority="571" dxfId="3">
      <formula>AND(IF(OR($Q29=1,$Q29=2),1,0),IF($X29&lt;=20,1,0))</formula>
    </cfRule>
    <cfRule type="expression" priority="572" dxfId="2">
      <formula>AND(IF($Q29=2,1,0),IF($X29&lt;30,1,0))</formula>
    </cfRule>
    <cfRule type="expression" priority="573" dxfId="1">
      <formula>AND(IF($Q29=3,1,0),IF($X29&lt;30,1,0))</formula>
    </cfRule>
    <cfRule type="expression" priority="574" dxfId="0">
      <formula>AND(IF($Q29=3,1,IF($Q29=4,1,0)),IF($F29&lt;=85,1,0))</formula>
    </cfRule>
  </conditionalFormatting>
  <conditionalFormatting sqref="AI29">
    <cfRule type="expression" priority="567" dxfId="3">
      <formula>AND(IF(OR($Q29=1,$Q29=2),1,0),IF($X29&lt;=20,1,0))</formula>
    </cfRule>
    <cfRule type="expression" priority="568" dxfId="2">
      <formula>AND(IF($Q29=2,1,0),IF($X29&lt;30,1,0))</formula>
    </cfRule>
    <cfRule type="expression" priority="569" dxfId="1">
      <formula>AND(IF($Q29=3,1,0),IF($X29&lt;30,1,0))</formula>
    </cfRule>
    <cfRule type="expression" priority="570" dxfId="0">
      <formula>AND(IF($Q29=3,1,IF($Q29=4,1,0)),IF($F29&lt;=85,1,0))</formula>
    </cfRule>
  </conditionalFormatting>
  <conditionalFormatting sqref="AV30">
    <cfRule type="expression" priority="565" dxfId="23">
      <formula>AV30="X"</formula>
    </cfRule>
    <cfRule type="expression" priority="566" dxfId="22">
      <formula>AV30="후보"</formula>
    </cfRule>
  </conditionalFormatting>
  <conditionalFormatting sqref="AC30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0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0">
    <cfRule type="expression" priority="556" dxfId="3">
      <formula>AND(IF(OR($Q30=1,$Q30=2),1,0),IF($X30&lt;=20,1,0))</formula>
    </cfRule>
    <cfRule type="expression" priority="557" dxfId="2">
      <formula>AND(IF($Q30=2,1,0),IF($X30&lt;30,1,0))</formula>
    </cfRule>
    <cfRule type="expression" priority="558" dxfId="1">
      <formula>AND(IF($Q30=3,1,0),IF($X30&lt;30,1,0))</formula>
    </cfRule>
    <cfRule type="expression" priority="559" dxfId="0">
      <formula>AND(IF($Q30=3,1,IF($Q30=4,1,0)),IF($F30&lt;=85,1,0))</formula>
    </cfRule>
  </conditionalFormatting>
  <conditionalFormatting sqref="X30">
    <cfRule type="expression" priority="552" dxfId="3">
      <formula>AND(IF(OR($Q30=1,$Q30=2),1,0),IF($X30&lt;=20,1,0))</formula>
    </cfRule>
    <cfRule type="expression" priority="553" dxfId="2">
      <formula>AND(IF($Q30=2,1,0),IF($X30&lt;30,1,0))</formula>
    </cfRule>
    <cfRule type="expression" priority="554" dxfId="1">
      <formula>AND(IF($Q30=3,1,0),IF($X30&lt;30,1,0))</formula>
    </cfRule>
    <cfRule type="expression" priority="555" dxfId="0">
      <formula>AND(IF($Q30=3,1,IF($Q30=4,1,0)),IF($F30&lt;=85,1,0))</formula>
    </cfRule>
  </conditionalFormatting>
  <conditionalFormatting sqref="AI30">
    <cfRule type="expression" priority="548" dxfId="3">
      <formula>AND(IF(OR($Q30=1,$Q30=2),1,0),IF($X30&lt;=20,1,0))</formula>
    </cfRule>
    <cfRule type="expression" priority="549" dxfId="2">
      <formula>AND(IF($Q30=2,1,0),IF($X30&lt;30,1,0))</formula>
    </cfRule>
    <cfRule type="expression" priority="550" dxfId="1">
      <formula>AND(IF($Q30=3,1,0),IF($X30&lt;30,1,0))</formula>
    </cfRule>
    <cfRule type="expression" priority="551" dxfId="0">
      <formula>AND(IF($Q30=3,1,IF($Q30=4,1,0)),IF($F30&lt;=85,1,0))</formula>
    </cfRule>
  </conditionalFormatting>
  <conditionalFormatting sqref="AV31">
    <cfRule type="expression" priority="546" dxfId="23">
      <formula>AV31="X"</formula>
    </cfRule>
    <cfRule type="expression" priority="547" dxfId="22">
      <formula>AV31="후보"</formula>
    </cfRule>
  </conditionalFormatting>
  <conditionalFormatting sqref="AC31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1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1">
    <cfRule type="expression" priority="537" dxfId="3">
      <formula>AND(IF(OR($Q31=1,$Q31=2),1,0),IF($X31&lt;=20,1,0))</formula>
    </cfRule>
    <cfRule type="expression" priority="538" dxfId="2">
      <formula>AND(IF($Q31=2,1,0),IF($X31&lt;30,1,0))</formula>
    </cfRule>
    <cfRule type="expression" priority="539" dxfId="1">
      <formula>AND(IF($Q31=3,1,0),IF($X31&lt;30,1,0))</formula>
    </cfRule>
    <cfRule type="expression" priority="540" dxfId="0">
      <formula>AND(IF($Q31=3,1,IF($Q31=4,1,0)),IF($F31&lt;=85,1,0))</formula>
    </cfRule>
  </conditionalFormatting>
  <conditionalFormatting sqref="X31">
    <cfRule type="expression" priority="533" dxfId="3">
      <formula>AND(IF(OR($Q31=1,$Q31=2),1,0),IF($X31&lt;=20,1,0))</formula>
    </cfRule>
    <cfRule type="expression" priority="534" dxfId="2">
      <formula>AND(IF($Q31=2,1,0),IF($X31&lt;30,1,0))</formula>
    </cfRule>
    <cfRule type="expression" priority="535" dxfId="1">
      <formula>AND(IF($Q31=3,1,0),IF($X31&lt;30,1,0))</formula>
    </cfRule>
    <cfRule type="expression" priority="536" dxfId="0">
      <formula>AND(IF($Q31=3,1,IF($Q31=4,1,0)),IF($F31&lt;=85,1,0))</formula>
    </cfRule>
  </conditionalFormatting>
  <conditionalFormatting sqref="AI31">
    <cfRule type="expression" priority="529" dxfId="3">
      <formula>AND(IF(OR($Q31=1,$Q31=2),1,0),IF($X31&lt;=20,1,0))</formula>
    </cfRule>
    <cfRule type="expression" priority="530" dxfId="2">
      <formula>AND(IF($Q31=2,1,0),IF($X31&lt;30,1,0))</formula>
    </cfRule>
    <cfRule type="expression" priority="531" dxfId="1">
      <formula>AND(IF($Q31=3,1,0),IF($X31&lt;30,1,0))</formula>
    </cfRule>
    <cfRule type="expression" priority="532" dxfId="0">
      <formula>AND(IF($Q31=3,1,IF($Q31=4,1,0)),IF($F31&lt;=85,1,0))</formula>
    </cfRule>
  </conditionalFormatting>
  <conditionalFormatting sqref="AV32">
    <cfRule type="expression" priority="527" dxfId="23">
      <formula>AV32="X"</formula>
    </cfRule>
    <cfRule type="expression" priority="528" dxfId="22">
      <formula>AV32="후보"</formula>
    </cfRule>
  </conditionalFormatting>
  <conditionalFormatting sqref="AC32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2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2">
    <cfRule type="expression" priority="518" dxfId="3">
      <formula>AND(IF(OR($Q32=1,$Q32=2),1,0),IF($X32&lt;=20,1,0))</formula>
    </cfRule>
    <cfRule type="expression" priority="519" dxfId="2">
      <formula>AND(IF($Q32=2,1,0),IF($X32&lt;30,1,0))</formula>
    </cfRule>
    <cfRule type="expression" priority="520" dxfId="1">
      <formula>AND(IF($Q32=3,1,0),IF($X32&lt;30,1,0))</formula>
    </cfRule>
    <cfRule type="expression" priority="521" dxfId="0">
      <formula>AND(IF($Q32=3,1,IF($Q32=4,1,0)),IF($F32&lt;=85,1,0))</formula>
    </cfRule>
  </conditionalFormatting>
  <conditionalFormatting sqref="X32">
    <cfRule type="expression" priority="514" dxfId="3">
      <formula>AND(IF(OR($Q32=1,$Q32=2),1,0),IF($X32&lt;=20,1,0))</formula>
    </cfRule>
    <cfRule type="expression" priority="515" dxfId="2">
      <formula>AND(IF($Q32=2,1,0),IF($X32&lt;30,1,0))</formula>
    </cfRule>
    <cfRule type="expression" priority="516" dxfId="1">
      <formula>AND(IF($Q32=3,1,0),IF($X32&lt;30,1,0))</formula>
    </cfRule>
    <cfRule type="expression" priority="517" dxfId="0">
      <formula>AND(IF($Q32=3,1,IF($Q32=4,1,0)),IF($F32&lt;=85,1,0))</formula>
    </cfRule>
  </conditionalFormatting>
  <conditionalFormatting sqref="AI32">
    <cfRule type="expression" priority="510" dxfId="3">
      <formula>AND(IF(OR($Q32=1,$Q32=2),1,0),IF($X32&lt;=20,1,0))</formula>
    </cfRule>
    <cfRule type="expression" priority="511" dxfId="2">
      <formula>AND(IF($Q32=2,1,0),IF($X32&lt;30,1,0))</formula>
    </cfRule>
    <cfRule type="expression" priority="512" dxfId="1">
      <formula>AND(IF($Q32=3,1,0),IF($X32&lt;30,1,0))</formula>
    </cfRule>
    <cfRule type="expression" priority="513" dxfId="0">
      <formula>AND(IF($Q32=3,1,IF($Q32=4,1,0)),IF($F32&lt;=85,1,0))</formula>
    </cfRule>
  </conditionalFormatting>
  <conditionalFormatting sqref="AV33">
    <cfRule type="expression" priority="508" dxfId="23">
      <formula>AV33="X"</formula>
    </cfRule>
    <cfRule type="expression" priority="509" dxfId="22">
      <formula>AV33="후보"</formula>
    </cfRule>
  </conditionalFormatting>
  <conditionalFormatting sqref="AC3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3">
    <cfRule type="expression" priority="499" dxfId="3">
      <formula>AND(IF(OR($Q33=1,$Q33=2),1,0),IF($X33&lt;=20,1,0))</formula>
    </cfRule>
    <cfRule type="expression" priority="500" dxfId="2">
      <formula>AND(IF($Q33=2,1,0),IF($X33&lt;30,1,0))</formula>
    </cfRule>
    <cfRule type="expression" priority="501" dxfId="1">
      <formula>AND(IF($Q33=3,1,0),IF($X33&lt;30,1,0))</formula>
    </cfRule>
    <cfRule type="expression" priority="502" dxfId="0">
      <formula>AND(IF($Q33=3,1,IF($Q33=4,1,0)),IF($F33&lt;=85,1,0))</formula>
    </cfRule>
  </conditionalFormatting>
  <conditionalFormatting sqref="X33">
    <cfRule type="expression" priority="495" dxfId="3">
      <formula>AND(IF(OR($Q33=1,$Q33=2),1,0),IF($X33&lt;=20,1,0))</formula>
    </cfRule>
    <cfRule type="expression" priority="496" dxfId="2">
      <formula>AND(IF($Q33=2,1,0),IF($X33&lt;30,1,0))</formula>
    </cfRule>
    <cfRule type="expression" priority="497" dxfId="1">
      <formula>AND(IF($Q33=3,1,0),IF($X33&lt;30,1,0))</formula>
    </cfRule>
    <cfRule type="expression" priority="498" dxfId="0">
      <formula>AND(IF($Q33=3,1,IF($Q33=4,1,0)),IF($F33&lt;=85,1,0))</formula>
    </cfRule>
  </conditionalFormatting>
  <conditionalFormatting sqref="AI33">
    <cfRule type="expression" priority="491" dxfId="3">
      <formula>AND(IF(OR($Q33=1,$Q33=2),1,0),IF($X33&lt;=20,1,0))</formula>
    </cfRule>
    <cfRule type="expression" priority="492" dxfId="2">
      <formula>AND(IF($Q33=2,1,0),IF($X33&lt;30,1,0))</formula>
    </cfRule>
    <cfRule type="expression" priority="493" dxfId="1">
      <formula>AND(IF($Q33=3,1,0),IF($X33&lt;30,1,0))</formula>
    </cfRule>
    <cfRule type="expression" priority="494" dxfId="0">
      <formula>AND(IF($Q33=3,1,IF($Q33=4,1,0)),IF($F33&lt;=85,1,0))</formula>
    </cfRule>
  </conditionalFormatting>
  <conditionalFormatting sqref="AV34">
    <cfRule type="expression" priority="489" dxfId="23">
      <formula>AV34="X"</formula>
    </cfRule>
    <cfRule type="expression" priority="490" dxfId="22">
      <formula>AV34="후보"</formula>
    </cfRule>
  </conditionalFormatting>
  <conditionalFormatting sqref="AC3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4">
    <cfRule type="expression" priority="480" dxfId="3">
      <formula>AND(IF(OR($Q34=1,$Q34=2),1,0),IF($X34&lt;=20,1,0))</formula>
    </cfRule>
    <cfRule type="expression" priority="481" dxfId="2">
      <formula>AND(IF($Q34=2,1,0),IF($X34&lt;30,1,0))</formula>
    </cfRule>
    <cfRule type="expression" priority="482" dxfId="1">
      <formula>AND(IF($Q34=3,1,0),IF($X34&lt;30,1,0))</formula>
    </cfRule>
    <cfRule type="expression" priority="483" dxfId="0">
      <formula>AND(IF($Q34=3,1,IF($Q34=4,1,0)),IF($F34&lt;=85,1,0))</formula>
    </cfRule>
  </conditionalFormatting>
  <conditionalFormatting sqref="X34">
    <cfRule type="expression" priority="476" dxfId="3">
      <formula>AND(IF(OR($Q34=1,$Q34=2),1,0),IF($X34&lt;=20,1,0))</formula>
    </cfRule>
    <cfRule type="expression" priority="477" dxfId="2">
      <formula>AND(IF($Q34=2,1,0),IF($X34&lt;30,1,0))</formula>
    </cfRule>
    <cfRule type="expression" priority="478" dxfId="1">
      <formula>AND(IF($Q34=3,1,0),IF($X34&lt;30,1,0))</formula>
    </cfRule>
    <cfRule type="expression" priority="479" dxfId="0">
      <formula>AND(IF($Q34=3,1,IF($Q34=4,1,0)),IF($F34&lt;=85,1,0))</formula>
    </cfRule>
  </conditionalFormatting>
  <conditionalFormatting sqref="AI34">
    <cfRule type="expression" priority="472" dxfId="3">
      <formula>AND(IF(OR($Q34=1,$Q34=2),1,0),IF($X34&lt;=20,1,0))</formula>
    </cfRule>
    <cfRule type="expression" priority="473" dxfId="2">
      <formula>AND(IF($Q34=2,1,0),IF($X34&lt;30,1,0))</formula>
    </cfRule>
    <cfRule type="expression" priority="474" dxfId="1">
      <formula>AND(IF($Q34=3,1,0),IF($X34&lt;30,1,0))</formula>
    </cfRule>
    <cfRule type="expression" priority="475" dxfId="0">
      <formula>AND(IF($Q34=3,1,IF($Q34=4,1,0)),IF($F34&lt;=85,1,0))</formula>
    </cfRule>
  </conditionalFormatting>
  <conditionalFormatting sqref="AV35">
    <cfRule type="expression" priority="470" dxfId="23">
      <formula>AV35="X"</formula>
    </cfRule>
    <cfRule type="expression" priority="471" dxfId="22">
      <formula>AV35="후보"</formula>
    </cfRule>
  </conditionalFormatting>
  <conditionalFormatting sqref="AC35 N3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36">
    <cfRule type="expression" priority="465" dxfId="23">
      <formula>AV36="X"</formula>
    </cfRule>
    <cfRule type="expression" priority="466" dxfId="22">
      <formula>AV36="후보"</formula>
    </cfRule>
  </conditionalFormatting>
  <conditionalFormatting sqref="AC3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3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36">
    <cfRule type="expression" priority="456" dxfId="3">
      <formula>AND(IF(OR($Q36=1,$Q36=2),1,0),IF($X36&lt;=20,1,0))</formula>
    </cfRule>
    <cfRule type="expression" priority="457" dxfId="2">
      <formula>AND(IF($Q36=2,1,0),IF($X36&lt;30,1,0))</formula>
    </cfRule>
    <cfRule type="expression" priority="458" dxfId="1">
      <formula>AND(IF($Q36=3,1,0),IF($X36&lt;30,1,0))</formula>
    </cfRule>
    <cfRule type="expression" priority="459" dxfId="0">
      <formula>AND(IF($Q36=3,1,IF($Q36=4,1,0)),IF($F36&lt;=85,1,0))</formula>
    </cfRule>
  </conditionalFormatting>
  <conditionalFormatting sqref="X36">
    <cfRule type="expression" priority="452" dxfId="3">
      <formula>AND(IF(OR($Q36=1,$Q36=2),1,0),IF($X36&lt;=20,1,0))</formula>
    </cfRule>
    <cfRule type="expression" priority="453" dxfId="2">
      <formula>AND(IF($Q36=2,1,0),IF($X36&lt;30,1,0))</formula>
    </cfRule>
    <cfRule type="expression" priority="454" dxfId="1">
      <formula>AND(IF($Q36=3,1,0),IF($X36&lt;30,1,0))</formula>
    </cfRule>
    <cfRule type="expression" priority="455" dxfId="0">
      <formula>AND(IF($Q36=3,1,IF($Q36=4,1,0)),IF($F36&lt;=85,1,0))</formula>
    </cfRule>
  </conditionalFormatting>
  <conditionalFormatting sqref="AI36">
    <cfRule type="expression" priority="448" dxfId="3">
      <formula>AND(IF(OR($Q36=1,$Q36=2),1,0),IF($X36&lt;=20,1,0))</formula>
    </cfRule>
    <cfRule type="expression" priority="449" dxfId="2">
      <formula>AND(IF($Q36=2,1,0),IF($X36&lt;30,1,0))</formula>
    </cfRule>
    <cfRule type="expression" priority="450" dxfId="1">
      <formula>AND(IF($Q36=3,1,0),IF($X36&lt;30,1,0))</formula>
    </cfRule>
    <cfRule type="expression" priority="451" dxfId="0">
      <formula>AND(IF($Q36=3,1,IF($Q36=4,1,0)),IF($F36&lt;=85,1,0))</formula>
    </cfRule>
  </conditionalFormatting>
  <conditionalFormatting sqref="AV37">
    <cfRule type="expression" priority="446" dxfId="23">
      <formula>AV37="X"</formula>
    </cfRule>
    <cfRule type="expression" priority="447" dxfId="22">
      <formula>AV37="후보"</formula>
    </cfRule>
  </conditionalFormatting>
  <conditionalFormatting sqref="AC3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7">
    <cfRule type="expression" priority="437" dxfId="3">
      <formula>AND(IF(OR($Q37=1,$Q37=2),1,0),IF($X37&lt;=20,1,0))</formula>
    </cfRule>
    <cfRule type="expression" priority="438" dxfId="2">
      <formula>AND(IF($Q37=2,1,0),IF($X37&lt;30,1,0))</formula>
    </cfRule>
    <cfRule type="expression" priority="439" dxfId="1">
      <formula>AND(IF($Q37=3,1,0),IF($X37&lt;30,1,0))</formula>
    </cfRule>
    <cfRule type="expression" priority="440" dxfId="0">
      <formula>AND(IF($Q37=3,1,IF($Q37=4,1,0)),IF($F37&lt;=85,1,0))</formula>
    </cfRule>
  </conditionalFormatting>
  <conditionalFormatting sqref="X37">
    <cfRule type="expression" priority="433" dxfId="3">
      <formula>AND(IF(OR($Q37=1,$Q37=2),1,0),IF($X37&lt;=20,1,0))</formula>
    </cfRule>
    <cfRule type="expression" priority="434" dxfId="2">
      <formula>AND(IF($Q37=2,1,0),IF($X37&lt;30,1,0))</formula>
    </cfRule>
    <cfRule type="expression" priority="435" dxfId="1">
      <formula>AND(IF($Q37=3,1,0),IF($X37&lt;30,1,0))</formula>
    </cfRule>
    <cfRule type="expression" priority="436" dxfId="0">
      <formula>AND(IF($Q37=3,1,IF($Q37=4,1,0)),IF($F37&lt;=85,1,0))</formula>
    </cfRule>
  </conditionalFormatting>
  <conditionalFormatting sqref="AI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AV38">
    <cfRule type="expression" priority="427" dxfId="23">
      <formula>AV38="X"</formula>
    </cfRule>
    <cfRule type="expression" priority="428" dxfId="22">
      <formula>AV38="후보"</formula>
    </cfRule>
  </conditionalFormatting>
  <conditionalFormatting sqref="AC3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8">
    <cfRule type="expression" priority="418" dxfId="3">
      <formula>AND(IF(OR($Q38=1,$Q38=2),1,0),IF($X38&lt;=20,1,0))</formula>
    </cfRule>
    <cfRule type="expression" priority="419" dxfId="2">
      <formula>AND(IF($Q38=2,1,0),IF($X38&lt;30,1,0))</formula>
    </cfRule>
    <cfRule type="expression" priority="420" dxfId="1">
      <formula>AND(IF($Q38=3,1,0),IF($X38&lt;30,1,0))</formula>
    </cfRule>
    <cfRule type="expression" priority="421" dxfId="0">
      <formula>AND(IF($Q38=3,1,IF($Q38=4,1,0)),IF($F38&lt;=85,1,0))</formula>
    </cfRule>
  </conditionalFormatting>
  <conditionalFormatting sqref="X38">
    <cfRule type="expression" priority="414" dxfId="3">
      <formula>AND(IF(OR($Q38=1,$Q38=2),1,0),IF($X38&lt;=20,1,0))</formula>
    </cfRule>
    <cfRule type="expression" priority="415" dxfId="2">
      <formula>AND(IF($Q38=2,1,0),IF($X38&lt;30,1,0))</formula>
    </cfRule>
    <cfRule type="expression" priority="416" dxfId="1">
      <formula>AND(IF($Q38=3,1,0),IF($X38&lt;30,1,0))</formula>
    </cfRule>
    <cfRule type="expression" priority="417" dxfId="0">
      <formula>AND(IF($Q38=3,1,IF($Q38=4,1,0)),IF($F38&lt;=85,1,0))</formula>
    </cfRule>
  </conditionalFormatting>
  <conditionalFormatting sqref="AI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AV39">
    <cfRule type="expression" priority="408" dxfId="23">
      <formula>AV39="X"</formula>
    </cfRule>
    <cfRule type="expression" priority="409" dxfId="22">
      <formula>AV39="후보"</formula>
    </cfRule>
  </conditionalFormatting>
  <conditionalFormatting sqref="AC3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X39">
    <cfRule type="expression" priority="395" dxfId="3">
      <formula>AND(IF(OR($Q39=1,$Q39=2),1,0),IF($X39&lt;=20,1,0))</formula>
    </cfRule>
    <cfRule type="expression" priority="396" dxfId="2">
      <formula>AND(IF($Q39=2,1,0),IF($X39&lt;30,1,0))</formula>
    </cfRule>
    <cfRule type="expression" priority="397" dxfId="1">
      <formula>AND(IF($Q39=3,1,0),IF($X39&lt;30,1,0))</formula>
    </cfRule>
    <cfRule type="expression" priority="398" dxfId="0">
      <formula>AND(IF($Q39=3,1,IF($Q39=4,1,0)),IF($F39&lt;=85,1,0))</formula>
    </cfRule>
  </conditionalFormatting>
  <conditionalFormatting sqref="AI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AV40">
    <cfRule type="expression" priority="389" dxfId="23">
      <formula>AV40="X"</formula>
    </cfRule>
    <cfRule type="expression" priority="390" dxfId="22">
      <formula>AV40="후보"</formula>
    </cfRule>
  </conditionalFormatting>
  <conditionalFormatting sqref="AC4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0">
    <cfRule type="expression" priority="380" dxfId="3">
      <formula>AND(IF(OR($Q40=1,$Q40=2),1,0),IF($X40&lt;=20,1,0))</formula>
    </cfRule>
    <cfRule type="expression" priority="381" dxfId="2">
      <formula>AND(IF($Q40=2,1,0),IF($X40&lt;30,1,0))</formula>
    </cfRule>
    <cfRule type="expression" priority="382" dxfId="1">
      <formula>AND(IF($Q40=3,1,0),IF($X40&lt;30,1,0))</formula>
    </cfRule>
    <cfRule type="expression" priority="383" dxfId="0">
      <formula>AND(IF($Q40=3,1,IF($Q40=4,1,0)),IF($F40&lt;=85,1,0))</formula>
    </cfRule>
  </conditionalFormatting>
  <conditionalFormatting sqref="X40">
    <cfRule type="expression" priority="376" dxfId="3">
      <formula>AND(IF(OR($Q40=1,$Q40=2),1,0),IF($X40&lt;=20,1,0))</formula>
    </cfRule>
    <cfRule type="expression" priority="377" dxfId="2">
      <formula>AND(IF($Q40=2,1,0),IF($X40&lt;30,1,0))</formula>
    </cfRule>
    <cfRule type="expression" priority="378" dxfId="1">
      <formula>AND(IF($Q40=3,1,0),IF($X40&lt;30,1,0))</formula>
    </cfRule>
    <cfRule type="expression" priority="379" dxfId="0">
      <formula>AND(IF($Q40=3,1,IF($Q40=4,1,0)),IF($F40&lt;=85,1,0))</formula>
    </cfRule>
  </conditionalFormatting>
  <conditionalFormatting sqref="AI40">
    <cfRule type="expression" priority="372" dxfId="3">
      <formula>AND(IF(OR($Q40=1,$Q40=2),1,0),IF($X40&lt;=20,1,0))</formula>
    </cfRule>
    <cfRule type="expression" priority="373" dxfId="2">
      <formula>AND(IF($Q40=2,1,0),IF($X40&lt;30,1,0))</formula>
    </cfRule>
    <cfRule type="expression" priority="374" dxfId="1">
      <formula>AND(IF($Q40=3,1,0),IF($X40&lt;30,1,0))</formula>
    </cfRule>
    <cfRule type="expression" priority="375" dxfId="0">
      <formula>AND(IF($Q40=3,1,IF($Q40=4,1,0)),IF($F40&lt;=85,1,0))</formula>
    </cfRule>
  </conditionalFormatting>
  <conditionalFormatting sqref="AV41">
    <cfRule type="expression" priority="370" dxfId="23">
      <formula>AV41="X"</formula>
    </cfRule>
    <cfRule type="expression" priority="371" dxfId="22">
      <formula>AV41="후보"</formula>
    </cfRule>
  </conditionalFormatting>
  <conditionalFormatting sqref="AC4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1">
    <cfRule type="expression" priority="361" dxfId="3">
      <formula>AND(IF(OR($Q41=1,$Q41=2),1,0),IF($X41&lt;=20,1,0))</formula>
    </cfRule>
    <cfRule type="expression" priority="362" dxfId="2">
      <formula>AND(IF($Q41=2,1,0),IF($X41&lt;30,1,0))</formula>
    </cfRule>
    <cfRule type="expression" priority="363" dxfId="1">
      <formula>AND(IF($Q41=3,1,0),IF($X41&lt;30,1,0))</formula>
    </cfRule>
    <cfRule type="expression" priority="364" dxfId="0">
      <formula>AND(IF($Q41=3,1,IF($Q41=4,1,0)),IF($F41&lt;=85,1,0))</formula>
    </cfRule>
  </conditionalFormatting>
  <conditionalFormatting sqref="X41">
    <cfRule type="expression" priority="357" dxfId="3">
      <formula>AND(IF(OR($Q41=1,$Q41=2),1,0),IF($X41&lt;=20,1,0))</formula>
    </cfRule>
    <cfRule type="expression" priority="358" dxfId="2">
      <formula>AND(IF($Q41=2,1,0),IF($X41&lt;30,1,0))</formula>
    </cfRule>
    <cfRule type="expression" priority="359" dxfId="1">
      <formula>AND(IF($Q41=3,1,0),IF($X41&lt;30,1,0))</formula>
    </cfRule>
    <cfRule type="expression" priority="360" dxfId="0">
      <formula>AND(IF($Q41=3,1,IF($Q41=4,1,0)),IF($F41&lt;=85,1,0))</formula>
    </cfRule>
  </conditionalFormatting>
  <conditionalFormatting sqref="AI41">
    <cfRule type="expression" priority="353" dxfId="3">
      <formula>AND(IF(OR($Q41=1,$Q41=2),1,0),IF($X41&lt;=20,1,0))</formula>
    </cfRule>
    <cfRule type="expression" priority="354" dxfId="2">
      <formula>AND(IF($Q41=2,1,0),IF($X41&lt;30,1,0))</formula>
    </cfRule>
    <cfRule type="expression" priority="355" dxfId="1">
      <formula>AND(IF($Q41=3,1,0),IF($X41&lt;30,1,0))</formula>
    </cfRule>
    <cfRule type="expression" priority="356" dxfId="0">
      <formula>AND(IF($Q41=3,1,IF($Q41=4,1,0)),IF($F41&lt;=85,1,0))</formula>
    </cfRule>
  </conditionalFormatting>
  <conditionalFormatting sqref="AV42">
    <cfRule type="expression" priority="351" dxfId="23">
      <formula>AV42="X"</formula>
    </cfRule>
    <cfRule type="expression" priority="352" dxfId="22">
      <formula>AV42="후보"</formula>
    </cfRule>
  </conditionalFormatting>
  <conditionalFormatting sqref="AC4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2">
    <cfRule type="expression" priority="342" dxfId="3">
      <formula>AND(IF(OR($Q42=1,$Q42=2),1,0),IF($X42&lt;=20,1,0))</formula>
    </cfRule>
    <cfRule type="expression" priority="343" dxfId="2">
      <formula>AND(IF($Q42=2,1,0),IF($X42&lt;30,1,0))</formula>
    </cfRule>
    <cfRule type="expression" priority="344" dxfId="1">
      <formula>AND(IF($Q42=3,1,0),IF($X42&lt;30,1,0))</formula>
    </cfRule>
    <cfRule type="expression" priority="345" dxfId="0">
      <formula>AND(IF($Q42=3,1,IF($Q42=4,1,0)),IF($F42&lt;=85,1,0))</formula>
    </cfRule>
  </conditionalFormatting>
  <conditionalFormatting sqref="X42">
    <cfRule type="expression" priority="338" dxfId="3">
      <formula>AND(IF(OR($Q42=1,$Q42=2),1,0),IF($X42&lt;=20,1,0))</formula>
    </cfRule>
    <cfRule type="expression" priority="339" dxfId="2">
      <formula>AND(IF($Q42=2,1,0),IF($X42&lt;30,1,0))</formula>
    </cfRule>
    <cfRule type="expression" priority="340" dxfId="1">
      <formula>AND(IF($Q42=3,1,0),IF($X42&lt;30,1,0))</formula>
    </cfRule>
    <cfRule type="expression" priority="341" dxfId="0">
      <formula>AND(IF($Q42=3,1,IF($Q42=4,1,0)),IF($F42&lt;=85,1,0))</formula>
    </cfRule>
  </conditionalFormatting>
  <conditionalFormatting sqref="AI42">
    <cfRule type="expression" priority="334" dxfId="3">
      <formula>AND(IF(OR($Q42=1,$Q42=2),1,0),IF($X42&lt;=20,1,0))</formula>
    </cfRule>
    <cfRule type="expression" priority="335" dxfId="2">
      <formula>AND(IF($Q42=2,1,0),IF($X42&lt;30,1,0))</formula>
    </cfRule>
    <cfRule type="expression" priority="336" dxfId="1">
      <formula>AND(IF($Q42=3,1,0),IF($X42&lt;30,1,0))</formula>
    </cfRule>
    <cfRule type="expression" priority="337" dxfId="0">
      <formula>AND(IF($Q42=3,1,IF($Q42=4,1,0)),IF($F42&lt;=85,1,0))</formula>
    </cfRule>
  </conditionalFormatting>
  <conditionalFormatting sqref="AV43">
    <cfRule type="expression" priority="332" dxfId="23">
      <formula>AV43="X"</formula>
    </cfRule>
    <cfRule type="expression" priority="333" dxfId="22">
      <formula>AV43="후보"</formula>
    </cfRule>
  </conditionalFormatting>
  <conditionalFormatting sqref="AC4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3">
    <cfRule type="expression" priority="323" dxfId="3">
      <formula>AND(IF(OR($Q43=1,$Q43=2),1,0),IF($X43&lt;=20,1,0))</formula>
    </cfRule>
    <cfRule type="expression" priority="324" dxfId="2">
      <formula>AND(IF($Q43=2,1,0),IF($X43&lt;30,1,0))</formula>
    </cfRule>
    <cfRule type="expression" priority="325" dxfId="1">
      <formula>AND(IF($Q43=3,1,0),IF($X43&lt;30,1,0))</formula>
    </cfRule>
    <cfRule type="expression" priority="326" dxfId="0">
      <formula>AND(IF($Q43=3,1,IF($Q43=4,1,0)),IF($F43&lt;=85,1,0))</formula>
    </cfRule>
  </conditionalFormatting>
  <conditionalFormatting sqref="X43">
    <cfRule type="expression" priority="319" dxfId="3">
      <formula>AND(IF(OR($Q43=1,$Q43=2),1,0),IF($X43&lt;=20,1,0))</formula>
    </cfRule>
    <cfRule type="expression" priority="320" dxfId="2">
      <formula>AND(IF($Q43=2,1,0),IF($X43&lt;30,1,0))</formula>
    </cfRule>
    <cfRule type="expression" priority="321" dxfId="1">
      <formula>AND(IF($Q43=3,1,0),IF($X43&lt;30,1,0))</formula>
    </cfRule>
    <cfRule type="expression" priority="322" dxfId="0">
      <formula>AND(IF($Q43=3,1,IF($Q43=4,1,0)),IF($F43&lt;=85,1,0))</formula>
    </cfRule>
  </conditionalFormatting>
  <conditionalFormatting sqref="AI43">
    <cfRule type="expression" priority="315" dxfId="3">
      <formula>AND(IF(OR($Q43=1,$Q43=2),1,0),IF($X43&lt;=20,1,0))</formula>
    </cfRule>
    <cfRule type="expression" priority="316" dxfId="2">
      <formula>AND(IF($Q43=2,1,0),IF($X43&lt;30,1,0))</formula>
    </cfRule>
    <cfRule type="expression" priority="317" dxfId="1">
      <formula>AND(IF($Q43=3,1,0),IF($X43&lt;30,1,0))</formula>
    </cfRule>
    <cfRule type="expression" priority="318" dxfId="0">
      <formula>AND(IF($Q43=3,1,IF($Q43=4,1,0)),IF($F43&lt;=85,1,0))</formula>
    </cfRule>
  </conditionalFormatting>
  <conditionalFormatting sqref="AV44">
    <cfRule type="expression" priority="313" dxfId="23">
      <formula>AV44="X"</formula>
    </cfRule>
    <cfRule type="expression" priority="314" dxfId="22">
      <formula>AV44="후보"</formula>
    </cfRule>
  </conditionalFormatting>
  <conditionalFormatting sqref="AC4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4">
    <cfRule type="expression" priority="304" dxfId="3">
      <formula>AND(IF(OR($Q44=1,$Q44=2),1,0),IF($X44&lt;=20,1,0))</formula>
    </cfRule>
    <cfRule type="expression" priority="305" dxfId="2">
      <formula>AND(IF($Q44=2,1,0),IF($X44&lt;30,1,0))</formula>
    </cfRule>
    <cfRule type="expression" priority="306" dxfId="1">
      <formula>AND(IF($Q44=3,1,0),IF($X44&lt;30,1,0))</formula>
    </cfRule>
    <cfRule type="expression" priority="307" dxfId="0">
      <formula>AND(IF($Q44=3,1,IF($Q44=4,1,0)),IF($F44&lt;=85,1,0))</formula>
    </cfRule>
  </conditionalFormatting>
  <conditionalFormatting sqref="X44">
    <cfRule type="expression" priority="300" dxfId="3">
      <formula>AND(IF(OR($Q44=1,$Q44=2),1,0),IF($X44&lt;=20,1,0))</formula>
    </cfRule>
    <cfRule type="expression" priority="301" dxfId="2">
      <formula>AND(IF($Q44=2,1,0),IF($X44&lt;30,1,0))</formula>
    </cfRule>
    <cfRule type="expression" priority="302" dxfId="1">
      <formula>AND(IF($Q44=3,1,0),IF($X44&lt;30,1,0))</formula>
    </cfRule>
    <cfRule type="expression" priority="303" dxfId="0">
      <formula>AND(IF($Q44=3,1,IF($Q44=4,1,0)),IF($F44&lt;=85,1,0))</formula>
    </cfRule>
  </conditionalFormatting>
  <conditionalFormatting sqref="AI44">
    <cfRule type="expression" priority="296" dxfId="3">
      <formula>AND(IF(OR($Q44=1,$Q44=2),1,0),IF($X44&lt;=20,1,0))</formula>
    </cfRule>
    <cfRule type="expression" priority="297" dxfId="2">
      <formula>AND(IF($Q44=2,1,0),IF($X44&lt;30,1,0))</formula>
    </cfRule>
    <cfRule type="expression" priority="298" dxfId="1">
      <formula>AND(IF($Q44=3,1,0),IF($X44&lt;30,1,0))</formula>
    </cfRule>
    <cfRule type="expression" priority="299" dxfId="0">
      <formula>AND(IF($Q44=3,1,IF($Q44=4,1,0)),IF($F44&lt;=85,1,0))</formula>
    </cfRule>
  </conditionalFormatting>
  <conditionalFormatting sqref="AV45">
    <cfRule type="expression" priority="294" dxfId="23">
      <formula>AV45="X"</formula>
    </cfRule>
    <cfRule type="expression" priority="295" dxfId="22">
      <formula>AV45="후보"</formula>
    </cfRule>
  </conditionalFormatting>
  <conditionalFormatting sqref="AC4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5">
    <cfRule type="expression" priority="285" dxfId="3">
      <formula>AND(IF(OR($Q45=1,$Q45=2),1,0),IF($X45&lt;=20,1,0))</formula>
    </cfRule>
    <cfRule type="expression" priority="286" dxfId="2">
      <formula>AND(IF($Q45=2,1,0),IF($X45&lt;30,1,0))</formula>
    </cfRule>
    <cfRule type="expression" priority="287" dxfId="1">
      <formula>AND(IF($Q45=3,1,0),IF($X45&lt;30,1,0))</formula>
    </cfRule>
    <cfRule type="expression" priority="288" dxfId="0">
      <formula>AND(IF($Q45=3,1,IF($Q45=4,1,0)),IF($F45&lt;=85,1,0))</formula>
    </cfRule>
  </conditionalFormatting>
  <conditionalFormatting sqref="X45">
    <cfRule type="expression" priority="281" dxfId="3">
      <formula>AND(IF(OR($Q45=1,$Q45=2),1,0),IF($X45&lt;=20,1,0))</formula>
    </cfRule>
    <cfRule type="expression" priority="282" dxfId="2">
      <formula>AND(IF($Q45=2,1,0),IF($X45&lt;30,1,0))</formula>
    </cfRule>
    <cfRule type="expression" priority="283" dxfId="1">
      <formula>AND(IF($Q45=3,1,0),IF($X45&lt;30,1,0))</formula>
    </cfRule>
    <cfRule type="expression" priority="284" dxfId="0">
      <formula>AND(IF($Q45=3,1,IF($Q45=4,1,0)),IF($F45&lt;=85,1,0))</formula>
    </cfRule>
  </conditionalFormatting>
  <conditionalFormatting sqref="AI45">
    <cfRule type="expression" priority="277" dxfId="3">
      <formula>AND(IF(OR($Q45=1,$Q45=2),1,0),IF($X45&lt;=20,1,0))</formula>
    </cfRule>
    <cfRule type="expression" priority="278" dxfId="2">
      <formula>AND(IF($Q45=2,1,0),IF($X45&lt;30,1,0))</formula>
    </cfRule>
    <cfRule type="expression" priority="279" dxfId="1">
      <formula>AND(IF($Q45=3,1,0),IF($X45&lt;30,1,0))</formula>
    </cfRule>
    <cfRule type="expression" priority="280" dxfId="0">
      <formula>AND(IF($Q45=3,1,IF($Q45=4,1,0)),IF($F45&lt;=85,1,0))</formula>
    </cfRule>
  </conditionalFormatting>
  <conditionalFormatting sqref="AV46">
    <cfRule type="expression" priority="275" dxfId="23">
      <formula>AV46="X"</formula>
    </cfRule>
    <cfRule type="expression" priority="276" dxfId="22">
      <formula>AV46="후보"</formula>
    </cfRule>
  </conditionalFormatting>
  <conditionalFormatting sqref="AC4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6">
    <cfRule type="expression" priority="266" dxfId="3">
      <formula>AND(IF(OR($Q46=1,$Q46=2),1,0),IF($X46&lt;=20,1,0))</formula>
    </cfRule>
    <cfRule type="expression" priority="267" dxfId="2">
      <formula>AND(IF($Q46=2,1,0),IF($X46&lt;30,1,0))</formula>
    </cfRule>
    <cfRule type="expression" priority="268" dxfId="1">
      <formula>AND(IF($Q46=3,1,0),IF($X46&lt;30,1,0))</formula>
    </cfRule>
    <cfRule type="expression" priority="269" dxfId="0">
      <formula>AND(IF($Q46=3,1,IF($Q46=4,1,0)),IF($F46&lt;=85,1,0))</formula>
    </cfRule>
  </conditionalFormatting>
  <conditionalFormatting sqref="X46">
    <cfRule type="expression" priority="262" dxfId="3">
      <formula>AND(IF(OR($Q46=1,$Q46=2),1,0),IF($X46&lt;=20,1,0))</formula>
    </cfRule>
    <cfRule type="expression" priority="263" dxfId="2">
      <formula>AND(IF($Q46=2,1,0),IF($X46&lt;30,1,0))</formula>
    </cfRule>
    <cfRule type="expression" priority="264" dxfId="1">
      <formula>AND(IF($Q46=3,1,0),IF($X46&lt;30,1,0))</formula>
    </cfRule>
    <cfRule type="expression" priority="265" dxfId="0">
      <formula>AND(IF($Q46=3,1,IF($Q46=4,1,0)),IF($F46&lt;=85,1,0))</formula>
    </cfRule>
  </conditionalFormatting>
  <conditionalFormatting sqref="AI46">
    <cfRule type="expression" priority="258" dxfId="3">
      <formula>AND(IF(OR($Q46=1,$Q46=2),1,0),IF($X46&lt;=20,1,0))</formula>
    </cfRule>
    <cfRule type="expression" priority="259" dxfId="2">
      <formula>AND(IF($Q46=2,1,0),IF($X46&lt;30,1,0))</formula>
    </cfRule>
    <cfRule type="expression" priority="260" dxfId="1">
      <formula>AND(IF($Q46=3,1,0),IF($X46&lt;30,1,0))</formula>
    </cfRule>
    <cfRule type="expression" priority="261" dxfId="0">
      <formula>AND(IF($Q46=3,1,IF($Q46=4,1,0)),IF($F46&lt;=85,1,0))</formula>
    </cfRule>
  </conditionalFormatting>
  <conditionalFormatting sqref="AV47">
    <cfRule type="expression" priority="256" dxfId="23">
      <formula>AV47="X"</formula>
    </cfRule>
    <cfRule type="expression" priority="257" dxfId="22">
      <formula>AV47="후보"</formula>
    </cfRule>
  </conditionalFormatting>
  <conditionalFormatting sqref="AC4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7">
    <cfRule type="expression" priority="247" dxfId="3">
      <formula>AND(IF(OR($Q47=1,$Q47=2),1,0),IF($X47&lt;=20,1,0))</formula>
    </cfRule>
    <cfRule type="expression" priority="248" dxfId="2">
      <formula>AND(IF($Q47=2,1,0),IF($X47&lt;30,1,0))</formula>
    </cfRule>
    <cfRule type="expression" priority="249" dxfId="1">
      <formula>AND(IF($Q47=3,1,0),IF($X47&lt;30,1,0))</formula>
    </cfRule>
    <cfRule type="expression" priority="250" dxfId="0">
      <formula>AND(IF($Q47=3,1,IF($Q47=4,1,0)),IF($F47&lt;=85,1,0))</formula>
    </cfRule>
  </conditionalFormatting>
  <conditionalFormatting sqref="X47">
    <cfRule type="expression" priority="243" dxfId="3">
      <formula>AND(IF(OR($Q47=1,$Q47=2),1,0),IF($X47&lt;=20,1,0))</formula>
    </cfRule>
    <cfRule type="expression" priority="244" dxfId="2">
      <formula>AND(IF($Q47=2,1,0),IF($X47&lt;30,1,0))</formula>
    </cfRule>
    <cfRule type="expression" priority="245" dxfId="1">
      <formula>AND(IF($Q47=3,1,0),IF($X47&lt;30,1,0))</formula>
    </cfRule>
    <cfRule type="expression" priority="246" dxfId="0">
      <formula>AND(IF($Q47=3,1,IF($Q47=4,1,0)),IF($F47&lt;=85,1,0))</formula>
    </cfRule>
  </conditionalFormatting>
  <conditionalFormatting sqref="AI47">
    <cfRule type="expression" priority="239" dxfId="3">
      <formula>AND(IF(OR($Q47=1,$Q47=2),1,0),IF($X47&lt;=20,1,0))</formula>
    </cfRule>
    <cfRule type="expression" priority="240" dxfId="2">
      <formula>AND(IF($Q47=2,1,0),IF($X47&lt;30,1,0))</formula>
    </cfRule>
    <cfRule type="expression" priority="241" dxfId="1">
      <formula>AND(IF($Q47=3,1,0),IF($X47&lt;30,1,0))</formula>
    </cfRule>
    <cfRule type="expression" priority="242" dxfId="0">
      <formula>AND(IF($Q47=3,1,IF($Q47=4,1,0)),IF($F47&lt;=85,1,0))</formula>
    </cfRule>
  </conditionalFormatting>
  <conditionalFormatting sqref="AV48">
    <cfRule type="expression" priority="237" dxfId="23">
      <formula>AV48="X"</formula>
    </cfRule>
    <cfRule type="expression" priority="238" dxfId="22">
      <formula>AV48="후보"</formula>
    </cfRule>
  </conditionalFormatting>
  <conditionalFormatting sqref="AC4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23">
      <formula>AV49="X"</formula>
    </cfRule>
    <cfRule type="expression" priority="219" dxfId="22">
      <formula>AV49="후보"</formula>
    </cfRule>
  </conditionalFormatting>
  <conditionalFormatting sqref="AC49 N4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5">
    <cfRule type="expression" priority="109" dxfId="3">
      <formula>AND(IF(OR($Q55=1,$Q55=2),1,0),IF($X55&lt;=20,1,0))</formula>
    </cfRule>
    <cfRule type="expression" priority="110" dxfId="2">
      <formula>AND(IF($Q55=2,1,0),IF($X55&lt;30,1,0))</formula>
    </cfRule>
    <cfRule type="expression" priority="111" dxfId="1">
      <formula>AND(IF($Q55=3,1,0),IF($X55&lt;30,1,0))</formula>
    </cfRule>
    <cfRule type="expression" priority="112" dxfId="0">
      <formula>AND(IF($Q55=3,1,IF($Q55=4,1,0)),IF($F55&lt;=85,1,0))</formula>
    </cfRule>
  </conditionalFormatting>
  <conditionalFormatting sqref="X55">
    <cfRule type="expression" priority="105" dxfId="3">
      <formula>AND(IF(OR($Q55=1,$Q55=2),1,0),IF($X55&lt;=20,1,0))</formula>
    </cfRule>
    <cfRule type="expression" priority="106" dxfId="2">
      <formula>AND(IF($Q55=2,1,0),IF($X55&lt;30,1,0))</formula>
    </cfRule>
    <cfRule type="expression" priority="107" dxfId="1">
      <formula>AND(IF($Q55=3,1,0),IF($X55&lt;30,1,0))</formula>
    </cfRule>
    <cfRule type="expression" priority="108" dxfId="0">
      <formula>AND(IF($Q55=3,1,IF($Q55=4,1,0)),IF($F55&lt;=85,1,0))</formula>
    </cfRule>
  </conditionalFormatting>
  <conditionalFormatting sqref="AI55">
    <cfRule type="expression" priority="101" dxfId="3">
      <formula>AND(IF(OR($Q55=1,$Q55=2),1,0),IF($X55&lt;=20,1,0))</formula>
    </cfRule>
    <cfRule type="expression" priority="102" dxfId="2">
      <formula>AND(IF($Q55=2,1,0),IF($X55&lt;30,1,0))</formula>
    </cfRule>
    <cfRule type="expression" priority="103" dxfId="1">
      <formula>AND(IF($Q55=3,1,0),IF($X55&lt;30,1,0))</formula>
    </cfRule>
    <cfRule type="expression" priority="104" dxfId="0">
      <formula>AND(IF($Q55=3,1,IF($Q55=4,1,0)),IF($F55&lt;=85,1,0))</formula>
    </cfRule>
  </conditionalFormatting>
  <conditionalFormatting sqref="AV56">
    <cfRule type="expression" priority="99" dxfId="23">
      <formula>AV56="X"</formula>
    </cfRule>
    <cfRule type="expression" priority="100" dxfId="22">
      <formula>AV56="후보"</formula>
    </cfRule>
  </conditionalFormatting>
  <conditionalFormatting sqref="AC5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23">
      <formula>AV57="X"</formula>
    </cfRule>
    <cfRule type="expression" priority="81" dxfId="22">
      <formula>AV57="후보"</formula>
    </cfRule>
  </conditionalFormatting>
  <conditionalFormatting sqref="AC57 N5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까치1차</t>
        </is>
      </c>
      <c r="B6" s="10" t="inlineStr">
        <is>
          <t>'90.09.</t>
        </is>
      </c>
      <c r="C6" s="132" t="n">
        <v>500</v>
      </c>
      <c r="D6" s="130" t="n">
        <v>38.2</v>
      </c>
      <c r="E6" s="131" t="n">
        <v>12</v>
      </c>
      <c r="F6" s="130" t="n">
        <v>30.2</v>
      </c>
      <c r="G6" s="17" t="n">
        <v>9</v>
      </c>
      <c r="H6" s="132" t="n">
        <v>50</v>
      </c>
      <c r="I6" s="133" t="n">
        <v>25000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38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까치1차</t>
        </is>
      </c>
      <c r="B7" s="10" t="inlineStr">
        <is>
          <t>'90.09.</t>
        </is>
      </c>
      <c r="C7" s="132" t="n">
        <v>500</v>
      </c>
      <c r="D7" s="130" t="n">
        <v>39.7</v>
      </c>
      <c r="E7" s="131" t="n">
        <v>12</v>
      </c>
      <c r="F7" s="130" t="n">
        <v>31.5</v>
      </c>
      <c r="G7" s="17" t="n">
        <v>10</v>
      </c>
      <c r="H7" s="132" t="n">
        <v>450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n">
        <v>39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까치2차</t>
        </is>
      </c>
      <c r="B9" s="10" t="inlineStr">
        <is>
          <t>'91.06.</t>
        </is>
      </c>
      <c r="C9" s="132" t="n">
        <v>416</v>
      </c>
      <c r="D9" s="130" t="n">
        <v>59.4</v>
      </c>
      <c r="E9" s="131" t="n">
        <v>18</v>
      </c>
      <c r="F9" s="130" t="n">
        <v>54.1</v>
      </c>
      <c r="G9" s="17" t="n">
        <v>16</v>
      </c>
      <c r="H9" s="132" t="n">
        <v>416</v>
      </c>
      <c r="I9" s="133" t="n">
        <v>16000</v>
      </c>
      <c r="J9" s="133" t="inlineStr">
        <is>
          <t>10</t>
        </is>
      </c>
      <c r="K9" s="133" t="n">
        <v>14500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복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반송대동</t>
        </is>
      </c>
      <c r="B11" s="10" t="inlineStr">
        <is>
          <t>'91.07.</t>
        </is>
      </c>
      <c r="C11" s="132" t="n">
        <v>1292</v>
      </c>
      <c r="D11" s="130" t="n">
        <v>83.40000000000001</v>
      </c>
      <c r="E11" s="131" t="n">
        <v>25</v>
      </c>
      <c r="F11" s="130" t="n">
        <v>70.09999999999999</v>
      </c>
      <c r="G11" s="17" t="n">
        <v>21</v>
      </c>
      <c r="H11" s="132" t="n">
        <v>408</v>
      </c>
      <c r="I11" s="133" t="n">
        <v>27500</v>
      </c>
      <c r="J11" s="133" t="inlineStr">
        <is>
          <t>14</t>
        </is>
      </c>
      <c r="K11" s="133" t="n">
        <v>23000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반송대동</t>
        </is>
      </c>
      <c r="B12" s="10" t="inlineStr">
        <is>
          <t>'91.07.</t>
        </is>
      </c>
      <c r="C12" s="132" t="n">
        <v>1292</v>
      </c>
      <c r="D12" s="130" t="n">
        <v>100.9</v>
      </c>
      <c r="E12" s="131" t="n">
        <v>31</v>
      </c>
      <c r="F12" s="130" t="n">
        <v>84.90000000000001</v>
      </c>
      <c r="G12" s="17" t="n">
        <v>26</v>
      </c>
      <c r="H12" s="132" t="n">
        <v>262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반송대동</t>
        </is>
      </c>
      <c r="B13" s="10" t="inlineStr">
        <is>
          <t>'91.07.</t>
        </is>
      </c>
      <c r="C13" s="132" t="n">
        <v>1292</v>
      </c>
      <c r="D13" s="130" t="n">
        <v>101</v>
      </c>
      <c r="E13" s="131" t="n">
        <v>31</v>
      </c>
      <c r="F13" s="130" t="n">
        <v>85</v>
      </c>
      <c r="G13" s="17" t="n">
        <v>26</v>
      </c>
      <c r="H13" s="132" t="n">
        <v>472</v>
      </c>
      <c r="I13" s="133" t="n">
        <v>28000</v>
      </c>
      <c r="J13" s="133" t="inlineStr">
        <is>
          <t>10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반송대동</t>
        </is>
      </c>
      <c r="B14" s="10" t="inlineStr">
        <is>
          <t>'91.07.</t>
        </is>
      </c>
      <c r="C14" s="132" t="n">
        <v>1292</v>
      </c>
      <c r="D14" s="130" t="n">
        <v>143.4</v>
      </c>
      <c r="E14" s="131" t="n">
        <v>43</v>
      </c>
      <c r="F14" s="130" t="n">
        <v>120.7</v>
      </c>
      <c r="G14" s="17" t="n">
        <v>36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반송대동</t>
        </is>
      </c>
      <c r="B15" s="10" t="inlineStr">
        <is>
          <t>'91.07.</t>
        </is>
      </c>
      <c r="C15" s="132" t="n">
        <v>1292</v>
      </c>
      <c r="D15" s="130" t="n">
        <v>147.1</v>
      </c>
      <c r="E15" s="131" t="n">
        <v>44</v>
      </c>
      <c r="F15" s="130" t="n">
        <v>123.7</v>
      </c>
      <c r="G15" s="17" t="n">
        <v>37</v>
      </c>
      <c r="H15" s="132" t="n">
        <v>90</v>
      </c>
      <c r="I15" s="133" t="n">
        <v>44000</v>
      </c>
      <c r="J15" s="133" t="inlineStr">
        <is>
          <t>6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삼익1차</t>
        </is>
      </c>
      <c r="B6" s="10" t="inlineStr">
        <is>
          <t>'88.09.</t>
        </is>
      </c>
      <c r="C6" s="132" t="n">
        <v>570</v>
      </c>
      <c r="D6" s="130" t="n">
        <v>48.7</v>
      </c>
      <c r="E6" s="131" t="n">
        <v>15</v>
      </c>
      <c r="F6" s="130" t="n">
        <v>39.9</v>
      </c>
      <c r="G6" s="17" t="n">
        <v>12</v>
      </c>
      <c r="H6" s="132" t="n">
        <v>120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삼익1차</t>
        </is>
      </c>
      <c r="B7" s="10" t="inlineStr">
        <is>
          <t>'88.09.</t>
        </is>
      </c>
      <c r="C7" s="132" t="n">
        <v>570</v>
      </c>
      <c r="D7" s="130" t="n">
        <v>59.8</v>
      </c>
      <c r="E7" s="131" t="n">
        <v>18</v>
      </c>
      <c r="F7" s="130" t="n">
        <v>49.8</v>
      </c>
      <c r="G7" s="17" t="n">
        <v>15</v>
      </c>
      <c r="H7" s="132" t="n">
        <v>200</v>
      </c>
      <c r="I7" s="133" t="n">
        <v>40000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삼익1차</t>
        </is>
      </c>
      <c r="B8" s="10" t="inlineStr">
        <is>
          <t>'88.09.</t>
        </is>
      </c>
      <c r="C8" s="132" t="n">
        <v>570</v>
      </c>
      <c r="D8" s="130" t="n">
        <v>70.90000000000001</v>
      </c>
      <c r="E8" s="131" t="n">
        <v>21</v>
      </c>
      <c r="F8" s="130" t="n">
        <v>60</v>
      </c>
      <c r="G8" s="17" t="n">
        <v>18</v>
      </c>
      <c r="H8" s="132" t="n">
        <v>220</v>
      </c>
      <c r="I8" s="133" t="n"/>
      <c r="J8" s="133" t="n"/>
      <c r="K8" s="133" t="n">
        <v>19000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inlineStr">
        <is>
          <t>70B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삼익1차</t>
        </is>
      </c>
      <c r="B9" s="10" t="inlineStr">
        <is>
          <t>'88.09.</t>
        </is>
      </c>
      <c r="C9" s="132" t="n">
        <v>570</v>
      </c>
      <c r="D9" s="130" t="n">
        <v>70.8</v>
      </c>
      <c r="E9" s="131" t="n">
        <v>21</v>
      </c>
      <c r="F9" s="130" t="n">
        <v>59.9</v>
      </c>
      <c r="G9" s="17" t="n">
        <v>18</v>
      </c>
      <c r="H9" s="132" t="n">
        <v>30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70A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삼익2차</t>
        </is>
      </c>
      <c r="B11" s="10" t="inlineStr">
        <is>
          <t>'89.01.</t>
        </is>
      </c>
      <c r="C11" s="132" t="n">
        <v>400</v>
      </c>
      <c r="D11" s="130" t="n">
        <v>50.9</v>
      </c>
      <c r="E11" s="131" t="n">
        <v>15</v>
      </c>
      <c r="F11" s="130" t="n">
        <v>42</v>
      </c>
      <c r="G11" s="17" t="n">
        <v>13</v>
      </c>
      <c r="H11" s="132" t="n">
        <v>20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계</t>
        </is>
      </c>
      <c r="T11" s="5" t="n">
        <v>50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삼익2차</t>
        </is>
      </c>
      <c r="B12" s="10" t="inlineStr">
        <is>
          <t>'89.01.</t>
        </is>
      </c>
      <c r="C12" s="132" t="n">
        <v>400</v>
      </c>
      <c r="D12" s="130" t="n">
        <v>79.5</v>
      </c>
      <c r="E12" s="131" t="n">
        <v>24</v>
      </c>
      <c r="F12" s="130" t="n">
        <v>68.59999999999999</v>
      </c>
      <c r="G12" s="17" t="n">
        <v>21</v>
      </c>
      <c r="H12" s="132" t="n">
        <v>140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삼익2차</t>
        </is>
      </c>
      <c r="B13" s="10" t="inlineStr">
        <is>
          <t>'89.01.</t>
        </is>
      </c>
      <c r="C13" s="132" t="n">
        <v>400</v>
      </c>
      <c r="D13" s="130" t="n">
        <v>91.3</v>
      </c>
      <c r="E13" s="131" t="n">
        <v>28</v>
      </c>
      <c r="F13" s="130" t="n">
        <v>79.7</v>
      </c>
      <c r="G13" s="17" t="n">
        <v>24</v>
      </c>
      <c r="H13" s="132" t="n">
        <v>200</v>
      </c>
      <c r="I13" s="133" t="n">
        <v>60000</v>
      </c>
      <c r="J13" s="133" t="inlineStr">
        <is>
          <t>5</t>
        </is>
      </c>
      <c r="K13" s="133" t="n">
        <v>25000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1</v>
      </c>
      <c r="S13" s="120" t="inlineStr">
        <is>
          <t>계</t>
        </is>
      </c>
      <c r="T13" s="5" t="n">
        <v>91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삼익2차</t>
        </is>
      </c>
      <c r="B14" s="10" t="inlineStr">
        <is>
          <t>'89.01.</t>
        </is>
      </c>
      <c r="C14" s="132" t="n">
        <v>400</v>
      </c>
      <c r="D14" s="130" t="n">
        <v>129.5</v>
      </c>
      <c r="E14" s="131" t="n">
        <v>39</v>
      </c>
      <c r="F14" s="130" t="n">
        <v>114.9</v>
      </c>
      <c r="G14" s="17" t="n">
        <v>35</v>
      </c>
      <c r="H14" s="132" t="n">
        <v>40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129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사파동성</t>
        </is>
      </c>
      <c r="B16" s="10" t="inlineStr">
        <is>
          <t>'92.11.</t>
        </is>
      </c>
      <c r="C16" s="132" t="n">
        <v>1986</v>
      </c>
      <c r="D16" s="130" t="n">
        <v>71.5</v>
      </c>
      <c r="E16" s="131" t="n">
        <v>22</v>
      </c>
      <c r="F16" s="130" t="n">
        <v>49.5</v>
      </c>
      <c r="G16" s="17" t="n">
        <v>15</v>
      </c>
      <c r="H16" s="132" t="n">
        <v>902</v>
      </c>
      <c r="I16" s="133" t="n">
        <v>18000</v>
      </c>
      <c r="J16" s="133" t="inlineStr">
        <is>
          <t>12</t>
        </is>
      </c>
      <c r="K16" s="133" t="n">
        <v>17000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복</t>
        </is>
      </c>
      <c r="T16" s="5" t="n">
        <v>71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사파동성</t>
        </is>
      </c>
      <c r="B17" s="10" t="inlineStr">
        <is>
          <t>'92.11.</t>
        </is>
      </c>
      <c r="C17" s="132" t="n">
        <v>1986</v>
      </c>
      <c r="D17" s="130" t="n">
        <v>75.59999999999999</v>
      </c>
      <c r="E17" s="131" t="n">
        <v>23</v>
      </c>
      <c r="F17" s="130" t="n">
        <v>59.9</v>
      </c>
      <c r="G17" s="17" t="n">
        <v>18</v>
      </c>
      <c r="H17" s="132" t="n">
        <v>370</v>
      </c>
      <c r="I17" s="133" t="n">
        <v>23900</v>
      </c>
      <c r="J17" s="133" t="inlineStr">
        <is>
          <t>중</t>
        </is>
      </c>
      <c r="K17" s="133" t="n">
        <v>22000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사파동성</t>
        </is>
      </c>
      <c r="B18" s="10" t="inlineStr">
        <is>
          <t>'92.11.</t>
        </is>
      </c>
      <c r="C18" s="132" t="n">
        <v>1986</v>
      </c>
      <c r="D18" s="130" t="n">
        <v>103</v>
      </c>
      <c r="E18" s="131" t="n">
        <v>31</v>
      </c>
      <c r="F18" s="130" t="n">
        <v>84.7</v>
      </c>
      <c r="G18" s="17" t="n">
        <v>26</v>
      </c>
      <c r="H18" s="132" t="n">
        <v>504</v>
      </c>
      <c r="I18" s="133" t="n">
        <v>33500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사파동성</t>
        </is>
      </c>
      <c r="B19" s="10" t="inlineStr">
        <is>
          <t>'92.11.</t>
        </is>
      </c>
      <c r="C19" s="132" t="n">
        <v>1986</v>
      </c>
      <c r="D19" s="130" t="n">
        <v>154.8</v>
      </c>
      <c r="E19" s="131" t="n">
        <v>47</v>
      </c>
      <c r="F19" s="130" t="n">
        <v>133.6</v>
      </c>
      <c r="G19" s="17" t="n">
        <v>40</v>
      </c>
      <c r="H19" s="132" t="n">
        <v>210</v>
      </c>
      <c r="I19" s="133" t="n">
        <v>40000</v>
      </c>
      <c r="J19" s="133" t="inlineStr">
        <is>
          <t>16</t>
        </is>
      </c>
      <c r="K19" s="133" t="n">
        <v>30000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154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대동1차</t>
        </is>
      </c>
      <c r="B21" s="10" t="inlineStr">
        <is>
          <t>'88.06.</t>
        </is>
      </c>
      <c r="C21" s="132" t="n">
        <v>400</v>
      </c>
      <c r="D21" s="130" t="n">
        <v>55.3</v>
      </c>
      <c r="E21" s="131" t="n">
        <v>17</v>
      </c>
      <c r="F21" s="130" t="n">
        <v>45.7</v>
      </c>
      <c r="G21" s="17" t="n">
        <v>14</v>
      </c>
      <c r="H21" s="132" t="n">
        <v>110</v>
      </c>
      <c r="I21" s="133" t="n">
        <v>30000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대동1차</t>
        </is>
      </c>
      <c r="B22" s="10" t="inlineStr">
        <is>
          <t>'88.06.</t>
        </is>
      </c>
      <c r="C22" s="132" t="n">
        <v>400</v>
      </c>
      <c r="D22" s="130" t="n">
        <v>60.7</v>
      </c>
      <c r="E22" s="131" t="n">
        <v>18</v>
      </c>
      <c r="F22" s="130" t="n">
        <v>50.3</v>
      </c>
      <c r="G22" s="17" t="n">
        <v>15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대동1차</t>
        </is>
      </c>
      <c r="B23" s="10" t="inlineStr">
        <is>
          <t>'88.06.</t>
        </is>
      </c>
      <c r="C23" s="132" t="n">
        <v>400</v>
      </c>
      <c r="D23" s="130" t="n">
        <v>63.4</v>
      </c>
      <c r="E23" s="131" t="n">
        <v>19</v>
      </c>
      <c r="F23" s="130" t="n">
        <v>52.8</v>
      </c>
      <c r="G23" s="17" t="n">
        <v>16</v>
      </c>
      <c r="H23" s="132" t="n">
        <v>118</v>
      </c>
      <c r="I23" s="133" t="n">
        <v>42000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63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대동2차</t>
        </is>
      </c>
      <c r="B25" s="10" t="inlineStr">
        <is>
          <t>'89.09.</t>
        </is>
      </c>
      <c r="C25" s="132" t="n">
        <v>470</v>
      </c>
      <c r="D25" s="130" t="n">
        <v>54.7</v>
      </c>
      <c r="E25" s="131" t="n">
        <v>17</v>
      </c>
      <c r="F25" s="130" t="n">
        <v>44</v>
      </c>
      <c r="G25" s="17" t="n">
        <v>13</v>
      </c>
      <c r="H25" s="132" t="n">
        <v>50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54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대동2차</t>
        </is>
      </c>
      <c r="B26" s="10" t="inlineStr">
        <is>
          <t>'89.09.</t>
        </is>
      </c>
      <c r="C26" s="132" t="n">
        <v>470</v>
      </c>
      <c r="D26" s="130" t="n">
        <v>61.5</v>
      </c>
      <c r="E26" s="131" t="n">
        <v>19</v>
      </c>
      <c r="F26" s="130" t="n">
        <v>50.3</v>
      </c>
      <c r="G26" s="17" t="n">
        <v>15</v>
      </c>
      <c r="H26" s="132" t="n">
        <v>50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대동2차</t>
        </is>
      </c>
      <c r="B27" s="10" t="inlineStr">
        <is>
          <t>'89.09.</t>
        </is>
      </c>
      <c r="C27" s="132" t="n">
        <v>470</v>
      </c>
      <c r="D27" s="130" t="n">
        <v>82.40000000000001</v>
      </c>
      <c r="E27" s="131" t="n">
        <v>25</v>
      </c>
      <c r="F27" s="130" t="n">
        <v>69.3</v>
      </c>
      <c r="G27" s="17" t="n">
        <v>21</v>
      </c>
      <c r="H27" s="132" t="n">
        <v>130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82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대동2차</t>
        </is>
      </c>
      <c r="B28" s="10" t="inlineStr">
        <is>
          <t>'89.09.</t>
        </is>
      </c>
      <c r="C28" s="132" t="n">
        <v>470</v>
      </c>
      <c r="D28" s="130" t="n">
        <v>85.2</v>
      </c>
      <c r="E28" s="131" t="n">
        <v>26</v>
      </c>
      <c r="F28" s="130" t="n">
        <v>70.09999999999999</v>
      </c>
      <c r="G28" s="17" t="n">
        <v>21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85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대동2차</t>
        </is>
      </c>
      <c r="B29" s="10" t="inlineStr">
        <is>
          <t>'89.09.</t>
        </is>
      </c>
      <c r="C29" s="132" t="n">
        <v>470</v>
      </c>
      <c r="D29" s="130" t="n">
        <v>91.09999999999999</v>
      </c>
      <c r="E29" s="131" t="n">
        <v>28</v>
      </c>
      <c r="F29" s="130" t="n">
        <v>75.3</v>
      </c>
      <c r="G29" s="17" t="n">
        <v>23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n">
        <v>91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대동2차</t>
        </is>
      </c>
      <c r="B30" s="10" t="inlineStr">
        <is>
          <t>'89.09.</t>
        </is>
      </c>
      <c r="C30" s="132" t="n">
        <v>470</v>
      </c>
      <c r="D30" s="130" t="n">
        <v>96.8</v>
      </c>
      <c r="E30" s="131" t="n">
        <v>29</v>
      </c>
      <c r="F30" s="130" t="n">
        <v>81.90000000000001</v>
      </c>
      <c r="G30" s="17" t="n">
        <v>25</v>
      </c>
      <c r="H30" s="132" t="n">
        <v>160</v>
      </c>
      <c r="I30" s="133" t="n">
        <v>55000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n">
        <v>96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동양무궁화</t>
        </is>
      </c>
      <c r="B32" s="10" t="inlineStr">
        <is>
          <t>'88.02.</t>
        </is>
      </c>
      <c r="C32" s="132" t="n">
        <v>770</v>
      </c>
      <c r="D32" s="130" t="n">
        <v>61.1</v>
      </c>
      <c r="E32" s="131" t="n">
        <v>18</v>
      </c>
      <c r="F32" s="130" t="n">
        <v>51.6</v>
      </c>
      <c r="G32" s="17" t="n">
        <v>16</v>
      </c>
      <c r="H32" s="132" t="n">
        <v>550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n">
        <v>61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동양무궁화</t>
        </is>
      </c>
      <c r="B33" s="10" t="inlineStr">
        <is>
          <t>'88.02.</t>
        </is>
      </c>
      <c r="C33" s="132" t="n">
        <v>770</v>
      </c>
      <c r="D33" s="130" t="n">
        <v>68.40000000000001</v>
      </c>
      <c r="E33" s="131" t="n">
        <v>21</v>
      </c>
      <c r="F33" s="130" t="n">
        <v>59.8</v>
      </c>
      <c r="G33" s="17" t="n">
        <v>18</v>
      </c>
      <c r="H33" s="132" t="n">
        <v>110</v>
      </c>
      <c r="I33" s="133" t="n">
        <v>40000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inlineStr">
        <is>
          <t>68B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동양무궁화</t>
        </is>
      </c>
      <c r="B34" s="10" t="inlineStr">
        <is>
          <t>'88.02.</t>
        </is>
      </c>
      <c r="C34" s="132" t="n">
        <v>770</v>
      </c>
      <c r="D34" s="130" t="n">
        <v>70.8</v>
      </c>
      <c r="E34" s="131" t="n">
        <v>21</v>
      </c>
      <c r="F34" s="130" t="n">
        <v>59.6</v>
      </c>
      <c r="G34" s="17" t="n">
        <v>18</v>
      </c>
      <c r="H34" s="132" t="n">
        <v>110</v>
      </c>
      <c r="I34" s="133" t="n">
        <v>40000</v>
      </c>
      <c r="J34" s="133" t="inlineStr">
        <is>
          <t>5</t>
        </is>
      </c>
      <c r="K34" s="133" t="n">
        <v>22000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inlineStr">
        <is>
          <t>70A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23">
      <formula>AV4="X"</formula>
    </cfRule>
    <cfRule type="expression" priority="483" dxfId="22">
      <formula>AV4="후보"</formula>
    </cfRule>
  </conditionalFormatting>
  <conditionalFormatting sqref="AC1:AC2 AC4:AC6 N4:N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N1:N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23">
      <formula>AV7="X"</formula>
    </cfRule>
    <cfRule type="expression" priority="462" dxfId="22">
      <formula>AV7="후보"</formula>
    </cfRule>
  </conditionalFormatting>
  <conditionalFormatting sqref="AC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23">
      <formula>AV8="X"</formula>
    </cfRule>
    <cfRule type="expression" priority="443" dxfId="22">
      <formula>AV8="후보"</formula>
    </cfRule>
  </conditionalFormatting>
  <conditionalFormatting sqref="AC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23">
      <formula>AV9="X"</formula>
    </cfRule>
    <cfRule type="expression" priority="424" dxfId="22">
      <formula>AV9="후보"</formula>
    </cfRule>
  </conditionalFormatting>
  <conditionalFormatting sqref="AC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23">
      <formula>AV10="X"</formula>
    </cfRule>
    <cfRule type="expression" priority="405" dxfId="22">
      <formula>AV10="후보"</formula>
    </cfRule>
  </conditionalFormatting>
  <conditionalFormatting sqref="AC10 N1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1">
    <cfRule type="expression" priority="390" dxfId="3">
      <formula>AND(IF(OR($Q11=1,$Q11=2),1,0),IF($X11&lt;=20,1,0))</formula>
    </cfRule>
    <cfRule type="expression" priority="391" dxfId="2">
      <formula>AND(IF($Q11=2,1,0),IF($X11&lt;30,1,0))</formula>
    </cfRule>
    <cfRule type="expression" priority="392" dxfId="1">
      <formula>AND(IF($Q11=3,1,0),IF($X11&lt;30,1,0))</formula>
    </cfRule>
    <cfRule type="expression" priority="393" dxfId="0">
      <formula>AND(IF($Q11=3,1,IF($Q11=4,1,0)),IF($F11&lt;=85,1,0))</formula>
    </cfRule>
  </conditionalFormatting>
  <conditionalFormatting sqref="X11">
    <cfRule type="expression" priority="386" dxfId="3">
      <formula>AND(IF(OR($Q11=1,$Q11=2),1,0),IF($X11&lt;=20,1,0))</formula>
    </cfRule>
    <cfRule type="expression" priority="387" dxfId="2">
      <formula>AND(IF($Q11=2,1,0),IF($X11&lt;30,1,0))</formula>
    </cfRule>
    <cfRule type="expression" priority="388" dxfId="1">
      <formula>AND(IF($Q11=3,1,0),IF($X11&lt;30,1,0))</formula>
    </cfRule>
    <cfRule type="expression" priority="389" dxfId="0">
      <formula>AND(IF($Q11=3,1,IF($Q11=4,1,0)),IF($F11&lt;=85,1,0))</formula>
    </cfRule>
  </conditionalFormatting>
  <conditionalFormatting sqref="AI11">
    <cfRule type="expression" priority="382" dxfId="3">
      <formula>AND(IF(OR($Q11=1,$Q11=2),1,0),IF($X11&lt;=20,1,0))</formula>
    </cfRule>
    <cfRule type="expression" priority="383" dxfId="2">
      <formula>AND(IF($Q11=2,1,0),IF($X11&lt;30,1,0))</formula>
    </cfRule>
    <cfRule type="expression" priority="384" dxfId="1">
      <formula>AND(IF($Q11=3,1,0),IF($X11&lt;30,1,0))</formula>
    </cfRule>
    <cfRule type="expression" priority="385" dxfId="0">
      <formula>AND(IF($Q11=3,1,IF($Q11=4,1,0)),IF($F11&lt;=85,1,0))</formula>
    </cfRule>
  </conditionalFormatting>
  <conditionalFormatting sqref="AV12">
    <cfRule type="expression" priority="380" dxfId="23">
      <formula>AV12="X"</formula>
    </cfRule>
    <cfRule type="expression" priority="381" dxfId="22">
      <formula>AV12="후보"</formula>
    </cfRule>
  </conditionalFormatting>
  <conditionalFormatting sqref="AC1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">
    <cfRule type="expression" priority="371" dxfId="3">
      <formula>AND(IF(OR($Q12=1,$Q12=2),1,0),IF($X12&lt;=20,1,0))</formula>
    </cfRule>
    <cfRule type="expression" priority="372" dxfId="2">
      <formula>AND(IF($Q12=2,1,0),IF($X12&lt;30,1,0))</formula>
    </cfRule>
    <cfRule type="expression" priority="373" dxfId="1">
      <formula>AND(IF($Q12=3,1,0),IF($X12&lt;30,1,0))</formula>
    </cfRule>
    <cfRule type="expression" priority="374" dxfId="0">
      <formula>AND(IF($Q12=3,1,IF($Q12=4,1,0)),IF($F12&lt;=85,1,0))</formula>
    </cfRule>
  </conditionalFormatting>
  <conditionalFormatting sqref="X12">
    <cfRule type="expression" priority="367" dxfId="3">
      <formula>AND(IF(OR($Q12=1,$Q12=2),1,0),IF($X12&lt;=20,1,0))</formula>
    </cfRule>
    <cfRule type="expression" priority="368" dxfId="2">
      <formula>AND(IF($Q12=2,1,0),IF($X12&lt;30,1,0))</formula>
    </cfRule>
    <cfRule type="expression" priority="369" dxfId="1">
      <formula>AND(IF($Q12=3,1,0),IF($X12&lt;30,1,0))</formula>
    </cfRule>
    <cfRule type="expression" priority="370" dxfId="0">
      <formula>AND(IF($Q12=3,1,IF($Q12=4,1,0)),IF($F12&lt;=85,1,0))</formula>
    </cfRule>
  </conditionalFormatting>
  <conditionalFormatting sqref="AI12">
    <cfRule type="expression" priority="363" dxfId="3">
      <formula>AND(IF(OR($Q12=1,$Q12=2),1,0),IF($X12&lt;=20,1,0))</formula>
    </cfRule>
    <cfRule type="expression" priority="364" dxfId="2">
      <formula>AND(IF($Q12=2,1,0),IF($X12&lt;30,1,0))</formula>
    </cfRule>
    <cfRule type="expression" priority="365" dxfId="1">
      <formula>AND(IF($Q12=3,1,0),IF($X12&lt;30,1,0))</formula>
    </cfRule>
    <cfRule type="expression" priority="366" dxfId="0">
      <formula>AND(IF($Q12=3,1,IF($Q12=4,1,0)),IF($F12&lt;=85,1,0))</formula>
    </cfRule>
  </conditionalFormatting>
  <conditionalFormatting sqref="AV13">
    <cfRule type="expression" priority="361" dxfId="23">
      <formula>AV13="X"</formula>
    </cfRule>
    <cfRule type="expression" priority="362" dxfId="22">
      <formula>AV13="후보"</formula>
    </cfRule>
  </conditionalFormatting>
  <conditionalFormatting sqref="AC1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3">
    <cfRule type="expression" priority="352" dxfId="3">
      <formula>AND(IF(OR($Q13=1,$Q13=2),1,0),IF($X13&lt;=20,1,0))</formula>
    </cfRule>
    <cfRule type="expression" priority="353" dxfId="2">
      <formula>AND(IF($Q13=2,1,0),IF($X13&lt;30,1,0))</formula>
    </cfRule>
    <cfRule type="expression" priority="354" dxfId="1">
      <formula>AND(IF($Q13=3,1,0),IF($X13&lt;30,1,0))</formula>
    </cfRule>
    <cfRule type="expression" priority="355" dxfId="0">
      <formula>AND(IF($Q13=3,1,IF($Q13=4,1,0)),IF($F13&lt;=85,1,0))</formula>
    </cfRule>
  </conditionalFormatting>
  <conditionalFormatting sqref="X13">
    <cfRule type="expression" priority="348" dxfId="3">
      <formula>AND(IF(OR($Q13=1,$Q13=2),1,0),IF($X13&lt;=20,1,0))</formula>
    </cfRule>
    <cfRule type="expression" priority="349" dxfId="2">
      <formula>AND(IF($Q13=2,1,0),IF($X13&lt;30,1,0))</formula>
    </cfRule>
    <cfRule type="expression" priority="350" dxfId="1">
      <formula>AND(IF($Q13=3,1,0),IF($X13&lt;30,1,0))</formula>
    </cfRule>
    <cfRule type="expression" priority="351" dxfId="0">
      <formula>AND(IF($Q13=3,1,IF($Q13=4,1,0)),IF($F13&lt;=85,1,0))</formula>
    </cfRule>
  </conditionalFormatting>
  <conditionalFormatting sqref="AI13">
    <cfRule type="expression" priority="344" dxfId="3">
      <formula>AND(IF(OR($Q13=1,$Q13=2),1,0),IF($X13&lt;=20,1,0))</formula>
    </cfRule>
    <cfRule type="expression" priority="345" dxfId="2">
      <formula>AND(IF($Q13=2,1,0),IF($X13&lt;30,1,0))</formula>
    </cfRule>
    <cfRule type="expression" priority="346" dxfId="1">
      <formula>AND(IF($Q13=3,1,0),IF($X13&lt;30,1,0))</formula>
    </cfRule>
    <cfRule type="expression" priority="347" dxfId="0">
      <formula>AND(IF($Q13=3,1,IF($Q13=4,1,0)),IF($F13&lt;=85,1,0))</formula>
    </cfRule>
  </conditionalFormatting>
  <conditionalFormatting sqref="AV14">
    <cfRule type="expression" priority="342" dxfId="23">
      <formula>AV14="X"</formula>
    </cfRule>
    <cfRule type="expression" priority="343" dxfId="22">
      <formula>AV14="후보"</formula>
    </cfRule>
  </conditionalFormatting>
  <conditionalFormatting sqref="AC1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23">
      <formula>AV15="X"</formula>
    </cfRule>
    <cfRule type="expression" priority="324" dxfId="22">
      <formula>AV15="후보"</formula>
    </cfRule>
  </conditionalFormatting>
  <conditionalFormatting sqref="AC15 N1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X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I18">
    <cfRule type="expression" priority="263" dxfId="3">
      <formula>AND(IF(OR($Q18=1,$Q18=2),1,0),IF($X18&lt;=20,1,0))</formula>
    </cfRule>
    <cfRule type="expression" priority="264" dxfId="2">
      <formula>AND(IF($Q18=2,1,0),IF($X18&lt;30,1,0))</formula>
    </cfRule>
    <cfRule type="expression" priority="265" dxfId="1">
      <formula>AND(IF($Q18=3,1,0),IF($X18&lt;30,1,0))</formula>
    </cfRule>
    <cfRule type="expression" priority="266" dxfId="0">
      <formula>AND(IF($Q18=3,1,IF($Q18=4,1,0)),IF($F18&lt;=85,1,0))</formula>
    </cfRule>
  </conditionalFormatting>
  <conditionalFormatting sqref="AV19">
    <cfRule type="expression" priority="261" dxfId="23">
      <formula>AV19="X"</formula>
    </cfRule>
    <cfRule type="expression" priority="262" dxfId="22">
      <formula>AV19="후보"</formula>
    </cfRule>
  </conditionalFormatting>
  <conditionalFormatting sqref="AC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X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I19">
    <cfRule type="expression" priority="244" dxfId="3">
      <formula>AND(IF(OR($Q19=1,$Q19=2),1,0),IF($X19&lt;=20,1,0))</formula>
    </cfRule>
    <cfRule type="expression" priority="245" dxfId="2">
      <formula>AND(IF($Q19=2,1,0),IF($X19&lt;30,1,0))</formula>
    </cfRule>
    <cfRule type="expression" priority="246" dxfId="1">
      <formula>AND(IF($Q19=3,1,0),IF($X19&lt;30,1,0))</formula>
    </cfRule>
    <cfRule type="expression" priority="247" dxfId="0">
      <formula>AND(IF($Q19=3,1,IF($Q19=4,1,0)),IF($F19&lt;=85,1,0))</formula>
    </cfRule>
  </conditionalFormatting>
  <conditionalFormatting sqref="AV20">
    <cfRule type="expression" priority="242" dxfId="23">
      <formula>AV20="X"</formula>
    </cfRule>
    <cfRule type="expression" priority="243" dxfId="22">
      <formula>AV20="후보"</formula>
    </cfRule>
  </conditionalFormatting>
  <conditionalFormatting sqref="AC20 N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23">
      <formula>AV30="X"</formula>
    </cfRule>
    <cfRule type="expression" priority="81" dxfId="22">
      <formula>AV30="후보"</formula>
    </cfRule>
  </conditionalFormatting>
  <conditionalFormatting sqref="AC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23">
      <formula>AV31="X"</formula>
    </cfRule>
    <cfRule type="expression" priority="62" dxfId="22">
      <formula>AV31="후보"</formula>
    </cfRule>
  </conditionalFormatting>
  <conditionalFormatting sqref="AC31 N3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사파정동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성산반도유보라아이비파크</t>
        </is>
      </c>
      <c r="B6" s="10" t="inlineStr">
        <is>
          <t>'22.03.</t>
        </is>
      </c>
      <c r="C6" s="132" t="n">
        <v>1045</v>
      </c>
      <c r="D6" s="130" t="n">
        <v>84.8</v>
      </c>
      <c r="E6" s="131" t="n">
        <v>26</v>
      </c>
      <c r="F6" s="130" t="n">
        <v>64.8</v>
      </c>
      <c r="G6" s="17" t="n">
        <v>20</v>
      </c>
      <c r="H6" s="132" t="n">
        <v>152</v>
      </c>
      <c r="I6" s="133" t="n">
        <v>45900</v>
      </c>
      <c r="J6" s="133" t="inlineStr">
        <is>
          <t>13</t>
        </is>
      </c>
      <c r="K6" s="133" t="n">
        <v>35000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성산반도유보라아이비파크</t>
        </is>
      </c>
      <c r="B7" s="10" t="inlineStr">
        <is>
          <t>'22.03.</t>
        </is>
      </c>
      <c r="C7" s="132" t="n">
        <v>1045</v>
      </c>
      <c r="D7" s="130" t="n">
        <v>84.2</v>
      </c>
      <c r="E7" s="131" t="n">
        <v>25</v>
      </c>
      <c r="F7" s="130" t="n">
        <v>64.3</v>
      </c>
      <c r="G7" s="17" t="n">
        <v>19</v>
      </c>
      <c r="H7" s="132" t="n">
        <v>66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성산반도유보라아이비파크</t>
        </is>
      </c>
      <c r="B8" s="10" t="inlineStr">
        <is>
          <t>'22.03.</t>
        </is>
      </c>
      <c r="C8" s="132" t="n">
        <v>1045</v>
      </c>
      <c r="D8" s="130" t="n">
        <v>102.3</v>
      </c>
      <c r="E8" s="131" t="n">
        <v>31</v>
      </c>
      <c r="F8" s="130" t="n">
        <v>79</v>
      </c>
      <c r="G8" s="17" t="n">
        <v>24</v>
      </c>
      <c r="H8" s="132" t="n">
        <v>426</v>
      </c>
      <c r="I8" s="133" t="n">
        <v>49800</v>
      </c>
      <c r="J8" s="133" t="inlineStr">
        <is>
          <t>10</t>
        </is>
      </c>
      <c r="K8" s="133" t="n">
        <v>36000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성산반도유보라아이비파크</t>
        </is>
      </c>
      <c r="B9" s="10" t="inlineStr">
        <is>
          <t>'22.03.</t>
        </is>
      </c>
      <c r="C9" s="132" t="n">
        <v>1045</v>
      </c>
      <c r="D9" s="130" t="n">
        <v>116.1</v>
      </c>
      <c r="E9" s="131" t="n">
        <v>35</v>
      </c>
      <c r="F9" s="130" t="n">
        <v>86.40000000000001</v>
      </c>
      <c r="G9" s="17" t="n">
        <v>26</v>
      </c>
      <c r="H9" s="132" t="n">
        <v>21</v>
      </c>
      <c r="I9" s="133" t="n">
        <v>79000</v>
      </c>
      <c r="J9" s="133" t="inlineStr">
        <is>
          <t>고</t>
        </is>
      </c>
      <c r="K9" s="133" t="n">
        <v>57000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116P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상남동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대우</t>
        </is>
      </c>
      <c r="B6" s="10" t="inlineStr">
        <is>
          <t>'85.12.</t>
        </is>
      </c>
      <c r="C6" s="132" t="n">
        <v>680</v>
      </c>
      <c r="D6" s="130" t="n">
        <v>44.4</v>
      </c>
      <c r="E6" s="131" t="n">
        <v>13</v>
      </c>
      <c r="F6" s="130" t="n">
        <v>35.5</v>
      </c>
      <c r="G6" s="17" t="n">
        <v>11</v>
      </c>
      <c r="H6" s="132" t="n">
        <v>80</v>
      </c>
      <c r="I6" s="133" t="n">
        <v>30000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44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대우</t>
        </is>
      </c>
      <c r="B7" s="10" t="inlineStr">
        <is>
          <t>'85.12.</t>
        </is>
      </c>
      <c r="C7" s="132" t="n">
        <v>680</v>
      </c>
      <c r="D7" s="130" t="n">
        <v>51.5</v>
      </c>
      <c r="E7" s="131" t="n">
        <v>16</v>
      </c>
      <c r="F7" s="130" t="n">
        <v>42.2</v>
      </c>
      <c r="G7" s="17" t="n">
        <v>13</v>
      </c>
      <c r="H7" s="132" t="n">
        <v>160</v>
      </c>
      <c r="I7" s="133" t="n">
        <v>33000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51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대우</t>
        </is>
      </c>
      <c r="B8" s="10" t="inlineStr">
        <is>
          <t>'85.12.</t>
        </is>
      </c>
      <c r="C8" s="132" t="n">
        <v>680</v>
      </c>
      <c r="D8" s="130" t="n">
        <v>56.8</v>
      </c>
      <c r="E8" s="131" t="n">
        <v>17</v>
      </c>
      <c r="F8" s="130" t="n">
        <v>49.1</v>
      </c>
      <c r="G8" s="17" t="n">
        <v>15</v>
      </c>
      <c r="H8" s="132" t="n">
        <v>100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2</v>
      </c>
      <c r="R8" s="120" t="n">
        <v>1</v>
      </c>
      <c r="S8" s="120" t="inlineStr">
        <is>
          <t>계</t>
        </is>
      </c>
      <c r="T8" s="5" t="n">
        <v>56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대우</t>
        </is>
      </c>
      <c r="B9" s="10" t="inlineStr">
        <is>
          <t>'85.12.</t>
        </is>
      </c>
      <c r="C9" s="132" t="n">
        <v>680</v>
      </c>
      <c r="D9" s="130" t="n">
        <v>59</v>
      </c>
      <c r="E9" s="131" t="n">
        <v>18</v>
      </c>
      <c r="F9" s="130" t="n">
        <v>49.2</v>
      </c>
      <c r="G9" s="17" t="n">
        <v>15</v>
      </c>
      <c r="H9" s="132" t="n">
        <v>200</v>
      </c>
      <c r="I9" s="133" t="n">
        <v>42000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대우</t>
        </is>
      </c>
      <c r="B10" s="10" t="inlineStr">
        <is>
          <t>'85.12.</t>
        </is>
      </c>
      <c r="C10" s="132" t="n">
        <v>680</v>
      </c>
      <c r="D10" s="130" t="n">
        <v>66.7</v>
      </c>
      <c r="E10" s="131" t="n">
        <v>20</v>
      </c>
      <c r="F10" s="130" t="n">
        <v>58.8</v>
      </c>
      <c r="G10" s="17" t="n">
        <v>18</v>
      </c>
      <c r="H10" s="132" t="n">
        <v>100</v>
      </c>
      <c r="I10" s="133" t="n">
        <v>50000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66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대우</t>
        </is>
      </c>
      <c r="B11" s="10" t="inlineStr">
        <is>
          <t>'85.12.</t>
        </is>
      </c>
      <c r="C11" s="132" t="n">
        <v>680</v>
      </c>
      <c r="D11" s="130" t="n">
        <v>82.59999999999999</v>
      </c>
      <c r="E11" s="131" t="n">
        <v>25</v>
      </c>
      <c r="F11" s="130" t="n">
        <v>73.5</v>
      </c>
      <c r="G11" s="17" t="n">
        <v>22</v>
      </c>
      <c r="H11" s="132" t="n">
        <v>30</v>
      </c>
      <c r="I11" s="133" t="n">
        <v>68000</v>
      </c>
      <c r="J11" s="133" t="inlineStr">
        <is>
          <t>중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대우</t>
        </is>
      </c>
      <c r="B12" s="10" t="inlineStr">
        <is>
          <t>'85.12.</t>
        </is>
      </c>
      <c r="C12" s="132" t="n">
        <v>680</v>
      </c>
      <c r="D12" s="130" t="n">
        <v>130</v>
      </c>
      <c r="E12" s="131" t="n">
        <v>39</v>
      </c>
      <c r="F12" s="130" t="n">
        <v>120.1</v>
      </c>
      <c r="G12" s="17" t="n">
        <v>36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130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대동</t>
        </is>
      </c>
      <c r="B14" s="10" t="inlineStr">
        <is>
          <t>'94.12.</t>
        </is>
      </c>
      <c r="C14" s="132" t="n">
        <v>2810</v>
      </c>
      <c r="D14" s="130" t="n">
        <v>67.09999999999999</v>
      </c>
      <c r="E14" s="131" t="n">
        <v>20</v>
      </c>
      <c r="F14" s="130" t="n">
        <v>50</v>
      </c>
      <c r="G14" s="17" t="n">
        <v>15</v>
      </c>
      <c r="H14" s="132" t="n">
        <v>452</v>
      </c>
      <c r="I14" s="133" t="n">
        <v>25000</v>
      </c>
      <c r="J14" s="133" t="inlineStr">
        <is>
          <t>21</t>
        </is>
      </c>
      <c r="K14" s="133" t="n">
        <v>17000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67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대동</t>
        </is>
      </c>
      <c r="B15" s="10" t="inlineStr">
        <is>
          <t>'94.12.</t>
        </is>
      </c>
      <c r="C15" s="132" t="n">
        <v>2810</v>
      </c>
      <c r="D15" s="130" t="n">
        <v>77.40000000000001</v>
      </c>
      <c r="E15" s="131" t="n">
        <v>23</v>
      </c>
      <c r="F15" s="130" t="n">
        <v>59.3</v>
      </c>
      <c r="G15" s="17" t="n">
        <v>18</v>
      </c>
      <c r="H15" s="132" t="n">
        <v>210</v>
      </c>
      <c r="I15" s="133" t="n">
        <v>35000</v>
      </c>
      <c r="J15" s="133" t="inlineStr">
        <is>
          <t>17</t>
        </is>
      </c>
      <c r="K15" s="133" t="n">
        <v>25000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n">
        <v>77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대동</t>
        </is>
      </c>
      <c r="B16" s="10" t="inlineStr">
        <is>
          <t>'94.12.</t>
        </is>
      </c>
      <c r="C16" s="132" t="n">
        <v>2810</v>
      </c>
      <c r="D16" s="130" t="n">
        <v>80.40000000000001</v>
      </c>
      <c r="E16" s="131" t="n">
        <v>24</v>
      </c>
      <c r="F16" s="130" t="n">
        <v>59.8</v>
      </c>
      <c r="G16" s="17" t="n">
        <v>18</v>
      </c>
      <c r="H16" s="132" t="n">
        <v>452</v>
      </c>
      <c r="I16" s="133" t="n">
        <v>34000</v>
      </c>
      <c r="J16" s="133" t="inlineStr">
        <is>
          <t>25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80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대동</t>
        </is>
      </c>
      <c r="B17" s="10" t="inlineStr">
        <is>
          <t>'94.12.</t>
        </is>
      </c>
      <c r="C17" s="132" t="n">
        <v>2810</v>
      </c>
      <c r="D17" s="130" t="n">
        <v>105.4</v>
      </c>
      <c r="E17" s="131" t="n">
        <v>32</v>
      </c>
      <c r="F17" s="130" t="n">
        <v>84.90000000000001</v>
      </c>
      <c r="G17" s="17" t="n">
        <v>26</v>
      </c>
      <c r="H17" s="132" t="n">
        <v>890</v>
      </c>
      <c r="I17" s="133" t="n">
        <v>43000</v>
      </c>
      <c r="J17" s="133" t="inlineStr">
        <is>
          <t>12</t>
        </is>
      </c>
      <c r="K17" s="133" t="n">
        <v>30000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대동</t>
        </is>
      </c>
      <c r="B18" s="10" t="inlineStr">
        <is>
          <t>'94.12.</t>
        </is>
      </c>
      <c r="C18" s="132" t="n">
        <v>2810</v>
      </c>
      <c r="D18" s="130" t="n">
        <v>138.9</v>
      </c>
      <c r="E18" s="131" t="n">
        <v>42</v>
      </c>
      <c r="F18" s="130" t="n">
        <v>115</v>
      </c>
      <c r="G18" s="17" t="n">
        <v>35</v>
      </c>
      <c r="H18" s="132" t="n">
        <v>306</v>
      </c>
      <c r="I18" s="133" t="n">
        <v>50000</v>
      </c>
      <c r="J18" s="133" t="inlineStr">
        <is>
          <t>중</t>
        </is>
      </c>
      <c r="K18" s="133" t="n">
        <v>40000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138A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대동</t>
        </is>
      </c>
      <c r="B19" s="10" t="inlineStr">
        <is>
          <t>'94.12.</t>
        </is>
      </c>
      <c r="C19" s="132" t="n">
        <v>2810</v>
      </c>
      <c r="D19" s="130" t="n">
        <v>139.5</v>
      </c>
      <c r="E19" s="131" t="n">
        <v>42</v>
      </c>
      <c r="F19" s="130" t="n">
        <v>115.5</v>
      </c>
      <c r="G19" s="17" t="n">
        <v>35</v>
      </c>
      <c r="H19" s="132" t="n">
        <v>60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139B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대동</t>
        </is>
      </c>
      <c r="B20" s="10" t="inlineStr">
        <is>
          <t>'94.12.</t>
        </is>
      </c>
      <c r="C20" s="132" t="n">
        <v>2810</v>
      </c>
      <c r="D20" s="130" t="n">
        <v>140.8</v>
      </c>
      <c r="E20" s="131" t="n">
        <v>43</v>
      </c>
      <c r="F20" s="130" t="n">
        <v>116.6</v>
      </c>
      <c r="G20" s="17" t="n">
        <v>35</v>
      </c>
      <c r="H20" s="132" t="n">
        <v>110</v>
      </c>
      <c r="I20" s="133" t="n">
        <v>53000</v>
      </c>
      <c r="J20" s="133" t="inlineStr">
        <is>
          <t>중</t>
        </is>
      </c>
      <c r="K20" s="133" t="n">
        <v>38000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대동</t>
        </is>
      </c>
      <c r="B21" s="10" t="inlineStr">
        <is>
          <t>'94.12.</t>
        </is>
      </c>
      <c r="C21" s="132" t="n">
        <v>2810</v>
      </c>
      <c r="D21" s="130" t="n">
        <v>157.8</v>
      </c>
      <c r="E21" s="131" t="n">
        <v>48</v>
      </c>
      <c r="F21" s="130" t="n">
        <v>132.2</v>
      </c>
      <c r="G21" s="17" t="n">
        <v>40</v>
      </c>
      <c r="H21" s="132" t="n">
        <v>130</v>
      </c>
      <c r="I21" s="133" t="n">
        <v>58000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157B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대동</t>
        </is>
      </c>
      <c r="B22" s="10" t="inlineStr">
        <is>
          <t>'94.12.</t>
        </is>
      </c>
      <c r="C22" s="132" t="n">
        <v>2810</v>
      </c>
      <c r="D22" s="130" t="n">
        <v>157.8</v>
      </c>
      <c r="E22" s="131" t="n">
        <v>48</v>
      </c>
      <c r="F22" s="130" t="n">
        <v>132.2</v>
      </c>
      <c r="G22" s="17" t="n">
        <v>40</v>
      </c>
      <c r="H22" s="132" t="n">
        <v>100</v>
      </c>
      <c r="I22" s="133" t="n">
        <v>58000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157A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대동</t>
        </is>
      </c>
      <c r="B23" s="10" t="inlineStr">
        <is>
          <t>'94.12.</t>
        </is>
      </c>
      <c r="C23" s="132" t="n">
        <v>2810</v>
      </c>
      <c r="D23" s="130" t="n">
        <v>193</v>
      </c>
      <c r="E23" s="131" t="n">
        <v>58</v>
      </c>
      <c r="F23" s="130" t="n">
        <v>164.7</v>
      </c>
      <c r="G23" s="17" t="n">
        <v>50</v>
      </c>
      <c r="H23" s="132" t="n">
        <v>100</v>
      </c>
      <c r="I23" s="133" t="n">
        <v>60000</v>
      </c>
      <c r="J23" s="133" t="inlineStr">
        <is>
          <t>고</t>
        </is>
      </c>
      <c r="K23" s="133" t="n">
        <v>45000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192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상남꿈에그린</t>
        </is>
      </c>
      <c r="B25" s="10" t="inlineStr">
        <is>
          <t>'14.09.</t>
        </is>
      </c>
      <c r="C25" s="132" t="n">
        <v>812</v>
      </c>
      <c r="D25" s="130" t="n">
        <v>100.5</v>
      </c>
      <c r="E25" s="131" t="n">
        <v>30</v>
      </c>
      <c r="F25" s="130" t="n">
        <v>72.59999999999999</v>
      </c>
      <c r="G25" s="17" t="n">
        <v>22</v>
      </c>
      <c r="H25" s="132" t="n">
        <v>86</v>
      </c>
      <c r="I25" s="133" t="n">
        <v>58000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복</t>
        </is>
      </c>
      <c r="T25" s="5" t="n">
        <v>100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상남꿈에그린</t>
        </is>
      </c>
      <c r="B26" s="10" t="inlineStr">
        <is>
          <t>'14.09.</t>
        </is>
      </c>
      <c r="C26" s="132" t="n">
        <v>812</v>
      </c>
      <c r="D26" s="130" t="n">
        <v>113.3</v>
      </c>
      <c r="E26" s="131" t="n">
        <v>34</v>
      </c>
      <c r="F26" s="130" t="n">
        <v>84.90000000000001</v>
      </c>
      <c r="G26" s="17" t="n">
        <v>26</v>
      </c>
      <c r="H26" s="132" t="n">
        <v>252</v>
      </c>
      <c r="I26" s="133" t="n">
        <v>62000</v>
      </c>
      <c r="J26" s="133" t="inlineStr">
        <is>
          <t>중</t>
        </is>
      </c>
      <c r="K26" s="133" t="n">
        <v>49000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113B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상남꿈에그린</t>
        </is>
      </c>
      <c r="B27" s="10" t="inlineStr">
        <is>
          <t>'14.09.</t>
        </is>
      </c>
      <c r="C27" s="132" t="n">
        <v>812</v>
      </c>
      <c r="D27" s="130" t="n">
        <v>114</v>
      </c>
      <c r="E27" s="131" t="n">
        <v>34</v>
      </c>
      <c r="F27" s="130" t="n">
        <v>84.90000000000001</v>
      </c>
      <c r="G27" s="17" t="n">
        <v>26</v>
      </c>
      <c r="H27" s="132" t="n">
        <v>286</v>
      </c>
      <c r="I27" s="133" t="n">
        <v>63000</v>
      </c>
      <c r="J27" s="133" t="inlineStr">
        <is>
          <t>중</t>
        </is>
      </c>
      <c r="K27" s="133" t="n">
        <v>50000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114A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상남꿈에그린</t>
        </is>
      </c>
      <c r="B28" s="10" t="inlineStr">
        <is>
          <t>'14.09.</t>
        </is>
      </c>
      <c r="C28" s="132" t="n">
        <v>812</v>
      </c>
      <c r="D28" s="130" t="n">
        <v>129</v>
      </c>
      <c r="E28" s="131" t="n">
        <v>39</v>
      </c>
      <c r="F28" s="130" t="n">
        <v>101.7</v>
      </c>
      <c r="G28" s="17" t="n">
        <v>31</v>
      </c>
      <c r="H28" s="132" t="n">
        <v>88</v>
      </c>
      <c r="I28" s="133" t="n">
        <v>79000</v>
      </c>
      <c r="J28" s="133" t="inlineStr">
        <is>
          <t>중</t>
        </is>
      </c>
      <c r="K28" s="133" t="n">
        <v>62000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129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상남꿈에그린</t>
        </is>
      </c>
      <c r="B29" s="10" t="inlineStr">
        <is>
          <t>'14.09.</t>
        </is>
      </c>
      <c r="C29" s="132" t="n">
        <v>812</v>
      </c>
      <c r="D29" s="130" t="n">
        <v>156.9</v>
      </c>
      <c r="E29" s="131" t="n">
        <v>47</v>
      </c>
      <c r="F29" s="130" t="n">
        <v>124.2</v>
      </c>
      <c r="G29" s="17" t="n">
        <v>38</v>
      </c>
      <c r="H29" s="132" t="n">
        <v>100</v>
      </c>
      <c r="I29" s="133" t="n">
        <v>93000</v>
      </c>
      <c r="J29" s="133" t="inlineStr">
        <is>
          <t>중</t>
        </is>
      </c>
      <c r="K29" s="133" t="n">
        <v>80000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성원(토월그랜드타운)</t>
        </is>
      </c>
      <c r="B31" s="10" t="inlineStr">
        <is>
          <t>'94.06.</t>
        </is>
      </c>
      <c r="C31" s="132" t="n">
        <v>6252</v>
      </c>
      <c r="D31" s="130" t="n">
        <v>72</v>
      </c>
      <c r="E31" s="131" t="n">
        <v>22</v>
      </c>
      <c r="F31" s="130" t="n">
        <v>50</v>
      </c>
      <c r="G31" s="17" t="n">
        <v>15</v>
      </c>
      <c r="H31" s="132" t="n">
        <v>920</v>
      </c>
      <c r="I31" s="133" t="n">
        <v>19000</v>
      </c>
      <c r="J31" s="133" t="inlineStr">
        <is>
          <t>22</t>
        </is>
      </c>
      <c r="K31" s="133" t="n">
        <v>14000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복</t>
        </is>
      </c>
      <c r="T31" s="5" t="n">
        <v>71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성원(토월그랜드타운)</t>
        </is>
      </c>
      <c r="B32" s="10" t="inlineStr">
        <is>
          <t>'94.06.</t>
        </is>
      </c>
      <c r="C32" s="132" t="n">
        <v>6252</v>
      </c>
      <c r="D32" s="130" t="n">
        <v>86.40000000000001</v>
      </c>
      <c r="E32" s="131" t="n">
        <v>26</v>
      </c>
      <c r="F32" s="130" t="n">
        <v>60</v>
      </c>
      <c r="G32" s="17" t="n">
        <v>18</v>
      </c>
      <c r="H32" s="132" t="n">
        <v>1500</v>
      </c>
      <c r="I32" s="133" t="n">
        <v>27300</v>
      </c>
      <c r="J32" s="133" t="inlineStr">
        <is>
          <t>고</t>
        </is>
      </c>
      <c r="K32" s="133" t="n">
        <v>20000</v>
      </c>
      <c r="L32" s="133" t="inlineStr">
        <is>
          <t>19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복</t>
        </is>
      </c>
      <c r="T32" s="5" t="n">
        <v>86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성원(토월그랜드타운)</t>
        </is>
      </c>
      <c r="B33" s="10" t="inlineStr">
        <is>
          <t>'94.06.</t>
        </is>
      </c>
      <c r="C33" s="132" t="n">
        <v>6252</v>
      </c>
      <c r="D33" s="130" t="n">
        <v>107.2</v>
      </c>
      <c r="E33" s="131" t="n">
        <v>32</v>
      </c>
      <c r="F33" s="130" t="n">
        <v>84.90000000000001</v>
      </c>
      <c r="G33" s="17" t="n">
        <v>26</v>
      </c>
      <c r="H33" s="132" t="n">
        <v>1932</v>
      </c>
      <c r="I33" s="133" t="n">
        <v>42000</v>
      </c>
      <c r="J33" s="133" t="inlineStr">
        <is>
          <t>7</t>
        </is>
      </c>
      <c r="K33" s="133" t="n">
        <v>33000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107A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성원(토월그랜드타운)</t>
        </is>
      </c>
      <c r="B34" s="10" t="inlineStr">
        <is>
          <t>'94.06.</t>
        </is>
      </c>
      <c r="C34" s="132" t="n">
        <v>6252</v>
      </c>
      <c r="D34" s="130" t="n">
        <v>107.2</v>
      </c>
      <c r="E34" s="131" t="n">
        <v>32</v>
      </c>
      <c r="F34" s="130" t="n">
        <v>84.90000000000001</v>
      </c>
      <c r="G34" s="17" t="n">
        <v>26</v>
      </c>
      <c r="H34" s="132" t="n">
        <v>850</v>
      </c>
      <c r="I34" s="133" t="n">
        <v>42000</v>
      </c>
      <c r="J34" s="133" t="inlineStr">
        <is>
          <t>7</t>
        </is>
      </c>
      <c r="K34" s="133" t="n">
        <v>33000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107B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성원(토월그랜드타운)</t>
        </is>
      </c>
      <c r="B35" s="10" t="inlineStr">
        <is>
          <t>'94.06.</t>
        </is>
      </c>
      <c r="C35" s="132" t="n">
        <v>6252</v>
      </c>
      <c r="D35" s="130" t="n">
        <v>132.8</v>
      </c>
      <c r="E35" s="131" t="n">
        <v>40</v>
      </c>
      <c r="F35" s="130" t="n">
        <v>108.5</v>
      </c>
      <c r="G35" s="17" t="n">
        <v>33</v>
      </c>
      <c r="H35" s="132" t="n">
        <v>700</v>
      </c>
      <c r="I35" s="133" t="n">
        <v>51000</v>
      </c>
      <c r="J35" s="133" t="inlineStr">
        <is>
          <t>고</t>
        </is>
      </c>
      <c r="K35" s="133" t="n">
        <v>37000</v>
      </c>
      <c r="L35" s="133" t="inlineStr">
        <is>
          <t>8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성원(토월그랜드타운)</t>
        </is>
      </c>
      <c r="B36" s="10" t="inlineStr">
        <is>
          <t>'94.06.</t>
        </is>
      </c>
      <c r="C36" s="132" t="n">
        <v>6252</v>
      </c>
      <c r="D36" s="130" t="n">
        <v>164.9</v>
      </c>
      <c r="E36" s="131" t="n">
        <v>50</v>
      </c>
      <c r="F36" s="130" t="n">
        <v>136.9</v>
      </c>
      <c r="G36" s="17" t="n">
        <v>41</v>
      </c>
      <c r="H36" s="132" t="n">
        <v>200</v>
      </c>
      <c r="I36" s="133" t="n">
        <v>61000</v>
      </c>
      <c r="J36" s="133" t="inlineStr">
        <is>
          <t>10</t>
        </is>
      </c>
      <c r="K36" s="133" t="n">
        <v>45000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164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성원(토월그랜드타운)</t>
        </is>
      </c>
      <c r="B37" s="10" t="inlineStr">
        <is>
          <t>'94.06.</t>
        </is>
      </c>
      <c r="C37" s="132" t="n">
        <v>6252</v>
      </c>
      <c r="D37" s="130" t="n">
        <v>198.2</v>
      </c>
      <c r="E37" s="131" t="n">
        <v>60</v>
      </c>
      <c r="F37" s="130" t="n">
        <v>167.6</v>
      </c>
      <c r="G37" s="17" t="n">
        <v>51</v>
      </c>
      <c r="H37" s="132" t="n">
        <v>150</v>
      </c>
      <c r="I37" s="133" t="n">
        <v>61000</v>
      </c>
      <c r="J37" s="133" t="inlineStr">
        <is>
          <t>17</t>
        </is>
      </c>
      <c r="K37" s="133" t="n">
        <v>48000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6</v>
      </c>
      <c r="R37" s="120" t="n">
        <v>2</v>
      </c>
      <c r="S37" s="120" t="inlineStr">
        <is>
          <t>계</t>
        </is>
      </c>
      <c r="T37" s="5" t="n">
        <v>198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67" dxfId="23">
      <formula>AV4="X"</formula>
    </cfRule>
    <cfRule type="expression" priority="568" dxfId="22">
      <formula>AV4="후보"</formula>
    </cfRule>
  </conditionalFormatting>
  <conditionalFormatting sqref="AC1:AC2 AC4:AC6 N4:N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1:N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">
    <cfRule type="expression" priority="556" dxfId="3">
      <formula>AND(IF(OR($Q6=1,$Q6=2),1,0),IF($X6&lt;=20,1,0))</formula>
    </cfRule>
    <cfRule type="expression" priority="557" dxfId="2">
      <formula>AND(IF($Q6=2,1,0),IF($X6&lt;30,1,0))</formula>
    </cfRule>
    <cfRule type="expression" priority="558" dxfId="1">
      <formula>AND(IF($Q6=3,1,0),IF($X6&lt;30,1,0))</formula>
    </cfRule>
    <cfRule type="expression" priority="559" dxfId="0">
      <formula>AND(IF($Q6=3,1,IF($Q6=4,1,0)),IF($F6&lt;=85,1,0))</formula>
    </cfRule>
  </conditionalFormatting>
  <conditionalFormatting sqref="X6">
    <cfRule type="expression" priority="552" dxfId="3">
      <formula>AND(IF(OR($Q6=1,$Q6=2),1,0),IF($X6&lt;=20,1,0))</formula>
    </cfRule>
    <cfRule type="expression" priority="553" dxfId="2">
      <formula>AND(IF($Q6=2,1,0),IF($X6&lt;30,1,0))</formula>
    </cfRule>
    <cfRule type="expression" priority="554" dxfId="1">
      <formula>AND(IF($Q6=3,1,0),IF($X6&lt;30,1,0))</formula>
    </cfRule>
    <cfRule type="expression" priority="555" dxfId="0">
      <formula>AND(IF($Q6=3,1,IF($Q6=4,1,0)),IF($F6&lt;=85,1,0))</formula>
    </cfRule>
  </conditionalFormatting>
  <conditionalFormatting sqref="AI6">
    <cfRule type="expression" priority="548" dxfId="3">
      <formula>AND(IF(OR($Q6=1,$Q6=2),1,0),IF($X6&lt;=20,1,0))</formula>
    </cfRule>
    <cfRule type="expression" priority="549" dxfId="2">
      <formula>AND(IF($Q6=2,1,0),IF($X6&lt;30,1,0))</formula>
    </cfRule>
    <cfRule type="expression" priority="550" dxfId="1">
      <formula>AND(IF($Q6=3,1,0),IF($X6&lt;30,1,0))</formula>
    </cfRule>
    <cfRule type="expression" priority="551" dxfId="0">
      <formula>AND(IF($Q6=3,1,IF($Q6=4,1,0)),IF($F6&lt;=85,1,0))</formula>
    </cfRule>
  </conditionalFormatting>
  <conditionalFormatting sqref="AV7">
    <cfRule type="expression" priority="546" dxfId="23">
      <formula>AV7="X"</formula>
    </cfRule>
    <cfRule type="expression" priority="547" dxfId="22">
      <formula>AV7="후보"</formula>
    </cfRule>
  </conditionalFormatting>
  <conditionalFormatting sqref="AC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X7">
    <cfRule type="expression" priority="533" dxfId="3">
      <formula>AND(IF(OR($Q7=1,$Q7=2),1,0),IF($X7&lt;=20,1,0))</formula>
    </cfRule>
    <cfRule type="expression" priority="534" dxfId="2">
      <formula>AND(IF($Q7=2,1,0),IF($X7&lt;30,1,0))</formula>
    </cfRule>
    <cfRule type="expression" priority="535" dxfId="1">
      <formula>AND(IF($Q7=3,1,0),IF($X7&lt;30,1,0))</formula>
    </cfRule>
    <cfRule type="expression" priority="536" dxfId="0">
      <formula>AND(IF($Q7=3,1,IF($Q7=4,1,0)),IF($F7&lt;=85,1,0))</formula>
    </cfRule>
  </conditionalFormatting>
  <conditionalFormatting sqref="AI7">
    <cfRule type="expression" priority="529" dxfId="3">
      <formula>AND(IF(OR($Q7=1,$Q7=2),1,0),IF($X7&lt;=20,1,0))</formula>
    </cfRule>
    <cfRule type="expression" priority="530" dxfId="2">
      <formula>AND(IF($Q7=2,1,0),IF($X7&lt;30,1,0))</formula>
    </cfRule>
    <cfRule type="expression" priority="531" dxfId="1">
      <formula>AND(IF($Q7=3,1,0),IF($X7&lt;30,1,0))</formula>
    </cfRule>
    <cfRule type="expression" priority="532" dxfId="0">
      <formula>AND(IF($Q7=3,1,IF($Q7=4,1,0)),IF($F7&lt;=85,1,0))</formula>
    </cfRule>
  </conditionalFormatting>
  <conditionalFormatting sqref="AV8">
    <cfRule type="expression" priority="527" dxfId="23">
      <formula>AV8="X"</formula>
    </cfRule>
    <cfRule type="expression" priority="528" dxfId="22">
      <formula>AV8="후보"</formula>
    </cfRule>
  </conditionalFormatting>
  <conditionalFormatting sqref="AC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">
    <cfRule type="expression" priority="518" dxfId="3">
      <formula>AND(IF(OR($Q8=1,$Q8=2),1,0),IF($X8&lt;=20,1,0))</formula>
    </cfRule>
    <cfRule type="expression" priority="519" dxfId="2">
      <formula>AND(IF($Q8=2,1,0),IF($X8&lt;30,1,0))</formula>
    </cfRule>
    <cfRule type="expression" priority="520" dxfId="1">
      <formula>AND(IF($Q8=3,1,0),IF($X8&lt;30,1,0))</formula>
    </cfRule>
    <cfRule type="expression" priority="521" dxfId="0">
      <formula>AND(IF($Q8=3,1,IF($Q8=4,1,0)),IF($F8&lt;=85,1,0))</formula>
    </cfRule>
  </conditionalFormatting>
  <conditionalFormatting sqref="X8">
    <cfRule type="expression" priority="514" dxfId="3">
      <formula>AND(IF(OR($Q8=1,$Q8=2),1,0),IF($X8&lt;=20,1,0))</formula>
    </cfRule>
    <cfRule type="expression" priority="515" dxfId="2">
      <formula>AND(IF($Q8=2,1,0),IF($X8&lt;30,1,0))</formula>
    </cfRule>
    <cfRule type="expression" priority="516" dxfId="1">
      <formula>AND(IF($Q8=3,1,0),IF($X8&lt;30,1,0))</formula>
    </cfRule>
    <cfRule type="expression" priority="517" dxfId="0">
      <formula>AND(IF($Q8=3,1,IF($Q8=4,1,0)),IF($F8&lt;=85,1,0))</formula>
    </cfRule>
  </conditionalFormatting>
  <conditionalFormatting sqref="AI8">
    <cfRule type="expression" priority="510" dxfId="3">
      <formula>AND(IF(OR($Q8=1,$Q8=2),1,0),IF($X8&lt;=20,1,0))</formula>
    </cfRule>
    <cfRule type="expression" priority="511" dxfId="2">
      <formula>AND(IF($Q8=2,1,0),IF($X8&lt;30,1,0))</formula>
    </cfRule>
    <cfRule type="expression" priority="512" dxfId="1">
      <formula>AND(IF($Q8=3,1,0),IF($X8&lt;30,1,0))</formula>
    </cfRule>
    <cfRule type="expression" priority="513" dxfId="0">
      <formula>AND(IF($Q8=3,1,IF($Q8=4,1,0)),IF($F8&lt;=85,1,0))</formula>
    </cfRule>
  </conditionalFormatting>
  <conditionalFormatting sqref="AV9">
    <cfRule type="expression" priority="508" dxfId="23">
      <formula>AV9="X"</formula>
    </cfRule>
    <cfRule type="expression" priority="509" dxfId="22">
      <formula>AV9="후보"</formula>
    </cfRule>
  </conditionalFormatting>
  <conditionalFormatting sqref="AC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23">
      <formula>AV10="X"</formula>
    </cfRule>
    <cfRule type="expression" priority="490" dxfId="22">
      <formula>AV10="후보"</formula>
    </cfRule>
  </conditionalFormatting>
  <conditionalFormatting sqref="AC1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23">
      <formula>AV11="X"</formula>
    </cfRule>
    <cfRule type="expression" priority="471" dxfId="22">
      <formula>AV11="후보"</formula>
    </cfRule>
  </conditionalFormatting>
  <conditionalFormatting sqref="AC1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23">
      <formula>AV12="X"</formula>
    </cfRule>
    <cfRule type="expression" priority="452" dxfId="22">
      <formula>AV12="후보"</formula>
    </cfRule>
  </conditionalFormatting>
  <conditionalFormatting sqref="AC1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23">
      <formula>AV13="X"</formula>
    </cfRule>
    <cfRule type="expression" priority="433" dxfId="22">
      <formula>AV13="후보"</formula>
    </cfRule>
  </conditionalFormatting>
  <conditionalFormatting sqref="AC13 N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4">
    <cfRule type="expression" priority="427" dxfId="23">
      <formula>AV14="X"</formula>
    </cfRule>
    <cfRule type="expression" priority="428" dxfId="22">
      <formula>AV14="후보"</formula>
    </cfRule>
  </conditionalFormatting>
  <conditionalFormatting sqref="AC1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4">
    <cfRule type="expression" priority="418" dxfId="3">
      <formula>AND(IF(OR($Q14=1,$Q14=2),1,0),IF($X14&lt;=20,1,0))</formula>
    </cfRule>
    <cfRule type="expression" priority="419" dxfId="2">
      <formula>AND(IF($Q14=2,1,0),IF($X14&lt;30,1,0))</formula>
    </cfRule>
    <cfRule type="expression" priority="420" dxfId="1">
      <formula>AND(IF($Q14=3,1,0),IF($X14&lt;30,1,0))</formula>
    </cfRule>
    <cfRule type="expression" priority="421" dxfId="0">
      <formula>AND(IF($Q14=3,1,IF($Q14=4,1,0)),IF($F14&lt;=85,1,0))</formula>
    </cfRule>
  </conditionalFormatting>
  <conditionalFormatting sqref="X14">
    <cfRule type="expression" priority="414" dxfId="3">
      <formula>AND(IF(OR($Q14=1,$Q14=2),1,0),IF($X14&lt;=20,1,0))</formula>
    </cfRule>
    <cfRule type="expression" priority="415" dxfId="2">
      <formula>AND(IF($Q14=2,1,0),IF($X14&lt;30,1,0))</formula>
    </cfRule>
    <cfRule type="expression" priority="416" dxfId="1">
      <formula>AND(IF($Q14=3,1,0),IF($X14&lt;30,1,0))</formula>
    </cfRule>
    <cfRule type="expression" priority="417" dxfId="0">
      <formula>AND(IF($Q14=3,1,IF($Q14=4,1,0)),IF($F14&lt;=85,1,0))</formula>
    </cfRule>
  </conditionalFormatting>
  <conditionalFormatting sqref="AI14">
    <cfRule type="expression" priority="410" dxfId="3">
      <formula>AND(IF(OR($Q14=1,$Q14=2),1,0),IF($X14&lt;=20,1,0))</formula>
    </cfRule>
    <cfRule type="expression" priority="411" dxfId="2">
      <formula>AND(IF($Q14=2,1,0),IF($X14&lt;30,1,0))</formula>
    </cfRule>
    <cfRule type="expression" priority="412" dxfId="1">
      <formula>AND(IF($Q14=3,1,0),IF($X14&lt;30,1,0))</formula>
    </cfRule>
    <cfRule type="expression" priority="413" dxfId="0">
      <formula>AND(IF($Q14=3,1,IF($Q14=4,1,0)),IF($F14&lt;=85,1,0))</formula>
    </cfRule>
  </conditionalFormatting>
  <conditionalFormatting sqref="AV15">
    <cfRule type="expression" priority="408" dxfId="23">
      <formula>AV15="X"</formula>
    </cfRule>
    <cfRule type="expression" priority="409" dxfId="22">
      <formula>AV15="후보"</formula>
    </cfRule>
  </conditionalFormatting>
  <conditionalFormatting sqref="AC1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5">
    <cfRule type="expression" priority="399" dxfId="3">
      <formula>AND(IF(OR($Q15=1,$Q15=2),1,0),IF($X15&lt;=20,1,0))</formula>
    </cfRule>
    <cfRule type="expression" priority="400" dxfId="2">
      <formula>AND(IF($Q15=2,1,0),IF($X15&lt;30,1,0))</formula>
    </cfRule>
    <cfRule type="expression" priority="401" dxfId="1">
      <formula>AND(IF($Q15=3,1,0),IF($X15&lt;30,1,0))</formula>
    </cfRule>
    <cfRule type="expression" priority="402" dxfId="0">
      <formula>AND(IF($Q15=3,1,IF($Q15=4,1,0)),IF($F15&lt;=85,1,0))</formula>
    </cfRule>
  </conditionalFormatting>
  <conditionalFormatting sqref="X15">
    <cfRule type="expression" priority="395" dxfId="3">
      <formula>AND(IF(OR($Q15=1,$Q15=2),1,0),IF($X15&lt;=20,1,0))</formula>
    </cfRule>
    <cfRule type="expression" priority="396" dxfId="2">
      <formula>AND(IF($Q15=2,1,0),IF($X15&lt;30,1,0))</formula>
    </cfRule>
    <cfRule type="expression" priority="397" dxfId="1">
      <formula>AND(IF($Q15=3,1,0),IF($X15&lt;30,1,0))</formula>
    </cfRule>
    <cfRule type="expression" priority="398" dxfId="0">
      <formula>AND(IF($Q15=3,1,IF($Q15=4,1,0)),IF($F15&lt;=85,1,0))</formula>
    </cfRule>
  </conditionalFormatting>
  <conditionalFormatting sqref="AI15">
    <cfRule type="expression" priority="391" dxfId="3">
      <formula>AND(IF(OR($Q15=1,$Q15=2),1,0),IF($X15&lt;=20,1,0))</formula>
    </cfRule>
    <cfRule type="expression" priority="392" dxfId="2">
      <formula>AND(IF($Q15=2,1,0),IF($X15&lt;30,1,0))</formula>
    </cfRule>
    <cfRule type="expression" priority="393" dxfId="1">
      <formula>AND(IF($Q15=3,1,0),IF($X15&lt;30,1,0))</formula>
    </cfRule>
    <cfRule type="expression" priority="394" dxfId="0">
      <formula>AND(IF($Q15=3,1,IF($Q15=4,1,0)),IF($F15&lt;=85,1,0))</formula>
    </cfRule>
  </conditionalFormatting>
  <conditionalFormatting sqref="AV16">
    <cfRule type="expression" priority="389" dxfId="23">
      <formula>AV16="X"</formula>
    </cfRule>
    <cfRule type="expression" priority="390" dxfId="22">
      <formula>AV16="후보"</formula>
    </cfRule>
  </conditionalFormatting>
  <conditionalFormatting sqref="AC1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6">
    <cfRule type="expression" priority="380" dxfId="3">
      <formula>AND(IF(OR($Q16=1,$Q16=2),1,0),IF($X16&lt;=20,1,0))</formula>
    </cfRule>
    <cfRule type="expression" priority="381" dxfId="2">
      <formula>AND(IF($Q16=2,1,0),IF($X16&lt;30,1,0))</formula>
    </cfRule>
    <cfRule type="expression" priority="382" dxfId="1">
      <formula>AND(IF($Q16=3,1,0),IF($X16&lt;30,1,0))</formula>
    </cfRule>
    <cfRule type="expression" priority="383" dxfId="0">
      <formula>AND(IF($Q16=3,1,IF($Q16=4,1,0)),IF($F16&lt;=85,1,0))</formula>
    </cfRule>
  </conditionalFormatting>
  <conditionalFormatting sqref="X16">
    <cfRule type="expression" priority="376" dxfId="3">
      <formula>AND(IF(OR($Q16=1,$Q16=2),1,0),IF($X16&lt;=20,1,0))</formula>
    </cfRule>
    <cfRule type="expression" priority="377" dxfId="2">
      <formula>AND(IF($Q16=2,1,0),IF($X16&lt;30,1,0))</formula>
    </cfRule>
    <cfRule type="expression" priority="378" dxfId="1">
      <formula>AND(IF($Q16=3,1,0),IF($X16&lt;30,1,0))</formula>
    </cfRule>
    <cfRule type="expression" priority="379" dxfId="0">
      <formula>AND(IF($Q16=3,1,IF($Q16=4,1,0)),IF($F16&lt;=85,1,0))</formula>
    </cfRule>
  </conditionalFormatting>
  <conditionalFormatting sqref="AI16">
    <cfRule type="expression" priority="372" dxfId="3">
      <formula>AND(IF(OR($Q16=1,$Q16=2),1,0),IF($X16&lt;=20,1,0))</formula>
    </cfRule>
    <cfRule type="expression" priority="373" dxfId="2">
      <formula>AND(IF($Q16=2,1,0),IF($X16&lt;30,1,0))</formula>
    </cfRule>
    <cfRule type="expression" priority="374" dxfId="1">
      <formula>AND(IF($Q16=3,1,0),IF($X16&lt;30,1,0))</formula>
    </cfRule>
    <cfRule type="expression" priority="375" dxfId="0">
      <formula>AND(IF($Q16=3,1,IF($Q16=4,1,0)),IF($F16&lt;=85,1,0))</formula>
    </cfRule>
  </conditionalFormatting>
  <conditionalFormatting sqref="AV17">
    <cfRule type="expression" priority="370" dxfId="23">
      <formula>AV17="X"</formula>
    </cfRule>
    <cfRule type="expression" priority="371" dxfId="22">
      <formula>AV17="후보"</formula>
    </cfRule>
  </conditionalFormatting>
  <conditionalFormatting sqref="AC1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23">
      <formula>AV18="X"</formula>
    </cfRule>
    <cfRule type="expression" priority="352" dxfId="22">
      <formula>AV18="후보"</formula>
    </cfRule>
  </conditionalFormatting>
  <conditionalFormatting sqref="AC1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23">
      <formula>AV19="X"</formula>
    </cfRule>
    <cfRule type="expression" priority="333" dxfId="22">
      <formula>AV19="후보"</formula>
    </cfRule>
  </conditionalFormatting>
  <conditionalFormatting sqref="AC1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23">
      <formula>AV20="X"</formula>
    </cfRule>
    <cfRule type="expression" priority="314" dxfId="22">
      <formula>AV20="후보"</formula>
    </cfRule>
  </conditionalFormatting>
  <conditionalFormatting sqref="AC2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23">
      <formula>AV21="X"</formula>
    </cfRule>
    <cfRule type="expression" priority="295" dxfId="22">
      <formula>AV21="후보"</formula>
    </cfRule>
  </conditionalFormatting>
  <conditionalFormatting sqref="AC2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23">
      <formula>AV22="X"</formula>
    </cfRule>
    <cfRule type="expression" priority="276" dxfId="22">
      <formula>AV22="후보"</formula>
    </cfRule>
  </conditionalFormatting>
  <conditionalFormatting sqref="AC2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 N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5">
    <cfRule type="expression" priority="232" dxfId="23">
      <formula>AV25="X"</formula>
    </cfRule>
    <cfRule type="expression" priority="233" dxfId="22">
      <formula>AV25="후보"</formula>
    </cfRule>
  </conditionalFormatting>
  <conditionalFormatting sqref="AC2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23">
      <formula>AV26="X"</formula>
    </cfRule>
    <cfRule type="expression" priority="214" dxfId="22">
      <formula>AV26="후보"</formula>
    </cfRule>
  </conditionalFormatting>
  <conditionalFormatting sqref="AC2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23">
      <formula>AV27="X"</formula>
    </cfRule>
    <cfRule type="expression" priority="195" dxfId="22">
      <formula>AV27="후보"</formula>
    </cfRule>
  </conditionalFormatting>
  <conditionalFormatting sqref="AC2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23">
      <formula>AV28="X"</formula>
    </cfRule>
    <cfRule type="expression" priority="176" dxfId="22">
      <formula>AV28="후보"</formula>
    </cfRule>
  </conditionalFormatting>
  <conditionalFormatting sqref="AC2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 N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프리빌리지2차</t>
        </is>
      </c>
      <c r="B6" s="10" t="inlineStr">
        <is>
          <t>'10.12.</t>
        </is>
      </c>
      <c r="C6" s="132" t="n">
        <v>672</v>
      </c>
      <c r="D6" s="130" t="n">
        <v>111.3</v>
      </c>
      <c r="E6" s="131" t="n">
        <v>34</v>
      </c>
      <c r="F6" s="130" t="n">
        <v>85</v>
      </c>
      <c r="G6" s="17" t="n">
        <v>26</v>
      </c>
      <c r="H6" s="132" t="n">
        <v>206</v>
      </c>
      <c r="I6" s="133" t="n">
        <v>50000</v>
      </c>
      <c r="J6" s="133" t="inlineStr">
        <is>
          <t>11</t>
        </is>
      </c>
      <c r="K6" s="133" t="n">
        <v>44000</v>
      </c>
      <c r="L6" s="133" t="inlineStr">
        <is>
          <t>17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프리빌리지2차</t>
        </is>
      </c>
      <c r="B7" s="10" t="inlineStr">
        <is>
          <t>'10.12.</t>
        </is>
      </c>
      <c r="C7" s="132" t="n">
        <v>672</v>
      </c>
      <c r="D7" s="130" t="n">
        <v>111.1</v>
      </c>
      <c r="E7" s="131" t="n">
        <v>34</v>
      </c>
      <c r="F7" s="130" t="n">
        <v>85</v>
      </c>
      <c r="G7" s="17" t="n">
        <v>26</v>
      </c>
      <c r="H7" s="132" t="n">
        <v>80</v>
      </c>
      <c r="I7" s="133" t="n">
        <v>50000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프리빌리지2차</t>
        </is>
      </c>
      <c r="B8" s="10" t="inlineStr">
        <is>
          <t>'10.12.</t>
        </is>
      </c>
      <c r="C8" s="132" t="n">
        <v>672</v>
      </c>
      <c r="D8" s="130" t="n">
        <v>132.5</v>
      </c>
      <c r="E8" s="131" t="n">
        <v>40</v>
      </c>
      <c r="F8" s="130" t="n">
        <v>101.9</v>
      </c>
      <c r="G8" s="17" t="n">
        <v>31</v>
      </c>
      <c r="H8" s="132" t="n">
        <v>96</v>
      </c>
      <c r="I8" s="133" t="n">
        <v>56000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132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프리빌리지2차</t>
        </is>
      </c>
      <c r="B9" s="10" t="inlineStr">
        <is>
          <t>'10.12.</t>
        </is>
      </c>
      <c r="C9" s="132" t="n">
        <v>672</v>
      </c>
      <c r="D9" s="130" t="n">
        <v>152.1</v>
      </c>
      <c r="E9" s="131" t="n">
        <v>46</v>
      </c>
      <c r="F9" s="130" t="n">
        <v>125</v>
      </c>
      <c r="G9" s="17" t="n">
        <v>38</v>
      </c>
      <c r="H9" s="132" t="n">
        <v>142</v>
      </c>
      <c r="I9" s="133" t="n">
        <v>60000</v>
      </c>
      <c r="J9" s="133" t="inlineStr">
        <is>
          <t>19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프리빌리지2차</t>
        </is>
      </c>
      <c r="B10" s="10" t="inlineStr">
        <is>
          <t>'10.12.</t>
        </is>
      </c>
      <c r="C10" s="132" t="n">
        <v>672</v>
      </c>
      <c r="D10" s="130" t="n">
        <v>196.2</v>
      </c>
      <c r="E10" s="131" t="n">
        <v>59</v>
      </c>
      <c r="F10" s="130" t="n">
        <v>161.8</v>
      </c>
      <c r="G10" s="17" t="n">
        <v>49</v>
      </c>
      <c r="H10" s="132" t="n">
        <v>148</v>
      </c>
      <c r="I10" s="133" t="n">
        <v>68000</v>
      </c>
      <c r="J10" s="133" t="inlineStr">
        <is>
          <t>중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성주효성해링턴코트</t>
        </is>
      </c>
      <c r="B12" s="10" t="inlineStr">
        <is>
          <t>'13.12.</t>
        </is>
      </c>
      <c r="C12" s="132" t="n">
        <v>365</v>
      </c>
      <c r="D12" s="130" t="n">
        <v>109.1</v>
      </c>
      <c r="E12" s="131" t="n">
        <v>33</v>
      </c>
      <c r="F12" s="130" t="n">
        <v>84.90000000000001</v>
      </c>
      <c r="G12" s="17" t="n">
        <v>26</v>
      </c>
      <c r="H12" s="132" t="n">
        <v>200</v>
      </c>
      <c r="I12" s="133" t="n">
        <v>48000</v>
      </c>
      <c r="J12" s="133" t="inlineStr">
        <is>
          <t>고</t>
        </is>
      </c>
      <c r="K12" s="133" t="n">
        <v>37000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성주효성해링턴코트</t>
        </is>
      </c>
      <c r="B13" s="10" t="inlineStr">
        <is>
          <t>'13.12.</t>
        </is>
      </c>
      <c r="C13" s="132" t="n">
        <v>365</v>
      </c>
      <c r="D13" s="130" t="n">
        <v>109.1</v>
      </c>
      <c r="E13" s="131" t="n">
        <v>33</v>
      </c>
      <c r="F13" s="130" t="n">
        <v>84.90000000000001</v>
      </c>
      <c r="G13" s="17" t="n">
        <v>26</v>
      </c>
      <c r="H13" s="132" t="n">
        <v>36</v>
      </c>
      <c r="I13" s="133" t="n">
        <v>48000</v>
      </c>
      <c r="J13" s="133" t="inlineStr">
        <is>
          <t>고</t>
        </is>
      </c>
      <c r="K13" s="133" t="n">
        <v>37000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109A1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성주효성해링턴코트</t>
        </is>
      </c>
      <c r="B14" s="10" t="inlineStr">
        <is>
          <t>'13.12.</t>
        </is>
      </c>
      <c r="C14" s="132" t="n">
        <v>365</v>
      </c>
      <c r="D14" s="130" t="n">
        <v>109.6</v>
      </c>
      <c r="E14" s="131" t="n">
        <v>33</v>
      </c>
      <c r="F14" s="130" t="n">
        <v>84.3</v>
      </c>
      <c r="G14" s="17" t="n">
        <v>25</v>
      </c>
      <c r="H14" s="132" t="n">
        <v>24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109B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성주효성해링턴코트</t>
        </is>
      </c>
      <c r="B15" s="10" t="inlineStr">
        <is>
          <t>'13.12.</t>
        </is>
      </c>
      <c r="C15" s="132" t="n">
        <v>365</v>
      </c>
      <c r="D15" s="130" t="n">
        <v>109.6</v>
      </c>
      <c r="E15" s="131" t="n">
        <v>33</v>
      </c>
      <c r="F15" s="130" t="n">
        <v>84.3</v>
      </c>
      <c r="G15" s="17" t="n">
        <v>25</v>
      </c>
      <c r="H15" s="132" t="n">
        <v>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109C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성주효성해링턴코트</t>
        </is>
      </c>
      <c r="B16" s="10" t="inlineStr">
        <is>
          <t>'13.12.</t>
        </is>
      </c>
      <c r="C16" s="132" t="n">
        <v>365</v>
      </c>
      <c r="D16" s="130" t="n">
        <v>129.4</v>
      </c>
      <c r="E16" s="131" t="n">
        <v>39</v>
      </c>
      <c r="F16" s="130" t="n">
        <v>100.4</v>
      </c>
      <c r="G16" s="17" t="n">
        <v>30</v>
      </c>
      <c r="H16" s="132" t="n">
        <v>76</v>
      </c>
      <c r="I16" s="133" t="n">
        <v>55000</v>
      </c>
      <c r="J16" s="133" t="inlineStr">
        <is>
          <t>고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129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성주효성해링턴코트</t>
        </is>
      </c>
      <c r="B17" s="10" t="inlineStr">
        <is>
          <t>'13.12.</t>
        </is>
      </c>
      <c r="C17" s="132" t="n">
        <v>365</v>
      </c>
      <c r="D17" s="130" t="n">
        <v>151.5</v>
      </c>
      <c r="E17" s="131" t="n">
        <v>46</v>
      </c>
      <c r="F17" s="130" t="n">
        <v>118.4</v>
      </c>
      <c r="G17" s="17" t="n">
        <v>36</v>
      </c>
      <c r="H17" s="132" t="n">
        <v>17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유니온빌리지</t>
        </is>
      </c>
      <c r="B19" s="10" t="inlineStr">
        <is>
          <t>'05.10.</t>
        </is>
      </c>
      <c r="C19" s="132" t="n">
        <v>1360</v>
      </c>
      <c r="D19" s="130" t="n">
        <v>107.9</v>
      </c>
      <c r="E19" s="131" t="n">
        <v>33</v>
      </c>
      <c r="F19" s="130" t="n">
        <v>84.90000000000001</v>
      </c>
      <c r="G19" s="17" t="n">
        <v>26</v>
      </c>
      <c r="H19" s="132" t="n">
        <v>683</v>
      </c>
      <c r="I19" s="133" t="n">
        <v>42000</v>
      </c>
      <c r="J19" s="133" t="inlineStr">
        <is>
          <t>10</t>
        </is>
      </c>
      <c r="K19" s="133" t="n">
        <v>35000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107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유니온빌리지</t>
        </is>
      </c>
      <c r="B20" s="10" t="inlineStr">
        <is>
          <t>'05.10.</t>
        </is>
      </c>
      <c r="C20" s="132" t="n">
        <v>1360</v>
      </c>
      <c r="D20" s="130" t="n">
        <v>133.4</v>
      </c>
      <c r="E20" s="131" t="n">
        <v>40</v>
      </c>
      <c r="F20" s="130" t="n">
        <v>102</v>
      </c>
      <c r="G20" s="17" t="n">
        <v>31</v>
      </c>
      <c r="H20" s="132" t="n">
        <v>327</v>
      </c>
      <c r="I20" s="133" t="n">
        <v>50800</v>
      </c>
      <c r="J20" s="133" t="inlineStr">
        <is>
          <t>중</t>
        </is>
      </c>
      <c r="K20" s="133" t="n">
        <v>45000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133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유니온빌리지</t>
        </is>
      </c>
      <c r="B21" s="10" t="inlineStr">
        <is>
          <t>'05.10.</t>
        </is>
      </c>
      <c r="C21" s="132" t="n">
        <v>1360</v>
      </c>
      <c r="D21" s="130" t="n">
        <v>163.7</v>
      </c>
      <c r="E21" s="131" t="n">
        <v>50</v>
      </c>
      <c r="F21" s="130" t="n">
        <v>130.9</v>
      </c>
      <c r="G21" s="17" t="n">
        <v>40</v>
      </c>
      <c r="H21" s="132" t="n">
        <v>118</v>
      </c>
      <c r="I21" s="133" t="n">
        <v>59000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유니온빌리지</t>
        </is>
      </c>
      <c r="B22" s="10" t="inlineStr">
        <is>
          <t>'05.10.</t>
        </is>
      </c>
      <c r="C22" s="132" t="n">
        <v>1360</v>
      </c>
      <c r="D22" s="130" t="n">
        <v>184.4</v>
      </c>
      <c r="E22" s="131" t="n">
        <v>56</v>
      </c>
      <c r="F22" s="130" t="n">
        <v>148</v>
      </c>
      <c r="G22" s="17" t="n">
        <v>45</v>
      </c>
      <c r="H22" s="132" t="n">
        <v>152</v>
      </c>
      <c r="I22" s="133" t="n">
        <v>63000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유니온빌리지</t>
        </is>
      </c>
      <c r="B23" s="10" t="inlineStr">
        <is>
          <t>'05.10.</t>
        </is>
      </c>
      <c r="C23" s="132" t="n">
        <v>1360</v>
      </c>
      <c r="D23" s="130" t="n">
        <v>221.1</v>
      </c>
      <c r="E23" s="131" t="n">
        <v>67</v>
      </c>
      <c r="F23" s="130" t="n">
        <v>181.5</v>
      </c>
      <c r="G23" s="17" t="n">
        <v>55</v>
      </c>
      <c r="H23" s="132" t="n">
        <v>80</v>
      </c>
      <c r="I23" s="133" t="n">
        <v>87000</v>
      </c>
      <c r="J23" s="133" t="inlineStr">
        <is>
          <t>12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221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한림푸르지오</t>
        </is>
      </c>
      <c r="B25" s="10" t="inlineStr">
        <is>
          <t>'03.12.</t>
        </is>
      </c>
      <c r="C25" s="132" t="n">
        <v>520</v>
      </c>
      <c r="D25" s="130" t="n">
        <v>110.4</v>
      </c>
      <c r="E25" s="131" t="n">
        <v>33</v>
      </c>
      <c r="F25" s="130" t="n">
        <v>84.90000000000001</v>
      </c>
      <c r="G25" s="17" t="n">
        <v>26</v>
      </c>
      <c r="H25" s="132" t="n">
        <v>280</v>
      </c>
      <c r="I25" s="133" t="n">
        <v>52000</v>
      </c>
      <c r="J25" s="133" t="inlineStr">
        <is>
          <t>중</t>
        </is>
      </c>
      <c r="K25" s="133" t="n">
        <v>50000</v>
      </c>
      <c r="L25" s="133" t="inlineStr">
        <is>
          <t>18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110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한림푸르지오</t>
        </is>
      </c>
      <c r="B26" s="10" t="inlineStr">
        <is>
          <t>'03.12.</t>
        </is>
      </c>
      <c r="C26" s="132" t="n">
        <v>520</v>
      </c>
      <c r="D26" s="130" t="n">
        <v>126</v>
      </c>
      <c r="E26" s="131" t="n">
        <v>38</v>
      </c>
      <c r="F26" s="130" t="n">
        <v>101.9</v>
      </c>
      <c r="G26" s="17" t="n">
        <v>31</v>
      </c>
      <c r="H26" s="132" t="n">
        <v>120</v>
      </c>
      <c r="I26" s="133" t="n">
        <v>61000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126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한림푸르지오</t>
        </is>
      </c>
      <c r="B27" s="10" t="inlineStr">
        <is>
          <t>'03.12.</t>
        </is>
      </c>
      <c r="C27" s="132" t="n">
        <v>520</v>
      </c>
      <c r="D27" s="130" t="n">
        <v>169.7</v>
      </c>
      <c r="E27" s="131" t="n">
        <v>51</v>
      </c>
      <c r="F27" s="130" t="n">
        <v>140.7</v>
      </c>
      <c r="G27" s="17" t="n">
        <v>43</v>
      </c>
      <c r="H27" s="132" t="n">
        <v>80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한림푸르지오</t>
        </is>
      </c>
      <c r="B28" s="10" t="inlineStr">
        <is>
          <t>'03.12.</t>
        </is>
      </c>
      <c r="C28" s="132" t="n">
        <v>520</v>
      </c>
      <c r="D28" s="130" t="n">
        <v>216.5</v>
      </c>
      <c r="E28" s="131" t="n">
        <v>66</v>
      </c>
      <c r="F28" s="130" t="n">
        <v>186.1</v>
      </c>
      <c r="G28" s="17" t="n">
        <v>56</v>
      </c>
      <c r="H28" s="132" t="n">
        <v>40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216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프리빌리지</t>
        </is>
      </c>
      <c r="B30" s="10" t="inlineStr">
        <is>
          <t>'03.10.</t>
        </is>
      </c>
      <c r="C30" s="132" t="n">
        <v>1062</v>
      </c>
      <c r="D30" s="130" t="n">
        <v>110.2</v>
      </c>
      <c r="E30" s="131" t="n">
        <v>33</v>
      </c>
      <c r="F30" s="130" t="n">
        <v>84.90000000000001</v>
      </c>
      <c r="G30" s="17" t="n">
        <v>26</v>
      </c>
      <c r="H30" s="132" t="n">
        <v>554</v>
      </c>
      <c r="I30" s="133" t="n">
        <v>51000</v>
      </c>
      <c r="J30" s="133" t="inlineStr">
        <is>
          <t>5</t>
        </is>
      </c>
      <c r="K30" s="133" t="n">
        <v>45000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110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프리빌리지</t>
        </is>
      </c>
      <c r="B31" s="10" t="inlineStr">
        <is>
          <t>'03.10.</t>
        </is>
      </c>
      <c r="C31" s="132" t="n">
        <v>1062</v>
      </c>
      <c r="D31" s="130" t="n">
        <v>128.8</v>
      </c>
      <c r="E31" s="131" t="n">
        <v>39</v>
      </c>
      <c r="F31" s="130" t="n">
        <v>102</v>
      </c>
      <c r="G31" s="17" t="n">
        <v>31</v>
      </c>
      <c r="H31" s="132" t="n">
        <v>240</v>
      </c>
      <c r="I31" s="133" t="n">
        <v>53000</v>
      </c>
      <c r="J31" s="133" t="inlineStr">
        <is>
          <t>14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128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프리빌리지</t>
        </is>
      </c>
      <c r="B32" s="10" t="inlineStr">
        <is>
          <t>'03.10.</t>
        </is>
      </c>
      <c r="C32" s="132" t="n">
        <v>1062</v>
      </c>
      <c r="D32" s="130" t="n">
        <v>150.5</v>
      </c>
      <c r="E32" s="131" t="n">
        <v>46</v>
      </c>
      <c r="F32" s="130" t="n">
        <v>124.9</v>
      </c>
      <c r="G32" s="17" t="n">
        <v>38</v>
      </c>
      <c r="H32" s="132" t="n">
        <v>40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150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프리빌리지</t>
        </is>
      </c>
      <c r="B33" s="10" t="inlineStr">
        <is>
          <t>'03.10.</t>
        </is>
      </c>
      <c r="C33" s="132" t="n">
        <v>1062</v>
      </c>
      <c r="D33" s="130" t="n">
        <v>165.8</v>
      </c>
      <c r="E33" s="131" t="n">
        <v>50</v>
      </c>
      <c r="F33" s="130" t="n">
        <v>134.9</v>
      </c>
      <c r="G33" s="17" t="n">
        <v>41</v>
      </c>
      <c r="H33" s="132" t="n">
        <v>188</v>
      </c>
      <c r="I33" s="133" t="n">
        <v>63000</v>
      </c>
      <c r="J33" s="133" t="inlineStr">
        <is>
          <t>9</t>
        </is>
      </c>
      <c r="K33" s="133" t="n">
        <v>48000</v>
      </c>
      <c r="L33" s="133" t="inlineStr">
        <is>
          <t>18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프리빌리지</t>
        </is>
      </c>
      <c r="B34" s="10" t="inlineStr">
        <is>
          <t>'03.10.</t>
        </is>
      </c>
      <c r="C34" s="132" t="n">
        <v>1062</v>
      </c>
      <c r="D34" s="130" t="n">
        <v>195.3</v>
      </c>
      <c r="E34" s="131" t="n">
        <v>59</v>
      </c>
      <c r="F34" s="130" t="n">
        <v>160.3</v>
      </c>
      <c r="G34" s="17" t="n">
        <v>48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195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96" dxfId="23">
      <formula>AV4="X"</formula>
    </cfRule>
    <cfRule type="expression" priority="497" dxfId="22">
      <formula>AV4="후보"</formula>
    </cfRule>
  </conditionalFormatting>
  <conditionalFormatting sqref="AC1:AC2 AC4:AC6 N4:N5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N1:N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X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I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V7">
    <cfRule type="expression" priority="475" dxfId="23">
      <formula>AV7="X"</formula>
    </cfRule>
    <cfRule type="expression" priority="476" dxfId="22">
      <formula>AV7="후보"</formula>
    </cfRule>
  </conditionalFormatting>
  <conditionalFormatting sqref="AC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X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I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V8">
    <cfRule type="expression" priority="456" dxfId="23">
      <formula>AV8="X"</formula>
    </cfRule>
    <cfRule type="expression" priority="457" dxfId="22">
      <formula>AV8="후보"</formula>
    </cfRule>
  </conditionalFormatting>
  <conditionalFormatting sqref="AC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X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I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V9">
    <cfRule type="expression" priority="437" dxfId="23">
      <formula>AV9="X"</formula>
    </cfRule>
    <cfRule type="expression" priority="438" dxfId="22">
      <formula>AV9="후보"</formula>
    </cfRule>
  </conditionalFormatting>
  <conditionalFormatting sqref="AC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X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I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V10">
    <cfRule type="expression" priority="418" dxfId="23">
      <formula>AV10="X"</formula>
    </cfRule>
    <cfRule type="expression" priority="419" dxfId="22">
      <formula>AV10="후보"</formula>
    </cfRule>
  </conditionalFormatting>
  <conditionalFormatting sqref="AC1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X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I10">
    <cfRule type="expression" priority="401" dxfId="3">
      <formula>AND(IF(OR($Q10=1,$Q10=2),1,0),IF($X10&lt;=20,1,0))</formula>
    </cfRule>
    <cfRule type="expression" priority="402" dxfId="2">
      <formula>AND(IF($Q10=2,1,0),IF($X10&lt;30,1,0))</formula>
    </cfRule>
    <cfRule type="expression" priority="403" dxfId="1">
      <formula>AND(IF($Q10=3,1,0),IF($X10&lt;30,1,0))</formula>
    </cfRule>
    <cfRule type="expression" priority="404" dxfId="0">
      <formula>AND(IF($Q10=3,1,IF($Q10=4,1,0)),IF($F10&lt;=85,1,0))</formula>
    </cfRule>
  </conditionalFormatting>
  <conditionalFormatting sqref="AV11">
    <cfRule type="expression" priority="399" dxfId="23">
      <formula>AV11="X"</formula>
    </cfRule>
    <cfRule type="expression" priority="400" dxfId="22">
      <formula>AV11="후보"</formula>
    </cfRule>
  </conditionalFormatting>
  <conditionalFormatting sqref="AC11 N1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2">
    <cfRule type="expression" priority="394" dxfId="23">
      <formula>AV12="X"</formula>
    </cfRule>
    <cfRule type="expression" priority="395" dxfId="22">
      <formula>AV12="후보"</formula>
    </cfRule>
  </conditionalFormatting>
  <conditionalFormatting sqref="AC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23">
      <formula>AV13="X"</formula>
    </cfRule>
    <cfRule type="expression" priority="376" dxfId="22">
      <formula>AV13="후보"</formula>
    </cfRule>
  </conditionalFormatting>
  <conditionalFormatting sqref="AC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23">
      <formula>AV14="X"</formula>
    </cfRule>
    <cfRule type="expression" priority="357" dxfId="22">
      <formula>AV14="후보"</formula>
    </cfRule>
  </conditionalFormatting>
  <conditionalFormatting sqref="AC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23">
      <formula>AV15="X"</formula>
    </cfRule>
    <cfRule type="expression" priority="338" dxfId="22">
      <formula>AV15="후보"</formula>
    </cfRule>
  </conditionalFormatting>
  <conditionalFormatting sqref="AC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X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I15">
    <cfRule type="expression" priority="320" dxfId="3">
      <formula>AND(IF(OR($Q15=1,$Q15=2),1,0),IF($X15&lt;=20,1,0))</formula>
    </cfRule>
    <cfRule type="expression" priority="321" dxfId="2">
      <formula>AND(IF($Q15=2,1,0),IF($X15&lt;30,1,0))</formula>
    </cfRule>
    <cfRule type="expression" priority="322" dxfId="1">
      <formula>AND(IF($Q15=3,1,0),IF($X15&lt;30,1,0))</formula>
    </cfRule>
    <cfRule type="expression" priority="323" dxfId="0">
      <formula>AND(IF($Q15=3,1,IF($Q15=4,1,0)),IF($F15&lt;=85,1,0))</formula>
    </cfRule>
  </conditionalFormatting>
  <conditionalFormatting sqref="AV16">
    <cfRule type="expression" priority="318" dxfId="23">
      <formula>AV16="X"</formula>
    </cfRule>
    <cfRule type="expression" priority="319" dxfId="22">
      <formula>AV16="후보"</formula>
    </cfRule>
  </conditionalFormatting>
  <conditionalFormatting sqref="AC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X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I16">
    <cfRule type="expression" priority="301" dxfId="3">
      <formula>AND(IF(OR($Q16=1,$Q16=2),1,0),IF($X16&lt;=20,1,0))</formula>
    </cfRule>
    <cfRule type="expression" priority="302" dxfId="2">
      <formula>AND(IF($Q16=2,1,0),IF($X16&lt;30,1,0))</formula>
    </cfRule>
    <cfRule type="expression" priority="303" dxfId="1">
      <formula>AND(IF($Q16=3,1,0),IF($X16&lt;30,1,0))</formula>
    </cfRule>
    <cfRule type="expression" priority="304" dxfId="0">
      <formula>AND(IF($Q16=3,1,IF($Q16=4,1,0)),IF($F16&lt;=85,1,0))</formula>
    </cfRule>
  </conditionalFormatting>
  <conditionalFormatting sqref="AV17">
    <cfRule type="expression" priority="299" dxfId="23">
      <formula>AV17="X"</formula>
    </cfRule>
    <cfRule type="expression" priority="300" dxfId="22">
      <formula>AV17="후보"</formula>
    </cfRule>
  </conditionalFormatting>
  <conditionalFormatting sqref="AC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X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I17">
    <cfRule type="expression" priority="282" dxfId="3">
      <formula>AND(IF(OR($Q17=1,$Q17=2),1,0),IF($X17&lt;=20,1,0))</formula>
    </cfRule>
    <cfRule type="expression" priority="283" dxfId="2">
      <formula>AND(IF($Q17=2,1,0),IF($X17&lt;30,1,0))</formula>
    </cfRule>
    <cfRule type="expression" priority="284" dxfId="1">
      <formula>AND(IF($Q17=3,1,0),IF($X17&lt;30,1,0))</formula>
    </cfRule>
    <cfRule type="expression" priority="285" dxfId="0">
      <formula>AND(IF($Q17=3,1,IF($Q17=4,1,0)),IF($F17&lt;=85,1,0))</formula>
    </cfRule>
  </conditionalFormatting>
  <conditionalFormatting sqref="AV18">
    <cfRule type="expression" priority="280" dxfId="23">
      <formula>AV18="X"</formula>
    </cfRule>
    <cfRule type="expression" priority="281" dxfId="22">
      <formula>AV18="후보"</formula>
    </cfRule>
  </conditionalFormatting>
  <conditionalFormatting sqref="AC18 N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19">
    <cfRule type="expression" priority="275" dxfId="23">
      <formula>AV19="X"</formula>
    </cfRule>
    <cfRule type="expression" priority="276" dxfId="22">
      <formula>AV19="후보"</formula>
    </cfRule>
  </conditionalFormatting>
  <conditionalFormatting sqref="AC1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23">
      <formula>AV20="X"</formula>
    </cfRule>
    <cfRule type="expression" priority="257" dxfId="22">
      <formula>AV20="후보"</formula>
    </cfRule>
  </conditionalFormatting>
  <conditionalFormatting sqref="AC2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0">
    <cfRule type="expression" priority="247" dxfId="3">
      <formula>AND(IF(OR($Q20=1,$Q20=2),1,0),IF($X20&lt;=20,1,0))</formula>
    </cfRule>
    <cfRule type="expression" priority="248" dxfId="2">
      <formula>AND(IF($Q20=2,1,0),IF($X20&lt;30,1,0))</formula>
    </cfRule>
    <cfRule type="expression" priority="249" dxfId="1">
      <formula>AND(IF($Q20=3,1,0),IF($X20&lt;30,1,0))</formula>
    </cfRule>
    <cfRule type="expression" priority="250" dxfId="0">
      <formula>AND(IF($Q20=3,1,IF($Q20=4,1,0)),IF($F20&lt;=85,1,0))</formula>
    </cfRule>
  </conditionalFormatting>
  <conditionalFormatting sqref="X20">
    <cfRule type="expression" priority="243" dxfId="3">
      <formula>AND(IF(OR($Q20=1,$Q20=2),1,0),IF($X20&lt;=20,1,0))</formula>
    </cfRule>
    <cfRule type="expression" priority="244" dxfId="2">
      <formula>AND(IF($Q20=2,1,0),IF($X20&lt;30,1,0))</formula>
    </cfRule>
    <cfRule type="expression" priority="245" dxfId="1">
      <formula>AND(IF($Q20=3,1,0),IF($X20&lt;30,1,0))</formula>
    </cfRule>
    <cfRule type="expression" priority="246" dxfId="0">
      <formula>AND(IF($Q20=3,1,IF($Q20=4,1,0)),IF($F20&lt;=85,1,0))</formula>
    </cfRule>
  </conditionalFormatting>
  <conditionalFormatting sqref="AI20">
    <cfRule type="expression" priority="239" dxfId="3">
      <formula>AND(IF(OR($Q20=1,$Q20=2),1,0),IF($X20&lt;=20,1,0))</formula>
    </cfRule>
    <cfRule type="expression" priority="240" dxfId="2">
      <formula>AND(IF($Q20=2,1,0),IF($X20&lt;30,1,0))</formula>
    </cfRule>
    <cfRule type="expression" priority="241" dxfId="1">
      <formula>AND(IF($Q20=3,1,0),IF($X20&lt;30,1,0))</formula>
    </cfRule>
    <cfRule type="expression" priority="242" dxfId="0">
      <formula>AND(IF($Q20=3,1,IF($Q20=4,1,0)),IF($F20&lt;=85,1,0))</formula>
    </cfRule>
  </conditionalFormatting>
  <conditionalFormatting sqref="AV21">
    <cfRule type="expression" priority="237" dxfId="23">
      <formula>AV21="X"</formula>
    </cfRule>
    <cfRule type="expression" priority="238" dxfId="22">
      <formula>AV21="후보"</formula>
    </cfRule>
  </conditionalFormatting>
  <conditionalFormatting sqref="AC2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1">
    <cfRule type="expression" priority="228" dxfId="3">
      <formula>AND(IF(OR($Q21=1,$Q21=2),1,0),IF($X21&lt;=20,1,0))</formula>
    </cfRule>
    <cfRule type="expression" priority="229" dxfId="2">
      <formula>AND(IF($Q21=2,1,0),IF($X21&lt;30,1,0))</formula>
    </cfRule>
    <cfRule type="expression" priority="230" dxfId="1">
      <formula>AND(IF($Q21=3,1,0),IF($X21&lt;30,1,0))</formula>
    </cfRule>
    <cfRule type="expression" priority="231" dxfId="0">
      <formula>AND(IF($Q21=3,1,IF($Q21=4,1,0)),IF($F21&lt;=85,1,0))</formula>
    </cfRule>
  </conditionalFormatting>
  <conditionalFormatting sqref="X21">
    <cfRule type="expression" priority="224" dxfId="3">
      <formula>AND(IF(OR($Q21=1,$Q21=2),1,0),IF($X21&lt;=20,1,0))</formula>
    </cfRule>
    <cfRule type="expression" priority="225" dxfId="2">
      <formula>AND(IF($Q21=2,1,0),IF($X21&lt;30,1,0))</formula>
    </cfRule>
    <cfRule type="expression" priority="226" dxfId="1">
      <formula>AND(IF($Q21=3,1,0),IF($X21&lt;30,1,0))</formula>
    </cfRule>
    <cfRule type="expression" priority="227" dxfId="0">
      <formula>AND(IF($Q21=3,1,IF($Q21=4,1,0)),IF($F21&lt;=85,1,0))</formula>
    </cfRule>
  </conditionalFormatting>
  <conditionalFormatting sqref="AI21">
    <cfRule type="expression" priority="220" dxfId="3">
      <formula>AND(IF(OR($Q21=1,$Q21=2),1,0),IF($X21&lt;=20,1,0))</formula>
    </cfRule>
    <cfRule type="expression" priority="221" dxfId="2">
      <formula>AND(IF($Q21=2,1,0),IF($X21&lt;30,1,0))</formula>
    </cfRule>
    <cfRule type="expression" priority="222" dxfId="1">
      <formula>AND(IF($Q21=3,1,0),IF($X21&lt;30,1,0))</formula>
    </cfRule>
    <cfRule type="expression" priority="223" dxfId="0">
      <formula>AND(IF($Q21=3,1,IF($Q21=4,1,0)),IF($F21&lt;=85,1,0))</formula>
    </cfRule>
  </conditionalFormatting>
  <conditionalFormatting sqref="AV22">
    <cfRule type="expression" priority="218" dxfId="23">
      <formula>AV22="X"</formula>
    </cfRule>
    <cfRule type="expression" priority="219" dxfId="22">
      <formula>AV22="후보"</formula>
    </cfRule>
  </conditionalFormatting>
  <conditionalFormatting sqref="AC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2">
    <cfRule type="expression" priority="209" dxfId="3">
      <formula>AND(IF(OR($Q22=1,$Q22=2),1,0),IF($X22&lt;=20,1,0))</formula>
    </cfRule>
    <cfRule type="expression" priority="210" dxfId="2">
      <formula>AND(IF($Q22=2,1,0),IF($X22&lt;30,1,0))</formula>
    </cfRule>
    <cfRule type="expression" priority="211" dxfId="1">
      <formula>AND(IF($Q22=3,1,0),IF($X22&lt;30,1,0))</formula>
    </cfRule>
    <cfRule type="expression" priority="212" dxfId="0">
      <formula>AND(IF($Q22=3,1,IF($Q22=4,1,0)),IF($F22&lt;=85,1,0))</formula>
    </cfRule>
  </conditionalFormatting>
  <conditionalFormatting sqref="X22">
    <cfRule type="expression" priority="205" dxfId="3">
      <formula>AND(IF(OR($Q22=1,$Q22=2),1,0),IF($X22&lt;=20,1,0))</formula>
    </cfRule>
    <cfRule type="expression" priority="206" dxfId="2">
      <formula>AND(IF($Q22=2,1,0),IF($X22&lt;30,1,0))</formula>
    </cfRule>
    <cfRule type="expression" priority="207" dxfId="1">
      <formula>AND(IF($Q22=3,1,0),IF($X22&lt;30,1,0))</formula>
    </cfRule>
    <cfRule type="expression" priority="208" dxfId="0">
      <formula>AND(IF($Q22=3,1,IF($Q22=4,1,0)),IF($F22&lt;=85,1,0))</formula>
    </cfRule>
  </conditionalFormatting>
  <conditionalFormatting sqref="AI22">
    <cfRule type="expression" priority="201" dxfId="3">
      <formula>AND(IF(OR($Q22=1,$Q22=2),1,0),IF($X22&lt;=20,1,0))</formula>
    </cfRule>
    <cfRule type="expression" priority="202" dxfId="2">
      <formula>AND(IF($Q22=2,1,0),IF($X22&lt;30,1,0))</formula>
    </cfRule>
    <cfRule type="expression" priority="203" dxfId="1">
      <formula>AND(IF($Q22=3,1,0),IF($X22&lt;30,1,0))</formula>
    </cfRule>
    <cfRule type="expression" priority="204" dxfId="0">
      <formula>AND(IF($Q22=3,1,IF($Q22=4,1,0)),IF($F22&lt;=85,1,0))</formula>
    </cfRule>
  </conditionalFormatting>
  <conditionalFormatting sqref="AV23">
    <cfRule type="expression" priority="199" dxfId="23">
      <formula>AV23="X"</formula>
    </cfRule>
    <cfRule type="expression" priority="200" dxfId="22">
      <formula>AV23="후보"</formula>
    </cfRule>
  </conditionalFormatting>
  <conditionalFormatting sqref="AC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">
    <cfRule type="expression" priority="190" dxfId="3">
      <formula>AND(IF(OR($Q23=1,$Q23=2),1,0),IF($X23&lt;=20,1,0))</formula>
    </cfRule>
    <cfRule type="expression" priority="191" dxfId="2">
      <formula>AND(IF($Q23=2,1,0),IF($X23&lt;30,1,0))</formula>
    </cfRule>
    <cfRule type="expression" priority="192" dxfId="1">
      <formula>AND(IF($Q23=3,1,0),IF($X23&lt;30,1,0))</formula>
    </cfRule>
    <cfRule type="expression" priority="193" dxfId="0">
      <formula>AND(IF($Q23=3,1,IF($Q23=4,1,0)),IF($F23&lt;=85,1,0))</formula>
    </cfRule>
  </conditionalFormatting>
  <conditionalFormatting sqref="X23">
    <cfRule type="expression" priority="186" dxfId="3">
      <formula>AND(IF(OR($Q23=1,$Q23=2),1,0),IF($X23&lt;=20,1,0))</formula>
    </cfRule>
    <cfRule type="expression" priority="187" dxfId="2">
      <formula>AND(IF($Q23=2,1,0),IF($X23&lt;30,1,0))</formula>
    </cfRule>
    <cfRule type="expression" priority="188" dxfId="1">
      <formula>AND(IF($Q23=3,1,0),IF($X23&lt;30,1,0))</formula>
    </cfRule>
    <cfRule type="expression" priority="189" dxfId="0">
      <formula>AND(IF($Q23=3,1,IF($Q23=4,1,0)),IF($F23&lt;=85,1,0))</formula>
    </cfRule>
  </conditionalFormatting>
  <conditionalFormatting sqref="AI23">
    <cfRule type="expression" priority="182" dxfId="3">
      <formula>AND(IF(OR($Q23=1,$Q23=2),1,0),IF($X23&lt;=20,1,0))</formula>
    </cfRule>
    <cfRule type="expression" priority="183" dxfId="2">
      <formula>AND(IF($Q23=2,1,0),IF($X23&lt;30,1,0))</formula>
    </cfRule>
    <cfRule type="expression" priority="184" dxfId="1">
      <formula>AND(IF($Q23=3,1,0),IF($X23&lt;30,1,0))</formula>
    </cfRule>
    <cfRule type="expression" priority="185" dxfId="0">
      <formula>AND(IF($Q23=3,1,IF($Q23=4,1,0)),IF($F23&lt;=85,1,0))</formula>
    </cfRule>
  </conditionalFormatting>
  <conditionalFormatting sqref="AV24">
    <cfRule type="expression" priority="180" dxfId="23">
      <formula>AV24="X"</formula>
    </cfRule>
    <cfRule type="expression" priority="181" dxfId="22">
      <formula>AV24="후보"</formula>
    </cfRule>
  </conditionalFormatting>
  <conditionalFormatting sqref="AC24 N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5">
    <cfRule type="expression" priority="175" dxfId="23">
      <formula>AV25="X"</formula>
    </cfRule>
    <cfRule type="expression" priority="176" dxfId="22">
      <formula>AV25="후보"</formula>
    </cfRule>
  </conditionalFormatting>
  <conditionalFormatting sqref="AC2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23">
      <formula>AV26="X"</formula>
    </cfRule>
    <cfRule type="expression" priority="157" dxfId="22">
      <formula>AV26="후보"</formula>
    </cfRule>
  </conditionalFormatting>
  <conditionalFormatting sqref="AC2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23">
      <formula>AV27="X"</formula>
    </cfRule>
    <cfRule type="expression" priority="138" dxfId="22">
      <formula>AV27="후보"</formula>
    </cfRule>
  </conditionalFormatting>
  <conditionalFormatting sqref="AC2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7">
    <cfRule type="expression" priority="128" dxfId="3">
      <formula>AND(IF(OR($Q27=1,$Q27=2),1,0),IF($X27&lt;=20,1,0))</formula>
    </cfRule>
    <cfRule type="expression" priority="129" dxfId="2">
      <formula>AND(IF($Q27=2,1,0),IF($X27&lt;30,1,0))</formula>
    </cfRule>
    <cfRule type="expression" priority="130" dxfId="1">
      <formula>AND(IF($Q27=3,1,0),IF($X27&lt;30,1,0))</formula>
    </cfRule>
    <cfRule type="expression" priority="131" dxfId="0">
      <formula>AND(IF($Q27=3,1,IF($Q27=4,1,0)),IF($F27&lt;=85,1,0))</formula>
    </cfRule>
  </conditionalFormatting>
  <conditionalFormatting sqref="X27">
    <cfRule type="expression" priority="124" dxfId="3">
      <formula>AND(IF(OR($Q27=1,$Q27=2),1,0),IF($X27&lt;=20,1,0))</formula>
    </cfRule>
    <cfRule type="expression" priority="125" dxfId="2">
      <formula>AND(IF($Q27=2,1,0),IF($X27&lt;30,1,0))</formula>
    </cfRule>
    <cfRule type="expression" priority="126" dxfId="1">
      <formula>AND(IF($Q27=3,1,0),IF($X27&lt;30,1,0))</formula>
    </cfRule>
    <cfRule type="expression" priority="127" dxfId="0">
      <formula>AND(IF($Q27=3,1,IF($Q27=4,1,0)),IF($F27&lt;=85,1,0))</formula>
    </cfRule>
  </conditionalFormatting>
  <conditionalFormatting sqref="AI27">
    <cfRule type="expression" priority="120" dxfId="3">
      <formula>AND(IF(OR($Q27=1,$Q27=2),1,0),IF($X27&lt;=20,1,0))</formula>
    </cfRule>
    <cfRule type="expression" priority="121" dxfId="2">
      <formula>AND(IF($Q27=2,1,0),IF($X27&lt;30,1,0))</formula>
    </cfRule>
    <cfRule type="expression" priority="122" dxfId="1">
      <formula>AND(IF($Q27=3,1,0),IF($X27&lt;30,1,0))</formula>
    </cfRule>
    <cfRule type="expression" priority="123" dxfId="0">
      <formula>AND(IF($Q27=3,1,IF($Q27=4,1,0)),IF($F27&lt;=85,1,0))</formula>
    </cfRule>
  </conditionalFormatting>
  <conditionalFormatting sqref="AV28">
    <cfRule type="expression" priority="118" dxfId="23">
      <formula>AV28="X"</formula>
    </cfRule>
    <cfRule type="expression" priority="119" dxfId="22">
      <formula>AV28="후보"</formula>
    </cfRule>
  </conditionalFormatting>
  <conditionalFormatting sqref="AC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23">
      <formula>AV29="X"</formula>
    </cfRule>
    <cfRule type="expression" priority="100" dxfId="22">
      <formula>AV29="후보"</formula>
    </cfRule>
  </conditionalFormatting>
  <conditionalFormatting sqref="AC29 N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0">
    <cfRule type="expression" priority="94" dxfId="23">
      <formula>AV30="X"</formula>
    </cfRule>
    <cfRule type="expression" priority="95" dxfId="22">
      <formula>AV30="후보"</formula>
    </cfRule>
  </conditionalFormatting>
  <conditionalFormatting sqref="AC3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23">
      <formula>AV31="X"</formula>
    </cfRule>
    <cfRule type="expression" priority="76" dxfId="22">
      <formula>AV31="후보"</formula>
    </cfRule>
  </conditionalFormatting>
  <conditionalFormatting sqref="AC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23">
      <formula>AV32="X"</formula>
    </cfRule>
    <cfRule type="expression" priority="57" dxfId="22">
      <formula>AV32="후보"</formula>
    </cfRule>
  </conditionalFormatting>
  <conditionalFormatting sqref="AC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23">
      <formula>AV33="X"</formula>
    </cfRule>
    <cfRule type="expression" priority="38" dxfId="22">
      <formula>AV33="후보"</formula>
    </cfRule>
  </conditionalFormatting>
  <conditionalFormatting sqref="AC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23">
      <formula>AV34="X"</formula>
    </cfRule>
    <cfRule type="expression" priority="19" dxfId="22">
      <formula>AV34="후보"</formula>
    </cfRule>
  </conditionalFormatting>
  <conditionalFormatting sqref="AC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은아</t>
        </is>
      </c>
      <c r="B6" s="10" t="inlineStr">
        <is>
          <t>'88.07.</t>
        </is>
      </c>
      <c r="C6" s="132" t="n">
        <v>1550</v>
      </c>
      <c r="D6" s="130" t="n">
        <v>68.8</v>
      </c>
      <c r="E6" s="131" t="n">
        <v>21</v>
      </c>
      <c r="F6" s="130" t="n">
        <v>59</v>
      </c>
      <c r="G6" s="17" t="n">
        <v>18</v>
      </c>
      <c r="H6" s="132" t="n">
        <v>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68A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은아</t>
        </is>
      </c>
      <c r="B7" s="10" t="inlineStr">
        <is>
          <t>'88.07.</t>
        </is>
      </c>
      <c r="C7" s="132" t="n">
        <v>1550</v>
      </c>
      <c r="D7" s="130" t="n">
        <v>70.3</v>
      </c>
      <c r="E7" s="131" t="n">
        <v>21</v>
      </c>
      <c r="F7" s="130" t="n">
        <v>60.4</v>
      </c>
      <c r="G7" s="17" t="n">
        <v>18</v>
      </c>
      <c r="H7" s="132" t="n">
        <v>240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70B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은아</t>
        </is>
      </c>
      <c r="B8" s="10" t="inlineStr">
        <is>
          <t>'88.07.</t>
        </is>
      </c>
      <c r="C8" s="132" t="n">
        <v>1550</v>
      </c>
      <c r="D8" s="130" t="n">
        <v>84.90000000000001</v>
      </c>
      <c r="E8" s="131" t="n">
        <v>26</v>
      </c>
      <c r="F8" s="130" t="n">
        <v>74.2</v>
      </c>
      <c r="G8" s="17" t="n">
        <v>22</v>
      </c>
      <c r="H8" s="132" t="n">
        <v>220</v>
      </c>
      <c r="I8" s="133" t="n">
        <v>60000</v>
      </c>
      <c r="J8" s="133" t="inlineStr">
        <is>
          <t>중</t>
        </is>
      </c>
      <c r="K8" s="133" t="n">
        <v>16500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84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은아</t>
        </is>
      </c>
      <c r="B9" s="10" t="inlineStr">
        <is>
          <t>'88.07.</t>
        </is>
      </c>
      <c r="C9" s="132" t="n">
        <v>1550</v>
      </c>
      <c r="D9" s="130" t="n">
        <v>91</v>
      </c>
      <c r="E9" s="131" t="n">
        <v>28</v>
      </c>
      <c r="F9" s="130" t="n">
        <v>79.8</v>
      </c>
      <c r="G9" s="17" t="n">
        <v>24</v>
      </c>
      <c r="H9" s="132" t="n">
        <v>230</v>
      </c>
      <c r="I9" s="133" t="n">
        <v>62000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은아</t>
        </is>
      </c>
      <c r="B10" s="10" t="inlineStr">
        <is>
          <t>'88.07.</t>
        </is>
      </c>
      <c r="C10" s="132" t="n">
        <v>1550</v>
      </c>
      <c r="D10" s="130" t="n">
        <v>96.7</v>
      </c>
      <c r="E10" s="131" t="n">
        <v>29</v>
      </c>
      <c r="F10" s="130" t="n">
        <v>84.8</v>
      </c>
      <c r="G10" s="17" t="n">
        <v>26</v>
      </c>
      <c r="H10" s="132" t="n">
        <v>460</v>
      </c>
      <c r="I10" s="133" t="n">
        <v>70000</v>
      </c>
      <c r="J10" s="133" t="inlineStr">
        <is>
          <t>고</t>
        </is>
      </c>
      <c r="K10" s="133" t="n">
        <v>25000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96B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은아</t>
        </is>
      </c>
      <c r="B11" s="10" t="inlineStr">
        <is>
          <t>'88.07.</t>
        </is>
      </c>
      <c r="C11" s="132" t="n">
        <v>1550</v>
      </c>
      <c r="D11" s="130" t="n">
        <v>96.59999999999999</v>
      </c>
      <c r="E11" s="131" t="n">
        <v>29</v>
      </c>
      <c r="F11" s="130" t="n">
        <v>84.5</v>
      </c>
      <c r="G11" s="17" t="n">
        <v>26</v>
      </c>
      <c r="H11" s="132" t="n">
        <v>120</v>
      </c>
      <c r="I11" s="133" t="n">
        <v>75000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96A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은아</t>
        </is>
      </c>
      <c r="B12" s="10" t="inlineStr">
        <is>
          <t>'88.07.</t>
        </is>
      </c>
      <c r="C12" s="132" t="n">
        <v>1550</v>
      </c>
      <c r="D12" s="130" t="n">
        <v>126</v>
      </c>
      <c r="E12" s="131" t="n">
        <v>38</v>
      </c>
      <c r="F12" s="130" t="n">
        <v>111.6</v>
      </c>
      <c r="G12" s="17" t="n">
        <v>34</v>
      </c>
      <c r="H12" s="132" t="n">
        <v>160</v>
      </c>
      <c r="I12" s="133" t="n">
        <v>90000</v>
      </c>
      <c r="J12" s="133" t="inlineStr">
        <is>
          <t>고</t>
        </is>
      </c>
      <c r="K12" s="133" t="n">
        <v>30000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125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은아</t>
        </is>
      </c>
      <c r="B13" s="10" t="inlineStr">
        <is>
          <t>'88.07.</t>
        </is>
      </c>
      <c r="C13" s="132" t="n">
        <v>1550</v>
      </c>
      <c r="D13" s="130" t="n">
        <v>150.2</v>
      </c>
      <c r="E13" s="131" t="n">
        <v>45</v>
      </c>
      <c r="F13" s="130" t="n">
        <v>134.1</v>
      </c>
      <c r="G13" s="17" t="n">
        <v>41</v>
      </c>
      <c r="H13" s="132" t="n">
        <v>50</v>
      </c>
      <c r="I13" s="133" t="n">
        <v>120000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은아</t>
        </is>
      </c>
      <c r="B14" s="10" t="inlineStr">
        <is>
          <t>'88.07.</t>
        </is>
      </c>
      <c r="C14" s="132" t="n">
        <v>1550</v>
      </c>
      <c r="D14" s="130" t="n">
        <v>189.1</v>
      </c>
      <c r="E14" s="131" t="n">
        <v>57</v>
      </c>
      <c r="F14" s="130" t="n">
        <v>170.3</v>
      </c>
      <c r="G14" s="17" t="n">
        <v>52</v>
      </c>
      <c r="H14" s="132" t="n">
        <v>20</v>
      </c>
      <c r="I14" s="133" t="n">
        <v>150000</v>
      </c>
      <c r="J14" s="133" t="inlineStr">
        <is>
          <t>중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5</v>
      </c>
      <c r="R14" s="120" t="n">
        <v>2</v>
      </c>
      <c r="S14" s="120" t="inlineStr">
        <is>
          <t>계</t>
        </is>
      </c>
      <c r="T14" s="5" t="n">
        <v>189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주공</t>
        </is>
      </c>
      <c r="B16" s="10" t="inlineStr">
        <is>
          <t>'87.10.</t>
        </is>
      </c>
      <c r="C16" s="132" t="n">
        <v>1500</v>
      </c>
      <c r="D16" s="130" t="n">
        <v>45.1</v>
      </c>
      <c r="E16" s="131" t="n">
        <v>14</v>
      </c>
      <c r="F16" s="130" t="n">
        <v>39.7</v>
      </c>
      <c r="G16" s="17" t="n">
        <v>12</v>
      </c>
      <c r="H16" s="132" t="n">
        <v>870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45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주공</t>
        </is>
      </c>
      <c r="B17" s="10" t="inlineStr">
        <is>
          <t>'87.10.</t>
        </is>
      </c>
      <c r="C17" s="132" t="n">
        <v>1500</v>
      </c>
      <c r="D17" s="130" t="n">
        <v>52.5</v>
      </c>
      <c r="E17" s="131" t="n">
        <v>16</v>
      </c>
      <c r="F17" s="130" t="n">
        <v>47.1</v>
      </c>
      <c r="G17" s="17" t="n">
        <v>14</v>
      </c>
      <c r="H17" s="132" t="n">
        <v>120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52B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주공</t>
        </is>
      </c>
      <c r="B18" s="10" t="inlineStr">
        <is>
          <t>'87.10.</t>
        </is>
      </c>
      <c r="C18" s="132" t="n">
        <v>1500</v>
      </c>
      <c r="D18" s="130" t="n">
        <v>52.1</v>
      </c>
      <c r="E18" s="131" t="n">
        <v>16</v>
      </c>
      <c r="F18" s="130" t="n">
        <v>46.7</v>
      </c>
      <c r="G18" s="17" t="n">
        <v>14</v>
      </c>
      <c r="H18" s="132" t="n">
        <v>110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inlineStr">
        <is>
          <t>52A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주공</t>
        </is>
      </c>
      <c r="B19" s="10" t="inlineStr">
        <is>
          <t>'87.10.</t>
        </is>
      </c>
      <c r="C19" s="132" t="n">
        <v>1500</v>
      </c>
      <c r="D19" s="130" t="n">
        <v>57</v>
      </c>
      <c r="E19" s="131" t="n">
        <v>17</v>
      </c>
      <c r="F19" s="130" t="n">
        <v>51</v>
      </c>
      <c r="G19" s="17" t="n">
        <v>15</v>
      </c>
      <c r="H19" s="132" t="n">
        <v>220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주공</t>
        </is>
      </c>
      <c r="B20" s="10" t="inlineStr">
        <is>
          <t>'87.10.</t>
        </is>
      </c>
      <c r="C20" s="132" t="n">
        <v>1500</v>
      </c>
      <c r="D20" s="130" t="n">
        <v>65.59999999999999</v>
      </c>
      <c r="E20" s="131" t="n">
        <v>20</v>
      </c>
      <c r="F20" s="130" t="n">
        <v>59.1</v>
      </c>
      <c r="G20" s="17" t="n">
        <v>18</v>
      </c>
      <c r="H20" s="132" t="n">
        <v>180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65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신촌동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창원신촌동원로얄듀크</t>
        </is>
      </c>
      <c r="B6" s="10" t="inlineStr">
        <is>
          <t>'08.10.</t>
        </is>
      </c>
      <c r="C6" s="132" t="n">
        <v>225</v>
      </c>
      <c r="D6" s="130" t="n">
        <v>111</v>
      </c>
      <c r="E6" s="131" t="n">
        <v>34</v>
      </c>
      <c r="F6" s="130" t="n">
        <v>85</v>
      </c>
      <c r="G6" s="17" t="n">
        <v>26</v>
      </c>
      <c r="H6" s="132" t="n">
        <v>100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창원신촌동원로얄듀크</t>
        </is>
      </c>
      <c r="B7" s="10" t="inlineStr">
        <is>
          <t>'08.10.</t>
        </is>
      </c>
      <c r="C7" s="132" t="n">
        <v>225</v>
      </c>
      <c r="D7" s="130" t="n">
        <v>111</v>
      </c>
      <c r="E7" s="131" t="n">
        <v>34</v>
      </c>
      <c r="F7" s="130" t="n">
        <v>85</v>
      </c>
      <c r="G7" s="17" t="n">
        <v>26</v>
      </c>
      <c r="H7" s="132" t="n">
        <v>45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복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창원신촌동원로얄듀크</t>
        </is>
      </c>
      <c r="B8" s="10" t="inlineStr">
        <is>
          <t>'08.10.</t>
        </is>
      </c>
      <c r="C8" s="132" t="n">
        <v>225</v>
      </c>
      <c r="D8" s="130" t="n">
        <v>148.9</v>
      </c>
      <c r="E8" s="131" t="n">
        <v>45</v>
      </c>
      <c r="F8" s="130" t="n">
        <v>121.6</v>
      </c>
      <c r="G8" s="17" t="n">
        <v>37</v>
      </c>
      <c r="H8" s="132" t="n">
        <v>60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복</t>
        </is>
      </c>
      <c r="T8" s="5" t="inlineStr">
        <is>
          <t>148C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창원신촌동원로얄듀크</t>
        </is>
      </c>
      <c r="B9" s="10" t="inlineStr">
        <is>
          <t>'08.10.</t>
        </is>
      </c>
      <c r="C9" s="132" t="n">
        <v>225</v>
      </c>
      <c r="D9" s="130" t="n">
        <v>148.9</v>
      </c>
      <c r="E9" s="131" t="n">
        <v>45</v>
      </c>
      <c r="F9" s="130" t="n">
        <v>121.6</v>
      </c>
      <c r="G9" s="17" t="n">
        <v>37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복</t>
        </is>
      </c>
      <c r="T9" s="5" t="inlineStr">
        <is>
          <t>148D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동성2차(21-6)</t>
        </is>
      </c>
      <c r="B11" s="10" t="inlineStr">
        <is>
          <t>'87.08.</t>
        </is>
      </c>
      <c r="C11" s="132" t="n">
        <v>300</v>
      </c>
      <c r="D11" s="130" t="n">
        <v>66.59999999999999</v>
      </c>
      <c r="E11" s="131" t="n">
        <v>20</v>
      </c>
      <c r="F11" s="130" t="n">
        <v>60</v>
      </c>
      <c r="G11" s="17" t="n">
        <v>18</v>
      </c>
      <c r="H11" s="132" t="n">
        <v>250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inlineStr">
        <is>
          <t>66B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동성2차(21-6)</t>
        </is>
      </c>
      <c r="B12" s="10" t="inlineStr">
        <is>
          <t>'87.08.</t>
        </is>
      </c>
      <c r="C12" s="132" t="n">
        <v>300</v>
      </c>
      <c r="D12" s="130" t="n">
        <v>66.3</v>
      </c>
      <c r="E12" s="131" t="n">
        <v>20</v>
      </c>
      <c r="F12" s="130" t="n">
        <v>59.7</v>
      </c>
      <c r="G12" s="17" t="n">
        <v>18</v>
      </c>
      <c r="H12" s="132" t="n">
        <v>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66A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양곡상가</t>
        </is>
      </c>
      <c r="B14" s="10" t="inlineStr">
        <is>
          <t>'79.09.</t>
        </is>
      </c>
      <c r="C14" s="132" t="n">
        <v>330</v>
      </c>
      <c r="D14" s="130" t="n">
        <v>82.7</v>
      </c>
      <c r="E14" s="131" t="n">
        <v>25</v>
      </c>
      <c r="F14" s="130" t="n">
        <v>62.7</v>
      </c>
      <c r="G14" s="17" t="n">
        <v>19</v>
      </c>
      <c r="H14" s="132" t="n">
        <v>264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82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양곡상가</t>
        </is>
      </c>
      <c r="B15" s="10" t="inlineStr">
        <is>
          <t>'79.09.</t>
        </is>
      </c>
      <c r="C15" s="132" t="n">
        <v>330</v>
      </c>
      <c r="D15" s="130" t="n">
        <v>105.8</v>
      </c>
      <c r="E15" s="131" t="n">
        <v>32</v>
      </c>
      <c r="F15" s="130" t="n">
        <v>82.2</v>
      </c>
      <c r="G15" s="17" t="n">
        <v>25</v>
      </c>
      <c r="H15" s="132" t="n">
        <v>66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동성1차</t>
        </is>
      </c>
      <c r="B17" s="10" t="inlineStr">
        <is>
          <t>'86.10.</t>
        </is>
      </c>
      <c r="C17" s="132" t="n">
        <v>240</v>
      </c>
      <c r="D17" s="130" t="n">
        <v>69.7</v>
      </c>
      <c r="E17" s="131" t="n">
        <v>21</v>
      </c>
      <c r="F17" s="130" t="n">
        <v>59.8</v>
      </c>
      <c r="G17" s="17" t="n">
        <v>18</v>
      </c>
      <c r="H17" s="132" t="n">
        <v>240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성원</t>
        </is>
      </c>
      <c r="B19" s="10" t="inlineStr">
        <is>
          <t>'87.06.</t>
        </is>
      </c>
      <c r="C19" s="132" t="n">
        <v>410</v>
      </c>
      <c r="D19" s="130" t="n">
        <v>56.9</v>
      </c>
      <c r="E19" s="131" t="n">
        <v>17</v>
      </c>
      <c r="F19" s="130" t="n">
        <v>50.9</v>
      </c>
      <c r="G19" s="17" t="n">
        <v>15</v>
      </c>
      <c r="H19" s="132" t="n">
        <v>90</v>
      </c>
      <c r="I19" s="133" t="n">
        <v>12500</v>
      </c>
      <c r="J19" s="133" t="inlineStr">
        <is>
          <t>고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56A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성원</t>
        </is>
      </c>
      <c r="B20" s="10" t="inlineStr">
        <is>
          <t>'87.06.</t>
        </is>
      </c>
      <c r="C20" s="132" t="n">
        <v>410</v>
      </c>
      <c r="D20" s="130" t="n">
        <v>57.1</v>
      </c>
      <c r="E20" s="131" t="n">
        <v>17</v>
      </c>
      <c r="F20" s="130" t="n">
        <v>51.2</v>
      </c>
      <c r="G20" s="17" t="n">
        <v>16</v>
      </c>
      <c r="H20" s="132" t="n">
        <v>90</v>
      </c>
      <c r="I20" s="133" t="n">
        <v>12500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inlineStr">
        <is>
          <t>57B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성원</t>
        </is>
      </c>
      <c r="B21" s="10" t="inlineStr">
        <is>
          <t>'87.06.</t>
        </is>
      </c>
      <c r="C21" s="132" t="n">
        <v>410</v>
      </c>
      <c r="D21" s="130" t="n">
        <v>59.2</v>
      </c>
      <c r="E21" s="131" t="n">
        <v>18</v>
      </c>
      <c r="F21" s="130" t="n">
        <v>52.7</v>
      </c>
      <c r="G21" s="17" t="n">
        <v>16</v>
      </c>
      <c r="H21" s="132" t="n">
        <v>90</v>
      </c>
      <c r="I21" s="133" t="n">
        <v>12500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계</t>
        </is>
      </c>
      <c r="T21" s="5" t="n">
        <v>59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성원</t>
        </is>
      </c>
      <c r="B22" s="10" t="inlineStr">
        <is>
          <t>'87.06.</t>
        </is>
      </c>
      <c r="C22" s="132" t="n">
        <v>410</v>
      </c>
      <c r="D22" s="130" t="n">
        <v>65.3</v>
      </c>
      <c r="E22" s="131" t="n">
        <v>20</v>
      </c>
      <c r="F22" s="130" t="n">
        <v>59.2</v>
      </c>
      <c r="G22" s="17" t="n">
        <v>18</v>
      </c>
      <c r="H22" s="132" t="n">
        <v>140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65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X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I8">
    <cfRule type="expression" priority="211" dxfId="3">
      <formula>AND(IF(OR($Q8=1,$Q8=2),1,0),IF($X8&lt;=20,1,0))</formula>
    </cfRule>
    <cfRule type="expression" priority="212" dxfId="2">
      <formula>AND(IF($Q8=2,1,0),IF($X8&lt;30,1,0))</formula>
    </cfRule>
    <cfRule type="expression" priority="213" dxfId="1">
      <formula>AND(IF($Q8=3,1,0),IF($X8&lt;30,1,0))</formula>
    </cfRule>
    <cfRule type="expression" priority="214" dxfId="0">
      <formula>AND(IF($Q8=3,1,IF($Q8=4,1,0)),IF($F8&lt;=85,1,0))</formula>
    </cfRule>
  </conditionalFormatting>
  <conditionalFormatting sqref="AV9">
    <cfRule type="expression" priority="209" dxfId="23">
      <formula>AV9="X"</formula>
    </cfRule>
    <cfRule type="expression" priority="210" dxfId="22">
      <formula>AV9="후보"</formula>
    </cfRule>
  </conditionalFormatting>
  <conditionalFormatting sqref="AC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9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X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I9">
    <cfRule type="expression" priority="192" dxfId="3">
      <formula>AND(IF(OR($Q9=1,$Q9=2),1,0),IF($X9&lt;=20,1,0))</formula>
    </cfRule>
    <cfRule type="expression" priority="193" dxfId="2">
      <formula>AND(IF($Q9=2,1,0),IF($X9&lt;30,1,0))</formula>
    </cfRule>
    <cfRule type="expression" priority="194" dxfId="1">
      <formula>AND(IF($Q9=3,1,0),IF($X9&lt;30,1,0))</formula>
    </cfRule>
    <cfRule type="expression" priority="195" dxfId="0">
      <formula>AND(IF($Q9=3,1,IF($Q9=4,1,0)),IF($F9&lt;=85,1,0))</formula>
    </cfRule>
  </conditionalFormatting>
  <conditionalFormatting sqref="AV10">
    <cfRule type="expression" priority="190" dxfId="23">
      <formula>AV10="X"</formula>
    </cfRule>
    <cfRule type="expression" priority="191" dxfId="22">
      <formula>AV10="후보"</formula>
    </cfRule>
  </conditionalFormatting>
  <conditionalFormatting sqref="AC10 N10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X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I12">
    <cfRule type="expression" priority="149" dxfId="3">
      <formula>AND(IF(OR($Q12=1,$Q12=2),1,0),IF($X12&lt;=20,1,0))</formula>
    </cfRule>
    <cfRule type="expression" priority="150" dxfId="2">
      <formula>AND(IF($Q12=2,1,0),IF($X12&lt;30,1,0))</formula>
    </cfRule>
    <cfRule type="expression" priority="151" dxfId="1">
      <formula>AND(IF($Q12=3,1,0),IF($X12&lt;30,1,0))</formula>
    </cfRule>
    <cfRule type="expression" priority="152" dxfId="0">
      <formula>AND(IF($Q12=3,1,IF($Q12=4,1,0)),IF($F12&lt;=85,1,0))</formula>
    </cfRule>
  </conditionalFormatting>
  <conditionalFormatting sqref="AV13">
    <cfRule type="expression" priority="147" dxfId="23">
      <formula>AV13="X"</formula>
    </cfRule>
    <cfRule type="expression" priority="148" dxfId="22">
      <formula>AV13="후보"</formula>
    </cfRule>
  </conditionalFormatting>
  <conditionalFormatting sqref="AC13 N1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5">
    <cfRule type="expression" priority="114" dxfId="3">
      <formula>AND(IF(OR($Q15=1,$Q15=2),1,0),IF($X15&lt;=20,1,0))</formula>
    </cfRule>
    <cfRule type="expression" priority="115" dxfId="2">
      <formula>AND(IF($Q15=2,1,0),IF($X15&lt;30,1,0))</formula>
    </cfRule>
    <cfRule type="expression" priority="116" dxfId="1">
      <formula>AND(IF($Q15=3,1,0),IF($X15&lt;30,1,0))</formula>
    </cfRule>
    <cfRule type="expression" priority="117" dxfId="0">
      <formula>AND(IF($Q15=3,1,IF($Q15=4,1,0)),IF($F15&lt;=85,1,0))</formula>
    </cfRule>
  </conditionalFormatting>
  <conditionalFormatting sqref="X15">
    <cfRule type="expression" priority="110" dxfId="3">
      <formula>AND(IF(OR($Q15=1,$Q15=2),1,0),IF($X15&lt;=20,1,0))</formula>
    </cfRule>
    <cfRule type="expression" priority="111" dxfId="2">
      <formula>AND(IF($Q15=2,1,0),IF($X15&lt;30,1,0))</formula>
    </cfRule>
    <cfRule type="expression" priority="112" dxfId="1">
      <formula>AND(IF($Q15=3,1,0),IF($X15&lt;30,1,0))</formula>
    </cfRule>
    <cfRule type="expression" priority="113" dxfId="0">
      <formula>AND(IF($Q15=3,1,IF($Q15=4,1,0)),IF($F15&lt;=85,1,0))</formula>
    </cfRule>
  </conditionalFormatting>
  <conditionalFormatting sqref="AI15">
    <cfRule type="expression" priority="106" dxfId="3">
      <formula>AND(IF(OR($Q15=1,$Q15=2),1,0),IF($X15&lt;=20,1,0))</formula>
    </cfRule>
    <cfRule type="expression" priority="107" dxfId="2">
      <formula>AND(IF($Q15=2,1,0),IF($X15&lt;30,1,0))</formula>
    </cfRule>
    <cfRule type="expression" priority="108" dxfId="1">
      <formula>AND(IF($Q15=3,1,0),IF($X15&lt;30,1,0))</formula>
    </cfRule>
    <cfRule type="expression" priority="109" dxfId="0">
      <formula>AND(IF($Q15=3,1,IF($Q15=4,1,0)),IF($F15&lt;=85,1,0))</formula>
    </cfRule>
  </conditionalFormatting>
  <conditionalFormatting sqref="AV16">
    <cfRule type="expression" priority="104" dxfId="23">
      <formula>AV16="X"</formula>
    </cfRule>
    <cfRule type="expression" priority="105" dxfId="22">
      <formula>AV16="후보"</formula>
    </cfRule>
  </conditionalFormatting>
  <conditionalFormatting sqref="AC16 N1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안민동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안민청솔마을대동</t>
        </is>
      </c>
      <c r="B6" s="10" t="inlineStr">
        <is>
          <t>'99.06.</t>
        </is>
      </c>
      <c r="C6" s="132" t="n">
        <v>920</v>
      </c>
      <c r="D6" s="130" t="n">
        <v>79.59999999999999</v>
      </c>
      <c r="E6" s="131" t="n">
        <v>24</v>
      </c>
      <c r="F6" s="130" t="n">
        <v>60</v>
      </c>
      <c r="G6" s="17" t="n">
        <v>18</v>
      </c>
      <c r="H6" s="132" t="n">
        <v>217</v>
      </c>
      <c r="I6" s="133" t="n">
        <v>18500</v>
      </c>
      <c r="J6" s="133" t="inlineStr">
        <is>
          <t>고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안민청솔마을대동</t>
        </is>
      </c>
      <c r="B7" s="10" t="inlineStr">
        <is>
          <t>'99.06.</t>
        </is>
      </c>
      <c r="C7" s="132" t="n">
        <v>920</v>
      </c>
      <c r="D7" s="130" t="n">
        <v>107.4</v>
      </c>
      <c r="E7" s="131" t="n">
        <v>32</v>
      </c>
      <c r="F7" s="130" t="n">
        <v>85</v>
      </c>
      <c r="G7" s="17" t="n">
        <v>26</v>
      </c>
      <c r="H7" s="132" t="n">
        <v>537</v>
      </c>
      <c r="I7" s="133" t="n">
        <v>22000</v>
      </c>
      <c r="J7" s="133" t="inlineStr">
        <is>
          <t>고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안민청솔마을대동</t>
        </is>
      </c>
      <c r="B8" s="10" t="inlineStr">
        <is>
          <t>'99.06.</t>
        </is>
      </c>
      <c r="C8" s="132" t="n">
        <v>920</v>
      </c>
      <c r="D8" s="130" t="n">
        <v>147.9</v>
      </c>
      <c r="E8" s="131" t="n">
        <v>45</v>
      </c>
      <c r="F8" s="130" t="n">
        <v>119.7</v>
      </c>
      <c r="G8" s="17" t="n">
        <v>36</v>
      </c>
      <c r="H8" s="132" t="n">
        <v>68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147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안민청솔마을대동</t>
        </is>
      </c>
      <c r="B9" s="10" t="inlineStr">
        <is>
          <t>'99.06.</t>
        </is>
      </c>
      <c r="C9" s="132" t="n">
        <v>920</v>
      </c>
      <c r="D9" s="130" t="n">
        <v>181.1</v>
      </c>
      <c r="E9" s="131" t="n">
        <v>55</v>
      </c>
      <c r="F9" s="130" t="n">
        <v>149.8</v>
      </c>
      <c r="G9" s="17" t="n">
        <v>45</v>
      </c>
      <c r="H9" s="132" t="n">
        <v>98</v>
      </c>
      <c r="I9" s="133" t="n">
        <v>35000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181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성산삼정그린코아포레스트1단지</t>
        </is>
      </c>
      <c r="B11" s="10" t="inlineStr">
        <is>
          <t>'24.05.</t>
        </is>
      </c>
      <c r="C11" s="132" t="n">
        <v>401</v>
      </c>
      <c r="D11" s="130" t="n">
        <v>100.6</v>
      </c>
      <c r="E11" s="131" t="n">
        <v>30</v>
      </c>
      <c r="F11" s="130" t="n">
        <v>75.2</v>
      </c>
      <c r="G11" s="17" t="n">
        <v>23</v>
      </c>
      <c r="H11" s="132" t="n">
        <v>195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성산삼정그린코아포레스트1단지</t>
        </is>
      </c>
      <c r="B12" s="10" t="inlineStr">
        <is>
          <t>'24.05.</t>
        </is>
      </c>
      <c r="C12" s="132" t="n">
        <v>401</v>
      </c>
      <c r="D12" s="130" t="n">
        <v>109</v>
      </c>
      <c r="E12" s="131" t="n">
        <v>33</v>
      </c>
      <c r="F12" s="130" t="n">
        <v>84.7</v>
      </c>
      <c r="G12" s="17" t="n">
        <v>26</v>
      </c>
      <c r="H12" s="132" t="n">
        <v>154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성산삼정그린코아포레스트1단지</t>
        </is>
      </c>
      <c r="B13" s="10" t="inlineStr">
        <is>
          <t>'24.05.</t>
        </is>
      </c>
      <c r="C13" s="132" t="n">
        <v>401</v>
      </c>
      <c r="D13" s="130" t="n">
        <v>110.5</v>
      </c>
      <c r="E13" s="131" t="n">
        <v>33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한솔마을대동</t>
        </is>
      </c>
      <c r="B15" s="10" t="inlineStr">
        <is>
          <t>'99.05.</t>
        </is>
      </c>
      <c r="C15" s="132" t="n">
        <v>640</v>
      </c>
      <c r="D15" s="130" t="n">
        <v>75.3</v>
      </c>
      <c r="E15" s="131" t="n">
        <v>23</v>
      </c>
      <c r="F15" s="130" t="n">
        <v>59.2</v>
      </c>
      <c r="G15" s="17" t="n">
        <v>18</v>
      </c>
      <c r="H15" s="132" t="n">
        <v>120</v>
      </c>
      <c r="I15" s="133" t="n">
        <v>18000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계</t>
        </is>
      </c>
      <c r="T15" s="5" t="n">
        <v>75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한솔마을대동</t>
        </is>
      </c>
      <c r="B16" s="10" t="inlineStr">
        <is>
          <t>'99.05.</t>
        </is>
      </c>
      <c r="C16" s="132" t="n">
        <v>640</v>
      </c>
      <c r="D16" s="130" t="n">
        <v>76.3</v>
      </c>
      <c r="E16" s="131" t="n">
        <v>23</v>
      </c>
      <c r="F16" s="130" t="n">
        <v>60</v>
      </c>
      <c r="G16" s="17" t="n">
        <v>18</v>
      </c>
      <c r="H16" s="132" t="n">
        <v>20</v>
      </c>
      <c r="I16" s="133" t="n">
        <v>18000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n">
        <v>76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한솔마을대동</t>
        </is>
      </c>
      <c r="B17" s="10" t="inlineStr">
        <is>
          <t>'99.05.</t>
        </is>
      </c>
      <c r="C17" s="132" t="n">
        <v>640</v>
      </c>
      <c r="D17" s="130" t="n">
        <v>108.1</v>
      </c>
      <c r="E17" s="131" t="n">
        <v>33</v>
      </c>
      <c r="F17" s="130" t="n">
        <v>85</v>
      </c>
      <c r="G17" s="17" t="n">
        <v>26</v>
      </c>
      <c r="H17" s="132" t="n">
        <v>500</v>
      </c>
      <c r="I17" s="133" t="n">
        <v>23000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108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동부산아이존빌</t>
        </is>
      </c>
      <c r="B19" s="10" t="inlineStr">
        <is>
          <t>'02.03.</t>
        </is>
      </c>
      <c r="C19" s="132" t="n">
        <v>262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55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동부산아이존빌</t>
        </is>
      </c>
      <c r="B20" s="10" t="inlineStr">
        <is>
          <t>'02.03.</t>
        </is>
      </c>
      <c r="C20" s="132" t="n">
        <v>262</v>
      </c>
      <c r="D20" s="130" t="n">
        <v>82.3</v>
      </c>
      <c r="E20" s="131" t="n">
        <v>25</v>
      </c>
      <c r="F20" s="130" t="n">
        <v>59.8</v>
      </c>
      <c r="G20" s="17" t="n">
        <v>18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82A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동부산아이존빌</t>
        </is>
      </c>
      <c r="B21" s="10" t="inlineStr">
        <is>
          <t>'02.03.</t>
        </is>
      </c>
      <c r="C21" s="132" t="n">
        <v>262</v>
      </c>
      <c r="D21" s="130" t="n">
        <v>114.6</v>
      </c>
      <c r="E21" s="131" t="n">
        <v>35</v>
      </c>
      <c r="F21" s="130" t="n">
        <v>84.90000000000001</v>
      </c>
      <c r="G21" s="17" t="n">
        <v>26</v>
      </c>
      <c r="H21" s="132" t="n">
        <v>92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114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 N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1">
    <cfRule type="expression" priority="180" dxfId="23">
      <formula>AV11="X"</formula>
    </cfRule>
    <cfRule type="expression" priority="181" dxfId="22">
      <formula>AV11="후보"</formula>
    </cfRule>
  </conditionalFormatting>
  <conditionalFormatting sqref="AC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23">
      <formula>AV18="X"</formula>
    </cfRule>
    <cfRule type="expression" priority="62" dxfId="22">
      <formula>AV18="후보"</formula>
    </cfRule>
  </conditionalFormatting>
  <conditionalFormatting sqref="AC18 N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월드메르디앙이스턴애비뉴</t>
        </is>
      </c>
      <c r="B6" s="10" t="inlineStr">
        <is>
          <t>'09.01.</t>
        </is>
      </c>
      <c r="C6" s="132" t="n">
        <v>439</v>
      </c>
      <c r="D6" s="130" t="n">
        <v>77.59999999999999</v>
      </c>
      <c r="E6" s="131" t="n">
        <v>23</v>
      </c>
      <c r="F6" s="130" t="n">
        <v>59.9</v>
      </c>
      <c r="G6" s="17" t="n">
        <v>18</v>
      </c>
      <c r="H6" s="132" t="n">
        <v>150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월드메르디앙이스턴애비뉴</t>
        </is>
      </c>
      <c r="B7" s="10" t="inlineStr">
        <is>
          <t>'09.01.</t>
        </is>
      </c>
      <c r="C7" s="132" t="n">
        <v>439</v>
      </c>
      <c r="D7" s="130" t="n">
        <v>107.7</v>
      </c>
      <c r="E7" s="131" t="n">
        <v>33</v>
      </c>
      <c r="F7" s="130" t="n">
        <v>84.59999999999999</v>
      </c>
      <c r="G7" s="17" t="n">
        <v>26</v>
      </c>
      <c r="H7" s="132" t="n">
        <v>130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월드메르디앙이스턴애비뉴</t>
        </is>
      </c>
      <c r="B8" s="10" t="inlineStr">
        <is>
          <t>'09.01.</t>
        </is>
      </c>
      <c r="C8" s="132" t="n">
        <v>439</v>
      </c>
      <c r="D8" s="130" t="n">
        <v>108.7</v>
      </c>
      <c r="E8" s="131" t="n">
        <v>33</v>
      </c>
      <c r="F8" s="130" t="n">
        <v>84.90000000000001</v>
      </c>
      <c r="G8" s="17" t="n">
        <v>26</v>
      </c>
      <c r="H8" s="132" t="n">
        <v>75</v>
      </c>
      <c r="I8" s="133" t="n">
        <v>32000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월드메르디앙이스턴애비뉴</t>
        </is>
      </c>
      <c r="B9" s="10" t="inlineStr">
        <is>
          <t>'09.01.</t>
        </is>
      </c>
      <c r="C9" s="132" t="n">
        <v>439</v>
      </c>
      <c r="D9" s="130" t="n">
        <v>143.8</v>
      </c>
      <c r="E9" s="131" t="n">
        <v>44</v>
      </c>
      <c r="F9" s="130" t="n">
        <v>115.4</v>
      </c>
      <c r="G9" s="17" t="n">
        <v>35</v>
      </c>
      <c r="H9" s="132" t="n">
        <v>84</v>
      </c>
      <c r="I9" s="133" t="n">
        <v>39000</v>
      </c>
      <c r="J9" s="133" t="inlineStr">
        <is>
          <t>9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용호동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용지무학</t>
        </is>
      </c>
      <c r="B6" s="10" t="inlineStr">
        <is>
          <t>'87.10.</t>
        </is>
      </c>
      <c r="C6" s="132" t="n">
        <v>1040</v>
      </c>
      <c r="D6" s="130" t="n">
        <v>60.4</v>
      </c>
      <c r="E6" s="131" t="n">
        <v>18</v>
      </c>
      <c r="F6" s="130" t="n">
        <v>50.5</v>
      </c>
      <c r="G6" s="17" t="n">
        <v>15</v>
      </c>
      <c r="H6" s="132" t="n">
        <v>150</v>
      </c>
      <c r="I6" s="133" t="n">
        <v>36500</v>
      </c>
      <c r="J6" s="133" t="inlineStr">
        <is>
          <t>5</t>
        </is>
      </c>
      <c r="K6" s="133" t="n">
        <v>14000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60B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용지무학</t>
        </is>
      </c>
      <c r="B7" s="10" t="inlineStr">
        <is>
          <t>'87.10.</t>
        </is>
      </c>
      <c r="C7" s="132" t="n">
        <v>1040</v>
      </c>
      <c r="D7" s="130" t="n">
        <v>60.3</v>
      </c>
      <c r="E7" s="131" t="n">
        <v>18</v>
      </c>
      <c r="F7" s="130" t="n">
        <v>50.3</v>
      </c>
      <c r="G7" s="17" t="n">
        <v>15</v>
      </c>
      <c r="H7" s="132" t="n">
        <v>80</v>
      </c>
      <c r="I7" s="133" t="n">
        <v>38000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계</t>
        </is>
      </c>
      <c r="T7" s="5" t="inlineStr">
        <is>
          <t>60A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용지무학</t>
        </is>
      </c>
      <c r="B8" s="10" t="inlineStr">
        <is>
          <t>'87.10.</t>
        </is>
      </c>
      <c r="C8" s="132" t="n">
        <v>1040</v>
      </c>
      <c r="D8" s="130" t="n">
        <v>66.90000000000001</v>
      </c>
      <c r="E8" s="131" t="n">
        <v>20</v>
      </c>
      <c r="F8" s="130" t="n">
        <v>56.4</v>
      </c>
      <c r="G8" s="17" t="n">
        <v>17</v>
      </c>
      <c r="H8" s="132" t="n">
        <v>810</v>
      </c>
      <c r="I8" s="133" t="n">
        <v>42000</v>
      </c>
      <c r="J8" s="133" t="inlineStr">
        <is>
          <t>고</t>
        </is>
      </c>
      <c r="K8" s="133" t="n">
        <v>15000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1</v>
      </c>
      <c r="S8" s="120" t="inlineStr">
        <is>
          <t>계</t>
        </is>
      </c>
      <c r="T8" s="5" t="n">
        <v>66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용지더샵레이크파크</t>
        </is>
      </c>
      <c r="B10" s="10" t="inlineStr">
        <is>
          <t>'17.11.</t>
        </is>
      </c>
      <c r="C10" s="132" t="n">
        <v>883</v>
      </c>
      <c r="D10" s="130" t="n">
        <v>85.90000000000001</v>
      </c>
      <c r="E10" s="131" t="n">
        <v>26</v>
      </c>
      <c r="F10" s="130" t="n">
        <v>60</v>
      </c>
      <c r="G10" s="17" t="n">
        <v>18</v>
      </c>
      <c r="H10" s="132" t="n">
        <v>196</v>
      </c>
      <c r="I10" s="133" t="n">
        <v>77000</v>
      </c>
      <c r="J10" s="133" t="inlineStr">
        <is>
          <t>중</t>
        </is>
      </c>
      <c r="K10" s="133" t="n">
        <v>50000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용지더샵레이크파크</t>
        </is>
      </c>
      <c r="B11" s="10" t="inlineStr">
        <is>
          <t>'17.11.</t>
        </is>
      </c>
      <c r="C11" s="132" t="n">
        <v>883</v>
      </c>
      <c r="D11" s="130" t="n">
        <v>112.7</v>
      </c>
      <c r="E11" s="131" t="n">
        <v>34</v>
      </c>
      <c r="F11" s="130" t="n">
        <v>84.5</v>
      </c>
      <c r="G11" s="17" t="n">
        <v>26</v>
      </c>
      <c r="H11" s="132" t="n">
        <v>412</v>
      </c>
      <c r="I11" s="133" t="n">
        <v>101000</v>
      </c>
      <c r="J11" s="133" t="inlineStr">
        <is>
          <t>8</t>
        </is>
      </c>
      <c r="K11" s="133" t="n">
        <v>74000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용지더샵레이크파크</t>
        </is>
      </c>
      <c r="B12" s="10" t="inlineStr">
        <is>
          <t>'17.11.</t>
        </is>
      </c>
      <c r="C12" s="132" t="n">
        <v>883</v>
      </c>
      <c r="D12" s="130" t="n">
        <v>113.7</v>
      </c>
      <c r="E12" s="131" t="n">
        <v>34</v>
      </c>
      <c r="F12" s="130" t="n">
        <v>85</v>
      </c>
      <c r="G12" s="17" t="n">
        <v>26</v>
      </c>
      <c r="H12" s="132" t="n">
        <v>104</v>
      </c>
      <c r="I12" s="133" t="n">
        <v>120000</v>
      </c>
      <c r="J12" s="133" t="inlineStr">
        <is>
          <t>9</t>
        </is>
      </c>
      <c r="K12" s="133" t="n">
        <v>75000</v>
      </c>
      <c r="L12" s="133" t="inlineStr">
        <is>
          <t>25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113B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용지더샵레이크파크</t>
        </is>
      </c>
      <c r="B13" s="10" t="inlineStr">
        <is>
          <t>'17.11.</t>
        </is>
      </c>
      <c r="C13" s="132" t="n">
        <v>883</v>
      </c>
      <c r="D13" s="130" t="n">
        <v>130.2</v>
      </c>
      <c r="E13" s="131" t="n">
        <v>39</v>
      </c>
      <c r="F13" s="130" t="n">
        <v>101.9</v>
      </c>
      <c r="G13" s="17" t="n">
        <v>31</v>
      </c>
      <c r="H13" s="132" t="n">
        <v>114</v>
      </c>
      <c r="I13" s="133" t="n">
        <v>138000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130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용지더샵레이크파크</t>
        </is>
      </c>
      <c r="B14" s="10" t="inlineStr">
        <is>
          <t>'17.11.</t>
        </is>
      </c>
      <c r="C14" s="132" t="n">
        <v>883</v>
      </c>
      <c r="D14" s="130" t="n">
        <v>147.4</v>
      </c>
      <c r="E14" s="131" t="n">
        <v>45</v>
      </c>
      <c r="F14" s="130" t="n">
        <v>119.2</v>
      </c>
      <c r="G14" s="17" t="n">
        <v>36</v>
      </c>
      <c r="H14" s="132" t="n">
        <v>57</v>
      </c>
      <c r="I14" s="133" t="n">
        <v>159000</v>
      </c>
      <c r="J14" s="133" t="inlineStr">
        <is>
          <t>13</t>
        </is>
      </c>
      <c r="K14" s="133" t="n">
        <v>120000</v>
      </c>
      <c r="L14" s="133" t="inlineStr">
        <is>
          <t>13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147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일동</t>
        </is>
      </c>
      <c r="B16" s="10" t="inlineStr">
        <is>
          <t>'86.10.</t>
        </is>
      </c>
      <c r="C16" s="132" t="n">
        <v>810</v>
      </c>
      <c r="D16" s="130" t="n">
        <v>57.7</v>
      </c>
      <c r="E16" s="131" t="n">
        <v>17</v>
      </c>
      <c r="F16" s="130" t="n">
        <v>51</v>
      </c>
      <c r="G16" s="17" t="n">
        <v>15</v>
      </c>
      <c r="H16" s="132" t="n">
        <v>400</v>
      </c>
      <c r="I16" s="133" t="n">
        <v>36000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1</v>
      </c>
      <c r="S16" s="120" t="inlineStr">
        <is>
          <t>계</t>
        </is>
      </c>
      <c r="T16" s="5" t="n">
        <v>57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일동</t>
        </is>
      </c>
      <c r="B17" s="10" t="inlineStr">
        <is>
          <t>'86.10.</t>
        </is>
      </c>
      <c r="C17" s="132" t="n">
        <v>810</v>
      </c>
      <c r="D17" s="130" t="n">
        <v>66.3</v>
      </c>
      <c r="E17" s="131" t="n">
        <v>20</v>
      </c>
      <c r="F17" s="130" t="n">
        <v>59.6</v>
      </c>
      <c r="G17" s="17" t="n">
        <v>18</v>
      </c>
      <c r="H17" s="132" t="n">
        <v>410</v>
      </c>
      <c r="I17" s="133" t="n">
        <v>40000</v>
      </c>
      <c r="J17" s="133" t="inlineStr">
        <is>
          <t>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66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롯데맨션2단지</t>
        </is>
      </c>
      <c r="B19" s="10" t="inlineStr">
        <is>
          <t>'88.09.</t>
        </is>
      </c>
      <c r="C19" s="132" t="n">
        <v>320</v>
      </c>
      <c r="D19" s="130" t="n">
        <v>60.6</v>
      </c>
      <c r="E19" s="131" t="n">
        <v>18</v>
      </c>
      <c r="F19" s="130" t="n">
        <v>55.7</v>
      </c>
      <c r="G19" s="17" t="n">
        <v>17</v>
      </c>
      <c r="H19" s="132" t="n">
        <v>90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60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롯데맨션2단지</t>
        </is>
      </c>
      <c r="B20" s="10" t="inlineStr">
        <is>
          <t>'88.09.</t>
        </is>
      </c>
      <c r="C20" s="132" t="n">
        <v>320</v>
      </c>
      <c r="D20" s="130" t="n">
        <v>75.2</v>
      </c>
      <c r="E20" s="131" t="n">
        <v>23</v>
      </c>
      <c r="F20" s="130" t="n">
        <v>68.5</v>
      </c>
      <c r="G20" s="17" t="n">
        <v>21</v>
      </c>
      <c r="H20" s="132" t="n">
        <v>50</v>
      </c>
      <c r="I20" s="133" t="n">
        <v>70000</v>
      </c>
      <c r="J20" s="133" t="inlineStr">
        <is>
          <t>중</t>
        </is>
      </c>
      <c r="K20" s="133" t="n">
        <v>25000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75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롯데맨션2단지</t>
        </is>
      </c>
      <c r="B21" s="10" t="inlineStr">
        <is>
          <t>'88.09.</t>
        </is>
      </c>
      <c r="C21" s="132" t="n">
        <v>320</v>
      </c>
      <c r="D21" s="130" t="n">
        <v>86.40000000000001</v>
      </c>
      <c r="E21" s="131" t="n">
        <v>26</v>
      </c>
      <c r="F21" s="130" t="n">
        <v>82.5</v>
      </c>
      <c r="G21" s="17" t="n">
        <v>25</v>
      </c>
      <c r="H21" s="132" t="n">
        <v>20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n">
        <v>86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롯데맨션2단지</t>
        </is>
      </c>
      <c r="B22" s="10" t="inlineStr">
        <is>
          <t>'88.09.</t>
        </is>
      </c>
      <c r="C22" s="132" t="n">
        <v>320</v>
      </c>
      <c r="D22" s="130" t="n">
        <v>113.8</v>
      </c>
      <c r="E22" s="131" t="n">
        <v>34</v>
      </c>
      <c r="F22" s="130" t="n">
        <v>106.7</v>
      </c>
      <c r="G22" s="17" t="n">
        <v>32</v>
      </c>
      <c r="H22" s="132" t="n">
        <v>40</v>
      </c>
      <c r="I22" s="133" t="n">
        <v>97000</v>
      </c>
      <c r="J22" s="133" t="inlineStr">
        <is>
          <t>중</t>
        </is>
      </c>
      <c r="K22" s="133" t="n">
        <v>38000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113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롯데맨션2단지</t>
        </is>
      </c>
      <c r="B23" s="10" t="inlineStr">
        <is>
          <t>'88.09.</t>
        </is>
      </c>
      <c r="C23" s="132" t="n">
        <v>320</v>
      </c>
      <c r="D23" s="130" t="n">
        <v>120.1</v>
      </c>
      <c r="E23" s="131" t="n">
        <v>36</v>
      </c>
      <c r="F23" s="130" t="n">
        <v>113</v>
      </c>
      <c r="G23" s="17" t="n">
        <v>34</v>
      </c>
      <c r="H23" s="132" t="n">
        <v>60</v>
      </c>
      <c r="I23" s="133" t="n"/>
      <c r="J23" s="133" t="n"/>
      <c r="K23" s="133" t="n">
        <v>35000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120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롯데맨션2단지</t>
        </is>
      </c>
      <c r="B24" s="10" t="inlineStr">
        <is>
          <t>'88.09.</t>
        </is>
      </c>
      <c r="C24" s="132" t="n">
        <v>320</v>
      </c>
      <c r="D24" s="130" t="n">
        <v>148.9</v>
      </c>
      <c r="E24" s="131" t="n">
        <v>45</v>
      </c>
      <c r="F24" s="130" t="n">
        <v>141.7</v>
      </c>
      <c r="G24" s="17" t="n">
        <v>43</v>
      </c>
      <c r="H24" s="132" t="n">
        <v>40</v>
      </c>
      <c r="I24" s="133" t="n"/>
      <c r="J24" s="133" t="n"/>
      <c r="K24" s="133" t="n">
        <v>50000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148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롯데맨션2단지</t>
        </is>
      </c>
      <c r="B25" s="10" t="inlineStr">
        <is>
          <t>'88.09.</t>
        </is>
      </c>
      <c r="C25" s="132" t="n">
        <v>320</v>
      </c>
      <c r="D25" s="130" t="n">
        <v>194</v>
      </c>
      <c r="E25" s="131" t="n">
        <v>59</v>
      </c>
      <c r="F25" s="130" t="n">
        <v>186.8</v>
      </c>
      <c r="G25" s="17" t="n">
        <v>57</v>
      </c>
      <c r="H25" s="132" t="n">
        <v>20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롯데맨션1단지</t>
        </is>
      </c>
      <c r="B27" s="10" t="inlineStr">
        <is>
          <t>'84.11.</t>
        </is>
      </c>
      <c r="C27" s="132" t="n">
        <v>600</v>
      </c>
      <c r="D27" s="130" t="n">
        <v>74.2</v>
      </c>
      <c r="E27" s="131" t="n">
        <v>22</v>
      </c>
      <c r="F27" s="130" t="n">
        <v>67.5</v>
      </c>
      <c r="G27" s="17" t="n">
        <v>20</v>
      </c>
      <c r="H27" s="132" t="n">
        <v>160</v>
      </c>
      <c r="I27" s="133" t="n">
        <v>65000</v>
      </c>
      <c r="J27" s="133" t="inlineStr">
        <is>
          <t>고</t>
        </is>
      </c>
      <c r="K27" s="133" t="n">
        <v>25000</v>
      </c>
      <c r="L27" s="133" t="inlineStr">
        <is>
          <t>고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n">
        <v>74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롯데맨션1단지</t>
        </is>
      </c>
      <c r="B28" s="10" t="inlineStr">
        <is>
          <t>'84.11.</t>
        </is>
      </c>
      <c r="C28" s="132" t="n">
        <v>600</v>
      </c>
      <c r="D28" s="130" t="n">
        <v>86.7</v>
      </c>
      <c r="E28" s="131" t="n">
        <v>26</v>
      </c>
      <c r="F28" s="130" t="n">
        <v>80</v>
      </c>
      <c r="G28" s="17" t="n">
        <v>24</v>
      </c>
      <c r="H28" s="132" t="n">
        <v>210</v>
      </c>
      <c r="I28" s="133" t="n">
        <v>84000</v>
      </c>
      <c r="J28" s="133" t="inlineStr">
        <is>
          <t>중</t>
        </is>
      </c>
      <c r="K28" s="133" t="n">
        <v>26000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inlineStr">
        <is>
          <t>86A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롯데맨션1단지</t>
        </is>
      </c>
      <c r="B29" s="10" t="inlineStr">
        <is>
          <t>'84.11.</t>
        </is>
      </c>
      <c r="C29" s="132" t="n">
        <v>600</v>
      </c>
      <c r="D29" s="130" t="n">
        <v>86.40000000000001</v>
      </c>
      <c r="E29" s="131" t="n">
        <v>26</v>
      </c>
      <c r="F29" s="130" t="n">
        <v>82.5</v>
      </c>
      <c r="G29" s="17" t="n">
        <v>25</v>
      </c>
      <c r="H29" s="132" t="n">
        <v>80</v>
      </c>
      <c r="I29" s="133" t="n">
        <v>82000</v>
      </c>
      <c r="J29" s="133" t="inlineStr">
        <is>
          <t>고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86B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롯데맨션1단지</t>
        </is>
      </c>
      <c r="B30" s="10" t="inlineStr">
        <is>
          <t>'84.11.</t>
        </is>
      </c>
      <c r="C30" s="132" t="n">
        <v>600</v>
      </c>
      <c r="D30" s="130" t="n">
        <v>106</v>
      </c>
      <c r="E30" s="131" t="n">
        <v>32</v>
      </c>
      <c r="F30" s="130" t="n">
        <v>99.09999999999999</v>
      </c>
      <c r="G30" s="17" t="n">
        <v>30</v>
      </c>
      <c r="H30" s="132" t="n">
        <v>30</v>
      </c>
      <c r="I30" s="133" t="n">
        <v>90000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1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롯데맨션1단지</t>
        </is>
      </c>
      <c r="B31" s="10" t="inlineStr">
        <is>
          <t>'84.11.</t>
        </is>
      </c>
      <c r="C31" s="132" t="n">
        <v>600</v>
      </c>
      <c r="D31" s="130" t="n">
        <v>120.1</v>
      </c>
      <c r="E31" s="131" t="n">
        <v>36</v>
      </c>
      <c r="F31" s="130" t="n">
        <v>113.4</v>
      </c>
      <c r="G31" s="17" t="n">
        <v>34</v>
      </c>
      <c r="H31" s="132" t="n">
        <v>30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120B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롯데맨션1단지</t>
        </is>
      </c>
      <c r="B32" s="10" t="inlineStr">
        <is>
          <t>'84.11.</t>
        </is>
      </c>
      <c r="C32" s="132" t="n">
        <v>600</v>
      </c>
      <c r="D32" s="130" t="n">
        <v>120.1</v>
      </c>
      <c r="E32" s="131" t="n">
        <v>36</v>
      </c>
      <c r="F32" s="130" t="n">
        <v>113</v>
      </c>
      <c r="G32" s="17" t="n">
        <v>34</v>
      </c>
      <c r="H32" s="132" t="n">
        <v>30</v>
      </c>
      <c r="I32" s="133" t="n">
        <v>105000</v>
      </c>
      <c r="J32" s="133" t="inlineStr">
        <is>
          <t>중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120C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롯데맨션1단지</t>
        </is>
      </c>
      <c r="B33" s="10" t="inlineStr">
        <is>
          <t>'84.11.</t>
        </is>
      </c>
      <c r="C33" s="132" t="n">
        <v>600</v>
      </c>
      <c r="D33" s="130" t="n">
        <v>139.4</v>
      </c>
      <c r="E33" s="131" t="n">
        <v>42</v>
      </c>
      <c r="F33" s="130" t="n">
        <v>132.6</v>
      </c>
      <c r="G33" s="17" t="n">
        <v>40</v>
      </c>
      <c r="H33" s="132" t="n">
        <v>30</v>
      </c>
      <c r="I33" s="133" t="n">
        <v>110000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139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롯데맨션1단지</t>
        </is>
      </c>
      <c r="B34" s="10" t="inlineStr">
        <is>
          <t>'84.11.</t>
        </is>
      </c>
      <c r="C34" s="132" t="n">
        <v>600</v>
      </c>
      <c r="D34" s="130" t="n">
        <v>148.9</v>
      </c>
      <c r="E34" s="131" t="n">
        <v>45</v>
      </c>
      <c r="F34" s="130" t="n">
        <v>141.7</v>
      </c>
      <c r="G34" s="17" t="n">
        <v>43</v>
      </c>
      <c r="H34" s="132" t="n">
        <v>30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148A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용지아이파크</t>
        </is>
      </c>
      <c r="B36" s="10" t="inlineStr">
        <is>
          <t>'17.06.</t>
        </is>
      </c>
      <c r="C36" s="132" t="n">
        <v>1036</v>
      </c>
      <c r="D36" s="130" t="n">
        <v>85.3</v>
      </c>
      <c r="E36" s="131" t="n">
        <v>26</v>
      </c>
      <c r="F36" s="130" t="n">
        <v>59.5</v>
      </c>
      <c r="G36" s="17" t="n">
        <v>18</v>
      </c>
      <c r="H36" s="132" t="n">
        <v>11</v>
      </c>
      <c r="I36" s="133" t="n">
        <v>76000</v>
      </c>
      <c r="J36" s="133" t="inlineStr">
        <is>
          <t>20</t>
        </is>
      </c>
      <c r="K36" s="133" t="n">
        <v>55000</v>
      </c>
      <c r="L36" s="133" t="inlineStr">
        <is>
          <t>22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n">
        <v>85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용지아이파크</t>
        </is>
      </c>
      <c r="B37" s="10" t="inlineStr">
        <is>
          <t>'17.06.</t>
        </is>
      </c>
      <c r="C37" s="132" t="n">
        <v>1036</v>
      </c>
      <c r="D37" s="130" t="n">
        <v>113.9</v>
      </c>
      <c r="E37" s="131" t="n">
        <v>34</v>
      </c>
      <c r="F37" s="130" t="n">
        <v>84.7</v>
      </c>
      <c r="G37" s="17" t="n">
        <v>26</v>
      </c>
      <c r="H37" s="132" t="n">
        <v>421</v>
      </c>
      <c r="I37" s="133" t="n">
        <v>98000</v>
      </c>
      <c r="J37" s="133" t="inlineStr">
        <is>
          <t>10</t>
        </is>
      </c>
      <c r="K37" s="133" t="n">
        <v>63000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용지아이파크</t>
        </is>
      </c>
      <c r="B38" s="10" t="inlineStr">
        <is>
          <t>'17.06.</t>
        </is>
      </c>
      <c r="C38" s="132" t="n">
        <v>1036</v>
      </c>
      <c r="D38" s="130" t="n">
        <v>113.6</v>
      </c>
      <c r="E38" s="131" t="n">
        <v>34</v>
      </c>
      <c r="F38" s="130" t="n">
        <v>84.7</v>
      </c>
      <c r="G38" s="17" t="n">
        <v>26</v>
      </c>
      <c r="H38" s="132" t="n">
        <v>221</v>
      </c>
      <c r="I38" s="133" t="n">
        <v>103000</v>
      </c>
      <c r="J38" s="133" t="inlineStr">
        <is>
          <t>고</t>
        </is>
      </c>
      <c r="K38" s="133" t="n">
        <v>65000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용지아이파크</t>
        </is>
      </c>
      <c r="B39" s="10" t="inlineStr">
        <is>
          <t>'17.06.</t>
        </is>
      </c>
      <c r="C39" s="132" t="n">
        <v>1036</v>
      </c>
      <c r="D39" s="130" t="n">
        <v>130</v>
      </c>
      <c r="E39" s="131" t="n">
        <v>39</v>
      </c>
      <c r="F39" s="130" t="n">
        <v>100.2</v>
      </c>
      <c r="G39" s="17" t="n">
        <v>30</v>
      </c>
      <c r="H39" s="132" t="n">
        <v>140</v>
      </c>
      <c r="I39" s="133" t="n">
        <v>129000</v>
      </c>
      <c r="J39" s="133" t="inlineStr">
        <is>
          <t>중</t>
        </is>
      </c>
      <c r="K39" s="133" t="n">
        <v>86000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130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용지아이파크</t>
        </is>
      </c>
      <c r="B40" s="10" t="inlineStr">
        <is>
          <t>'17.06.</t>
        </is>
      </c>
      <c r="C40" s="132" t="n">
        <v>1036</v>
      </c>
      <c r="D40" s="130" t="n">
        <v>144.7</v>
      </c>
      <c r="E40" s="131" t="n">
        <v>44</v>
      </c>
      <c r="F40" s="130" t="n">
        <v>114.8</v>
      </c>
      <c r="G40" s="17" t="n">
        <v>35</v>
      </c>
      <c r="H40" s="132" t="n">
        <v>98</v>
      </c>
      <c r="I40" s="133" t="n">
        <v>158000</v>
      </c>
      <c r="J40" s="133" t="inlineStr">
        <is>
          <t>5</t>
        </is>
      </c>
      <c r="K40" s="133" t="n">
        <v>90000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144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용지아이파크</t>
        </is>
      </c>
      <c r="B41" s="10" t="inlineStr">
        <is>
          <t>'17.06.</t>
        </is>
      </c>
      <c r="C41" s="132" t="n">
        <v>1036</v>
      </c>
      <c r="D41" s="130" t="n">
        <v>157.9</v>
      </c>
      <c r="E41" s="131" t="n">
        <v>48</v>
      </c>
      <c r="F41" s="130" t="n">
        <v>127.4</v>
      </c>
      <c r="G41" s="17" t="n">
        <v>39</v>
      </c>
      <c r="H41" s="132" t="n">
        <v>56</v>
      </c>
      <c r="I41" s="133" t="n">
        <v>185000</v>
      </c>
      <c r="J41" s="133" t="inlineStr">
        <is>
          <t>9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n">
        <v>157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15" dxfId="23">
      <formula>AV4="X"</formula>
    </cfRule>
    <cfRule type="expression" priority="616" dxfId="22">
      <formula>AV4="후보"</formula>
    </cfRule>
  </conditionalFormatting>
  <conditionalFormatting sqref="AC1:AC2 AC4:AC6 N4:N5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N1:N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">
    <cfRule type="expression" priority="604" dxfId="3">
      <formula>AND(IF(OR($Q6=1,$Q6=2),1,0),IF($X6&lt;=20,1,0))</formula>
    </cfRule>
    <cfRule type="expression" priority="605" dxfId="2">
      <formula>AND(IF($Q6=2,1,0),IF($X6&lt;30,1,0))</formula>
    </cfRule>
    <cfRule type="expression" priority="606" dxfId="1">
      <formula>AND(IF($Q6=3,1,0),IF($X6&lt;30,1,0))</formula>
    </cfRule>
    <cfRule type="expression" priority="607" dxfId="0">
      <formula>AND(IF($Q6=3,1,IF($Q6=4,1,0)),IF($F6&lt;=85,1,0))</formula>
    </cfRule>
  </conditionalFormatting>
  <conditionalFormatting sqref="X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AI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V7">
    <cfRule type="expression" priority="594" dxfId="23">
      <formula>AV7="X"</formula>
    </cfRule>
    <cfRule type="expression" priority="595" dxfId="22">
      <formula>AV7="후보"</formula>
    </cfRule>
  </conditionalFormatting>
  <conditionalFormatting sqref="AC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">
    <cfRule type="expression" priority="585" dxfId="3">
      <formula>AND(IF(OR($Q7=1,$Q7=2),1,0),IF($X7&lt;=20,1,0))</formula>
    </cfRule>
    <cfRule type="expression" priority="586" dxfId="2">
      <formula>AND(IF($Q7=2,1,0),IF($X7&lt;30,1,0))</formula>
    </cfRule>
    <cfRule type="expression" priority="587" dxfId="1">
      <formula>AND(IF($Q7=3,1,0),IF($X7&lt;30,1,0))</formula>
    </cfRule>
    <cfRule type="expression" priority="588" dxfId="0">
      <formula>AND(IF($Q7=3,1,IF($Q7=4,1,0)),IF($F7&lt;=85,1,0))</formula>
    </cfRule>
  </conditionalFormatting>
  <conditionalFormatting sqref="X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AI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V8">
    <cfRule type="expression" priority="575" dxfId="23">
      <formula>AV8="X"</formula>
    </cfRule>
    <cfRule type="expression" priority="576" dxfId="22">
      <formula>AV8="후보"</formula>
    </cfRule>
  </conditionalFormatting>
  <conditionalFormatting sqref="AC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">
    <cfRule type="expression" priority="566" dxfId="3">
      <formula>AND(IF(OR($Q8=1,$Q8=2),1,0),IF($X8&lt;=20,1,0))</formula>
    </cfRule>
    <cfRule type="expression" priority="567" dxfId="2">
      <formula>AND(IF($Q8=2,1,0),IF($X8&lt;30,1,0))</formula>
    </cfRule>
    <cfRule type="expression" priority="568" dxfId="1">
      <formula>AND(IF($Q8=3,1,0),IF($X8&lt;30,1,0))</formula>
    </cfRule>
    <cfRule type="expression" priority="569" dxfId="0">
      <formula>AND(IF($Q8=3,1,IF($Q8=4,1,0)),IF($F8&lt;=85,1,0))</formula>
    </cfRule>
  </conditionalFormatting>
  <conditionalFormatting sqref="X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AI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V9">
    <cfRule type="expression" priority="556" dxfId="23">
      <formula>AV9="X"</formula>
    </cfRule>
    <cfRule type="expression" priority="557" dxfId="22">
      <formula>AV9="후보"</formula>
    </cfRule>
  </conditionalFormatting>
  <conditionalFormatting sqref="AC9 N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10">
    <cfRule type="expression" priority="551" dxfId="23">
      <formula>AV10="X"</formula>
    </cfRule>
    <cfRule type="expression" priority="552" dxfId="22">
      <formula>AV10="후보"</formula>
    </cfRule>
  </conditionalFormatting>
  <conditionalFormatting sqref="AC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23">
      <formula>AV11="X"</formula>
    </cfRule>
    <cfRule type="expression" priority="533" dxfId="22">
      <formula>AV11="후보"</formula>
    </cfRule>
  </conditionalFormatting>
  <conditionalFormatting sqref="AC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23">
      <formula>AV12="X"</formula>
    </cfRule>
    <cfRule type="expression" priority="514" dxfId="22">
      <formula>AV12="후보"</formula>
    </cfRule>
  </conditionalFormatting>
  <conditionalFormatting sqref="AC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2">
    <cfRule type="expression" priority="504" dxfId="3">
      <formula>AND(IF(OR($Q12=1,$Q12=2),1,0),IF($X12&lt;=20,1,0))</formula>
    </cfRule>
    <cfRule type="expression" priority="505" dxfId="2">
      <formula>AND(IF($Q12=2,1,0),IF($X12&lt;30,1,0))</formula>
    </cfRule>
    <cfRule type="expression" priority="506" dxfId="1">
      <formula>AND(IF($Q12=3,1,0),IF($X12&lt;30,1,0))</formula>
    </cfRule>
    <cfRule type="expression" priority="507" dxfId="0">
      <formula>AND(IF($Q12=3,1,IF($Q12=4,1,0)),IF($F12&lt;=85,1,0))</formula>
    </cfRule>
  </conditionalFormatting>
  <conditionalFormatting sqref="X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AI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V13">
    <cfRule type="expression" priority="494" dxfId="23">
      <formula>AV13="X"</formula>
    </cfRule>
    <cfRule type="expression" priority="495" dxfId="22">
      <formula>AV13="후보"</formula>
    </cfRule>
  </conditionalFormatting>
  <conditionalFormatting sqref="AC1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3">
    <cfRule type="expression" priority="485" dxfId="3">
      <formula>AND(IF(OR($Q13=1,$Q13=2),1,0),IF($X13&lt;=20,1,0))</formula>
    </cfRule>
    <cfRule type="expression" priority="486" dxfId="2">
      <formula>AND(IF($Q13=2,1,0),IF($X13&lt;30,1,0))</formula>
    </cfRule>
    <cfRule type="expression" priority="487" dxfId="1">
      <formula>AND(IF($Q13=3,1,0),IF($X13&lt;30,1,0))</formula>
    </cfRule>
    <cfRule type="expression" priority="488" dxfId="0">
      <formula>AND(IF($Q13=3,1,IF($Q13=4,1,0)),IF($F13&lt;=85,1,0))</formula>
    </cfRule>
  </conditionalFormatting>
  <conditionalFormatting sqref="X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AI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V14">
    <cfRule type="expression" priority="475" dxfId="23">
      <formula>AV14="X"</formula>
    </cfRule>
    <cfRule type="expression" priority="476" dxfId="22">
      <formula>AV14="후보"</formula>
    </cfRule>
  </conditionalFormatting>
  <conditionalFormatting sqref="AC1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4">
    <cfRule type="expression" priority="466" dxfId="3">
      <formula>AND(IF(OR($Q14=1,$Q14=2),1,0),IF($X14&lt;=20,1,0))</formula>
    </cfRule>
    <cfRule type="expression" priority="467" dxfId="2">
      <formula>AND(IF($Q14=2,1,0),IF($X14&lt;30,1,0))</formula>
    </cfRule>
    <cfRule type="expression" priority="468" dxfId="1">
      <formula>AND(IF($Q14=3,1,0),IF($X14&lt;30,1,0))</formula>
    </cfRule>
    <cfRule type="expression" priority="469" dxfId="0">
      <formula>AND(IF($Q14=3,1,IF($Q14=4,1,0)),IF($F14&lt;=85,1,0))</formula>
    </cfRule>
  </conditionalFormatting>
  <conditionalFormatting sqref="X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AI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 N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6">
    <cfRule type="expression" priority="451" dxfId="23">
      <formula>AV16="X"</formula>
    </cfRule>
    <cfRule type="expression" priority="452" dxfId="22">
      <formula>AV16="후보"</formula>
    </cfRule>
  </conditionalFormatting>
  <conditionalFormatting sqref="AC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23">
      <formula>AV17="X"</formula>
    </cfRule>
    <cfRule type="expression" priority="433" dxfId="22">
      <formula>AV17="후보"</formula>
    </cfRule>
  </conditionalFormatting>
  <conditionalFormatting sqref="AC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23">
      <formula>AV18="X"</formula>
    </cfRule>
    <cfRule type="expression" priority="414" dxfId="22">
      <formula>AV18="후보"</formula>
    </cfRule>
  </conditionalFormatting>
  <conditionalFormatting sqref="AC18 N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19">
    <cfRule type="expression" priority="408" dxfId="23">
      <formula>AV19="X"</formula>
    </cfRule>
    <cfRule type="expression" priority="409" dxfId="22">
      <formula>AV19="후보"</formula>
    </cfRule>
  </conditionalFormatting>
  <conditionalFormatting sqref="AC1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9">
    <cfRule type="expression" priority="399" dxfId="3">
      <formula>AND(IF(OR($Q19=1,$Q19=2),1,0),IF($X19&lt;=20,1,0))</formula>
    </cfRule>
    <cfRule type="expression" priority="400" dxfId="2">
      <formula>AND(IF($Q19=2,1,0),IF($X19&lt;30,1,0))</formula>
    </cfRule>
    <cfRule type="expression" priority="401" dxfId="1">
      <formula>AND(IF($Q19=3,1,0),IF($X19&lt;30,1,0))</formula>
    </cfRule>
    <cfRule type="expression" priority="402" dxfId="0">
      <formula>AND(IF($Q19=3,1,IF($Q19=4,1,0)),IF($F19&lt;=85,1,0))</formula>
    </cfRule>
  </conditionalFormatting>
  <conditionalFormatting sqref="X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AI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V20">
    <cfRule type="expression" priority="389" dxfId="23">
      <formula>AV20="X"</formula>
    </cfRule>
    <cfRule type="expression" priority="390" dxfId="22">
      <formula>AV20="후보"</formula>
    </cfRule>
  </conditionalFormatting>
  <conditionalFormatting sqref="AC2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23">
      <formula>AV21="X"</formula>
    </cfRule>
    <cfRule type="expression" priority="371" dxfId="22">
      <formula>AV21="후보"</formula>
    </cfRule>
  </conditionalFormatting>
  <conditionalFormatting sqref="AC2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23">
      <formula>AV22="X"</formula>
    </cfRule>
    <cfRule type="expression" priority="352" dxfId="22">
      <formula>AV22="후보"</formula>
    </cfRule>
  </conditionalFormatting>
  <conditionalFormatting sqref="AC2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23">
      <formula>AV23="X"</formula>
    </cfRule>
    <cfRule type="expression" priority="333" dxfId="22">
      <formula>AV23="후보"</formula>
    </cfRule>
  </conditionalFormatting>
  <conditionalFormatting sqref="AC2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23">
      <formula>AV24="X"</formula>
    </cfRule>
    <cfRule type="expression" priority="314" dxfId="22">
      <formula>AV24="후보"</formula>
    </cfRule>
  </conditionalFormatting>
  <conditionalFormatting sqref="AC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23">
      <formula>AV25="X"</formula>
    </cfRule>
    <cfRule type="expression" priority="295" dxfId="22">
      <formula>AV25="후보"</formula>
    </cfRule>
  </conditionalFormatting>
  <conditionalFormatting sqref="AC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23">
      <formula>AV26="X"</formula>
    </cfRule>
    <cfRule type="expression" priority="276" dxfId="22">
      <formula>AV26="후보"</formula>
    </cfRule>
  </conditionalFormatting>
  <conditionalFormatting sqref="AC26 N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7">
    <cfRule type="expression" priority="270" dxfId="23">
      <formula>AV27="X"</formula>
    </cfRule>
    <cfRule type="expression" priority="271" dxfId="22">
      <formula>AV27="후보"</formula>
    </cfRule>
  </conditionalFormatting>
  <conditionalFormatting sqref="AC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7">
    <cfRule type="expression" priority="261" dxfId="3">
      <formula>AND(IF(OR($Q27=1,$Q27=2),1,0),IF($X27&lt;=20,1,0))</formula>
    </cfRule>
    <cfRule type="expression" priority="262" dxfId="2">
      <formula>AND(IF($Q27=2,1,0),IF($X27&lt;30,1,0))</formula>
    </cfRule>
    <cfRule type="expression" priority="263" dxfId="1">
      <formula>AND(IF($Q27=3,1,0),IF($X27&lt;30,1,0))</formula>
    </cfRule>
    <cfRule type="expression" priority="264" dxfId="0">
      <formula>AND(IF($Q27=3,1,IF($Q27=4,1,0)),IF($F27&lt;=85,1,0))</formula>
    </cfRule>
  </conditionalFormatting>
  <conditionalFormatting sqref="X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AI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V28">
    <cfRule type="expression" priority="251" dxfId="23">
      <formula>AV28="X"</formula>
    </cfRule>
    <cfRule type="expression" priority="252" dxfId="22">
      <formula>AV28="후보"</formula>
    </cfRule>
  </conditionalFormatting>
  <conditionalFormatting sqref="AC2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23">
      <formula>AV29="X"</formula>
    </cfRule>
    <cfRule type="expression" priority="233" dxfId="22">
      <formula>AV29="후보"</formula>
    </cfRule>
  </conditionalFormatting>
  <conditionalFormatting sqref="AC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23">
      <formula>AV30="X"</formula>
    </cfRule>
    <cfRule type="expression" priority="214" dxfId="22">
      <formula>AV30="후보"</formula>
    </cfRule>
  </conditionalFormatting>
  <conditionalFormatting sqref="AC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2022-08-10T12:58:46Z</dcterms:modified>
  <cp:lastModifiedBy>MinsuKwon</cp:lastModifiedBy>
  <cp:lastPrinted>2018-04-28T10:52:41Z</cp:lastPrinted>
</cp:coreProperties>
</file>